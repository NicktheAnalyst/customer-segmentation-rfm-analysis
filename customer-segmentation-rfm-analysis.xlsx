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5810" activeTab="1"/>
  </bookViews>
  <sheets>
    <sheet name="Raw Data" sheetId="1" r:id="rId1"/>
    <sheet name="SalesData" sheetId="2" r:id="rId2"/>
    <sheet name="RFM Table" sheetId="3" r:id="rId3"/>
    <sheet name="Pivot Analysis" sheetId="4" r:id="rId4"/>
    <sheet name="Dashboard" sheetId="5" r:id="rId5"/>
    <sheet name="Insights" sheetId="6" r:id="rId6"/>
  </sheets>
  <definedNames>
    <definedName name="Combine_scores">'RFM Table'!$M:$M</definedName>
    <definedName name="F">'RFM Table'!$K:$K</definedName>
    <definedName name="M">'RFM Table'!$L:$L</definedName>
    <definedName name="OrderDate">SalesData!$B:$B</definedName>
    <definedName name="R_">'RFM Table'!$J:$J</definedName>
    <definedName name="Slicer_Channel">#N/A</definedName>
    <definedName name="Slicer_City">#N/A</definedName>
    <definedName name="Slicer_ProductCategory">#N/A</definedName>
  </definedNames>
  <calcPr calcId="152511"/>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4" l="1"/>
  <c r="E3" i="4"/>
  <c r="F3" i="4"/>
  <c r="D4" i="4"/>
  <c r="E4" i="4"/>
  <c r="F4" i="4"/>
  <c r="D5" i="4"/>
  <c r="E5" i="4"/>
  <c r="F5" i="4"/>
  <c r="D6" i="4"/>
  <c r="E6" i="4"/>
  <c r="F6" i="4"/>
  <c r="D7" i="4"/>
  <c r="E7" i="4"/>
  <c r="F7" i="4"/>
  <c r="E2" i="4"/>
  <c r="F2" i="4"/>
  <c r="D2" i="4"/>
  <c r="B11" i="4"/>
  <c r="I3" i="4"/>
  <c r="I2" i="4" l="1"/>
  <c r="I4" i="4" s="1"/>
  <c r="B12" i="4"/>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2" i="3"/>
  <c r="L3" i="3" a="1"/>
  <c r="L3" i="3" s="1"/>
  <c r="L4" i="3" a="1"/>
  <c r="L4" i="3"/>
  <c r="L5" i="3" a="1"/>
  <c r="L5" i="3" s="1"/>
  <c r="L6" i="3" a="1"/>
  <c r="L6" i="3" s="1"/>
  <c r="L7" i="3" a="1"/>
  <c r="L7" i="3" s="1"/>
  <c r="L8" i="3" a="1"/>
  <c r="L8" i="3" s="1"/>
  <c r="L9" i="3" a="1"/>
  <c r="L9" i="3" s="1"/>
  <c r="L10" i="3" a="1"/>
  <c r="L10" i="3"/>
  <c r="L11" i="3" a="1"/>
  <c r="L11" i="3" s="1"/>
  <c r="L12" i="3" a="1"/>
  <c r="L12" i="3" s="1"/>
  <c r="L13" i="3" a="1"/>
  <c r="L13" i="3" s="1"/>
  <c r="L14" i="3" a="1"/>
  <c r="L14" i="3" s="1"/>
  <c r="L15" i="3" a="1"/>
  <c r="L15" i="3" s="1"/>
  <c r="L16" i="3" a="1"/>
  <c r="L16" i="3" s="1"/>
  <c r="L17" i="3" a="1"/>
  <c r="L17" i="3" s="1"/>
  <c r="L18" i="3" a="1"/>
  <c r="L18" i="3"/>
  <c r="L19" i="3" a="1"/>
  <c r="L19" i="3" s="1"/>
  <c r="L20" i="3" a="1"/>
  <c r="L20" i="3" s="1"/>
  <c r="L21" i="3" a="1"/>
  <c r="L21" i="3" s="1"/>
  <c r="L22" i="3" a="1"/>
  <c r="L22" i="3" s="1"/>
  <c r="L23" i="3" a="1"/>
  <c r="L23" i="3" s="1"/>
  <c r="L24" i="3" a="1"/>
  <c r="L24" i="3" s="1"/>
  <c r="L25" i="3" a="1"/>
  <c r="L25" i="3" s="1"/>
  <c r="L26" i="3" a="1"/>
  <c r="L26" i="3"/>
  <c r="L27" i="3" a="1"/>
  <c r="L27" i="3" s="1"/>
  <c r="L28" i="3" a="1"/>
  <c r="L28" i="3" s="1"/>
  <c r="L29" i="3" a="1"/>
  <c r="L29" i="3" s="1"/>
  <c r="L30" i="3" a="1"/>
  <c r="L30" i="3" s="1"/>
  <c r="L31" i="3" a="1"/>
  <c r="L31" i="3" s="1"/>
  <c r="L32" i="3" a="1"/>
  <c r="L32" i="3" s="1"/>
  <c r="L33" i="3" a="1"/>
  <c r="L33" i="3" s="1"/>
  <c r="L34" i="3" a="1"/>
  <c r="L34" i="3"/>
  <c r="L35" i="3" a="1"/>
  <c r="L35" i="3" s="1"/>
  <c r="L36" i="3" a="1"/>
  <c r="L36" i="3" s="1"/>
  <c r="L37" i="3" a="1"/>
  <c r="L37" i="3" s="1"/>
  <c r="L38" i="3" a="1"/>
  <c r="L38" i="3" s="1"/>
  <c r="L39" i="3" a="1"/>
  <c r="L39" i="3" s="1"/>
  <c r="L40" i="3" a="1"/>
  <c r="L40" i="3" s="1"/>
  <c r="L41" i="3" a="1"/>
  <c r="L41" i="3" s="1"/>
  <c r="L42" i="3" a="1"/>
  <c r="L42" i="3"/>
  <c r="L43" i="3" a="1"/>
  <c r="L43" i="3" s="1"/>
  <c r="L44" i="3" a="1"/>
  <c r="L44" i="3" s="1"/>
  <c r="L45" i="3" a="1"/>
  <c r="L45" i="3" s="1"/>
  <c r="L46" i="3" a="1"/>
  <c r="L46" i="3" s="1"/>
  <c r="L47" i="3" a="1"/>
  <c r="L47" i="3" s="1"/>
  <c r="L48" i="3" a="1"/>
  <c r="L48" i="3" s="1"/>
  <c r="L49" i="3" a="1"/>
  <c r="L49" i="3" s="1"/>
  <c r="L50" i="3" a="1"/>
  <c r="L50" i="3"/>
  <c r="L51" i="3" a="1"/>
  <c r="L51" i="3" s="1"/>
  <c r="L52" i="3" a="1"/>
  <c r="L52" i="3" s="1"/>
  <c r="L53" i="3" a="1"/>
  <c r="L53" i="3" s="1"/>
  <c r="L54" i="3" a="1"/>
  <c r="L54" i="3" s="1"/>
  <c r="L55" i="3" a="1"/>
  <c r="L55" i="3" s="1"/>
  <c r="L56" i="3" a="1"/>
  <c r="L56" i="3" s="1"/>
  <c r="L57" i="3" a="1"/>
  <c r="L57" i="3" s="1"/>
  <c r="L58" i="3" a="1"/>
  <c r="L58" i="3"/>
  <c r="L59" i="3" a="1"/>
  <c r="L59" i="3" s="1"/>
  <c r="L60" i="3" a="1"/>
  <c r="L60" i="3" s="1"/>
  <c r="L61" i="3" a="1"/>
  <c r="L61" i="3" s="1"/>
  <c r="L62" i="3" a="1"/>
  <c r="L62" i="3" s="1"/>
  <c r="L63" i="3" a="1"/>
  <c r="L63" i="3" s="1"/>
  <c r="L64" i="3" a="1"/>
  <c r="L64" i="3" s="1"/>
  <c r="L65" i="3" a="1"/>
  <c r="L65" i="3" s="1"/>
  <c r="L66" i="3" a="1"/>
  <c r="L66" i="3"/>
  <c r="L67" i="3" a="1"/>
  <c r="L67" i="3" s="1"/>
  <c r="L68" i="3" a="1"/>
  <c r="L68" i="3" s="1"/>
  <c r="L69" i="3" a="1"/>
  <c r="L69" i="3" s="1"/>
  <c r="L70" i="3" a="1"/>
  <c r="L70" i="3" s="1"/>
  <c r="L71" i="3" a="1"/>
  <c r="L71" i="3" s="1"/>
  <c r="L72" i="3" a="1"/>
  <c r="L72" i="3" s="1"/>
  <c r="L73" i="3" a="1"/>
  <c r="L73" i="3" s="1"/>
  <c r="L74" i="3" a="1"/>
  <c r="L74" i="3"/>
  <c r="L75" i="3" a="1"/>
  <c r="L75" i="3" s="1"/>
  <c r="L76" i="3" a="1"/>
  <c r="L76" i="3" s="1"/>
  <c r="L77" i="3" a="1"/>
  <c r="L77" i="3" s="1"/>
  <c r="L78" i="3" a="1"/>
  <c r="L78" i="3" s="1"/>
  <c r="L79" i="3" a="1"/>
  <c r="L79" i="3" s="1"/>
  <c r="L80" i="3" a="1"/>
  <c r="L80" i="3" s="1"/>
  <c r="L81" i="3" a="1"/>
  <c r="L81" i="3" s="1"/>
  <c r="L82" i="3" a="1"/>
  <c r="L82" i="3"/>
  <c r="L83" i="3" a="1"/>
  <c r="L83" i="3" s="1"/>
  <c r="L84" i="3" a="1"/>
  <c r="L84" i="3" s="1"/>
  <c r="L85" i="3" a="1"/>
  <c r="L85" i="3" s="1"/>
  <c r="L86" i="3" a="1"/>
  <c r="L86" i="3" s="1"/>
  <c r="L87" i="3" a="1"/>
  <c r="L87" i="3" s="1"/>
  <c r="L88" i="3" a="1"/>
  <c r="L88" i="3" s="1"/>
  <c r="L89" i="3" a="1"/>
  <c r="L89" i="3" s="1"/>
  <c r="L90" i="3" a="1"/>
  <c r="L90" i="3"/>
  <c r="L91" i="3" a="1"/>
  <c r="L91" i="3" s="1"/>
  <c r="L92" i="3" a="1"/>
  <c r="L92" i="3" s="1"/>
  <c r="L93" i="3" a="1"/>
  <c r="L93" i="3" s="1"/>
  <c r="L94" i="3" a="1"/>
  <c r="L94" i="3" s="1"/>
  <c r="L95" i="3" a="1"/>
  <c r="L95" i="3" s="1"/>
  <c r="L96" i="3" a="1"/>
  <c r="L96" i="3" s="1"/>
  <c r="L97" i="3" a="1"/>
  <c r="L97" i="3" s="1"/>
  <c r="L98" i="3" a="1"/>
  <c r="L98" i="3"/>
  <c r="L99" i="3" a="1"/>
  <c r="L99" i="3" s="1"/>
  <c r="L100" i="3" a="1"/>
  <c r="L100" i="3" s="1"/>
  <c r="L101" i="3" a="1"/>
  <c r="L101" i="3" s="1"/>
  <c r="L102" i="3" a="1"/>
  <c r="L102" i="3" s="1"/>
  <c r="L103" i="3" a="1"/>
  <c r="L103" i="3" s="1"/>
  <c r="L104" i="3" a="1"/>
  <c r="L104" i="3" s="1"/>
  <c r="L105" i="3" a="1"/>
  <c r="L105" i="3" s="1"/>
  <c r="L106" i="3" a="1"/>
  <c r="L106" i="3"/>
  <c r="L107" i="3" a="1"/>
  <c r="L107" i="3" s="1"/>
  <c r="L108" i="3" a="1"/>
  <c r="L108" i="3" s="1"/>
  <c r="L109" i="3" a="1"/>
  <c r="L109" i="3" s="1"/>
  <c r="L110" i="3" a="1"/>
  <c r="L110" i="3"/>
  <c r="L111" i="3" a="1"/>
  <c r="L111" i="3" s="1"/>
  <c r="L112" i="3" a="1"/>
  <c r="L112" i="3" s="1"/>
  <c r="L113" i="3" a="1"/>
  <c r="L113" i="3" s="1"/>
  <c r="L114" i="3" a="1"/>
  <c r="L114" i="3"/>
  <c r="L115" i="3" a="1"/>
  <c r="L115" i="3" s="1"/>
  <c r="L116" i="3" a="1"/>
  <c r="L116" i="3" s="1"/>
  <c r="L117" i="3" a="1"/>
  <c r="L117" i="3" s="1"/>
  <c r="L118" i="3" a="1"/>
  <c r="L118" i="3"/>
  <c r="L119" i="3" a="1"/>
  <c r="L119" i="3" s="1"/>
  <c r="L120" i="3" a="1"/>
  <c r="L120" i="3" s="1"/>
  <c r="L121" i="3" a="1"/>
  <c r="L121" i="3" s="1"/>
  <c r="L122" i="3" a="1"/>
  <c r="L122" i="3"/>
  <c r="L123" i="3" a="1"/>
  <c r="L123" i="3" s="1"/>
  <c r="L124" i="3" a="1"/>
  <c r="L124" i="3" s="1"/>
  <c r="L125" i="3" a="1"/>
  <c r="L125" i="3" s="1"/>
  <c r="L126" i="3" a="1"/>
  <c r="L126" i="3"/>
  <c r="L127" i="3" a="1"/>
  <c r="L127" i="3" s="1"/>
  <c r="L128" i="3" a="1"/>
  <c r="L128" i="3" s="1"/>
  <c r="L129" i="3" a="1"/>
  <c r="L129" i="3" s="1"/>
  <c r="L130" i="3" a="1"/>
  <c r="L130" i="3"/>
  <c r="L131" i="3" a="1"/>
  <c r="L131" i="3" s="1"/>
  <c r="L132" i="3" a="1"/>
  <c r="L132" i="3" s="1"/>
  <c r="L133" i="3" a="1"/>
  <c r="L133" i="3" s="1"/>
  <c r="L134" i="3" a="1"/>
  <c r="L134" i="3"/>
  <c r="L135" i="3" a="1"/>
  <c r="L135" i="3" s="1"/>
  <c r="L136" i="3" a="1"/>
  <c r="L136" i="3" s="1"/>
  <c r="L137" i="3" a="1"/>
  <c r="L137" i="3" s="1"/>
  <c r="L138" i="3" a="1"/>
  <c r="L138" i="3"/>
  <c r="L139" i="3" a="1"/>
  <c r="L139" i="3" s="1"/>
  <c r="L140" i="3" a="1"/>
  <c r="L140" i="3" s="1"/>
  <c r="L141" i="3" a="1"/>
  <c r="L141" i="3" s="1"/>
  <c r="L142" i="3" a="1"/>
  <c r="L142" i="3"/>
  <c r="L143" i="3" a="1"/>
  <c r="L143" i="3" s="1"/>
  <c r="L144" i="3" a="1"/>
  <c r="L144" i="3" s="1"/>
  <c r="L145" i="3" a="1"/>
  <c r="L145" i="3" s="1"/>
  <c r="L146" i="3" a="1"/>
  <c r="L146" i="3"/>
  <c r="L147" i="3" a="1"/>
  <c r="L147" i="3" s="1"/>
  <c r="L148" i="3" a="1"/>
  <c r="L148" i="3" s="1"/>
  <c r="L149" i="3" a="1"/>
  <c r="L149" i="3" s="1"/>
  <c r="L150" i="3" a="1"/>
  <c r="L150" i="3"/>
  <c r="L151" i="3" a="1"/>
  <c r="L151" i="3" s="1"/>
  <c r="L152" i="3" a="1"/>
  <c r="L152" i="3" s="1"/>
  <c r="L153" i="3" a="1"/>
  <c r="L153" i="3" s="1"/>
  <c r="L154" i="3" a="1"/>
  <c r="L154" i="3"/>
  <c r="L155" i="3" a="1"/>
  <c r="L155" i="3" s="1"/>
  <c r="L156" i="3" a="1"/>
  <c r="L156" i="3" s="1"/>
  <c r="L157" i="3" a="1"/>
  <c r="L157" i="3" s="1"/>
  <c r="L158" i="3" a="1"/>
  <c r="L158" i="3"/>
  <c r="L159" i="3" a="1"/>
  <c r="L159" i="3" s="1"/>
  <c r="L160" i="3" a="1"/>
  <c r="L160" i="3" s="1"/>
  <c r="L161" i="3" a="1"/>
  <c r="L161" i="3" s="1"/>
  <c r="L162" i="3" a="1"/>
  <c r="L162" i="3"/>
  <c r="L163" i="3" a="1"/>
  <c r="L163" i="3" s="1"/>
  <c r="L164" i="3" a="1"/>
  <c r="L164" i="3" s="1"/>
  <c r="L165" i="3" a="1"/>
  <c r="L165" i="3" s="1"/>
  <c r="L166" i="3" a="1"/>
  <c r="L166" i="3"/>
  <c r="L167" i="3" a="1"/>
  <c r="L167" i="3" s="1"/>
  <c r="L168" i="3" a="1"/>
  <c r="L168" i="3" s="1"/>
  <c r="L169" i="3" a="1"/>
  <c r="L169" i="3" s="1"/>
  <c r="L170" i="3" a="1"/>
  <c r="L170" i="3"/>
  <c r="L171" i="3" a="1"/>
  <c r="L171" i="3" s="1"/>
  <c r="L172" i="3" a="1"/>
  <c r="L172" i="3" s="1"/>
  <c r="L173" i="3" a="1"/>
  <c r="L173" i="3" s="1"/>
  <c r="L174" i="3" a="1"/>
  <c r="L174" i="3" s="1"/>
  <c r="L175" i="3" a="1"/>
  <c r="L175" i="3" s="1"/>
  <c r="L176" i="3" a="1"/>
  <c r="L176" i="3" s="1"/>
  <c r="L177" i="3" a="1"/>
  <c r="L177" i="3" s="1"/>
  <c r="L178" i="3" a="1"/>
  <c r="L178" i="3"/>
  <c r="L179" i="3" a="1"/>
  <c r="L179" i="3" s="1"/>
  <c r="L180" i="3" a="1"/>
  <c r="L180" i="3" s="1"/>
  <c r="L181" i="3" a="1"/>
  <c r="L181" i="3" s="1"/>
  <c r="L182" i="3" a="1"/>
  <c r="L182" i="3" s="1"/>
  <c r="L183" i="3" a="1"/>
  <c r="L183" i="3" s="1"/>
  <c r="L184" i="3" a="1"/>
  <c r="L184" i="3"/>
  <c r="L185" i="3" a="1"/>
  <c r="L185" i="3" s="1"/>
  <c r="L186" i="3" a="1"/>
  <c r="L186" i="3"/>
  <c r="L187" i="3" a="1"/>
  <c r="L187" i="3" s="1"/>
  <c r="L188" i="3" a="1"/>
  <c r="L188" i="3"/>
  <c r="L189" i="3" a="1"/>
  <c r="L189" i="3" s="1"/>
  <c r="L190" i="3" a="1"/>
  <c r="L190" i="3" s="1"/>
  <c r="L191" i="3" a="1"/>
  <c r="L191" i="3" s="1"/>
  <c r="L192" i="3" a="1"/>
  <c r="L192" i="3"/>
  <c r="L193" i="3" a="1"/>
  <c r="L193" i="3" s="1"/>
  <c r="L194" i="3" a="1"/>
  <c r="L194" i="3"/>
  <c r="L195" i="3" a="1"/>
  <c r="L195" i="3" s="1"/>
  <c r="L196" i="3" a="1"/>
  <c r="L196" i="3"/>
  <c r="L197" i="3" a="1"/>
  <c r="L197" i="3" s="1"/>
  <c r="L198" i="3" a="1"/>
  <c r="L198" i="3" s="1"/>
  <c r="L199" i="3" a="1"/>
  <c r="L199" i="3" s="1"/>
  <c r="L200" i="3" a="1"/>
  <c r="L200" i="3"/>
  <c r="L201" i="3" a="1"/>
  <c r="L201" i="3" s="1"/>
  <c r="L202" i="3" a="1"/>
  <c r="L202" i="3"/>
  <c r="L203" i="3" a="1"/>
  <c r="L203" i="3" s="1"/>
  <c r="L204" i="3" a="1"/>
  <c r="L204" i="3"/>
  <c r="L205" i="3" a="1"/>
  <c r="L205" i="3" s="1"/>
  <c r="L206" i="3" a="1"/>
  <c r="L206" i="3" s="1"/>
  <c r="L207" i="3" a="1"/>
  <c r="L207" i="3" s="1"/>
  <c r="L208" i="3" a="1"/>
  <c r="L208" i="3"/>
  <c r="L209" i="3" a="1"/>
  <c r="L209" i="3" s="1"/>
  <c r="L210" i="3" a="1"/>
  <c r="L210" i="3"/>
  <c r="L211" i="3" a="1"/>
  <c r="L211" i="3" s="1"/>
  <c r="L212" i="3" a="1"/>
  <c r="L212" i="3"/>
  <c r="L213" i="3" a="1"/>
  <c r="L213" i="3" s="1"/>
  <c r="L214" i="3" a="1"/>
  <c r="L214" i="3" s="1"/>
  <c r="L215" i="3" a="1"/>
  <c r="L215" i="3" s="1"/>
  <c r="L216" i="3" a="1"/>
  <c r="L216" i="3"/>
  <c r="L217" i="3" a="1"/>
  <c r="L217" i="3" s="1"/>
  <c r="L218" i="3" a="1"/>
  <c r="L218" i="3"/>
  <c r="L219" i="3" a="1"/>
  <c r="L219" i="3" s="1"/>
  <c r="L220" i="3" a="1"/>
  <c r="L220" i="3"/>
  <c r="L221" i="3" a="1"/>
  <c r="L221" i="3" s="1"/>
  <c r="L222" i="3" a="1"/>
  <c r="L222" i="3" s="1"/>
  <c r="L223" i="3" a="1"/>
  <c r="L223" i="3" s="1"/>
  <c r="L224" i="3" a="1"/>
  <c r="L224" i="3"/>
  <c r="L225" i="3" a="1"/>
  <c r="L225" i="3" s="1"/>
  <c r="L226" i="3" a="1"/>
  <c r="L226" i="3"/>
  <c r="L227" i="3" a="1"/>
  <c r="L227" i="3" s="1"/>
  <c r="L228" i="3" a="1"/>
  <c r="L228" i="3"/>
  <c r="L229" i="3" a="1"/>
  <c r="L229" i="3" s="1"/>
  <c r="L230" i="3" a="1"/>
  <c r="L230" i="3" s="1"/>
  <c r="L231" i="3" a="1"/>
  <c r="L231" i="3" s="1"/>
  <c r="L232" i="3" a="1"/>
  <c r="L232" i="3"/>
  <c r="L233" i="3" a="1"/>
  <c r="L233" i="3" s="1"/>
  <c r="L234" i="3" a="1"/>
  <c r="L234" i="3"/>
  <c r="L235" i="3" a="1"/>
  <c r="L235" i="3" s="1"/>
  <c r="L236" i="3" a="1"/>
  <c r="L236" i="3"/>
  <c r="L237" i="3" a="1"/>
  <c r="L237" i="3" s="1"/>
  <c r="L238" i="3" a="1"/>
  <c r="L238" i="3" s="1"/>
  <c r="L239" i="3" a="1"/>
  <c r="L239" i="3" s="1"/>
  <c r="L240" i="3" a="1"/>
  <c r="L240" i="3"/>
  <c r="L241" i="3" a="1"/>
  <c r="L241" i="3" s="1"/>
  <c r="L242" i="3" a="1"/>
  <c r="L242" i="3"/>
  <c r="L243" i="3" a="1"/>
  <c r="L243" i="3" s="1"/>
  <c r="L244" i="3" a="1"/>
  <c r="L244" i="3"/>
  <c r="L245" i="3" a="1"/>
  <c r="L245" i="3" s="1"/>
  <c r="L246" i="3" a="1"/>
  <c r="L246" i="3" s="1"/>
  <c r="L247" i="3" a="1"/>
  <c r="L247" i="3" s="1"/>
  <c r="L248" i="3" a="1"/>
  <c r="L248" i="3"/>
  <c r="L249" i="3" a="1"/>
  <c r="L249" i="3" s="1"/>
  <c r="L250" i="3" a="1"/>
  <c r="L250" i="3"/>
  <c r="L251" i="3" a="1"/>
  <c r="L251" i="3" s="1"/>
  <c r="L252" i="3" a="1"/>
  <c r="L252" i="3"/>
  <c r="L253" i="3" a="1"/>
  <c r="L253" i="3" s="1"/>
  <c r="L254" i="3" a="1"/>
  <c r="L254" i="3" s="1"/>
  <c r="L255" i="3" a="1"/>
  <c r="L255" i="3" s="1"/>
  <c r="L256" i="3" a="1"/>
  <c r="L256" i="3"/>
  <c r="L257" i="3" a="1"/>
  <c r="L257" i="3" s="1"/>
  <c r="L258" i="3" a="1"/>
  <c r="L258" i="3"/>
  <c r="L259" i="3" a="1"/>
  <c r="L259" i="3" s="1"/>
  <c r="L260" i="3" a="1"/>
  <c r="L260" i="3"/>
  <c r="L261" i="3" a="1"/>
  <c r="L261" i="3" s="1"/>
  <c r="L262" i="3" a="1"/>
  <c r="L262" i="3" s="1"/>
  <c r="L263" i="3" a="1"/>
  <c r="L263" i="3" s="1"/>
  <c r="L264" i="3" a="1"/>
  <c r="L264" i="3"/>
  <c r="L265" i="3" a="1"/>
  <c r="L265" i="3" s="1"/>
  <c r="L266" i="3" a="1"/>
  <c r="L266" i="3"/>
  <c r="L267" i="3" a="1"/>
  <c r="L267" i="3" s="1"/>
  <c r="L268" i="3" a="1"/>
  <c r="L268" i="3"/>
  <c r="L269" i="3" a="1"/>
  <c r="L269" i="3" s="1"/>
  <c r="L270" i="3" a="1"/>
  <c r="L270" i="3" s="1"/>
  <c r="L271" i="3" a="1"/>
  <c r="L271" i="3" s="1"/>
  <c r="L272" i="3" a="1"/>
  <c r="L272" i="3" s="1"/>
  <c r="L273" i="3" a="1"/>
  <c r="L273" i="3" s="1"/>
  <c r="L274" i="3" a="1"/>
  <c r="L274" i="3"/>
  <c r="L275" i="3" a="1"/>
  <c r="L275" i="3" s="1"/>
  <c r="L276" i="3" a="1"/>
  <c r="L276" i="3"/>
  <c r="L277" i="3" a="1"/>
  <c r="L277" i="3" s="1"/>
  <c r="L278" i="3" a="1"/>
  <c r="L278" i="3" s="1"/>
  <c r="L279" i="3" a="1"/>
  <c r="L279" i="3" s="1"/>
  <c r="L280" i="3" a="1"/>
  <c r="L280" i="3"/>
  <c r="L281" i="3" a="1"/>
  <c r="L281" i="3" s="1"/>
  <c r="L282" i="3" a="1"/>
  <c r="L282" i="3"/>
  <c r="L283" i="3" a="1"/>
  <c r="L283" i="3" s="1"/>
  <c r="L284" i="3" a="1"/>
  <c r="L284" i="3"/>
  <c r="L285" i="3" a="1"/>
  <c r="L285" i="3" s="1"/>
  <c r="L286" i="3" a="1"/>
  <c r="L286" i="3" s="1"/>
  <c r="L287" i="3" a="1"/>
  <c r="L287" i="3" s="1"/>
  <c r="L288" i="3" a="1"/>
  <c r="L288" i="3" s="1"/>
  <c r="L289" i="3" a="1"/>
  <c r="L289" i="3" s="1"/>
  <c r="L290" i="3" a="1"/>
  <c r="L290" i="3"/>
  <c r="L291" i="3" a="1"/>
  <c r="L291" i="3" s="1"/>
  <c r="L292" i="3" a="1"/>
  <c r="L292" i="3"/>
  <c r="L293" i="3" a="1"/>
  <c r="L293" i="3" s="1"/>
  <c r="L294" i="3" a="1"/>
  <c r="L294" i="3" s="1"/>
  <c r="L295" i="3" a="1"/>
  <c r="L295" i="3" s="1"/>
  <c r="L296" i="3" a="1"/>
  <c r="L296" i="3" s="1"/>
  <c r="L297" i="3" a="1"/>
  <c r="L297" i="3" s="1"/>
  <c r="L298" i="3" a="1"/>
  <c r="L298" i="3"/>
  <c r="L299" i="3" a="1"/>
  <c r="L299" i="3" s="1"/>
  <c r="L300" i="3" a="1"/>
  <c r="L300" i="3"/>
  <c r="L301" i="3" a="1"/>
  <c r="L301" i="3" s="1"/>
  <c r="L302" i="3" a="1"/>
  <c r="L302" i="3"/>
  <c r="L303" i="3" a="1"/>
  <c r="L303" i="3" s="1"/>
  <c r="L304" i="3" a="1"/>
  <c r="L304" i="3"/>
  <c r="L305" i="3" a="1"/>
  <c r="L305" i="3" s="1"/>
  <c r="L306" i="3" a="1"/>
  <c r="L306" i="3"/>
  <c r="L307" i="3" a="1"/>
  <c r="L307" i="3" s="1"/>
  <c r="L308" i="3" a="1"/>
  <c r="L308" i="3" s="1"/>
  <c r="L309" i="3" a="1"/>
  <c r="L309" i="3"/>
  <c r="L310" i="3" a="1"/>
  <c r="L310" i="3" s="1"/>
  <c r="L311" i="3" a="1"/>
  <c r="L311" i="3" s="1"/>
  <c r="L312" i="3" a="1"/>
  <c r="L312" i="3" s="1"/>
  <c r="L313" i="3" a="1"/>
  <c r="L313" i="3" s="1"/>
  <c r="L314" i="3" a="1"/>
  <c r="L314" i="3" s="1"/>
  <c r="L315" i="3" a="1"/>
  <c r="L315" i="3" s="1"/>
  <c r="L316" i="3" a="1"/>
  <c r="L316" i="3" s="1"/>
  <c r="L317" i="3" a="1"/>
  <c r="L317" i="3"/>
  <c r="L318" i="3" a="1"/>
  <c r="L318" i="3" s="1"/>
  <c r="L319" i="3" a="1"/>
  <c r="L319" i="3" s="1"/>
  <c r="L320" i="3" a="1"/>
  <c r="L320" i="3" s="1"/>
  <c r="L321" i="3" a="1"/>
  <c r="L321" i="3" s="1"/>
  <c r="L322" i="3" a="1"/>
  <c r="L322" i="3" s="1"/>
  <c r="L323" i="3" a="1"/>
  <c r="L323" i="3" s="1"/>
  <c r="L324" i="3" a="1"/>
  <c r="L324" i="3" s="1"/>
  <c r="L325" i="3" a="1"/>
  <c r="L325" i="3"/>
  <c r="L326" i="3" a="1"/>
  <c r="L326" i="3" s="1"/>
  <c r="L327" i="3" a="1"/>
  <c r="L327" i="3" s="1"/>
  <c r="L328" i="3" a="1"/>
  <c r="L328" i="3" s="1"/>
  <c r="L329" i="3" a="1"/>
  <c r="L329" i="3" s="1"/>
  <c r="L330" i="3" a="1"/>
  <c r="L330" i="3" s="1"/>
  <c r="L331" i="3" a="1"/>
  <c r="L331" i="3" s="1"/>
  <c r="L332" i="3" a="1"/>
  <c r="L332" i="3" s="1"/>
  <c r="L333" i="3" a="1"/>
  <c r="L333" i="3"/>
  <c r="L334" i="3" a="1"/>
  <c r="L334" i="3" s="1"/>
  <c r="L335" i="3" a="1"/>
  <c r="L335" i="3" s="1"/>
  <c r="L336" i="3" a="1"/>
  <c r="L336" i="3" s="1"/>
  <c r="L337" i="3" a="1"/>
  <c r="L337" i="3" s="1"/>
  <c r="L338" i="3" a="1"/>
  <c r="L338" i="3" s="1"/>
  <c r="L339" i="3" a="1"/>
  <c r="L339" i="3" s="1"/>
  <c r="L340" i="3" a="1"/>
  <c r="L340" i="3" s="1"/>
  <c r="L341" i="3" a="1"/>
  <c r="L341" i="3"/>
  <c r="L342" i="3" a="1"/>
  <c r="L342" i="3" s="1"/>
  <c r="L343" i="3" a="1"/>
  <c r="L343" i="3" s="1"/>
  <c r="L344" i="3" a="1"/>
  <c r="L344" i="3" s="1"/>
  <c r="L345" i="3" a="1"/>
  <c r="L345" i="3" s="1"/>
  <c r="L346" i="3" a="1"/>
  <c r="L346" i="3" s="1"/>
  <c r="L347" i="3" a="1"/>
  <c r="L347" i="3" s="1"/>
  <c r="L348" i="3" a="1"/>
  <c r="L348" i="3" s="1"/>
  <c r="L349" i="3" a="1"/>
  <c r="L349" i="3"/>
  <c r="L350" i="3" a="1"/>
  <c r="L350" i="3" s="1"/>
  <c r="L351" i="3" a="1"/>
  <c r="L351" i="3" s="1"/>
  <c r="L352" i="3" a="1"/>
  <c r="L352" i="3" s="1"/>
  <c r="L353" i="3" a="1"/>
  <c r="L353" i="3" s="1"/>
  <c r="L354" i="3" a="1"/>
  <c r="L354" i="3" s="1"/>
  <c r="L355" i="3" a="1"/>
  <c r="L355" i="3" s="1"/>
  <c r="L356" i="3" a="1"/>
  <c r="L356" i="3" s="1"/>
  <c r="L357" i="3" a="1"/>
  <c r="L357" i="3"/>
  <c r="L358" i="3" a="1"/>
  <c r="L358" i="3" s="1"/>
  <c r="L359" i="3" a="1"/>
  <c r="L359" i="3" s="1"/>
  <c r="L360" i="3" a="1"/>
  <c r="L360" i="3" s="1"/>
  <c r="L361" i="3" a="1"/>
  <c r="L361" i="3" s="1"/>
  <c r="L362" i="3" a="1"/>
  <c r="L362" i="3" s="1"/>
  <c r="L363" i="3" a="1"/>
  <c r="L363" i="3" s="1"/>
  <c r="L364" i="3" a="1"/>
  <c r="L364" i="3" s="1"/>
  <c r="L365" i="3" a="1"/>
  <c r="L365" i="3"/>
  <c r="L366" i="3" a="1"/>
  <c r="L366" i="3" s="1"/>
  <c r="L367" i="3" a="1"/>
  <c r="L367" i="3" s="1"/>
  <c r="L368" i="3" a="1"/>
  <c r="L368" i="3" s="1"/>
  <c r="L369" i="3" a="1"/>
  <c r="L369" i="3" s="1"/>
  <c r="L370" i="3" a="1"/>
  <c r="L370" i="3" s="1"/>
  <c r="L371" i="3" a="1"/>
  <c r="L371" i="3" s="1"/>
  <c r="L372" i="3" a="1"/>
  <c r="L372" i="3" s="1"/>
  <c r="L373" i="3" a="1"/>
  <c r="L373" i="3"/>
  <c r="L374" i="3" a="1"/>
  <c r="L374" i="3" s="1"/>
  <c r="L375" i="3" a="1"/>
  <c r="L375" i="3" s="1"/>
  <c r="L376" i="3" a="1"/>
  <c r="L376" i="3" s="1"/>
  <c r="L377" i="3" a="1"/>
  <c r="L377" i="3" s="1"/>
  <c r="L378" i="3" a="1"/>
  <c r="L378" i="3" s="1"/>
  <c r="L379" i="3" a="1"/>
  <c r="L379" i="3" s="1"/>
  <c r="L380" i="3" a="1"/>
  <c r="L380" i="3" s="1"/>
  <c r="L381" i="3" a="1"/>
  <c r="L381" i="3"/>
  <c r="L382" i="3" a="1"/>
  <c r="L382" i="3" s="1"/>
  <c r="L383" i="3" a="1"/>
  <c r="L383" i="3" s="1"/>
  <c r="L384" i="3" a="1"/>
  <c r="L384" i="3" s="1"/>
  <c r="L385" i="3" a="1"/>
  <c r="L385" i="3" s="1"/>
  <c r="L386" i="3" a="1"/>
  <c r="L386" i="3" s="1"/>
  <c r="L387" i="3" a="1"/>
  <c r="L387" i="3" s="1"/>
  <c r="L388" i="3" a="1"/>
  <c r="L388" i="3" s="1"/>
  <c r="L389" i="3" a="1"/>
  <c r="L389" i="3"/>
  <c r="L390" i="3" a="1"/>
  <c r="L390" i="3" s="1"/>
  <c r="L391" i="3" a="1"/>
  <c r="L391" i="3" s="1"/>
  <c r="L392" i="3" a="1"/>
  <c r="L392" i="3" s="1"/>
  <c r="L393" i="3" a="1"/>
  <c r="L393" i="3" s="1"/>
  <c r="L394" i="3" a="1"/>
  <c r="L394" i="3" s="1"/>
  <c r="L395" i="3" a="1"/>
  <c r="L395" i="3" s="1"/>
  <c r="L396" i="3" a="1"/>
  <c r="L396" i="3" s="1"/>
  <c r="L397" i="3" a="1"/>
  <c r="L397" i="3"/>
  <c r="L398" i="3" a="1"/>
  <c r="L398" i="3" s="1"/>
  <c r="L399" i="3" a="1"/>
  <c r="L399" i="3" s="1"/>
  <c r="L400" i="3" a="1"/>
  <c r="L400" i="3" s="1"/>
  <c r="L401" i="3" a="1"/>
  <c r="L401" i="3" s="1"/>
  <c r="L402" i="3" a="1"/>
  <c r="L402" i="3" s="1"/>
  <c r="L403" i="3" a="1"/>
  <c r="L403" i="3" s="1"/>
  <c r="L404" i="3" a="1"/>
  <c r="L404" i="3" s="1"/>
  <c r="L405" i="3" a="1"/>
  <c r="L405" i="3"/>
  <c r="L406" i="3" a="1"/>
  <c r="L406" i="3" s="1"/>
  <c r="L407" i="3" a="1"/>
  <c r="L407" i="3" s="1"/>
  <c r="L408" i="3" a="1"/>
  <c r="L408" i="3" s="1"/>
  <c r="L409" i="3" a="1"/>
  <c r="L409" i="3" s="1"/>
  <c r="L410" i="3" a="1"/>
  <c r="L410" i="3" s="1"/>
  <c r="L411" i="3" a="1"/>
  <c r="L411" i="3" s="1"/>
  <c r="L412" i="3" a="1"/>
  <c r="L412" i="3" s="1"/>
  <c r="L413" i="3" a="1"/>
  <c r="L413" i="3"/>
  <c r="L414" i="3" a="1"/>
  <c r="L414" i="3" s="1"/>
  <c r="L415" i="3" a="1"/>
  <c r="L415" i="3" s="1"/>
  <c r="L416" i="3" a="1"/>
  <c r="L416" i="3" s="1"/>
  <c r="L417" i="3" a="1"/>
  <c r="L417" i="3" s="1"/>
  <c r="L418" i="3" a="1"/>
  <c r="L418" i="3" s="1"/>
  <c r="L419" i="3" a="1"/>
  <c r="L419" i="3" s="1"/>
  <c r="L420" i="3" a="1"/>
  <c r="L420" i="3" s="1"/>
  <c r="L421" i="3" a="1"/>
  <c r="L421" i="3"/>
  <c r="L422" i="3" a="1"/>
  <c r="L422" i="3" s="1"/>
  <c r="L423" i="3" a="1"/>
  <c r="L423" i="3" s="1"/>
  <c r="L424" i="3" a="1"/>
  <c r="L424" i="3" s="1"/>
  <c r="L425" i="3" a="1"/>
  <c r="L425" i="3" s="1"/>
  <c r="L426" i="3" a="1"/>
  <c r="L426" i="3" s="1"/>
  <c r="L427" i="3" a="1"/>
  <c r="L427" i="3" s="1"/>
  <c r="L428" i="3" a="1"/>
  <c r="L428" i="3" s="1"/>
  <c r="L429" i="3" a="1"/>
  <c r="L429" i="3"/>
  <c r="L430" i="3" a="1"/>
  <c r="L430" i="3" s="1"/>
  <c r="L431" i="3" a="1"/>
  <c r="L431" i="3" s="1"/>
  <c r="L432" i="3" a="1"/>
  <c r="L432" i="3" s="1"/>
  <c r="L433" i="3" a="1"/>
  <c r="L433" i="3" s="1"/>
  <c r="L434" i="3" a="1"/>
  <c r="L434" i="3" s="1"/>
  <c r="L435" i="3" a="1"/>
  <c r="L435" i="3" s="1"/>
  <c r="L436" i="3" a="1"/>
  <c r="L436" i="3" s="1"/>
  <c r="L437" i="3" a="1"/>
  <c r="L437" i="3"/>
  <c r="L438" i="3" a="1"/>
  <c r="L438" i="3" s="1"/>
  <c r="L439" i="3" a="1"/>
  <c r="L439" i="3" s="1"/>
  <c r="L440" i="3" a="1"/>
  <c r="L440" i="3" s="1"/>
  <c r="L441" i="3" a="1"/>
  <c r="L441" i="3" s="1"/>
  <c r="L442" i="3" a="1"/>
  <c r="L442" i="3" s="1"/>
  <c r="L443" i="3" a="1"/>
  <c r="L443" i="3" s="1"/>
  <c r="L444" i="3" a="1"/>
  <c r="L444" i="3" s="1"/>
  <c r="L445" i="3" a="1"/>
  <c r="L445" i="3"/>
  <c r="L446" i="3" a="1"/>
  <c r="L446" i="3" s="1"/>
  <c r="L447" i="3" a="1"/>
  <c r="L447" i="3" s="1"/>
  <c r="L448" i="3" a="1"/>
  <c r="L448" i="3" s="1"/>
  <c r="L449" i="3" a="1"/>
  <c r="L449" i="3" s="1"/>
  <c r="L450" i="3" a="1"/>
  <c r="L450" i="3" s="1"/>
  <c r="L451" i="3" a="1"/>
  <c r="L451" i="3" s="1"/>
  <c r="L452" i="3" a="1"/>
  <c r="L452" i="3" s="1"/>
  <c r="L453" i="3" a="1"/>
  <c r="L453" i="3"/>
  <c r="L454" i="3" a="1"/>
  <c r="L454" i="3" s="1"/>
  <c r="L455" i="3" a="1"/>
  <c r="L455" i="3" s="1"/>
  <c r="L456" i="3" a="1"/>
  <c r="L456" i="3" s="1"/>
  <c r="L457" i="3" a="1"/>
  <c r="L457" i="3" s="1"/>
  <c r="L458" i="3" a="1"/>
  <c r="L458" i="3" s="1"/>
  <c r="L459" i="3" a="1"/>
  <c r="L459" i="3" s="1"/>
  <c r="L460" i="3" a="1"/>
  <c r="L460" i="3" s="1"/>
  <c r="L461" i="3" a="1"/>
  <c r="L461" i="3"/>
  <c r="L462" i="3" a="1"/>
  <c r="L462" i="3" s="1"/>
  <c r="L463" i="3" a="1"/>
  <c r="L463" i="3" s="1"/>
  <c r="L464" i="3" a="1"/>
  <c r="L464" i="3" s="1"/>
  <c r="L465" i="3" a="1"/>
  <c r="L465" i="3"/>
  <c r="L466" i="3" a="1"/>
  <c r="L466" i="3" s="1"/>
  <c r="L467" i="3" a="1"/>
  <c r="L467" i="3" s="1"/>
  <c r="L468" i="3" a="1"/>
  <c r="L468" i="3" s="1"/>
  <c r="L469" i="3" a="1"/>
  <c r="L469" i="3"/>
  <c r="L470" i="3" a="1"/>
  <c r="L470" i="3" s="1"/>
  <c r="L471" i="3" a="1"/>
  <c r="L471" i="3" s="1"/>
  <c r="L472" i="3" a="1"/>
  <c r="L472" i="3" s="1"/>
  <c r="L473" i="3" a="1"/>
  <c r="L473" i="3"/>
  <c r="L474" i="3" a="1"/>
  <c r="L474" i="3" s="1"/>
  <c r="L475" i="3" a="1"/>
  <c r="L475" i="3" s="1"/>
  <c r="L476" i="3" a="1"/>
  <c r="L476" i="3" s="1"/>
  <c r="L477" i="3" a="1"/>
  <c r="L477" i="3"/>
  <c r="L478" i="3" a="1"/>
  <c r="L478" i="3" s="1"/>
  <c r="L479" i="3" a="1"/>
  <c r="L479" i="3" s="1"/>
  <c r="L480" i="3" a="1"/>
  <c r="L480" i="3" s="1"/>
  <c r="L481" i="3" a="1"/>
  <c r="L481" i="3"/>
  <c r="L482" i="3" a="1"/>
  <c r="L482" i="3" s="1"/>
  <c r="L483" i="3" a="1"/>
  <c r="L483" i="3" s="1"/>
  <c r="L484" i="3" a="1"/>
  <c r="L484" i="3" s="1"/>
  <c r="L485" i="3" a="1"/>
  <c r="L485" i="3"/>
  <c r="L486" i="3" a="1"/>
  <c r="L486" i="3" s="1"/>
  <c r="L487" i="3" a="1"/>
  <c r="L487" i="3" s="1"/>
  <c r="L488" i="3" a="1"/>
  <c r="L488" i="3" s="1"/>
  <c r="L489" i="3" a="1"/>
  <c r="L489" i="3"/>
  <c r="L490" i="3" a="1"/>
  <c r="L490" i="3" s="1"/>
  <c r="L491" i="3" a="1"/>
  <c r="L491" i="3" s="1"/>
  <c r="L492" i="3" a="1"/>
  <c r="L492" i="3" s="1"/>
  <c r="L493" i="3" a="1"/>
  <c r="L493" i="3"/>
  <c r="L494" i="3" a="1"/>
  <c r="L494" i="3" s="1"/>
  <c r="L495" i="3" a="1"/>
  <c r="L495" i="3" s="1"/>
  <c r="L496" i="3" a="1"/>
  <c r="L496" i="3" s="1"/>
  <c r="L497" i="3" a="1"/>
  <c r="L497" i="3"/>
  <c r="L498" i="3" a="1"/>
  <c r="L498" i="3" s="1"/>
  <c r="L499" i="3" a="1"/>
  <c r="L499" i="3" s="1"/>
  <c r="L500" i="3" a="1"/>
  <c r="L500" i="3" s="1"/>
  <c r="L501" i="3" a="1"/>
  <c r="L501" i="3"/>
  <c r="L502" i="3" a="1"/>
  <c r="L502" i="3" s="1"/>
  <c r="L503" i="3" a="1"/>
  <c r="L503" i="3" s="1"/>
  <c r="L504" i="3" a="1"/>
  <c r="L504" i="3" s="1"/>
  <c r="L505" i="3" a="1"/>
  <c r="L505" i="3"/>
  <c r="L506" i="3" a="1"/>
  <c r="L506" i="3" s="1"/>
  <c r="L507" i="3" a="1"/>
  <c r="L507" i="3" s="1"/>
  <c r="L508" i="3" a="1"/>
  <c r="L508" i="3" s="1"/>
  <c r="L509" i="3" a="1"/>
  <c r="L509" i="3"/>
  <c r="L510" i="3" a="1"/>
  <c r="L510" i="3" s="1"/>
  <c r="L511" i="3" a="1"/>
  <c r="L511" i="3" s="1"/>
  <c r="L512" i="3" a="1"/>
  <c r="L512" i="3" s="1"/>
  <c r="L513" i="3" a="1"/>
  <c r="L513" i="3"/>
  <c r="L514" i="3" a="1"/>
  <c r="L514" i="3" s="1"/>
  <c r="L515" i="3" a="1"/>
  <c r="L515" i="3" s="1"/>
  <c r="L516" i="3" a="1"/>
  <c r="L516" i="3" s="1"/>
  <c r="L517" i="3" a="1"/>
  <c r="L517" i="3"/>
  <c r="L518" i="3" a="1"/>
  <c r="L518" i="3" s="1"/>
  <c r="L519" i="3" a="1"/>
  <c r="L519" i="3" s="1"/>
  <c r="L520" i="3" a="1"/>
  <c r="L520" i="3" s="1"/>
  <c r="L521" i="3" a="1"/>
  <c r="L521" i="3"/>
  <c r="L522" i="3" a="1"/>
  <c r="L522" i="3" s="1"/>
  <c r="L523" i="3" a="1"/>
  <c r="L523" i="3" s="1"/>
  <c r="L524" i="3" a="1"/>
  <c r="L524" i="3" s="1"/>
  <c r="L525" i="3" a="1"/>
  <c r="L525" i="3"/>
  <c r="L526" i="3" a="1"/>
  <c r="L526" i="3" s="1"/>
  <c r="L527" i="3" a="1"/>
  <c r="L527" i="3" s="1"/>
  <c r="L528" i="3" a="1"/>
  <c r="L528" i="3" s="1"/>
  <c r="L529" i="3" a="1"/>
  <c r="L529" i="3"/>
  <c r="L530" i="3" a="1"/>
  <c r="L530" i="3" s="1"/>
  <c r="L531" i="3" a="1"/>
  <c r="L531" i="3" s="1"/>
  <c r="L532" i="3" a="1"/>
  <c r="L532" i="3" s="1"/>
  <c r="L533" i="3" a="1"/>
  <c r="L533" i="3"/>
  <c r="L534" i="3" a="1"/>
  <c r="L534" i="3" s="1"/>
  <c r="L535" i="3" a="1"/>
  <c r="L535" i="3" s="1"/>
  <c r="L536" i="3" a="1"/>
  <c r="L536" i="3" s="1"/>
  <c r="L537" i="3" a="1"/>
  <c r="L537" i="3"/>
  <c r="L538" i="3" a="1"/>
  <c r="L538" i="3" s="1"/>
  <c r="L539" i="3" a="1"/>
  <c r="L539" i="3" s="1"/>
  <c r="L540" i="3" a="1"/>
  <c r="L540" i="3" s="1"/>
  <c r="L541" i="3" a="1"/>
  <c r="L541" i="3"/>
  <c r="L542" i="3" a="1"/>
  <c r="L542" i="3" s="1"/>
  <c r="L543" i="3" a="1"/>
  <c r="L543" i="3" s="1"/>
  <c r="L544" i="3" a="1"/>
  <c r="L544" i="3" s="1"/>
  <c r="L545" i="3" a="1"/>
  <c r="L545" i="3"/>
  <c r="L546" i="3" a="1"/>
  <c r="L546" i="3" s="1"/>
  <c r="L547" i="3" a="1"/>
  <c r="L547" i="3" s="1"/>
  <c r="L548" i="3" a="1"/>
  <c r="L548" i="3" s="1"/>
  <c r="L549" i="3" a="1"/>
  <c r="L549" i="3"/>
  <c r="L550" i="3" a="1"/>
  <c r="L550" i="3" s="1"/>
  <c r="L551" i="3" a="1"/>
  <c r="L551" i="3" s="1"/>
  <c r="L552" i="3" a="1"/>
  <c r="L552" i="3" s="1"/>
  <c r="L553" i="3" a="1"/>
  <c r="L553" i="3"/>
  <c r="L554" i="3" a="1"/>
  <c r="L554" i="3" s="1"/>
  <c r="L555" i="3" a="1"/>
  <c r="L555" i="3" s="1"/>
  <c r="L556" i="3" a="1"/>
  <c r="L556" i="3" s="1"/>
  <c r="L557" i="3" a="1"/>
  <c r="L557" i="3"/>
  <c r="L558" i="3" a="1"/>
  <c r="L558" i="3" s="1"/>
  <c r="L559" i="3" a="1"/>
  <c r="L559" i="3" s="1"/>
  <c r="L560" i="3" a="1"/>
  <c r="L560" i="3" s="1"/>
  <c r="L561" i="3" a="1"/>
  <c r="L561" i="3"/>
  <c r="L562" i="3" a="1"/>
  <c r="L562" i="3" s="1"/>
  <c r="L563" i="3" a="1"/>
  <c r="L563" i="3" s="1"/>
  <c r="L564" i="3" a="1"/>
  <c r="L564" i="3" s="1"/>
  <c r="L565" i="3" a="1"/>
  <c r="L565" i="3"/>
  <c r="L566" i="3" a="1"/>
  <c r="L566" i="3" s="1"/>
  <c r="L567" i="3" a="1"/>
  <c r="L567" i="3" s="1"/>
  <c r="L568" i="3" a="1"/>
  <c r="L568" i="3" s="1"/>
  <c r="L569" i="3" a="1"/>
  <c r="L569" i="3"/>
  <c r="L570" i="3" a="1"/>
  <c r="L570" i="3" s="1"/>
  <c r="L571" i="3" a="1"/>
  <c r="L571" i="3" s="1"/>
  <c r="L572" i="3" a="1"/>
  <c r="L572" i="3" s="1"/>
  <c r="L573" i="3" a="1"/>
  <c r="L573" i="3"/>
  <c r="L574" i="3" a="1"/>
  <c r="L574" i="3" s="1"/>
  <c r="L575" i="3" a="1"/>
  <c r="L575" i="3" s="1"/>
  <c r="L576" i="3" a="1"/>
  <c r="L576" i="3" s="1"/>
  <c r="L577" i="3" a="1"/>
  <c r="L577" i="3"/>
  <c r="L578" i="3" a="1"/>
  <c r="L578" i="3" s="1"/>
  <c r="L579" i="3" a="1"/>
  <c r="L579" i="3" s="1"/>
  <c r="L580" i="3" a="1"/>
  <c r="L580" i="3" s="1"/>
  <c r="L581" i="3" a="1"/>
  <c r="L581" i="3"/>
  <c r="L582" i="3" a="1"/>
  <c r="L582" i="3" s="1"/>
  <c r="L583" i="3" a="1"/>
  <c r="L583" i="3" s="1"/>
  <c r="L584" i="3" a="1"/>
  <c r="L584" i="3" s="1"/>
  <c r="L585" i="3" a="1"/>
  <c r="L585" i="3"/>
  <c r="L586" i="3" a="1"/>
  <c r="L586" i="3" s="1"/>
  <c r="L587" i="3" a="1"/>
  <c r="L587" i="3" s="1"/>
  <c r="L588" i="3" a="1"/>
  <c r="L588" i="3" s="1"/>
  <c r="L589" i="3" a="1"/>
  <c r="L589" i="3"/>
  <c r="L590" i="3" a="1"/>
  <c r="L590" i="3" s="1"/>
  <c r="L591" i="3" a="1"/>
  <c r="L591" i="3" s="1"/>
  <c r="L592" i="3" a="1"/>
  <c r="L592" i="3" s="1"/>
  <c r="L593" i="3" a="1"/>
  <c r="L593" i="3"/>
  <c r="L594" i="3" a="1"/>
  <c r="L594" i="3" s="1"/>
  <c r="L595" i="3" a="1"/>
  <c r="L595" i="3" s="1"/>
  <c r="L596" i="3" a="1"/>
  <c r="L596" i="3" s="1"/>
  <c r="L597" i="3" a="1"/>
  <c r="L597" i="3"/>
  <c r="L598" i="3" a="1"/>
  <c r="L598" i="3" s="1"/>
  <c r="L599" i="3" a="1"/>
  <c r="L599" i="3" s="1"/>
  <c r="L600" i="3" a="1"/>
  <c r="L600" i="3" s="1"/>
  <c r="L601" i="3" a="1"/>
  <c r="L601" i="3"/>
  <c r="L602" i="3" a="1"/>
  <c r="L602" i="3" s="1"/>
  <c r="L603" i="3" a="1"/>
  <c r="L603" i="3" s="1"/>
  <c r="L604" i="3" a="1"/>
  <c r="L604" i="3" s="1"/>
  <c r="L605" i="3" a="1"/>
  <c r="L605" i="3"/>
  <c r="L606" i="3" a="1"/>
  <c r="L606" i="3" s="1"/>
  <c r="L607" i="3" a="1"/>
  <c r="L607" i="3" s="1"/>
  <c r="L608" i="3" a="1"/>
  <c r="L608" i="3" s="1"/>
  <c r="L609" i="3" a="1"/>
  <c r="L609" i="3"/>
  <c r="L610" i="3" a="1"/>
  <c r="L610" i="3" s="1"/>
  <c r="L611" i="3" a="1"/>
  <c r="L611" i="3" s="1"/>
  <c r="L612" i="3" a="1"/>
  <c r="L612" i="3" s="1"/>
  <c r="L613" i="3" a="1"/>
  <c r="L613" i="3"/>
  <c r="L614" i="3" a="1"/>
  <c r="L614" i="3" s="1"/>
  <c r="L615" i="3" a="1"/>
  <c r="L615" i="3" s="1"/>
  <c r="L616" i="3" a="1"/>
  <c r="L616" i="3" s="1"/>
  <c r="L617" i="3" a="1"/>
  <c r="L617" i="3"/>
  <c r="L618" i="3" a="1"/>
  <c r="L618" i="3" s="1"/>
  <c r="L619" i="3" a="1"/>
  <c r="L619" i="3" s="1"/>
  <c r="L620" i="3" a="1"/>
  <c r="L620" i="3" s="1"/>
  <c r="L621" i="3" a="1"/>
  <c r="L621" i="3"/>
  <c r="L622" i="3" a="1"/>
  <c r="L622" i="3" s="1"/>
  <c r="L623" i="3" a="1"/>
  <c r="L623" i="3" s="1"/>
  <c r="L624" i="3" a="1"/>
  <c r="L624" i="3" s="1"/>
  <c r="L625" i="3" a="1"/>
  <c r="L625" i="3"/>
  <c r="L626" i="3" a="1"/>
  <c r="L626" i="3" s="1"/>
  <c r="L627" i="3" a="1"/>
  <c r="L627" i="3" s="1"/>
  <c r="L628" i="3" a="1"/>
  <c r="L628" i="3" s="1"/>
  <c r="L629" i="3" a="1"/>
  <c r="L629" i="3"/>
  <c r="L630" i="3" a="1"/>
  <c r="L630" i="3" s="1"/>
  <c r="L631" i="3" a="1"/>
  <c r="L631" i="3" s="1"/>
  <c r="L632" i="3" a="1"/>
  <c r="L632" i="3" s="1"/>
  <c r="L633" i="3" a="1"/>
  <c r="L633" i="3"/>
  <c r="L634" i="3" a="1"/>
  <c r="L634" i="3" s="1"/>
  <c r="L635" i="3" a="1"/>
  <c r="L635" i="3" s="1"/>
  <c r="L636" i="3" a="1"/>
  <c r="L636" i="3" s="1"/>
  <c r="L637" i="3" a="1"/>
  <c r="L637" i="3"/>
  <c r="L638" i="3" a="1"/>
  <c r="L638" i="3" s="1"/>
  <c r="L639" i="3" a="1"/>
  <c r="L639" i="3" s="1"/>
  <c r="L640" i="3" a="1"/>
  <c r="L640" i="3" s="1"/>
  <c r="L641" i="3" a="1"/>
  <c r="L641" i="3"/>
  <c r="L642" i="3" a="1"/>
  <c r="L642" i="3" s="1"/>
  <c r="L643" i="3" a="1"/>
  <c r="L643" i="3" s="1"/>
  <c r="L644" i="3" a="1"/>
  <c r="L644" i="3" s="1"/>
  <c r="L645" i="3" a="1"/>
  <c r="L645" i="3"/>
  <c r="L646" i="3" a="1"/>
  <c r="L646" i="3"/>
  <c r="L647" i="3" a="1"/>
  <c r="L647" i="3"/>
  <c r="L648" i="3" a="1"/>
  <c r="L648" i="3"/>
  <c r="L649" i="3" a="1"/>
  <c r="L649" i="3"/>
  <c r="L650" i="3" a="1"/>
  <c r="L650" i="3"/>
  <c r="L651" i="3" a="1"/>
  <c r="L651" i="3"/>
  <c r="L652" i="3" a="1"/>
  <c r="L652" i="3"/>
  <c r="L653" i="3" a="1"/>
  <c r="L653" i="3"/>
  <c r="L654" i="3" a="1"/>
  <c r="L654" i="3"/>
  <c r="L655" i="3" a="1"/>
  <c r="L655" i="3"/>
  <c r="L656" i="3" a="1"/>
  <c r="L656" i="3"/>
  <c r="L657" i="3" a="1"/>
  <c r="L657" i="3"/>
  <c r="L658" i="3" a="1"/>
  <c r="L658" i="3"/>
  <c r="L659" i="3" a="1"/>
  <c r="L659" i="3"/>
  <c r="L660" i="3" a="1"/>
  <c r="L660" i="3"/>
  <c r="L661" i="3" a="1"/>
  <c r="L661" i="3"/>
  <c r="L662" i="3" a="1"/>
  <c r="L662" i="3" s="1"/>
  <c r="L663" i="3" a="1"/>
  <c r="L663" i="3"/>
  <c r="L664" i="3" a="1"/>
  <c r="L664" i="3" s="1"/>
  <c r="L665" i="3" a="1"/>
  <c r="L665" i="3"/>
  <c r="L666" i="3" a="1"/>
  <c r="L666" i="3" s="1"/>
  <c r="L667" i="3" a="1"/>
  <c r="L667" i="3"/>
  <c r="L668" i="3" a="1"/>
  <c r="L668" i="3" s="1"/>
  <c r="L669" i="3" a="1"/>
  <c r="L669" i="3"/>
  <c r="L670" i="3" a="1"/>
  <c r="L670" i="3" s="1"/>
  <c r="L671" i="3" a="1"/>
  <c r="L671" i="3"/>
  <c r="L672" i="3" a="1"/>
  <c r="L672" i="3" s="1"/>
  <c r="L673" i="3" a="1"/>
  <c r="L673" i="3"/>
  <c r="L674" i="3" a="1"/>
  <c r="L674" i="3" s="1"/>
  <c r="L675" i="3" a="1"/>
  <c r="L675" i="3"/>
  <c r="L676" i="3" a="1"/>
  <c r="L676" i="3" s="1"/>
  <c r="L677" i="3" a="1"/>
  <c r="L677" i="3" s="1"/>
  <c r="L678" i="3" a="1"/>
  <c r="L678" i="3"/>
  <c r="L679" i="3" a="1"/>
  <c r="L679" i="3" s="1"/>
  <c r="L680" i="3" a="1"/>
  <c r="L680" i="3"/>
  <c r="L681" i="3" a="1"/>
  <c r="L681" i="3" s="1"/>
  <c r="L682" i="3" a="1"/>
  <c r="L682" i="3" s="1"/>
  <c r="L683" i="3" a="1"/>
  <c r="L683" i="3" s="1"/>
  <c r="L684" i="3" a="1"/>
  <c r="L684" i="3" s="1"/>
  <c r="L685" i="3" a="1"/>
  <c r="L685" i="3" s="1"/>
  <c r="L686" i="3" a="1"/>
  <c r="L686" i="3"/>
  <c r="L687" i="3" a="1"/>
  <c r="L687" i="3" s="1"/>
  <c r="L688" i="3" a="1"/>
  <c r="L688" i="3"/>
  <c r="L689" i="3" a="1"/>
  <c r="L689" i="3" s="1"/>
  <c r="L690" i="3" a="1"/>
  <c r="L690" i="3" s="1"/>
  <c r="L691" i="3" a="1"/>
  <c r="L691" i="3" s="1"/>
  <c r="L692" i="3" a="1"/>
  <c r="L692" i="3" s="1"/>
  <c r="L693" i="3" a="1"/>
  <c r="L693" i="3" s="1"/>
  <c r="L694" i="3" a="1"/>
  <c r="L694" i="3"/>
  <c r="L695" i="3" a="1"/>
  <c r="L695" i="3" s="1"/>
  <c r="L696" i="3" a="1"/>
  <c r="L696" i="3"/>
  <c r="L697" i="3" a="1"/>
  <c r="L697" i="3" s="1"/>
  <c r="L698" i="3" a="1"/>
  <c r="L698" i="3" s="1"/>
  <c r="L699" i="3" a="1"/>
  <c r="L699" i="3" s="1"/>
  <c r="L700" i="3" a="1"/>
  <c r="L700" i="3" s="1"/>
  <c r="L701" i="3" a="1"/>
  <c r="L701" i="3" s="1"/>
  <c r="L702" i="3" a="1"/>
  <c r="L702" i="3"/>
  <c r="L703" i="3" a="1"/>
  <c r="L703" i="3" s="1"/>
  <c r="L704" i="3" a="1"/>
  <c r="L704" i="3"/>
  <c r="L705" i="3" a="1"/>
  <c r="L705" i="3" s="1"/>
  <c r="L706" i="3" a="1"/>
  <c r="L706" i="3" s="1"/>
  <c r="L707" i="3" a="1"/>
  <c r="L707" i="3" s="1"/>
  <c r="L708" i="3" a="1"/>
  <c r="L708" i="3" s="1"/>
  <c r="L709" i="3" a="1"/>
  <c r="L709" i="3" s="1"/>
  <c r="L710" i="3" a="1"/>
  <c r="L710" i="3"/>
  <c r="L711" i="3" a="1"/>
  <c r="L711" i="3" s="1"/>
  <c r="L712" i="3" a="1"/>
  <c r="L712" i="3"/>
  <c r="L713" i="3" a="1"/>
  <c r="L713" i="3" s="1"/>
  <c r="L714" i="3" a="1"/>
  <c r="L714" i="3" s="1"/>
  <c r="L715" i="3" a="1"/>
  <c r="L715" i="3" s="1"/>
  <c r="L716" i="3" a="1"/>
  <c r="L716" i="3" s="1"/>
  <c r="L717" i="3" a="1"/>
  <c r="L717" i="3" s="1"/>
  <c r="L718" i="3" a="1"/>
  <c r="L718" i="3"/>
  <c r="L719" i="3" a="1"/>
  <c r="L719" i="3" s="1"/>
  <c r="L720" i="3" a="1"/>
  <c r="L720" i="3"/>
  <c r="L721" i="3" a="1"/>
  <c r="L721" i="3" s="1"/>
  <c r="L722" i="3" a="1"/>
  <c r="L722" i="3" s="1"/>
  <c r="L723" i="3" a="1"/>
  <c r="L723" i="3" s="1"/>
  <c r="L724" i="3" a="1"/>
  <c r="L724" i="3" s="1"/>
  <c r="L725" i="3" a="1"/>
  <c r="L725" i="3" s="1"/>
  <c r="L726" i="3" a="1"/>
  <c r="L726" i="3"/>
  <c r="L727" i="3" a="1"/>
  <c r="L727" i="3" s="1"/>
  <c r="L728" i="3" a="1"/>
  <c r="L728" i="3"/>
  <c r="L729" i="3" a="1"/>
  <c r="L729" i="3" s="1"/>
  <c r="L730" i="3" a="1"/>
  <c r="L730" i="3" s="1"/>
  <c r="L731" i="3" a="1"/>
  <c r="L731" i="3" s="1"/>
  <c r="L732" i="3" a="1"/>
  <c r="L732" i="3" s="1"/>
  <c r="L733" i="3" a="1"/>
  <c r="L733" i="3" s="1"/>
  <c r="L734" i="3" a="1"/>
  <c r="L734" i="3"/>
  <c r="L735" i="3" a="1"/>
  <c r="L735" i="3" s="1"/>
  <c r="L736" i="3" a="1"/>
  <c r="L736" i="3"/>
  <c r="L737" i="3" a="1"/>
  <c r="L737" i="3" s="1"/>
  <c r="L738" i="3" a="1"/>
  <c r="L738" i="3" s="1"/>
  <c r="L739" i="3" a="1"/>
  <c r="L739" i="3" s="1"/>
  <c r="L740" i="3" a="1"/>
  <c r="L740" i="3" s="1"/>
  <c r="L741" i="3" a="1"/>
  <c r="L741" i="3" s="1"/>
  <c r="L742" i="3" a="1"/>
  <c r="L742" i="3"/>
  <c r="L743" i="3" a="1"/>
  <c r="L743" i="3" s="1"/>
  <c r="L744" i="3" a="1"/>
  <c r="L744" i="3"/>
  <c r="L745" i="3" a="1"/>
  <c r="L745" i="3" s="1"/>
  <c r="L746" i="3" a="1"/>
  <c r="L746" i="3" s="1"/>
  <c r="L747" i="3" a="1"/>
  <c r="L747" i="3" s="1"/>
  <c r="L748" i="3" a="1"/>
  <c r="L748" i="3" s="1"/>
  <c r="L749" i="3" a="1"/>
  <c r="L749" i="3" s="1"/>
  <c r="L750" i="3" a="1"/>
  <c r="L750" i="3"/>
  <c r="L751" i="3" a="1"/>
  <c r="L751" i="3" s="1"/>
  <c r="L752" i="3" a="1"/>
  <c r="L752" i="3"/>
  <c r="L753" i="3" a="1"/>
  <c r="L753" i="3" s="1"/>
  <c r="L754" i="3" a="1"/>
  <c r="L754" i="3" s="1"/>
  <c r="L755" i="3" a="1"/>
  <c r="L755" i="3" s="1"/>
  <c r="L756" i="3" a="1"/>
  <c r="L756" i="3" s="1"/>
  <c r="L757" i="3" a="1"/>
  <c r="L757" i="3" s="1"/>
  <c r="L758" i="3" a="1"/>
  <c r="L758" i="3"/>
  <c r="L759" i="3" a="1"/>
  <c r="L759" i="3" s="1"/>
  <c r="L760" i="3" a="1"/>
  <c r="L760" i="3"/>
  <c r="L761" i="3" a="1"/>
  <c r="L761" i="3" s="1"/>
  <c r="L762" i="3" a="1"/>
  <c r="L762" i="3" s="1"/>
  <c r="L763" i="3" a="1"/>
  <c r="L763" i="3" s="1"/>
  <c r="L764" i="3" a="1"/>
  <c r="L764" i="3" s="1"/>
  <c r="L765" i="3" a="1"/>
  <c r="L765" i="3" s="1"/>
  <c r="L766" i="3" a="1"/>
  <c r="L766" i="3"/>
  <c r="L767" i="3" a="1"/>
  <c r="L767" i="3" s="1"/>
  <c r="L768" i="3" a="1"/>
  <c r="L768" i="3"/>
  <c r="L769" i="3" a="1"/>
  <c r="L769" i="3" s="1"/>
  <c r="L770" i="3" a="1"/>
  <c r="L770" i="3" s="1"/>
  <c r="L771" i="3" a="1"/>
  <c r="L771" i="3" s="1"/>
  <c r="L772" i="3" a="1"/>
  <c r="L772" i="3" s="1"/>
  <c r="L773" i="3" a="1"/>
  <c r="L773" i="3" s="1"/>
  <c r="L774" i="3" a="1"/>
  <c r="L774" i="3"/>
  <c r="L775" i="3" a="1"/>
  <c r="L775" i="3" s="1"/>
  <c r="L776" i="3" a="1"/>
  <c r="L776" i="3"/>
  <c r="L777" i="3" a="1"/>
  <c r="L777" i="3" s="1"/>
  <c r="L778" i="3" a="1"/>
  <c r="L778" i="3" s="1"/>
  <c r="L779" i="3" a="1"/>
  <c r="L779" i="3" s="1"/>
  <c r="L780" i="3" a="1"/>
  <c r="L780" i="3" s="1"/>
  <c r="L781" i="3" a="1"/>
  <c r="L781" i="3" s="1"/>
  <c r="L782" i="3" a="1"/>
  <c r="L782" i="3"/>
  <c r="L783" i="3" a="1"/>
  <c r="L783" i="3" s="1"/>
  <c r="L784" i="3" a="1"/>
  <c r="L784" i="3"/>
  <c r="L785" i="3" a="1"/>
  <c r="L785" i="3" s="1"/>
  <c r="L786" i="3" a="1"/>
  <c r="L786" i="3" s="1"/>
  <c r="L787" i="3" a="1"/>
  <c r="L787" i="3" s="1"/>
  <c r="L788" i="3" a="1"/>
  <c r="L788" i="3" s="1"/>
  <c r="L789" i="3" a="1"/>
  <c r="L789" i="3" s="1"/>
  <c r="L790" i="3" a="1"/>
  <c r="L790" i="3"/>
  <c r="L791" i="3" a="1"/>
  <c r="L791" i="3" s="1"/>
  <c r="L792" i="3" a="1"/>
  <c r="L792" i="3"/>
  <c r="L793" i="3" a="1"/>
  <c r="L793" i="3" s="1"/>
  <c r="L794" i="3" a="1"/>
  <c r="L794" i="3" s="1"/>
  <c r="L795" i="3" a="1"/>
  <c r="L795" i="3" s="1"/>
  <c r="L796" i="3" a="1"/>
  <c r="L796" i="3" s="1"/>
  <c r="L797" i="3" a="1"/>
  <c r="L797" i="3" s="1"/>
  <c r="L798" i="3" a="1"/>
  <c r="L798" i="3"/>
  <c r="L799" i="3" a="1"/>
  <c r="L799" i="3" s="1"/>
  <c r="L800" i="3" a="1"/>
  <c r="L800" i="3"/>
  <c r="L801" i="3" a="1"/>
  <c r="L801" i="3" s="1"/>
  <c r="L802" i="3" a="1"/>
  <c r="L802" i="3" s="1"/>
  <c r="L803" i="3" a="1"/>
  <c r="L803" i="3" s="1"/>
  <c r="L804" i="3" a="1"/>
  <c r="L804" i="3" s="1"/>
  <c r="L805" i="3" a="1"/>
  <c r="L805" i="3" s="1"/>
  <c r="L806" i="3" a="1"/>
  <c r="L806" i="3"/>
  <c r="L807" i="3" a="1"/>
  <c r="L807" i="3" s="1"/>
  <c r="L808" i="3" a="1"/>
  <c r="L808" i="3"/>
  <c r="L809" i="3" a="1"/>
  <c r="L809" i="3" s="1"/>
  <c r="L810" i="3" a="1"/>
  <c r="L810" i="3" s="1"/>
  <c r="L811" i="3" a="1"/>
  <c r="L811" i="3" s="1"/>
  <c r="L812" i="3" a="1"/>
  <c r="L812" i="3" s="1"/>
  <c r="L813" i="3" a="1"/>
  <c r="L813" i="3" s="1"/>
  <c r="L814" i="3" a="1"/>
  <c r="L814" i="3"/>
  <c r="L815" i="3" a="1"/>
  <c r="L815" i="3" s="1"/>
  <c r="L816" i="3" a="1"/>
  <c r="L816" i="3"/>
  <c r="L817" i="3" a="1"/>
  <c r="L817" i="3" s="1"/>
  <c r="L818" i="3" a="1"/>
  <c r="L818" i="3" s="1"/>
  <c r="L819" i="3" a="1"/>
  <c r="L819" i="3" s="1"/>
  <c r="L820" i="3" a="1"/>
  <c r="L820" i="3" s="1"/>
  <c r="L821" i="3" a="1"/>
  <c r="L821" i="3" s="1"/>
  <c r="L822" i="3" a="1"/>
  <c r="L822" i="3"/>
  <c r="L823" i="3" a="1"/>
  <c r="L823" i="3" s="1"/>
  <c r="L824" i="3" a="1"/>
  <c r="L824" i="3"/>
  <c r="L825" i="3" a="1"/>
  <c r="L825" i="3" s="1"/>
  <c r="L826" i="3" a="1"/>
  <c r="L826" i="3" s="1"/>
  <c r="L827" i="3" a="1"/>
  <c r="L827" i="3" s="1"/>
  <c r="L828" i="3" a="1"/>
  <c r="L828" i="3" s="1"/>
  <c r="L829" i="3" a="1"/>
  <c r="L829" i="3" s="1"/>
  <c r="L830" i="3" a="1"/>
  <c r="L830" i="3"/>
  <c r="L831" i="3" a="1"/>
  <c r="L831" i="3" s="1"/>
  <c r="L832" i="3" a="1"/>
  <c r="L832" i="3"/>
  <c r="L833" i="3" a="1"/>
  <c r="L833" i="3" s="1"/>
  <c r="L834" i="3" a="1"/>
  <c r="L834" i="3" s="1"/>
  <c r="L835" i="3" a="1"/>
  <c r="L835" i="3" s="1"/>
  <c r="L836" i="3" a="1"/>
  <c r="L836" i="3" s="1"/>
  <c r="L837" i="3" a="1"/>
  <c r="L837" i="3" s="1"/>
  <c r="L838" i="3" a="1"/>
  <c r="L838" i="3"/>
  <c r="L839" i="3" a="1"/>
  <c r="L839" i="3" s="1"/>
  <c r="L840" i="3" a="1"/>
  <c r="L840" i="3"/>
  <c r="L841" i="3" a="1"/>
  <c r="L841" i="3" s="1"/>
  <c r="L842" i="3" a="1"/>
  <c r="L842" i="3" s="1"/>
  <c r="L843" i="3" a="1"/>
  <c r="L843" i="3" s="1"/>
  <c r="L844" i="3" a="1"/>
  <c r="L844" i="3" s="1"/>
  <c r="L845" i="3" a="1"/>
  <c r="L845" i="3"/>
  <c r="L846" i="3" a="1"/>
  <c r="L846" i="3" s="1"/>
  <c r="L847" i="3" a="1"/>
  <c r="L847" i="3"/>
  <c r="L848" i="3" a="1"/>
  <c r="L848" i="3" s="1"/>
  <c r="L849" i="3" a="1"/>
  <c r="L849" i="3"/>
  <c r="L850" i="3" a="1"/>
  <c r="L850" i="3" s="1"/>
  <c r="L851" i="3" a="1"/>
  <c r="L851" i="3"/>
  <c r="L852" i="3" a="1"/>
  <c r="L852" i="3" s="1"/>
  <c r="L853" i="3" a="1"/>
  <c r="L853" i="3" s="1"/>
  <c r="L854" i="3" a="1"/>
  <c r="L854" i="3" s="1"/>
  <c r="L855" i="3" a="1"/>
  <c r="L855" i="3"/>
  <c r="L856" i="3" a="1"/>
  <c r="L856" i="3" s="1"/>
  <c r="L857" i="3" a="1"/>
  <c r="L857" i="3" s="1"/>
  <c r="L858" i="3" a="1"/>
  <c r="L858" i="3" s="1"/>
  <c r="L859" i="3" a="1"/>
  <c r="L859" i="3"/>
  <c r="L860" i="3" a="1"/>
  <c r="L860" i="3" s="1"/>
  <c r="L861" i="3" a="1"/>
  <c r="L861" i="3" s="1"/>
  <c r="L862" i="3" a="1"/>
  <c r="L862" i="3" s="1"/>
  <c r="L863" i="3" a="1"/>
  <c r="L863" i="3"/>
  <c r="L864" i="3" a="1"/>
  <c r="L864" i="3" s="1"/>
  <c r="L865" i="3" a="1"/>
  <c r="L865" i="3" s="1"/>
  <c r="L866" i="3" a="1"/>
  <c r="L866" i="3" s="1"/>
  <c r="L867" i="3" a="1"/>
  <c r="L867" i="3"/>
  <c r="L868" i="3" a="1"/>
  <c r="L868" i="3" s="1"/>
  <c r="L869" i="3" a="1"/>
  <c r="L869" i="3" s="1"/>
  <c r="L870" i="3" a="1"/>
  <c r="L870" i="3" s="1"/>
  <c r="L871" i="3" a="1"/>
  <c r="L871" i="3"/>
  <c r="L872" i="3" a="1"/>
  <c r="L872" i="3" s="1"/>
  <c r="L873" i="3" a="1"/>
  <c r="L873" i="3" s="1"/>
  <c r="L874" i="3" a="1"/>
  <c r="L874" i="3" s="1"/>
  <c r="L875" i="3" a="1"/>
  <c r="L875" i="3"/>
  <c r="L876" i="3" a="1"/>
  <c r="L876" i="3" s="1"/>
  <c r="L877" i="3" a="1"/>
  <c r="L877" i="3" s="1"/>
  <c r="L878" i="3" a="1"/>
  <c r="L878" i="3" s="1"/>
  <c r="L879" i="3" a="1"/>
  <c r="L879" i="3" s="1"/>
  <c r="L880" i="3" a="1"/>
  <c r="L880" i="3" s="1"/>
  <c r="L881" i="3" a="1"/>
  <c r="L881" i="3" s="1"/>
  <c r="L882" i="3" a="1"/>
  <c r="L882" i="3" s="1"/>
  <c r="L883" i="3" a="1"/>
  <c r="L883" i="3"/>
  <c r="L884" i="3" a="1"/>
  <c r="L884" i="3" s="1"/>
  <c r="L885" i="3" a="1"/>
  <c r="L885" i="3"/>
  <c r="L886" i="3" a="1"/>
  <c r="L886" i="3" s="1"/>
  <c r="L887" i="3" a="1"/>
  <c r="L887" i="3" s="1"/>
  <c r="L888" i="3" a="1"/>
  <c r="L888" i="3" s="1"/>
  <c r="L889" i="3" a="1"/>
  <c r="L889" i="3" s="1"/>
  <c r="L890" i="3" a="1"/>
  <c r="L890" i="3" s="1"/>
  <c r="L891" i="3" a="1"/>
  <c r="L891" i="3"/>
  <c r="L892" i="3" a="1"/>
  <c r="L892" i="3" s="1"/>
  <c r="L893" i="3" a="1"/>
  <c r="L893" i="3"/>
  <c r="L894" i="3" a="1"/>
  <c r="L894" i="3" s="1"/>
  <c r="L895" i="3" a="1"/>
  <c r="L895" i="3" s="1"/>
  <c r="L896" i="3" a="1"/>
  <c r="L896" i="3" s="1"/>
  <c r="L897" i="3" a="1"/>
  <c r="L897" i="3" s="1"/>
  <c r="L898" i="3" a="1"/>
  <c r="L898" i="3" s="1"/>
  <c r="L899" i="3" a="1"/>
  <c r="L899" i="3"/>
  <c r="L900" i="3" a="1"/>
  <c r="L900" i="3" s="1"/>
  <c r="L901" i="3" a="1"/>
  <c r="L901" i="3" s="1"/>
  <c r="L902" i="3" a="1"/>
  <c r="L902" i="3" s="1"/>
  <c r="L903" i="3" a="1"/>
  <c r="L903" i="3" s="1"/>
  <c r="L904" i="3" a="1"/>
  <c r="L904" i="3" s="1"/>
  <c r="L905" i="3" a="1"/>
  <c r="L905" i="3" s="1"/>
  <c r="L906" i="3" a="1"/>
  <c r="L906" i="3" s="1"/>
  <c r="L907" i="3" a="1"/>
  <c r="L907" i="3"/>
  <c r="L908" i="3" a="1"/>
  <c r="L908" i="3" s="1"/>
  <c r="L909" i="3" a="1"/>
  <c r="L909" i="3" s="1"/>
  <c r="L910" i="3" a="1"/>
  <c r="L910" i="3" s="1"/>
  <c r="L911" i="3" a="1"/>
  <c r="L911" i="3" s="1"/>
  <c r="L912" i="3" a="1"/>
  <c r="L912" i="3" s="1"/>
  <c r="L913" i="3" a="1"/>
  <c r="L913" i="3" s="1"/>
  <c r="L914" i="3" a="1"/>
  <c r="L914" i="3" s="1"/>
  <c r="L915" i="3" a="1"/>
  <c r="L915" i="3"/>
  <c r="L916" i="3" a="1"/>
  <c r="L916" i="3" s="1"/>
  <c r="L917" i="3" a="1"/>
  <c r="L917" i="3" s="1"/>
  <c r="L918" i="3" a="1"/>
  <c r="L918" i="3" s="1"/>
  <c r="L919" i="3" a="1"/>
  <c r="L919" i="3" s="1"/>
  <c r="L920" i="3" a="1"/>
  <c r="L920" i="3" s="1"/>
  <c r="L921" i="3" a="1"/>
  <c r="L921" i="3" s="1"/>
  <c r="L922" i="3" a="1"/>
  <c r="L922" i="3" s="1"/>
  <c r="L923" i="3" a="1"/>
  <c r="L923" i="3"/>
  <c r="L924" i="3" a="1"/>
  <c r="L924" i="3" s="1"/>
  <c r="L925" i="3" a="1"/>
  <c r="L925" i="3" s="1"/>
  <c r="L926" i="3" a="1"/>
  <c r="L926" i="3" s="1"/>
  <c r="L927" i="3" a="1"/>
  <c r="L927" i="3" s="1"/>
  <c r="L928" i="3" a="1"/>
  <c r="L928" i="3" s="1"/>
  <c r="L929" i="3" a="1"/>
  <c r="L929" i="3" s="1"/>
  <c r="L930" i="3" a="1"/>
  <c r="L930" i="3" s="1"/>
  <c r="L931" i="3" a="1"/>
  <c r="L931" i="3"/>
  <c r="L932" i="3" a="1"/>
  <c r="L932" i="3" s="1"/>
  <c r="L933" i="3" a="1"/>
  <c r="L933" i="3" s="1"/>
  <c r="L934" i="3" a="1"/>
  <c r="L934" i="3" s="1"/>
  <c r="L935" i="3" a="1"/>
  <c r="L935" i="3" s="1"/>
  <c r="L936" i="3" a="1"/>
  <c r="L936" i="3" s="1"/>
  <c r="L937" i="3" a="1"/>
  <c r="L937" i="3" s="1"/>
  <c r="L938" i="3" a="1"/>
  <c r="L938" i="3" s="1"/>
  <c r="L939" i="3" a="1"/>
  <c r="L939" i="3"/>
  <c r="L940" i="3" a="1"/>
  <c r="L940" i="3" s="1"/>
  <c r="L941" i="3" a="1"/>
  <c r="L941" i="3"/>
  <c r="L942" i="3" a="1"/>
  <c r="L942" i="3" s="1"/>
  <c r="L943" i="3" a="1"/>
  <c r="L943" i="3" s="1"/>
  <c r="L944" i="3" a="1"/>
  <c r="L944" i="3" s="1"/>
  <c r="L945" i="3" a="1"/>
  <c r="L945" i="3" s="1"/>
  <c r="L946" i="3" a="1"/>
  <c r="L946" i="3" s="1"/>
  <c r="L947" i="3" a="1"/>
  <c r="L947" i="3"/>
  <c r="L948" i="3" a="1"/>
  <c r="L948" i="3" s="1"/>
  <c r="L949" i="3" a="1"/>
  <c r="L949" i="3"/>
  <c r="L950" i="3" a="1"/>
  <c r="L950" i="3" s="1"/>
  <c r="L951" i="3" a="1"/>
  <c r="L951" i="3" s="1"/>
  <c r="L952" i="3" a="1"/>
  <c r="L952" i="3" s="1"/>
  <c r="L953" i="3" a="1"/>
  <c r="L953" i="3" s="1"/>
  <c r="L954" i="3" a="1"/>
  <c r="L954" i="3" s="1"/>
  <c r="L955" i="3" a="1"/>
  <c r="L955" i="3"/>
  <c r="L956" i="3" a="1"/>
  <c r="L956" i="3" s="1"/>
  <c r="L957" i="3" a="1"/>
  <c r="L957" i="3"/>
  <c r="L958" i="3" a="1"/>
  <c r="L958" i="3" s="1"/>
  <c r="L959" i="3" a="1"/>
  <c r="L959" i="3" s="1"/>
  <c r="L960" i="3" a="1"/>
  <c r="L960" i="3" s="1"/>
  <c r="L961" i="3" a="1"/>
  <c r="L961" i="3" s="1"/>
  <c r="L962" i="3" a="1"/>
  <c r="L962" i="3" s="1"/>
  <c r="L963" i="3" a="1"/>
  <c r="L963" i="3"/>
  <c r="L964" i="3" a="1"/>
  <c r="L964" i="3" s="1"/>
  <c r="L965" i="3" a="1"/>
  <c r="L965" i="3"/>
  <c r="L966" i="3" a="1"/>
  <c r="L966" i="3" s="1"/>
  <c r="L967" i="3" a="1"/>
  <c r="L967" i="3" s="1"/>
  <c r="L968" i="3" a="1"/>
  <c r="L968" i="3" s="1"/>
  <c r="L969" i="3" a="1"/>
  <c r="L969" i="3" s="1"/>
  <c r="L970" i="3" a="1"/>
  <c r="L970" i="3" s="1"/>
  <c r="L971" i="3" a="1"/>
  <c r="L971" i="3"/>
  <c r="L972" i="3" a="1"/>
  <c r="L972" i="3" s="1"/>
  <c r="L973" i="3" a="1"/>
  <c r="L973" i="3"/>
  <c r="L974" i="3" a="1"/>
  <c r="L974" i="3" s="1"/>
  <c r="L975" i="3" a="1"/>
  <c r="L975" i="3" s="1"/>
  <c r="L976" i="3" a="1"/>
  <c r="L976" i="3" s="1"/>
  <c r="L977" i="3" a="1"/>
  <c r="L977" i="3" s="1"/>
  <c r="L978" i="3" a="1"/>
  <c r="L978" i="3" s="1"/>
  <c r="L979" i="3" a="1"/>
  <c r="L979" i="3"/>
  <c r="L980" i="3" a="1"/>
  <c r="L980" i="3" s="1"/>
  <c r="L981" i="3" a="1"/>
  <c r="L981" i="3"/>
  <c r="L982" i="3" a="1"/>
  <c r="L982" i="3" s="1"/>
  <c r="L983" i="3" a="1"/>
  <c r="L983" i="3" s="1"/>
  <c r="L984" i="3" a="1"/>
  <c r="L984" i="3" s="1"/>
  <c r="L985" i="3" a="1"/>
  <c r="L985" i="3" s="1"/>
  <c r="L986" i="3" a="1"/>
  <c r="L986" i="3" s="1"/>
  <c r="L987" i="3" a="1"/>
  <c r="L987" i="3"/>
  <c r="L988" i="3" a="1"/>
  <c r="L988" i="3" s="1"/>
  <c r="L989" i="3" a="1"/>
  <c r="L989" i="3"/>
  <c r="L990" i="3" a="1"/>
  <c r="L990" i="3" s="1"/>
  <c r="L991" i="3" a="1"/>
  <c r="L991" i="3" s="1"/>
  <c r="L992" i="3" a="1"/>
  <c r="L992" i="3" s="1"/>
  <c r="L993" i="3" a="1"/>
  <c r="L993" i="3" s="1"/>
  <c r="L994" i="3" a="1"/>
  <c r="L994" i="3" s="1"/>
  <c r="L995" i="3" a="1"/>
  <c r="L995" i="3"/>
  <c r="L996" i="3" a="1"/>
  <c r="L996" i="3" s="1"/>
  <c r="L997" i="3" a="1"/>
  <c r="L997" i="3"/>
  <c r="L998" i="3" a="1"/>
  <c r="L998" i="3" s="1"/>
  <c r="L999" i="3" a="1"/>
  <c r="L999" i="3" s="1"/>
  <c r="L1000" i="3" a="1"/>
  <c r="L1000" i="3" s="1"/>
  <c r="L1001" i="3" a="1"/>
  <c r="L1001" i="3" s="1"/>
  <c r="L1002" i="3" a="1"/>
  <c r="L1002" i="3" s="1"/>
  <c r="L1003" i="3" a="1"/>
  <c r="L1003" i="3"/>
  <c r="L1004" i="3" a="1"/>
  <c r="L1004" i="3" s="1"/>
  <c r="L1005" i="3" a="1"/>
  <c r="L1005" i="3"/>
  <c r="L1006" i="3" a="1"/>
  <c r="L1006" i="3" s="1"/>
  <c r="L1007" i="3" a="1"/>
  <c r="L1007" i="3" s="1"/>
  <c r="L1008" i="3" a="1"/>
  <c r="L1008" i="3" s="1"/>
  <c r="L1009" i="3" a="1"/>
  <c r="L1009" i="3" s="1"/>
  <c r="L1010" i="3" a="1"/>
  <c r="L1010" i="3" s="1"/>
  <c r="L1011" i="3" a="1"/>
  <c r="L1011" i="3"/>
  <c r="L1012" i="3" a="1"/>
  <c r="L1012" i="3" s="1"/>
  <c r="L1013" i="3" a="1"/>
  <c r="L1013" i="3"/>
  <c r="L1014" i="3" a="1"/>
  <c r="L1014" i="3" s="1"/>
  <c r="L1015" i="3" a="1"/>
  <c r="L1015" i="3" s="1"/>
  <c r="L1016" i="3" a="1"/>
  <c r="L1016" i="3" s="1"/>
  <c r="L1017" i="3" a="1"/>
  <c r="L1017" i="3" s="1"/>
  <c r="L1018" i="3" a="1"/>
  <c r="L1018" i="3" s="1"/>
  <c r="L1019" i="3" a="1"/>
  <c r="L1019" i="3"/>
  <c r="L1020" i="3" a="1"/>
  <c r="L1020" i="3" s="1"/>
  <c r="L1021" i="3" a="1"/>
  <c r="L1021" i="3"/>
  <c r="L1022" i="3" a="1"/>
  <c r="L1022" i="3" s="1"/>
  <c r="L1023" i="3" a="1"/>
  <c r="L1023" i="3" s="1"/>
  <c r="L1024" i="3" a="1"/>
  <c r="L1024" i="3" s="1"/>
  <c r="L1025" i="3" a="1"/>
  <c r="L1025" i="3" s="1"/>
  <c r="L1026" i="3" a="1"/>
  <c r="L1026" i="3" s="1"/>
  <c r="L1027" i="3" a="1"/>
  <c r="L1027" i="3"/>
  <c r="L1028" i="3" a="1"/>
  <c r="L1028" i="3" s="1"/>
  <c r="L1029" i="3" a="1"/>
  <c r="L1029" i="3"/>
  <c r="L1030" i="3" a="1"/>
  <c r="L1030" i="3" s="1"/>
  <c r="L1031" i="3" a="1"/>
  <c r="L1031" i="3" s="1"/>
  <c r="L1032" i="3" a="1"/>
  <c r="L1032" i="3" s="1"/>
  <c r="L1033" i="3" a="1"/>
  <c r="L1033" i="3" s="1"/>
  <c r="L1034" i="3" a="1"/>
  <c r="L1034" i="3" s="1"/>
  <c r="L1035" i="3" a="1"/>
  <c r="L1035" i="3"/>
  <c r="L1036" i="3" a="1"/>
  <c r="L1036" i="3" s="1"/>
  <c r="L1037" i="3" a="1"/>
  <c r="L1037" i="3"/>
  <c r="L1038" i="3" a="1"/>
  <c r="L1038" i="3" s="1"/>
  <c r="L1039" i="3" a="1"/>
  <c r="L1039" i="3" s="1"/>
  <c r="L1040" i="3" a="1"/>
  <c r="L1040" i="3" s="1"/>
  <c r="L1041" i="3" a="1"/>
  <c r="L1041" i="3" s="1"/>
  <c r="L1042" i="3" a="1"/>
  <c r="L1042" i="3" s="1"/>
  <c r="L1043" i="3" a="1"/>
  <c r="L1043" i="3"/>
  <c r="L1044" i="3" a="1"/>
  <c r="L1044" i="3" s="1"/>
  <c r="L1045" i="3" a="1"/>
  <c r="L1045" i="3"/>
  <c r="L1046" i="3" a="1"/>
  <c r="L1046" i="3" s="1"/>
  <c r="L1047" i="3" a="1"/>
  <c r="L1047" i="3" s="1"/>
  <c r="L1048" i="3" a="1"/>
  <c r="L1048" i="3" s="1"/>
  <c r="L1049" i="3" a="1"/>
  <c r="L1049" i="3" s="1"/>
  <c r="L1050" i="3" a="1"/>
  <c r="L1050" i="3" s="1"/>
  <c r="L1051" i="3" a="1"/>
  <c r="L1051" i="3"/>
  <c r="L1052" i="3" a="1"/>
  <c r="L1052" i="3" s="1"/>
  <c r="L1053" i="3" a="1"/>
  <c r="L1053" i="3"/>
  <c r="L1054" i="3" a="1"/>
  <c r="L1054" i="3" s="1"/>
  <c r="L1055" i="3" a="1"/>
  <c r="L1055" i="3" s="1"/>
  <c r="L1056" i="3" a="1"/>
  <c r="L1056" i="3" s="1"/>
  <c r="L1057" i="3" a="1"/>
  <c r="L1057" i="3" s="1"/>
  <c r="L1058" i="3" a="1"/>
  <c r="L1058" i="3" s="1"/>
  <c r="L1059" i="3" a="1"/>
  <c r="L1059" i="3"/>
  <c r="L1060" i="3" a="1"/>
  <c r="L1060" i="3" s="1"/>
  <c r="L1061" i="3" a="1"/>
  <c r="L1061" i="3"/>
  <c r="L1062" i="3" a="1"/>
  <c r="L1062" i="3" s="1"/>
  <c r="L1063" i="3" a="1"/>
  <c r="L1063" i="3" s="1"/>
  <c r="L1064" i="3" a="1"/>
  <c r="L1064" i="3" s="1"/>
  <c r="L1065" i="3" a="1"/>
  <c r="L1065" i="3" s="1"/>
  <c r="L1066" i="3" a="1"/>
  <c r="L1066" i="3" s="1"/>
  <c r="L1067" i="3" a="1"/>
  <c r="L1067" i="3"/>
  <c r="L1068" i="3" a="1"/>
  <c r="L1068" i="3" s="1"/>
  <c r="L1069" i="3" a="1"/>
  <c r="L1069" i="3"/>
  <c r="L1070" i="3" a="1"/>
  <c r="L1070" i="3" s="1"/>
  <c r="L1071" i="3" a="1"/>
  <c r="L1071" i="3" s="1"/>
  <c r="L1072" i="3" a="1"/>
  <c r="L1072" i="3" s="1"/>
  <c r="L1073" i="3" a="1"/>
  <c r="L1073" i="3" s="1"/>
  <c r="L1074" i="3" a="1"/>
  <c r="L1074" i="3" s="1"/>
  <c r="L1075" i="3" a="1"/>
  <c r="L1075" i="3"/>
  <c r="L1076" i="3" a="1"/>
  <c r="L1076" i="3" s="1"/>
  <c r="L1077" i="3" a="1"/>
  <c r="L1077" i="3"/>
  <c r="L1078" i="3" a="1"/>
  <c r="L1078" i="3" s="1"/>
  <c r="L1079" i="3" a="1"/>
  <c r="L1079" i="3" s="1"/>
  <c r="L1080" i="3" a="1"/>
  <c r="L1080" i="3" s="1"/>
  <c r="L1081" i="3" a="1"/>
  <c r="L1081" i="3" s="1"/>
  <c r="L1082" i="3" a="1"/>
  <c r="L1082" i="3" s="1"/>
  <c r="L1083" i="3" a="1"/>
  <c r="L1083" i="3"/>
  <c r="L1084" i="3" a="1"/>
  <c r="L1084" i="3" s="1"/>
  <c r="L1085" i="3" a="1"/>
  <c r="L1085" i="3"/>
  <c r="L1086" i="3" a="1"/>
  <c r="L1086" i="3" s="1"/>
  <c r="L1087" i="3" a="1"/>
  <c r="L1087" i="3" s="1"/>
  <c r="L1088" i="3" a="1"/>
  <c r="L1088" i="3" s="1"/>
  <c r="L1089" i="3" a="1"/>
  <c r="L1089" i="3" s="1"/>
  <c r="L1090" i="3" a="1"/>
  <c r="L1090" i="3" s="1"/>
  <c r="L1091" i="3" a="1"/>
  <c r="L1091" i="3"/>
  <c r="L1092" i="3" a="1"/>
  <c r="L1092" i="3" s="1"/>
  <c r="L1093" i="3" a="1"/>
  <c r="L1093" i="3"/>
  <c r="L1094" i="3" a="1"/>
  <c r="L1094" i="3" s="1"/>
  <c r="L1095" i="3" a="1"/>
  <c r="L1095" i="3" s="1"/>
  <c r="L1096" i="3" a="1"/>
  <c r="L1096" i="3" s="1"/>
  <c r="L1097" i="3" a="1"/>
  <c r="L1097" i="3" s="1"/>
  <c r="L1098" i="3" a="1"/>
  <c r="L1098" i="3" s="1"/>
  <c r="L1099" i="3" a="1"/>
  <c r="L1099" i="3"/>
  <c r="L1100" i="3" a="1"/>
  <c r="L1100" i="3" s="1"/>
  <c r="L1101" i="3" a="1"/>
  <c r="L1101" i="3"/>
  <c r="L1102" i="3" a="1"/>
  <c r="L1102" i="3" s="1"/>
  <c r="L1103" i="3" a="1"/>
  <c r="L1103" i="3" s="1"/>
  <c r="L1104" i="3" a="1"/>
  <c r="L1104" i="3" s="1"/>
  <c r="L1105" i="3" a="1"/>
  <c r="L1105" i="3" s="1"/>
  <c r="L1106" i="3" a="1"/>
  <c r="L1106" i="3" s="1"/>
  <c r="L1107" i="3" a="1"/>
  <c r="L1107" i="3"/>
  <c r="L1108" i="3" a="1"/>
  <c r="L1108" i="3" s="1"/>
  <c r="L1109" i="3" a="1"/>
  <c r="L1109" i="3"/>
  <c r="L1110" i="3" a="1"/>
  <c r="L1110" i="3" s="1"/>
  <c r="L1111" i="3" a="1"/>
  <c r="L1111" i="3" s="1"/>
  <c r="L1112" i="3" a="1"/>
  <c r="L1112" i="3" s="1"/>
  <c r="L1113" i="3" a="1"/>
  <c r="L1113" i="3" s="1"/>
  <c r="L1114" i="3" a="1"/>
  <c r="L1114" i="3" s="1"/>
  <c r="L1115" i="3" a="1"/>
  <c r="L1115" i="3" s="1"/>
  <c r="L1116" i="3" a="1"/>
  <c r="L1116" i="3" s="1"/>
  <c r="L1117" i="3" a="1"/>
  <c r="L1117" i="3"/>
  <c r="L1118" i="3" a="1"/>
  <c r="L1118" i="3" s="1"/>
  <c r="L1119" i="3" a="1"/>
  <c r="L1119" i="3" s="1"/>
  <c r="L1120" i="3" a="1"/>
  <c r="L1120" i="3" s="1"/>
  <c r="L1121" i="3" a="1"/>
  <c r="L1121" i="3" s="1"/>
  <c r="L1122" i="3" a="1"/>
  <c r="L1122" i="3" s="1"/>
  <c r="L1123" i="3" a="1"/>
  <c r="L1123" i="3"/>
  <c r="L1124" i="3" a="1"/>
  <c r="L1124" i="3" s="1"/>
  <c r="L1125" i="3" a="1"/>
  <c r="L1125" i="3"/>
  <c r="L1126" i="3" a="1"/>
  <c r="L1126" i="3" s="1"/>
  <c r="L1127" i="3" a="1"/>
  <c r="L1127" i="3" s="1"/>
  <c r="L1128" i="3" a="1"/>
  <c r="L1128" i="3" s="1"/>
  <c r="L1129" i="3" a="1"/>
  <c r="L1129" i="3" s="1"/>
  <c r="L1130" i="3" a="1"/>
  <c r="L1130" i="3" s="1"/>
  <c r="L1131" i="3" a="1"/>
  <c r="L1131" i="3" s="1"/>
  <c r="L1132" i="3" a="1"/>
  <c r="L1132" i="3" s="1"/>
  <c r="L1133" i="3" a="1"/>
  <c r="L1133" i="3" s="1"/>
  <c r="L1134" i="3" a="1"/>
  <c r="L1134" i="3"/>
  <c r="L1135" i="3" a="1"/>
  <c r="L1135" i="3" s="1"/>
  <c r="L1136" i="3" a="1"/>
  <c r="L1136" i="3" s="1"/>
  <c r="L1137" i="3" a="1"/>
  <c r="L1137" i="3" s="1"/>
  <c r="L1138" i="3" a="1"/>
  <c r="L1138" i="3" s="1"/>
  <c r="L1139" i="3" a="1"/>
  <c r="L1139" i="3" s="1"/>
  <c r="L1140" i="3" a="1"/>
  <c r="L1140" i="3" s="1"/>
  <c r="L1141" i="3" a="1"/>
  <c r="L1141" i="3" s="1"/>
  <c r="L1142" i="3" a="1"/>
  <c r="L1142" i="3"/>
  <c r="L1143" i="3" a="1"/>
  <c r="L1143" i="3" s="1"/>
  <c r="L1144" i="3" a="1"/>
  <c r="L1144" i="3" s="1"/>
  <c r="L1145" i="3" a="1"/>
  <c r="L1145" i="3" s="1"/>
  <c r="L1146" i="3" a="1"/>
  <c r="L1146" i="3" s="1"/>
  <c r="L1147" i="3" a="1"/>
  <c r="L1147" i="3" s="1"/>
  <c r="L1148" i="3" a="1"/>
  <c r="L1148" i="3" s="1"/>
  <c r="L1149" i="3" a="1"/>
  <c r="L1149" i="3" s="1"/>
  <c r="L1150" i="3" a="1"/>
  <c r="L1150" i="3"/>
  <c r="L1151" i="3" a="1"/>
  <c r="L1151" i="3" s="1"/>
  <c r="L1152" i="3" a="1"/>
  <c r="L1152" i="3" s="1"/>
  <c r="L1153" i="3" a="1"/>
  <c r="L1153" i="3" s="1"/>
  <c r="L1154" i="3" a="1"/>
  <c r="L1154" i="3" s="1"/>
  <c r="L1155" i="3" a="1"/>
  <c r="L1155" i="3" s="1"/>
  <c r="L1156" i="3" a="1"/>
  <c r="L1156" i="3" s="1"/>
  <c r="L1157" i="3" a="1"/>
  <c r="L1157" i="3" s="1"/>
  <c r="L1158" i="3" a="1"/>
  <c r="L1158" i="3"/>
  <c r="L1159" i="3" a="1"/>
  <c r="L1159" i="3" s="1"/>
  <c r="L1160" i="3" a="1"/>
  <c r="L1160" i="3" s="1"/>
  <c r="L1161" i="3" a="1"/>
  <c r="L1161" i="3" s="1"/>
  <c r="L1162" i="3" a="1"/>
  <c r="L1162" i="3" s="1"/>
  <c r="L1163" i="3" a="1"/>
  <c r="L1163" i="3" s="1"/>
  <c r="L1164" i="3" a="1"/>
  <c r="L1164" i="3" s="1"/>
  <c r="L1165" i="3" a="1"/>
  <c r="L1165" i="3" s="1"/>
  <c r="L1166" i="3" a="1"/>
  <c r="L1166" i="3"/>
  <c r="L1167" i="3" a="1"/>
  <c r="L1167" i="3" s="1"/>
  <c r="L1168" i="3" a="1"/>
  <c r="L1168" i="3" s="1"/>
  <c r="L1169" i="3" a="1"/>
  <c r="L1169" i="3" s="1"/>
  <c r="L1170" i="3" a="1"/>
  <c r="L1170" i="3" s="1"/>
  <c r="L1171" i="3" a="1"/>
  <c r="L1171" i="3" s="1"/>
  <c r="L1172" i="3" a="1"/>
  <c r="L1172" i="3" s="1"/>
  <c r="L1173" i="3" a="1"/>
  <c r="L1173" i="3" s="1"/>
  <c r="L1174" i="3" a="1"/>
  <c r="L1174" i="3"/>
  <c r="L1175" i="3" a="1"/>
  <c r="L1175" i="3" s="1"/>
  <c r="L1176" i="3" a="1"/>
  <c r="L1176" i="3" s="1"/>
  <c r="L1177" i="3" a="1"/>
  <c r="L1177" i="3" s="1"/>
  <c r="L1178" i="3" a="1"/>
  <c r="L1178" i="3" s="1"/>
  <c r="L1179" i="3" a="1"/>
  <c r="L1179" i="3" s="1"/>
  <c r="L1180" i="3" a="1"/>
  <c r="L1180" i="3" s="1"/>
  <c r="L1181" i="3" a="1"/>
  <c r="L1181" i="3" s="1"/>
  <c r="L1182" i="3" a="1"/>
  <c r="L1182" i="3"/>
  <c r="L1183" i="3" a="1"/>
  <c r="L1183" i="3" s="1"/>
  <c r="L1184" i="3" a="1"/>
  <c r="L1184" i="3" s="1"/>
  <c r="L1185" i="3" a="1"/>
  <c r="L1185" i="3" s="1"/>
  <c r="L1186" i="3" a="1"/>
  <c r="L1186" i="3" s="1"/>
  <c r="L1187" i="3" a="1"/>
  <c r="L1187" i="3" s="1"/>
  <c r="L1188" i="3" a="1"/>
  <c r="L1188" i="3" s="1"/>
  <c r="L1189" i="3" a="1"/>
  <c r="L1189" i="3" s="1"/>
  <c r="L1190" i="3" a="1"/>
  <c r="L1190" i="3"/>
  <c r="L1191" i="3" a="1"/>
  <c r="L1191" i="3" s="1"/>
  <c r="L1192" i="3" a="1"/>
  <c r="L1192" i="3" s="1"/>
  <c r="L1193" i="3" a="1"/>
  <c r="L1193" i="3" s="1"/>
  <c r="L1194" i="3" a="1"/>
  <c r="L1194" i="3" s="1"/>
  <c r="L1195" i="3" a="1"/>
  <c r="L1195" i="3" s="1"/>
  <c r="L1196" i="3" a="1"/>
  <c r="L1196" i="3" s="1"/>
  <c r="L1197" i="3" a="1"/>
  <c r="L1197" i="3" s="1"/>
  <c r="L1198" i="3" a="1"/>
  <c r="L1198" i="3"/>
  <c r="L1199" i="3" a="1"/>
  <c r="L1199" i="3" s="1"/>
  <c r="L1200" i="3" a="1"/>
  <c r="L1200" i="3" s="1"/>
  <c r="L1201" i="3" a="1"/>
  <c r="L1201" i="3" s="1"/>
  <c r="L1202" i="3" a="1"/>
  <c r="L1202" i="3" s="1"/>
  <c r="L1203" i="3" a="1"/>
  <c r="L1203" i="3" s="1"/>
  <c r="L1204" i="3" a="1"/>
  <c r="L1204" i="3" s="1"/>
  <c r="L1205" i="3" a="1"/>
  <c r="L1205" i="3" s="1"/>
  <c r="L1206" i="3" a="1"/>
  <c r="L1206" i="3"/>
  <c r="L1207" i="3" a="1"/>
  <c r="L1207" i="3" s="1"/>
  <c r="L1208" i="3" a="1"/>
  <c r="L1208" i="3" s="1"/>
  <c r="L1209" i="3" a="1"/>
  <c r="L1209" i="3" s="1"/>
  <c r="L1210" i="3" a="1"/>
  <c r="L1210" i="3" s="1"/>
  <c r="L1211" i="3" a="1"/>
  <c r="L1211" i="3" s="1"/>
  <c r="L1212" i="3" a="1"/>
  <c r="L1212" i="3" s="1"/>
  <c r="L1213" i="3" a="1"/>
  <c r="L1213" i="3" s="1"/>
  <c r="L1214" i="3" a="1"/>
  <c r="L1214" i="3"/>
  <c r="L1215" i="3" a="1"/>
  <c r="L1215" i="3" s="1"/>
  <c r="L1216" i="3" a="1"/>
  <c r="L1216" i="3" s="1"/>
  <c r="L1217" i="3" a="1"/>
  <c r="L1217" i="3" s="1"/>
  <c r="L1218" i="3" a="1"/>
  <c r="L1218" i="3" s="1"/>
  <c r="L1219" i="3" a="1"/>
  <c r="L1219" i="3" s="1"/>
  <c r="L1220" i="3" a="1"/>
  <c r="L1220" i="3" s="1"/>
  <c r="L1221" i="3" a="1"/>
  <c r="L1221" i="3" s="1"/>
  <c r="L1222" i="3" a="1"/>
  <c r="L1222" i="3"/>
  <c r="L1223" i="3" a="1"/>
  <c r="L1223" i="3" s="1"/>
  <c r="L1224" i="3" a="1"/>
  <c r="L1224" i="3" s="1"/>
  <c r="L1225" i="3" a="1"/>
  <c r="L1225" i="3" s="1"/>
  <c r="L1226" i="3" a="1"/>
  <c r="L1226" i="3" s="1"/>
  <c r="L1227" i="3" a="1"/>
  <c r="L1227" i="3" s="1"/>
  <c r="L1228" i="3" a="1"/>
  <c r="L1228" i="3" s="1"/>
  <c r="L1229" i="3" a="1"/>
  <c r="L1229" i="3" s="1"/>
  <c r="L1230" i="3" a="1"/>
  <c r="L1230" i="3"/>
  <c r="L1231" i="3" a="1"/>
  <c r="L1231" i="3" s="1"/>
  <c r="L1232" i="3" a="1"/>
  <c r="L1232" i="3" s="1"/>
  <c r="L1233" i="3" a="1"/>
  <c r="L1233" i="3" s="1"/>
  <c r="L1234" i="3" a="1"/>
  <c r="L1234" i="3" s="1"/>
  <c r="L1235" i="3" a="1"/>
  <c r="L1235" i="3" s="1"/>
  <c r="L1236" i="3" a="1"/>
  <c r="L1236" i="3" s="1"/>
  <c r="L1237" i="3" a="1"/>
  <c r="L1237" i="3" s="1"/>
  <c r="L1238" i="3" a="1"/>
  <c r="L1238" i="3"/>
  <c r="L1239" i="3" a="1"/>
  <c r="L1239" i="3" s="1"/>
  <c r="L1240" i="3" a="1"/>
  <c r="L1240" i="3" s="1"/>
  <c r="L1241" i="3" a="1"/>
  <c r="L1241" i="3" s="1"/>
  <c r="L1242" i="3" a="1"/>
  <c r="L1242" i="3" s="1"/>
  <c r="L1243" i="3" a="1"/>
  <c r="L1243" i="3" s="1"/>
  <c r="L1244" i="3" a="1"/>
  <c r="L1244" i="3" s="1"/>
  <c r="L1245" i="3" a="1"/>
  <c r="L1245" i="3" s="1"/>
  <c r="L1246" i="3" a="1"/>
  <c r="L1246" i="3"/>
  <c r="L1247" i="3" a="1"/>
  <c r="L1247" i="3" s="1"/>
  <c r="L1248" i="3" a="1"/>
  <c r="L1248" i="3" s="1"/>
  <c r="L1249" i="3" a="1"/>
  <c r="L1249" i="3" s="1"/>
  <c r="L1250" i="3" a="1"/>
  <c r="L1250" i="3" s="1"/>
  <c r="L1251" i="3" a="1"/>
  <c r="L1251" i="3" s="1"/>
  <c r="L1252" i="3" a="1"/>
  <c r="L1252" i="3" s="1"/>
  <c r="L1253" i="3" a="1"/>
  <c r="L1253" i="3" s="1"/>
  <c r="L1254" i="3" a="1"/>
  <c r="L1254" i="3"/>
  <c r="L1255" i="3" a="1"/>
  <c r="L1255" i="3" s="1"/>
  <c r="L1256" i="3" a="1"/>
  <c r="L1256" i="3" s="1"/>
  <c r="L1257" i="3" a="1"/>
  <c r="L1257" i="3" s="1"/>
  <c r="L1258" i="3" a="1"/>
  <c r="L1258" i="3"/>
  <c r="L1259" i="3" a="1"/>
  <c r="L1259" i="3" s="1"/>
  <c r="L1260" i="3" a="1"/>
  <c r="L1260" i="3" s="1"/>
  <c r="L1261" i="3" a="1"/>
  <c r="L1261" i="3" s="1"/>
  <c r="L1262" i="3" a="1"/>
  <c r="L1262" i="3"/>
  <c r="L1263" i="3" a="1"/>
  <c r="L1263" i="3" s="1"/>
  <c r="L1264" i="3" a="1"/>
  <c r="L1264" i="3" s="1"/>
  <c r="L1265" i="3" a="1"/>
  <c r="L1265" i="3" s="1"/>
  <c r="L1266" i="3" a="1"/>
  <c r="L1266" i="3"/>
  <c r="L1267" i="3" a="1"/>
  <c r="L1267" i="3" s="1"/>
  <c r="L1268" i="3" a="1"/>
  <c r="L1268" i="3" s="1"/>
  <c r="L1269" i="3" a="1"/>
  <c r="L1269" i="3" s="1"/>
  <c r="L1270" i="3" a="1"/>
  <c r="L1270" i="3"/>
  <c r="L1271" i="3" a="1"/>
  <c r="L1271" i="3" s="1"/>
  <c r="L1272" i="3" a="1"/>
  <c r="L1272" i="3" s="1"/>
  <c r="L1273" i="3" a="1"/>
  <c r="L1273" i="3" s="1"/>
  <c r="L1274" i="3" a="1"/>
  <c r="L1274" i="3"/>
  <c r="L1275" i="3" a="1"/>
  <c r="L1275" i="3" s="1"/>
  <c r="L1276" i="3" a="1"/>
  <c r="L1276" i="3" s="1"/>
  <c r="L1277" i="3" a="1"/>
  <c r="L1277" i="3" s="1"/>
  <c r="L1278" i="3" a="1"/>
  <c r="L1278" i="3"/>
  <c r="L1279" i="3" a="1"/>
  <c r="L1279" i="3" s="1"/>
  <c r="L1280" i="3" a="1"/>
  <c r="L1280" i="3" s="1"/>
  <c r="L1281" i="3" a="1"/>
  <c r="L1281" i="3" s="1"/>
  <c r="L1282" i="3" a="1"/>
  <c r="L1282" i="3"/>
  <c r="L1283" i="3" a="1"/>
  <c r="L1283" i="3" s="1"/>
  <c r="L1284" i="3" a="1"/>
  <c r="L1284" i="3" s="1"/>
  <c r="L1285" i="3" a="1"/>
  <c r="L1285" i="3" s="1"/>
  <c r="L1286" i="3" a="1"/>
  <c r="L1286" i="3"/>
  <c r="L1287" i="3" a="1"/>
  <c r="L1287" i="3" s="1"/>
  <c r="L1288" i="3" a="1"/>
  <c r="L1288" i="3" s="1"/>
  <c r="L1289" i="3" a="1"/>
  <c r="L1289" i="3" s="1"/>
  <c r="L1290" i="3" a="1"/>
  <c r="L1290" i="3"/>
  <c r="L1291" i="3" a="1"/>
  <c r="L1291" i="3" s="1"/>
  <c r="L1292" i="3" a="1"/>
  <c r="L1292" i="3" s="1"/>
  <c r="L1293" i="3" a="1"/>
  <c r="L1293" i="3" s="1"/>
  <c r="L1294" i="3" a="1"/>
  <c r="L1294" i="3"/>
  <c r="L1295" i="3" a="1"/>
  <c r="L1295" i="3" s="1"/>
  <c r="L1296" i="3" a="1"/>
  <c r="L1296" i="3" s="1"/>
  <c r="L1297" i="3" a="1"/>
  <c r="L1297" i="3" s="1"/>
  <c r="L1298" i="3" a="1"/>
  <c r="L1298" i="3"/>
  <c r="L1299" i="3" a="1"/>
  <c r="L1299" i="3" s="1"/>
  <c r="L1300" i="3" a="1"/>
  <c r="L1300" i="3" s="1"/>
  <c r="L1301" i="3" a="1"/>
  <c r="L1301" i="3" s="1"/>
  <c r="L1302" i="3" a="1"/>
  <c r="L1302" i="3"/>
  <c r="L1303" i="3" a="1"/>
  <c r="L1303" i="3" s="1"/>
  <c r="L1304" i="3" a="1"/>
  <c r="L1304" i="3" s="1"/>
  <c r="L1305" i="3" a="1"/>
  <c r="L1305" i="3" s="1"/>
  <c r="L1306" i="3" a="1"/>
  <c r="L1306" i="3"/>
  <c r="L1307" i="3" a="1"/>
  <c r="L1307" i="3" s="1"/>
  <c r="L1308" i="3" a="1"/>
  <c r="L1308" i="3" s="1"/>
  <c r="L1309" i="3" a="1"/>
  <c r="L1309" i="3" s="1"/>
  <c r="L1310" i="3" a="1"/>
  <c r="L1310" i="3" s="1"/>
  <c r="L1311" i="3" a="1"/>
  <c r="L1311" i="3" s="1"/>
  <c r="L1312" i="3" a="1"/>
  <c r="L1312" i="3" s="1"/>
  <c r="L1313" i="3" a="1"/>
  <c r="L1313" i="3" s="1"/>
  <c r="L1314" i="3" a="1"/>
  <c r="L1314" i="3"/>
  <c r="L1315" i="3" a="1"/>
  <c r="L1315" i="3" s="1"/>
  <c r="L1316" i="3" a="1"/>
  <c r="L1316" i="3" s="1"/>
  <c r="L1317" i="3" a="1"/>
  <c r="L1317" i="3" s="1"/>
  <c r="L1318" i="3" a="1"/>
  <c r="L1318" i="3" s="1"/>
  <c r="L1319" i="3" a="1"/>
  <c r="L1319" i="3" s="1"/>
  <c r="L1320" i="3" a="1"/>
  <c r="L1320" i="3" s="1"/>
  <c r="L1321" i="3" a="1"/>
  <c r="L1321" i="3" s="1"/>
  <c r="L1322" i="3" a="1"/>
  <c r="L1322" i="3"/>
  <c r="L1323" i="3" a="1"/>
  <c r="L1323" i="3" s="1"/>
  <c r="L1324" i="3" a="1"/>
  <c r="L1324" i="3" s="1"/>
  <c r="L1325" i="3" a="1"/>
  <c r="L1325" i="3" s="1"/>
  <c r="L1326" i="3" a="1"/>
  <c r="L1326" i="3" s="1"/>
  <c r="L1327" i="3" a="1"/>
  <c r="L1327" i="3" s="1"/>
  <c r="L1328" i="3" a="1"/>
  <c r="L1328" i="3" s="1"/>
  <c r="L1329" i="3" a="1"/>
  <c r="L1329" i="3" s="1"/>
  <c r="L1330" i="3" a="1"/>
  <c r="L1330" i="3"/>
  <c r="L1331" i="3" a="1"/>
  <c r="L1331" i="3" s="1"/>
  <c r="L1332" i="3" a="1"/>
  <c r="L1332" i="3" s="1"/>
  <c r="L1333" i="3" a="1"/>
  <c r="L1333" i="3" s="1"/>
  <c r="L1334" i="3" a="1"/>
  <c r="L1334" i="3" s="1"/>
  <c r="L1335" i="3" a="1"/>
  <c r="L1335" i="3" s="1"/>
  <c r="L1336" i="3" a="1"/>
  <c r="L1336" i="3" s="1"/>
  <c r="L1337" i="3" a="1"/>
  <c r="L1337" i="3" s="1"/>
  <c r="L1338" i="3" a="1"/>
  <c r="L1338" i="3"/>
  <c r="L1339" i="3" a="1"/>
  <c r="L1339" i="3" s="1"/>
  <c r="L1340" i="3" a="1"/>
  <c r="L1340" i="3" s="1"/>
  <c r="L1341" i="3" a="1"/>
  <c r="L1341" i="3" s="1"/>
  <c r="L1342" i="3" a="1"/>
  <c r="L1342" i="3" s="1"/>
  <c r="L1343" i="3" a="1"/>
  <c r="L1343" i="3" s="1"/>
  <c r="L1344" i="3" a="1"/>
  <c r="L1344" i="3" s="1"/>
  <c r="L1345" i="3" a="1"/>
  <c r="L1345" i="3" s="1"/>
  <c r="L1346" i="3" a="1"/>
  <c r="L1346" i="3"/>
  <c r="L1347" i="3" a="1"/>
  <c r="L1347" i="3" s="1"/>
  <c r="L1348" i="3" a="1"/>
  <c r="L1348" i="3" s="1"/>
  <c r="L1349" i="3" a="1"/>
  <c r="L1349" i="3" s="1"/>
  <c r="L1350" i="3" a="1"/>
  <c r="L1350" i="3" s="1"/>
  <c r="L1351" i="3" a="1"/>
  <c r="L1351" i="3" s="1"/>
  <c r="L1352" i="3" a="1"/>
  <c r="L1352" i="3" s="1"/>
  <c r="L1353" i="3" a="1"/>
  <c r="L1353" i="3" s="1"/>
  <c r="L1354" i="3" a="1"/>
  <c r="L1354" i="3"/>
  <c r="L1355" i="3" a="1"/>
  <c r="L1355" i="3" s="1"/>
  <c r="L1356" i="3" a="1"/>
  <c r="L1356" i="3" s="1"/>
  <c r="L1357" i="3" a="1"/>
  <c r="L1357" i="3" s="1"/>
  <c r="L1358" i="3" a="1"/>
  <c r="L1358" i="3" s="1"/>
  <c r="L1359" i="3" a="1"/>
  <c r="L1359" i="3" s="1"/>
  <c r="L1360" i="3" a="1"/>
  <c r="L1360" i="3" s="1"/>
  <c r="L1361" i="3" a="1"/>
  <c r="L1361" i="3" s="1"/>
  <c r="L1362" i="3" a="1"/>
  <c r="L1362" i="3"/>
  <c r="L1363" i="3" a="1"/>
  <c r="L1363" i="3" s="1"/>
  <c r="L1364" i="3" a="1"/>
  <c r="L1364" i="3" s="1"/>
  <c r="L1365" i="3" a="1"/>
  <c r="L1365" i="3" s="1"/>
  <c r="L1366" i="3" a="1"/>
  <c r="L1366" i="3" s="1"/>
  <c r="L1367" i="3" a="1"/>
  <c r="L1367" i="3" s="1"/>
  <c r="L1368" i="3" a="1"/>
  <c r="L1368" i="3" s="1"/>
  <c r="L1369" i="3" a="1"/>
  <c r="L1369" i="3" s="1"/>
  <c r="L1370" i="3" a="1"/>
  <c r="L1370" i="3"/>
  <c r="L1371" i="3" a="1"/>
  <c r="L1371" i="3" s="1"/>
  <c r="L1372" i="3" a="1"/>
  <c r="L1372" i="3" s="1"/>
  <c r="L1373" i="3" a="1"/>
  <c r="L1373" i="3" s="1"/>
  <c r="L1374" i="3" a="1"/>
  <c r="L1374" i="3" s="1"/>
  <c r="L1375" i="3" a="1"/>
  <c r="L1375" i="3" s="1"/>
  <c r="L1376" i="3" a="1"/>
  <c r="L1376" i="3" s="1"/>
  <c r="L1377" i="3" a="1"/>
  <c r="L1377" i="3" s="1"/>
  <c r="L1378" i="3" a="1"/>
  <c r="L1378" i="3"/>
  <c r="L1379" i="3" a="1"/>
  <c r="L1379" i="3" s="1"/>
  <c r="L1380" i="3" a="1"/>
  <c r="L1380" i="3" s="1"/>
  <c r="L1381" i="3" a="1"/>
  <c r="L1381" i="3" s="1"/>
  <c r="L1382" i="3" a="1"/>
  <c r="L1382" i="3" s="1"/>
  <c r="L1383" i="3" a="1"/>
  <c r="L1383" i="3" s="1"/>
  <c r="L1384" i="3" a="1"/>
  <c r="L1384" i="3" s="1"/>
  <c r="L1385" i="3" a="1"/>
  <c r="L1385" i="3" s="1"/>
  <c r="L1386" i="3" a="1"/>
  <c r="L1386" i="3"/>
  <c r="L1387" i="3" a="1"/>
  <c r="L1387" i="3" s="1"/>
  <c r="L1388" i="3" a="1"/>
  <c r="L1388" i="3" s="1"/>
  <c r="L1389" i="3" a="1"/>
  <c r="L1389" i="3" s="1"/>
  <c r="L1390" i="3" a="1"/>
  <c r="L1390" i="3" s="1"/>
  <c r="L1391" i="3" a="1"/>
  <c r="L1391" i="3" s="1"/>
  <c r="L1392" i="3" a="1"/>
  <c r="L1392" i="3" s="1"/>
  <c r="L1393" i="3" a="1"/>
  <c r="L1393" i="3" s="1"/>
  <c r="L1394" i="3" a="1"/>
  <c r="L1394" i="3"/>
  <c r="L1395" i="3" a="1"/>
  <c r="L1395" i="3" s="1"/>
  <c r="L1396" i="3" a="1"/>
  <c r="L1396" i="3" s="1"/>
  <c r="L1397" i="3" a="1"/>
  <c r="L1397" i="3" s="1"/>
  <c r="L1398" i="3" a="1"/>
  <c r="L1398" i="3" s="1"/>
  <c r="L1399" i="3" a="1"/>
  <c r="L1399" i="3" s="1"/>
  <c r="L1400" i="3" a="1"/>
  <c r="L1400" i="3" s="1"/>
  <c r="L1401" i="3" a="1"/>
  <c r="L1401" i="3" s="1"/>
  <c r="L1402" i="3" a="1"/>
  <c r="L1402" i="3"/>
  <c r="L1403" i="3" a="1"/>
  <c r="L1403" i="3" s="1"/>
  <c r="L1404" i="3" a="1"/>
  <c r="L1404" i="3" s="1"/>
  <c r="L1405" i="3" a="1"/>
  <c r="L1405" i="3" s="1"/>
  <c r="L1406" i="3" a="1"/>
  <c r="L1406" i="3" s="1"/>
  <c r="L1407" i="3" a="1"/>
  <c r="L1407" i="3" s="1"/>
  <c r="L1408" i="3" a="1"/>
  <c r="L1408" i="3" s="1"/>
  <c r="L1409" i="3" a="1"/>
  <c r="L1409" i="3" s="1"/>
  <c r="L1410" i="3" a="1"/>
  <c r="L1410" i="3"/>
  <c r="L1411" i="3" a="1"/>
  <c r="L1411" i="3" s="1"/>
  <c r="L1412" i="3" a="1"/>
  <c r="L1412" i="3" s="1"/>
  <c r="L1413" i="3" a="1"/>
  <c r="L1413" i="3" s="1"/>
  <c r="L1414" i="3" a="1"/>
  <c r="L1414" i="3" s="1"/>
  <c r="L1415" i="3" a="1"/>
  <c r="L1415" i="3" s="1"/>
  <c r="L1416" i="3" a="1"/>
  <c r="L1416" i="3" s="1"/>
  <c r="L1417" i="3" a="1"/>
  <c r="L1417" i="3" s="1"/>
  <c r="L1418" i="3" a="1"/>
  <c r="L1418" i="3"/>
  <c r="L1419" i="3" a="1"/>
  <c r="L1419" i="3" s="1"/>
  <c r="L1420" i="3" a="1"/>
  <c r="L1420" i="3" s="1"/>
  <c r="L1421" i="3" a="1"/>
  <c r="L1421" i="3" s="1"/>
  <c r="L1422" i="3" a="1"/>
  <c r="L1422" i="3" s="1"/>
  <c r="L1423" i="3" a="1"/>
  <c r="L1423" i="3" s="1"/>
  <c r="L1424" i="3" a="1"/>
  <c r="L1424" i="3" s="1"/>
  <c r="L1425" i="3" a="1"/>
  <c r="L1425" i="3" s="1"/>
  <c r="L1426" i="3" a="1"/>
  <c r="L1426" i="3"/>
  <c r="L1427" i="3" a="1"/>
  <c r="L1427" i="3" s="1"/>
  <c r="L1428" i="3" a="1"/>
  <c r="L1428" i="3" s="1"/>
  <c r="L1429" i="3" a="1"/>
  <c r="L1429" i="3" s="1"/>
  <c r="L1430" i="3" a="1"/>
  <c r="L1430" i="3" s="1"/>
  <c r="L1431" i="3" a="1"/>
  <c r="L1431" i="3" s="1"/>
  <c r="L1432" i="3" a="1"/>
  <c r="L1432" i="3" s="1"/>
  <c r="L1433" i="3" a="1"/>
  <c r="L1433" i="3" s="1"/>
  <c r="L1434" i="3" a="1"/>
  <c r="L1434" i="3"/>
  <c r="L1435" i="3" a="1"/>
  <c r="L1435" i="3" s="1"/>
  <c r="L1436" i="3" a="1"/>
  <c r="L1436" i="3" s="1"/>
  <c r="L1437" i="3" a="1"/>
  <c r="L1437" i="3" s="1"/>
  <c r="L1438" i="3" a="1"/>
  <c r="L1438" i="3" s="1"/>
  <c r="L1439" i="3" a="1"/>
  <c r="L1439" i="3" s="1"/>
  <c r="L1440" i="3" a="1"/>
  <c r="L1440" i="3" s="1"/>
  <c r="L1441" i="3" a="1"/>
  <c r="L1441" i="3" s="1"/>
  <c r="L1442" i="3" a="1"/>
  <c r="L1442" i="3"/>
  <c r="L1443" i="3" a="1"/>
  <c r="L1443" i="3" s="1"/>
  <c r="L1444" i="3" a="1"/>
  <c r="L1444" i="3" s="1"/>
  <c r="L1445" i="3" a="1"/>
  <c r="L1445" i="3" s="1"/>
  <c r="L1446" i="3" a="1"/>
  <c r="L1446" i="3" s="1"/>
  <c r="L1447" i="3" a="1"/>
  <c r="L1447" i="3" s="1"/>
  <c r="L1448" i="3" a="1"/>
  <c r="L1448" i="3" s="1"/>
  <c r="L1449" i="3" a="1"/>
  <c r="L1449" i="3" s="1"/>
  <c r="L1450" i="3" a="1"/>
  <c r="L1450" i="3"/>
  <c r="L1451" i="3" a="1"/>
  <c r="L1451" i="3" s="1"/>
  <c r="L1452" i="3" a="1"/>
  <c r="L1452" i="3" s="1"/>
  <c r="L1453" i="3" a="1"/>
  <c r="L1453" i="3" s="1"/>
  <c r="L1454" i="3" a="1"/>
  <c r="L1454" i="3" s="1"/>
  <c r="L1455" i="3" a="1"/>
  <c r="L1455" i="3" s="1"/>
  <c r="L1456" i="3" a="1"/>
  <c r="L1456" i="3" s="1"/>
  <c r="L1457" i="3" a="1"/>
  <c r="L1457" i="3" s="1"/>
  <c r="L1458" i="3" a="1"/>
  <c r="L1458" i="3"/>
  <c r="L1459" i="3" a="1"/>
  <c r="L1459" i="3" s="1"/>
  <c r="L1460" i="3" a="1"/>
  <c r="L1460" i="3" s="1"/>
  <c r="L1461" i="3" a="1"/>
  <c r="L1461" i="3" s="1"/>
  <c r="L1462" i="3" a="1"/>
  <c r="L1462" i="3" s="1"/>
  <c r="L1463" i="3" a="1"/>
  <c r="L1463" i="3" s="1"/>
  <c r="L1464" i="3" a="1"/>
  <c r="L1464" i="3"/>
  <c r="L1465" i="3" a="1"/>
  <c r="L1465" i="3" s="1"/>
  <c r="L1466" i="3" a="1"/>
  <c r="L1466" i="3"/>
  <c r="L1467" i="3" a="1"/>
  <c r="L1467" i="3" s="1"/>
  <c r="L1468" i="3" a="1"/>
  <c r="L1468" i="3" s="1"/>
  <c r="L1469" i="3" a="1"/>
  <c r="L1469" i="3" s="1"/>
  <c r="L1470" i="3" a="1"/>
  <c r="L1470" i="3" s="1"/>
  <c r="L1471" i="3" a="1"/>
  <c r="L1471" i="3" s="1"/>
  <c r="L1472" i="3" a="1"/>
  <c r="L1472" i="3"/>
  <c r="L1473" i="3" a="1"/>
  <c r="L1473" i="3" s="1"/>
  <c r="L1474" i="3" a="1"/>
  <c r="L1474" i="3"/>
  <c r="L1475" i="3" a="1"/>
  <c r="L1475" i="3" s="1"/>
  <c r="L1476" i="3" a="1"/>
  <c r="L1476" i="3" s="1"/>
  <c r="L1477" i="3" a="1"/>
  <c r="L1477" i="3" s="1"/>
  <c r="L1478" i="3" a="1"/>
  <c r="L1478" i="3" s="1"/>
  <c r="L1479" i="3" a="1"/>
  <c r="L1479" i="3" s="1"/>
  <c r="L1480" i="3" a="1"/>
  <c r="L1480" i="3"/>
  <c r="L1481" i="3" a="1"/>
  <c r="L1481" i="3" s="1"/>
  <c r="L1482" i="3" a="1"/>
  <c r="L1482" i="3"/>
  <c r="L1483" i="3" a="1"/>
  <c r="L1483" i="3" s="1"/>
  <c r="L1484" i="3" a="1"/>
  <c r="L1484" i="3" s="1"/>
  <c r="L1485" i="3" a="1"/>
  <c r="L1485" i="3" s="1"/>
  <c r="L1486" i="3" a="1"/>
  <c r="L1486" i="3" s="1"/>
  <c r="L1487" i="3" a="1"/>
  <c r="L1487" i="3" s="1"/>
  <c r="L1488" i="3" a="1"/>
  <c r="L1488" i="3"/>
  <c r="L1489" i="3" a="1"/>
  <c r="L1489" i="3" s="1"/>
  <c r="L1490" i="3" a="1"/>
  <c r="L1490" i="3"/>
  <c r="L1491" i="3" a="1"/>
  <c r="L1491" i="3" s="1"/>
  <c r="L1492" i="3" a="1"/>
  <c r="L1492" i="3" s="1"/>
  <c r="L1493" i="3" a="1"/>
  <c r="L1493" i="3" s="1"/>
  <c r="L1494" i="3" a="1"/>
  <c r="L1494" i="3" s="1"/>
  <c r="L1495" i="3" a="1"/>
  <c r="L1495" i="3" s="1"/>
  <c r="L1496" i="3" a="1"/>
  <c r="L1496" i="3"/>
  <c r="L1497" i="3" a="1"/>
  <c r="L1497" i="3" s="1"/>
  <c r="L1498" i="3" a="1"/>
  <c r="L1498" i="3"/>
  <c r="L1499" i="3" a="1"/>
  <c r="L1499" i="3" s="1"/>
  <c r="L1500" i="3" a="1"/>
  <c r="L1500" i="3" s="1"/>
  <c r="L1501" i="3" a="1"/>
  <c r="L1501" i="3" s="1"/>
  <c r="L1502" i="3" a="1"/>
  <c r="L1502" i="3" s="1"/>
  <c r="L1503" i="3" a="1"/>
  <c r="L1503" i="3" s="1"/>
  <c r="L1504" i="3" a="1"/>
  <c r="L1504" i="3"/>
  <c r="L1505" i="3" a="1"/>
  <c r="L1505" i="3" s="1"/>
  <c r="L1506" i="3" a="1"/>
  <c r="L1506" i="3"/>
  <c r="L1507" i="3" a="1"/>
  <c r="L1507" i="3" s="1"/>
  <c r="L1508" i="3" a="1"/>
  <c r="L1508" i="3" s="1"/>
  <c r="L1509" i="3" a="1"/>
  <c r="L1509" i="3" s="1"/>
  <c r="L1510" i="3" a="1"/>
  <c r="L1510" i="3" s="1"/>
  <c r="L1511" i="3" a="1"/>
  <c r="L1511" i="3" s="1"/>
  <c r="L1512" i="3" a="1"/>
  <c r="L1512" i="3"/>
  <c r="L1513" i="3" a="1"/>
  <c r="L1513" i="3" s="1"/>
  <c r="L1514" i="3" a="1"/>
  <c r="L1514" i="3"/>
  <c r="L1515" i="3" a="1"/>
  <c r="L1515" i="3" s="1"/>
  <c r="L1516" i="3" a="1"/>
  <c r="L1516" i="3" s="1"/>
  <c r="L1517" i="3" a="1"/>
  <c r="L1517" i="3" s="1"/>
  <c r="L1518" i="3" a="1"/>
  <c r="L1518" i="3" s="1"/>
  <c r="L1519" i="3" a="1"/>
  <c r="L1519" i="3" s="1"/>
  <c r="L1520" i="3" a="1"/>
  <c r="L1520" i="3"/>
  <c r="L1521" i="3" a="1"/>
  <c r="L1521" i="3" s="1"/>
  <c r="L1522" i="3" a="1"/>
  <c r="L1522" i="3"/>
  <c r="L1523" i="3" a="1"/>
  <c r="L1523" i="3" s="1"/>
  <c r="L1524" i="3" a="1"/>
  <c r="L1524" i="3" s="1"/>
  <c r="L1525" i="3" a="1"/>
  <c r="L1525" i="3" s="1"/>
  <c r="L1526" i="3" a="1"/>
  <c r="L1526" i="3" s="1"/>
  <c r="L1527" i="3" a="1"/>
  <c r="L1527" i="3" s="1"/>
  <c r="L1528" i="3" a="1"/>
  <c r="L1528" i="3"/>
  <c r="L1529" i="3" a="1"/>
  <c r="L1529" i="3" s="1"/>
  <c r="L1530" i="3" a="1"/>
  <c r="L1530" i="3"/>
  <c r="L1531" i="3" a="1"/>
  <c r="L1531" i="3" s="1"/>
  <c r="L1532" i="3" a="1"/>
  <c r="L1532" i="3" s="1"/>
  <c r="L1533" i="3" a="1"/>
  <c r="L1533" i="3" s="1"/>
  <c r="L1534" i="3" a="1"/>
  <c r="L1534" i="3" s="1"/>
  <c r="L1535" i="3" a="1"/>
  <c r="L1535" i="3" s="1"/>
  <c r="L1536" i="3" a="1"/>
  <c r="L1536" i="3"/>
  <c r="L1537" i="3" a="1"/>
  <c r="L1537" i="3" s="1"/>
  <c r="L1538" i="3" a="1"/>
  <c r="L1538" i="3"/>
  <c r="L1539" i="3" a="1"/>
  <c r="L1539" i="3" s="1"/>
  <c r="L1540" i="3" a="1"/>
  <c r="L1540" i="3" s="1"/>
  <c r="L1541" i="3" a="1"/>
  <c r="L1541" i="3" s="1"/>
  <c r="L1542" i="3" a="1"/>
  <c r="L1542" i="3" s="1"/>
  <c r="L1543" i="3" a="1"/>
  <c r="L1543" i="3" s="1"/>
  <c r="L1544" i="3" a="1"/>
  <c r="L1544" i="3"/>
  <c r="L1545" i="3" a="1"/>
  <c r="L1545" i="3" s="1"/>
  <c r="L1546" i="3" a="1"/>
  <c r="L1546" i="3"/>
  <c r="L1547" i="3" a="1"/>
  <c r="L1547" i="3" s="1"/>
  <c r="L1548" i="3" a="1"/>
  <c r="L1548" i="3" s="1"/>
  <c r="L1549" i="3" a="1"/>
  <c r="L1549" i="3" s="1"/>
  <c r="L1550" i="3" a="1"/>
  <c r="L1550" i="3" s="1"/>
  <c r="L1551" i="3" a="1"/>
  <c r="L1551" i="3" s="1"/>
  <c r="L1552" i="3" a="1"/>
  <c r="L1552" i="3"/>
  <c r="L1553" i="3" a="1"/>
  <c r="L1553" i="3" s="1"/>
  <c r="L1554" i="3" a="1"/>
  <c r="L1554" i="3"/>
  <c r="L1555" i="3" a="1"/>
  <c r="L1555" i="3" s="1"/>
  <c r="L1556" i="3" a="1"/>
  <c r="L1556" i="3" s="1"/>
  <c r="L1557" i="3" a="1"/>
  <c r="L1557" i="3" s="1"/>
  <c r="L1558" i="3" a="1"/>
  <c r="L1558" i="3" s="1"/>
  <c r="L1559" i="3" a="1"/>
  <c r="L1559" i="3" s="1"/>
  <c r="L1560" i="3" a="1"/>
  <c r="L1560" i="3"/>
  <c r="L1561" i="3" a="1"/>
  <c r="L1561" i="3" s="1"/>
  <c r="L1562" i="3" a="1"/>
  <c r="L1562" i="3"/>
  <c r="L1563" i="3" a="1"/>
  <c r="L1563" i="3" s="1"/>
  <c r="L1564" i="3" a="1"/>
  <c r="L1564" i="3" s="1"/>
  <c r="L1565" i="3" a="1"/>
  <c r="L1565" i="3" s="1"/>
  <c r="L1566" i="3" a="1"/>
  <c r="L1566" i="3" s="1"/>
  <c r="L1567" i="3" a="1"/>
  <c r="L1567" i="3" s="1"/>
  <c r="L1568" i="3" a="1"/>
  <c r="L1568" i="3"/>
  <c r="L1569" i="3" a="1"/>
  <c r="L1569" i="3" s="1"/>
  <c r="L1570" i="3" a="1"/>
  <c r="L1570" i="3"/>
  <c r="L1571" i="3" a="1"/>
  <c r="L1571" i="3" s="1"/>
  <c r="L1572" i="3" a="1"/>
  <c r="L1572" i="3" s="1"/>
  <c r="L1573" i="3" a="1"/>
  <c r="L1573" i="3" s="1"/>
  <c r="L1574" i="3" a="1"/>
  <c r="L1574" i="3" s="1"/>
  <c r="L1575" i="3" a="1"/>
  <c r="L1575" i="3" s="1"/>
  <c r="L1576" i="3" a="1"/>
  <c r="L1576" i="3"/>
  <c r="L1577" i="3" a="1"/>
  <c r="L1577" i="3" s="1"/>
  <c r="L1578" i="3" a="1"/>
  <c r="L1578" i="3"/>
  <c r="L1579" i="3" a="1"/>
  <c r="L1579" i="3" s="1"/>
  <c r="L1580" i="3" a="1"/>
  <c r="L1580" i="3" s="1"/>
  <c r="L1581" i="3" a="1"/>
  <c r="L1581" i="3" s="1"/>
  <c r="L1582" i="3" a="1"/>
  <c r="L1582" i="3" s="1"/>
  <c r="L1583" i="3" a="1"/>
  <c r="L1583" i="3" s="1"/>
  <c r="L1584" i="3" a="1"/>
  <c r="L1584" i="3"/>
  <c r="L1585" i="3" a="1"/>
  <c r="L1585" i="3" s="1"/>
  <c r="L1586" i="3" a="1"/>
  <c r="L1586" i="3"/>
  <c r="L1587" i="3" a="1"/>
  <c r="L1587" i="3" s="1"/>
  <c r="L1588" i="3" a="1"/>
  <c r="L1588" i="3" s="1"/>
  <c r="L1589" i="3" a="1"/>
  <c r="L1589" i="3" s="1"/>
  <c r="L1590" i="3" a="1"/>
  <c r="L1590" i="3" s="1"/>
  <c r="L1591" i="3" a="1"/>
  <c r="L1591" i="3" s="1"/>
  <c r="L1592" i="3" a="1"/>
  <c r="L1592" i="3"/>
  <c r="L1593" i="3" a="1"/>
  <c r="L1593" i="3" s="1"/>
  <c r="L1594" i="3" a="1"/>
  <c r="L1594" i="3"/>
  <c r="L1595" i="3" a="1"/>
  <c r="L1595" i="3" s="1"/>
  <c r="L1596" i="3" a="1"/>
  <c r="L1596" i="3" s="1"/>
  <c r="L1597" i="3" a="1"/>
  <c r="L1597" i="3" s="1"/>
  <c r="L1598" i="3" a="1"/>
  <c r="L1598" i="3" s="1"/>
  <c r="L1599" i="3" a="1"/>
  <c r="L1599" i="3" s="1"/>
  <c r="L1600" i="3" a="1"/>
  <c r="L1600" i="3"/>
  <c r="L1601" i="3" a="1"/>
  <c r="L1601" i="3" s="1"/>
  <c r="L1602" i="3" a="1"/>
  <c r="L1602" i="3"/>
  <c r="L1603" i="3" a="1"/>
  <c r="L1603" i="3" s="1"/>
  <c r="L1604" i="3" a="1"/>
  <c r="L1604" i="3" s="1"/>
  <c r="L1605" i="3" a="1"/>
  <c r="L1605" i="3" s="1"/>
  <c r="L1606" i="3" a="1"/>
  <c r="L1606" i="3" s="1"/>
  <c r="L1607" i="3" a="1"/>
  <c r="L1607" i="3" s="1"/>
  <c r="L1608" i="3" a="1"/>
  <c r="L1608" i="3"/>
  <c r="L1609" i="3" a="1"/>
  <c r="L1609" i="3" s="1"/>
  <c r="L1610" i="3" a="1"/>
  <c r="L1610" i="3"/>
  <c r="L1611" i="3" a="1"/>
  <c r="L1611" i="3" s="1"/>
  <c r="L1612" i="3" a="1"/>
  <c r="L1612" i="3" s="1"/>
  <c r="L1613" i="3" a="1"/>
  <c r="L1613" i="3" s="1"/>
  <c r="L1614" i="3" a="1"/>
  <c r="L1614" i="3" s="1"/>
  <c r="L1615" i="3" a="1"/>
  <c r="L1615" i="3" s="1"/>
  <c r="L1616" i="3" a="1"/>
  <c r="L1616" i="3"/>
  <c r="L1617" i="3" a="1"/>
  <c r="L1617" i="3" s="1"/>
  <c r="L1618" i="3" a="1"/>
  <c r="L1618" i="3"/>
  <c r="L1619" i="3" a="1"/>
  <c r="L1619" i="3" s="1"/>
  <c r="L1620" i="3" a="1"/>
  <c r="L1620" i="3" s="1"/>
  <c r="L1621" i="3" a="1"/>
  <c r="L1621" i="3" s="1"/>
  <c r="L1622" i="3" a="1"/>
  <c r="L1622" i="3" s="1"/>
  <c r="L1623" i="3" a="1"/>
  <c r="L1623" i="3" s="1"/>
  <c r="L1624" i="3" a="1"/>
  <c r="L1624" i="3"/>
  <c r="L1625" i="3" a="1"/>
  <c r="L1625" i="3" s="1"/>
  <c r="L1626" i="3" a="1"/>
  <c r="L1626" i="3"/>
  <c r="L1627" i="3" a="1"/>
  <c r="L1627" i="3" s="1"/>
  <c r="L1628" i="3" a="1"/>
  <c r="L1628" i="3" s="1"/>
  <c r="L1629" i="3" a="1"/>
  <c r="L1629" i="3" s="1"/>
  <c r="L1630" i="3" a="1"/>
  <c r="L1630" i="3" s="1"/>
  <c r="L1631" i="3" a="1"/>
  <c r="L1631" i="3" s="1"/>
  <c r="L1632" i="3" a="1"/>
  <c r="L1632" i="3"/>
  <c r="L1633" i="3" a="1"/>
  <c r="L1633" i="3" s="1"/>
  <c r="L1634" i="3" a="1"/>
  <c r="L1634" i="3"/>
  <c r="L1635" i="3" a="1"/>
  <c r="L1635" i="3" s="1"/>
  <c r="L1636" i="3" a="1"/>
  <c r="L1636" i="3" s="1"/>
  <c r="L1637" i="3" a="1"/>
  <c r="L1637" i="3" s="1"/>
  <c r="L1638" i="3" a="1"/>
  <c r="L1638" i="3" s="1"/>
  <c r="L1639" i="3" a="1"/>
  <c r="L1639" i="3" s="1"/>
  <c r="L1640" i="3" a="1"/>
  <c r="L1640" i="3"/>
  <c r="L1641" i="3" a="1"/>
  <c r="L1641" i="3" s="1"/>
  <c r="L1642" i="3" a="1"/>
  <c r="L1642" i="3"/>
  <c r="L1643" i="3" a="1"/>
  <c r="L1643" i="3" s="1"/>
  <c r="L1644" i="3" a="1"/>
  <c r="L1644" i="3" s="1"/>
  <c r="L1645" i="3" a="1"/>
  <c r="L1645" i="3" s="1"/>
  <c r="L1646" i="3" a="1"/>
  <c r="L1646" i="3" s="1"/>
  <c r="L1647" i="3" a="1"/>
  <c r="L1647" i="3" s="1"/>
  <c r="L1648" i="3" a="1"/>
  <c r="L1648" i="3"/>
  <c r="L1649" i="3" a="1"/>
  <c r="L1649" i="3" s="1"/>
  <c r="L1650" i="3" a="1"/>
  <c r="L1650" i="3"/>
  <c r="L1651" i="3" a="1"/>
  <c r="L1651" i="3" s="1"/>
  <c r="L1652" i="3" a="1"/>
  <c r="L1652" i="3" s="1"/>
  <c r="L1653" i="3" a="1"/>
  <c r="L1653" i="3" s="1"/>
  <c r="L1654" i="3" a="1"/>
  <c r="L1654" i="3" s="1"/>
  <c r="L1655" i="3" a="1"/>
  <c r="L1655" i="3" s="1"/>
  <c r="L1656" i="3" a="1"/>
  <c r="L1656" i="3"/>
  <c r="L1657" i="3" a="1"/>
  <c r="L1657" i="3" s="1"/>
  <c r="L1658" i="3" a="1"/>
  <c r="L1658" i="3"/>
  <c r="L1659" i="3" a="1"/>
  <c r="L1659" i="3" s="1"/>
  <c r="L1660" i="3" a="1"/>
  <c r="L1660" i="3" s="1"/>
  <c r="L1661" i="3" a="1"/>
  <c r="L1661" i="3" s="1"/>
  <c r="L1662" i="3" a="1"/>
  <c r="L1662" i="3" s="1"/>
  <c r="L1663" i="3" a="1"/>
  <c r="L1663" i="3" s="1"/>
  <c r="L1664" i="3" a="1"/>
  <c r="L1664" i="3"/>
  <c r="L1665" i="3" a="1"/>
  <c r="L1665" i="3" s="1"/>
  <c r="L1666" i="3" a="1"/>
  <c r="L1666" i="3"/>
  <c r="L1667" i="3" a="1"/>
  <c r="L1667" i="3" s="1"/>
  <c r="L1668" i="3" a="1"/>
  <c r="L1668" i="3" s="1"/>
  <c r="L1669" i="3" a="1"/>
  <c r="L1669" i="3" s="1"/>
  <c r="L1670" i="3" a="1"/>
  <c r="L1670" i="3" s="1"/>
  <c r="L1671" i="3" a="1"/>
  <c r="L1671" i="3" s="1"/>
  <c r="L1672" i="3" a="1"/>
  <c r="L1672" i="3"/>
  <c r="L1673" i="3" a="1"/>
  <c r="L1673" i="3" s="1"/>
  <c r="L1674" i="3" a="1"/>
  <c r="L1674" i="3"/>
  <c r="L1675" i="3" a="1"/>
  <c r="L1675" i="3" s="1"/>
  <c r="L1676" i="3" a="1"/>
  <c r="L1676" i="3" s="1"/>
  <c r="L1677" i="3" a="1"/>
  <c r="L1677" i="3" s="1"/>
  <c r="L1678" i="3" a="1"/>
  <c r="L1678" i="3" s="1"/>
  <c r="L1679" i="3" a="1"/>
  <c r="L1679" i="3" s="1"/>
  <c r="L1680" i="3" a="1"/>
  <c r="L1680" i="3"/>
  <c r="L1681" i="3" a="1"/>
  <c r="L1681" i="3" s="1"/>
  <c r="L1682" i="3" a="1"/>
  <c r="L1682" i="3"/>
  <c r="L1683" i="3" a="1"/>
  <c r="L1683" i="3" s="1"/>
  <c r="L1684" i="3" a="1"/>
  <c r="L1684" i="3" s="1"/>
  <c r="L1685" i="3" a="1"/>
  <c r="L1685" i="3" s="1"/>
  <c r="L1686" i="3" a="1"/>
  <c r="L1686" i="3" s="1"/>
  <c r="L1687" i="3" a="1"/>
  <c r="L1687" i="3" s="1"/>
  <c r="L1688" i="3" a="1"/>
  <c r="L1688" i="3"/>
  <c r="L1689" i="3" a="1"/>
  <c r="L1689" i="3" s="1"/>
  <c r="L1690" i="3" a="1"/>
  <c r="L1690" i="3"/>
  <c r="L1691" i="3" a="1"/>
  <c r="L1691" i="3" s="1"/>
  <c r="L1692" i="3" a="1"/>
  <c r="L1692" i="3" s="1"/>
  <c r="L1693" i="3" a="1"/>
  <c r="L1693" i="3" s="1"/>
  <c r="L1694" i="3" a="1"/>
  <c r="L1694" i="3" s="1"/>
  <c r="L1695" i="3" a="1"/>
  <c r="L1695" i="3" s="1"/>
  <c r="L1696" i="3" a="1"/>
  <c r="L1696" i="3"/>
  <c r="L1697" i="3" a="1"/>
  <c r="L1697" i="3" s="1"/>
  <c r="L1698" i="3" a="1"/>
  <c r="L1698" i="3"/>
  <c r="L1699" i="3" a="1"/>
  <c r="L1699" i="3" s="1"/>
  <c r="L1700" i="3" a="1"/>
  <c r="L1700" i="3" s="1"/>
  <c r="L1701" i="3" a="1"/>
  <c r="L1701" i="3" s="1"/>
  <c r="L1702" i="3" a="1"/>
  <c r="L1702" i="3" s="1"/>
  <c r="L1703" i="3" a="1"/>
  <c r="L1703" i="3" s="1"/>
  <c r="L1704" i="3" a="1"/>
  <c r="L1704" i="3"/>
  <c r="L1705" i="3" a="1"/>
  <c r="L1705" i="3" s="1"/>
  <c r="L1706" i="3" a="1"/>
  <c r="L1706" i="3"/>
  <c r="L1707" i="3" a="1"/>
  <c r="L1707" i="3" s="1"/>
  <c r="L1708" i="3" a="1"/>
  <c r="L1708" i="3" s="1"/>
  <c r="L1709" i="3" a="1"/>
  <c r="L1709" i="3" s="1"/>
  <c r="L1710" i="3" a="1"/>
  <c r="L1710" i="3" s="1"/>
  <c r="L1711" i="3" a="1"/>
  <c r="L1711" i="3" s="1"/>
  <c r="L1712" i="3" a="1"/>
  <c r="L1712" i="3"/>
  <c r="L1713" i="3" a="1"/>
  <c r="L1713" i="3" s="1"/>
  <c r="L1714" i="3" a="1"/>
  <c r="L1714" i="3"/>
  <c r="L1715" i="3" a="1"/>
  <c r="L1715" i="3" s="1"/>
  <c r="L1716" i="3" a="1"/>
  <c r="L1716" i="3" s="1"/>
  <c r="L1717" i="3" a="1"/>
  <c r="L1717" i="3" s="1"/>
  <c r="L1718" i="3" a="1"/>
  <c r="L1718" i="3" s="1"/>
  <c r="L1719" i="3" a="1"/>
  <c r="L1719" i="3" s="1"/>
  <c r="L1720" i="3" a="1"/>
  <c r="L1720" i="3"/>
  <c r="L1721" i="3" a="1"/>
  <c r="L1721" i="3" s="1"/>
  <c r="L1722" i="3" a="1"/>
  <c r="L1722" i="3"/>
  <c r="L1723" i="3" a="1"/>
  <c r="L1723" i="3" s="1"/>
  <c r="L1724" i="3" a="1"/>
  <c r="L1724" i="3" s="1"/>
  <c r="L1725" i="3" a="1"/>
  <c r="L1725" i="3" s="1"/>
  <c r="L1726" i="3" a="1"/>
  <c r="L1726" i="3" s="1"/>
  <c r="L1727" i="3" a="1"/>
  <c r="L1727" i="3" s="1"/>
  <c r="L1728" i="3" a="1"/>
  <c r="L1728" i="3"/>
  <c r="L1729" i="3" a="1"/>
  <c r="L1729" i="3" s="1"/>
  <c r="L1730" i="3" a="1"/>
  <c r="L1730" i="3"/>
  <c r="L1731" i="3" a="1"/>
  <c r="L1731" i="3" s="1"/>
  <c r="L1732" i="3" a="1"/>
  <c r="L1732" i="3" s="1"/>
  <c r="L1733" i="3" a="1"/>
  <c r="L1733" i="3" s="1"/>
  <c r="L1734" i="3" a="1"/>
  <c r="L1734" i="3" s="1"/>
  <c r="L1735" i="3" a="1"/>
  <c r="L1735" i="3" s="1"/>
  <c r="L1736" i="3" a="1"/>
  <c r="L1736" i="3"/>
  <c r="L1737" i="3" a="1"/>
  <c r="L1737" i="3" s="1"/>
  <c r="L1738" i="3" a="1"/>
  <c r="L1738" i="3"/>
  <c r="L1739" i="3" a="1"/>
  <c r="L1739" i="3" s="1"/>
  <c r="L1740" i="3" a="1"/>
  <c r="L1740" i="3" s="1"/>
  <c r="L1741" i="3" a="1"/>
  <c r="L1741" i="3" s="1"/>
  <c r="L1742" i="3" a="1"/>
  <c r="L1742" i="3" s="1"/>
  <c r="L1743" i="3" a="1"/>
  <c r="L1743" i="3" s="1"/>
  <c r="L1744" i="3" a="1"/>
  <c r="L1744" i="3"/>
  <c r="L1745" i="3" a="1"/>
  <c r="L1745" i="3" s="1"/>
  <c r="L1746" i="3" a="1"/>
  <c r="L1746" i="3"/>
  <c r="L1747" i="3" a="1"/>
  <c r="L1747" i="3"/>
  <c r="L1748" i="3" a="1"/>
  <c r="L1748" i="3"/>
  <c r="L1749" i="3" a="1"/>
  <c r="L1749" i="3" s="1"/>
  <c r="L1750" i="3" a="1"/>
  <c r="L1750" i="3"/>
  <c r="L1751" i="3" a="1"/>
  <c r="L1751" i="3" s="1"/>
  <c r="L1752" i="3" a="1"/>
  <c r="L1752" i="3" s="1"/>
  <c r="L1753" i="3" a="1"/>
  <c r="L1753" i="3"/>
  <c r="L1754" i="3" a="1"/>
  <c r="L1754" i="3" s="1"/>
  <c r="L1755" i="3" a="1"/>
  <c r="L1755" i="3"/>
  <c r="L1756" i="3" a="1"/>
  <c r="L1756" i="3" s="1"/>
  <c r="L1757" i="3" a="1"/>
  <c r="L1757" i="3" s="1"/>
  <c r="L1758" i="3" a="1"/>
  <c r="L1758" i="3" s="1"/>
  <c r="L1759" i="3" a="1"/>
  <c r="L1759" i="3" s="1"/>
  <c r="L1760" i="3" a="1"/>
  <c r="L1760" i="3" s="1"/>
  <c r="L1761" i="3" a="1"/>
  <c r="L1761" i="3"/>
  <c r="L1762" i="3" a="1"/>
  <c r="L1762" i="3" s="1"/>
  <c r="L1763" i="3" a="1"/>
  <c r="L1763" i="3"/>
  <c r="L1764" i="3" a="1"/>
  <c r="L1764" i="3" s="1"/>
  <c r="L1765" i="3" a="1"/>
  <c r="L1765" i="3" s="1"/>
  <c r="L1766" i="3" a="1"/>
  <c r="L1766" i="3" s="1"/>
  <c r="L1767" i="3" a="1"/>
  <c r="L1767" i="3" s="1"/>
  <c r="L1768" i="3" a="1"/>
  <c r="L1768" i="3" s="1"/>
  <c r="L1769" i="3" a="1"/>
  <c r="L1769" i="3"/>
  <c r="L1770" i="3" a="1"/>
  <c r="L1770" i="3" s="1"/>
  <c r="L1771" i="3" a="1"/>
  <c r="L1771" i="3" s="1"/>
  <c r="L1772" i="3" a="1"/>
  <c r="L1772" i="3" s="1"/>
  <c r="L1773" i="3" a="1"/>
  <c r="L1773" i="3"/>
  <c r="L1774" i="3" a="1"/>
  <c r="L1774" i="3" s="1"/>
  <c r="L1775" i="3" a="1"/>
  <c r="L1775" i="3" s="1"/>
  <c r="L1776" i="3" a="1"/>
  <c r="L1776" i="3" s="1"/>
  <c r="L1777" i="3" a="1"/>
  <c r="L1777" i="3"/>
  <c r="L1778" i="3" a="1"/>
  <c r="L1778" i="3" s="1"/>
  <c r="L1779" i="3" a="1"/>
  <c r="L1779" i="3" s="1"/>
  <c r="L1780" i="3" a="1"/>
  <c r="L1780" i="3" s="1"/>
  <c r="L1781" i="3" a="1"/>
  <c r="L1781" i="3"/>
  <c r="L1782" i="3" a="1"/>
  <c r="L1782" i="3" s="1"/>
  <c r="L1783" i="3" a="1"/>
  <c r="L1783" i="3" s="1"/>
  <c r="L1784" i="3" a="1"/>
  <c r="L1784" i="3" s="1"/>
  <c r="L1785" i="3" a="1"/>
  <c r="L1785" i="3"/>
  <c r="L1786" i="3" a="1"/>
  <c r="L1786" i="3" s="1"/>
  <c r="L1787" i="3" a="1"/>
  <c r="L1787" i="3" s="1"/>
  <c r="L1788" i="3" a="1"/>
  <c r="L1788" i="3" s="1"/>
  <c r="L1789" i="3" a="1"/>
  <c r="L1789" i="3"/>
  <c r="L1790" i="3" a="1"/>
  <c r="L1790" i="3" s="1"/>
  <c r="L1791" i="3" a="1"/>
  <c r="L1791" i="3" s="1"/>
  <c r="L1792" i="3" a="1"/>
  <c r="L1792" i="3" s="1"/>
  <c r="L1793" i="3" a="1"/>
  <c r="L1793" i="3"/>
  <c r="L1794" i="3" a="1"/>
  <c r="L1794" i="3" s="1"/>
  <c r="L1795" i="3" a="1"/>
  <c r="L1795" i="3" s="1"/>
  <c r="L1796" i="3" a="1"/>
  <c r="L1796" i="3" s="1"/>
  <c r="L1797" i="3" a="1"/>
  <c r="L1797" i="3"/>
  <c r="L1798" i="3" a="1"/>
  <c r="L1798" i="3" s="1"/>
  <c r="L1799" i="3" a="1"/>
  <c r="L1799" i="3" s="1"/>
  <c r="L1800" i="3" a="1"/>
  <c r="L1800" i="3" s="1"/>
  <c r="L1801" i="3" a="1"/>
  <c r="L1801" i="3"/>
  <c r="L1802" i="3" a="1"/>
  <c r="L1802" i="3" s="1"/>
  <c r="L1803" i="3" a="1"/>
  <c r="L1803" i="3" s="1"/>
  <c r="L1804" i="3" a="1"/>
  <c r="L1804" i="3" s="1"/>
  <c r="L1805" i="3" a="1"/>
  <c r="L1805" i="3"/>
  <c r="L1806" i="3" a="1"/>
  <c r="L1806" i="3" s="1"/>
  <c r="L1807" i="3" a="1"/>
  <c r="L1807" i="3" s="1"/>
  <c r="L1808" i="3" a="1"/>
  <c r="L1808" i="3" s="1"/>
  <c r="L1809" i="3" a="1"/>
  <c r="L1809" i="3" s="1"/>
  <c r="L1810" i="3" a="1"/>
  <c r="L1810" i="3" s="1"/>
  <c r="L1811" i="3" a="1"/>
  <c r="L1811" i="3"/>
  <c r="L1812" i="3" a="1"/>
  <c r="L1812" i="3" s="1"/>
  <c r="L1813" i="3" a="1"/>
  <c r="L1813" i="3"/>
  <c r="L1814" i="3" a="1"/>
  <c r="L1814" i="3" s="1"/>
  <c r="L1815" i="3" a="1"/>
  <c r="L1815" i="3" s="1"/>
  <c r="L1816" i="3" a="1"/>
  <c r="L1816" i="3" s="1"/>
  <c r="L1817" i="3" a="1"/>
  <c r="L1817" i="3" s="1"/>
  <c r="L1818" i="3" a="1"/>
  <c r="L1818" i="3" s="1"/>
  <c r="L1819" i="3" a="1"/>
  <c r="L1819" i="3"/>
  <c r="L1820" i="3" a="1"/>
  <c r="L1820" i="3" s="1"/>
  <c r="L1821" i="3" a="1"/>
  <c r="L1821" i="3"/>
  <c r="L1822" i="3" a="1"/>
  <c r="L1822" i="3" s="1"/>
  <c r="L1823" i="3" a="1"/>
  <c r="L1823" i="3" s="1"/>
  <c r="L1824" i="3" a="1"/>
  <c r="L1824" i="3" s="1"/>
  <c r="L1825" i="3" a="1"/>
  <c r="L1825" i="3" s="1"/>
  <c r="L1826" i="3" a="1"/>
  <c r="L1826" i="3" s="1"/>
  <c r="L1827" i="3" a="1"/>
  <c r="L1827" i="3"/>
  <c r="L1828" i="3" a="1"/>
  <c r="L1828" i="3" s="1"/>
  <c r="L1829" i="3" a="1"/>
  <c r="L1829" i="3"/>
  <c r="L1830" i="3" a="1"/>
  <c r="L1830" i="3" s="1"/>
  <c r="L1831" i="3" a="1"/>
  <c r="L1831" i="3" s="1"/>
  <c r="L1832" i="3" a="1"/>
  <c r="L1832" i="3" s="1"/>
  <c r="L1833" i="3" a="1"/>
  <c r="L1833" i="3" s="1"/>
  <c r="L1834" i="3" a="1"/>
  <c r="L1834" i="3" s="1"/>
  <c r="L1835" i="3" a="1"/>
  <c r="L1835" i="3"/>
  <c r="L1836" i="3" a="1"/>
  <c r="L1836" i="3" s="1"/>
  <c r="L1837" i="3" a="1"/>
  <c r="L1837" i="3"/>
  <c r="L1838" i="3" a="1"/>
  <c r="L1838" i="3" s="1"/>
  <c r="L1839" i="3" a="1"/>
  <c r="L1839" i="3" s="1"/>
  <c r="L1840" i="3" a="1"/>
  <c r="L1840" i="3" s="1"/>
  <c r="L1841" i="3" a="1"/>
  <c r="L1841" i="3" s="1"/>
  <c r="L1842" i="3" a="1"/>
  <c r="L1842" i="3" s="1"/>
  <c r="L1843" i="3" a="1"/>
  <c r="L1843" i="3"/>
  <c r="L1844" i="3" a="1"/>
  <c r="L1844" i="3" s="1"/>
  <c r="L1845" i="3" a="1"/>
  <c r="L1845" i="3"/>
  <c r="L1846" i="3" a="1"/>
  <c r="L1846" i="3" s="1"/>
  <c r="L1847" i="3" a="1"/>
  <c r="L1847" i="3" s="1"/>
  <c r="L1848" i="3" a="1"/>
  <c r="L1848" i="3" s="1"/>
  <c r="L1849" i="3" a="1"/>
  <c r="L1849" i="3" s="1"/>
  <c r="L1850" i="3" a="1"/>
  <c r="L1850" i="3" s="1"/>
  <c r="L1851" i="3" a="1"/>
  <c r="L1851" i="3"/>
  <c r="L1852" i="3" a="1"/>
  <c r="L1852" i="3" s="1"/>
  <c r="L1853" i="3" a="1"/>
  <c r="L1853" i="3"/>
  <c r="L1854" i="3" a="1"/>
  <c r="L1854" i="3" s="1"/>
  <c r="L1855" i="3" a="1"/>
  <c r="L1855" i="3" s="1"/>
  <c r="L1856" i="3" a="1"/>
  <c r="L1856" i="3" s="1"/>
  <c r="L1857" i="3" a="1"/>
  <c r="L1857" i="3" s="1"/>
  <c r="L1858" i="3" a="1"/>
  <c r="L1858" i="3" s="1"/>
  <c r="L1859" i="3" a="1"/>
  <c r="L1859" i="3"/>
  <c r="L1860" i="3" a="1"/>
  <c r="L1860" i="3" s="1"/>
  <c r="L1861" i="3" a="1"/>
  <c r="L1861" i="3"/>
  <c r="L1862" i="3" a="1"/>
  <c r="L1862" i="3" s="1"/>
  <c r="L1863" i="3" a="1"/>
  <c r="L1863" i="3" s="1"/>
  <c r="L1864" i="3" a="1"/>
  <c r="L1864" i="3" s="1"/>
  <c r="L1865" i="3" a="1"/>
  <c r="L1865" i="3" s="1"/>
  <c r="L1866" i="3" a="1"/>
  <c r="L1866" i="3" s="1"/>
  <c r="L1867" i="3" a="1"/>
  <c r="L1867" i="3"/>
  <c r="L1868" i="3" a="1"/>
  <c r="L1868" i="3" s="1"/>
  <c r="L1869" i="3" a="1"/>
  <c r="L1869" i="3"/>
  <c r="L1870" i="3" a="1"/>
  <c r="L1870" i="3" s="1"/>
  <c r="L1871" i="3" a="1"/>
  <c r="L1871" i="3" s="1"/>
  <c r="L1872" i="3" a="1"/>
  <c r="L1872" i="3" s="1"/>
  <c r="L1873" i="3" a="1"/>
  <c r="L1873" i="3" s="1"/>
  <c r="L1874" i="3" a="1"/>
  <c r="L1874" i="3" s="1"/>
  <c r="L1875" i="3" a="1"/>
  <c r="L1875" i="3"/>
  <c r="L1876" i="3" a="1"/>
  <c r="L1876" i="3" s="1"/>
  <c r="L1877" i="3" a="1"/>
  <c r="L1877" i="3"/>
  <c r="L1878" i="3" a="1"/>
  <c r="L1878" i="3" s="1"/>
  <c r="L1879" i="3" a="1"/>
  <c r="L1879" i="3" s="1"/>
  <c r="L1880" i="3" a="1"/>
  <c r="L1880" i="3" s="1"/>
  <c r="L1881" i="3" a="1"/>
  <c r="L1881" i="3" s="1"/>
  <c r="L1882" i="3" a="1"/>
  <c r="L1882" i="3" s="1"/>
  <c r="L1883" i="3" a="1"/>
  <c r="L1883" i="3"/>
  <c r="L1884" i="3" a="1"/>
  <c r="L1884" i="3" s="1"/>
  <c r="L1885" i="3" a="1"/>
  <c r="L1885" i="3"/>
  <c r="L1886" i="3" a="1"/>
  <c r="L1886" i="3" s="1"/>
  <c r="L1887" i="3" a="1"/>
  <c r="L1887" i="3" s="1"/>
  <c r="L1888" i="3" a="1"/>
  <c r="L1888" i="3"/>
  <c r="L1889" i="3" a="1"/>
  <c r="L1889" i="3" s="1"/>
  <c r="L1890" i="3" a="1"/>
  <c r="L1890" i="3" s="1"/>
  <c r="L1891" i="3" a="1"/>
  <c r="L1891" i="3" s="1"/>
  <c r="L1892" i="3" a="1"/>
  <c r="L1892" i="3"/>
  <c r="L1893" i="3" a="1"/>
  <c r="L1893" i="3" s="1"/>
  <c r="L1894" i="3" a="1"/>
  <c r="L1894" i="3"/>
  <c r="L1895" i="3" a="1"/>
  <c r="L1895" i="3" s="1"/>
  <c r="L1896" i="3" a="1"/>
  <c r="L1896" i="3"/>
  <c r="L1897" i="3" a="1"/>
  <c r="L1897" i="3" s="1"/>
  <c r="L1898" i="3" a="1"/>
  <c r="L1898" i="3" s="1"/>
  <c r="L1899" i="3" a="1"/>
  <c r="L1899" i="3" s="1"/>
  <c r="L1900" i="3" a="1"/>
  <c r="L1900" i="3" s="1"/>
  <c r="L1901" i="3" a="1"/>
  <c r="L1901" i="3" s="1"/>
  <c r="L1902" i="3" a="1"/>
  <c r="L1902" i="3"/>
  <c r="L1903" i="3" a="1"/>
  <c r="L1903" i="3" s="1"/>
  <c r="L1904" i="3" a="1"/>
  <c r="L1904" i="3"/>
  <c r="L1905" i="3" a="1"/>
  <c r="L1905" i="3" s="1"/>
  <c r="L1906" i="3" a="1"/>
  <c r="L1906" i="3" s="1"/>
  <c r="L1907" i="3" a="1"/>
  <c r="L1907" i="3" s="1"/>
  <c r="L1908" i="3" a="1"/>
  <c r="L1908" i="3"/>
  <c r="L1909" i="3" a="1"/>
  <c r="L1909" i="3" s="1"/>
  <c r="L1910" i="3" a="1"/>
  <c r="L1910" i="3"/>
  <c r="L1911" i="3" a="1"/>
  <c r="L1911" i="3" s="1"/>
  <c r="L1912" i="3" a="1"/>
  <c r="L1912" i="3"/>
  <c r="L1913" i="3" a="1"/>
  <c r="L1913" i="3" s="1"/>
  <c r="L1914" i="3" a="1"/>
  <c r="L1914" i="3" s="1"/>
  <c r="L1915" i="3" a="1"/>
  <c r="L1915" i="3" s="1"/>
  <c r="L1916" i="3" a="1"/>
  <c r="L1916" i="3" s="1"/>
  <c r="L1917" i="3" a="1"/>
  <c r="L1917" i="3" s="1"/>
  <c r="L1918" i="3" a="1"/>
  <c r="L1918" i="3"/>
  <c r="L1919" i="3" a="1"/>
  <c r="L1919" i="3" s="1"/>
  <c r="L1920" i="3" a="1"/>
  <c r="L1920" i="3"/>
  <c r="L1921" i="3" a="1"/>
  <c r="L1921" i="3" s="1"/>
  <c r="L1922" i="3" a="1"/>
  <c r="L1922" i="3" s="1"/>
  <c r="L1923" i="3" a="1"/>
  <c r="L1923" i="3" s="1"/>
  <c r="L1924" i="3" a="1"/>
  <c r="L1924" i="3"/>
  <c r="L1925" i="3" a="1"/>
  <c r="L1925" i="3" s="1"/>
  <c r="L1926" i="3" a="1"/>
  <c r="L1926" i="3"/>
  <c r="L1927" i="3" a="1"/>
  <c r="L1927" i="3" s="1"/>
  <c r="L1928" i="3" a="1"/>
  <c r="L1928" i="3"/>
  <c r="L1929" i="3" a="1"/>
  <c r="L1929" i="3" s="1"/>
  <c r="L1930" i="3" a="1"/>
  <c r="L1930" i="3" s="1"/>
  <c r="L1931" i="3" a="1"/>
  <c r="L1931" i="3" s="1"/>
  <c r="L1932" i="3" a="1"/>
  <c r="L1932" i="3" s="1"/>
  <c r="L1933" i="3" a="1"/>
  <c r="L1933" i="3" s="1"/>
  <c r="L1934" i="3" a="1"/>
  <c r="L1934" i="3"/>
  <c r="L1935" i="3" a="1"/>
  <c r="L1935" i="3" s="1"/>
  <c r="L1936" i="3" a="1"/>
  <c r="L1936" i="3"/>
  <c r="L1937" i="3" a="1"/>
  <c r="L1937" i="3" s="1"/>
  <c r="L1938" i="3" a="1"/>
  <c r="L1938" i="3" s="1"/>
  <c r="L1939" i="3" a="1"/>
  <c r="L1939" i="3" s="1"/>
  <c r="L1940" i="3" a="1"/>
  <c r="L1940" i="3" s="1"/>
  <c r="L1941" i="3" a="1"/>
  <c r="L1941" i="3" s="1"/>
  <c r="L1942" i="3" a="1"/>
  <c r="L1942" i="3"/>
  <c r="L1943" i="3" a="1"/>
  <c r="L1943" i="3" s="1"/>
  <c r="L1944" i="3" a="1"/>
  <c r="L1944" i="3"/>
  <c r="L1945" i="3" a="1"/>
  <c r="L1945" i="3" s="1"/>
  <c r="L1946" i="3" a="1"/>
  <c r="L1946" i="3" s="1"/>
  <c r="L1947" i="3" a="1"/>
  <c r="L1947" i="3" s="1"/>
  <c r="L1948" i="3" a="1"/>
  <c r="L1948" i="3"/>
  <c r="L1949" i="3" a="1"/>
  <c r="L1949" i="3" s="1"/>
  <c r="L1950" i="3" a="1"/>
  <c r="L1950" i="3"/>
  <c r="L1951" i="3" a="1"/>
  <c r="L1951" i="3" s="1"/>
  <c r="L1952" i="3" a="1"/>
  <c r="L1952" i="3"/>
  <c r="L1953" i="3" a="1"/>
  <c r="L1953" i="3" s="1"/>
  <c r="L1954" i="3" a="1"/>
  <c r="L1954" i="3" s="1"/>
  <c r="L1955" i="3" a="1"/>
  <c r="L1955" i="3" s="1"/>
  <c r="L1956" i="3" a="1"/>
  <c r="L1956" i="3"/>
  <c r="L1957" i="3" a="1"/>
  <c r="L1957" i="3" s="1"/>
  <c r="L1958" i="3" a="1"/>
  <c r="L1958" i="3"/>
  <c r="L1959" i="3" a="1"/>
  <c r="L1959" i="3" s="1"/>
  <c r="L1960" i="3" a="1"/>
  <c r="L1960" i="3"/>
  <c r="L1961" i="3" a="1"/>
  <c r="L1961" i="3" s="1"/>
  <c r="L1962" i="3" a="1"/>
  <c r="L1962" i="3" s="1"/>
  <c r="L1963" i="3" a="1"/>
  <c r="L1963" i="3" s="1"/>
  <c r="L1964" i="3" a="1"/>
  <c r="L1964" i="3"/>
  <c r="L1965" i="3" a="1"/>
  <c r="L1965" i="3" s="1"/>
  <c r="L1966" i="3" a="1"/>
  <c r="L1966" i="3"/>
  <c r="L1967" i="3" a="1"/>
  <c r="L1967" i="3" s="1"/>
  <c r="L1968" i="3" a="1"/>
  <c r="L1968" i="3" s="1"/>
  <c r="L1969" i="3" a="1"/>
  <c r="L1969" i="3" s="1"/>
  <c r="L1970" i="3" a="1"/>
  <c r="L1970" i="3" s="1"/>
  <c r="L1971" i="3" a="1"/>
  <c r="L1971" i="3" s="1"/>
  <c r="L1972" i="3" a="1"/>
  <c r="L1972" i="3"/>
  <c r="L1973" i="3" a="1"/>
  <c r="L1973" i="3" s="1"/>
  <c r="L1974" i="3" a="1"/>
  <c r="L1974" i="3"/>
  <c r="L1975" i="3" a="1"/>
  <c r="L1975" i="3" s="1"/>
  <c r="L1976" i="3" a="1"/>
  <c r="L1976" i="3" s="1"/>
  <c r="L1977" i="3" a="1"/>
  <c r="L1977" i="3" s="1"/>
  <c r="L1978" i="3" a="1"/>
  <c r="L1978" i="3" s="1"/>
  <c r="L1979" i="3" a="1"/>
  <c r="L1979" i="3" s="1"/>
  <c r="L1980" i="3" a="1"/>
  <c r="L1980" i="3"/>
  <c r="L1981" i="3" a="1"/>
  <c r="L1981" i="3" s="1"/>
  <c r="L1982" i="3" a="1"/>
  <c r="L1982" i="3"/>
  <c r="L1983" i="3" a="1"/>
  <c r="L1983" i="3" s="1"/>
  <c r="L1984" i="3" a="1"/>
  <c r="L1984" i="3"/>
  <c r="L1985" i="3" a="1"/>
  <c r="L1985" i="3" s="1"/>
  <c r="L1986" i="3" a="1"/>
  <c r="L1986" i="3" s="1"/>
  <c r="L1987" i="3" a="1"/>
  <c r="L1987" i="3" s="1"/>
  <c r="L1988" i="3" a="1"/>
  <c r="L1988" i="3"/>
  <c r="L1989" i="3" a="1"/>
  <c r="L1989" i="3" s="1"/>
  <c r="L1990" i="3" a="1"/>
  <c r="L1990" i="3"/>
  <c r="L1991" i="3" a="1"/>
  <c r="L1991" i="3" s="1"/>
  <c r="L1992" i="3" a="1"/>
  <c r="L1992" i="3"/>
  <c r="L1993" i="3" a="1"/>
  <c r="L1993" i="3" s="1"/>
  <c r="L1994" i="3" a="1"/>
  <c r="L1994" i="3" s="1"/>
  <c r="L1995" i="3" a="1"/>
  <c r="L1995" i="3" s="1"/>
  <c r="L1996" i="3" a="1"/>
  <c r="L1996" i="3"/>
  <c r="L1997" i="3" a="1"/>
  <c r="L1997" i="3" s="1"/>
  <c r="L1998" i="3" a="1"/>
  <c r="L1998" i="3"/>
  <c r="L1999" i="3" a="1"/>
  <c r="L1999" i="3" s="1"/>
  <c r="L2000" i="3" a="1"/>
  <c r="L2000" i="3"/>
  <c r="L2001" i="3" a="1"/>
  <c r="L2001" i="3" s="1"/>
  <c r="L2002" i="3" a="1"/>
  <c r="L2002" i="3" s="1"/>
  <c r="L2003" i="3" a="1"/>
  <c r="L2003" i="3" s="1"/>
  <c r="L2004" i="3" a="1"/>
  <c r="L2004" i="3"/>
  <c r="L2005" i="3" a="1"/>
  <c r="L2005" i="3" s="1"/>
  <c r="L2006" i="3" a="1"/>
  <c r="L2006" i="3"/>
  <c r="L2007" i="3" a="1"/>
  <c r="L2007" i="3" s="1"/>
  <c r="L2008" i="3" a="1"/>
  <c r="L2008" i="3"/>
  <c r="L2009" i="3" a="1"/>
  <c r="L2009" i="3" s="1"/>
  <c r="L2010" i="3" a="1"/>
  <c r="L2010" i="3" s="1"/>
  <c r="L2011" i="3" a="1"/>
  <c r="L2011" i="3" s="1"/>
  <c r="L2012" i="3" a="1"/>
  <c r="L2012" i="3"/>
  <c r="L2013" i="3" a="1"/>
  <c r="L2013" i="3" s="1"/>
  <c r="L2014" i="3" a="1"/>
  <c r="L2014" i="3"/>
  <c r="L2015" i="3" a="1"/>
  <c r="L2015" i="3" s="1"/>
  <c r="L2016" i="3" a="1"/>
  <c r="L2016" i="3"/>
  <c r="L2017" i="3" a="1"/>
  <c r="L2017" i="3" s="1"/>
  <c r="L2018" i="3" a="1"/>
  <c r="L2018" i="3" s="1"/>
  <c r="L2019" i="3" a="1"/>
  <c r="L2019" i="3" s="1"/>
  <c r="L2020" i="3" a="1"/>
  <c r="L2020" i="3"/>
  <c r="L2021" i="3" a="1"/>
  <c r="L2021" i="3" s="1"/>
  <c r="L2022" i="3" a="1"/>
  <c r="L2022" i="3"/>
  <c r="L2023" i="3" a="1"/>
  <c r="L2023" i="3" s="1"/>
  <c r="L2024" i="3" a="1"/>
  <c r="L2024" i="3"/>
  <c r="L2025" i="3" a="1"/>
  <c r="L2025" i="3" s="1"/>
  <c r="L2026" i="3" a="1"/>
  <c r="L2026" i="3" s="1"/>
  <c r="L2027" i="3" a="1"/>
  <c r="L2027" i="3" s="1"/>
  <c r="L2028" i="3" a="1"/>
  <c r="L2028" i="3"/>
  <c r="L2029" i="3" a="1"/>
  <c r="L2029" i="3" s="1"/>
  <c r="L2030" i="3" a="1"/>
  <c r="L2030" i="3"/>
  <c r="L2031" i="3" a="1"/>
  <c r="L2031" i="3" s="1"/>
  <c r="L2032" i="3" a="1"/>
  <c r="L2032" i="3"/>
  <c r="L2033" i="3" a="1"/>
  <c r="L2033" i="3" s="1"/>
  <c r="L2034" i="3" a="1"/>
  <c r="L2034" i="3" s="1"/>
  <c r="L2035" i="3" a="1"/>
  <c r="L2035" i="3" s="1"/>
  <c r="L2036" i="3" a="1"/>
  <c r="L2036" i="3"/>
  <c r="L2037" i="3" a="1"/>
  <c r="L2037" i="3" s="1"/>
  <c r="L2038" i="3" a="1"/>
  <c r="L2038" i="3"/>
  <c r="L2039" i="3" a="1"/>
  <c r="L2039" i="3" s="1"/>
  <c r="L2040" i="3" a="1"/>
  <c r="L2040" i="3"/>
  <c r="L2041" i="3" a="1"/>
  <c r="L2041" i="3" s="1"/>
  <c r="L2042" i="3" a="1"/>
  <c r="L2042" i="3" s="1"/>
  <c r="L2043" i="3" a="1"/>
  <c r="L2043" i="3" s="1"/>
  <c r="L2044" i="3" a="1"/>
  <c r="L2044" i="3"/>
  <c r="L2045" i="3" a="1"/>
  <c r="L2045" i="3" s="1"/>
  <c r="L2046" i="3" a="1"/>
  <c r="L2046" i="3"/>
  <c r="L2047" i="3" a="1"/>
  <c r="L2047" i="3" s="1"/>
  <c r="L2048" i="3" a="1"/>
  <c r="L2048" i="3" s="1"/>
  <c r="L2049" i="3" a="1"/>
  <c r="L2049" i="3" s="1"/>
  <c r="L2050" i="3" a="1"/>
  <c r="L2050" i="3" s="1"/>
  <c r="L2051" i="3" a="1"/>
  <c r="L2051" i="3" s="1"/>
  <c r="L2052" i="3" a="1"/>
  <c r="L2052" i="3"/>
  <c r="L2053" i="3" a="1"/>
  <c r="L2053" i="3" s="1"/>
  <c r="L2054" i="3" a="1"/>
  <c r="L2054" i="3"/>
  <c r="L2055" i="3" a="1"/>
  <c r="L2055" i="3" s="1"/>
  <c r="L2056" i="3" a="1"/>
  <c r="L2056" i="3" s="1"/>
  <c r="L2057" i="3" a="1"/>
  <c r="L2057" i="3" s="1"/>
  <c r="L2058" i="3" a="1"/>
  <c r="L2058" i="3" s="1"/>
  <c r="L2059" i="3" a="1"/>
  <c r="L2059" i="3" s="1"/>
  <c r="L2060" i="3" a="1"/>
  <c r="L2060" i="3"/>
  <c r="L2061" i="3" a="1"/>
  <c r="L2061" i="3" s="1"/>
  <c r="L2062" i="3" a="1"/>
  <c r="L2062" i="3"/>
  <c r="L2063" i="3" a="1"/>
  <c r="L2063" i="3" s="1"/>
  <c r="L2064" i="3" a="1"/>
  <c r="L2064" i="3"/>
  <c r="L2065" i="3" a="1"/>
  <c r="L2065" i="3" s="1"/>
  <c r="L2066" i="3" a="1"/>
  <c r="L2066" i="3" s="1"/>
  <c r="L2067" i="3" a="1"/>
  <c r="L2067" i="3" s="1"/>
  <c r="L2068" i="3" a="1"/>
  <c r="L2068" i="3"/>
  <c r="L2069" i="3" a="1"/>
  <c r="L2069" i="3" s="1"/>
  <c r="L2070" i="3" a="1"/>
  <c r="L2070" i="3"/>
  <c r="L2071" i="3" a="1"/>
  <c r="L2071" i="3" s="1"/>
  <c r="L2072" i="3" a="1"/>
  <c r="L2072" i="3"/>
  <c r="L2073" i="3" a="1"/>
  <c r="L2073" i="3" s="1"/>
  <c r="L2074" i="3" a="1"/>
  <c r="L2074" i="3" s="1"/>
  <c r="L2075" i="3" a="1"/>
  <c r="L2075" i="3" s="1"/>
  <c r="L2076" i="3" a="1"/>
  <c r="L2076" i="3"/>
  <c r="L2077" i="3" a="1"/>
  <c r="L2077" i="3" s="1"/>
  <c r="L2078" i="3" a="1"/>
  <c r="L2078" i="3"/>
  <c r="L2079" i="3" a="1"/>
  <c r="L2079" i="3" s="1"/>
  <c r="L2080" i="3" a="1"/>
  <c r="L2080" i="3"/>
  <c r="L2081" i="3" a="1"/>
  <c r="L2081" i="3" s="1"/>
  <c r="L2082" i="3" a="1"/>
  <c r="L2082" i="3" s="1"/>
  <c r="L2083" i="3" a="1"/>
  <c r="L2083" i="3" s="1"/>
  <c r="L2084" i="3" a="1"/>
  <c r="L2084" i="3"/>
  <c r="L2085" i="3" a="1"/>
  <c r="L2085" i="3" s="1"/>
  <c r="L2086" i="3" a="1"/>
  <c r="L2086" i="3"/>
  <c r="L2087" i="3" a="1"/>
  <c r="L2087" i="3" s="1"/>
  <c r="L2088" i="3" a="1"/>
  <c r="L2088" i="3"/>
  <c r="L2089" i="3" a="1"/>
  <c r="L2089" i="3" s="1"/>
  <c r="L2090" i="3" a="1"/>
  <c r="L2090" i="3" s="1"/>
  <c r="L2091" i="3" a="1"/>
  <c r="L2091" i="3" s="1"/>
  <c r="L2092" i="3" a="1"/>
  <c r="L2092" i="3"/>
  <c r="L2093" i="3" a="1"/>
  <c r="L2093" i="3" s="1"/>
  <c r="L2094" i="3" a="1"/>
  <c r="L2094" i="3"/>
  <c r="L2095" i="3" a="1"/>
  <c r="L2095" i="3" s="1"/>
  <c r="L2096" i="3" a="1"/>
  <c r="L2096" i="3"/>
  <c r="L2097" i="3" a="1"/>
  <c r="L2097" i="3" s="1"/>
  <c r="L2098" i="3" a="1"/>
  <c r="L2098" i="3" s="1"/>
  <c r="L2099" i="3" a="1"/>
  <c r="L2099" i="3" s="1"/>
  <c r="L2100" i="3" a="1"/>
  <c r="L2100" i="3"/>
  <c r="L2101" i="3" a="1"/>
  <c r="L2101" i="3" s="1"/>
  <c r="L2102" i="3" a="1"/>
  <c r="L2102" i="3"/>
  <c r="L2103" i="3" a="1"/>
  <c r="L2103" i="3" s="1"/>
  <c r="L2104" i="3" a="1"/>
  <c r="L2104" i="3"/>
  <c r="L2105" i="3" a="1"/>
  <c r="L2105" i="3" s="1"/>
  <c r="L2106" i="3" a="1"/>
  <c r="L2106" i="3" s="1"/>
  <c r="L2107" i="3" a="1"/>
  <c r="L2107" i="3" s="1"/>
  <c r="L2108" i="3" a="1"/>
  <c r="L2108" i="3"/>
  <c r="L2109" i="3" a="1"/>
  <c r="L2109" i="3" s="1"/>
  <c r="L2110" i="3" a="1"/>
  <c r="L2110" i="3"/>
  <c r="L2111" i="3" a="1"/>
  <c r="L2111" i="3" s="1"/>
  <c r="L2112" i="3" a="1"/>
  <c r="L2112" i="3" s="1"/>
  <c r="L2113" i="3" a="1"/>
  <c r="L2113" i="3" s="1"/>
  <c r="L2114" i="3" a="1"/>
  <c r="L2114" i="3" s="1"/>
  <c r="L2115" i="3" a="1"/>
  <c r="L2115" i="3" s="1"/>
  <c r="L2116" i="3" a="1"/>
  <c r="L2116" i="3"/>
  <c r="L2117" i="3" a="1"/>
  <c r="L2117" i="3" s="1"/>
  <c r="L2118" i="3" a="1"/>
  <c r="L2118" i="3"/>
  <c r="L2119" i="3" a="1"/>
  <c r="L2119" i="3" s="1"/>
  <c r="L2120" i="3" a="1"/>
  <c r="L2120" i="3"/>
  <c r="L2121" i="3" a="1"/>
  <c r="L2121" i="3" s="1"/>
  <c r="L2122" i="3" a="1"/>
  <c r="L2122" i="3" s="1"/>
  <c r="L2123" i="3" a="1"/>
  <c r="L2123" i="3" s="1"/>
  <c r="L2124" i="3" a="1"/>
  <c r="L2124" i="3"/>
  <c r="L2125" i="3" a="1"/>
  <c r="L2125" i="3" s="1"/>
  <c r="L2126" i="3" a="1"/>
  <c r="L2126" i="3"/>
  <c r="L2127" i="3" a="1"/>
  <c r="L2127" i="3" s="1"/>
  <c r="L2128" i="3" a="1"/>
  <c r="L2128" i="3" s="1"/>
  <c r="L2129" i="3" a="1"/>
  <c r="L2129" i="3" s="1"/>
  <c r="L2130" i="3" a="1"/>
  <c r="L2130" i="3" s="1"/>
  <c r="L2131" i="3" a="1"/>
  <c r="L2131" i="3" s="1"/>
  <c r="L2132" i="3" a="1"/>
  <c r="L2132" i="3"/>
  <c r="L2133" i="3" a="1"/>
  <c r="L2133" i="3" s="1"/>
  <c r="L2134" i="3" a="1"/>
  <c r="L2134" i="3"/>
  <c r="L2135" i="3" a="1"/>
  <c r="L2135" i="3" s="1"/>
  <c r="L2136" i="3" a="1"/>
  <c r="L2136" i="3" s="1"/>
  <c r="L2137" i="3" a="1"/>
  <c r="L2137" i="3" s="1"/>
  <c r="L2138" i="3" a="1"/>
  <c r="L2138" i="3" s="1"/>
  <c r="L2139" i="3" a="1"/>
  <c r="L2139" i="3" s="1"/>
  <c r="L2140" i="3" a="1"/>
  <c r="L2140" i="3"/>
  <c r="L2141" i="3" a="1"/>
  <c r="L2141" i="3" s="1"/>
  <c r="L2142" i="3" a="1"/>
  <c r="L2142" i="3"/>
  <c r="L2143" i="3" a="1"/>
  <c r="L2143" i="3" s="1"/>
  <c r="L2144" i="3" a="1"/>
  <c r="L2144" i="3" s="1"/>
  <c r="L2145" i="3" a="1"/>
  <c r="L2145" i="3" s="1"/>
  <c r="L2146" i="3" a="1"/>
  <c r="L2146" i="3" s="1"/>
  <c r="L2147" i="3" a="1"/>
  <c r="L2147" i="3" s="1"/>
  <c r="L2148" i="3" a="1"/>
  <c r="L2148" i="3"/>
  <c r="L2149" i="3" a="1"/>
  <c r="L2149" i="3" s="1"/>
  <c r="L2150" i="3" a="1"/>
  <c r="L2150" i="3"/>
  <c r="L2151" i="3" a="1"/>
  <c r="L2151" i="3" s="1"/>
  <c r="L2152" i="3" a="1"/>
  <c r="L2152" i="3"/>
  <c r="L2153" i="3" a="1"/>
  <c r="L2153" i="3" s="1"/>
  <c r="L2154" i="3" a="1"/>
  <c r="L2154" i="3" s="1"/>
  <c r="L2155" i="3" a="1"/>
  <c r="L2155" i="3" s="1"/>
  <c r="L2156" i="3" a="1"/>
  <c r="L2156" i="3"/>
  <c r="L2157" i="3" a="1"/>
  <c r="L2157" i="3" s="1"/>
  <c r="L2158" i="3" a="1"/>
  <c r="L2158" i="3"/>
  <c r="L2159" i="3" a="1"/>
  <c r="L2159" i="3" s="1"/>
  <c r="L2160" i="3" a="1"/>
  <c r="L2160" i="3" s="1"/>
  <c r="L2161" i="3" a="1"/>
  <c r="L2161" i="3" s="1"/>
  <c r="L2162" i="3" a="1"/>
  <c r="L2162" i="3" s="1"/>
  <c r="L2163" i="3" a="1"/>
  <c r="L2163" i="3" s="1"/>
  <c r="L2164" i="3" a="1"/>
  <c r="L2164" i="3"/>
  <c r="L2165" i="3" a="1"/>
  <c r="L2165" i="3" s="1"/>
  <c r="L2166" i="3" a="1"/>
  <c r="L2166" i="3"/>
  <c r="L2167" i="3" a="1"/>
  <c r="L2167" i="3" s="1"/>
  <c r="L2168" i="3" a="1"/>
  <c r="L2168" i="3"/>
  <c r="L2169" i="3" a="1"/>
  <c r="L2169" i="3" s="1"/>
  <c r="L2170" i="3" a="1"/>
  <c r="L2170" i="3" s="1"/>
  <c r="L2171" i="3" a="1"/>
  <c r="L2171" i="3" s="1"/>
  <c r="L2172" i="3" a="1"/>
  <c r="L2172" i="3"/>
  <c r="L2173" i="3" a="1"/>
  <c r="L2173" i="3" s="1"/>
  <c r="L2174" i="3" a="1"/>
  <c r="L2174" i="3"/>
  <c r="L2175" i="3" a="1"/>
  <c r="L2175" i="3" s="1"/>
  <c r="L2176" i="3" a="1"/>
  <c r="L2176" i="3" s="1"/>
  <c r="L2177" i="3" a="1"/>
  <c r="L2177" i="3" s="1"/>
  <c r="L2178" i="3" a="1"/>
  <c r="L2178" i="3" s="1"/>
  <c r="L2179" i="3" a="1"/>
  <c r="L2179" i="3" s="1"/>
  <c r="L2180" i="3" a="1"/>
  <c r="L2180" i="3"/>
  <c r="L2181" i="3" a="1"/>
  <c r="L2181" i="3" s="1"/>
  <c r="L2182" i="3" a="1"/>
  <c r="L2182" i="3"/>
  <c r="L2183" i="3" a="1"/>
  <c r="L2183" i="3" s="1"/>
  <c r="L2184" i="3" a="1"/>
  <c r="L2184" i="3" s="1"/>
  <c r="L2185" i="3" a="1"/>
  <c r="L2185" i="3" s="1"/>
  <c r="L2186" i="3" a="1"/>
  <c r="L2186" i="3" s="1"/>
  <c r="L2187" i="3" a="1"/>
  <c r="L2187" i="3" s="1"/>
  <c r="L2188" i="3" a="1"/>
  <c r="L2188" i="3"/>
  <c r="L2189" i="3" a="1"/>
  <c r="L2189" i="3" s="1"/>
  <c r="L2190" i="3" a="1"/>
  <c r="L2190" i="3"/>
  <c r="L2191" i="3" a="1"/>
  <c r="L2191" i="3" s="1"/>
  <c r="L2192" i="3" a="1"/>
  <c r="L2192" i="3"/>
  <c r="L2193" i="3" a="1"/>
  <c r="L2193" i="3" s="1"/>
  <c r="L2194" i="3" a="1"/>
  <c r="L2194" i="3" s="1"/>
  <c r="L2195" i="3" a="1"/>
  <c r="L2195" i="3" s="1"/>
  <c r="L2196" i="3" a="1"/>
  <c r="L2196" i="3"/>
  <c r="L2197" i="3" a="1"/>
  <c r="L2197" i="3" s="1"/>
  <c r="L2198" i="3" a="1"/>
  <c r="L2198" i="3"/>
  <c r="L2199" i="3" a="1"/>
  <c r="L2199" i="3" s="1"/>
  <c r="L2200" i="3" a="1"/>
  <c r="L2200" i="3" s="1"/>
  <c r="L2201" i="3" a="1"/>
  <c r="L2201" i="3" s="1"/>
  <c r="L2202" i="3" a="1"/>
  <c r="L2202" i="3" s="1"/>
  <c r="L2203" i="3" a="1"/>
  <c r="L2203" i="3" s="1"/>
  <c r="L2204" i="3" a="1"/>
  <c r="L2204" i="3"/>
  <c r="L2205" i="3" a="1"/>
  <c r="L2205" i="3" s="1"/>
  <c r="L2206" i="3" a="1"/>
  <c r="L2206" i="3"/>
  <c r="L2207" i="3" a="1"/>
  <c r="L2207" i="3" s="1"/>
  <c r="L2208" i="3" a="1"/>
  <c r="L2208" i="3" s="1"/>
  <c r="L2209" i="3" a="1"/>
  <c r="L2209" i="3" s="1"/>
  <c r="L2210" i="3" a="1"/>
  <c r="L2210" i="3" s="1"/>
  <c r="L2211" i="3" a="1"/>
  <c r="L2211" i="3" s="1"/>
  <c r="L2212" i="3" a="1"/>
  <c r="L2212" i="3"/>
  <c r="L2213" i="3" a="1"/>
  <c r="L2213" i="3" s="1"/>
  <c r="L2214" i="3" a="1"/>
  <c r="L2214" i="3"/>
  <c r="L2215" i="3" a="1"/>
  <c r="L2215" i="3" s="1"/>
  <c r="L2216" i="3" a="1"/>
  <c r="L2216" i="3"/>
  <c r="L2217" i="3" a="1"/>
  <c r="L2217" i="3" s="1"/>
  <c r="L2218" i="3" a="1"/>
  <c r="L2218" i="3" s="1"/>
  <c r="L2219" i="3" a="1"/>
  <c r="L2219" i="3" s="1"/>
  <c r="L2220" i="3" a="1"/>
  <c r="L2220" i="3"/>
  <c r="L2221" i="3" a="1"/>
  <c r="L2221" i="3" s="1"/>
  <c r="L2222" i="3" a="1"/>
  <c r="L2222" i="3"/>
  <c r="L2223" i="3" a="1"/>
  <c r="L2223" i="3" s="1"/>
  <c r="L2224" i="3" a="1"/>
  <c r="L2224" i="3"/>
  <c r="L2225" i="3" a="1"/>
  <c r="L2225" i="3" s="1"/>
  <c r="L2226" i="3" a="1"/>
  <c r="L2226" i="3" s="1"/>
  <c r="L2227" i="3" a="1"/>
  <c r="L2227" i="3" s="1"/>
  <c r="L2228" i="3" a="1"/>
  <c r="L2228" i="3"/>
  <c r="L2229" i="3" a="1"/>
  <c r="L2229" i="3" s="1"/>
  <c r="L2230" i="3" a="1"/>
  <c r="L2230" i="3"/>
  <c r="L2231" i="3" a="1"/>
  <c r="L2231" i="3" s="1"/>
  <c r="L2232" i="3" a="1"/>
  <c r="L2232" i="3"/>
  <c r="L2233" i="3" a="1"/>
  <c r="L2233" i="3" s="1"/>
  <c r="L2234" i="3" a="1"/>
  <c r="L2234" i="3" s="1"/>
  <c r="L2235" i="3" a="1"/>
  <c r="L2235" i="3" s="1"/>
  <c r="L2236" i="3" a="1"/>
  <c r="L2236" i="3" s="1"/>
  <c r="L2237" i="3" a="1"/>
  <c r="L2237" i="3" s="1"/>
  <c r="L2238" i="3" a="1"/>
  <c r="L2238" i="3"/>
  <c r="L2239" i="3" a="1"/>
  <c r="L2239" i="3" s="1"/>
  <c r="L2240" i="3" a="1"/>
  <c r="L2240" i="3"/>
  <c r="L2241" i="3" a="1"/>
  <c r="L2241" i="3" s="1"/>
  <c r="L2242" i="3" a="1"/>
  <c r="L2242" i="3" s="1"/>
  <c r="L2243" i="3" a="1"/>
  <c r="L2243" i="3" s="1"/>
  <c r="L2244" i="3" a="1"/>
  <c r="L2244" i="3" s="1"/>
  <c r="L2245" i="3" a="1"/>
  <c r="L2245" i="3" s="1"/>
  <c r="L2246" i="3" a="1"/>
  <c r="L2246" i="3"/>
  <c r="L2247" i="3" a="1"/>
  <c r="L2247" i="3" s="1"/>
  <c r="L2248" i="3" a="1"/>
  <c r="L2248" i="3"/>
  <c r="L2249" i="3" a="1"/>
  <c r="L2249" i="3" s="1"/>
  <c r="L2250" i="3" a="1"/>
  <c r="L2250" i="3" s="1"/>
  <c r="L2251" i="3" a="1"/>
  <c r="L2251" i="3" s="1"/>
  <c r="L2252" i="3" a="1"/>
  <c r="L2252" i="3" s="1"/>
  <c r="L2253" i="3" a="1"/>
  <c r="L2253" i="3" s="1"/>
  <c r="L2254" i="3" a="1"/>
  <c r="L2254" i="3"/>
  <c r="L2255" i="3" a="1"/>
  <c r="L2255" i="3" s="1"/>
  <c r="L2256" i="3" a="1"/>
  <c r="L2256" i="3" s="1"/>
  <c r="L2257" i="3" a="1"/>
  <c r="L2257" i="3" s="1"/>
  <c r="L2258" i="3" a="1"/>
  <c r="L2258" i="3" s="1"/>
  <c r="L2259" i="3" a="1"/>
  <c r="L2259" i="3" s="1"/>
  <c r="L2260" i="3" a="1"/>
  <c r="L2260" i="3" s="1"/>
  <c r="L2261" i="3" a="1"/>
  <c r="L2261" i="3" s="1"/>
  <c r="L2262" i="3" a="1"/>
  <c r="L2262" i="3"/>
  <c r="L2263" i="3" a="1"/>
  <c r="L2263" i="3" s="1"/>
  <c r="L2264" i="3" a="1"/>
  <c r="L2264" i="3" s="1"/>
  <c r="L2265" i="3" a="1"/>
  <c r="L2265" i="3" s="1"/>
  <c r="L2266" i="3" a="1"/>
  <c r="L2266" i="3" s="1"/>
  <c r="L2267" i="3" a="1"/>
  <c r="L2267" i="3" s="1"/>
  <c r="L2268" i="3" a="1"/>
  <c r="L2268" i="3" s="1"/>
  <c r="L2269" i="3" a="1"/>
  <c r="L2269" i="3" s="1"/>
  <c r="L2270" i="3" a="1"/>
  <c r="L2270" i="3"/>
  <c r="L2271" i="3" a="1"/>
  <c r="L2271" i="3" s="1"/>
  <c r="L2272" i="3" a="1"/>
  <c r="L2272" i="3" s="1"/>
  <c r="L2273" i="3" a="1"/>
  <c r="L2273" i="3" s="1"/>
  <c r="L2274" i="3" a="1"/>
  <c r="L2274" i="3" s="1"/>
  <c r="L2275" i="3" a="1"/>
  <c r="L2275" i="3" s="1"/>
  <c r="L2276" i="3" a="1"/>
  <c r="L2276" i="3" s="1"/>
  <c r="L2277" i="3" a="1"/>
  <c r="L2277" i="3" s="1"/>
  <c r="L2278" i="3" a="1"/>
  <c r="L2278" i="3"/>
  <c r="L2279" i="3" a="1"/>
  <c r="L2279" i="3" s="1"/>
  <c r="L2280" i="3" a="1"/>
  <c r="L2280" i="3" s="1"/>
  <c r="L2281" i="3" a="1"/>
  <c r="L2281" i="3" s="1"/>
  <c r="L2282" i="3" a="1"/>
  <c r="L2282" i="3" s="1"/>
  <c r="L2283" i="3" a="1"/>
  <c r="L2283" i="3" s="1"/>
  <c r="L2284" i="3" a="1"/>
  <c r="L2284" i="3"/>
  <c r="L2285" i="3" a="1"/>
  <c r="L2285" i="3" s="1"/>
  <c r="L2286" i="3" a="1"/>
  <c r="L2286" i="3"/>
  <c r="L2287" i="3" a="1"/>
  <c r="L2287" i="3" s="1"/>
  <c r="L2288" i="3" a="1"/>
  <c r="L2288" i="3" s="1"/>
  <c r="L2289" i="3" a="1"/>
  <c r="L2289" i="3" s="1"/>
  <c r="L2290" i="3" a="1"/>
  <c r="L2290" i="3" s="1"/>
  <c r="L2291" i="3" a="1"/>
  <c r="L2291" i="3" s="1"/>
  <c r="L2292" i="3" a="1"/>
  <c r="L2292" i="3"/>
  <c r="L2293" i="3" a="1"/>
  <c r="L2293" i="3" s="1"/>
  <c r="L2294" i="3" a="1"/>
  <c r="L2294" i="3"/>
  <c r="L2295" i="3" a="1"/>
  <c r="L2295" i="3" s="1"/>
  <c r="L2296" i="3" a="1"/>
  <c r="L2296" i="3" s="1"/>
  <c r="L2297" i="3" a="1"/>
  <c r="L2297" i="3" s="1"/>
  <c r="L2298" i="3" a="1"/>
  <c r="L2298" i="3" s="1"/>
  <c r="L2299" i="3" a="1"/>
  <c r="L2299" i="3" s="1"/>
  <c r="L2300" i="3" a="1"/>
  <c r="L2300" i="3"/>
  <c r="L2301" i="3" a="1"/>
  <c r="L2301" i="3" s="1"/>
  <c r="L2302" i="3" a="1"/>
  <c r="L2302" i="3"/>
  <c r="L2303" i="3" a="1"/>
  <c r="L2303" i="3" s="1"/>
  <c r="L2304" i="3" a="1"/>
  <c r="L2304" i="3" s="1"/>
  <c r="L2305" i="3" a="1"/>
  <c r="L2305" i="3" s="1"/>
  <c r="L2306" i="3" a="1"/>
  <c r="L2306" i="3" s="1"/>
  <c r="L2307" i="3" a="1"/>
  <c r="L2307" i="3" s="1"/>
  <c r="L2308" i="3" a="1"/>
  <c r="L2308" i="3"/>
  <c r="L2309" i="3" a="1"/>
  <c r="L2309" i="3" s="1"/>
  <c r="L2310" i="3" a="1"/>
  <c r="L2310" i="3"/>
  <c r="L2311" i="3" a="1"/>
  <c r="L2311" i="3" s="1"/>
  <c r="L2312" i="3" a="1"/>
  <c r="L2312" i="3"/>
  <c r="L2313" i="3" a="1"/>
  <c r="L2313" i="3" s="1"/>
  <c r="L2314" i="3" a="1"/>
  <c r="L2314" i="3" s="1"/>
  <c r="L2315" i="3" a="1"/>
  <c r="L2315" i="3" s="1"/>
  <c r="L2316" i="3" a="1"/>
  <c r="L2316" i="3"/>
  <c r="L2317" i="3" a="1"/>
  <c r="L2317" i="3" s="1"/>
  <c r="L2318" i="3" a="1"/>
  <c r="L2318" i="3"/>
  <c r="L2319" i="3" a="1"/>
  <c r="L2319" i="3" s="1"/>
  <c r="L2320" i="3" a="1"/>
  <c r="L2320" i="3" s="1"/>
  <c r="L2321" i="3" a="1"/>
  <c r="L2321" i="3" s="1"/>
  <c r="L2322" i="3" a="1"/>
  <c r="L2322" i="3" s="1"/>
  <c r="L2323" i="3" a="1"/>
  <c r="L2323" i="3" s="1"/>
  <c r="L2324" i="3" a="1"/>
  <c r="L2324" i="3"/>
  <c r="L2325" i="3" a="1"/>
  <c r="L2325" i="3" s="1"/>
  <c r="L2326" i="3" a="1"/>
  <c r="L2326" i="3"/>
  <c r="L2327" i="3" a="1"/>
  <c r="L2327" i="3" s="1"/>
  <c r="L2328" i="3" a="1"/>
  <c r="L2328" i="3" s="1"/>
  <c r="L2329" i="3" a="1"/>
  <c r="L2329" i="3" s="1"/>
  <c r="L2330" i="3" a="1"/>
  <c r="L2330" i="3" s="1"/>
  <c r="L2331" i="3" a="1"/>
  <c r="L2331" i="3" s="1"/>
  <c r="L2332" i="3" a="1"/>
  <c r="L2332" i="3"/>
  <c r="L2333" i="3" a="1"/>
  <c r="L2333" i="3" s="1"/>
  <c r="L2334" i="3" a="1"/>
  <c r="L2334" i="3"/>
  <c r="L2335" i="3" a="1"/>
  <c r="L2335" i="3" s="1"/>
  <c r="L2336" i="3" a="1"/>
  <c r="L2336" i="3" s="1"/>
  <c r="L2337" i="3" a="1"/>
  <c r="L2337" i="3" s="1"/>
  <c r="L2338" i="3" a="1"/>
  <c r="L2338" i="3" s="1"/>
  <c r="L2339" i="3" a="1"/>
  <c r="L2339" i="3" s="1"/>
  <c r="L2340" i="3" a="1"/>
  <c r="L2340" i="3"/>
  <c r="L2341" i="3" a="1"/>
  <c r="L2341" i="3" s="1"/>
  <c r="L2342" i="3" a="1"/>
  <c r="L2342" i="3"/>
  <c r="L2343" i="3" a="1"/>
  <c r="L2343" i="3" s="1"/>
  <c r="L2344" i="3" a="1"/>
  <c r="L2344" i="3" s="1"/>
  <c r="L2345" i="3" a="1"/>
  <c r="L2345" i="3" s="1"/>
  <c r="L2346" i="3" a="1"/>
  <c r="L2346" i="3" s="1"/>
  <c r="L2347" i="3" a="1"/>
  <c r="L2347" i="3" s="1"/>
  <c r="L2348" i="3" a="1"/>
  <c r="L2348" i="3"/>
  <c r="L2349" i="3" a="1"/>
  <c r="L2349" i="3" s="1"/>
  <c r="L2350" i="3" a="1"/>
  <c r="L2350" i="3"/>
  <c r="L2351" i="3" a="1"/>
  <c r="L2351" i="3" s="1"/>
  <c r="L2352" i="3" a="1"/>
  <c r="L2352" i="3" s="1"/>
  <c r="L2353" i="3" a="1"/>
  <c r="L2353" i="3" s="1"/>
  <c r="L2354" i="3" a="1"/>
  <c r="L2354" i="3" s="1"/>
  <c r="L2355" i="3" a="1"/>
  <c r="L2355" i="3" s="1"/>
  <c r="L2356" i="3" a="1"/>
  <c r="L2356" i="3"/>
  <c r="L2357" i="3" a="1"/>
  <c r="L2357" i="3" s="1"/>
  <c r="L2358" i="3" a="1"/>
  <c r="L2358" i="3"/>
  <c r="L2359" i="3" a="1"/>
  <c r="L2359" i="3" s="1"/>
  <c r="L2360" i="3" a="1"/>
  <c r="L2360" i="3" s="1"/>
  <c r="L2361" i="3" a="1"/>
  <c r="L2361" i="3" s="1"/>
  <c r="L2362" i="3" a="1"/>
  <c r="L2362" i="3" s="1"/>
  <c r="L2363" i="3" a="1"/>
  <c r="L2363" i="3" s="1"/>
  <c r="L2364" i="3" a="1"/>
  <c r="L2364" i="3"/>
  <c r="L2365" i="3" a="1"/>
  <c r="L2365" i="3" s="1"/>
  <c r="L2366" i="3" a="1"/>
  <c r="L2366" i="3"/>
  <c r="L2367" i="3" a="1"/>
  <c r="L2367" i="3" s="1"/>
  <c r="L2368" i="3" a="1"/>
  <c r="L2368" i="3" s="1"/>
  <c r="L2369" i="3" a="1"/>
  <c r="L2369" i="3" s="1"/>
  <c r="L2370" i="3" a="1"/>
  <c r="L2370" i="3" s="1"/>
  <c r="L2371" i="3" a="1"/>
  <c r="L2371" i="3" s="1"/>
  <c r="L2372" i="3" a="1"/>
  <c r="L2372" i="3"/>
  <c r="L2373" i="3" a="1"/>
  <c r="L2373" i="3" s="1"/>
  <c r="L2374" i="3" a="1"/>
  <c r="L2374" i="3"/>
  <c r="L2375" i="3" a="1"/>
  <c r="L2375" i="3" s="1"/>
  <c r="L2376" i="3" a="1"/>
  <c r="L2376" i="3" s="1"/>
  <c r="L2377" i="3" a="1"/>
  <c r="L2377" i="3" s="1"/>
  <c r="L2378" i="3" a="1"/>
  <c r="L2378" i="3" s="1"/>
  <c r="L2379" i="3" a="1"/>
  <c r="L2379" i="3" s="1"/>
  <c r="L2380" i="3" a="1"/>
  <c r="L2380" i="3"/>
  <c r="L2381" i="3" a="1"/>
  <c r="L2381" i="3" s="1"/>
  <c r="L2382" i="3" a="1"/>
  <c r="L2382" i="3"/>
  <c r="L2383" i="3" a="1"/>
  <c r="L2383" i="3" s="1"/>
  <c r="L2384" i="3" a="1"/>
  <c r="L2384" i="3" s="1"/>
  <c r="L2385" i="3" a="1"/>
  <c r="L2385" i="3" s="1"/>
  <c r="L2386" i="3" a="1"/>
  <c r="L2386" i="3" s="1"/>
  <c r="L2387" i="3" a="1"/>
  <c r="L2387" i="3" s="1"/>
  <c r="L2388" i="3" a="1"/>
  <c r="L2388" i="3"/>
  <c r="L2389" i="3" a="1"/>
  <c r="L2389" i="3" s="1"/>
  <c r="L2390" i="3" a="1"/>
  <c r="L2390" i="3"/>
  <c r="L2391" i="3" a="1"/>
  <c r="L2391" i="3" s="1"/>
  <c r="L2392" i="3" a="1"/>
  <c r="L2392" i="3" s="1"/>
  <c r="L2393" i="3" a="1"/>
  <c r="L2393" i="3" s="1"/>
  <c r="L2394" i="3" a="1"/>
  <c r="L2394" i="3" s="1"/>
  <c r="L2395" i="3" a="1"/>
  <c r="L2395" i="3" s="1"/>
  <c r="L2396" i="3" a="1"/>
  <c r="L2396" i="3"/>
  <c r="L2397" i="3" a="1"/>
  <c r="L2397" i="3" s="1"/>
  <c r="L2398" i="3" a="1"/>
  <c r="L2398" i="3"/>
  <c r="L2399" i="3" a="1"/>
  <c r="L2399" i="3" s="1"/>
  <c r="L2400" i="3" a="1"/>
  <c r="L2400" i="3" s="1"/>
  <c r="L2401" i="3" a="1"/>
  <c r="L2401" i="3" s="1"/>
  <c r="L2402" i="3" a="1"/>
  <c r="L2402" i="3" s="1"/>
  <c r="L2403" i="3" a="1"/>
  <c r="L2403" i="3" s="1"/>
  <c r="L2404" i="3" a="1"/>
  <c r="L2404" i="3"/>
  <c r="L2405" i="3" a="1"/>
  <c r="L2405" i="3" s="1"/>
  <c r="L2406" i="3" a="1"/>
  <c r="L2406" i="3"/>
  <c r="L2407" i="3" a="1"/>
  <c r="L2407" i="3" s="1"/>
  <c r="L2408" i="3" a="1"/>
  <c r="L2408" i="3" s="1"/>
  <c r="L2409" i="3" a="1"/>
  <c r="L2409" i="3" s="1"/>
  <c r="L2410" i="3" a="1"/>
  <c r="L2410" i="3" s="1"/>
  <c r="L2411" i="3" a="1"/>
  <c r="L2411" i="3" s="1"/>
  <c r="L2412" i="3" a="1"/>
  <c r="L2412" i="3"/>
  <c r="L2413" i="3" a="1"/>
  <c r="L2413" i="3" s="1"/>
  <c r="L2414" i="3" a="1"/>
  <c r="L2414" i="3"/>
  <c r="L2415" i="3" a="1"/>
  <c r="L2415" i="3" s="1"/>
  <c r="L2416" i="3" a="1"/>
  <c r="L2416" i="3" s="1"/>
  <c r="L2417" i="3" a="1"/>
  <c r="L2417" i="3" s="1"/>
  <c r="L2418" i="3" a="1"/>
  <c r="L2418" i="3" s="1"/>
  <c r="L2419" i="3" a="1"/>
  <c r="L2419" i="3" s="1"/>
  <c r="L2420" i="3" a="1"/>
  <c r="L2420" i="3"/>
  <c r="L2421" i="3" a="1"/>
  <c r="L2421" i="3" s="1"/>
  <c r="L2422" i="3" a="1"/>
  <c r="L2422" i="3"/>
  <c r="L2423" i="3" a="1"/>
  <c r="L2423" i="3" s="1"/>
  <c r="L2424" i="3" a="1"/>
  <c r="L2424" i="3" s="1"/>
  <c r="L2425" i="3" a="1"/>
  <c r="L2425" i="3" s="1"/>
  <c r="L2426" i="3" a="1"/>
  <c r="L2426" i="3" s="1"/>
  <c r="L2427" i="3" a="1"/>
  <c r="L2427" i="3" s="1"/>
  <c r="L2428" i="3" a="1"/>
  <c r="L2428" i="3"/>
  <c r="L2429" i="3" a="1"/>
  <c r="L2429" i="3" s="1"/>
  <c r="L2430" i="3" a="1"/>
  <c r="L2430" i="3"/>
  <c r="L2431" i="3" a="1"/>
  <c r="L2431" i="3" s="1"/>
  <c r="L2432" i="3" a="1"/>
  <c r="L2432" i="3" s="1"/>
  <c r="L2433" i="3" a="1"/>
  <c r="L2433" i="3" s="1"/>
  <c r="L2434" i="3" a="1"/>
  <c r="L2434" i="3" s="1"/>
  <c r="L2435" i="3" a="1"/>
  <c r="L2435" i="3" s="1"/>
  <c r="L2436" i="3" a="1"/>
  <c r="L2436" i="3"/>
  <c r="L2437" i="3" a="1"/>
  <c r="L2437" i="3" s="1"/>
  <c r="L2438" i="3" a="1"/>
  <c r="L2438" i="3"/>
  <c r="L2439" i="3" a="1"/>
  <c r="L2439" i="3" s="1"/>
  <c r="L2440" i="3" a="1"/>
  <c r="L2440" i="3" s="1"/>
  <c r="L2441" i="3" a="1"/>
  <c r="L2441" i="3" s="1"/>
  <c r="L2442" i="3" a="1"/>
  <c r="L2442" i="3" s="1"/>
  <c r="L2443" i="3" a="1"/>
  <c r="L2443" i="3" s="1"/>
  <c r="L2444" i="3" a="1"/>
  <c r="L2444" i="3"/>
  <c r="L2445" i="3" a="1"/>
  <c r="L2445" i="3" s="1"/>
  <c r="L2446" i="3" a="1"/>
  <c r="L2446" i="3"/>
  <c r="L2447" i="3" a="1"/>
  <c r="L2447" i="3" s="1"/>
  <c r="L2448" i="3" a="1"/>
  <c r="L2448" i="3" s="1"/>
  <c r="L2449" i="3" a="1"/>
  <c r="L2449" i="3" s="1"/>
  <c r="L2450" i="3" a="1"/>
  <c r="L2450" i="3" s="1"/>
  <c r="L2451" i="3" a="1"/>
  <c r="L2451" i="3" s="1"/>
  <c r="L2452" i="3" a="1"/>
  <c r="L2452" i="3"/>
  <c r="L2453" i="3" a="1"/>
  <c r="L2453" i="3" s="1"/>
  <c r="L2454" i="3" a="1"/>
  <c r="L2454" i="3"/>
  <c r="L2455" i="3" a="1"/>
  <c r="L2455" i="3" s="1"/>
  <c r="L2456" i="3" a="1"/>
  <c r="L2456" i="3" s="1"/>
  <c r="L2457" i="3" a="1"/>
  <c r="L2457" i="3" s="1"/>
  <c r="L2458" i="3" a="1"/>
  <c r="L2458" i="3" s="1"/>
  <c r="L2459" i="3" a="1"/>
  <c r="L2459" i="3" s="1"/>
  <c r="L2460" i="3" a="1"/>
  <c r="L2460" i="3"/>
  <c r="L2461" i="3" a="1"/>
  <c r="L2461" i="3" s="1"/>
  <c r="L2462" i="3" a="1"/>
  <c r="L2462" i="3"/>
  <c r="L2463" i="3" a="1"/>
  <c r="L2463" i="3" s="1"/>
  <c r="L2464" i="3" a="1"/>
  <c r="L2464" i="3" s="1"/>
  <c r="L2465" i="3" a="1"/>
  <c r="L2465" i="3" s="1"/>
  <c r="L2466" i="3" a="1"/>
  <c r="L2466" i="3" s="1"/>
  <c r="L2467" i="3" a="1"/>
  <c r="L2467" i="3" s="1"/>
  <c r="L2468" i="3" a="1"/>
  <c r="L2468" i="3"/>
  <c r="L2469" i="3" a="1"/>
  <c r="L2469" i="3" s="1"/>
  <c r="L2470" i="3" a="1"/>
  <c r="L2470" i="3"/>
  <c r="L2471" i="3" a="1"/>
  <c r="L2471" i="3" s="1"/>
  <c r="L2472" i="3" a="1"/>
  <c r="L2472" i="3" s="1"/>
  <c r="L2473" i="3" a="1"/>
  <c r="L2473" i="3" s="1"/>
  <c r="L2474" i="3" a="1"/>
  <c r="L2474" i="3" s="1"/>
  <c r="L2475" i="3" a="1"/>
  <c r="L2475" i="3" s="1"/>
  <c r="L2476" i="3" a="1"/>
  <c r="L2476" i="3"/>
  <c r="L2477" i="3" a="1"/>
  <c r="L2477" i="3" s="1"/>
  <c r="L2478" i="3" a="1"/>
  <c r="L2478" i="3"/>
  <c r="L2479" i="3" a="1"/>
  <c r="L2479" i="3" s="1"/>
  <c r="L2480" i="3" a="1"/>
  <c r="L2480" i="3" s="1"/>
  <c r="L2481" i="3" a="1"/>
  <c r="L2481" i="3" s="1"/>
  <c r="L2482" i="3" a="1"/>
  <c r="L2482" i="3" s="1"/>
  <c r="L2483" i="3" a="1"/>
  <c r="L2483" i="3" s="1"/>
  <c r="L2484" i="3" a="1"/>
  <c r="L2484" i="3"/>
  <c r="L2485" i="3" a="1"/>
  <c r="L2485" i="3" s="1"/>
  <c r="L2486" i="3" a="1"/>
  <c r="L2486" i="3"/>
  <c r="L2487" i="3" a="1"/>
  <c r="L2487" i="3" s="1"/>
  <c r="L2488" i="3" a="1"/>
  <c r="L2488" i="3" s="1"/>
  <c r="L2489" i="3" a="1"/>
  <c r="L2489" i="3" s="1"/>
  <c r="L2490" i="3" a="1"/>
  <c r="L2490" i="3" s="1"/>
  <c r="L2491" i="3" a="1"/>
  <c r="L2491" i="3" s="1"/>
  <c r="L2492" i="3" a="1"/>
  <c r="L2492" i="3"/>
  <c r="L2493" i="3" a="1"/>
  <c r="L2493" i="3" s="1"/>
  <c r="L2494" i="3" a="1"/>
  <c r="L2494" i="3"/>
  <c r="L2495" i="3" a="1"/>
  <c r="L2495" i="3" s="1"/>
  <c r="L2496" i="3" a="1"/>
  <c r="L2496" i="3" s="1"/>
  <c r="L2497" i="3" a="1"/>
  <c r="L2497" i="3" s="1"/>
  <c r="L2498" i="3" a="1"/>
  <c r="L2498" i="3" s="1"/>
  <c r="L2499" i="3" a="1"/>
  <c r="L2499" i="3" s="1"/>
  <c r="L2500" i="3" a="1"/>
  <c r="L2500" i="3"/>
  <c r="L2501" i="3" a="1"/>
  <c r="L2501" i="3" s="1"/>
  <c r="L2502" i="3" a="1"/>
  <c r="L2502" i="3"/>
  <c r="L2503" i="3" a="1"/>
  <c r="L2503" i="3" s="1"/>
  <c r="L2504" i="3" a="1"/>
  <c r="L2504" i="3" s="1"/>
  <c r="L2505" i="3" a="1"/>
  <c r="L2505" i="3" s="1"/>
  <c r="L2506" i="3" a="1"/>
  <c r="L2506" i="3" s="1"/>
  <c r="L2507" i="3" a="1"/>
  <c r="L2507" i="3" s="1"/>
  <c r="L2508" i="3" a="1"/>
  <c r="L2508" i="3"/>
  <c r="L2509" i="3" a="1"/>
  <c r="L2509" i="3" s="1"/>
  <c r="L2510" i="3" a="1"/>
  <c r="L2510" i="3"/>
  <c r="L2511" i="3" a="1"/>
  <c r="L2511" i="3" s="1"/>
  <c r="L2512" i="3" a="1"/>
  <c r="L2512" i="3" s="1"/>
  <c r="L2513" i="3" a="1"/>
  <c r="L2513" i="3" s="1"/>
  <c r="L2514" i="3" a="1"/>
  <c r="L2514" i="3" s="1"/>
  <c r="L2515" i="3" a="1"/>
  <c r="L2515" i="3" s="1"/>
  <c r="L2516" i="3" a="1"/>
  <c r="L2516" i="3"/>
  <c r="L2517" i="3" a="1"/>
  <c r="L2517" i="3" s="1"/>
  <c r="L2518" i="3" a="1"/>
  <c r="L2518" i="3"/>
  <c r="L2519" i="3" a="1"/>
  <c r="L2519" i="3" s="1"/>
  <c r="L2520" i="3" a="1"/>
  <c r="L2520" i="3" s="1"/>
  <c r="L2521" i="3" a="1"/>
  <c r="L2521" i="3" s="1"/>
  <c r="L2522" i="3" a="1"/>
  <c r="L2522" i="3" s="1"/>
  <c r="L2523" i="3" a="1"/>
  <c r="L2523" i="3" s="1"/>
  <c r="L2524" i="3" a="1"/>
  <c r="L2524" i="3"/>
  <c r="L2525" i="3" a="1"/>
  <c r="L2525" i="3" s="1"/>
  <c r="L2526" i="3" a="1"/>
  <c r="L2526" i="3"/>
  <c r="L2527" i="3" a="1"/>
  <c r="L2527" i="3" s="1"/>
  <c r="L2528" i="3" a="1"/>
  <c r="L2528" i="3" s="1"/>
  <c r="L2529" i="3" a="1"/>
  <c r="L2529" i="3" s="1"/>
  <c r="L2530" i="3" a="1"/>
  <c r="L2530" i="3" s="1"/>
  <c r="L2531" i="3" a="1"/>
  <c r="L2531" i="3" s="1"/>
  <c r="L2532" i="3" a="1"/>
  <c r="L2532" i="3"/>
  <c r="L2533" i="3" a="1"/>
  <c r="L2533" i="3" s="1"/>
  <c r="L2534" i="3" a="1"/>
  <c r="L2534" i="3"/>
  <c r="L2535" i="3" a="1"/>
  <c r="L2535" i="3" s="1"/>
  <c r="L2536" i="3" a="1"/>
  <c r="L2536" i="3"/>
  <c r="L2537" i="3" a="1"/>
  <c r="L2537" i="3" s="1"/>
  <c r="L2538" i="3" a="1"/>
  <c r="L2538" i="3"/>
  <c r="L2539" i="3" a="1"/>
  <c r="L2539" i="3" s="1"/>
  <c r="L2540" i="3" a="1"/>
  <c r="L2540" i="3"/>
  <c r="L2541" i="3" a="1"/>
  <c r="L2541" i="3" s="1"/>
  <c r="L2542" i="3" a="1"/>
  <c r="L2542" i="3"/>
  <c r="L2543" i="3" a="1"/>
  <c r="L2543" i="3" s="1"/>
  <c r="L2544" i="3" a="1"/>
  <c r="L2544" i="3"/>
  <c r="L2545" i="3" a="1"/>
  <c r="L2545" i="3" s="1"/>
  <c r="L2546" i="3" a="1"/>
  <c r="L2546" i="3"/>
  <c r="L2547" i="3" a="1"/>
  <c r="L2547" i="3" s="1"/>
  <c r="L2548" i="3" a="1"/>
  <c r="L2548" i="3"/>
  <c r="L2549" i="3" a="1"/>
  <c r="L2549" i="3" s="1"/>
  <c r="L2550" i="3" a="1"/>
  <c r="L2550" i="3"/>
  <c r="L2551" i="3" a="1"/>
  <c r="L2551" i="3" s="1"/>
  <c r="L2552" i="3" a="1"/>
  <c r="L2552" i="3"/>
  <c r="L2553" i="3" a="1"/>
  <c r="L2553" i="3" s="1"/>
  <c r="L2554" i="3" a="1"/>
  <c r="L2554" i="3"/>
  <c r="L2555" i="3" a="1"/>
  <c r="L2555" i="3" s="1"/>
  <c r="L2556" i="3" a="1"/>
  <c r="L2556" i="3"/>
  <c r="L2557" i="3" a="1"/>
  <c r="L2557" i="3" s="1"/>
  <c r="L2558" i="3" a="1"/>
  <c r="L2558" i="3"/>
  <c r="L2559" i="3" a="1"/>
  <c r="L2559" i="3" s="1"/>
  <c r="L2560" i="3" a="1"/>
  <c r="L2560" i="3"/>
  <c r="L2561" i="3" a="1"/>
  <c r="L2561" i="3" s="1"/>
  <c r="L2562" i="3" a="1"/>
  <c r="L2562" i="3"/>
  <c r="L2563" i="3" a="1"/>
  <c r="L2563" i="3" s="1"/>
  <c r="L2564" i="3" a="1"/>
  <c r="L2564" i="3"/>
  <c r="L2565" i="3" a="1"/>
  <c r="L2565" i="3" s="1"/>
  <c r="L2566" i="3" a="1"/>
  <c r="L2566" i="3" s="1"/>
  <c r="L2567" i="3" a="1"/>
  <c r="L2567" i="3" s="1"/>
  <c r="L2568" i="3" a="1"/>
  <c r="L2568" i="3" s="1"/>
  <c r="L2569" i="3" a="1"/>
  <c r="L2569" i="3" s="1"/>
  <c r="L2570" i="3" a="1"/>
  <c r="L2570" i="3" s="1"/>
  <c r="L2571" i="3" a="1"/>
  <c r="L2571" i="3" s="1"/>
  <c r="L2572" i="3" a="1"/>
  <c r="L2572" i="3" s="1"/>
  <c r="L2573" i="3" a="1"/>
  <c r="L2573" i="3" s="1"/>
  <c r="L2574" i="3" a="1"/>
  <c r="L2574" i="3" s="1"/>
  <c r="L2575" i="3" a="1"/>
  <c r="L2575" i="3" s="1"/>
  <c r="L2576" i="3" a="1"/>
  <c r="L2576" i="3" s="1"/>
  <c r="L2577" i="3" a="1"/>
  <c r="L2577" i="3" s="1"/>
  <c r="L2578" i="3" a="1"/>
  <c r="L2578" i="3" s="1"/>
  <c r="L2579" i="3" a="1"/>
  <c r="L2579" i="3" s="1"/>
  <c r="L2580" i="3" a="1"/>
  <c r="L2580" i="3" s="1"/>
  <c r="L2581" i="3" a="1"/>
  <c r="L2581" i="3" s="1"/>
  <c r="L2582" i="3" a="1"/>
  <c r="L2582" i="3" s="1"/>
  <c r="L2583" i="3" a="1"/>
  <c r="L2583" i="3" s="1"/>
  <c r="L2584" i="3" a="1"/>
  <c r="L2584" i="3" s="1"/>
  <c r="L2585" i="3" a="1"/>
  <c r="L2585" i="3" s="1"/>
  <c r="L2586" i="3" a="1"/>
  <c r="L2586" i="3" s="1"/>
  <c r="L2587" i="3" a="1"/>
  <c r="L2587" i="3" s="1"/>
  <c r="L2588" i="3" a="1"/>
  <c r="L2588" i="3" s="1"/>
  <c r="L2589" i="3" a="1"/>
  <c r="L2589" i="3" s="1"/>
  <c r="L2590" i="3" a="1"/>
  <c r="L2590" i="3" s="1"/>
  <c r="L2591" i="3" a="1"/>
  <c r="L2591" i="3" s="1"/>
  <c r="L2592" i="3" a="1"/>
  <c r="L2592" i="3" s="1"/>
  <c r="L2593" i="3" a="1"/>
  <c r="L2593" i="3" s="1"/>
  <c r="L2594" i="3" a="1"/>
  <c r="L2594" i="3" s="1"/>
  <c r="L2595" i="3" a="1"/>
  <c r="L2595" i="3" s="1"/>
  <c r="L2596" i="3" a="1"/>
  <c r="L2596" i="3" s="1"/>
  <c r="L2597" i="3" a="1"/>
  <c r="L2597" i="3" s="1"/>
  <c r="L2598" i="3" a="1"/>
  <c r="L2598" i="3" s="1"/>
  <c r="L2599" i="3" a="1"/>
  <c r="L2599" i="3" s="1"/>
  <c r="L2600" i="3" a="1"/>
  <c r="L2600" i="3" s="1"/>
  <c r="L2601" i="3" a="1"/>
  <c r="L2601" i="3" s="1"/>
  <c r="L2602" i="3" a="1"/>
  <c r="L2602" i="3" s="1"/>
  <c r="L2603" i="3" a="1"/>
  <c r="L2603" i="3" s="1"/>
  <c r="L2604" i="3" a="1"/>
  <c r="L2604" i="3" s="1"/>
  <c r="L2605" i="3" a="1"/>
  <c r="L2605" i="3" s="1"/>
  <c r="L2606" i="3" a="1"/>
  <c r="L2606" i="3" s="1"/>
  <c r="L2607" i="3" a="1"/>
  <c r="L2607" i="3" s="1"/>
  <c r="L2608" i="3" a="1"/>
  <c r="L2608" i="3" s="1"/>
  <c r="L2609" i="3" a="1"/>
  <c r="L2609" i="3" s="1"/>
  <c r="L2610" i="3" a="1"/>
  <c r="L2610" i="3" s="1"/>
  <c r="L2611" i="3" a="1"/>
  <c r="L2611" i="3" s="1"/>
  <c r="L2612" i="3" a="1"/>
  <c r="L2612" i="3" s="1"/>
  <c r="L2613" i="3" a="1"/>
  <c r="L2613" i="3" s="1"/>
  <c r="L2614" i="3" a="1"/>
  <c r="L2614" i="3" s="1"/>
  <c r="L2615" i="3" a="1"/>
  <c r="L2615" i="3" s="1"/>
  <c r="L2616" i="3" a="1"/>
  <c r="L2616" i="3" s="1"/>
  <c r="L2617" i="3" a="1"/>
  <c r="L2617" i="3" s="1"/>
  <c r="L2618" i="3" a="1"/>
  <c r="L2618" i="3" s="1"/>
  <c r="L2619" i="3" a="1"/>
  <c r="L2619" i="3" s="1"/>
  <c r="L2620" i="3" a="1"/>
  <c r="L2620" i="3" s="1"/>
  <c r="L2621" i="3" a="1"/>
  <c r="L2621" i="3" s="1"/>
  <c r="L2622" i="3" a="1"/>
  <c r="L2622" i="3" s="1"/>
  <c r="L2623" i="3" a="1"/>
  <c r="L2623" i="3" s="1"/>
  <c r="L2624" i="3" a="1"/>
  <c r="L2624" i="3" s="1"/>
  <c r="L2625" i="3" a="1"/>
  <c r="L2625" i="3" s="1"/>
  <c r="L2626" i="3" a="1"/>
  <c r="L2626" i="3" s="1"/>
  <c r="L2627" i="3" a="1"/>
  <c r="L2627" i="3" s="1"/>
  <c r="L2628" i="3" a="1"/>
  <c r="L2628" i="3" s="1"/>
  <c r="L2629" i="3" a="1"/>
  <c r="L2629" i="3" s="1"/>
  <c r="L2630" i="3" a="1"/>
  <c r="L2630" i="3" s="1"/>
  <c r="L2631" i="3" a="1"/>
  <c r="L2631" i="3" s="1"/>
  <c r="L2632" i="3" a="1"/>
  <c r="L2632" i="3" s="1"/>
  <c r="L2633" i="3" a="1"/>
  <c r="L2633" i="3" s="1"/>
  <c r="L2634" i="3" a="1"/>
  <c r="L2634" i="3" s="1"/>
  <c r="L2635" i="3" a="1"/>
  <c r="L2635" i="3" s="1"/>
  <c r="L2636" i="3" a="1"/>
  <c r="L2636" i="3" s="1"/>
  <c r="L2637" i="3" a="1"/>
  <c r="L2637" i="3" s="1"/>
  <c r="L2638" i="3" a="1"/>
  <c r="L2638" i="3" s="1"/>
  <c r="L2639" i="3" a="1"/>
  <c r="L2639" i="3" s="1"/>
  <c r="L2640" i="3" a="1"/>
  <c r="L2640" i="3" s="1"/>
  <c r="L2641" i="3" a="1"/>
  <c r="L2641" i="3" s="1"/>
  <c r="L2642" i="3" a="1"/>
  <c r="L2642" i="3" s="1"/>
  <c r="L2643" i="3" a="1"/>
  <c r="L2643" i="3" s="1"/>
  <c r="L2644" i="3" a="1"/>
  <c r="L2644" i="3" s="1"/>
  <c r="L2645" i="3" a="1"/>
  <c r="L2645" i="3" s="1"/>
  <c r="L2646" i="3" a="1"/>
  <c r="L2646" i="3" s="1"/>
  <c r="L2647" i="3" a="1"/>
  <c r="L2647" i="3" s="1"/>
  <c r="L2648" i="3" a="1"/>
  <c r="L2648" i="3" s="1"/>
  <c r="L2649" i="3" a="1"/>
  <c r="L2649" i="3" s="1"/>
  <c r="L2650" i="3" a="1"/>
  <c r="L2650" i="3" s="1"/>
  <c r="L2651" i="3" a="1"/>
  <c r="L2651" i="3" s="1"/>
  <c r="L2652" i="3" a="1"/>
  <c r="L2652" i="3" s="1"/>
  <c r="L2653" i="3" a="1"/>
  <c r="L2653" i="3" s="1"/>
  <c r="L2654" i="3" a="1"/>
  <c r="L2654" i="3" s="1"/>
  <c r="L2655" i="3" a="1"/>
  <c r="L2655" i="3" s="1"/>
  <c r="L2656" i="3" a="1"/>
  <c r="L2656" i="3" s="1"/>
  <c r="L2657" i="3" a="1"/>
  <c r="L2657" i="3" s="1"/>
  <c r="L2658" i="3" a="1"/>
  <c r="L2658" i="3" s="1"/>
  <c r="L2659" i="3" a="1"/>
  <c r="L2659" i="3" s="1"/>
  <c r="L2660" i="3" a="1"/>
  <c r="L2660" i="3" s="1"/>
  <c r="L2661" i="3" a="1"/>
  <c r="L2661" i="3" s="1"/>
  <c r="L2662" i="3" a="1"/>
  <c r="L2662" i="3" s="1"/>
  <c r="L2663" i="3" a="1"/>
  <c r="L2663" i="3" s="1"/>
  <c r="L2664" i="3" a="1"/>
  <c r="L2664" i="3" s="1"/>
  <c r="L2665" i="3" a="1"/>
  <c r="L2665" i="3" s="1"/>
  <c r="L2666" i="3" a="1"/>
  <c r="L2666" i="3" s="1"/>
  <c r="L2667" i="3" a="1"/>
  <c r="L2667" i="3" s="1"/>
  <c r="L2668" i="3" a="1"/>
  <c r="L2668" i="3" s="1"/>
  <c r="L2669" i="3" a="1"/>
  <c r="L2669" i="3" s="1"/>
  <c r="L2670" i="3" a="1"/>
  <c r="L2670" i="3" s="1"/>
  <c r="L2671" i="3" a="1"/>
  <c r="L2671" i="3" s="1"/>
  <c r="L2672" i="3" a="1"/>
  <c r="L2672" i="3" s="1"/>
  <c r="L2673" i="3" a="1"/>
  <c r="L2673" i="3" s="1"/>
  <c r="L2674" i="3" a="1"/>
  <c r="L2674" i="3" s="1"/>
  <c r="L2675" i="3" a="1"/>
  <c r="L2675" i="3" s="1"/>
  <c r="L2676" i="3" a="1"/>
  <c r="L2676" i="3" s="1"/>
  <c r="L2677" i="3" a="1"/>
  <c r="L2677" i="3" s="1"/>
  <c r="L2678" i="3" a="1"/>
  <c r="L2678" i="3" s="1"/>
  <c r="L2679" i="3" a="1"/>
  <c r="L2679" i="3" s="1"/>
  <c r="L2680" i="3" a="1"/>
  <c r="L2680" i="3" s="1"/>
  <c r="L2681" i="3" a="1"/>
  <c r="L2681" i="3" s="1"/>
  <c r="L2682" i="3" a="1"/>
  <c r="L2682" i="3" s="1"/>
  <c r="L2683" i="3" a="1"/>
  <c r="L2683" i="3" s="1"/>
  <c r="L2684" i="3" a="1"/>
  <c r="L2684" i="3" s="1"/>
  <c r="L2685" i="3" a="1"/>
  <c r="L2685" i="3" s="1"/>
  <c r="L2686" i="3" a="1"/>
  <c r="L2686" i="3" s="1"/>
  <c r="L2687" i="3" a="1"/>
  <c r="L2687" i="3" s="1"/>
  <c r="L2688" i="3" a="1"/>
  <c r="L2688" i="3" s="1"/>
  <c r="L2689" i="3" a="1"/>
  <c r="L2689" i="3" s="1"/>
  <c r="L2690" i="3" a="1"/>
  <c r="L2690" i="3" s="1"/>
  <c r="L2691" i="3" a="1"/>
  <c r="L2691" i="3" s="1"/>
  <c r="L2692" i="3" a="1"/>
  <c r="L2692" i="3" s="1"/>
  <c r="L2693" i="3" a="1"/>
  <c r="L2693" i="3" s="1"/>
  <c r="L2694" i="3" a="1"/>
  <c r="L2694" i="3" s="1"/>
  <c r="L2695" i="3" a="1"/>
  <c r="L2695" i="3" s="1"/>
  <c r="L2696" i="3" a="1"/>
  <c r="L2696" i="3" s="1"/>
  <c r="L2697" i="3" a="1"/>
  <c r="L2697" i="3" s="1"/>
  <c r="L2698" i="3" a="1"/>
  <c r="L2698" i="3" s="1"/>
  <c r="L2699" i="3" a="1"/>
  <c r="L2699" i="3" s="1"/>
  <c r="L2700" i="3" a="1"/>
  <c r="L2700" i="3" s="1"/>
  <c r="L2701" i="3" a="1"/>
  <c r="L2701" i="3" s="1"/>
  <c r="L2702" i="3" a="1"/>
  <c r="L2702" i="3" s="1"/>
  <c r="L2703" i="3" a="1"/>
  <c r="L2703" i="3" s="1"/>
  <c r="L2704" i="3" a="1"/>
  <c r="L2704" i="3" s="1"/>
  <c r="L2705" i="3" a="1"/>
  <c r="L2705" i="3" s="1"/>
  <c r="L2706" i="3" a="1"/>
  <c r="L2706" i="3" s="1"/>
  <c r="L2707" i="3" a="1"/>
  <c r="L2707" i="3" s="1"/>
  <c r="L2708" i="3" a="1"/>
  <c r="L2708" i="3" s="1"/>
  <c r="L2709" i="3" a="1"/>
  <c r="L2709" i="3" s="1"/>
  <c r="L2710" i="3" a="1"/>
  <c r="L2710" i="3" s="1"/>
  <c r="L2711" i="3" a="1"/>
  <c r="L2711" i="3" s="1"/>
  <c r="L2712" i="3" a="1"/>
  <c r="L2712" i="3" s="1"/>
  <c r="L2713" i="3" a="1"/>
  <c r="L2713" i="3" s="1"/>
  <c r="L2714" i="3" a="1"/>
  <c r="L2714" i="3" s="1"/>
  <c r="L2715" i="3" a="1"/>
  <c r="L2715" i="3" s="1"/>
  <c r="L2716" i="3" a="1"/>
  <c r="L2716" i="3" s="1"/>
  <c r="L2717" i="3" a="1"/>
  <c r="L2717" i="3" s="1"/>
  <c r="L2718" i="3" a="1"/>
  <c r="L2718" i="3" s="1"/>
  <c r="L2719" i="3" a="1"/>
  <c r="L2719" i="3" s="1"/>
  <c r="L2720" i="3" a="1"/>
  <c r="L2720" i="3" s="1"/>
  <c r="L2721" i="3" a="1"/>
  <c r="L2721" i="3" s="1"/>
  <c r="L2722" i="3" a="1"/>
  <c r="L2722" i="3" s="1"/>
  <c r="L2723" i="3" a="1"/>
  <c r="L2723" i="3" s="1"/>
  <c r="L2724" i="3" a="1"/>
  <c r="L2724" i="3" s="1"/>
  <c r="L2725" i="3" a="1"/>
  <c r="L2725" i="3" s="1"/>
  <c r="L2726" i="3" a="1"/>
  <c r="L2726" i="3" s="1"/>
  <c r="L2727" i="3" a="1"/>
  <c r="L2727" i="3" s="1"/>
  <c r="L2728" i="3" a="1"/>
  <c r="L2728" i="3" s="1"/>
  <c r="L2729" i="3" a="1"/>
  <c r="L2729" i="3" s="1"/>
  <c r="L2730" i="3" a="1"/>
  <c r="L2730" i="3" s="1"/>
  <c r="L2731" i="3" a="1"/>
  <c r="L2731" i="3" s="1"/>
  <c r="L2732" i="3" a="1"/>
  <c r="L2732" i="3" s="1"/>
  <c r="L2733" i="3" a="1"/>
  <c r="L2733" i="3" s="1"/>
  <c r="L2734" i="3" a="1"/>
  <c r="L2734" i="3" s="1"/>
  <c r="L2735" i="3" a="1"/>
  <c r="L2735" i="3" s="1"/>
  <c r="L2736" i="3" a="1"/>
  <c r="L2736" i="3" s="1"/>
  <c r="L2737" i="3" a="1"/>
  <c r="L2737" i="3" s="1"/>
  <c r="L2738" i="3" a="1"/>
  <c r="L2738" i="3" s="1"/>
  <c r="L2739" i="3" a="1"/>
  <c r="L2739" i="3" s="1"/>
  <c r="L2740" i="3" a="1"/>
  <c r="L2740" i="3" s="1"/>
  <c r="L2741" i="3" a="1"/>
  <c r="L2741" i="3" s="1"/>
  <c r="L2742" i="3" a="1"/>
  <c r="L2742" i="3" s="1"/>
  <c r="L2743" i="3" a="1"/>
  <c r="L2743" i="3" s="1"/>
  <c r="L2744" i="3" a="1"/>
  <c r="L2744" i="3" s="1"/>
  <c r="L2745" i="3" a="1"/>
  <c r="L2745" i="3" s="1"/>
  <c r="L2746" i="3" a="1"/>
  <c r="L2746" i="3" s="1"/>
  <c r="L2747" i="3" a="1"/>
  <c r="L2747" i="3" s="1"/>
  <c r="L2748" i="3" a="1"/>
  <c r="L2748" i="3" s="1"/>
  <c r="L2749" i="3" a="1"/>
  <c r="L2749" i="3" s="1"/>
  <c r="L2750" i="3" a="1"/>
  <c r="L2750" i="3" s="1"/>
  <c r="L2751" i="3" a="1"/>
  <c r="L2751" i="3" s="1"/>
  <c r="L2752" i="3" a="1"/>
  <c r="L2752" i="3" s="1"/>
  <c r="L2753" i="3" a="1"/>
  <c r="L2753" i="3" s="1"/>
  <c r="L2754" i="3" a="1"/>
  <c r="L2754" i="3" s="1"/>
  <c r="L2755" i="3" a="1"/>
  <c r="L2755" i="3" s="1"/>
  <c r="L2756" i="3" a="1"/>
  <c r="L2756" i="3" s="1"/>
  <c r="L2757" i="3" a="1"/>
  <c r="L2757" i="3" s="1"/>
  <c r="L2758" i="3" a="1"/>
  <c r="L2758" i="3" s="1"/>
  <c r="L2759" i="3" a="1"/>
  <c r="L2759" i="3" s="1"/>
  <c r="L2760" i="3" a="1"/>
  <c r="L2760" i="3" s="1"/>
  <c r="L2761" i="3" a="1"/>
  <c r="L2761" i="3" s="1"/>
  <c r="L2762" i="3" a="1"/>
  <c r="L2762" i="3" s="1"/>
  <c r="L2763" i="3" a="1"/>
  <c r="L2763" i="3" s="1"/>
  <c r="L2764" i="3" a="1"/>
  <c r="L2764" i="3" s="1"/>
  <c r="L2765" i="3" a="1"/>
  <c r="L2765" i="3" s="1"/>
  <c r="L2766" i="3" a="1"/>
  <c r="L2766" i="3" s="1"/>
  <c r="L2767" i="3" a="1"/>
  <c r="L2767" i="3" s="1"/>
  <c r="L2768" i="3" a="1"/>
  <c r="L2768" i="3" s="1"/>
  <c r="L2769" i="3" a="1"/>
  <c r="L2769" i="3" s="1"/>
  <c r="L2770" i="3" a="1"/>
  <c r="L2770" i="3" s="1"/>
  <c r="L2771" i="3" a="1"/>
  <c r="L2771" i="3" s="1"/>
  <c r="L2772" i="3" a="1"/>
  <c r="L2772" i="3" s="1"/>
  <c r="L2773" i="3" a="1"/>
  <c r="L2773" i="3" s="1"/>
  <c r="L2774" i="3" a="1"/>
  <c r="L2774" i="3" s="1"/>
  <c r="L2775" i="3" a="1"/>
  <c r="L2775" i="3" s="1"/>
  <c r="L2776" i="3" a="1"/>
  <c r="L2776" i="3" s="1"/>
  <c r="L2777" i="3" a="1"/>
  <c r="L2777" i="3" s="1"/>
  <c r="L2778" i="3" a="1"/>
  <c r="L2778" i="3" s="1"/>
  <c r="L2779" i="3" a="1"/>
  <c r="L2779" i="3" s="1"/>
  <c r="L2780" i="3" a="1"/>
  <c r="L2780" i="3" s="1"/>
  <c r="L2781" i="3" a="1"/>
  <c r="L2781" i="3" s="1"/>
  <c r="L2782" i="3" a="1"/>
  <c r="L2782" i="3" s="1"/>
  <c r="L2783" i="3" a="1"/>
  <c r="L2783" i="3" s="1"/>
  <c r="L2784" i="3" a="1"/>
  <c r="L2784" i="3" s="1"/>
  <c r="L2785" i="3" a="1"/>
  <c r="L2785" i="3" s="1"/>
  <c r="L2786" i="3" a="1"/>
  <c r="L2786" i="3" s="1"/>
  <c r="L2787" i="3" a="1"/>
  <c r="L2787" i="3" s="1"/>
  <c r="L2788" i="3" a="1"/>
  <c r="L2788" i="3" s="1"/>
  <c r="L2789" i="3" a="1"/>
  <c r="L2789" i="3" s="1"/>
  <c r="L2790" i="3" a="1"/>
  <c r="L2790" i="3" s="1"/>
  <c r="L2791" i="3" a="1"/>
  <c r="L2791" i="3" s="1"/>
  <c r="L2792" i="3" a="1"/>
  <c r="L2792" i="3" s="1"/>
  <c r="L2793" i="3" a="1"/>
  <c r="L2793" i="3" s="1"/>
  <c r="L2794" i="3" a="1"/>
  <c r="L2794" i="3" s="1"/>
  <c r="L2795" i="3" a="1"/>
  <c r="L2795" i="3" s="1"/>
  <c r="L2796" i="3" a="1"/>
  <c r="L2796" i="3" s="1"/>
  <c r="L2797" i="3" a="1"/>
  <c r="L2797" i="3" s="1"/>
  <c r="L2798" i="3" a="1"/>
  <c r="L2798" i="3" s="1"/>
  <c r="L2799" i="3" a="1"/>
  <c r="L2799" i="3" s="1"/>
  <c r="L2800" i="3" a="1"/>
  <c r="L2800" i="3" s="1"/>
  <c r="L2801" i="3" a="1"/>
  <c r="L2801" i="3" s="1"/>
  <c r="L2802" i="3" a="1"/>
  <c r="L2802" i="3" s="1"/>
  <c r="L2803" i="3" a="1"/>
  <c r="L2803" i="3" s="1"/>
  <c r="L2804" i="3" a="1"/>
  <c r="L2804" i="3" s="1"/>
  <c r="L2805" i="3" a="1"/>
  <c r="L2805" i="3" s="1"/>
  <c r="L2806" i="3" a="1"/>
  <c r="L2806" i="3" s="1"/>
  <c r="L2807" i="3" a="1"/>
  <c r="L2807" i="3" s="1"/>
  <c r="L2808" i="3" a="1"/>
  <c r="L2808" i="3" s="1"/>
  <c r="L2809" i="3" a="1"/>
  <c r="L2809" i="3" s="1"/>
  <c r="L2810" i="3" a="1"/>
  <c r="L2810" i="3" s="1"/>
  <c r="L2811" i="3" a="1"/>
  <c r="L2811" i="3" s="1"/>
  <c r="L2812" i="3" a="1"/>
  <c r="L2812" i="3" s="1"/>
  <c r="L2813" i="3" a="1"/>
  <c r="L2813" i="3" s="1"/>
  <c r="L2814" i="3" a="1"/>
  <c r="L2814" i="3" s="1"/>
  <c r="L2815" i="3" a="1"/>
  <c r="L2815" i="3" s="1"/>
  <c r="L2816" i="3" a="1"/>
  <c r="L2816" i="3" s="1"/>
  <c r="L2817" i="3" a="1"/>
  <c r="L2817" i="3" s="1"/>
  <c r="L2818" i="3" a="1"/>
  <c r="L2818" i="3" s="1"/>
  <c r="L2819" i="3" a="1"/>
  <c r="L2819" i="3" s="1"/>
  <c r="L2820" i="3" a="1"/>
  <c r="L2820" i="3" s="1"/>
  <c r="L2821" i="3" a="1"/>
  <c r="L2821" i="3" s="1"/>
  <c r="L2822" i="3" a="1"/>
  <c r="L2822" i="3" s="1"/>
  <c r="L2823" i="3" a="1"/>
  <c r="L2823" i="3" s="1"/>
  <c r="L2824" i="3" a="1"/>
  <c r="L2824" i="3" s="1"/>
  <c r="L2825" i="3" a="1"/>
  <c r="L2825" i="3" s="1"/>
  <c r="L2826" i="3" a="1"/>
  <c r="L2826" i="3" s="1"/>
  <c r="L2827" i="3" a="1"/>
  <c r="L2827" i="3" s="1"/>
  <c r="L2828" i="3" a="1"/>
  <c r="L2828" i="3" s="1"/>
  <c r="L2829" i="3" a="1"/>
  <c r="L2829" i="3" s="1"/>
  <c r="L2830" i="3" a="1"/>
  <c r="L2830" i="3" s="1"/>
  <c r="L2831" i="3" a="1"/>
  <c r="L2831" i="3" s="1"/>
  <c r="L2832" i="3" a="1"/>
  <c r="L2832" i="3" s="1"/>
  <c r="L2833" i="3" a="1"/>
  <c r="L2833" i="3" s="1"/>
  <c r="L2834" i="3" a="1"/>
  <c r="L2834" i="3" s="1"/>
  <c r="L2835" i="3" a="1"/>
  <c r="L2835" i="3" s="1"/>
  <c r="L2836" i="3" a="1"/>
  <c r="L2836" i="3" s="1"/>
  <c r="L2837" i="3" a="1"/>
  <c r="L2837" i="3" s="1"/>
  <c r="L2838" i="3" a="1"/>
  <c r="L2838" i="3" s="1"/>
  <c r="L2839" i="3" a="1"/>
  <c r="L2839" i="3" s="1"/>
  <c r="L2840" i="3" a="1"/>
  <c r="L2840" i="3" s="1"/>
  <c r="L2841" i="3" a="1"/>
  <c r="L2841" i="3" s="1"/>
  <c r="L2842" i="3" a="1"/>
  <c r="L2842" i="3" s="1"/>
  <c r="L2843" i="3" a="1"/>
  <c r="L2843" i="3" s="1"/>
  <c r="L2844" i="3" a="1"/>
  <c r="L2844" i="3" s="1"/>
  <c r="L2845" i="3" a="1"/>
  <c r="L2845" i="3" s="1"/>
  <c r="L2846" i="3" a="1"/>
  <c r="L2846" i="3" s="1"/>
  <c r="L2847" i="3" a="1"/>
  <c r="L2847" i="3" s="1"/>
  <c r="L2848" i="3" a="1"/>
  <c r="L2848" i="3" s="1"/>
  <c r="L2849" i="3" a="1"/>
  <c r="L2849" i="3" s="1"/>
  <c r="L2850" i="3" a="1"/>
  <c r="L2850" i="3" s="1"/>
  <c r="L2851" i="3" a="1"/>
  <c r="L2851" i="3" s="1"/>
  <c r="L2852" i="3" a="1"/>
  <c r="L2852" i="3" s="1"/>
  <c r="L2853" i="3" a="1"/>
  <c r="L2853" i="3" s="1"/>
  <c r="L2854" i="3" a="1"/>
  <c r="L2854" i="3" s="1"/>
  <c r="L2855" i="3" a="1"/>
  <c r="L2855" i="3" s="1"/>
  <c r="L2856" i="3" a="1"/>
  <c r="L2856" i="3" s="1"/>
  <c r="L2857" i="3" a="1"/>
  <c r="L2857" i="3" s="1"/>
  <c r="L2858" i="3" a="1"/>
  <c r="L2858" i="3" s="1"/>
  <c r="L2859" i="3" a="1"/>
  <c r="L2859" i="3" s="1"/>
  <c r="L2860" i="3" a="1"/>
  <c r="L2860" i="3" s="1"/>
  <c r="L2861" i="3" a="1"/>
  <c r="L2861" i="3" s="1"/>
  <c r="L2862" i="3" a="1"/>
  <c r="L2862" i="3" s="1"/>
  <c r="L2863" i="3" a="1"/>
  <c r="L2863" i="3" s="1"/>
  <c r="L2864" i="3" a="1"/>
  <c r="L2864" i="3" s="1"/>
  <c r="L2865" i="3" a="1"/>
  <c r="L2865" i="3" s="1"/>
  <c r="L2866" i="3" a="1"/>
  <c r="L2866" i="3" s="1"/>
  <c r="L2867" i="3" a="1"/>
  <c r="L2867" i="3" s="1"/>
  <c r="L2868" i="3" a="1"/>
  <c r="L2868" i="3" s="1"/>
  <c r="L2869" i="3" a="1"/>
  <c r="L2869" i="3" s="1"/>
  <c r="L2870" i="3" a="1"/>
  <c r="L2870" i="3" s="1"/>
  <c r="L2871" i="3" a="1"/>
  <c r="L2871" i="3" s="1"/>
  <c r="L2872" i="3" a="1"/>
  <c r="L2872" i="3" s="1"/>
  <c r="L2873" i="3" a="1"/>
  <c r="L2873" i="3" s="1"/>
  <c r="L2874" i="3" a="1"/>
  <c r="L2874" i="3" s="1"/>
  <c r="L2875" i="3" a="1"/>
  <c r="L2875" i="3" s="1"/>
  <c r="L2876" i="3" a="1"/>
  <c r="L2876" i="3" s="1"/>
  <c r="L2877" i="3" a="1"/>
  <c r="L2877" i="3" s="1"/>
  <c r="L2878" i="3" a="1"/>
  <c r="L2878" i="3" s="1"/>
  <c r="L2879" i="3" a="1"/>
  <c r="L2879" i="3" s="1"/>
  <c r="L2880" i="3" a="1"/>
  <c r="L2880" i="3" s="1"/>
  <c r="L2881" i="3" a="1"/>
  <c r="L2881" i="3" s="1"/>
  <c r="L2882" i="3" a="1"/>
  <c r="L2882" i="3" s="1"/>
  <c r="L2883" i="3" a="1"/>
  <c r="L2883" i="3" s="1"/>
  <c r="L2884" i="3" a="1"/>
  <c r="L2884" i="3" s="1"/>
  <c r="L2885" i="3" a="1"/>
  <c r="L2885" i="3" s="1"/>
  <c r="L2886" i="3" a="1"/>
  <c r="L2886" i="3"/>
  <c r="L2887" i="3" a="1"/>
  <c r="L2887" i="3" s="1"/>
  <c r="L2888" i="3" a="1"/>
  <c r="L2888" i="3" s="1"/>
  <c r="L2889" i="3" a="1"/>
  <c r="L2889" i="3" s="1"/>
  <c r="L2890" i="3" a="1"/>
  <c r="L2890" i="3"/>
  <c r="L2891" i="3" a="1"/>
  <c r="L2891" i="3" s="1"/>
  <c r="L2892" i="3" a="1"/>
  <c r="L2892" i="3" s="1"/>
  <c r="L2893" i="3" a="1"/>
  <c r="L2893" i="3" s="1"/>
  <c r="L2894" i="3" a="1"/>
  <c r="L2894" i="3"/>
  <c r="L2895" i="3" a="1"/>
  <c r="L2895" i="3" s="1"/>
  <c r="L2896" i="3" a="1"/>
  <c r="L2896" i="3" s="1"/>
  <c r="L2897" i="3" a="1"/>
  <c r="L2897" i="3" s="1"/>
  <c r="L2898" i="3" a="1"/>
  <c r="L2898" i="3"/>
  <c r="L2899" i="3" a="1"/>
  <c r="L2899" i="3" s="1"/>
  <c r="L2900" i="3" a="1"/>
  <c r="L2900" i="3" s="1"/>
  <c r="L2901" i="3" a="1"/>
  <c r="L2901" i="3" s="1"/>
  <c r="L2902" i="3" a="1"/>
  <c r="L2902" i="3"/>
  <c r="L2903" i="3" a="1"/>
  <c r="L2903" i="3" s="1"/>
  <c r="L2904" i="3" a="1"/>
  <c r="L2904" i="3" s="1"/>
  <c r="L2905" i="3" a="1"/>
  <c r="L2905" i="3" s="1"/>
  <c r="L2906" i="3" a="1"/>
  <c r="L2906" i="3"/>
  <c r="L2907" i="3" a="1"/>
  <c r="L2907" i="3" s="1"/>
  <c r="L2908" i="3" a="1"/>
  <c r="L2908" i="3" s="1"/>
  <c r="L2909" i="3" a="1"/>
  <c r="L2909" i="3" s="1"/>
  <c r="L2910" i="3" a="1"/>
  <c r="L2910" i="3"/>
  <c r="L2911" i="3" a="1"/>
  <c r="L2911" i="3" s="1"/>
  <c r="L2912" i="3" a="1"/>
  <c r="L2912" i="3" s="1"/>
  <c r="L2913" i="3" a="1"/>
  <c r="L2913" i="3" s="1"/>
  <c r="L2914" i="3" a="1"/>
  <c r="L2914" i="3"/>
  <c r="L2915" i="3" a="1"/>
  <c r="L2915" i="3" s="1"/>
  <c r="L2916" i="3" a="1"/>
  <c r="L2916" i="3" s="1"/>
  <c r="L2917" i="3" a="1"/>
  <c r="L2917" i="3" s="1"/>
  <c r="L2918" i="3" a="1"/>
  <c r="L2918" i="3"/>
  <c r="L2919" i="3" a="1"/>
  <c r="L2919" i="3" s="1"/>
  <c r="L2920" i="3" a="1"/>
  <c r="L2920" i="3" s="1"/>
  <c r="L2921" i="3" a="1"/>
  <c r="L2921" i="3" s="1"/>
  <c r="L2922" i="3" a="1"/>
  <c r="L2922" i="3"/>
  <c r="L2923" i="3" a="1"/>
  <c r="L2923" i="3" s="1"/>
  <c r="L2924" i="3" a="1"/>
  <c r="L2924" i="3" s="1"/>
  <c r="L2925" i="3" a="1"/>
  <c r="L2925" i="3" s="1"/>
  <c r="L2926" i="3" a="1"/>
  <c r="L2926" i="3"/>
  <c r="L2927" i="3" a="1"/>
  <c r="L2927" i="3" s="1"/>
  <c r="L2928" i="3" a="1"/>
  <c r="L2928" i="3" s="1"/>
  <c r="L2929" i="3" a="1"/>
  <c r="L2929" i="3" s="1"/>
  <c r="L2930" i="3" a="1"/>
  <c r="L2930" i="3"/>
  <c r="L2931" i="3" a="1"/>
  <c r="L2931" i="3" s="1"/>
  <c r="L2932" i="3" a="1"/>
  <c r="L2932" i="3" s="1"/>
  <c r="L2933" i="3" a="1"/>
  <c r="L2933" i="3" s="1"/>
  <c r="L2934" i="3" a="1"/>
  <c r="L2934" i="3"/>
  <c r="L2935" i="3" a="1"/>
  <c r="L2935" i="3" s="1"/>
  <c r="L2936" i="3" a="1"/>
  <c r="L2936" i="3" s="1"/>
  <c r="L2937" i="3" a="1"/>
  <c r="L2937" i="3" s="1"/>
  <c r="L2938" i="3" a="1"/>
  <c r="L2938" i="3"/>
  <c r="L2939" i="3" a="1"/>
  <c r="L2939" i="3" s="1"/>
  <c r="L2940" i="3" a="1"/>
  <c r="L2940" i="3" s="1"/>
  <c r="L2941" i="3" a="1"/>
  <c r="L2941" i="3" s="1"/>
  <c r="L2942" i="3" a="1"/>
  <c r="L2942" i="3"/>
  <c r="L2943" i="3" a="1"/>
  <c r="L2943" i="3" s="1"/>
  <c r="L2944" i="3" a="1"/>
  <c r="L2944" i="3" s="1"/>
  <c r="L2945" i="3" a="1"/>
  <c r="L2945" i="3" s="1"/>
  <c r="L2946" i="3" a="1"/>
  <c r="L2946" i="3"/>
  <c r="L2947" i="3" a="1"/>
  <c r="L2947" i="3" s="1"/>
  <c r="L2948" i="3" a="1"/>
  <c r="L2948" i="3" s="1"/>
  <c r="L2949" i="3" a="1"/>
  <c r="L2949" i="3" s="1"/>
  <c r="L2950" i="3" a="1"/>
  <c r="L2950" i="3"/>
  <c r="L2951" i="3" a="1"/>
  <c r="L2951" i="3" s="1"/>
  <c r="L2952" i="3" a="1"/>
  <c r="L2952" i="3" s="1"/>
  <c r="L2953" i="3" a="1"/>
  <c r="L2953" i="3" s="1"/>
  <c r="L2954" i="3" a="1"/>
  <c r="L2954" i="3"/>
  <c r="L2955" i="3" a="1"/>
  <c r="L2955" i="3" s="1"/>
  <c r="L2956" i="3" a="1"/>
  <c r="L2956" i="3" s="1"/>
  <c r="L2957" i="3" a="1"/>
  <c r="L2957" i="3" s="1"/>
  <c r="L2958" i="3" a="1"/>
  <c r="L2958" i="3"/>
  <c r="L2959" i="3" a="1"/>
  <c r="L2959" i="3" s="1"/>
  <c r="L2960" i="3" a="1"/>
  <c r="L2960" i="3" s="1"/>
  <c r="L2961" i="3" a="1"/>
  <c r="L2961" i="3" s="1"/>
  <c r="L2962" i="3" a="1"/>
  <c r="L2962" i="3"/>
  <c r="L2963" i="3" a="1"/>
  <c r="L2963" i="3" s="1"/>
  <c r="L2964" i="3" a="1"/>
  <c r="L2964" i="3" s="1"/>
  <c r="L2965" i="3" a="1"/>
  <c r="L2965" i="3" s="1"/>
  <c r="L2966" i="3" a="1"/>
  <c r="L2966" i="3" s="1"/>
  <c r="L2967" i="3" a="1"/>
  <c r="L2967" i="3" s="1"/>
  <c r="L2968" i="3" a="1"/>
  <c r="L2968" i="3" s="1"/>
  <c r="L2969" i="3" a="1"/>
  <c r="L2969" i="3" s="1"/>
  <c r="L2970" i="3" a="1"/>
  <c r="L2970" i="3"/>
  <c r="L2971" i="3" a="1"/>
  <c r="L2971" i="3" s="1"/>
  <c r="L2972" i="3" a="1"/>
  <c r="L2972" i="3" s="1"/>
  <c r="L2973" i="3" a="1"/>
  <c r="L2973" i="3" s="1"/>
  <c r="L2974" i="3" a="1"/>
  <c r="L2974" i="3" s="1"/>
  <c r="L2975" i="3" a="1"/>
  <c r="L2975" i="3" s="1"/>
  <c r="L2976" i="3" a="1"/>
  <c r="L2976" i="3" s="1"/>
  <c r="L2977" i="3" a="1"/>
  <c r="L2977" i="3" s="1"/>
  <c r="L2978" i="3" a="1"/>
  <c r="L2978" i="3"/>
  <c r="L2979" i="3" a="1"/>
  <c r="L2979" i="3" s="1"/>
  <c r="L2980" i="3" a="1"/>
  <c r="L2980" i="3" s="1"/>
  <c r="L2981" i="3" a="1"/>
  <c r="L2981" i="3" s="1"/>
  <c r="L2982" i="3" a="1"/>
  <c r="L2982" i="3" s="1"/>
  <c r="L2983" i="3" a="1"/>
  <c r="L2983" i="3" s="1"/>
  <c r="L2984" i="3" a="1"/>
  <c r="L2984" i="3"/>
  <c r="L2985" i="3" a="1"/>
  <c r="L2985" i="3" s="1"/>
  <c r="L2986" i="3" a="1"/>
  <c r="L2986" i="3"/>
  <c r="L2987" i="3" a="1"/>
  <c r="L2987" i="3" s="1"/>
  <c r="L2988" i="3" a="1"/>
  <c r="L2988" i="3" s="1"/>
  <c r="L2989" i="3" a="1"/>
  <c r="L2989" i="3" s="1"/>
  <c r="L2990" i="3" a="1"/>
  <c r="L2990" i="3" s="1"/>
  <c r="L2991" i="3" a="1"/>
  <c r="L2991" i="3" s="1"/>
  <c r="L2992" i="3" a="1"/>
  <c r="L2992" i="3"/>
  <c r="L2993" i="3" a="1"/>
  <c r="L2993" i="3" s="1"/>
  <c r="L2994" i="3" a="1"/>
  <c r="L2994" i="3"/>
  <c r="L2995" i="3" a="1"/>
  <c r="L2995" i="3" s="1"/>
  <c r="L2996" i="3" a="1"/>
  <c r="L2996" i="3" s="1"/>
  <c r="L2997" i="3" a="1"/>
  <c r="L2997" i="3" s="1"/>
  <c r="L2998" i="3" a="1"/>
  <c r="L2998" i="3" s="1"/>
  <c r="L2999" i="3" a="1"/>
  <c r="L2999" i="3" s="1"/>
  <c r="L3000" i="3" a="1"/>
  <c r="L3000" i="3"/>
  <c r="L3001" i="3" a="1"/>
  <c r="L3001" i="3" s="1"/>
  <c r="L2" i="3" a="1"/>
  <c r="L2" i="3" s="1"/>
  <c r="K3" i="3" a="1"/>
  <c r="K3" i="3" s="1"/>
  <c r="K4" i="3" a="1"/>
  <c r="K4" i="3"/>
  <c r="K5" i="3" a="1"/>
  <c r="K5" i="3" s="1"/>
  <c r="K6" i="3" a="1"/>
  <c r="K6" i="3" s="1"/>
  <c r="K7" i="3" a="1"/>
  <c r="K7" i="3" s="1"/>
  <c r="K8" i="3" a="1"/>
  <c r="K8" i="3" s="1"/>
  <c r="K9" i="3" a="1"/>
  <c r="K9" i="3" s="1"/>
  <c r="K10" i="3" a="1"/>
  <c r="K10" i="3"/>
  <c r="K11" i="3" a="1"/>
  <c r="K11" i="3" s="1"/>
  <c r="K12" i="3" a="1"/>
  <c r="K12" i="3"/>
  <c r="K13" i="3" a="1"/>
  <c r="K13" i="3" s="1"/>
  <c r="K14" i="3" a="1"/>
  <c r="K14" i="3" s="1"/>
  <c r="K15" i="3" a="1"/>
  <c r="K15" i="3" s="1"/>
  <c r="K16" i="3" a="1"/>
  <c r="K16" i="3" s="1"/>
  <c r="K17" i="3" a="1"/>
  <c r="K17" i="3" s="1"/>
  <c r="K18" i="3" a="1"/>
  <c r="K18" i="3"/>
  <c r="K19" i="3" a="1"/>
  <c r="K19" i="3" s="1"/>
  <c r="K20" i="3" a="1"/>
  <c r="K20" i="3"/>
  <c r="K21" i="3" a="1"/>
  <c r="K21" i="3" s="1"/>
  <c r="K22" i="3" a="1"/>
  <c r="K22" i="3" s="1"/>
  <c r="K23" i="3" a="1"/>
  <c r="K23" i="3" s="1"/>
  <c r="K24" i="3" a="1"/>
  <c r="K24" i="3" s="1"/>
  <c r="K25" i="3" a="1"/>
  <c r="K25" i="3" s="1"/>
  <c r="K26" i="3" a="1"/>
  <c r="K26" i="3"/>
  <c r="K27" i="3" a="1"/>
  <c r="K27" i="3" s="1"/>
  <c r="K28" i="3" a="1"/>
  <c r="K28" i="3"/>
  <c r="K29" i="3" a="1"/>
  <c r="K29" i="3" s="1"/>
  <c r="K30" i="3" a="1"/>
  <c r="K30" i="3" s="1"/>
  <c r="K31" i="3" a="1"/>
  <c r="K31" i="3" s="1"/>
  <c r="K32" i="3" a="1"/>
  <c r="K32" i="3" s="1"/>
  <c r="K33" i="3" a="1"/>
  <c r="K33" i="3" s="1"/>
  <c r="K34" i="3" a="1"/>
  <c r="K34" i="3"/>
  <c r="K35" i="3" a="1"/>
  <c r="K35" i="3" s="1"/>
  <c r="K36" i="3" a="1"/>
  <c r="K36" i="3"/>
  <c r="K37" i="3" a="1"/>
  <c r="K37" i="3" s="1"/>
  <c r="K38" i="3" a="1"/>
  <c r="K38" i="3" s="1"/>
  <c r="K39" i="3" a="1"/>
  <c r="K39" i="3" s="1"/>
  <c r="K40" i="3" a="1"/>
  <c r="K40" i="3" s="1"/>
  <c r="K41" i="3" a="1"/>
  <c r="K41" i="3" s="1"/>
  <c r="K42" i="3" a="1"/>
  <c r="K42" i="3"/>
  <c r="K43" i="3" a="1"/>
  <c r="K43" i="3" s="1"/>
  <c r="K44" i="3" a="1"/>
  <c r="K44" i="3"/>
  <c r="K45" i="3" a="1"/>
  <c r="K45" i="3" s="1"/>
  <c r="K46" i="3" a="1"/>
  <c r="K46" i="3" s="1"/>
  <c r="K47" i="3" a="1"/>
  <c r="K47" i="3" s="1"/>
  <c r="K48" i="3" a="1"/>
  <c r="K48" i="3" s="1"/>
  <c r="K49" i="3" a="1"/>
  <c r="K49" i="3" s="1"/>
  <c r="K50" i="3" a="1"/>
  <c r="K50" i="3"/>
  <c r="K51" i="3" a="1"/>
  <c r="K51" i="3" s="1"/>
  <c r="K52" i="3" a="1"/>
  <c r="K52" i="3"/>
  <c r="K53" i="3" a="1"/>
  <c r="K53" i="3" s="1"/>
  <c r="K54" i="3" a="1"/>
  <c r="K54" i="3" s="1"/>
  <c r="K55" i="3" a="1"/>
  <c r="K55" i="3" s="1"/>
  <c r="K56" i="3" a="1"/>
  <c r="K56" i="3" s="1"/>
  <c r="K57" i="3" a="1"/>
  <c r="K57" i="3" s="1"/>
  <c r="K58" i="3" a="1"/>
  <c r="K58" i="3"/>
  <c r="K59" i="3" a="1"/>
  <c r="K59" i="3" s="1"/>
  <c r="K60" i="3" a="1"/>
  <c r="K60" i="3"/>
  <c r="K61" i="3" a="1"/>
  <c r="K61" i="3" s="1"/>
  <c r="K62" i="3" a="1"/>
  <c r="K62" i="3" s="1"/>
  <c r="K63" i="3" a="1"/>
  <c r="K63" i="3" s="1"/>
  <c r="K64" i="3" a="1"/>
  <c r="K64" i="3" s="1"/>
  <c r="K65" i="3" a="1"/>
  <c r="K65" i="3" s="1"/>
  <c r="K66" i="3" a="1"/>
  <c r="K66" i="3"/>
  <c r="K67" i="3" a="1"/>
  <c r="K67" i="3" s="1"/>
  <c r="K68" i="3" a="1"/>
  <c r="K68" i="3"/>
  <c r="K69" i="3" a="1"/>
  <c r="K69" i="3" s="1"/>
  <c r="K70" i="3" a="1"/>
  <c r="K70" i="3" s="1"/>
  <c r="K71" i="3" a="1"/>
  <c r="K71" i="3" s="1"/>
  <c r="K72" i="3" a="1"/>
  <c r="K72" i="3" s="1"/>
  <c r="K73" i="3" a="1"/>
  <c r="K73" i="3" s="1"/>
  <c r="K74" i="3" a="1"/>
  <c r="K74" i="3"/>
  <c r="K75" i="3" a="1"/>
  <c r="K75" i="3" s="1"/>
  <c r="K76" i="3" a="1"/>
  <c r="K76" i="3"/>
  <c r="K77" i="3" a="1"/>
  <c r="K77" i="3" s="1"/>
  <c r="K78" i="3" a="1"/>
  <c r="K78" i="3" s="1"/>
  <c r="K79" i="3" a="1"/>
  <c r="K79" i="3" s="1"/>
  <c r="K80" i="3" a="1"/>
  <c r="K80" i="3" s="1"/>
  <c r="K81" i="3" a="1"/>
  <c r="K81" i="3" s="1"/>
  <c r="K82" i="3" a="1"/>
  <c r="K82" i="3"/>
  <c r="K83" i="3" a="1"/>
  <c r="K83" i="3" s="1"/>
  <c r="K84" i="3" a="1"/>
  <c r="K84" i="3"/>
  <c r="K85" i="3" a="1"/>
  <c r="K85" i="3" s="1"/>
  <c r="K86" i="3" a="1"/>
  <c r="K86" i="3" s="1"/>
  <c r="K87" i="3" a="1"/>
  <c r="K87" i="3" s="1"/>
  <c r="K88" i="3" a="1"/>
  <c r="K88" i="3" s="1"/>
  <c r="K89" i="3" a="1"/>
  <c r="K89" i="3" s="1"/>
  <c r="K90" i="3" a="1"/>
  <c r="K90" i="3"/>
  <c r="K91" i="3" a="1"/>
  <c r="K91" i="3" s="1"/>
  <c r="K92" i="3" a="1"/>
  <c r="K92" i="3"/>
  <c r="K93" i="3" a="1"/>
  <c r="K93" i="3" s="1"/>
  <c r="K94" i="3" a="1"/>
  <c r="K94" i="3" s="1"/>
  <c r="K95" i="3" a="1"/>
  <c r="K95" i="3" s="1"/>
  <c r="K96" i="3" a="1"/>
  <c r="K96" i="3" s="1"/>
  <c r="K97" i="3" a="1"/>
  <c r="K97" i="3" s="1"/>
  <c r="K98" i="3" a="1"/>
  <c r="K98" i="3"/>
  <c r="K99" i="3" a="1"/>
  <c r="K99" i="3" s="1"/>
  <c r="K100" i="3" a="1"/>
  <c r="K100" i="3"/>
  <c r="K101" i="3" a="1"/>
  <c r="K101" i="3" s="1"/>
  <c r="K102" i="3" a="1"/>
  <c r="K102" i="3" s="1"/>
  <c r="K103" i="3" a="1"/>
  <c r="K103" i="3" s="1"/>
  <c r="K104" i="3" a="1"/>
  <c r="K104" i="3" s="1"/>
  <c r="K105" i="3" a="1"/>
  <c r="K105" i="3" s="1"/>
  <c r="K106" i="3" a="1"/>
  <c r="K106" i="3"/>
  <c r="K107" i="3" a="1"/>
  <c r="K107" i="3" s="1"/>
  <c r="K108" i="3" a="1"/>
  <c r="K108" i="3"/>
  <c r="K109" i="3" a="1"/>
  <c r="K109" i="3" s="1"/>
  <c r="K110" i="3" a="1"/>
  <c r="K110" i="3" s="1"/>
  <c r="K111" i="3" a="1"/>
  <c r="K111" i="3" s="1"/>
  <c r="K112" i="3" a="1"/>
  <c r="K112" i="3" s="1"/>
  <c r="K113" i="3" a="1"/>
  <c r="K113" i="3" s="1"/>
  <c r="K114" i="3" a="1"/>
  <c r="K114" i="3"/>
  <c r="K115" i="3" a="1"/>
  <c r="K115" i="3" s="1"/>
  <c r="K116" i="3" a="1"/>
  <c r="K116" i="3"/>
  <c r="K117" i="3" a="1"/>
  <c r="K117" i="3" s="1"/>
  <c r="K118" i="3" a="1"/>
  <c r="K118" i="3" s="1"/>
  <c r="K119" i="3" a="1"/>
  <c r="K119" i="3" s="1"/>
  <c r="K120" i="3" a="1"/>
  <c r="K120" i="3" s="1"/>
  <c r="K121" i="3" a="1"/>
  <c r="K121" i="3" s="1"/>
  <c r="K122" i="3" a="1"/>
  <c r="K122" i="3"/>
  <c r="K123" i="3" a="1"/>
  <c r="K123" i="3" s="1"/>
  <c r="K124" i="3" a="1"/>
  <c r="K124" i="3"/>
  <c r="K125" i="3" a="1"/>
  <c r="K125" i="3" s="1"/>
  <c r="K126" i="3" a="1"/>
  <c r="K126" i="3" s="1"/>
  <c r="K127" i="3" a="1"/>
  <c r="K127" i="3" s="1"/>
  <c r="K128" i="3" a="1"/>
  <c r="K128" i="3" s="1"/>
  <c r="K129" i="3" a="1"/>
  <c r="K129" i="3" s="1"/>
  <c r="K130" i="3" a="1"/>
  <c r="K130" i="3"/>
  <c r="K131" i="3" a="1"/>
  <c r="K131" i="3" s="1"/>
  <c r="K132" i="3" a="1"/>
  <c r="K132" i="3"/>
  <c r="K133" i="3" a="1"/>
  <c r="K133" i="3" s="1"/>
  <c r="K134" i="3" a="1"/>
  <c r="K134" i="3" s="1"/>
  <c r="K135" i="3" a="1"/>
  <c r="K135" i="3" s="1"/>
  <c r="K136" i="3" a="1"/>
  <c r="K136" i="3" s="1"/>
  <c r="K137" i="3" a="1"/>
  <c r="K137" i="3" s="1"/>
  <c r="K138" i="3" a="1"/>
  <c r="K138" i="3"/>
  <c r="K139" i="3" a="1"/>
  <c r="K139" i="3" s="1"/>
  <c r="K140" i="3" a="1"/>
  <c r="K140" i="3"/>
  <c r="K141" i="3" a="1"/>
  <c r="K141" i="3" s="1"/>
  <c r="K142" i="3" a="1"/>
  <c r="K142" i="3" s="1"/>
  <c r="K143" i="3" a="1"/>
  <c r="K143" i="3" s="1"/>
  <c r="K144" i="3" a="1"/>
  <c r="K144" i="3" s="1"/>
  <c r="K145" i="3" a="1"/>
  <c r="K145" i="3" s="1"/>
  <c r="K146" i="3" a="1"/>
  <c r="K146" i="3"/>
  <c r="K147" i="3" a="1"/>
  <c r="K147" i="3" s="1"/>
  <c r="K148" i="3" a="1"/>
  <c r="K148" i="3"/>
  <c r="K149" i="3" a="1"/>
  <c r="K149" i="3" s="1"/>
  <c r="K150" i="3" a="1"/>
  <c r="K150" i="3" s="1"/>
  <c r="K151" i="3" a="1"/>
  <c r="K151" i="3" s="1"/>
  <c r="K152" i="3" a="1"/>
  <c r="K152" i="3" s="1"/>
  <c r="K153" i="3" a="1"/>
  <c r="K153" i="3" s="1"/>
  <c r="K154" i="3" a="1"/>
  <c r="K154" i="3"/>
  <c r="K155" i="3" a="1"/>
  <c r="K155" i="3" s="1"/>
  <c r="K156" i="3" a="1"/>
  <c r="K156" i="3"/>
  <c r="K157" i="3" a="1"/>
  <c r="K157" i="3" s="1"/>
  <c r="K158" i="3" a="1"/>
  <c r="K158" i="3" s="1"/>
  <c r="K159" i="3" a="1"/>
  <c r="K159" i="3" s="1"/>
  <c r="K160" i="3" a="1"/>
  <c r="K160" i="3" s="1"/>
  <c r="K161" i="3" a="1"/>
  <c r="K161" i="3" s="1"/>
  <c r="K162" i="3" a="1"/>
  <c r="K162" i="3"/>
  <c r="K163" i="3" a="1"/>
  <c r="K163" i="3" s="1"/>
  <c r="K164" i="3" a="1"/>
  <c r="K164" i="3"/>
  <c r="K165" i="3" a="1"/>
  <c r="K165" i="3" s="1"/>
  <c r="K166" i="3" a="1"/>
  <c r="K166" i="3" s="1"/>
  <c r="K167" i="3" a="1"/>
  <c r="K167" i="3" s="1"/>
  <c r="K168" i="3" a="1"/>
  <c r="K168" i="3" s="1"/>
  <c r="K169" i="3" a="1"/>
  <c r="K169" i="3" s="1"/>
  <c r="K170" i="3" a="1"/>
  <c r="K170" i="3" s="1"/>
  <c r="K171" i="3" a="1"/>
  <c r="K171" i="3" s="1"/>
  <c r="K172" i="3" a="1"/>
  <c r="K172" i="3"/>
  <c r="K173" i="3" a="1"/>
  <c r="K173" i="3" s="1"/>
  <c r="K174" i="3" a="1"/>
  <c r="K174" i="3"/>
  <c r="K175" i="3" a="1"/>
  <c r="K175" i="3" s="1"/>
  <c r="K176" i="3" a="1"/>
  <c r="K176" i="3"/>
  <c r="K177" i="3" a="1"/>
  <c r="K177" i="3" s="1"/>
  <c r="K178" i="3" a="1"/>
  <c r="K178" i="3"/>
  <c r="K179" i="3" a="1"/>
  <c r="K179" i="3" s="1"/>
  <c r="K180" i="3" a="1"/>
  <c r="K180" i="3"/>
  <c r="K181" i="3" a="1"/>
  <c r="K181" i="3" s="1"/>
  <c r="K182" i="3" a="1"/>
  <c r="K182" i="3"/>
  <c r="K183" i="3" a="1"/>
  <c r="K183" i="3" s="1"/>
  <c r="K184" i="3" a="1"/>
  <c r="K184" i="3"/>
  <c r="K185" i="3" a="1"/>
  <c r="K185" i="3" s="1"/>
  <c r="K186" i="3" a="1"/>
  <c r="K186" i="3" s="1"/>
  <c r="K187" i="3" a="1"/>
  <c r="K187" i="3" s="1"/>
  <c r="K188" i="3" a="1"/>
  <c r="K188" i="3" s="1"/>
  <c r="K189" i="3" a="1"/>
  <c r="K189" i="3" s="1"/>
  <c r="K190" i="3" a="1"/>
  <c r="K190" i="3"/>
  <c r="K191" i="3" a="1"/>
  <c r="K191" i="3" s="1"/>
  <c r="K192" i="3" a="1"/>
  <c r="K192" i="3"/>
  <c r="K193" i="3" a="1"/>
  <c r="K193" i="3" s="1"/>
  <c r="K194" i="3" a="1"/>
  <c r="K194" i="3" s="1"/>
  <c r="K195" i="3" a="1"/>
  <c r="K195" i="3" s="1"/>
  <c r="K196" i="3" a="1"/>
  <c r="K196" i="3" s="1"/>
  <c r="K197" i="3" a="1"/>
  <c r="K197" i="3" s="1"/>
  <c r="K198" i="3" a="1"/>
  <c r="K198" i="3"/>
  <c r="K199" i="3" a="1"/>
  <c r="K199" i="3" s="1"/>
  <c r="K200" i="3" a="1"/>
  <c r="K200" i="3"/>
  <c r="K201" i="3" a="1"/>
  <c r="K201" i="3" s="1"/>
  <c r="K202" i="3" a="1"/>
  <c r="K202" i="3" s="1"/>
  <c r="K203" i="3" a="1"/>
  <c r="K203" i="3" s="1"/>
  <c r="K204" i="3" a="1"/>
  <c r="K204" i="3" s="1"/>
  <c r="K205" i="3" a="1"/>
  <c r="K205" i="3" s="1"/>
  <c r="K206" i="3" a="1"/>
  <c r="K206" i="3"/>
  <c r="K207" i="3" a="1"/>
  <c r="K207" i="3" s="1"/>
  <c r="K208" i="3" a="1"/>
  <c r="K208" i="3"/>
  <c r="K209" i="3" a="1"/>
  <c r="K209" i="3" s="1"/>
  <c r="K210" i="3" a="1"/>
  <c r="K210" i="3" s="1"/>
  <c r="K211" i="3" a="1"/>
  <c r="K211" i="3" s="1"/>
  <c r="K212" i="3" a="1"/>
  <c r="K212" i="3" s="1"/>
  <c r="K213" i="3" a="1"/>
  <c r="K213" i="3" s="1"/>
  <c r="K214" i="3" a="1"/>
  <c r="K214" i="3"/>
  <c r="K215" i="3" a="1"/>
  <c r="K215" i="3" s="1"/>
  <c r="K216" i="3" a="1"/>
  <c r="K216" i="3"/>
  <c r="K217" i="3" a="1"/>
  <c r="K217" i="3" s="1"/>
  <c r="K218" i="3" a="1"/>
  <c r="K218" i="3" s="1"/>
  <c r="K219" i="3" a="1"/>
  <c r="K219" i="3" s="1"/>
  <c r="K220" i="3" a="1"/>
  <c r="K220" i="3" s="1"/>
  <c r="K221" i="3" a="1"/>
  <c r="K221" i="3" s="1"/>
  <c r="K222" i="3" a="1"/>
  <c r="K222" i="3"/>
  <c r="K223" i="3" a="1"/>
  <c r="K223" i="3" s="1"/>
  <c r="K224" i="3" a="1"/>
  <c r="K224" i="3"/>
  <c r="K225" i="3" a="1"/>
  <c r="K225" i="3" s="1"/>
  <c r="K226" i="3" a="1"/>
  <c r="K226" i="3" s="1"/>
  <c r="K227" i="3" a="1"/>
  <c r="K227" i="3" s="1"/>
  <c r="K228" i="3" a="1"/>
  <c r="K228" i="3" s="1"/>
  <c r="K229" i="3" a="1"/>
  <c r="K229" i="3" s="1"/>
  <c r="K230" i="3" a="1"/>
  <c r="K230" i="3"/>
  <c r="K231" i="3" a="1"/>
  <c r="K231" i="3" s="1"/>
  <c r="K232" i="3" a="1"/>
  <c r="K232" i="3"/>
  <c r="K233" i="3" a="1"/>
  <c r="K233" i="3" s="1"/>
  <c r="K234" i="3" a="1"/>
  <c r="K234" i="3" s="1"/>
  <c r="K235" i="3" a="1"/>
  <c r="K235" i="3" s="1"/>
  <c r="K236" i="3" a="1"/>
  <c r="K236" i="3" s="1"/>
  <c r="K237" i="3" a="1"/>
  <c r="K237" i="3" s="1"/>
  <c r="K238" i="3" a="1"/>
  <c r="K238" i="3"/>
  <c r="K239" i="3" a="1"/>
  <c r="K239" i="3" s="1"/>
  <c r="K240" i="3" a="1"/>
  <c r="K240" i="3"/>
  <c r="K241" i="3" a="1"/>
  <c r="K241" i="3" s="1"/>
  <c r="K242" i="3" a="1"/>
  <c r="K242" i="3" s="1"/>
  <c r="K243" i="3" a="1"/>
  <c r="K243" i="3" s="1"/>
  <c r="K244" i="3" a="1"/>
  <c r="K244" i="3" s="1"/>
  <c r="K245" i="3" a="1"/>
  <c r="K245" i="3" s="1"/>
  <c r="K246" i="3" a="1"/>
  <c r="K246" i="3"/>
  <c r="K247" i="3" a="1"/>
  <c r="K247" i="3" s="1"/>
  <c r="K248" i="3" a="1"/>
  <c r="K248" i="3"/>
  <c r="K249" i="3" a="1"/>
  <c r="K249" i="3" s="1"/>
  <c r="K250" i="3" a="1"/>
  <c r="K250" i="3" s="1"/>
  <c r="K251" i="3" a="1"/>
  <c r="K251" i="3" s="1"/>
  <c r="K252" i="3" a="1"/>
  <c r="K252" i="3" s="1"/>
  <c r="K253" i="3" a="1"/>
  <c r="K253" i="3" s="1"/>
  <c r="K254" i="3" a="1"/>
  <c r="K254" i="3"/>
  <c r="K255" i="3" a="1"/>
  <c r="K255" i="3" s="1"/>
  <c r="K256" i="3" a="1"/>
  <c r="K256" i="3"/>
  <c r="K257" i="3" a="1"/>
  <c r="K257" i="3" s="1"/>
  <c r="K258" i="3" a="1"/>
  <c r="K258" i="3" s="1"/>
  <c r="K259" i="3" a="1"/>
  <c r="K259" i="3" s="1"/>
  <c r="K260" i="3" a="1"/>
  <c r="K260" i="3" s="1"/>
  <c r="K261" i="3" a="1"/>
  <c r="K261" i="3" s="1"/>
  <c r="K262" i="3" a="1"/>
  <c r="K262" i="3"/>
  <c r="K263" i="3" a="1"/>
  <c r="K263" i="3" s="1"/>
  <c r="K264" i="3" a="1"/>
  <c r="K264" i="3"/>
  <c r="K265" i="3" a="1"/>
  <c r="K265" i="3" s="1"/>
  <c r="K266" i="3" a="1"/>
  <c r="K266" i="3" s="1"/>
  <c r="K267" i="3" a="1"/>
  <c r="K267" i="3" s="1"/>
  <c r="K268" i="3" a="1"/>
  <c r="K268" i="3" s="1"/>
  <c r="K269" i="3" a="1"/>
  <c r="K269" i="3" s="1"/>
  <c r="K270" i="3" a="1"/>
  <c r="K270" i="3"/>
  <c r="K271" i="3" a="1"/>
  <c r="K271" i="3" s="1"/>
  <c r="K272" i="3" a="1"/>
  <c r="K272" i="3"/>
  <c r="K273" i="3" a="1"/>
  <c r="K273" i="3" s="1"/>
  <c r="K274" i="3" a="1"/>
  <c r="K274" i="3" s="1"/>
  <c r="K275" i="3" a="1"/>
  <c r="K275" i="3" s="1"/>
  <c r="K276" i="3" a="1"/>
  <c r="K276" i="3" s="1"/>
  <c r="K277" i="3" a="1"/>
  <c r="K277" i="3" s="1"/>
  <c r="K278" i="3" a="1"/>
  <c r="K278" i="3"/>
  <c r="K279" i="3" a="1"/>
  <c r="K279" i="3" s="1"/>
  <c r="K280" i="3" a="1"/>
  <c r="K280" i="3"/>
  <c r="K281" i="3" a="1"/>
  <c r="K281" i="3" s="1"/>
  <c r="K282" i="3" a="1"/>
  <c r="K282" i="3" s="1"/>
  <c r="K283" i="3" a="1"/>
  <c r="K283" i="3" s="1"/>
  <c r="K284" i="3" a="1"/>
  <c r="K284" i="3" s="1"/>
  <c r="K285" i="3" a="1"/>
  <c r="K285" i="3" s="1"/>
  <c r="K286" i="3" a="1"/>
  <c r="K286" i="3" s="1"/>
  <c r="K287" i="3" a="1"/>
  <c r="K287" i="3" s="1"/>
  <c r="K288" i="3" a="1"/>
  <c r="K288" i="3"/>
  <c r="K289" i="3" a="1"/>
  <c r="K289" i="3" s="1"/>
  <c r="K290" i="3" a="1"/>
  <c r="K290" i="3" s="1"/>
  <c r="K291" i="3" a="1"/>
  <c r="K291" i="3" s="1"/>
  <c r="K292" i="3" a="1"/>
  <c r="K292" i="3" s="1"/>
  <c r="K293" i="3" a="1"/>
  <c r="K293" i="3" s="1"/>
  <c r="K294" i="3" a="1"/>
  <c r="K294" i="3" s="1"/>
  <c r="K295" i="3" a="1"/>
  <c r="K295" i="3" s="1"/>
  <c r="K296" i="3" a="1"/>
  <c r="K296" i="3"/>
  <c r="K297" i="3" a="1"/>
  <c r="K297" i="3" s="1"/>
  <c r="K298" i="3" a="1"/>
  <c r="K298" i="3" s="1"/>
  <c r="K299" i="3" a="1"/>
  <c r="K299" i="3" s="1"/>
  <c r="K300" i="3" a="1"/>
  <c r="K300" i="3" s="1"/>
  <c r="K301" i="3" a="1"/>
  <c r="K301" i="3"/>
  <c r="K302" i="3" a="1"/>
  <c r="K302" i="3" s="1"/>
  <c r="K303" i="3" a="1"/>
  <c r="K303" i="3"/>
  <c r="K304" i="3" a="1"/>
  <c r="K304" i="3" s="1"/>
  <c r="K305" i="3" a="1"/>
  <c r="K305" i="3" s="1"/>
  <c r="K306" i="3" a="1"/>
  <c r="K306" i="3" s="1"/>
  <c r="K307" i="3" a="1"/>
  <c r="K307" i="3" s="1"/>
  <c r="K308" i="3" a="1"/>
  <c r="K308" i="3" s="1"/>
  <c r="K309" i="3" a="1"/>
  <c r="K309" i="3"/>
  <c r="K310" i="3" a="1"/>
  <c r="K310" i="3" s="1"/>
  <c r="K311" i="3" a="1"/>
  <c r="K311" i="3" s="1"/>
  <c r="K312" i="3" a="1"/>
  <c r="K312" i="3" s="1"/>
  <c r="K313" i="3" a="1"/>
  <c r="K313" i="3" s="1"/>
  <c r="K314" i="3" a="1"/>
  <c r="K314" i="3" s="1"/>
  <c r="K315" i="3" a="1"/>
  <c r="K315" i="3" s="1"/>
  <c r="K316" i="3" a="1"/>
  <c r="K316" i="3" s="1"/>
  <c r="K317" i="3" a="1"/>
  <c r="K317" i="3"/>
  <c r="K318" i="3" a="1"/>
  <c r="K318" i="3" s="1"/>
  <c r="K319" i="3" a="1"/>
  <c r="K319" i="3" s="1"/>
  <c r="K320" i="3" a="1"/>
  <c r="K320" i="3" s="1"/>
  <c r="K321" i="3" a="1"/>
  <c r="K321" i="3" s="1"/>
  <c r="K322" i="3" a="1"/>
  <c r="K322" i="3" s="1"/>
  <c r="K323" i="3" a="1"/>
  <c r="K323" i="3" s="1"/>
  <c r="K324" i="3" a="1"/>
  <c r="K324" i="3" s="1"/>
  <c r="K325" i="3" a="1"/>
  <c r="K325" i="3"/>
  <c r="K326" i="3" a="1"/>
  <c r="K326" i="3" s="1"/>
  <c r="K327" i="3" a="1"/>
  <c r="K327" i="3" s="1"/>
  <c r="K328" i="3" a="1"/>
  <c r="K328" i="3" s="1"/>
  <c r="K329" i="3" a="1"/>
  <c r="K329" i="3" s="1"/>
  <c r="K330" i="3" a="1"/>
  <c r="K330" i="3" s="1"/>
  <c r="K331" i="3" a="1"/>
  <c r="K331" i="3" s="1"/>
  <c r="K332" i="3" a="1"/>
  <c r="K332" i="3" s="1"/>
  <c r="K333" i="3" a="1"/>
  <c r="K333" i="3"/>
  <c r="K334" i="3" a="1"/>
  <c r="K334" i="3" s="1"/>
  <c r="K335" i="3" a="1"/>
  <c r="K335" i="3" s="1"/>
  <c r="K336" i="3" a="1"/>
  <c r="K336" i="3" s="1"/>
  <c r="K337" i="3" a="1"/>
  <c r="K337" i="3" s="1"/>
  <c r="K338" i="3" a="1"/>
  <c r="K338" i="3" s="1"/>
  <c r="K339" i="3" a="1"/>
  <c r="K339" i="3" s="1"/>
  <c r="K340" i="3" a="1"/>
  <c r="K340" i="3" s="1"/>
  <c r="K341" i="3" a="1"/>
  <c r="K341" i="3"/>
  <c r="K342" i="3" a="1"/>
  <c r="K342" i="3" s="1"/>
  <c r="K343" i="3" a="1"/>
  <c r="K343" i="3"/>
  <c r="K344" i="3" a="1"/>
  <c r="K344" i="3" s="1"/>
  <c r="K345" i="3" a="1"/>
  <c r="K345" i="3" s="1"/>
  <c r="K346" i="3" a="1"/>
  <c r="K346" i="3" s="1"/>
  <c r="K347" i="3" a="1"/>
  <c r="K347" i="3" s="1"/>
  <c r="K348" i="3" a="1"/>
  <c r="K348" i="3" s="1"/>
  <c r="K349" i="3" a="1"/>
  <c r="K349" i="3"/>
  <c r="K350" i="3" a="1"/>
  <c r="K350" i="3" s="1"/>
  <c r="K351" i="3" a="1"/>
  <c r="K351" i="3" s="1"/>
  <c r="K352" i="3" a="1"/>
  <c r="K352" i="3" s="1"/>
  <c r="K353" i="3" a="1"/>
  <c r="K353" i="3"/>
  <c r="K354" i="3" a="1"/>
  <c r="K354" i="3" s="1"/>
  <c r="K355" i="3" a="1"/>
  <c r="K355" i="3" s="1"/>
  <c r="K356" i="3" a="1"/>
  <c r="K356" i="3" s="1"/>
  <c r="K357" i="3" a="1"/>
  <c r="K357" i="3"/>
  <c r="K358" i="3" a="1"/>
  <c r="K358" i="3" s="1"/>
  <c r="K359" i="3" a="1"/>
  <c r="K359" i="3" s="1"/>
  <c r="K360" i="3" a="1"/>
  <c r="K360" i="3" s="1"/>
  <c r="K361" i="3" a="1"/>
  <c r="K361" i="3"/>
  <c r="K362" i="3" a="1"/>
  <c r="K362" i="3" s="1"/>
  <c r="K363" i="3" a="1"/>
  <c r="K363" i="3" s="1"/>
  <c r="K364" i="3" a="1"/>
  <c r="K364" i="3" s="1"/>
  <c r="K365" i="3" a="1"/>
  <c r="K365" i="3"/>
  <c r="K366" i="3" a="1"/>
  <c r="K366" i="3" s="1"/>
  <c r="K367" i="3" a="1"/>
  <c r="K367" i="3" s="1"/>
  <c r="K368" i="3" a="1"/>
  <c r="K368" i="3" s="1"/>
  <c r="K369" i="3" a="1"/>
  <c r="K369" i="3"/>
  <c r="K370" i="3" a="1"/>
  <c r="K370" i="3" s="1"/>
  <c r="K371" i="3" a="1"/>
  <c r="K371" i="3" s="1"/>
  <c r="K372" i="3" a="1"/>
  <c r="K372" i="3" s="1"/>
  <c r="K373" i="3" a="1"/>
  <c r="K373" i="3"/>
  <c r="K374" i="3" a="1"/>
  <c r="K374" i="3" s="1"/>
  <c r="K375" i="3" a="1"/>
  <c r="K375" i="3" s="1"/>
  <c r="K376" i="3" a="1"/>
  <c r="K376" i="3" s="1"/>
  <c r="K377" i="3" a="1"/>
  <c r="K377" i="3"/>
  <c r="K378" i="3" a="1"/>
  <c r="K378" i="3" s="1"/>
  <c r="K379" i="3" a="1"/>
  <c r="K379" i="3" s="1"/>
  <c r="K380" i="3" a="1"/>
  <c r="K380" i="3" s="1"/>
  <c r="K381" i="3" a="1"/>
  <c r="K381" i="3"/>
  <c r="K382" i="3" a="1"/>
  <c r="K382" i="3" s="1"/>
  <c r="K383" i="3" a="1"/>
  <c r="K383" i="3" s="1"/>
  <c r="K384" i="3" a="1"/>
  <c r="K384" i="3" s="1"/>
  <c r="K385" i="3" a="1"/>
  <c r="K385" i="3"/>
  <c r="K386" i="3" a="1"/>
  <c r="K386" i="3" s="1"/>
  <c r="K387" i="3" a="1"/>
  <c r="K387" i="3" s="1"/>
  <c r="K388" i="3" a="1"/>
  <c r="K388" i="3" s="1"/>
  <c r="K389" i="3" a="1"/>
  <c r="K389" i="3"/>
  <c r="K390" i="3" a="1"/>
  <c r="K390" i="3" s="1"/>
  <c r="K391" i="3" a="1"/>
  <c r="K391" i="3" s="1"/>
  <c r="K392" i="3" a="1"/>
  <c r="K392" i="3" s="1"/>
  <c r="K393" i="3" a="1"/>
  <c r="K393" i="3"/>
  <c r="K394" i="3" a="1"/>
  <c r="K394" i="3" s="1"/>
  <c r="K395" i="3" a="1"/>
  <c r="K395" i="3" s="1"/>
  <c r="K396" i="3" a="1"/>
  <c r="K396" i="3" s="1"/>
  <c r="K397" i="3" a="1"/>
  <c r="K397" i="3"/>
  <c r="K398" i="3" a="1"/>
  <c r="K398" i="3" s="1"/>
  <c r="K399" i="3" a="1"/>
  <c r="K399" i="3" s="1"/>
  <c r="K400" i="3" a="1"/>
  <c r="K400" i="3" s="1"/>
  <c r="K401" i="3" a="1"/>
  <c r="K401" i="3"/>
  <c r="K402" i="3" a="1"/>
  <c r="K402" i="3" s="1"/>
  <c r="K403" i="3" a="1"/>
  <c r="K403" i="3" s="1"/>
  <c r="K404" i="3" a="1"/>
  <c r="K404" i="3" s="1"/>
  <c r="K405" i="3" a="1"/>
  <c r="K405" i="3"/>
  <c r="K406" i="3" a="1"/>
  <c r="K406" i="3" s="1"/>
  <c r="K407" i="3" a="1"/>
  <c r="K407" i="3" s="1"/>
  <c r="K408" i="3" a="1"/>
  <c r="K408" i="3" s="1"/>
  <c r="K409" i="3" a="1"/>
  <c r="K409" i="3"/>
  <c r="K410" i="3" a="1"/>
  <c r="K410" i="3" s="1"/>
  <c r="K411" i="3" a="1"/>
  <c r="K411" i="3" s="1"/>
  <c r="K412" i="3" a="1"/>
  <c r="K412" i="3" s="1"/>
  <c r="K413" i="3" a="1"/>
  <c r="K413" i="3"/>
  <c r="K414" i="3" a="1"/>
  <c r="K414" i="3" s="1"/>
  <c r="K415" i="3" a="1"/>
  <c r="K415" i="3" s="1"/>
  <c r="K416" i="3" a="1"/>
  <c r="K416" i="3" s="1"/>
  <c r="K417" i="3" a="1"/>
  <c r="K417" i="3"/>
  <c r="K418" i="3" a="1"/>
  <c r="K418" i="3" s="1"/>
  <c r="K419" i="3" a="1"/>
  <c r="K419" i="3" s="1"/>
  <c r="K420" i="3" a="1"/>
  <c r="K420" i="3" s="1"/>
  <c r="K421" i="3" a="1"/>
  <c r="K421" i="3"/>
  <c r="K422" i="3" a="1"/>
  <c r="K422" i="3" s="1"/>
  <c r="K423" i="3" a="1"/>
  <c r="K423" i="3" s="1"/>
  <c r="K424" i="3" a="1"/>
  <c r="K424" i="3" s="1"/>
  <c r="K425" i="3" a="1"/>
  <c r="K425" i="3"/>
  <c r="K426" i="3" a="1"/>
  <c r="K426" i="3" s="1"/>
  <c r="K427" i="3" a="1"/>
  <c r="K427" i="3" s="1"/>
  <c r="K428" i="3" a="1"/>
  <c r="K428" i="3" s="1"/>
  <c r="K429" i="3" a="1"/>
  <c r="K429" i="3"/>
  <c r="K430" i="3" a="1"/>
  <c r="K430" i="3" s="1"/>
  <c r="K431" i="3" a="1"/>
  <c r="K431" i="3" s="1"/>
  <c r="K432" i="3" a="1"/>
  <c r="K432" i="3" s="1"/>
  <c r="K433" i="3" a="1"/>
  <c r="K433" i="3"/>
  <c r="K434" i="3" a="1"/>
  <c r="K434" i="3" s="1"/>
  <c r="K435" i="3" a="1"/>
  <c r="K435" i="3" s="1"/>
  <c r="K436" i="3" a="1"/>
  <c r="K436" i="3" s="1"/>
  <c r="K437" i="3" a="1"/>
  <c r="K437" i="3"/>
  <c r="K438" i="3" a="1"/>
  <c r="K438" i="3" s="1"/>
  <c r="K439" i="3" a="1"/>
  <c r="K439" i="3" s="1"/>
  <c r="K440" i="3" a="1"/>
  <c r="K440" i="3" s="1"/>
  <c r="K441" i="3" a="1"/>
  <c r="K441" i="3"/>
  <c r="K442" i="3" a="1"/>
  <c r="K442" i="3" s="1"/>
  <c r="K443" i="3" a="1"/>
  <c r="K443" i="3" s="1"/>
  <c r="K444" i="3" a="1"/>
  <c r="K444" i="3" s="1"/>
  <c r="K445" i="3" a="1"/>
  <c r="K445" i="3"/>
  <c r="K446" i="3" a="1"/>
  <c r="K446" i="3" s="1"/>
  <c r="K447" i="3" a="1"/>
  <c r="K447" i="3" s="1"/>
  <c r="K448" i="3" a="1"/>
  <c r="K448" i="3" s="1"/>
  <c r="K449" i="3" a="1"/>
  <c r="K449" i="3"/>
  <c r="K450" i="3" a="1"/>
  <c r="K450" i="3" s="1"/>
  <c r="K451" i="3" a="1"/>
  <c r="K451" i="3" s="1"/>
  <c r="K452" i="3" a="1"/>
  <c r="K452" i="3" s="1"/>
  <c r="K453" i="3" a="1"/>
  <c r="K453" i="3"/>
  <c r="K454" i="3" a="1"/>
  <c r="K454" i="3" s="1"/>
  <c r="K455" i="3" a="1"/>
  <c r="K455" i="3" s="1"/>
  <c r="K456" i="3" a="1"/>
  <c r="K456" i="3" s="1"/>
  <c r="K457" i="3" a="1"/>
  <c r="K457" i="3"/>
  <c r="K458" i="3" a="1"/>
  <c r="K458" i="3" s="1"/>
  <c r="K459" i="3" a="1"/>
  <c r="K459" i="3" s="1"/>
  <c r="K460" i="3" a="1"/>
  <c r="K460" i="3" s="1"/>
  <c r="K461" i="3" a="1"/>
  <c r="K461" i="3"/>
  <c r="K462" i="3" a="1"/>
  <c r="K462" i="3" s="1"/>
  <c r="K463" i="3" a="1"/>
  <c r="K463" i="3" s="1"/>
  <c r="K464" i="3" a="1"/>
  <c r="K464" i="3" s="1"/>
  <c r="K465" i="3" a="1"/>
  <c r="K465" i="3"/>
  <c r="K466" i="3" a="1"/>
  <c r="K466" i="3" s="1"/>
  <c r="K467" i="3" a="1"/>
  <c r="K467" i="3" s="1"/>
  <c r="K468" i="3" a="1"/>
  <c r="K468" i="3" s="1"/>
  <c r="K469" i="3" a="1"/>
  <c r="K469" i="3"/>
  <c r="K470" i="3" a="1"/>
  <c r="K470" i="3" s="1"/>
  <c r="K471" i="3" a="1"/>
  <c r="K471" i="3" s="1"/>
  <c r="K472" i="3" a="1"/>
  <c r="K472" i="3" s="1"/>
  <c r="K473" i="3" a="1"/>
  <c r="K473" i="3"/>
  <c r="K474" i="3" a="1"/>
  <c r="K474" i="3" s="1"/>
  <c r="K475" i="3" a="1"/>
  <c r="K475" i="3" s="1"/>
  <c r="K476" i="3" a="1"/>
  <c r="K476" i="3" s="1"/>
  <c r="K477" i="3" a="1"/>
  <c r="K477" i="3"/>
  <c r="K478" i="3" a="1"/>
  <c r="K478" i="3" s="1"/>
  <c r="K479" i="3" a="1"/>
  <c r="K479" i="3" s="1"/>
  <c r="K480" i="3" a="1"/>
  <c r="K480" i="3" s="1"/>
  <c r="K481" i="3" a="1"/>
  <c r="K481" i="3"/>
  <c r="K482" i="3" a="1"/>
  <c r="K482" i="3" s="1"/>
  <c r="K483" i="3" a="1"/>
  <c r="K483" i="3" s="1"/>
  <c r="K484" i="3" a="1"/>
  <c r="K484" i="3" s="1"/>
  <c r="K485" i="3" a="1"/>
  <c r="K485" i="3"/>
  <c r="K486" i="3" a="1"/>
  <c r="K486" i="3" s="1"/>
  <c r="K487" i="3" a="1"/>
  <c r="K487" i="3" s="1"/>
  <c r="K488" i="3" a="1"/>
  <c r="K488" i="3" s="1"/>
  <c r="K489" i="3" a="1"/>
  <c r="K489" i="3"/>
  <c r="K490" i="3" a="1"/>
  <c r="K490" i="3" s="1"/>
  <c r="K491" i="3" a="1"/>
  <c r="K491" i="3" s="1"/>
  <c r="K492" i="3" a="1"/>
  <c r="K492" i="3" s="1"/>
  <c r="K493" i="3" a="1"/>
  <c r="K493" i="3"/>
  <c r="K494" i="3" a="1"/>
  <c r="K494" i="3" s="1"/>
  <c r="K495" i="3" a="1"/>
  <c r="K495" i="3" s="1"/>
  <c r="K496" i="3" a="1"/>
  <c r="K496" i="3" s="1"/>
  <c r="K497" i="3" a="1"/>
  <c r="K497" i="3"/>
  <c r="K498" i="3" a="1"/>
  <c r="K498" i="3" s="1"/>
  <c r="K499" i="3" a="1"/>
  <c r="K499" i="3" s="1"/>
  <c r="K500" i="3" a="1"/>
  <c r="K500" i="3" s="1"/>
  <c r="K501" i="3" a="1"/>
  <c r="K501" i="3"/>
  <c r="K502" i="3" a="1"/>
  <c r="K502" i="3" s="1"/>
  <c r="K503" i="3" a="1"/>
  <c r="K503" i="3" s="1"/>
  <c r="K504" i="3" a="1"/>
  <c r="K504" i="3" s="1"/>
  <c r="K505" i="3" a="1"/>
  <c r="K505" i="3"/>
  <c r="K506" i="3" a="1"/>
  <c r="K506" i="3" s="1"/>
  <c r="K507" i="3" a="1"/>
  <c r="K507" i="3" s="1"/>
  <c r="K508" i="3" a="1"/>
  <c r="K508" i="3" s="1"/>
  <c r="K509" i="3" a="1"/>
  <c r="K509" i="3"/>
  <c r="K510" i="3" a="1"/>
  <c r="K510" i="3" s="1"/>
  <c r="K511" i="3" a="1"/>
  <c r="K511" i="3" s="1"/>
  <c r="K512" i="3" a="1"/>
  <c r="K512" i="3" s="1"/>
  <c r="K513" i="3" a="1"/>
  <c r="K513" i="3"/>
  <c r="K514" i="3" a="1"/>
  <c r="K514" i="3" s="1"/>
  <c r="K515" i="3" a="1"/>
  <c r="K515" i="3" s="1"/>
  <c r="K516" i="3" a="1"/>
  <c r="K516" i="3" s="1"/>
  <c r="K517" i="3" a="1"/>
  <c r="K517" i="3"/>
  <c r="K518" i="3" a="1"/>
  <c r="K518" i="3" s="1"/>
  <c r="K519" i="3" a="1"/>
  <c r="K519" i="3" s="1"/>
  <c r="K520" i="3" a="1"/>
  <c r="K520" i="3" s="1"/>
  <c r="K521" i="3" a="1"/>
  <c r="K521" i="3"/>
  <c r="K522" i="3" a="1"/>
  <c r="K522" i="3" s="1"/>
  <c r="K523" i="3" a="1"/>
  <c r="K523" i="3" s="1"/>
  <c r="K524" i="3" a="1"/>
  <c r="K524" i="3" s="1"/>
  <c r="K525" i="3" a="1"/>
  <c r="K525" i="3"/>
  <c r="K526" i="3" a="1"/>
  <c r="K526" i="3" s="1"/>
  <c r="K527" i="3" a="1"/>
  <c r="K527" i="3" s="1"/>
  <c r="K528" i="3" a="1"/>
  <c r="K528" i="3" s="1"/>
  <c r="K529" i="3" a="1"/>
  <c r="K529" i="3"/>
  <c r="K530" i="3" a="1"/>
  <c r="K530" i="3" s="1"/>
  <c r="K531" i="3" a="1"/>
  <c r="K531" i="3" s="1"/>
  <c r="K532" i="3" a="1"/>
  <c r="K532" i="3" s="1"/>
  <c r="K533" i="3" a="1"/>
  <c r="K533" i="3"/>
  <c r="K534" i="3" a="1"/>
  <c r="K534" i="3" s="1"/>
  <c r="K535" i="3" a="1"/>
  <c r="K535" i="3" s="1"/>
  <c r="K536" i="3" a="1"/>
  <c r="K536" i="3" s="1"/>
  <c r="K537" i="3" a="1"/>
  <c r="K537" i="3"/>
  <c r="K538" i="3" a="1"/>
  <c r="K538" i="3" s="1"/>
  <c r="K539" i="3" a="1"/>
  <c r="K539" i="3" s="1"/>
  <c r="K540" i="3" a="1"/>
  <c r="K540" i="3" s="1"/>
  <c r="K541" i="3" a="1"/>
  <c r="K541" i="3"/>
  <c r="K542" i="3" a="1"/>
  <c r="K542" i="3" s="1"/>
  <c r="K543" i="3" a="1"/>
  <c r="K543" i="3" s="1"/>
  <c r="K544" i="3" a="1"/>
  <c r="K544" i="3" s="1"/>
  <c r="K545" i="3" a="1"/>
  <c r="K545" i="3"/>
  <c r="K546" i="3" a="1"/>
  <c r="K546" i="3" s="1"/>
  <c r="K547" i="3" a="1"/>
  <c r="K547" i="3" s="1"/>
  <c r="K548" i="3" a="1"/>
  <c r="K548" i="3" s="1"/>
  <c r="K549" i="3" a="1"/>
  <c r="K549" i="3"/>
  <c r="K550" i="3" a="1"/>
  <c r="K550" i="3" s="1"/>
  <c r="K551" i="3" a="1"/>
  <c r="K551" i="3" s="1"/>
  <c r="K552" i="3" a="1"/>
  <c r="K552" i="3" s="1"/>
  <c r="K553" i="3" a="1"/>
  <c r="K553" i="3"/>
  <c r="K554" i="3" a="1"/>
  <c r="K554" i="3" s="1"/>
  <c r="K555" i="3" a="1"/>
  <c r="K555" i="3" s="1"/>
  <c r="K556" i="3" a="1"/>
  <c r="K556" i="3" s="1"/>
  <c r="K557" i="3" a="1"/>
  <c r="K557" i="3"/>
  <c r="K558" i="3" a="1"/>
  <c r="K558" i="3" s="1"/>
  <c r="K559" i="3" a="1"/>
  <c r="K559" i="3" s="1"/>
  <c r="K560" i="3" a="1"/>
  <c r="K560" i="3" s="1"/>
  <c r="K561" i="3" a="1"/>
  <c r="K561" i="3"/>
  <c r="K562" i="3" a="1"/>
  <c r="K562" i="3" s="1"/>
  <c r="K563" i="3" a="1"/>
  <c r="K563" i="3" s="1"/>
  <c r="K564" i="3" a="1"/>
  <c r="K564" i="3" s="1"/>
  <c r="K565" i="3" a="1"/>
  <c r="K565" i="3"/>
  <c r="K566" i="3" a="1"/>
  <c r="K566" i="3" s="1"/>
  <c r="K567" i="3" a="1"/>
  <c r="K567" i="3" s="1"/>
  <c r="K568" i="3" a="1"/>
  <c r="K568" i="3" s="1"/>
  <c r="K569" i="3" a="1"/>
  <c r="K569" i="3"/>
  <c r="K570" i="3" a="1"/>
  <c r="K570" i="3" s="1"/>
  <c r="K571" i="3" a="1"/>
  <c r="K571" i="3" s="1"/>
  <c r="K572" i="3" a="1"/>
  <c r="K572" i="3" s="1"/>
  <c r="K573" i="3" a="1"/>
  <c r="K573" i="3"/>
  <c r="K574" i="3" a="1"/>
  <c r="K574" i="3" s="1"/>
  <c r="K575" i="3" a="1"/>
  <c r="K575" i="3" s="1"/>
  <c r="K576" i="3" a="1"/>
  <c r="K576" i="3" s="1"/>
  <c r="K577" i="3" a="1"/>
  <c r="K577" i="3"/>
  <c r="K578" i="3" a="1"/>
  <c r="K578" i="3" s="1"/>
  <c r="K579" i="3" a="1"/>
  <c r="K579" i="3" s="1"/>
  <c r="K580" i="3" a="1"/>
  <c r="K580" i="3" s="1"/>
  <c r="K581" i="3" a="1"/>
  <c r="K581" i="3"/>
  <c r="K582" i="3" a="1"/>
  <c r="K582" i="3" s="1"/>
  <c r="K583" i="3" a="1"/>
  <c r="K583" i="3" s="1"/>
  <c r="K584" i="3" a="1"/>
  <c r="K584" i="3" s="1"/>
  <c r="K585" i="3" a="1"/>
  <c r="K585" i="3"/>
  <c r="K586" i="3" a="1"/>
  <c r="K586" i="3" s="1"/>
  <c r="K587" i="3" a="1"/>
  <c r="K587" i="3" s="1"/>
  <c r="K588" i="3" a="1"/>
  <c r="K588" i="3" s="1"/>
  <c r="K589" i="3" a="1"/>
  <c r="K589" i="3"/>
  <c r="K590" i="3" a="1"/>
  <c r="K590" i="3" s="1"/>
  <c r="K591" i="3" a="1"/>
  <c r="K591" i="3" s="1"/>
  <c r="K592" i="3" a="1"/>
  <c r="K592" i="3" s="1"/>
  <c r="K593" i="3" a="1"/>
  <c r="K593" i="3"/>
  <c r="K594" i="3" a="1"/>
  <c r="K594" i="3" s="1"/>
  <c r="K595" i="3" a="1"/>
  <c r="K595" i="3" s="1"/>
  <c r="K596" i="3" a="1"/>
  <c r="K596" i="3" s="1"/>
  <c r="K597" i="3" a="1"/>
  <c r="K597" i="3"/>
  <c r="K598" i="3" a="1"/>
  <c r="K598" i="3" s="1"/>
  <c r="K599" i="3" a="1"/>
  <c r="K599" i="3" s="1"/>
  <c r="K600" i="3" a="1"/>
  <c r="K600" i="3" s="1"/>
  <c r="K601" i="3" a="1"/>
  <c r="K601" i="3"/>
  <c r="K602" i="3" a="1"/>
  <c r="K602" i="3" s="1"/>
  <c r="K603" i="3" a="1"/>
  <c r="K603" i="3" s="1"/>
  <c r="K604" i="3" a="1"/>
  <c r="K604" i="3" s="1"/>
  <c r="K605" i="3" a="1"/>
  <c r="K605" i="3"/>
  <c r="K606" i="3" a="1"/>
  <c r="K606" i="3" s="1"/>
  <c r="K607" i="3" a="1"/>
  <c r="K607" i="3" s="1"/>
  <c r="K608" i="3" a="1"/>
  <c r="K608" i="3" s="1"/>
  <c r="K609" i="3" a="1"/>
  <c r="K609" i="3"/>
  <c r="K610" i="3" a="1"/>
  <c r="K610" i="3" s="1"/>
  <c r="K611" i="3" a="1"/>
  <c r="K611" i="3" s="1"/>
  <c r="K612" i="3" a="1"/>
  <c r="K612" i="3" s="1"/>
  <c r="K613" i="3" a="1"/>
  <c r="K613" i="3"/>
  <c r="K614" i="3" a="1"/>
  <c r="K614" i="3" s="1"/>
  <c r="K615" i="3" a="1"/>
  <c r="K615" i="3" s="1"/>
  <c r="K616" i="3" a="1"/>
  <c r="K616" i="3" s="1"/>
  <c r="K617" i="3" a="1"/>
  <c r="K617" i="3"/>
  <c r="K618" i="3" a="1"/>
  <c r="K618" i="3" s="1"/>
  <c r="K619" i="3" a="1"/>
  <c r="K619" i="3" s="1"/>
  <c r="K620" i="3" a="1"/>
  <c r="K620" i="3" s="1"/>
  <c r="K621" i="3" a="1"/>
  <c r="K621" i="3"/>
  <c r="K622" i="3" a="1"/>
  <c r="K622" i="3" s="1"/>
  <c r="K623" i="3" a="1"/>
  <c r="K623" i="3" s="1"/>
  <c r="K624" i="3" a="1"/>
  <c r="K624" i="3" s="1"/>
  <c r="K625" i="3" a="1"/>
  <c r="K625" i="3"/>
  <c r="K626" i="3" a="1"/>
  <c r="K626" i="3" s="1"/>
  <c r="K627" i="3" a="1"/>
  <c r="K627" i="3" s="1"/>
  <c r="K628" i="3" a="1"/>
  <c r="K628" i="3" s="1"/>
  <c r="K629" i="3" a="1"/>
  <c r="K629" i="3"/>
  <c r="K630" i="3" a="1"/>
  <c r="K630" i="3" s="1"/>
  <c r="K631" i="3" a="1"/>
  <c r="K631" i="3" s="1"/>
  <c r="K632" i="3" a="1"/>
  <c r="K632" i="3" s="1"/>
  <c r="K633" i="3" a="1"/>
  <c r="K633" i="3"/>
  <c r="K634" i="3" a="1"/>
  <c r="K634" i="3" s="1"/>
  <c r="K635" i="3" a="1"/>
  <c r="K635" i="3" s="1"/>
  <c r="K636" i="3" a="1"/>
  <c r="K636" i="3" s="1"/>
  <c r="K637" i="3" a="1"/>
  <c r="K637" i="3"/>
  <c r="K638" i="3" a="1"/>
  <c r="K638" i="3" s="1"/>
  <c r="K639" i="3" a="1"/>
  <c r="K639" i="3" s="1"/>
  <c r="K640" i="3" a="1"/>
  <c r="K640" i="3" s="1"/>
  <c r="K641" i="3" a="1"/>
  <c r="K641" i="3"/>
  <c r="K642" i="3" a="1"/>
  <c r="K642" i="3" s="1"/>
  <c r="K643" i="3" a="1"/>
  <c r="K643" i="3" s="1"/>
  <c r="K644" i="3" a="1"/>
  <c r="K644" i="3" s="1"/>
  <c r="K645" i="3" a="1"/>
  <c r="K645" i="3"/>
  <c r="K646" i="3" a="1"/>
  <c r="K646" i="3" s="1"/>
  <c r="K647" i="3" a="1"/>
  <c r="K647" i="3" s="1"/>
  <c r="K648" i="3" a="1"/>
  <c r="K648" i="3" s="1"/>
  <c r="K649" i="3" a="1"/>
  <c r="K649" i="3"/>
  <c r="K650" i="3" a="1"/>
  <c r="K650" i="3" s="1"/>
  <c r="K651" i="3" a="1"/>
  <c r="K651" i="3" s="1"/>
  <c r="K652" i="3" a="1"/>
  <c r="K652" i="3" s="1"/>
  <c r="K653" i="3" a="1"/>
  <c r="K653" i="3"/>
  <c r="K654" i="3" a="1"/>
  <c r="K654" i="3" s="1"/>
  <c r="K655" i="3" a="1"/>
  <c r="K655" i="3" s="1"/>
  <c r="K656" i="3" a="1"/>
  <c r="K656" i="3" s="1"/>
  <c r="K657" i="3" a="1"/>
  <c r="K657" i="3"/>
  <c r="K658" i="3" a="1"/>
  <c r="K658" i="3" s="1"/>
  <c r="K659" i="3" a="1"/>
  <c r="K659" i="3" s="1"/>
  <c r="K660" i="3" a="1"/>
  <c r="K660" i="3" s="1"/>
  <c r="K661" i="3" a="1"/>
  <c r="K661" i="3"/>
  <c r="K662" i="3" a="1"/>
  <c r="K662" i="3" s="1"/>
  <c r="K663" i="3" a="1"/>
  <c r="K663" i="3" s="1"/>
  <c r="K664" i="3" a="1"/>
  <c r="K664" i="3" s="1"/>
  <c r="K665" i="3" a="1"/>
  <c r="K665" i="3"/>
  <c r="K666" i="3" a="1"/>
  <c r="K666" i="3" s="1"/>
  <c r="K667" i="3" a="1"/>
  <c r="K667" i="3" s="1"/>
  <c r="K668" i="3" a="1"/>
  <c r="K668" i="3" s="1"/>
  <c r="K669" i="3" a="1"/>
  <c r="K669" i="3"/>
  <c r="K670" i="3" a="1"/>
  <c r="K670" i="3" s="1"/>
  <c r="K671" i="3" a="1"/>
  <c r="K671" i="3" s="1"/>
  <c r="K672" i="3" a="1"/>
  <c r="K672" i="3" s="1"/>
  <c r="K673" i="3" a="1"/>
  <c r="K673" i="3"/>
  <c r="K674" i="3" a="1"/>
  <c r="K674" i="3" s="1"/>
  <c r="K675" i="3" a="1"/>
  <c r="K675" i="3" s="1"/>
  <c r="K676" i="3" a="1"/>
  <c r="K676" i="3" s="1"/>
  <c r="K677" i="3" a="1"/>
  <c r="K677" i="3"/>
  <c r="K678" i="3" a="1"/>
  <c r="K678" i="3" s="1"/>
  <c r="K679" i="3" a="1"/>
  <c r="K679" i="3" s="1"/>
  <c r="K680" i="3" a="1"/>
  <c r="K680" i="3" s="1"/>
  <c r="K681" i="3" a="1"/>
  <c r="K681" i="3"/>
  <c r="K682" i="3" a="1"/>
  <c r="K682" i="3" s="1"/>
  <c r="K683" i="3" a="1"/>
  <c r="K683" i="3" s="1"/>
  <c r="K684" i="3" a="1"/>
  <c r="K684" i="3" s="1"/>
  <c r="K685" i="3" a="1"/>
  <c r="K685" i="3"/>
  <c r="K686" i="3" a="1"/>
  <c r="K686" i="3" s="1"/>
  <c r="K687" i="3" a="1"/>
  <c r="K687" i="3" s="1"/>
  <c r="K688" i="3" a="1"/>
  <c r="K688" i="3" s="1"/>
  <c r="K689" i="3" a="1"/>
  <c r="K689" i="3"/>
  <c r="K690" i="3" a="1"/>
  <c r="K690" i="3" s="1"/>
  <c r="K691" i="3" a="1"/>
  <c r="K691" i="3" s="1"/>
  <c r="K692" i="3" a="1"/>
  <c r="K692" i="3" s="1"/>
  <c r="K693" i="3" a="1"/>
  <c r="K693" i="3"/>
  <c r="K694" i="3" a="1"/>
  <c r="K694" i="3" s="1"/>
  <c r="K695" i="3" a="1"/>
  <c r="K695" i="3" s="1"/>
  <c r="K696" i="3" a="1"/>
  <c r="K696" i="3" s="1"/>
  <c r="K697" i="3" a="1"/>
  <c r="K697" i="3"/>
  <c r="K698" i="3" a="1"/>
  <c r="K698" i="3" s="1"/>
  <c r="K699" i="3" a="1"/>
  <c r="K699" i="3" s="1"/>
  <c r="K700" i="3" a="1"/>
  <c r="K700" i="3" s="1"/>
  <c r="K701" i="3" a="1"/>
  <c r="K701" i="3"/>
  <c r="K702" i="3" a="1"/>
  <c r="K702" i="3" s="1"/>
  <c r="K703" i="3" a="1"/>
  <c r="K703" i="3" s="1"/>
  <c r="K704" i="3" a="1"/>
  <c r="K704" i="3" s="1"/>
  <c r="K705" i="3" a="1"/>
  <c r="K705" i="3"/>
  <c r="K706" i="3" a="1"/>
  <c r="K706" i="3"/>
  <c r="K707" i="3" a="1"/>
  <c r="K707" i="3"/>
  <c r="K708" i="3" a="1"/>
  <c r="K708" i="3" s="1"/>
  <c r="K709" i="3" a="1"/>
  <c r="K709" i="3"/>
  <c r="K710" i="3" a="1"/>
  <c r="K710" i="3" s="1"/>
  <c r="K711" i="3" a="1"/>
  <c r="K711" i="3"/>
  <c r="K712" i="3" a="1"/>
  <c r="K712" i="3" s="1"/>
  <c r="K713" i="3" a="1"/>
  <c r="K713" i="3"/>
  <c r="K714" i="3" a="1"/>
  <c r="K714" i="3" s="1"/>
  <c r="K715" i="3" a="1"/>
  <c r="K715" i="3"/>
  <c r="K716" i="3" a="1"/>
  <c r="K716" i="3" s="1"/>
  <c r="K717" i="3" a="1"/>
  <c r="K717" i="3"/>
  <c r="K718" i="3" a="1"/>
  <c r="K718" i="3" s="1"/>
  <c r="K719" i="3" a="1"/>
  <c r="K719" i="3"/>
  <c r="K720" i="3" a="1"/>
  <c r="K720" i="3" s="1"/>
  <c r="K721" i="3" a="1"/>
  <c r="K721" i="3"/>
  <c r="K722" i="3" a="1"/>
  <c r="K722" i="3" s="1"/>
  <c r="K723" i="3" a="1"/>
  <c r="K723" i="3"/>
  <c r="K724" i="3" a="1"/>
  <c r="K724" i="3" s="1"/>
  <c r="K725" i="3" a="1"/>
  <c r="K725" i="3"/>
  <c r="K726" i="3" a="1"/>
  <c r="K726" i="3" s="1"/>
  <c r="K727" i="3" a="1"/>
  <c r="K727" i="3" s="1"/>
  <c r="K728" i="3" a="1"/>
  <c r="K728" i="3" s="1"/>
  <c r="K729" i="3" a="1"/>
  <c r="K729" i="3"/>
  <c r="K730" i="3" a="1"/>
  <c r="K730" i="3" s="1"/>
  <c r="K731" i="3" a="1"/>
  <c r="K731" i="3"/>
  <c r="K732" i="3" a="1"/>
  <c r="K732" i="3" s="1"/>
  <c r="K733" i="3" a="1"/>
  <c r="K733" i="3" s="1"/>
  <c r="K734" i="3" a="1"/>
  <c r="K734" i="3" s="1"/>
  <c r="K735" i="3" a="1"/>
  <c r="K735" i="3" s="1"/>
  <c r="K736" i="3" a="1"/>
  <c r="K736" i="3" s="1"/>
  <c r="K737" i="3" a="1"/>
  <c r="K737" i="3"/>
  <c r="K738" i="3" a="1"/>
  <c r="K738" i="3" s="1"/>
  <c r="K739" i="3" a="1"/>
  <c r="K739" i="3"/>
  <c r="K740" i="3" a="1"/>
  <c r="K740" i="3" s="1"/>
  <c r="K741" i="3" a="1"/>
  <c r="K741" i="3" s="1"/>
  <c r="K742" i="3" a="1"/>
  <c r="K742" i="3" s="1"/>
  <c r="K743" i="3" a="1"/>
  <c r="K743" i="3" s="1"/>
  <c r="K744" i="3" a="1"/>
  <c r="K744" i="3" s="1"/>
  <c r="K745" i="3" a="1"/>
  <c r="K745" i="3"/>
  <c r="K746" i="3" a="1"/>
  <c r="K746" i="3" s="1"/>
  <c r="K747" i="3" a="1"/>
  <c r="K747" i="3"/>
  <c r="K748" i="3" a="1"/>
  <c r="K748" i="3" s="1"/>
  <c r="K749" i="3" a="1"/>
  <c r="K749" i="3" s="1"/>
  <c r="K750" i="3" a="1"/>
  <c r="K750" i="3" s="1"/>
  <c r="K751" i="3" a="1"/>
  <c r="K751" i="3" s="1"/>
  <c r="K752" i="3" a="1"/>
  <c r="K752" i="3" s="1"/>
  <c r="K753" i="3" a="1"/>
  <c r="K753" i="3"/>
  <c r="K754" i="3" a="1"/>
  <c r="K754" i="3" s="1"/>
  <c r="K755" i="3" a="1"/>
  <c r="K755" i="3"/>
  <c r="K756" i="3" a="1"/>
  <c r="K756" i="3" s="1"/>
  <c r="K757" i="3" a="1"/>
  <c r="K757" i="3" s="1"/>
  <c r="K758" i="3" a="1"/>
  <c r="K758" i="3" s="1"/>
  <c r="K759" i="3" a="1"/>
  <c r="K759" i="3" s="1"/>
  <c r="K760" i="3" a="1"/>
  <c r="K760" i="3" s="1"/>
  <c r="K761" i="3" a="1"/>
  <c r="K761" i="3"/>
  <c r="K762" i="3" a="1"/>
  <c r="K762" i="3" s="1"/>
  <c r="K763" i="3" a="1"/>
  <c r="K763" i="3"/>
  <c r="K764" i="3" a="1"/>
  <c r="K764" i="3" s="1"/>
  <c r="K765" i="3" a="1"/>
  <c r="K765" i="3" s="1"/>
  <c r="K766" i="3" a="1"/>
  <c r="K766" i="3" s="1"/>
  <c r="K767" i="3" a="1"/>
  <c r="K767" i="3" s="1"/>
  <c r="K768" i="3" a="1"/>
  <c r="K768" i="3" s="1"/>
  <c r="K769" i="3" a="1"/>
  <c r="K769" i="3"/>
  <c r="K770" i="3" a="1"/>
  <c r="K770" i="3" s="1"/>
  <c r="K771" i="3" a="1"/>
  <c r="K771" i="3"/>
  <c r="K772" i="3" a="1"/>
  <c r="K772" i="3" s="1"/>
  <c r="K773" i="3" a="1"/>
  <c r="K773" i="3" s="1"/>
  <c r="K774" i="3" a="1"/>
  <c r="K774" i="3" s="1"/>
  <c r="K775" i="3" a="1"/>
  <c r="K775" i="3" s="1"/>
  <c r="K776" i="3" a="1"/>
  <c r="K776" i="3" s="1"/>
  <c r="K777" i="3" a="1"/>
  <c r="K777" i="3"/>
  <c r="K778" i="3" a="1"/>
  <c r="K778" i="3" s="1"/>
  <c r="K779" i="3" a="1"/>
  <c r="K779" i="3"/>
  <c r="K780" i="3" a="1"/>
  <c r="K780" i="3" s="1"/>
  <c r="K781" i="3" a="1"/>
  <c r="K781" i="3" s="1"/>
  <c r="K782" i="3" a="1"/>
  <c r="K782" i="3" s="1"/>
  <c r="K783" i="3" a="1"/>
  <c r="K783" i="3" s="1"/>
  <c r="K784" i="3" a="1"/>
  <c r="K784" i="3" s="1"/>
  <c r="K785" i="3" a="1"/>
  <c r="K785" i="3"/>
  <c r="K786" i="3" a="1"/>
  <c r="K786" i="3" s="1"/>
  <c r="K787" i="3" a="1"/>
  <c r="K787" i="3"/>
  <c r="K788" i="3" a="1"/>
  <c r="K788" i="3" s="1"/>
  <c r="K789" i="3" a="1"/>
  <c r="K789" i="3" s="1"/>
  <c r="K790" i="3" a="1"/>
  <c r="K790" i="3" s="1"/>
  <c r="K791" i="3" a="1"/>
  <c r="K791" i="3" s="1"/>
  <c r="K792" i="3" a="1"/>
  <c r="K792" i="3" s="1"/>
  <c r="K793" i="3" a="1"/>
  <c r="K793" i="3"/>
  <c r="K794" i="3" a="1"/>
  <c r="K794" i="3" s="1"/>
  <c r="K795" i="3" a="1"/>
  <c r="K795" i="3"/>
  <c r="K796" i="3" a="1"/>
  <c r="K796" i="3" s="1"/>
  <c r="K797" i="3" a="1"/>
  <c r="K797" i="3" s="1"/>
  <c r="K798" i="3" a="1"/>
  <c r="K798" i="3" s="1"/>
  <c r="K799" i="3" a="1"/>
  <c r="K799" i="3" s="1"/>
  <c r="K800" i="3" a="1"/>
  <c r="K800" i="3" s="1"/>
  <c r="K801" i="3" a="1"/>
  <c r="K801" i="3"/>
  <c r="K802" i="3" a="1"/>
  <c r="K802" i="3" s="1"/>
  <c r="K803" i="3" a="1"/>
  <c r="K803" i="3" s="1"/>
  <c r="K804" i="3" a="1"/>
  <c r="K804" i="3" s="1"/>
  <c r="K805" i="3" a="1"/>
  <c r="K805" i="3" s="1"/>
  <c r="K806" i="3" a="1"/>
  <c r="K806" i="3" s="1"/>
  <c r="K807" i="3" a="1"/>
  <c r="K807" i="3" s="1"/>
  <c r="K808" i="3" a="1"/>
  <c r="K808" i="3" s="1"/>
  <c r="K809" i="3" a="1"/>
  <c r="K809" i="3"/>
  <c r="K810" i="3" a="1"/>
  <c r="K810" i="3" s="1"/>
  <c r="K811" i="3" a="1"/>
  <c r="K811" i="3"/>
  <c r="K812" i="3" a="1"/>
  <c r="K812" i="3" s="1"/>
  <c r="K813" i="3" a="1"/>
  <c r="K813" i="3" s="1"/>
  <c r="K814" i="3" a="1"/>
  <c r="K814" i="3" s="1"/>
  <c r="K815" i="3" a="1"/>
  <c r="K815" i="3" s="1"/>
  <c r="K816" i="3" a="1"/>
  <c r="K816" i="3" s="1"/>
  <c r="K817" i="3" a="1"/>
  <c r="K817" i="3"/>
  <c r="K818" i="3" a="1"/>
  <c r="K818" i="3" s="1"/>
  <c r="K819" i="3" a="1"/>
  <c r="K819" i="3" s="1"/>
  <c r="K820" i="3" a="1"/>
  <c r="K820" i="3" s="1"/>
  <c r="K821" i="3" a="1"/>
  <c r="K821" i="3" s="1"/>
  <c r="K822" i="3" a="1"/>
  <c r="K822" i="3" s="1"/>
  <c r="K823" i="3" a="1"/>
  <c r="K823" i="3" s="1"/>
  <c r="K824" i="3" a="1"/>
  <c r="K824" i="3" s="1"/>
  <c r="K825" i="3" a="1"/>
  <c r="K825" i="3"/>
  <c r="K826" i="3" a="1"/>
  <c r="K826" i="3" s="1"/>
  <c r="K827" i="3" a="1"/>
  <c r="K827" i="3" s="1"/>
  <c r="K828" i="3" a="1"/>
  <c r="K828" i="3" s="1"/>
  <c r="K829" i="3" a="1"/>
  <c r="K829" i="3" s="1"/>
  <c r="K830" i="3" a="1"/>
  <c r="K830" i="3" s="1"/>
  <c r="K831" i="3" a="1"/>
  <c r="K831" i="3" s="1"/>
  <c r="K832" i="3" a="1"/>
  <c r="K832" i="3" s="1"/>
  <c r="K833" i="3" a="1"/>
  <c r="K833" i="3"/>
  <c r="K834" i="3" a="1"/>
  <c r="K834" i="3" s="1"/>
  <c r="K835" i="3" a="1"/>
  <c r="K835" i="3"/>
  <c r="K836" i="3" a="1"/>
  <c r="K836" i="3" s="1"/>
  <c r="K837" i="3" a="1"/>
  <c r="K837" i="3" s="1"/>
  <c r="K838" i="3" a="1"/>
  <c r="K838" i="3" s="1"/>
  <c r="K839" i="3" a="1"/>
  <c r="K839" i="3" s="1"/>
  <c r="K840" i="3" a="1"/>
  <c r="K840" i="3" s="1"/>
  <c r="K841" i="3" a="1"/>
  <c r="K841" i="3"/>
  <c r="K842" i="3" a="1"/>
  <c r="K842" i="3" s="1"/>
  <c r="K843" i="3" a="1"/>
  <c r="K843" i="3" s="1"/>
  <c r="K844" i="3" a="1"/>
  <c r="K844" i="3" s="1"/>
  <c r="K845" i="3" a="1"/>
  <c r="K845" i="3" s="1"/>
  <c r="K846" i="3" a="1"/>
  <c r="K846" i="3" s="1"/>
  <c r="K847" i="3" a="1"/>
  <c r="K847" i="3" s="1"/>
  <c r="K848" i="3" a="1"/>
  <c r="K848" i="3" s="1"/>
  <c r="K849" i="3" a="1"/>
  <c r="K849" i="3"/>
  <c r="K850" i="3" a="1"/>
  <c r="K850" i="3" s="1"/>
  <c r="K851" i="3" a="1"/>
  <c r="K851" i="3"/>
  <c r="K852" i="3" a="1"/>
  <c r="K852" i="3" s="1"/>
  <c r="K853" i="3" a="1"/>
  <c r="K853" i="3" s="1"/>
  <c r="K854" i="3" a="1"/>
  <c r="K854" i="3" s="1"/>
  <c r="K855" i="3" a="1"/>
  <c r="K855" i="3" s="1"/>
  <c r="K856" i="3" a="1"/>
  <c r="K856" i="3" s="1"/>
  <c r="K857" i="3" a="1"/>
  <c r="K857" i="3"/>
  <c r="K858" i="3" a="1"/>
  <c r="K858" i="3" s="1"/>
  <c r="K859" i="3" a="1"/>
  <c r="K859" i="3"/>
  <c r="K860" i="3" a="1"/>
  <c r="K860" i="3" s="1"/>
  <c r="K861" i="3" a="1"/>
  <c r="K861" i="3" s="1"/>
  <c r="K862" i="3" a="1"/>
  <c r="K862" i="3" s="1"/>
  <c r="K863" i="3" a="1"/>
  <c r="K863" i="3" s="1"/>
  <c r="K864" i="3" a="1"/>
  <c r="K864" i="3" s="1"/>
  <c r="K865" i="3" a="1"/>
  <c r="K865" i="3"/>
  <c r="K866" i="3" a="1"/>
  <c r="K866" i="3" s="1"/>
  <c r="K867" i="3" a="1"/>
  <c r="K867" i="3"/>
  <c r="K868" i="3" a="1"/>
  <c r="K868" i="3" s="1"/>
  <c r="K869" i="3" a="1"/>
  <c r="K869" i="3" s="1"/>
  <c r="K870" i="3" a="1"/>
  <c r="K870" i="3" s="1"/>
  <c r="K871" i="3" a="1"/>
  <c r="K871" i="3" s="1"/>
  <c r="K872" i="3" a="1"/>
  <c r="K872" i="3" s="1"/>
  <c r="K873" i="3" a="1"/>
  <c r="K873" i="3"/>
  <c r="K874" i="3" a="1"/>
  <c r="K874" i="3" s="1"/>
  <c r="K875" i="3" a="1"/>
  <c r="K875" i="3"/>
  <c r="K876" i="3" a="1"/>
  <c r="K876" i="3" s="1"/>
  <c r="K877" i="3" a="1"/>
  <c r="K877" i="3" s="1"/>
  <c r="K878" i="3" a="1"/>
  <c r="K878" i="3" s="1"/>
  <c r="K879" i="3" a="1"/>
  <c r="K879" i="3" s="1"/>
  <c r="K880" i="3" a="1"/>
  <c r="K880" i="3" s="1"/>
  <c r="K881" i="3" a="1"/>
  <c r="K881" i="3"/>
  <c r="K882" i="3" a="1"/>
  <c r="K882" i="3" s="1"/>
  <c r="K883" i="3" a="1"/>
  <c r="K883" i="3"/>
  <c r="K884" i="3" a="1"/>
  <c r="K884" i="3" s="1"/>
  <c r="K885" i="3" a="1"/>
  <c r="K885" i="3" s="1"/>
  <c r="K886" i="3" a="1"/>
  <c r="K886" i="3" s="1"/>
  <c r="K887" i="3" a="1"/>
  <c r="K887" i="3" s="1"/>
  <c r="K888" i="3" a="1"/>
  <c r="K888" i="3" s="1"/>
  <c r="K889" i="3" a="1"/>
  <c r="K889" i="3"/>
  <c r="K890" i="3" a="1"/>
  <c r="K890" i="3" s="1"/>
  <c r="K891" i="3" a="1"/>
  <c r="K891" i="3"/>
  <c r="K892" i="3" a="1"/>
  <c r="K892" i="3" s="1"/>
  <c r="K893" i="3" a="1"/>
  <c r="K893" i="3" s="1"/>
  <c r="K894" i="3" a="1"/>
  <c r="K894" i="3" s="1"/>
  <c r="K895" i="3" a="1"/>
  <c r="K895" i="3" s="1"/>
  <c r="K896" i="3" a="1"/>
  <c r="K896" i="3" s="1"/>
  <c r="K897" i="3" a="1"/>
  <c r="K897" i="3"/>
  <c r="K898" i="3" a="1"/>
  <c r="K898" i="3" s="1"/>
  <c r="K899" i="3" a="1"/>
  <c r="K899" i="3"/>
  <c r="K900" i="3" a="1"/>
  <c r="K900" i="3" s="1"/>
  <c r="K901" i="3" a="1"/>
  <c r="K901" i="3" s="1"/>
  <c r="K902" i="3" a="1"/>
  <c r="K902" i="3" s="1"/>
  <c r="K903" i="3" a="1"/>
  <c r="K903" i="3" s="1"/>
  <c r="K904" i="3" a="1"/>
  <c r="K904" i="3" s="1"/>
  <c r="K905" i="3" a="1"/>
  <c r="K905" i="3"/>
  <c r="K906" i="3" a="1"/>
  <c r="K906" i="3" s="1"/>
  <c r="K907" i="3" a="1"/>
  <c r="K907" i="3"/>
  <c r="K908" i="3" a="1"/>
  <c r="K908" i="3" s="1"/>
  <c r="K909" i="3" a="1"/>
  <c r="K909" i="3" s="1"/>
  <c r="K910" i="3" a="1"/>
  <c r="K910" i="3" s="1"/>
  <c r="K911" i="3" a="1"/>
  <c r="K911" i="3" s="1"/>
  <c r="K912" i="3" a="1"/>
  <c r="K912" i="3" s="1"/>
  <c r="K913" i="3" a="1"/>
  <c r="K913" i="3"/>
  <c r="K914" i="3" a="1"/>
  <c r="K914" i="3" s="1"/>
  <c r="K915" i="3" a="1"/>
  <c r="K915" i="3"/>
  <c r="K916" i="3" a="1"/>
  <c r="K916" i="3" s="1"/>
  <c r="K917" i="3" a="1"/>
  <c r="K917" i="3" s="1"/>
  <c r="K918" i="3" a="1"/>
  <c r="K918" i="3" s="1"/>
  <c r="K919" i="3" a="1"/>
  <c r="K919" i="3" s="1"/>
  <c r="K920" i="3" a="1"/>
  <c r="K920" i="3" s="1"/>
  <c r="K921" i="3" a="1"/>
  <c r="K921" i="3"/>
  <c r="K922" i="3" a="1"/>
  <c r="K922" i="3" s="1"/>
  <c r="K923" i="3" a="1"/>
  <c r="K923" i="3"/>
  <c r="K924" i="3" a="1"/>
  <c r="K924" i="3" s="1"/>
  <c r="K925" i="3" a="1"/>
  <c r="K925" i="3" s="1"/>
  <c r="K926" i="3" a="1"/>
  <c r="K926" i="3" s="1"/>
  <c r="K927" i="3" a="1"/>
  <c r="K927" i="3" s="1"/>
  <c r="K928" i="3" a="1"/>
  <c r="K928" i="3" s="1"/>
  <c r="K929" i="3" a="1"/>
  <c r="K929" i="3"/>
  <c r="K930" i="3" a="1"/>
  <c r="K930" i="3" s="1"/>
  <c r="K931" i="3" a="1"/>
  <c r="K931" i="3"/>
  <c r="K932" i="3" a="1"/>
  <c r="K932" i="3" s="1"/>
  <c r="K933" i="3" a="1"/>
  <c r="K933" i="3" s="1"/>
  <c r="K934" i="3" a="1"/>
  <c r="K934" i="3" s="1"/>
  <c r="K935" i="3" a="1"/>
  <c r="K935" i="3" s="1"/>
  <c r="K936" i="3" a="1"/>
  <c r="K936" i="3" s="1"/>
  <c r="K937" i="3" a="1"/>
  <c r="K937" i="3"/>
  <c r="K938" i="3" a="1"/>
  <c r="K938" i="3" s="1"/>
  <c r="K939" i="3" a="1"/>
  <c r="K939" i="3"/>
  <c r="K940" i="3" a="1"/>
  <c r="K940" i="3" s="1"/>
  <c r="K941" i="3" a="1"/>
  <c r="K941" i="3" s="1"/>
  <c r="K942" i="3" a="1"/>
  <c r="K942" i="3" s="1"/>
  <c r="K943" i="3" a="1"/>
  <c r="K943" i="3" s="1"/>
  <c r="K944" i="3" a="1"/>
  <c r="K944" i="3" s="1"/>
  <c r="K945" i="3" a="1"/>
  <c r="K945" i="3"/>
  <c r="K946" i="3" a="1"/>
  <c r="K946" i="3" s="1"/>
  <c r="K947" i="3" a="1"/>
  <c r="K947" i="3"/>
  <c r="K948" i="3" a="1"/>
  <c r="K948" i="3" s="1"/>
  <c r="K949" i="3" a="1"/>
  <c r="K949" i="3" s="1"/>
  <c r="K950" i="3" a="1"/>
  <c r="K950" i="3" s="1"/>
  <c r="K951" i="3" a="1"/>
  <c r="K951" i="3" s="1"/>
  <c r="K952" i="3" a="1"/>
  <c r="K952" i="3" s="1"/>
  <c r="K953" i="3" a="1"/>
  <c r="K953" i="3"/>
  <c r="K954" i="3" a="1"/>
  <c r="K954" i="3" s="1"/>
  <c r="K955" i="3" a="1"/>
  <c r="K955" i="3"/>
  <c r="K956" i="3" a="1"/>
  <c r="K956" i="3" s="1"/>
  <c r="K957" i="3" a="1"/>
  <c r="K957" i="3" s="1"/>
  <c r="K958" i="3" a="1"/>
  <c r="K958" i="3" s="1"/>
  <c r="K959" i="3" a="1"/>
  <c r="K959" i="3" s="1"/>
  <c r="K960" i="3" a="1"/>
  <c r="K960" i="3" s="1"/>
  <c r="K961" i="3" a="1"/>
  <c r="K961" i="3"/>
  <c r="K962" i="3" a="1"/>
  <c r="K962" i="3" s="1"/>
  <c r="K963" i="3" a="1"/>
  <c r="K963" i="3"/>
  <c r="K964" i="3" a="1"/>
  <c r="K964" i="3" s="1"/>
  <c r="K965" i="3" a="1"/>
  <c r="K965" i="3" s="1"/>
  <c r="K966" i="3" a="1"/>
  <c r="K966" i="3" s="1"/>
  <c r="K967" i="3" a="1"/>
  <c r="K967" i="3" s="1"/>
  <c r="K968" i="3" a="1"/>
  <c r="K968" i="3" s="1"/>
  <c r="K969" i="3" a="1"/>
  <c r="K969" i="3"/>
  <c r="K970" i="3" a="1"/>
  <c r="K970" i="3" s="1"/>
  <c r="K971" i="3" a="1"/>
  <c r="K971" i="3"/>
  <c r="K972" i="3" a="1"/>
  <c r="K972" i="3" s="1"/>
  <c r="K973" i="3" a="1"/>
  <c r="K973" i="3" s="1"/>
  <c r="K974" i="3" a="1"/>
  <c r="K974" i="3" s="1"/>
  <c r="K975" i="3" a="1"/>
  <c r="K975" i="3" s="1"/>
  <c r="K976" i="3" a="1"/>
  <c r="K976" i="3" s="1"/>
  <c r="K977" i="3" a="1"/>
  <c r="K977" i="3"/>
  <c r="K978" i="3" a="1"/>
  <c r="K978" i="3" s="1"/>
  <c r="K979" i="3" a="1"/>
  <c r="K979" i="3" s="1"/>
  <c r="K980" i="3" a="1"/>
  <c r="K980" i="3" s="1"/>
  <c r="K981" i="3" a="1"/>
  <c r="K981" i="3" s="1"/>
  <c r="K982" i="3" a="1"/>
  <c r="K982" i="3" s="1"/>
  <c r="K983" i="3" a="1"/>
  <c r="K983" i="3" s="1"/>
  <c r="K984" i="3" a="1"/>
  <c r="K984" i="3" s="1"/>
  <c r="K985" i="3" a="1"/>
  <c r="K985" i="3"/>
  <c r="K986" i="3" a="1"/>
  <c r="K986" i="3" s="1"/>
  <c r="K987" i="3" a="1"/>
  <c r="K987" i="3" s="1"/>
  <c r="K988" i="3" a="1"/>
  <c r="K988" i="3" s="1"/>
  <c r="K989" i="3" a="1"/>
  <c r="K989" i="3" s="1"/>
  <c r="K990" i="3" a="1"/>
  <c r="K990" i="3" s="1"/>
  <c r="K991" i="3" a="1"/>
  <c r="K991" i="3" s="1"/>
  <c r="K992" i="3" a="1"/>
  <c r="K992" i="3" s="1"/>
  <c r="K993" i="3" a="1"/>
  <c r="K993" i="3"/>
  <c r="K994" i="3" a="1"/>
  <c r="K994" i="3" s="1"/>
  <c r="K995" i="3" a="1"/>
  <c r="K995" i="3"/>
  <c r="K996" i="3" a="1"/>
  <c r="K996" i="3" s="1"/>
  <c r="K997" i="3" a="1"/>
  <c r="K997" i="3" s="1"/>
  <c r="K998" i="3" a="1"/>
  <c r="K998" i="3" s="1"/>
  <c r="K999" i="3" a="1"/>
  <c r="K999" i="3" s="1"/>
  <c r="K1000" i="3" a="1"/>
  <c r="K1000" i="3" s="1"/>
  <c r="K1001" i="3" a="1"/>
  <c r="K1001" i="3"/>
  <c r="K1002" i="3" a="1"/>
  <c r="K1002" i="3" s="1"/>
  <c r="K1003" i="3" a="1"/>
  <c r="K1003" i="3" s="1"/>
  <c r="K1004" i="3" a="1"/>
  <c r="K1004" i="3" s="1"/>
  <c r="K1005" i="3" a="1"/>
  <c r="K1005" i="3" s="1"/>
  <c r="K1006" i="3" a="1"/>
  <c r="K1006" i="3" s="1"/>
  <c r="K1007" i="3" a="1"/>
  <c r="K1007" i="3" s="1"/>
  <c r="K1008" i="3" a="1"/>
  <c r="K1008" i="3" s="1"/>
  <c r="K1009" i="3" a="1"/>
  <c r="K1009" i="3"/>
  <c r="K1010" i="3" a="1"/>
  <c r="K1010" i="3" s="1"/>
  <c r="K1011" i="3" a="1"/>
  <c r="K1011" i="3" s="1"/>
  <c r="K1012" i="3" a="1"/>
  <c r="K1012" i="3" s="1"/>
  <c r="K1013" i="3" a="1"/>
  <c r="K1013" i="3" s="1"/>
  <c r="K1014" i="3" a="1"/>
  <c r="K1014" i="3" s="1"/>
  <c r="K1015" i="3" a="1"/>
  <c r="K1015" i="3" s="1"/>
  <c r="K1016" i="3" a="1"/>
  <c r="K1016" i="3" s="1"/>
  <c r="K1017" i="3" a="1"/>
  <c r="K1017" i="3"/>
  <c r="K1018" i="3" a="1"/>
  <c r="K1018" i="3" s="1"/>
  <c r="K1019" i="3" a="1"/>
  <c r="K1019" i="3"/>
  <c r="K1020" i="3" a="1"/>
  <c r="K1020" i="3" s="1"/>
  <c r="K1021" i="3" a="1"/>
  <c r="K1021" i="3" s="1"/>
  <c r="K1022" i="3" a="1"/>
  <c r="K1022" i="3" s="1"/>
  <c r="K1023" i="3" a="1"/>
  <c r="K1023" i="3" s="1"/>
  <c r="K1024" i="3" a="1"/>
  <c r="K1024" i="3" s="1"/>
  <c r="K1025" i="3" a="1"/>
  <c r="K1025" i="3"/>
  <c r="K1026" i="3" a="1"/>
  <c r="K1026" i="3" s="1"/>
  <c r="K1027" i="3" a="1"/>
  <c r="K1027" i="3" s="1"/>
  <c r="K1028" i="3" a="1"/>
  <c r="K1028" i="3" s="1"/>
  <c r="K1029" i="3" a="1"/>
  <c r="K1029" i="3" s="1"/>
  <c r="K1030" i="3" a="1"/>
  <c r="K1030" i="3" s="1"/>
  <c r="K1031" i="3" a="1"/>
  <c r="K1031" i="3" s="1"/>
  <c r="K1032" i="3" a="1"/>
  <c r="K1032" i="3" s="1"/>
  <c r="K1033" i="3" a="1"/>
  <c r="K1033" i="3"/>
  <c r="K1034" i="3" a="1"/>
  <c r="K1034" i="3" s="1"/>
  <c r="K1035" i="3" a="1"/>
  <c r="K1035" i="3"/>
  <c r="K1036" i="3" a="1"/>
  <c r="K1036" i="3" s="1"/>
  <c r="K1037" i="3" a="1"/>
  <c r="K1037" i="3" s="1"/>
  <c r="K1038" i="3" a="1"/>
  <c r="K1038" i="3" s="1"/>
  <c r="K1039" i="3" a="1"/>
  <c r="K1039" i="3" s="1"/>
  <c r="K1040" i="3" a="1"/>
  <c r="K1040" i="3" s="1"/>
  <c r="K1041" i="3" a="1"/>
  <c r="K1041" i="3"/>
  <c r="K1042" i="3" a="1"/>
  <c r="K1042" i="3" s="1"/>
  <c r="K1043" i="3" a="1"/>
  <c r="K1043" i="3"/>
  <c r="K1044" i="3" a="1"/>
  <c r="K1044" i="3" s="1"/>
  <c r="K1045" i="3" a="1"/>
  <c r="K1045" i="3" s="1"/>
  <c r="K1046" i="3" a="1"/>
  <c r="K1046" i="3" s="1"/>
  <c r="K1047" i="3" a="1"/>
  <c r="K1047" i="3" s="1"/>
  <c r="K1048" i="3" a="1"/>
  <c r="K1048" i="3" s="1"/>
  <c r="K1049" i="3" a="1"/>
  <c r="K1049" i="3"/>
  <c r="K1050" i="3" a="1"/>
  <c r="K1050" i="3" s="1"/>
  <c r="K1051" i="3" a="1"/>
  <c r="K1051" i="3"/>
  <c r="K1052" i="3" a="1"/>
  <c r="K1052" i="3" s="1"/>
  <c r="K1053" i="3" a="1"/>
  <c r="K1053" i="3" s="1"/>
  <c r="K1054" i="3" a="1"/>
  <c r="K1054" i="3" s="1"/>
  <c r="K1055" i="3" a="1"/>
  <c r="K1055" i="3" s="1"/>
  <c r="K1056" i="3" a="1"/>
  <c r="K1056" i="3" s="1"/>
  <c r="K1057" i="3" a="1"/>
  <c r="K1057" i="3"/>
  <c r="K1058" i="3" a="1"/>
  <c r="K1058" i="3" s="1"/>
  <c r="K1059" i="3" a="1"/>
  <c r="K1059" i="3"/>
  <c r="K1060" i="3" a="1"/>
  <c r="K1060" i="3" s="1"/>
  <c r="K1061" i="3" a="1"/>
  <c r="K1061" i="3" s="1"/>
  <c r="K1062" i="3" a="1"/>
  <c r="K1062" i="3" s="1"/>
  <c r="K1063" i="3" a="1"/>
  <c r="K1063" i="3" s="1"/>
  <c r="K1064" i="3" a="1"/>
  <c r="K1064" i="3" s="1"/>
  <c r="K1065" i="3" a="1"/>
  <c r="K1065" i="3"/>
  <c r="K1066" i="3" a="1"/>
  <c r="K1066" i="3" s="1"/>
  <c r="K1067" i="3" a="1"/>
  <c r="K1067" i="3"/>
  <c r="K1068" i="3" a="1"/>
  <c r="K1068" i="3" s="1"/>
  <c r="K1069" i="3" a="1"/>
  <c r="K1069" i="3" s="1"/>
  <c r="K1070" i="3" a="1"/>
  <c r="K1070" i="3" s="1"/>
  <c r="K1071" i="3" a="1"/>
  <c r="K1071" i="3" s="1"/>
  <c r="K1072" i="3" a="1"/>
  <c r="K1072" i="3" s="1"/>
  <c r="K1073" i="3" a="1"/>
  <c r="K1073" i="3"/>
  <c r="K1074" i="3" a="1"/>
  <c r="K1074" i="3" s="1"/>
  <c r="K1075" i="3" a="1"/>
  <c r="K1075" i="3"/>
  <c r="K1076" i="3" a="1"/>
  <c r="K1076" i="3" s="1"/>
  <c r="K1077" i="3" a="1"/>
  <c r="K1077" i="3" s="1"/>
  <c r="K1078" i="3" a="1"/>
  <c r="K1078" i="3" s="1"/>
  <c r="K1079" i="3" a="1"/>
  <c r="K1079" i="3" s="1"/>
  <c r="K1080" i="3" a="1"/>
  <c r="K1080" i="3" s="1"/>
  <c r="K1081" i="3" a="1"/>
  <c r="K1081" i="3"/>
  <c r="K1082" i="3" a="1"/>
  <c r="K1082" i="3" s="1"/>
  <c r="K1083" i="3" a="1"/>
  <c r="K1083" i="3"/>
  <c r="K1084" i="3" a="1"/>
  <c r="K1084" i="3" s="1"/>
  <c r="K1085" i="3" a="1"/>
  <c r="K1085" i="3" s="1"/>
  <c r="K1086" i="3" a="1"/>
  <c r="K1086" i="3" s="1"/>
  <c r="K1087" i="3" a="1"/>
  <c r="K1087" i="3" s="1"/>
  <c r="K1088" i="3" a="1"/>
  <c r="K1088" i="3" s="1"/>
  <c r="K1089" i="3" a="1"/>
  <c r="K1089" i="3"/>
  <c r="K1090" i="3" a="1"/>
  <c r="K1090" i="3" s="1"/>
  <c r="K1091" i="3" a="1"/>
  <c r="K1091" i="3"/>
  <c r="K1092" i="3" a="1"/>
  <c r="K1092" i="3" s="1"/>
  <c r="K1093" i="3" a="1"/>
  <c r="K1093" i="3" s="1"/>
  <c r="K1094" i="3" a="1"/>
  <c r="K1094" i="3" s="1"/>
  <c r="K1095" i="3" a="1"/>
  <c r="K1095" i="3" s="1"/>
  <c r="K1096" i="3" a="1"/>
  <c r="K1096" i="3" s="1"/>
  <c r="K1097" i="3" a="1"/>
  <c r="K1097" i="3"/>
  <c r="K1098" i="3" a="1"/>
  <c r="K1098" i="3" s="1"/>
  <c r="K1099" i="3" a="1"/>
  <c r="K1099" i="3"/>
  <c r="K1100" i="3" a="1"/>
  <c r="K1100" i="3" s="1"/>
  <c r="K1101" i="3" a="1"/>
  <c r="K1101" i="3" s="1"/>
  <c r="K1102" i="3" a="1"/>
  <c r="K1102" i="3" s="1"/>
  <c r="K1103" i="3" a="1"/>
  <c r="K1103" i="3" s="1"/>
  <c r="K1104" i="3" a="1"/>
  <c r="K1104" i="3" s="1"/>
  <c r="K1105" i="3" a="1"/>
  <c r="K1105" i="3"/>
  <c r="K1106" i="3" a="1"/>
  <c r="K1106" i="3" s="1"/>
  <c r="K1107" i="3" a="1"/>
  <c r="K1107" i="3"/>
  <c r="K1108" i="3" a="1"/>
  <c r="K1108" i="3" s="1"/>
  <c r="K1109" i="3" a="1"/>
  <c r="K1109" i="3" s="1"/>
  <c r="K1110" i="3" a="1"/>
  <c r="K1110" i="3" s="1"/>
  <c r="K1111" i="3" a="1"/>
  <c r="K1111" i="3" s="1"/>
  <c r="K1112" i="3" a="1"/>
  <c r="K1112" i="3" s="1"/>
  <c r="K1113" i="3" a="1"/>
  <c r="K1113" i="3"/>
  <c r="K1114" i="3" a="1"/>
  <c r="K1114" i="3" s="1"/>
  <c r="K1115" i="3" a="1"/>
  <c r="K1115" i="3"/>
  <c r="K1116" i="3" a="1"/>
  <c r="K1116" i="3" s="1"/>
  <c r="K1117" i="3" a="1"/>
  <c r="K1117" i="3" s="1"/>
  <c r="K1118" i="3" a="1"/>
  <c r="K1118" i="3" s="1"/>
  <c r="K1119" i="3" a="1"/>
  <c r="K1119" i="3" s="1"/>
  <c r="K1120" i="3" a="1"/>
  <c r="K1120" i="3" s="1"/>
  <c r="K1121" i="3" a="1"/>
  <c r="K1121" i="3"/>
  <c r="K1122" i="3" a="1"/>
  <c r="K1122" i="3" s="1"/>
  <c r="K1123" i="3" a="1"/>
  <c r="K1123" i="3"/>
  <c r="K1124" i="3" a="1"/>
  <c r="K1124" i="3" s="1"/>
  <c r="K1125" i="3" a="1"/>
  <c r="K1125" i="3" s="1"/>
  <c r="K1126" i="3" a="1"/>
  <c r="K1126" i="3" s="1"/>
  <c r="K1127" i="3" a="1"/>
  <c r="K1127" i="3" s="1"/>
  <c r="K1128" i="3" a="1"/>
  <c r="K1128" i="3" s="1"/>
  <c r="K1129" i="3" a="1"/>
  <c r="K1129" i="3"/>
  <c r="K1130" i="3" a="1"/>
  <c r="K1130" i="3" s="1"/>
  <c r="K1131" i="3" a="1"/>
  <c r="K1131" i="3"/>
  <c r="K1132" i="3" a="1"/>
  <c r="K1132" i="3" s="1"/>
  <c r="K1133" i="3" a="1"/>
  <c r="K1133" i="3" s="1"/>
  <c r="K1134" i="3" a="1"/>
  <c r="K1134" i="3" s="1"/>
  <c r="K1135" i="3" a="1"/>
  <c r="K1135" i="3" s="1"/>
  <c r="K1136" i="3" a="1"/>
  <c r="K1136" i="3" s="1"/>
  <c r="K1137" i="3" a="1"/>
  <c r="K1137" i="3"/>
  <c r="K1138" i="3" a="1"/>
  <c r="K1138" i="3" s="1"/>
  <c r="K1139" i="3" a="1"/>
  <c r="K1139" i="3"/>
  <c r="K1140" i="3" a="1"/>
  <c r="K1140" i="3" s="1"/>
  <c r="K1141" i="3" a="1"/>
  <c r="K1141" i="3" s="1"/>
  <c r="K1142" i="3" a="1"/>
  <c r="K1142" i="3" s="1"/>
  <c r="K1143" i="3" a="1"/>
  <c r="K1143" i="3" s="1"/>
  <c r="K1144" i="3" a="1"/>
  <c r="K1144" i="3" s="1"/>
  <c r="K1145" i="3" a="1"/>
  <c r="K1145" i="3"/>
  <c r="K1146" i="3" a="1"/>
  <c r="K1146" i="3" s="1"/>
  <c r="K1147" i="3" a="1"/>
  <c r="K1147" i="3"/>
  <c r="K1148" i="3" a="1"/>
  <c r="K1148" i="3" s="1"/>
  <c r="K1149" i="3" a="1"/>
  <c r="K1149" i="3" s="1"/>
  <c r="K1150" i="3" a="1"/>
  <c r="K1150" i="3" s="1"/>
  <c r="K1151" i="3" a="1"/>
  <c r="K1151" i="3" s="1"/>
  <c r="K1152" i="3" a="1"/>
  <c r="K1152" i="3" s="1"/>
  <c r="K1153" i="3" a="1"/>
  <c r="K1153" i="3"/>
  <c r="K1154" i="3" a="1"/>
  <c r="K1154" i="3" s="1"/>
  <c r="K1155" i="3" a="1"/>
  <c r="K1155" i="3"/>
  <c r="K1156" i="3" a="1"/>
  <c r="K1156" i="3" s="1"/>
  <c r="K1157" i="3" a="1"/>
  <c r="K1157" i="3" s="1"/>
  <c r="K1158" i="3" a="1"/>
  <c r="K1158" i="3" s="1"/>
  <c r="K1159" i="3" a="1"/>
  <c r="K1159" i="3" s="1"/>
  <c r="K1160" i="3" a="1"/>
  <c r="K1160" i="3" s="1"/>
  <c r="K1161" i="3" a="1"/>
  <c r="K1161" i="3"/>
  <c r="K1162" i="3" a="1"/>
  <c r="K1162" i="3" s="1"/>
  <c r="K1163" i="3" a="1"/>
  <c r="K1163" i="3"/>
  <c r="K1164" i="3" a="1"/>
  <c r="K1164" i="3" s="1"/>
  <c r="K1165" i="3" a="1"/>
  <c r="K1165" i="3" s="1"/>
  <c r="K1166" i="3" a="1"/>
  <c r="K1166" i="3" s="1"/>
  <c r="K1167" i="3" a="1"/>
  <c r="K1167" i="3" s="1"/>
  <c r="K1168" i="3" a="1"/>
  <c r="K1168" i="3" s="1"/>
  <c r="K1169" i="3" a="1"/>
  <c r="K1169" i="3"/>
  <c r="K1170" i="3" a="1"/>
  <c r="K1170" i="3" s="1"/>
  <c r="K1171" i="3" a="1"/>
  <c r="K1171" i="3"/>
  <c r="K1172" i="3" a="1"/>
  <c r="K1172" i="3" s="1"/>
  <c r="K1173" i="3" a="1"/>
  <c r="K1173" i="3" s="1"/>
  <c r="K1174" i="3" a="1"/>
  <c r="K1174" i="3" s="1"/>
  <c r="K1175" i="3" a="1"/>
  <c r="K1175" i="3" s="1"/>
  <c r="K1176" i="3" a="1"/>
  <c r="K1176" i="3" s="1"/>
  <c r="K1177" i="3" a="1"/>
  <c r="K1177" i="3"/>
  <c r="K1178" i="3" a="1"/>
  <c r="K1178" i="3" s="1"/>
  <c r="K1179" i="3" a="1"/>
  <c r="K1179" i="3"/>
  <c r="K1180" i="3" a="1"/>
  <c r="K1180" i="3" s="1"/>
  <c r="K1181" i="3" a="1"/>
  <c r="K1181" i="3" s="1"/>
  <c r="K1182" i="3" a="1"/>
  <c r="K1182" i="3" s="1"/>
  <c r="K1183" i="3" a="1"/>
  <c r="K1183" i="3" s="1"/>
  <c r="K1184" i="3" a="1"/>
  <c r="K1184" i="3" s="1"/>
  <c r="K1185" i="3" a="1"/>
  <c r="K1185" i="3"/>
  <c r="K1186" i="3" a="1"/>
  <c r="K1186" i="3" s="1"/>
  <c r="K1187" i="3" a="1"/>
  <c r="K1187" i="3"/>
  <c r="K1188" i="3" a="1"/>
  <c r="K1188" i="3" s="1"/>
  <c r="K1189" i="3" a="1"/>
  <c r="K1189" i="3" s="1"/>
  <c r="K1190" i="3" a="1"/>
  <c r="K1190" i="3" s="1"/>
  <c r="K1191" i="3" a="1"/>
  <c r="K1191" i="3" s="1"/>
  <c r="K1192" i="3" a="1"/>
  <c r="K1192" i="3" s="1"/>
  <c r="K1193" i="3" a="1"/>
  <c r="K1193" i="3"/>
  <c r="K1194" i="3" a="1"/>
  <c r="K1194" i="3" s="1"/>
  <c r="K1195" i="3" a="1"/>
  <c r="K1195" i="3"/>
  <c r="K1196" i="3" a="1"/>
  <c r="K1196" i="3" s="1"/>
  <c r="K1197" i="3" a="1"/>
  <c r="K1197" i="3" s="1"/>
  <c r="K1198" i="3" a="1"/>
  <c r="K1198" i="3" s="1"/>
  <c r="K1199" i="3" a="1"/>
  <c r="K1199" i="3" s="1"/>
  <c r="K1200" i="3" a="1"/>
  <c r="K1200" i="3" s="1"/>
  <c r="K1201" i="3" a="1"/>
  <c r="K1201" i="3"/>
  <c r="K1202" i="3" a="1"/>
  <c r="K1202" i="3" s="1"/>
  <c r="K1203" i="3" a="1"/>
  <c r="K1203" i="3"/>
  <c r="K1204" i="3" a="1"/>
  <c r="K1204" i="3" s="1"/>
  <c r="K1205" i="3" a="1"/>
  <c r="K1205" i="3" s="1"/>
  <c r="K1206" i="3" a="1"/>
  <c r="K1206" i="3" s="1"/>
  <c r="K1207" i="3" a="1"/>
  <c r="K1207" i="3" s="1"/>
  <c r="K1208" i="3" a="1"/>
  <c r="K1208" i="3" s="1"/>
  <c r="K1209" i="3" a="1"/>
  <c r="K1209" i="3"/>
  <c r="K1210" i="3" a="1"/>
  <c r="K1210" i="3" s="1"/>
  <c r="K1211" i="3" a="1"/>
  <c r="K1211" i="3"/>
  <c r="K1212" i="3" a="1"/>
  <c r="K1212" i="3" s="1"/>
  <c r="K1213" i="3" a="1"/>
  <c r="K1213" i="3" s="1"/>
  <c r="K1214" i="3" a="1"/>
  <c r="K1214" i="3" s="1"/>
  <c r="K1215" i="3" a="1"/>
  <c r="K1215" i="3" s="1"/>
  <c r="K1216" i="3" a="1"/>
  <c r="K1216" i="3" s="1"/>
  <c r="K1217" i="3" a="1"/>
  <c r="K1217" i="3"/>
  <c r="K1218" i="3" a="1"/>
  <c r="K1218" i="3" s="1"/>
  <c r="K1219" i="3" a="1"/>
  <c r="K1219" i="3"/>
  <c r="K1220" i="3" a="1"/>
  <c r="K1220" i="3" s="1"/>
  <c r="K1221" i="3" a="1"/>
  <c r="K1221" i="3" s="1"/>
  <c r="K1222" i="3" a="1"/>
  <c r="K1222" i="3" s="1"/>
  <c r="K1223" i="3" a="1"/>
  <c r="K1223" i="3" s="1"/>
  <c r="K1224" i="3" a="1"/>
  <c r="K1224" i="3" s="1"/>
  <c r="K1225" i="3" a="1"/>
  <c r="K1225" i="3"/>
  <c r="K1226" i="3" a="1"/>
  <c r="K1226" i="3" s="1"/>
  <c r="K1227" i="3" a="1"/>
  <c r="K1227" i="3"/>
  <c r="K1228" i="3" a="1"/>
  <c r="K1228" i="3" s="1"/>
  <c r="K1229" i="3" a="1"/>
  <c r="K1229" i="3" s="1"/>
  <c r="K1230" i="3" a="1"/>
  <c r="K1230" i="3" s="1"/>
  <c r="K1231" i="3" a="1"/>
  <c r="K1231" i="3" s="1"/>
  <c r="K1232" i="3" a="1"/>
  <c r="K1232" i="3" s="1"/>
  <c r="K1233" i="3" a="1"/>
  <c r="K1233" i="3"/>
  <c r="K1234" i="3" a="1"/>
  <c r="K1234" i="3" s="1"/>
  <c r="K1235" i="3" a="1"/>
  <c r="K1235" i="3"/>
  <c r="K1236" i="3" a="1"/>
  <c r="K1236" i="3" s="1"/>
  <c r="K1237" i="3" a="1"/>
  <c r="K1237" i="3" s="1"/>
  <c r="K1238" i="3" a="1"/>
  <c r="K1238" i="3" s="1"/>
  <c r="K1239" i="3" a="1"/>
  <c r="K1239" i="3" s="1"/>
  <c r="K1240" i="3" a="1"/>
  <c r="K1240" i="3" s="1"/>
  <c r="K1241" i="3" a="1"/>
  <c r="K1241" i="3"/>
  <c r="K1242" i="3" a="1"/>
  <c r="K1242" i="3" s="1"/>
  <c r="K1243" i="3" a="1"/>
  <c r="K1243" i="3"/>
  <c r="K1244" i="3" a="1"/>
  <c r="K1244" i="3" s="1"/>
  <c r="K1245" i="3" a="1"/>
  <c r="K1245" i="3" s="1"/>
  <c r="K1246" i="3" a="1"/>
  <c r="K1246" i="3" s="1"/>
  <c r="K1247" i="3" a="1"/>
  <c r="K1247" i="3" s="1"/>
  <c r="K1248" i="3" a="1"/>
  <c r="K1248" i="3" s="1"/>
  <c r="K1249" i="3" a="1"/>
  <c r="K1249" i="3"/>
  <c r="K1250" i="3" a="1"/>
  <c r="K1250" i="3" s="1"/>
  <c r="K1251" i="3" a="1"/>
  <c r="K1251" i="3"/>
  <c r="K1252" i="3" a="1"/>
  <c r="K1252" i="3" s="1"/>
  <c r="K1253" i="3" a="1"/>
  <c r="K1253" i="3" s="1"/>
  <c r="K1254" i="3" a="1"/>
  <c r="K1254" i="3" s="1"/>
  <c r="K1255" i="3" a="1"/>
  <c r="K1255" i="3" s="1"/>
  <c r="K1256" i="3" a="1"/>
  <c r="K1256" i="3" s="1"/>
  <c r="K1257" i="3" a="1"/>
  <c r="K1257" i="3"/>
  <c r="K1258" i="3" a="1"/>
  <c r="K1258" i="3" s="1"/>
  <c r="K1259" i="3" a="1"/>
  <c r="K1259" i="3"/>
  <c r="K1260" i="3" a="1"/>
  <c r="K1260" i="3" s="1"/>
  <c r="K1261" i="3" a="1"/>
  <c r="K1261" i="3" s="1"/>
  <c r="K1262" i="3" a="1"/>
  <c r="K1262" i="3" s="1"/>
  <c r="K1263" i="3" a="1"/>
  <c r="K1263" i="3" s="1"/>
  <c r="K1264" i="3" a="1"/>
  <c r="K1264" i="3" s="1"/>
  <c r="K1265" i="3" a="1"/>
  <c r="K1265" i="3"/>
  <c r="K1266" i="3" a="1"/>
  <c r="K1266" i="3" s="1"/>
  <c r="K1267" i="3" a="1"/>
  <c r="K1267" i="3"/>
  <c r="K1268" i="3" a="1"/>
  <c r="K1268" i="3" s="1"/>
  <c r="K1269" i="3" a="1"/>
  <c r="K1269" i="3" s="1"/>
  <c r="K1270" i="3" a="1"/>
  <c r="K1270" i="3" s="1"/>
  <c r="K1271" i="3" a="1"/>
  <c r="K1271" i="3" s="1"/>
  <c r="K1272" i="3" a="1"/>
  <c r="K1272" i="3" s="1"/>
  <c r="K1273" i="3" a="1"/>
  <c r="K1273" i="3"/>
  <c r="K1274" i="3" a="1"/>
  <c r="K1274" i="3" s="1"/>
  <c r="K1275" i="3" a="1"/>
  <c r="K1275" i="3"/>
  <c r="K1276" i="3" a="1"/>
  <c r="K1276" i="3" s="1"/>
  <c r="K1277" i="3" a="1"/>
  <c r="K1277" i="3" s="1"/>
  <c r="K1278" i="3" a="1"/>
  <c r="K1278" i="3" s="1"/>
  <c r="K1279" i="3" a="1"/>
  <c r="K1279" i="3" s="1"/>
  <c r="K1280" i="3" a="1"/>
  <c r="K1280" i="3" s="1"/>
  <c r="K1281" i="3" a="1"/>
  <c r="K1281" i="3"/>
  <c r="K1282" i="3" a="1"/>
  <c r="K1282" i="3" s="1"/>
  <c r="K1283" i="3" a="1"/>
  <c r="K1283" i="3"/>
  <c r="K1284" i="3" a="1"/>
  <c r="K1284" i="3" s="1"/>
  <c r="K1285" i="3" a="1"/>
  <c r="K1285" i="3" s="1"/>
  <c r="K1286" i="3" a="1"/>
  <c r="K1286" i="3" s="1"/>
  <c r="K1287" i="3" a="1"/>
  <c r="K1287" i="3" s="1"/>
  <c r="K1288" i="3" a="1"/>
  <c r="K1288" i="3" s="1"/>
  <c r="K1289" i="3" a="1"/>
  <c r="K1289" i="3"/>
  <c r="K1290" i="3" a="1"/>
  <c r="K1290" i="3" s="1"/>
  <c r="K1291" i="3" a="1"/>
  <c r="K1291" i="3"/>
  <c r="K1292" i="3" a="1"/>
  <c r="K1292" i="3" s="1"/>
  <c r="K1293" i="3" a="1"/>
  <c r="K1293" i="3" s="1"/>
  <c r="K1294" i="3" a="1"/>
  <c r="K1294" i="3" s="1"/>
  <c r="K1295" i="3" a="1"/>
  <c r="K1295" i="3" s="1"/>
  <c r="K1296" i="3" a="1"/>
  <c r="K1296" i="3" s="1"/>
  <c r="K1297" i="3" a="1"/>
  <c r="K1297" i="3"/>
  <c r="K1298" i="3" a="1"/>
  <c r="K1298" i="3" s="1"/>
  <c r="K1299" i="3" a="1"/>
  <c r="K1299" i="3"/>
  <c r="K1300" i="3" a="1"/>
  <c r="K1300" i="3" s="1"/>
  <c r="K1301" i="3" a="1"/>
  <c r="K1301" i="3" s="1"/>
  <c r="K1302" i="3" a="1"/>
  <c r="K1302" i="3" s="1"/>
  <c r="K1303" i="3" a="1"/>
  <c r="K1303" i="3" s="1"/>
  <c r="K1304" i="3" a="1"/>
  <c r="K1304" i="3" s="1"/>
  <c r="K1305" i="3" a="1"/>
  <c r="K1305" i="3"/>
  <c r="K1306" i="3" a="1"/>
  <c r="K1306" i="3" s="1"/>
  <c r="K1307" i="3" a="1"/>
  <c r="K1307" i="3"/>
  <c r="K1308" i="3" a="1"/>
  <c r="K1308" i="3" s="1"/>
  <c r="K1309" i="3" a="1"/>
  <c r="K1309" i="3" s="1"/>
  <c r="K1310" i="3" a="1"/>
  <c r="K1310" i="3" s="1"/>
  <c r="K1311" i="3" a="1"/>
  <c r="K1311" i="3" s="1"/>
  <c r="K1312" i="3" a="1"/>
  <c r="K1312" i="3" s="1"/>
  <c r="K1313" i="3" a="1"/>
  <c r="K1313" i="3"/>
  <c r="K1314" i="3" a="1"/>
  <c r="K1314" i="3" s="1"/>
  <c r="K1315" i="3" a="1"/>
  <c r="K1315" i="3"/>
  <c r="K1316" i="3" a="1"/>
  <c r="K1316" i="3" s="1"/>
  <c r="K1317" i="3" a="1"/>
  <c r="K1317" i="3" s="1"/>
  <c r="K1318" i="3" a="1"/>
  <c r="K1318" i="3" s="1"/>
  <c r="K1319" i="3" a="1"/>
  <c r="K1319" i="3" s="1"/>
  <c r="K1320" i="3" a="1"/>
  <c r="K1320" i="3" s="1"/>
  <c r="K1321" i="3" a="1"/>
  <c r="K1321" i="3"/>
  <c r="K1322" i="3" a="1"/>
  <c r="K1322" i="3" s="1"/>
  <c r="K1323" i="3" a="1"/>
  <c r="K1323" i="3"/>
  <c r="K1324" i="3" a="1"/>
  <c r="K1324" i="3" s="1"/>
  <c r="K1325" i="3" a="1"/>
  <c r="K1325" i="3" s="1"/>
  <c r="K1326" i="3" a="1"/>
  <c r="K1326" i="3" s="1"/>
  <c r="K1327" i="3" a="1"/>
  <c r="K1327" i="3" s="1"/>
  <c r="K1328" i="3" a="1"/>
  <c r="K1328" i="3" s="1"/>
  <c r="K1329" i="3" a="1"/>
  <c r="K1329" i="3"/>
  <c r="K1330" i="3" a="1"/>
  <c r="K1330" i="3" s="1"/>
  <c r="K1331" i="3" a="1"/>
  <c r="K1331" i="3"/>
  <c r="K1332" i="3" a="1"/>
  <c r="K1332" i="3" s="1"/>
  <c r="K1333" i="3" a="1"/>
  <c r="K1333" i="3" s="1"/>
  <c r="K1334" i="3" a="1"/>
  <c r="K1334" i="3" s="1"/>
  <c r="K1335" i="3" a="1"/>
  <c r="K1335" i="3" s="1"/>
  <c r="K1336" i="3" a="1"/>
  <c r="K1336" i="3" s="1"/>
  <c r="K1337" i="3" a="1"/>
  <c r="K1337" i="3"/>
  <c r="K1338" i="3" a="1"/>
  <c r="K1338" i="3" s="1"/>
  <c r="K1339" i="3" a="1"/>
  <c r="K1339" i="3"/>
  <c r="K1340" i="3" a="1"/>
  <c r="K1340" i="3" s="1"/>
  <c r="K1341" i="3" a="1"/>
  <c r="K1341" i="3" s="1"/>
  <c r="K1342" i="3" a="1"/>
  <c r="K1342" i="3" s="1"/>
  <c r="K1343" i="3" a="1"/>
  <c r="K1343" i="3" s="1"/>
  <c r="K1344" i="3" a="1"/>
  <c r="K1344" i="3" s="1"/>
  <c r="K1345" i="3" a="1"/>
  <c r="K1345" i="3"/>
  <c r="K1346" i="3" a="1"/>
  <c r="K1346" i="3" s="1"/>
  <c r="K1347" i="3" a="1"/>
  <c r="K1347" i="3"/>
  <c r="K1348" i="3" a="1"/>
  <c r="K1348" i="3" s="1"/>
  <c r="K1349" i="3" a="1"/>
  <c r="K1349" i="3" s="1"/>
  <c r="K1350" i="3" a="1"/>
  <c r="K1350" i="3" s="1"/>
  <c r="K1351" i="3" a="1"/>
  <c r="K1351" i="3" s="1"/>
  <c r="K1352" i="3" a="1"/>
  <c r="K1352" i="3" s="1"/>
  <c r="K1353" i="3" a="1"/>
  <c r="K1353" i="3"/>
  <c r="K1354" i="3" a="1"/>
  <c r="K1354" i="3" s="1"/>
  <c r="K1355" i="3" a="1"/>
  <c r="K1355" i="3"/>
  <c r="K1356" i="3" a="1"/>
  <c r="K1356" i="3" s="1"/>
  <c r="K1357" i="3" a="1"/>
  <c r="K1357" i="3" s="1"/>
  <c r="K1358" i="3" a="1"/>
  <c r="K1358" i="3" s="1"/>
  <c r="K1359" i="3" a="1"/>
  <c r="K1359" i="3" s="1"/>
  <c r="K1360" i="3" a="1"/>
  <c r="K1360" i="3" s="1"/>
  <c r="K1361" i="3" a="1"/>
  <c r="K1361" i="3" s="1"/>
  <c r="K1362" i="3" a="1"/>
  <c r="K1362" i="3" s="1"/>
  <c r="K1363" i="3" a="1"/>
  <c r="K1363" i="3"/>
  <c r="K1364" i="3" a="1"/>
  <c r="K1364" i="3" s="1"/>
  <c r="K1365" i="3" a="1"/>
  <c r="K1365" i="3" s="1"/>
  <c r="K1366" i="3" a="1"/>
  <c r="K1366" i="3" s="1"/>
  <c r="K1367" i="3" a="1"/>
  <c r="K1367" i="3" s="1"/>
  <c r="K1368" i="3" a="1"/>
  <c r="K1368" i="3" s="1"/>
  <c r="K1369" i="3" a="1"/>
  <c r="K1369" i="3"/>
  <c r="K1370" i="3" a="1"/>
  <c r="K1370" i="3" s="1"/>
  <c r="K1371" i="3" a="1"/>
  <c r="K1371" i="3"/>
  <c r="K1372" i="3" a="1"/>
  <c r="K1372" i="3" s="1"/>
  <c r="K1373" i="3" a="1"/>
  <c r="K1373" i="3" s="1"/>
  <c r="K1374" i="3" a="1"/>
  <c r="K1374" i="3" s="1"/>
  <c r="K1375" i="3" a="1"/>
  <c r="K1375" i="3" s="1"/>
  <c r="K1376" i="3" a="1"/>
  <c r="K1376" i="3" s="1"/>
  <c r="K1377" i="3" a="1"/>
  <c r="K1377" i="3" s="1"/>
  <c r="K1378" i="3" a="1"/>
  <c r="K1378" i="3" s="1"/>
  <c r="K1379" i="3" a="1"/>
  <c r="K1379" i="3"/>
  <c r="K1380" i="3" a="1"/>
  <c r="K1380" i="3" s="1"/>
  <c r="K1381" i="3" a="1"/>
  <c r="K1381" i="3" s="1"/>
  <c r="K1382" i="3" a="1"/>
  <c r="K1382" i="3" s="1"/>
  <c r="K1383" i="3" a="1"/>
  <c r="K1383" i="3" s="1"/>
  <c r="K1384" i="3" a="1"/>
  <c r="K1384" i="3" s="1"/>
  <c r="K1385" i="3" a="1"/>
  <c r="K1385" i="3" s="1"/>
  <c r="K1386" i="3" a="1"/>
  <c r="K1386" i="3" s="1"/>
  <c r="K1387" i="3" a="1"/>
  <c r="K1387" i="3"/>
  <c r="K1388" i="3" a="1"/>
  <c r="K1388" i="3" s="1"/>
  <c r="K1389" i="3" a="1"/>
  <c r="K1389" i="3" s="1"/>
  <c r="K1390" i="3" a="1"/>
  <c r="K1390" i="3" s="1"/>
  <c r="K1391" i="3" a="1"/>
  <c r="K1391" i="3" s="1"/>
  <c r="K1392" i="3" a="1"/>
  <c r="K1392" i="3" s="1"/>
  <c r="K1393" i="3" a="1"/>
  <c r="K1393" i="3" s="1"/>
  <c r="K1394" i="3" a="1"/>
  <c r="K1394" i="3"/>
  <c r="K1395" i="3" a="1"/>
  <c r="K1395" i="3" s="1"/>
  <c r="K1396" i="3" a="1"/>
  <c r="K1396" i="3"/>
  <c r="K1397" i="3" a="1"/>
  <c r="K1397" i="3" s="1"/>
  <c r="K1398" i="3" a="1"/>
  <c r="K1398" i="3" s="1"/>
  <c r="K1399" i="3" a="1"/>
  <c r="K1399" i="3" s="1"/>
  <c r="K1400" i="3" a="1"/>
  <c r="K1400" i="3" s="1"/>
  <c r="K1401" i="3" a="1"/>
  <c r="K1401" i="3" s="1"/>
  <c r="K1402" i="3" a="1"/>
  <c r="K1402" i="3"/>
  <c r="K1403" i="3" a="1"/>
  <c r="K1403" i="3" s="1"/>
  <c r="K1404" i="3" a="1"/>
  <c r="K1404" i="3"/>
  <c r="K1405" i="3" a="1"/>
  <c r="K1405" i="3" s="1"/>
  <c r="K1406" i="3" a="1"/>
  <c r="K1406" i="3" s="1"/>
  <c r="K1407" i="3" a="1"/>
  <c r="K1407" i="3" s="1"/>
  <c r="K1408" i="3" a="1"/>
  <c r="K1408" i="3" s="1"/>
  <c r="K1409" i="3" a="1"/>
  <c r="K1409" i="3" s="1"/>
  <c r="K1410" i="3" a="1"/>
  <c r="K1410" i="3"/>
  <c r="K1411" i="3" a="1"/>
  <c r="K1411" i="3" s="1"/>
  <c r="K1412" i="3" a="1"/>
  <c r="K1412" i="3"/>
  <c r="K1413" i="3" a="1"/>
  <c r="K1413" i="3" s="1"/>
  <c r="K1414" i="3" a="1"/>
  <c r="K1414" i="3" s="1"/>
  <c r="K1415" i="3" a="1"/>
  <c r="K1415" i="3" s="1"/>
  <c r="K1416" i="3" a="1"/>
  <c r="K1416" i="3" s="1"/>
  <c r="K1417" i="3" a="1"/>
  <c r="K1417" i="3" s="1"/>
  <c r="K1418" i="3" a="1"/>
  <c r="K1418" i="3"/>
  <c r="K1419" i="3" a="1"/>
  <c r="K1419" i="3" s="1"/>
  <c r="K1420" i="3" a="1"/>
  <c r="K1420" i="3"/>
  <c r="K1421" i="3" a="1"/>
  <c r="K1421" i="3" s="1"/>
  <c r="K1422" i="3" a="1"/>
  <c r="K1422" i="3" s="1"/>
  <c r="K1423" i="3" a="1"/>
  <c r="K1423" i="3" s="1"/>
  <c r="K1424" i="3" a="1"/>
  <c r="K1424" i="3" s="1"/>
  <c r="K1425" i="3" a="1"/>
  <c r="K1425" i="3" s="1"/>
  <c r="K1426" i="3" a="1"/>
  <c r="K1426" i="3"/>
  <c r="K1427" i="3" a="1"/>
  <c r="K1427" i="3" s="1"/>
  <c r="K1428" i="3" a="1"/>
  <c r="K1428" i="3"/>
  <c r="K1429" i="3" a="1"/>
  <c r="K1429" i="3" s="1"/>
  <c r="K1430" i="3" a="1"/>
  <c r="K1430" i="3" s="1"/>
  <c r="K1431" i="3" a="1"/>
  <c r="K1431" i="3" s="1"/>
  <c r="K1432" i="3" a="1"/>
  <c r="K1432" i="3" s="1"/>
  <c r="K1433" i="3" a="1"/>
  <c r="K1433" i="3" s="1"/>
  <c r="K1434" i="3" a="1"/>
  <c r="K1434" i="3"/>
  <c r="K1435" i="3" a="1"/>
  <c r="K1435" i="3" s="1"/>
  <c r="K1436" i="3" a="1"/>
  <c r="K1436" i="3"/>
  <c r="K1437" i="3" a="1"/>
  <c r="K1437" i="3" s="1"/>
  <c r="K1438" i="3" a="1"/>
  <c r="K1438" i="3" s="1"/>
  <c r="K1439" i="3" a="1"/>
  <c r="K1439" i="3" s="1"/>
  <c r="K1440" i="3" a="1"/>
  <c r="K1440" i="3" s="1"/>
  <c r="K1441" i="3" a="1"/>
  <c r="K1441" i="3" s="1"/>
  <c r="K1442" i="3" a="1"/>
  <c r="K1442" i="3"/>
  <c r="K1443" i="3" a="1"/>
  <c r="K1443" i="3" s="1"/>
  <c r="K1444" i="3" a="1"/>
  <c r="K1444" i="3"/>
  <c r="K1445" i="3" a="1"/>
  <c r="K1445" i="3" s="1"/>
  <c r="K1446" i="3" a="1"/>
  <c r="K1446" i="3" s="1"/>
  <c r="K1447" i="3" a="1"/>
  <c r="K1447" i="3" s="1"/>
  <c r="K1448" i="3" a="1"/>
  <c r="K1448" i="3" s="1"/>
  <c r="K1449" i="3" a="1"/>
  <c r="K1449" i="3" s="1"/>
  <c r="K1450" i="3" a="1"/>
  <c r="K1450" i="3"/>
  <c r="K1451" i="3" a="1"/>
  <c r="K1451" i="3" s="1"/>
  <c r="K1452" i="3" a="1"/>
  <c r="K1452" i="3"/>
  <c r="K1453" i="3" a="1"/>
  <c r="K1453" i="3" s="1"/>
  <c r="K1454" i="3" a="1"/>
  <c r="K1454" i="3" s="1"/>
  <c r="K1455" i="3" a="1"/>
  <c r="K1455" i="3" s="1"/>
  <c r="K1456" i="3" a="1"/>
  <c r="K1456" i="3" s="1"/>
  <c r="K1457" i="3" a="1"/>
  <c r="K1457" i="3" s="1"/>
  <c r="K1458" i="3" a="1"/>
  <c r="K1458" i="3"/>
  <c r="K1459" i="3" a="1"/>
  <c r="K1459" i="3" s="1"/>
  <c r="K1460" i="3" a="1"/>
  <c r="K1460" i="3"/>
  <c r="K1461" i="3" a="1"/>
  <c r="K1461" i="3" s="1"/>
  <c r="K1462" i="3" a="1"/>
  <c r="K1462" i="3" s="1"/>
  <c r="K1463" i="3" a="1"/>
  <c r="K1463" i="3" s="1"/>
  <c r="K1464" i="3" a="1"/>
  <c r="K1464" i="3" s="1"/>
  <c r="K1465" i="3" a="1"/>
  <c r="K1465" i="3" s="1"/>
  <c r="K1466" i="3" a="1"/>
  <c r="K1466" i="3"/>
  <c r="K1467" i="3" a="1"/>
  <c r="K1467" i="3" s="1"/>
  <c r="K1468" i="3" a="1"/>
  <c r="K1468" i="3"/>
  <c r="K1469" i="3" a="1"/>
  <c r="K1469" i="3" s="1"/>
  <c r="K1470" i="3" a="1"/>
  <c r="K1470" i="3" s="1"/>
  <c r="K1471" i="3" a="1"/>
  <c r="K1471" i="3" s="1"/>
  <c r="K1472" i="3" a="1"/>
  <c r="K1472" i="3" s="1"/>
  <c r="K1473" i="3" a="1"/>
  <c r="K1473" i="3" s="1"/>
  <c r="K1474" i="3" a="1"/>
  <c r="K1474" i="3"/>
  <c r="K1475" i="3" a="1"/>
  <c r="K1475" i="3" s="1"/>
  <c r="K1476" i="3" a="1"/>
  <c r="K1476" i="3"/>
  <c r="K1477" i="3" a="1"/>
  <c r="K1477" i="3" s="1"/>
  <c r="K1478" i="3" a="1"/>
  <c r="K1478" i="3" s="1"/>
  <c r="K1479" i="3" a="1"/>
  <c r="K1479" i="3" s="1"/>
  <c r="K1480" i="3" a="1"/>
  <c r="K1480" i="3" s="1"/>
  <c r="K1481" i="3" a="1"/>
  <c r="K1481" i="3" s="1"/>
  <c r="K1482" i="3" a="1"/>
  <c r="K1482" i="3"/>
  <c r="K1483" i="3" a="1"/>
  <c r="K1483" i="3" s="1"/>
  <c r="K1484" i="3" a="1"/>
  <c r="K1484" i="3"/>
  <c r="K1485" i="3" a="1"/>
  <c r="K1485" i="3" s="1"/>
  <c r="K1486" i="3" a="1"/>
  <c r="K1486" i="3" s="1"/>
  <c r="K1487" i="3" a="1"/>
  <c r="K1487" i="3" s="1"/>
  <c r="K1488" i="3" a="1"/>
  <c r="K1488" i="3" s="1"/>
  <c r="K1489" i="3" a="1"/>
  <c r="K1489" i="3" s="1"/>
  <c r="K1490" i="3" a="1"/>
  <c r="K1490" i="3"/>
  <c r="K1491" i="3" a="1"/>
  <c r="K1491" i="3" s="1"/>
  <c r="K1492" i="3" a="1"/>
  <c r="K1492" i="3"/>
  <c r="K1493" i="3" a="1"/>
  <c r="K1493" i="3" s="1"/>
  <c r="K1494" i="3" a="1"/>
  <c r="K1494" i="3" s="1"/>
  <c r="K1495" i="3" a="1"/>
  <c r="K1495" i="3" s="1"/>
  <c r="K1496" i="3" a="1"/>
  <c r="K1496" i="3" s="1"/>
  <c r="K1497" i="3" a="1"/>
  <c r="K1497" i="3" s="1"/>
  <c r="K1498" i="3" a="1"/>
  <c r="K1498" i="3"/>
  <c r="K1499" i="3" a="1"/>
  <c r="K1499" i="3" s="1"/>
  <c r="K1500" i="3" a="1"/>
  <c r="K1500" i="3"/>
  <c r="K1501" i="3" a="1"/>
  <c r="K1501" i="3" s="1"/>
  <c r="K1502" i="3" a="1"/>
  <c r="K1502" i="3" s="1"/>
  <c r="K1503" i="3" a="1"/>
  <c r="K1503" i="3" s="1"/>
  <c r="K1504" i="3" a="1"/>
  <c r="K1504" i="3" s="1"/>
  <c r="K1505" i="3" a="1"/>
  <c r="K1505" i="3" s="1"/>
  <c r="K1506" i="3" a="1"/>
  <c r="K1506" i="3"/>
  <c r="K1507" i="3" a="1"/>
  <c r="K1507" i="3" s="1"/>
  <c r="K1508" i="3" a="1"/>
  <c r="K1508" i="3"/>
  <c r="K1509" i="3" a="1"/>
  <c r="K1509" i="3" s="1"/>
  <c r="K1510" i="3" a="1"/>
  <c r="K1510" i="3" s="1"/>
  <c r="K1511" i="3" a="1"/>
  <c r="K1511" i="3" s="1"/>
  <c r="K1512" i="3" a="1"/>
  <c r="K1512" i="3" s="1"/>
  <c r="K1513" i="3" a="1"/>
  <c r="K1513" i="3" s="1"/>
  <c r="K1514" i="3" a="1"/>
  <c r="K1514" i="3"/>
  <c r="K1515" i="3" a="1"/>
  <c r="K1515" i="3" s="1"/>
  <c r="K1516" i="3" a="1"/>
  <c r="K1516" i="3"/>
  <c r="K1517" i="3" a="1"/>
  <c r="K1517" i="3" s="1"/>
  <c r="K1518" i="3" a="1"/>
  <c r="K1518" i="3" s="1"/>
  <c r="K1519" i="3" a="1"/>
  <c r="K1519" i="3" s="1"/>
  <c r="K1520" i="3" a="1"/>
  <c r="K1520" i="3" s="1"/>
  <c r="K1521" i="3" a="1"/>
  <c r="K1521" i="3" s="1"/>
  <c r="K1522" i="3" a="1"/>
  <c r="K1522" i="3"/>
  <c r="K1523" i="3" a="1"/>
  <c r="K1523" i="3" s="1"/>
  <c r="K1524" i="3" a="1"/>
  <c r="K1524" i="3"/>
  <c r="K1525" i="3" a="1"/>
  <c r="K1525" i="3" s="1"/>
  <c r="K1526" i="3" a="1"/>
  <c r="K1526" i="3" s="1"/>
  <c r="K1527" i="3" a="1"/>
  <c r="K1527" i="3" s="1"/>
  <c r="K1528" i="3" a="1"/>
  <c r="K1528" i="3" s="1"/>
  <c r="K1529" i="3" a="1"/>
  <c r="K1529" i="3" s="1"/>
  <c r="K1530" i="3" a="1"/>
  <c r="K1530" i="3"/>
  <c r="K1531" i="3" a="1"/>
  <c r="K1531" i="3" s="1"/>
  <c r="K1532" i="3" a="1"/>
  <c r="K1532" i="3"/>
  <c r="K1533" i="3" a="1"/>
  <c r="K1533" i="3" s="1"/>
  <c r="K1534" i="3" a="1"/>
  <c r="K1534" i="3" s="1"/>
  <c r="K1535" i="3" a="1"/>
  <c r="K1535" i="3" s="1"/>
  <c r="K1536" i="3" a="1"/>
  <c r="K1536" i="3" s="1"/>
  <c r="K1537" i="3" a="1"/>
  <c r="K1537" i="3" s="1"/>
  <c r="K1538" i="3" a="1"/>
  <c r="K1538" i="3"/>
  <c r="K1539" i="3" a="1"/>
  <c r="K1539" i="3" s="1"/>
  <c r="K1540" i="3" a="1"/>
  <c r="K1540" i="3"/>
  <c r="K1541" i="3" a="1"/>
  <c r="K1541" i="3" s="1"/>
  <c r="K1542" i="3" a="1"/>
  <c r="K1542" i="3" s="1"/>
  <c r="K1543" i="3" a="1"/>
  <c r="K1543" i="3" s="1"/>
  <c r="K1544" i="3" a="1"/>
  <c r="K1544" i="3" s="1"/>
  <c r="K1545" i="3" a="1"/>
  <c r="K1545" i="3" s="1"/>
  <c r="K1546" i="3" a="1"/>
  <c r="K1546" i="3"/>
  <c r="K1547" i="3" a="1"/>
  <c r="K1547" i="3" s="1"/>
  <c r="K1548" i="3" a="1"/>
  <c r="K1548" i="3"/>
  <c r="K1549" i="3" a="1"/>
  <c r="K1549" i="3" s="1"/>
  <c r="K1550" i="3" a="1"/>
  <c r="K1550" i="3" s="1"/>
  <c r="K1551" i="3" a="1"/>
  <c r="K1551" i="3" s="1"/>
  <c r="K1552" i="3" a="1"/>
  <c r="K1552" i="3" s="1"/>
  <c r="K1553" i="3" a="1"/>
  <c r="K1553" i="3" s="1"/>
  <c r="K1554" i="3" a="1"/>
  <c r="K1554" i="3"/>
  <c r="K1555" i="3" a="1"/>
  <c r="K1555" i="3" s="1"/>
  <c r="K1556" i="3" a="1"/>
  <c r="K1556" i="3"/>
  <c r="K1557" i="3" a="1"/>
  <c r="K1557" i="3" s="1"/>
  <c r="K1558" i="3" a="1"/>
  <c r="K1558" i="3" s="1"/>
  <c r="K1559" i="3" a="1"/>
  <c r="K1559" i="3" s="1"/>
  <c r="K1560" i="3" a="1"/>
  <c r="K1560" i="3" s="1"/>
  <c r="K1561" i="3" a="1"/>
  <c r="K1561" i="3" s="1"/>
  <c r="K1562" i="3" a="1"/>
  <c r="K1562" i="3" s="1"/>
  <c r="K1563" i="3" a="1"/>
  <c r="K1563" i="3" s="1"/>
  <c r="K1564" i="3" a="1"/>
  <c r="K1564" i="3"/>
  <c r="K1565" i="3" a="1"/>
  <c r="K1565" i="3" s="1"/>
  <c r="K1566" i="3" a="1"/>
  <c r="K1566" i="3" s="1"/>
  <c r="K1567" i="3" a="1"/>
  <c r="K1567" i="3" s="1"/>
  <c r="K1568" i="3" a="1"/>
  <c r="K1568" i="3"/>
  <c r="K1569" i="3" a="1"/>
  <c r="K1569" i="3" s="1"/>
  <c r="K1570" i="3" a="1"/>
  <c r="K1570" i="3" s="1"/>
  <c r="K1571" i="3" a="1"/>
  <c r="K1571" i="3" s="1"/>
  <c r="K1572" i="3" a="1"/>
  <c r="K1572" i="3"/>
  <c r="K1573" i="3" a="1"/>
  <c r="K1573" i="3" s="1"/>
  <c r="K1574" i="3" a="1"/>
  <c r="K1574" i="3" s="1"/>
  <c r="K1575" i="3" a="1"/>
  <c r="K1575" i="3" s="1"/>
  <c r="K1576" i="3" a="1"/>
  <c r="K1576" i="3"/>
  <c r="K1577" i="3" a="1"/>
  <c r="K1577" i="3" s="1"/>
  <c r="K1578" i="3" a="1"/>
  <c r="K1578" i="3" s="1"/>
  <c r="K1579" i="3" a="1"/>
  <c r="K1579" i="3" s="1"/>
  <c r="K1580" i="3" a="1"/>
  <c r="K1580" i="3"/>
  <c r="K1581" i="3" a="1"/>
  <c r="K1581" i="3" s="1"/>
  <c r="K1582" i="3" a="1"/>
  <c r="K1582" i="3" s="1"/>
  <c r="K1583" i="3" a="1"/>
  <c r="K1583" i="3" s="1"/>
  <c r="K1584" i="3" a="1"/>
  <c r="K1584" i="3"/>
  <c r="K1585" i="3" a="1"/>
  <c r="K1585" i="3" s="1"/>
  <c r="K1586" i="3" a="1"/>
  <c r="K1586" i="3" s="1"/>
  <c r="K1587" i="3" a="1"/>
  <c r="K1587" i="3" s="1"/>
  <c r="K1588" i="3" a="1"/>
  <c r="K1588" i="3"/>
  <c r="K1589" i="3" a="1"/>
  <c r="K1589" i="3" s="1"/>
  <c r="K1590" i="3" a="1"/>
  <c r="K1590" i="3" s="1"/>
  <c r="K1591" i="3" a="1"/>
  <c r="K1591" i="3" s="1"/>
  <c r="K1592" i="3" a="1"/>
  <c r="K1592" i="3"/>
  <c r="K1593" i="3" a="1"/>
  <c r="K1593" i="3" s="1"/>
  <c r="K1594" i="3" a="1"/>
  <c r="K1594" i="3" s="1"/>
  <c r="K1595" i="3" a="1"/>
  <c r="K1595" i="3" s="1"/>
  <c r="K1596" i="3" a="1"/>
  <c r="K1596" i="3"/>
  <c r="K1597" i="3" a="1"/>
  <c r="K1597" i="3" s="1"/>
  <c r="K1598" i="3" a="1"/>
  <c r="K1598" i="3" s="1"/>
  <c r="K1599" i="3" a="1"/>
  <c r="K1599" i="3" s="1"/>
  <c r="K1600" i="3" a="1"/>
  <c r="K1600" i="3"/>
  <c r="K1601" i="3" a="1"/>
  <c r="K1601" i="3" s="1"/>
  <c r="K1602" i="3" a="1"/>
  <c r="K1602" i="3" s="1"/>
  <c r="K1603" i="3" a="1"/>
  <c r="K1603" i="3" s="1"/>
  <c r="K1604" i="3" a="1"/>
  <c r="K1604" i="3"/>
  <c r="K1605" i="3" a="1"/>
  <c r="K1605" i="3" s="1"/>
  <c r="K1606" i="3" a="1"/>
  <c r="K1606" i="3" s="1"/>
  <c r="K1607" i="3" a="1"/>
  <c r="K1607" i="3" s="1"/>
  <c r="K1608" i="3" a="1"/>
  <c r="K1608" i="3"/>
  <c r="K1609" i="3" a="1"/>
  <c r="K1609" i="3" s="1"/>
  <c r="K1610" i="3" a="1"/>
  <c r="K1610" i="3" s="1"/>
  <c r="K1611" i="3" a="1"/>
  <c r="K1611" i="3" s="1"/>
  <c r="K1612" i="3" a="1"/>
  <c r="K1612" i="3" s="1"/>
  <c r="K1613" i="3" a="1"/>
  <c r="K1613" i="3" s="1"/>
  <c r="K1614" i="3" a="1"/>
  <c r="K1614" i="3" s="1"/>
  <c r="K1615" i="3" a="1"/>
  <c r="K1615" i="3" s="1"/>
  <c r="K1616" i="3" a="1"/>
  <c r="K1616" i="3"/>
  <c r="K1617" i="3" a="1"/>
  <c r="K1617" i="3" s="1"/>
  <c r="K1618" i="3" a="1"/>
  <c r="K1618" i="3" s="1"/>
  <c r="K1619" i="3" a="1"/>
  <c r="K1619" i="3" s="1"/>
  <c r="K1620" i="3" a="1"/>
  <c r="K1620" i="3" s="1"/>
  <c r="K1621" i="3" a="1"/>
  <c r="K1621" i="3" s="1"/>
  <c r="K1622" i="3" a="1"/>
  <c r="K1622" i="3" s="1"/>
  <c r="K1623" i="3" a="1"/>
  <c r="K1623" i="3" s="1"/>
  <c r="K1624" i="3" a="1"/>
  <c r="K1624" i="3"/>
  <c r="K1625" i="3" a="1"/>
  <c r="K1625" i="3" s="1"/>
  <c r="K1626" i="3" a="1"/>
  <c r="K1626" i="3" s="1"/>
  <c r="K1627" i="3" a="1"/>
  <c r="K1627" i="3" s="1"/>
  <c r="K1628" i="3" a="1"/>
  <c r="K1628" i="3"/>
  <c r="K1629" i="3" a="1"/>
  <c r="K1629" i="3" s="1"/>
  <c r="K1630" i="3" a="1"/>
  <c r="K1630" i="3" s="1"/>
  <c r="K1631" i="3" a="1"/>
  <c r="K1631" i="3" s="1"/>
  <c r="K1632" i="3" a="1"/>
  <c r="K1632" i="3"/>
  <c r="K1633" i="3" a="1"/>
  <c r="K1633" i="3" s="1"/>
  <c r="K1634" i="3" a="1"/>
  <c r="K1634" i="3"/>
  <c r="K1635" i="3" a="1"/>
  <c r="K1635" i="3" s="1"/>
  <c r="K1636" i="3" a="1"/>
  <c r="K1636" i="3"/>
  <c r="K1637" i="3" a="1"/>
  <c r="K1637" i="3" s="1"/>
  <c r="K1638" i="3" a="1"/>
  <c r="K1638" i="3" s="1"/>
  <c r="K1639" i="3" a="1"/>
  <c r="K1639" i="3" s="1"/>
  <c r="K1640" i="3" a="1"/>
  <c r="K1640" i="3"/>
  <c r="K1641" i="3" a="1"/>
  <c r="K1641" i="3" s="1"/>
  <c r="K1642" i="3" a="1"/>
  <c r="K1642" i="3"/>
  <c r="K1643" i="3" a="1"/>
  <c r="K1643" i="3" s="1"/>
  <c r="K1644" i="3" a="1"/>
  <c r="K1644" i="3"/>
  <c r="K1645" i="3" a="1"/>
  <c r="K1645" i="3" s="1"/>
  <c r="K1646" i="3" a="1"/>
  <c r="K1646" i="3" s="1"/>
  <c r="K1647" i="3" a="1"/>
  <c r="K1647" i="3" s="1"/>
  <c r="K1648" i="3" a="1"/>
  <c r="K1648" i="3"/>
  <c r="K1649" i="3" a="1"/>
  <c r="K1649" i="3" s="1"/>
  <c r="K1650" i="3" a="1"/>
  <c r="K1650" i="3"/>
  <c r="K1651" i="3" a="1"/>
  <c r="K1651" i="3" s="1"/>
  <c r="K1652" i="3" a="1"/>
  <c r="K1652" i="3" s="1"/>
  <c r="K1653" i="3" a="1"/>
  <c r="K1653" i="3" s="1"/>
  <c r="K1654" i="3" a="1"/>
  <c r="K1654" i="3" s="1"/>
  <c r="K1655" i="3" a="1"/>
  <c r="K1655" i="3" s="1"/>
  <c r="K1656" i="3" a="1"/>
  <c r="K1656" i="3"/>
  <c r="K1657" i="3" a="1"/>
  <c r="K1657" i="3" s="1"/>
  <c r="K1658" i="3" a="1"/>
  <c r="K1658" i="3"/>
  <c r="K1659" i="3" a="1"/>
  <c r="K1659" i="3" s="1"/>
  <c r="K1660" i="3" a="1"/>
  <c r="K1660" i="3"/>
  <c r="K1661" i="3" a="1"/>
  <c r="K1661" i="3" s="1"/>
  <c r="K1662" i="3" a="1"/>
  <c r="K1662" i="3" s="1"/>
  <c r="K1663" i="3" a="1"/>
  <c r="K1663" i="3" s="1"/>
  <c r="K1664" i="3" a="1"/>
  <c r="K1664" i="3"/>
  <c r="K1665" i="3" a="1"/>
  <c r="K1665" i="3" s="1"/>
  <c r="K1666" i="3" a="1"/>
  <c r="K1666" i="3"/>
  <c r="K1667" i="3" a="1"/>
  <c r="K1667" i="3" s="1"/>
  <c r="K1668" i="3" a="1"/>
  <c r="K1668" i="3"/>
  <c r="K1669" i="3" a="1"/>
  <c r="K1669" i="3" s="1"/>
  <c r="K1670" i="3" a="1"/>
  <c r="K1670" i="3" s="1"/>
  <c r="K1671" i="3" a="1"/>
  <c r="K1671" i="3" s="1"/>
  <c r="K1672" i="3" a="1"/>
  <c r="K1672" i="3"/>
  <c r="K1673" i="3" a="1"/>
  <c r="K1673" i="3" s="1"/>
  <c r="K1674" i="3" a="1"/>
  <c r="K1674" i="3"/>
  <c r="K1675" i="3" a="1"/>
  <c r="K1675" i="3" s="1"/>
  <c r="K1676" i="3" a="1"/>
  <c r="K1676" i="3"/>
  <c r="K1677" i="3" a="1"/>
  <c r="K1677" i="3" s="1"/>
  <c r="K1678" i="3" a="1"/>
  <c r="K1678" i="3" s="1"/>
  <c r="K1679" i="3" a="1"/>
  <c r="K1679" i="3" s="1"/>
  <c r="K1680" i="3" a="1"/>
  <c r="K1680" i="3"/>
  <c r="K1681" i="3" a="1"/>
  <c r="K1681" i="3" s="1"/>
  <c r="K1682" i="3" a="1"/>
  <c r="K1682" i="3"/>
  <c r="K1683" i="3" a="1"/>
  <c r="K1683" i="3" s="1"/>
  <c r="K1684" i="3" a="1"/>
  <c r="K1684" i="3"/>
  <c r="K1685" i="3" a="1"/>
  <c r="K1685" i="3" s="1"/>
  <c r="K1686" i="3" a="1"/>
  <c r="K1686" i="3" s="1"/>
  <c r="K1687" i="3" a="1"/>
  <c r="K1687" i="3" s="1"/>
  <c r="K1688" i="3" a="1"/>
  <c r="K1688" i="3"/>
  <c r="K1689" i="3" a="1"/>
  <c r="K1689" i="3" s="1"/>
  <c r="K1690" i="3" a="1"/>
  <c r="K1690" i="3"/>
  <c r="K1691" i="3" a="1"/>
  <c r="K1691" i="3" s="1"/>
  <c r="K1692" i="3" a="1"/>
  <c r="K1692" i="3"/>
  <c r="K1693" i="3" a="1"/>
  <c r="K1693" i="3" s="1"/>
  <c r="K1694" i="3" a="1"/>
  <c r="K1694" i="3" s="1"/>
  <c r="K1695" i="3" a="1"/>
  <c r="K1695" i="3" s="1"/>
  <c r="K1696" i="3" a="1"/>
  <c r="K1696" i="3" s="1"/>
  <c r="K1697" i="3" a="1"/>
  <c r="K1697" i="3" s="1"/>
  <c r="K1698" i="3" a="1"/>
  <c r="K1698" i="3"/>
  <c r="K1699" i="3" a="1"/>
  <c r="K1699" i="3" s="1"/>
  <c r="K1700" i="3" a="1"/>
  <c r="K1700" i="3"/>
  <c r="K1701" i="3" a="1"/>
  <c r="K1701" i="3" s="1"/>
  <c r="K1702" i="3" a="1"/>
  <c r="K1702" i="3" s="1"/>
  <c r="K1703" i="3" a="1"/>
  <c r="K1703" i="3" s="1"/>
  <c r="K1704" i="3" a="1"/>
  <c r="K1704" i="3" s="1"/>
  <c r="K1705" i="3" a="1"/>
  <c r="K1705" i="3" s="1"/>
  <c r="K1706" i="3" a="1"/>
  <c r="K1706" i="3"/>
  <c r="K1707" i="3" a="1"/>
  <c r="K1707" i="3" s="1"/>
  <c r="K1708" i="3" a="1"/>
  <c r="K1708" i="3"/>
  <c r="K1709" i="3" a="1"/>
  <c r="K1709" i="3" s="1"/>
  <c r="K1710" i="3" a="1"/>
  <c r="K1710" i="3" s="1"/>
  <c r="K1711" i="3" a="1"/>
  <c r="K1711" i="3" s="1"/>
  <c r="K1712" i="3" a="1"/>
  <c r="K1712" i="3" s="1"/>
  <c r="K1713" i="3" a="1"/>
  <c r="K1713" i="3" s="1"/>
  <c r="K1714" i="3" a="1"/>
  <c r="K1714" i="3"/>
  <c r="K1715" i="3" a="1"/>
  <c r="K1715" i="3" s="1"/>
  <c r="K1716" i="3" a="1"/>
  <c r="K1716" i="3"/>
  <c r="K1717" i="3" a="1"/>
  <c r="K1717" i="3" s="1"/>
  <c r="K1718" i="3" a="1"/>
  <c r="K1718" i="3" s="1"/>
  <c r="K1719" i="3" a="1"/>
  <c r="K1719" i="3" s="1"/>
  <c r="K1720" i="3" a="1"/>
  <c r="K1720" i="3" s="1"/>
  <c r="K1721" i="3" a="1"/>
  <c r="K1721" i="3" s="1"/>
  <c r="K1722" i="3" a="1"/>
  <c r="K1722" i="3"/>
  <c r="K1723" i="3" a="1"/>
  <c r="K1723" i="3" s="1"/>
  <c r="K1724" i="3" a="1"/>
  <c r="K1724" i="3"/>
  <c r="K1725" i="3" a="1"/>
  <c r="K1725" i="3" s="1"/>
  <c r="K1726" i="3" a="1"/>
  <c r="K1726" i="3" s="1"/>
  <c r="K1727" i="3" a="1"/>
  <c r="K1727" i="3" s="1"/>
  <c r="K1728" i="3" a="1"/>
  <c r="K1728" i="3" s="1"/>
  <c r="K1729" i="3" a="1"/>
  <c r="K1729" i="3" s="1"/>
  <c r="K1730" i="3" a="1"/>
  <c r="K1730" i="3"/>
  <c r="K1731" i="3" a="1"/>
  <c r="K1731" i="3" s="1"/>
  <c r="K1732" i="3" a="1"/>
  <c r="K1732" i="3"/>
  <c r="K1733" i="3" a="1"/>
  <c r="K1733" i="3" s="1"/>
  <c r="K1734" i="3" a="1"/>
  <c r="K1734" i="3" s="1"/>
  <c r="K1735" i="3" a="1"/>
  <c r="K1735" i="3" s="1"/>
  <c r="K1736" i="3" a="1"/>
  <c r="K1736" i="3" s="1"/>
  <c r="K1737" i="3" a="1"/>
  <c r="K1737" i="3" s="1"/>
  <c r="K1738" i="3" a="1"/>
  <c r="K1738" i="3"/>
  <c r="K1739" i="3" a="1"/>
  <c r="K1739" i="3" s="1"/>
  <c r="K1740" i="3" a="1"/>
  <c r="K1740" i="3"/>
  <c r="K1741" i="3" a="1"/>
  <c r="K1741" i="3" s="1"/>
  <c r="K1742" i="3" a="1"/>
  <c r="K1742" i="3" s="1"/>
  <c r="K1743" i="3" a="1"/>
  <c r="K1743" i="3" s="1"/>
  <c r="K1744" i="3" a="1"/>
  <c r="K1744" i="3" s="1"/>
  <c r="K1745" i="3" a="1"/>
  <c r="K1745" i="3" s="1"/>
  <c r="K1746" i="3" a="1"/>
  <c r="K1746" i="3"/>
  <c r="K1747" i="3" a="1"/>
  <c r="K1747" i="3" s="1"/>
  <c r="K1748" i="3" a="1"/>
  <c r="K1748" i="3"/>
  <c r="K1749" i="3" a="1"/>
  <c r="K1749" i="3" s="1"/>
  <c r="K1750" i="3" a="1"/>
  <c r="K1750" i="3" s="1"/>
  <c r="K1751" i="3" a="1"/>
  <c r="K1751" i="3" s="1"/>
  <c r="K1752" i="3" a="1"/>
  <c r="K1752" i="3" s="1"/>
  <c r="K1753" i="3" a="1"/>
  <c r="K1753" i="3" s="1"/>
  <c r="K1754" i="3" a="1"/>
  <c r="K1754" i="3"/>
  <c r="K1755" i="3" a="1"/>
  <c r="K1755" i="3" s="1"/>
  <c r="K1756" i="3" a="1"/>
  <c r="K1756" i="3"/>
  <c r="K1757" i="3" a="1"/>
  <c r="K1757" i="3" s="1"/>
  <c r="K1758" i="3" a="1"/>
  <c r="K1758" i="3" s="1"/>
  <c r="K1759" i="3" a="1"/>
  <c r="K1759" i="3" s="1"/>
  <c r="K1760" i="3" a="1"/>
  <c r="K1760" i="3" s="1"/>
  <c r="K1761" i="3" a="1"/>
  <c r="K1761" i="3" s="1"/>
  <c r="K1762" i="3" a="1"/>
  <c r="K1762" i="3"/>
  <c r="K1763" i="3" a="1"/>
  <c r="K1763" i="3" s="1"/>
  <c r="K1764" i="3" a="1"/>
  <c r="K1764" i="3"/>
  <c r="K1765" i="3" a="1"/>
  <c r="K1765" i="3" s="1"/>
  <c r="K1766" i="3" a="1"/>
  <c r="K1766" i="3" s="1"/>
  <c r="K1767" i="3" a="1"/>
  <c r="K1767" i="3" s="1"/>
  <c r="K1768" i="3" a="1"/>
  <c r="K1768" i="3" s="1"/>
  <c r="K1769" i="3" a="1"/>
  <c r="K1769" i="3" s="1"/>
  <c r="K1770" i="3" a="1"/>
  <c r="K1770" i="3"/>
  <c r="K1771" i="3" a="1"/>
  <c r="K1771" i="3" s="1"/>
  <c r="K1772" i="3" a="1"/>
  <c r="K1772" i="3"/>
  <c r="K1773" i="3" a="1"/>
  <c r="K1773" i="3" s="1"/>
  <c r="K1774" i="3" a="1"/>
  <c r="K1774" i="3" s="1"/>
  <c r="K1775" i="3" a="1"/>
  <c r="K1775" i="3" s="1"/>
  <c r="K1776" i="3" a="1"/>
  <c r="K1776" i="3" s="1"/>
  <c r="K1777" i="3" a="1"/>
  <c r="K1777" i="3" s="1"/>
  <c r="K1778" i="3" a="1"/>
  <c r="K1778" i="3"/>
  <c r="K1779" i="3" a="1"/>
  <c r="K1779" i="3" s="1"/>
  <c r="K1780" i="3" a="1"/>
  <c r="K1780" i="3" s="1"/>
  <c r="K1781" i="3" a="1"/>
  <c r="K1781" i="3" s="1"/>
  <c r="K1782" i="3" a="1"/>
  <c r="K1782" i="3" s="1"/>
  <c r="K1783" i="3" a="1"/>
  <c r="K1783" i="3" s="1"/>
  <c r="K1784" i="3" a="1"/>
  <c r="K1784" i="3" s="1"/>
  <c r="K1785" i="3" a="1"/>
  <c r="K1785" i="3" s="1"/>
  <c r="K1786" i="3" a="1"/>
  <c r="K1786" i="3"/>
  <c r="K1787" i="3" a="1"/>
  <c r="K1787" i="3" s="1"/>
  <c r="K1788" i="3" a="1"/>
  <c r="K1788" i="3"/>
  <c r="K1789" i="3" a="1"/>
  <c r="K1789" i="3" s="1"/>
  <c r="K1790" i="3" a="1"/>
  <c r="K1790" i="3" s="1"/>
  <c r="K1791" i="3" a="1"/>
  <c r="K1791" i="3" s="1"/>
  <c r="K1792" i="3" a="1"/>
  <c r="K1792" i="3" s="1"/>
  <c r="K1793" i="3" a="1"/>
  <c r="K1793" i="3" s="1"/>
  <c r="K1794" i="3" a="1"/>
  <c r="K1794" i="3"/>
  <c r="K1795" i="3" a="1"/>
  <c r="K1795" i="3" s="1"/>
  <c r="K1796" i="3" a="1"/>
  <c r="K1796" i="3" s="1"/>
  <c r="K1797" i="3" a="1"/>
  <c r="K1797" i="3" s="1"/>
  <c r="K1798" i="3" a="1"/>
  <c r="K1798" i="3" s="1"/>
  <c r="K1799" i="3" a="1"/>
  <c r="K1799" i="3" s="1"/>
  <c r="K1800" i="3" a="1"/>
  <c r="K1800" i="3" s="1"/>
  <c r="K1801" i="3" a="1"/>
  <c r="K1801" i="3" s="1"/>
  <c r="K1802" i="3" a="1"/>
  <c r="K1802" i="3"/>
  <c r="K1803" i="3" a="1"/>
  <c r="K1803" i="3" s="1"/>
  <c r="K1804" i="3" a="1"/>
  <c r="K1804" i="3" s="1"/>
  <c r="K1805" i="3" a="1"/>
  <c r="K1805" i="3" s="1"/>
  <c r="K1806" i="3" a="1"/>
  <c r="K1806" i="3" s="1"/>
  <c r="K1807" i="3" a="1"/>
  <c r="K1807" i="3" s="1"/>
  <c r="K1808" i="3" a="1"/>
  <c r="K1808" i="3" s="1"/>
  <c r="K1809" i="3" a="1"/>
  <c r="K1809" i="3" s="1"/>
  <c r="K1810" i="3" a="1"/>
  <c r="K1810" i="3"/>
  <c r="K1811" i="3" a="1"/>
  <c r="K1811" i="3" s="1"/>
  <c r="K1812" i="3" a="1"/>
  <c r="K1812" i="3" s="1"/>
  <c r="K1813" i="3" a="1"/>
  <c r="K1813" i="3" s="1"/>
  <c r="K1814" i="3" a="1"/>
  <c r="K1814" i="3" s="1"/>
  <c r="K1815" i="3" a="1"/>
  <c r="K1815" i="3" s="1"/>
  <c r="K1816" i="3" a="1"/>
  <c r="K1816" i="3" s="1"/>
  <c r="K1817" i="3" a="1"/>
  <c r="K1817" i="3" s="1"/>
  <c r="K1818" i="3" a="1"/>
  <c r="K1818" i="3"/>
  <c r="K1819" i="3" a="1"/>
  <c r="K1819" i="3" s="1"/>
  <c r="K1820" i="3" a="1"/>
  <c r="K1820" i="3" s="1"/>
  <c r="K1821" i="3" a="1"/>
  <c r="K1821" i="3" s="1"/>
  <c r="K1822" i="3" a="1"/>
  <c r="K1822" i="3" s="1"/>
  <c r="K1823" i="3" a="1"/>
  <c r="K1823" i="3" s="1"/>
  <c r="K1824" i="3" a="1"/>
  <c r="K1824" i="3" s="1"/>
  <c r="K1825" i="3" a="1"/>
  <c r="K1825" i="3" s="1"/>
  <c r="K1826" i="3" a="1"/>
  <c r="K1826" i="3"/>
  <c r="K1827" i="3" a="1"/>
  <c r="K1827" i="3" s="1"/>
  <c r="K1828" i="3" a="1"/>
  <c r="K1828" i="3"/>
  <c r="K1829" i="3" a="1"/>
  <c r="K1829" i="3" s="1"/>
  <c r="K1830" i="3" a="1"/>
  <c r="K1830" i="3" s="1"/>
  <c r="K1831" i="3" a="1"/>
  <c r="K1831" i="3" s="1"/>
  <c r="K1832" i="3" a="1"/>
  <c r="K1832" i="3" s="1"/>
  <c r="K1833" i="3" a="1"/>
  <c r="K1833" i="3" s="1"/>
  <c r="K1834" i="3" a="1"/>
  <c r="K1834" i="3"/>
  <c r="K1835" i="3" a="1"/>
  <c r="K1835" i="3" s="1"/>
  <c r="K1836" i="3" a="1"/>
  <c r="K1836" i="3"/>
  <c r="K1837" i="3" a="1"/>
  <c r="K1837" i="3" s="1"/>
  <c r="K1838" i="3" a="1"/>
  <c r="K1838" i="3" s="1"/>
  <c r="K1839" i="3" a="1"/>
  <c r="K1839" i="3" s="1"/>
  <c r="K1840" i="3" a="1"/>
  <c r="K1840" i="3" s="1"/>
  <c r="K1841" i="3" a="1"/>
  <c r="K1841" i="3" s="1"/>
  <c r="K1842" i="3" a="1"/>
  <c r="K1842" i="3"/>
  <c r="K1843" i="3" a="1"/>
  <c r="K1843" i="3" s="1"/>
  <c r="K1844" i="3" a="1"/>
  <c r="K1844" i="3"/>
  <c r="K1845" i="3" a="1"/>
  <c r="K1845" i="3" s="1"/>
  <c r="K1846" i="3" a="1"/>
  <c r="K1846" i="3" s="1"/>
  <c r="K1847" i="3" a="1"/>
  <c r="K1847" i="3" s="1"/>
  <c r="K1848" i="3" a="1"/>
  <c r="K1848" i="3" s="1"/>
  <c r="K1849" i="3" a="1"/>
  <c r="K1849" i="3" s="1"/>
  <c r="K1850" i="3" a="1"/>
  <c r="K1850" i="3"/>
  <c r="K1851" i="3" a="1"/>
  <c r="K1851" i="3" s="1"/>
  <c r="K1852" i="3" a="1"/>
  <c r="K1852" i="3"/>
  <c r="K1853" i="3" a="1"/>
  <c r="K1853" i="3" s="1"/>
  <c r="K1854" i="3" a="1"/>
  <c r="K1854" i="3" s="1"/>
  <c r="K1855" i="3" a="1"/>
  <c r="K1855" i="3" s="1"/>
  <c r="K1856" i="3" a="1"/>
  <c r="K1856" i="3" s="1"/>
  <c r="K1857" i="3" a="1"/>
  <c r="K1857" i="3" s="1"/>
  <c r="K1858" i="3" a="1"/>
  <c r="K1858" i="3"/>
  <c r="K1859" i="3" a="1"/>
  <c r="K1859" i="3" s="1"/>
  <c r="K1860" i="3" a="1"/>
  <c r="K1860" i="3"/>
  <c r="K1861" i="3" a="1"/>
  <c r="K1861" i="3" s="1"/>
  <c r="K1862" i="3" a="1"/>
  <c r="K1862" i="3" s="1"/>
  <c r="K1863" i="3" a="1"/>
  <c r="K1863" i="3" s="1"/>
  <c r="K1864" i="3" a="1"/>
  <c r="K1864" i="3" s="1"/>
  <c r="K1865" i="3" a="1"/>
  <c r="K1865" i="3" s="1"/>
  <c r="K1866" i="3" a="1"/>
  <c r="K1866" i="3"/>
  <c r="K1867" i="3" a="1"/>
  <c r="K1867" i="3" s="1"/>
  <c r="K1868" i="3" a="1"/>
  <c r="K1868" i="3"/>
  <c r="K1869" i="3" a="1"/>
  <c r="K1869" i="3" s="1"/>
  <c r="K1870" i="3" a="1"/>
  <c r="K1870" i="3" s="1"/>
  <c r="K1871" i="3" a="1"/>
  <c r="K1871" i="3" s="1"/>
  <c r="K1872" i="3" a="1"/>
  <c r="K1872" i="3" s="1"/>
  <c r="K1873" i="3" a="1"/>
  <c r="K1873" i="3" s="1"/>
  <c r="K1874" i="3" a="1"/>
  <c r="K1874" i="3"/>
  <c r="K1875" i="3" a="1"/>
  <c r="K1875" i="3" s="1"/>
  <c r="K1876" i="3" a="1"/>
  <c r="K1876" i="3"/>
  <c r="K1877" i="3" a="1"/>
  <c r="K1877" i="3" s="1"/>
  <c r="K1878" i="3" a="1"/>
  <c r="K1878" i="3" s="1"/>
  <c r="K1879" i="3" a="1"/>
  <c r="K1879" i="3" s="1"/>
  <c r="K1880" i="3" a="1"/>
  <c r="K1880" i="3" s="1"/>
  <c r="K1881" i="3" a="1"/>
  <c r="K1881" i="3" s="1"/>
  <c r="K1882" i="3" a="1"/>
  <c r="K1882" i="3"/>
  <c r="K1883" i="3" a="1"/>
  <c r="K1883" i="3" s="1"/>
  <c r="K1884" i="3" a="1"/>
  <c r="K1884" i="3"/>
  <c r="K1885" i="3" a="1"/>
  <c r="K1885" i="3" s="1"/>
  <c r="K1886" i="3" a="1"/>
  <c r="K1886" i="3" s="1"/>
  <c r="K1887" i="3" a="1"/>
  <c r="K1887" i="3" s="1"/>
  <c r="K1888" i="3" a="1"/>
  <c r="K1888" i="3" s="1"/>
  <c r="K1889" i="3" a="1"/>
  <c r="K1889" i="3" s="1"/>
  <c r="K1890" i="3" a="1"/>
  <c r="K1890" i="3"/>
  <c r="K1891" i="3" a="1"/>
  <c r="K1891" i="3" s="1"/>
  <c r="K1892" i="3" a="1"/>
  <c r="K1892" i="3"/>
  <c r="K1893" i="3" a="1"/>
  <c r="K1893" i="3" s="1"/>
  <c r="K1894" i="3" a="1"/>
  <c r="K1894" i="3" s="1"/>
  <c r="K1895" i="3" a="1"/>
  <c r="K1895" i="3" s="1"/>
  <c r="K1896" i="3" a="1"/>
  <c r="K1896" i="3" s="1"/>
  <c r="K1897" i="3" a="1"/>
  <c r="K1897" i="3" s="1"/>
  <c r="K1898" i="3" a="1"/>
  <c r="K1898" i="3"/>
  <c r="K1899" i="3" a="1"/>
  <c r="K1899" i="3" s="1"/>
  <c r="K1900" i="3" a="1"/>
  <c r="K1900" i="3" s="1"/>
  <c r="K1901" i="3" a="1"/>
  <c r="K1901" i="3" s="1"/>
  <c r="K1902" i="3" a="1"/>
  <c r="K1902" i="3" s="1"/>
  <c r="K1903" i="3" a="1"/>
  <c r="K1903" i="3" s="1"/>
  <c r="K1904" i="3" a="1"/>
  <c r="K1904" i="3" s="1"/>
  <c r="K1905" i="3" a="1"/>
  <c r="K1905" i="3" s="1"/>
  <c r="K1906" i="3" a="1"/>
  <c r="K1906" i="3"/>
  <c r="K1907" i="3" a="1"/>
  <c r="K1907" i="3" s="1"/>
  <c r="K1908" i="3" a="1"/>
  <c r="K1908" i="3"/>
  <c r="K1909" i="3" a="1"/>
  <c r="K1909" i="3" s="1"/>
  <c r="K1910" i="3" a="1"/>
  <c r="K1910" i="3" s="1"/>
  <c r="K1911" i="3" a="1"/>
  <c r="K1911" i="3" s="1"/>
  <c r="K1912" i="3" a="1"/>
  <c r="K1912" i="3" s="1"/>
  <c r="K1913" i="3" a="1"/>
  <c r="K1913" i="3" s="1"/>
  <c r="K1914" i="3" a="1"/>
  <c r="K1914" i="3"/>
  <c r="K1915" i="3" a="1"/>
  <c r="K1915" i="3" s="1"/>
  <c r="K1916" i="3" a="1"/>
  <c r="K1916" i="3"/>
  <c r="K1917" i="3" a="1"/>
  <c r="K1917" i="3" s="1"/>
  <c r="K1918" i="3" a="1"/>
  <c r="K1918" i="3" s="1"/>
  <c r="K1919" i="3" a="1"/>
  <c r="K1919" i="3" s="1"/>
  <c r="K1920" i="3" a="1"/>
  <c r="K1920" i="3" s="1"/>
  <c r="K1921" i="3" a="1"/>
  <c r="K1921" i="3" s="1"/>
  <c r="K1922" i="3" a="1"/>
  <c r="K1922" i="3"/>
  <c r="K1923" i="3" a="1"/>
  <c r="K1923" i="3" s="1"/>
  <c r="K1924" i="3" a="1"/>
  <c r="K1924" i="3"/>
  <c r="K1925" i="3" a="1"/>
  <c r="K1925" i="3" s="1"/>
  <c r="K1926" i="3" a="1"/>
  <c r="K1926" i="3" s="1"/>
  <c r="K1927" i="3" a="1"/>
  <c r="K1927" i="3" s="1"/>
  <c r="K1928" i="3" a="1"/>
  <c r="K1928" i="3" s="1"/>
  <c r="K1929" i="3" a="1"/>
  <c r="K1929" i="3" s="1"/>
  <c r="K1930" i="3" a="1"/>
  <c r="K1930" i="3"/>
  <c r="K1931" i="3" a="1"/>
  <c r="K1931" i="3" s="1"/>
  <c r="K1932" i="3" a="1"/>
  <c r="K1932" i="3"/>
  <c r="K1933" i="3" a="1"/>
  <c r="K1933" i="3" s="1"/>
  <c r="K1934" i="3" a="1"/>
  <c r="K1934" i="3" s="1"/>
  <c r="K1935" i="3" a="1"/>
  <c r="K1935" i="3" s="1"/>
  <c r="K1936" i="3" a="1"/>
  <c r="K1936" i="3" s="1"/>
  <c r="K1937" i="3" a="1"/>
  <c r="K1937" i="3" s="1"/>
  <c r="K1938" i="3" a="1"/>
  <c r="K1938" i="3"/>
  <c r="K1939" i="3" a="1"/>
  <c r="K1939" i="3" s="1"/>
  <c r="K1940" i="3" a="1"/>
  <c r="K1940" i="3"/>
  <c r="K1941" i="3" a="1"/>
  <c r="K1941" i="3" s="1"/>
  <c r="K1942" i="3" a="1"/>
  <c r="K1942" i="3" s="1"/>
  <c r="K1943" i="3" a="1"/>
  <c r="K1943" i="3" s="1"/>
  <c r="K1944" i="3" a="1"/>
  <c r="K1944" i="3" s="1"/>
  <c r="K1945" i="3" a="1"/>
  <c r="K1945" i="3" s="1"/>
  <c r="K1946" i="3" a="1"/>
  <c r="K1946" i="3"/>
  <c r="K1947" i="3" a="1"/>
  <c r="K1947" i="3" s="1"/>
  <c r="K1948" i="3" a="1"/>
  <c r="K1948" i="3"/>
  <c r="K1949" i="3" a="1"/>
  <c r="K1949" i="3" s="1"/>
  <c r="K1950" i="3" a="1"/>
  <c r="K1950" i="3" s="1"/>
  <c r="K1951" i="3" a="1"/>
  <c r="K1951" i="3" s="1"/>
  <c r="K1952" i="3" a="1"/>
  <c r="K1952" i="3" s="1"/>
  <c r="K1953" i="3" a="1"/>
  <c r="K1953" i="3" s="1"/>
  <c r="K1954" i="3" a="1"/>
  <c r="K1954" i="3"/>
  <c r="K1955" i="3" a="1"/>
  <c r="K1955" i="3" s="1"/>
  <c r="K1956" i="3" a="1"/>
  <c r="K1956" i="3"/>
  <c r="K1957" i="3" a="1"/>
  <c r="K1957" i="3" s="1"/>
  <c r="K1958" i="3" a="1"/>
  <c r="K1958" i="3" s="1"/>
  <c r="K1959" i="3" a="1"/>
  <c r="K1959" i="3" s="1"/>
  <c r="K1960" i="3" a="1"/>
  <c r="K1960" i="3" s="1"/>
  <c r="K1961" i="3" a="1"/>
  <c r="K1961" i="3" s="1"/>
  <c r="K1962" i="3" a="1"/>
  <c r="K1962" i="3"/>
  <c r="K1963" i="3" a="1"/>
  <c r="K1963" i="3" s="1"/>
  <c r="K1964" i="3" a="1"/>
  <c r="K1964" i="3"/>
  <c r="K1965" i="3" a="1"/>
  <c r="K1965" i="3" s="1"/>
  <c r="K1966" i="3" a="1"/>
  <c r="K1966" i="3" s="1"/>
  <c r="K1967" i="3" a="1"/>
  <c r="K1967" i="3" s="1"/>
  <c r="K1968" i="3" a="1"/>
  <c r="K1968" i="3" s="1"/>
  <c r="K1969" i="3" a="1"/>
  <c r="K1969" i="3" s="1"/>
  <c r="K1970" i="3" a="1"/>
  <c r="K1970" i="3"/>
  <c r="K1971" i="3" a="1"/>
  <c r="K1971" i="3" s="1"/>
  <c r="K1972" i="3" a="1"/>
  <c r="K1972" i="3"/>
  <c r="K1973" i="3" a="1"/>
  <c r="K1973" i="3" s="1"/>
  <c r="K1974" i="3" a="1"/>
  <c r="K1974" i="3" s="1"/>
  <c r="K1975" i="3" a="1"/>
  <c r="K1975" i="3" s="1"/>
  <c r="K1976" i="3" a="1"/>
  <c r="K1976" i="3" s="1"/>
  <c r="K1977" i="3" a="1"/>
  <c r="K1977" i="3" s="1"/>
  <c r="K1978" i="3" a="1"/>
  <c r="K1978" i="3"/>
  <c r="K1979" i="3" a="1"/>
  <c r="K1979" i="3" s="1"/>
  <c r="K1980" i="3" a="1"/>
  <c r="K1980" i="3" s="1"/>
  <c r="K1981" i="3" a="1"/>
  <c r="K1981" i="3" s="1"/>
  <c r="K1982" i="3" a="1"/>
  <c r="K1982" i="3" s="1"/>
  <c r="K1983" i="3" a="1"/>
  <c r="K1983" i="3" s="1"/>
  <c r="K1984" i="3" a="1"/>
  <c r="K1984" i="3" s="1"/>
  <c r="K1985" i="3" a="1"/>
  <c r="K1985" i="3" s="1"/>
  <c r="K1986" i="3" a="1"/>
  <c r="K1986" i="3"/>
  <c r="K1987" i="3" a="1"/>
  <c r="K1987" i="3" s="1"/>
  <c r="K1988" i="3" a="1"/>
  <c r="K1988" i="3" s="1"/>
  <c r="K1989" i="3" a="1"/>
  <c r="K1989" i="3" s="1"/>
  <c r="K1990" i="3" a="1"/>
  <c r="K1990" i="3" s="1"/>
  <c r="K1991" i="3" a="1"/>
  <c r="K1991" i="3" s="1"/>
  <c r="K1992" i="3" a="1"/>
  <c r="K1992" i="3" s="1"/>
  <c r="K1993" i="3" a="1"/>
  <c r="K1993" i="3" s="1"/>
  <c r="K1994" i="3" a="1"/>
  <c r="K1994" i="3"/>
  <c r="K1995" i="3" a="1"/>
  <c r="K1995" i="3" s="1"/>
  <c r="K1996" i="3" a="1"/>
  <c r="K1996" i="3"/>
  <c r="K1997" i="3" a="1"/>
  <c r="K1997" i="3" s="1"/>
  <c r="K1998" i="3" a="1"/>
  <c r="K1998" i="3" s="1"/>
  <c r="K1999" i="3" a="1"/>
  <c r="K1999" i="3" s="1"/>
  <c r="K2000" i="3" a="1"/>
  <c r="K2000" i="3" s="1"/>
  <c r="K2001" i="3" a="1"/>
  <c r="K2001" i="3" s="1"/>
  <c r="K2002" i="3" a="1"/>
  <c r="K2002" i="3"/>
  <c r="K2003" i="3" a="1"/>
  <c r="K2003" i="3" s="1"/>
  <c r="K2004" i="3" a="1"/>
  <c r="K2004" i="3"/>
  <c r="K2005" i="3" a="1"/>
  <c r="K2005" i="3" s="1"/>
  <c r="K2006" i="3" a="1"/>
  <c r="K2006" i="3" s="1"/>
  <c r="K2007" i="3" a="1"/>
  <c r="K2007" i="3" s="1"/>
  <c r="K2008" i="3" a="1"/>
  <c r="K2008" i="3" s="1"/>
  <c r="K2009" i="3" a="1"/>
  <c r="K2009" i="3" s="1"/>
  <c r="K2010" i="3" a="1"/>
  <c r="K2010" i="3"/>
  <c r="K2011" i="3" a="1"/>
  <c r="K2011" i="3" s="1"/>
  <c r="K2012" i="3" a="1"/>
  <c r="K2012" i="3" s="1"/>
  <c r="K2013" i="3" a="1"/>
  <c r="K2013" i="3" s="1"/>
  <c r="K2014" i="3" a="1"/>
  <c r="K2014" i="3" s="1"/>
  <c r="K2015" i="3" a="1"/>
  <c r="K2015" i="3" s="1"/>
  <c r="K2016" i="3" a="1"/>
  <c r="K2016" i="3" s="1"/>
  <c r="K2017" i="3" a="1"/>
  <c r="K2017" i="3" s="1"/>
  <c r="K2018" i="3" a="1"/>
  <c r="K2018" i="3"/>
  <c r="K2019" i="3" a="1"/>
  <c r="K2019" i="3" s="1"/>
  <c r="K2020" i="3" a="1"/>
  <c r="K2020" i="3"/>
  <c r="K2021" i="3" a="1"/>
  <c r="K2021" i="3" s="1"/>
  <c r="K2022" i="3" a="1"/>
  <c r="K2022" i="3" s="1"/>
  <c r="K2023" i="3" a="1"/>
  <c r="K2023" i="3" s="1"/>
  <c r="K2024" i="3" a="1"/>
  <c r="K2024" i="3" s="1"/>
  <c r="K2025" i="3" a="1"/>
  <c r="K2025" i="3" s="1"/>
  <c r="K2026" i="3" a="1"/>
  <c r="K2026" i="3"/>
  <c r="K2027" i="3" a="1"/>
  <c r="K2027" i="3" s="1"/>
  <c r="K2028" i="3" a="1"/>
  <c r="K2028" i="3" s="1"/>
  <c r="K2029" i="3" a="1"/>
  <c r="K2029" i="3" s="1"/>
  <c r="K2030" i="3" a="1"/>
  <c r="K2030" i="3" s="1"/>
  <c r="K2031" i="3" a="1"/>
  <c r="K2031" i="3" s="1"/>
  <c r="K2032" i="3" a="1"/>
  <c r="K2032" i="3" s="1"/>
  <c r="K2033" i="3" a="1"/>
  <c r="K2033" i="3" s="1"/>
  <c r="K2034" i="3" a="1"/>
  <c r="K2034" i="3"/>
  <c r="K2035" i="3" a="1"/>
  <c r="K2035" i="3" s="1"/>
  <c r="K2036" i="3" a="1"/>
  <c r="K2036" i="3"/>
  <c r="K2037" i="3" a="1"/>
  <c r="K2037" i="3" s="1"/>
  <c r="K2038" i="3" a="1"/>
  <c r="K2038" i="3" s="1"/>
  <c r="K2039" i="3" a="1"/>
  <c r="K2039" i="3" s="1"/>
  <c r="K2040" i="3" a="1"/>
  <c r="K2040" i="3" s="1"/>
  <c r="K2041" i="3" a="1"/>
  <c r="K2041" i="3" s="1"/>
  <c r="K2042" i="3" a="1"/>
  <c r="K2042" i="3"/>
  <c r="K2043" i="3" a="1"/>
  <c r="K2043" i="3" s="1"/>
  <c r="K2044" i="3" a="1"/>
  <c r="K2044" i="3"/>
  <c r="K2045" i="3" a="1"/>
  <c r="K2045" i="3" s="1"/>
  <c r="K2046" i="3" a="1"/>
  <c r="K2046" i="3" s="1"/>
  <c r="K2047" i="3" a="1"/>
  <c r="K2047" i="3" s="1"/>
  <c r="K2048" i="3" a="1"/>
  <c r="K2048" i="3" s="1"/>
  <c r="K2049" i="3" a="1"/>
  <c r="K2049" i="3" s="1"/>
  <c r="K2050" i="3" a="1"/>
  <c r="K2050" i="3"/>
  <c r="K2051" i="3" a="1"/>
  <c r="K2051" i="3" s="1"/>
  <c r="K2052" i="3" a="1"/>
  <c r="K2052" i="3"/>
  <c r="K2053" i="3" a="1"/>
  <c r="K2053" i="3" s="1"/>
  <c r="K2054" i="3" a="1"/>
  <c r="K2054" i="3" s="1"/>
  <c r="K2055" i="3" a="1"/>
  <c r="K2055" i="3" s="1"/>
  <c r="K2056" i="3" a="1"/>
  <c r="K2056" i="3" s="1"/>
  <c r="K2057" i="3" a="1"/>
  <c r="K2057" i="3" s="1"/>
  <c r="K2058" i="3" a="1"/>
  <c r="K2058" i="3"/>
  <c r="K2059" i="3" a="1"/>
  <c r="K2059" i="3" s="1"/>
  <c r="K2060" i="3" a="1"/>
  <c r="K2060" i="3" s="1"/>
  <c r="K2061" i="3" a="1"/>
  <c r="K2061" i="3" s="1"/>
  <c r="K2062" i="3" a="1"/>
  <c r="K2062" i="3" s="1"/>
  <c r="K2063" i="3" a="1"/>
  <c r="K2063" i="3" s="1"/>
  <c r="K2064" i="3" a="1"/>
  <c r="K2064" i="3" s="1"/>
  <c r="K2065" i="3" a="1"/>
  <c r="K2065" i="3" s="1"/>
  <c r="K2066" i="3" a="1"/>
  <c r="K2066" i="3"/>
  <c r="K2067" i="3" a="1"/>
  <c r="K2067" i="3" s="1"/>
  <c r="K2068" i="3" a="1"/>
  <c r="K2068" i="3" s="1"/>
  <c r="K2069" i="3" a="1"/>
  <c r="K2069" i="3" s="1"/>
  <c r="K2070" i="3" a="1"/>
  <c r="K2070" i="3" s="1"/>
  <c r="K2071" i="3" a="1"/>
  <c r="K2071" i="3" s="1"/>
  <c r="K2072" i="3" a="1"/>
  <c r="K2072" i="3" s="1"/>
  <c r="K2073" i="3" a="1"/>
  <c r="K2073" i="3" s="1"/>
  <c r="K2074" i="3" a="1"/>
  <c r="K2074" i="3"/>
  <c r="K2075" i="3" a="1"/>
  <c r="K2075" i="3" s="1"/>
  <c r="K2076" i="3" a="1"/>
  <c r="K2076" i="3" s="1"/>
  <c r="K2077" i="3" a="1"/>
  <c r="K2077" i="3" s="1"/>
  <c r="K2078" i="3" a="1"/>
  <c r="K2078" i="3" s="1"/>
  <c r="K2079" i="3" a="1"/>
  <c r="K2079" i="3" s="1"/>
  <c r="K2080" i="3" a="1"/>
  <c r="K2080" i="3" s="1"/>
  <c r="K2081" i="3" a="1"/>
  <c r="K2081" i="3" s="1"/>
  <c r="K2082" i="3" a="1"/>
  <c r="K2082" i="3"/>
  <c r="K2083" i="3" a="1"/>
  <c r="K2083" i="3" s="1"/>
  <c r="K2084" i="3" a="1"/>
  <c r="K2084" i="3" s="1"/>
  <c r="K2085" i="3" a="1"/>
  <c r="K2085" i="3" s="1"/>
  <c r="K2086" i="3" a="1"/>
  <c r="K2086" i="3" s="1"/>
  <c r="K2087" i="3" a="1"/>
  <c r="K2087" i="3" s="1"/>
  <c r="K2088" i="3" a="1"/>
  <c r="K2088" i="3" s="1"/>
  <c r="K2089" i="3" a="1"/>
  <c r="K2089" i="3" s="1"/>
  <c r="K2090" i="3" a="1"/>
  <c r="K2090" i="3"/>
  <c r="K2091" i="3" a="1"/>
  <c r="K2091" i="3" s="1"/>
  <c r="K2092" i="3" a="1"/>
  <c r="K2092" i="3"/>
  <c r="K2093" i="3" a="1"/>
  <c r="K2093" i="3" s="1"/>
  <c r="K2094" i="3" a="1"/>
  <c r="K2094" i="3" s="1"/>
  <c r="K2095" i="3" a="1"/>
  <c r="K2095" i="3" s="1"/>
  <c r="K2096" i="3" a="1"/>
  <c r="K2096" i="3" s="1"/>
  <c r="K2097" i="3" a="1"/>
  <c r="K2097" i="3" s="1"/>
  <c r="K2098" i="3" a="1"/>
  <c r="K2098" i="3"/>
  <c r="K2099" i="3" a="1"/>
  <c r="K2099" i="3" s="1"/>
  <c r="K2100" i="3" a="1"/>
  <c r="K2100" i="3"/>
  <c r="K2101" i="3" a="1"/>
  <c r="K2101" i="3" s="1"/>
  <c r="K2102" i="3" a="1"/>
  <c r="K2102" i="3" s="1"/>
  <c r="K2103" i="3" a="1"/>
  <c r="K2103" i="3" s="1"/>
  <c r="K2104" i="3" a="1"/>
  <c r="K2104" i="3" s="1"/>
  <c r="K2105" i="3" a="1"/>
  <c r="K2105" i="3" s="1"/>
  <c r="K2106" i="3" a="1"/>
  <c r="K2106" i="3"/>
  <c r="K2107" i="3" a="1"/>
  <c r="K2107" i="3" s="1"/>
  <c r="K2108" i="3" a="1"/>
  <c r="K2108" i="3"/>
  <c r="K2109" i="3" a="1"/>
  <c r="K2109" i="3" s="1"/>
  <c r="K2110" i="3" a="1"/>
  <c r="K2110" i="3" s="1"/>
  <c r="K2111" i="3" a="1"/>
  <c r="K2111" i="3" s="1"/>
  <c r="K2112" i="3" a="1"/>
  <c r="K2112" i="3" s="1"/>
  <c r="K2113" i="3" a="1"/>
  <c r="K2113" i="3" s="1"/>
  <c r="K2114" i="3" a="1"/>
  <c r="K2114" i="3"/>
  <c r="K2115" i="3" a="1"/>
  <c r="K2115" i="3" s="1"/>
  <c r="K2116" i="3" a="1"/>
  <c r="K2116" i="3"/>
  <c r="K2117" i="3" a="1"/>
  <c r="K2117" i="3" s="1"/>
  <c r="K2118" i="3" a="1"/>
  <c r="K2118" i="3" s="1"/>
  <c r="K2119" i="3" a="1"/>
  <c r="K2119" i="3" s="1"/>
  <c r="K2120" i="3" a="1"/>
  <c r="K2120" i="3" s="1"/>
  <c r="K2121" i="3" a="1"/>
  <c r="K2121" i="3" s="1"/>
  <c r="K2122" i="3" a="1"/>
  <c r="K2122" i="3"/>
  <c r="K2123" i="3" a="1"/>
  <c r="K2123" i="3" s="1"/>
  <c r="K2124" i="3" a="1"/>
  <c r="K2124" i="3"/>
  <c r="K2125" i="3" a="1"/>
  <c r="K2125" i="3" s="1"/>
  <c r="K2126" i="3" a="1"/>
  <c r="K2126" i="3" s="1"/>
  <c r="K2127" i="3" a="1"/>
  <c r="K2127" i="3" s="1"/>
  <c r="K2128" i="3" a="1"/>
  <c r="K2128" i="3" s="1"/>
  <c r="K2129" i="3" a="1"/>
  <c r="K2129" i="3" s="1"/>
  <c r="K2130" i="3" a="1"/>
  <c r="K2130" i="3"/>
  <c r="K2131" i="3" a="1"/>
  <c r="K2131" i="3" s="1"/>
  <c r="K2132" i="3" a="1"/>
  <c r="K2132" i="3"/>
  <c r="K2133" i="3" a="1"/>
  <c r="K2133" i="3" s="1"/>
  <c r="K2134" i="3" a="1"/>
  <c r="K2134" i="3" s="1"/>
  <c r="K2135" i="3" a="1"/>
  <c r="K2135" i="3" s="1"/>
  <c r="K2136" i="3" a="1"/>
  <c r="K2136" i="3" s="1"/>
  <c r="K2137" i="3" a="1"/>
  <c r="K2137" i="3" s="1"/>
  <c r="K2138" i="3" a="1"/>
  <c r="K2138" i="3"/>
  <c r="K2139" i="3" a="1"/>
  <c r="K2139" i="3" s="1"/>
  <c r="K2140" i="3" a="1"/>
  <c r="K2140" i="3"/>
  <c r="K2141" i="3" a="1"/>
  <c r="K2141" i="3" s="1"/>
  <c r="K2142" i="3" a="1"/>
  <c r="K2142" i="3" s="1"/>
  <c r="K2143" i="3" a="1"/>
  <c r="K2143" i="3" s="1"/>
  <c r="K2144" i="3" a="1"/>
  <c r="K2144" i="3" s="1"/>
  <c r="K2145" i="3" a="1"/>
  <c r="K2145" i="3" s="1"/>
  <c r="K2146" i="3" a="1"/>
  <c r="K2146" i="3"/>
  <c r="K2147" i="3" a="1"/>
  <c r="K2147" i="3" s="1"/>
  <c r="K2148" i="3" a="1"/>
  <c r="K2148" i="3"/>
  <c r="K2149" i="3" a="1"/>
  <c r="K2149" i="3" s="1"/>
  <c r="K2150" i="3" a="1"/>
  <c r="K2150" i="3" s="1"/>
  <c r="K2151" i="3" a="1"/>
  <c r="K2151" i="3" s="1"/>
  <c r="K2152" i="3" a="1"/>
  <c r="K2152" i="3" s="1"/>
  <c r="K2153" i="3" a="1"/>
  <c r="K2153" i="3" s="1"/>
  <c r="K2154" i="3" a="1"/>
  <c r="K2154" i="3"/>
  <c r="K2155" i="3" a="1"/>
  <c r="K2155" i="3" s="1"/>
  <c r="K2156" i="3" a="1"/>
  <c r="K2156" i="3"/>
  <c r="K2157" i="3" a="1"/>
  <c r="K2157" i="3" s="1"/>
  <c r="K2158" i="3" a="1"/>
  <c r="K2158" i="3" s="1"/>
  <c r="K2159" i="3" a="1"/>
  <c r="K2159" i="3" s="1"/>
  <c r="K2160" i="3" a="1"/>
  <c r="K2160" i="3" s="1"/>
  <c r="K2161" i="3" a="1"/>
  <c r="K2161" i="3" s="1"/>
  <c r="K2162" i="3" a="1"/>
  <c r="K2162" i="3"/>
  <c r="K2163" i="3" a="1"/>
  <c r="K2163" i="3" s="1"/>
  <c r="K2164" i="3" a="1"/>
  <c r="K2164" i="3"/>
  <c r="K2165" i="3" a="1"/>
  <c r="K2165" i="3" s="1"/>
  <c r="K2166" i="3" a="1"/>
  <c r="K2166" i="3" s="1"/>
  <c r="K2167" i="3" a="1"/>
  <c r="K2167" i="3" s="1"/>
  <c r="K2168" i="3" a="1"/>
  <c r="K2168" i="3" s="1"/>
  <c r="K2169" i="3" a="1"/>
  <c r="K2169" i="3" s="1"/>
  <c r="K2170" i="3" a="1"/>
  <c r="K2170" i="3"/>
  <c r="K2171" i="3" a="1"/>
  <c r="K2171" i="3" s="1"/>
  <c r="K2172" i="3" a="1"/>
  <c r="K2172" i="3"/>
  <c r="K2173" i="3" a="1"/>
  <c r="K2173" i="3" s="1"/>
  <c r="K2174" i="3" a="1"/>
  <c r="K2174" i="3" s="1"/>
  <c r="K2175" i="3" a="1"/>
  <c r="K2175" i="3" s="1"/>
  <c r="K2176" i="3" a="1"/>
  <c r="K2176" i="3"/>
  <c r="K2177" i="3" a="1"/>
  <c r="K2177" i="3" s="1"/>
  <c r="K2178" i="3" a="1"/>
  <c r="K2178" i="3"/>
  <c r="K2179" i="3" a="1"/>
  <c r="K2179" i="3" s="1"/>
  <c r="K2180" i="3" a="1"/>
  <c r="K2180" i="3"/>
  <c r="K2181" i="3" a="1"/>
  <c r="K2181" i="3" s="1"/>
  <c r="K2182" i="3" a="1"/>
  <c r="K2182" i="3" s="1"/>
  <c r="K2183" i="3" a="1"/>
  <c r="K2183" i="3" s="1"/>
  <c r="K2184" i="3" a="1"/>
  <c r="K2184" i="3"/>
  <c r="K2185" i="3" a="1"/>
  <c r="K2185" i="3" s="1"/>
  <c r="K2186" i="3" a="1"/>
  <c r="K2186" i="3"/>
  <c r="K2187" i="3" a="1"/>
  <c r="K2187" i="3" s="1"/>
  <c r="K2188" i="3" a="1"/>
  <c r="K2188" i="3"/>
  <c r="K2189" i="3" a="1"/>
  <c r="K2189" i="3" s="1"/>
  <c r="K2190" i="3" a="1"/>
  <c r="K2190" i="3" s="1"/>
  <c r="K2191" i="3" a="1"/>
  <c r="K2191" i="3" s="1"/>
  <c r="K2192" i="3" a="1"/>
  <c r="K2192" i="3" s="1"/>
  <c r="K2193" i="3" a="1"/>
  <c r="K2193" i="3" s="1"/>
  <c r="K2194" i="3" a="1"/>
  <c r="K2194" i="3"/>
  <c r="K2195" i="3" a="1"/>
  <c r="K2195" i="3" s="1"/>
  <c r="K2196" i="3" a="1"/>
  <c r="K2196" i="3"/>
  <c r="K2197" i="3" a="1"/>
  <c r="K2197" i="3" s="1"/>
  <c r="K2198" i="3" a="1"/>
  <c r="K2198" i="3" s="1"/>
  <c r="K2199" i="3" a="1"/>
  <c r="K2199" i="3" s="1"/>
  <c r="K2200" i="3" a="1"/>
  <c r="K2200" i="3" s="1"/>
  <c r="K2201" i="3" a="1"/>
  <c r="K2201" i="3"/>
  <c r="K2202" i="3" a="1"/>
  <c r="K2202" i="3" s="1"/>
  <c r="K2203" i="3" a="1"/>
  <c r="K2203" i="3" s="1"/>
  <c r="K2204" i="3" a="1"/>
  <c r="K2204" i="3"/>
  <c r="K2205" i="3" a="1"/>
  <c r="K2205" i="3" s="1"/>
  <c r="K2206" i="3" a="1"/>
  <c r="K2206" i="3" s="1"/>
  <c r="K2207" i="3" a="1"/>
  <c r="K2207" i="3" s="1"/>
  <c r="K2208" i="3" a="1"/>
  <c r="K2208" i="3" s="1"/>
  <c r="K2209" i="3" a="1"/>
  <c r="K2209" i="3" s="1"/>
  <c r="K2210" i="3" a="1"/>
  <c r="K2210" i="3" s="1"/>
  <c r="K2211" i="3" a="1"/>
  <c r="K2211" i="3" s="1"/>
  <c r="K2212" i="3" a="1"/>
  <c r="K2212" i="3"/>
  <c r="K2213" i="3" a="1"/>
  <c r="K2213" i="3" s="1"/>
  <c r="K2214" i="3" a="1"/>
  <c r="K2214" i="3" s="1"/>
  <c r="K2215" i="3" a="1"/>
  <c r="K2215" i="3" s="1"/>
  <c r="K2216" i="3" a="1"/>
  <c r="K2216" i="3" s="1"/>
  <c r="K2217" i="3" a="1"/>
  <c r="K2217" i="3" s="1"/>
  <c r="K2218" i="3" a="1"/>
  <c r="K2218" i="3" s="1"/>
  <c r="K2219" i="3" a="1"/>
  <c r="K2219" i="3" s="1"/>
  <c r="K2220" i="3" a="1"/>
  <c r="K2220" i="3"/>
  <c r="K2221" i="3" a="1"/>
  <c r="K2221" i="3" s="1"/>
  <c r="K2222" i="3" a="1"/>
  <c r="K2222" i="3" s="1"/>
  <c r="K2223" i="3" a="1"/>
  <c r="K2223" i="3" s="1"/>
  <c r="K2224" i="3" a="1"/>
  <c r="K2224" i="3" s="1"/>
  <c r="K2225" i="3" a="1"/>
  <c r="K2225" i="3" s="1"/>
  <c r="K2226" i="3" a="1"/>
  <c r="K2226" i="3" s="1"/>
  <c r="K2227" i="3" a="1"/>
  <c r="K2227" i="3" s="1"/>
  <c r="K2228" i="3" a="1"/>
  <c r="K2228" i="3"/>
  <c r="K2229" i="3" a="1"/>
  <c r="K2229" i="3" s="1"/>
  <c r="K2230" i="3" a="1"/>
  <c r="K2230" i="3" s="1"/>
  <c r="K2231" i="3" a="1"/>
  <c r="K2231" i="3" s="1"/>
  <c r="K2232" i="3" a="1"/>
  <c r="K2232" i="3" s="1"/>
  <c r="K2233" i="3" a="1"/>
  <c r="K2233" i="3" s="1"/>
  <c r="K2234" i="3" a="1"/>
  <c r="K2234" i="3" s="1"/>
  <c r="K2235" i="3" a="1"/>
  <c r="K2235" i="3" s="1"/>
  <c r="K2236" i="3" a="1"/>
  <c r="K2236" i="3"/>
  <c r="K2237" i="3" a="1"/>
  <c r="K2237" i="3" s="1"/>
  <c r="K2238" i="3" a="1"/>
  <c r="K2238" i="3" s="1"/>
  <c r="K2239" i="3" a="1"/>
  <c r="K2239" i="3" s="1"/>
  <c r="K2240" i="3" a="1"/>
  <c r="K2240" i="3" s="1"/>
  <c r="K2241" i="3" a="1"/>
  <c r="K2241" i="3" s="1"/>
  <c r="K2242" i="3" a="1"/>
  <c r="K2242" i="3" s="1"/>
  <c r="K2243" i="3" a="1"/>
  <c r="K2243" i="3" s="1"/>
  <c r="K2244" i="3" a="1"/>
  <c r="K2244" i="3"/>
  <c r="K2245" i="3" a="1"/>
  <c r="K2245" i="3" s="1"/>
  <c r="K2246" i="3" a="1"/>
  <c r="K2246" i="3" s="1"/>
  <c r="K2247" i="3" a="1"/>
  <c r="K2247" i="3" s="1"/>
  <c r="K2248" i="3" a="1"/>
  <c r="K2248" i="3" s="1"/>
  <c r="K2249" i="3" a="1"/>
  <c r="K2249" i="3" s="1"/>
  <c r="K2250" i="3" a="1"/>
  <c r="K2250" i="3" s="1"/>
  <c r="K2251" i="3" a="1"/>
  <c r="K2251" i="3" s="1"/>
  <c r="K2252" i="3" a="1"/>
  <c r="K2252" i="3"/>
  <c r="K2253" i="3" a="1"/>
  <c r="K2253" i="3" s="1"/>
  <c r="K2254" i="3" a="1"/>
  <c r="K2254" i="3" s="1"/>
  <c r="K2255" i="3" a="1"/>
  <c r="K2255" i="3" s="1"/>
  <c r="K2256" i="3" a="1"/>
  <c r="K2256" i="3" s="1"/>
  <c r="K2257" i="3" a="1"/>
  <c r="K2257" i="3" s="1"/>
  <c r="K2258" i="3" a="1"/>
  <c r="K2258" i="3" s="1"/>
  <c r="K2259" i="3" a="1"/>
  <c r="K2259" i="3" s="1"/>
  <c r="K2260" i="3" a="1"/>
  <c r="K2260" i="3"/>
  <c r="K2261" i="3" a="1"/>
  <c r="K2261" i="3" s="1"/>
  <c r="K2262" i="3" a="1"/>
  <c r="K2262" i="3" s="1"/>
  <c r="K2263" i="3" a="1"/>
  <c r="K2263" i="3" s="1"/>
  <c r="K2264" i="3" a="1"/>
  <c r="K2264" i="3" s="1"/>
  <c r="K2265" i="3" a="1"/>
  <c r="K2265" i="3" s="1"/>
  <c r="K2266" i="3" a="1"/>
  <c r="K2266" i="3" s="1"/>
  <c r="K2267" i="3" a="1"/>
  <c r="K2267" i="3" s="1"/>
  <c r="K2268" i="3" a="1"/>
  <c r="K2268" i="3"/>
  <c r="K2269" i="3" a="1"/>
  <c r="K2269" i="3" s="1"/>
  <c r="K2270" i="3" a="1"/>
  <c r="K2270" i="3" s="1"/>
  <c r="K2271" i="3" a="1"/>
  <c r="K2271" i="3" s="1"/>
  <c r="K2272" i="3" a="1"/>
  <c r="K2272" i="3" s="1"/>
  <c r="K2273" i="3" a="1"/>
  <c r="K2273" i="3" s="1"/>
  <c r="K2274" i="3" a="1"/>
  <c r="K2274" i="3" s="1"/>
  <c r="K2275" i="3" a="1"/>
  <c r="K2275" i="3" s="1"/>
  <c r="K2276" i="3" a="1"/>
  <c r="K2276" i="3"/>
  <c r="K2277" i="3" a="1"/>
  <c r="K2277" i="3" s="1"/>
  <c r="K2278" i="3" a="1"/>
  <c r="K2278" i="3" s="1"/>
  <c r="K2279" i="3" a="1"/>
  <c r="K2279" i="3" s="1"/>
  <c r="K2280" i="3" a="1"/>
  <c r="K2280" i="3" s="1"/>
  <c r="K2281" i="3" a="1"/>
  <c r="K2281" i="3" s="1"/>
  <c r="K2282" i="3" a="1"/>
  <c r="K2282" i="3" s="1"/>
  <c r="K2283" i="3" a="1"/>
  <c r="K2283" i="3" s="1"/>
  <c r="K2284" i="3" a="1"/>
  <c r="K2284" i="3"/>
  <c r="K2285" i="3" a="1"/>
  <c r="K2285" i="3" s="1"/>
  <c r="K2286" i="3" a="1"/>
  <c r="K2286" i="3" s="1"/>
  <c r="K2287" i="3" a="1"/>
  <c r="K2287" i="3" s="1"/>
  <c r="K2288" i="3" a="1"/>
  <c r="K2288" i="3" s="1"/>
  <c r="K2289" i="3" a="1"/>
  <c r="K2289" i="3" s="1"/>
  <c r="K2290" i="3" a="1"/>
  <c r="K2290" i="3"/>
  <c r="K2291" i="3" a="1"/>
  <c r="K2291" i="3" s="1"/>
  <c r="K2292" i="3" a="1"/>
  <c r="K2292" i="3"/>
  <c r="K2293" i="3" a="1"/>
  <c r="K2293" i="3" s="1"/>
  <c r="K2294" i="3" a="1"/>
  <c r="K2294" i="3" s="1"/>
  <c r="K2295" i="3" a="1"/>
  <c r="K2295" i="3" s="1"/>
  <c r="K2296" i="3" a="1"/>
  <c r="K2296" i="3" s="1"/>
  <c r="K2297" i="3" a="1"/>
  <c r="K2297" i="3" s="1"/>
  <c r="K2298" i="3" a="1"/>
  <c r="K2298" i="3"/>
  <c r="K2299" i="3" a="1"/>
  <c r="K2299" i="3" s="1"/>
  <c r="K2300" i="3" a="1"/>
  <c r="K2300" i="3"/>
  <c r="K2301" i="3" a="1"/>
  <c r="K2301" i="3" s="1"/>
  <c r="K2302" i="3" a="1"/>
  <c r="K2302" i="3" s="1"/>
  <c r="K2303" i="3" a="1"/>
  <c r="K2303" i="3" s="1"/>
  <c r="K2304" i="3" a="1"/>
  <c r="K2304" i="3" s="1"/>
  <c r="K2305" i="3" a="1"/>
  <c r="K2305" i="3" s="1"/>
  <c r="K2306" i="3" a="1"/>
  <c r="K2306" i="3"/>
  <c r="K2307" i="3" a="1"/>
  <c r="K2307" i="3" s="1"/>
  <c r="K2308" i="3" a="1"/>
  <c r="K2308" i="3"/>
  <c r="K2309" i="3" a="1"/>
  <c r="K2309" i="3" s="1"/>
  <c r="K2310" i="3" a="1"/>
  <c r="K2310" i="3" s="1"/>
  <c r="K2311" i="3" a="1"/>
  <c r="K2311" i="3" s="1"/>
  <c r="K2312" i="3" a="1"/>
  <c r="K2312" i="3" s="1"/>
  <c r="K2313" i="3" a="1"/>
  <c r="K2313" i="3" s="1"/>
  <c r="K2314" i="3" a="1"/>
  <c r="K2314" i="3"/>
  <c r="K2315" i="3" a="1"/>
  <c r="K2315" i="3" s="1"/>
  <c r="K2316" i="3" a="1"/>
  <c r="K2316" i="3"/>
  <c r="K2317" i="3" a="1"/>
  <c r="K2317" i="3" s="1"/>
  <c r="K2318" i="3" a="1"/>
  <c r="K2318" i="3" s="1"/>
  <c r="K2319" i="3" a="1"/>
  <c r="K2319" i="3" s="1"/>
  <c r="K2320" i="3" a="1"/>
  <c r="K2320" i="3" s="1"/>
  <c r="K2321" i="3" a="1"/>
  <c r="K2321" i="3" s="1"/>
  <c r="K2322" i="3" a="1"/>
  <c r="K2322" i="3"/>
  <c r="K2323" i="3" a="1"/>
  <c r="K2323" i="3" s="1"/>
  <c r="K2324" i="3" a="1"/>
  <c r="K2324" i="3"/>
  <c r="K2325" i="3" a="1"/>
  <c r="K2325" i="3" s="1"/>
  <c r="K2326" i="3" a="1"/>
  <c r="K2326" i="3" s="1"/>
  <c r="K2327" i="3" a="1"/>
  <c r="K2327" i="3" s="1"/>
  <c r="K2328" i="3" a="1"/>
  <c r="K2328" i="3" s="1"/>
  <c r="K2329" i="3" a="1"/>
  <c r="K2329" i="3" s="1"/>
  <c r="K2330" i="3" a="1"/>
  <c r="K2330" i="3"/>
  <c r="K2331" i="3" a="1"/>
  <c r="K2331" i="3" s="1"/>
  <c r="K2332" i="3" a="1"/>
  <c r="K2332" i="3"/>
  <c r="K2333" i="3" a="1"/>
  <c r="K2333" i="3" s="1"/>
  <c r="K2334" i="3" a="1"/>
  <c r="K2334" i="3" s="1"/>
  <c r="K2335" i="3" a="1"/>
  <c r="K2335" i="3" s="1"/>
  <c r="K2336" i="3" a="1"/>
  <c r="K2336" i="3" s="1"/>
  <c r="K2337" i="3" a="1"/>
  <c r="K2337" i="3" s="1"/>
  <c r="K2338" i="3" a="1"/>
  <c r="K2338" i="3"/>
  <c r="K2339" i="3" a="1"/>
  <c r="K2339" i="3" s="1"/>
  <c r="K2340" i="3" a="1"/>
  <c r="K2340" i="3"/>
  <c r="K2341" i="3" a="1"/>
  <c r="K2341" i="3" s="1"/>
  <c r="K2342" i="3" a="1"/>
  <c r="K2342" i="3" s="1"/>
  <c r="K2343" i="3" a="1"/>
  <c r="K2343" i="3" s="1"/>
  <c r="K2344" i="3" a="1"/>
  <c r="K2344" i="3" s="1"/>
  <c r="K2345" i="3" a="1"/>
  <c r="K2345" i="3" s="1"/>
  <c r="K2346" i="3" a="1"/>
  <c r="K2346" i="3"/>
  <c r="K2347" i="3" a="1"/>
  <c r="K2347" i="3" s="1"/>
  <c r="K2348" i="3" a="1"/>
  <c r="K2348" i="3"/>
  <c r="K2349" i="3" a="1"/>
  <c r="K2349" i="3" s="1"/>
  <c r="K2350" i="3" a="1"/>
  <c r="K2350" i="3" s="1"/>
  <c r="K2351" i="3" a="1"/>
  <c r="K2351" i="3" s="1"/>
  <c r="K2352" i="3" a="1"/>
  <c r="K2352" i="3" s="1"/>
  <c r="K2353" i="3" a="1"/>
  <c r="K2353" i="3" s="1"/>
  <c r="K2354" i="3" a="1"/>
  <c r="K2354" i="3"/>
  <c r="K2355" i="3" a="1"/>
  <c r="K2355" i="3" s="1"/>
  <c r="K2356" i="3" a="1"/>
  <c r="K2356" i="3"/>
  <c r="K2357" i="3" a="1"/>
  <c r="K2357" i="3" s="1"/>
  <c r="K2358" i="3" a="1"/>
  <c r="K2358" i="3" s="1"/>
  <c r="K2359" i="3" a="1"/>
  <c r="K2359" i="3" s="1"/>
  <c r="K2360" i="3" a="1"/>
  <c r="K2360" i="3" s="1"/>
  <c r="K2361" i="3" a="1"/>
  <c r="K2361" i="3" s="1"/>
  <c r="K2362" i="3" a="1"/>
  <c r="K2362" i="3"/>
  <c r="K2363" i="3" a="1"/>
  <c r="K2363" i="3" s="1"/>
  <c r="K2364" i="3" a="1"/>
  <c r="K2364" i="3"/>
  <c r="K2365" i="3" a="1"/>
  <c r="K2365" i="3" s="1"/>
  <c r="K2366" i="3" a="1"/>
  <c r="K2366" i="3" s="1"/>
  <c r="K2367" i="3" a="1"/>
  <c r="K2367" i="3" s="1"/>
  <c r="K2368" i="3" a="1"/>
  <c r="K2368" i="3" s="1"/>
  <c r="K2369" i="3" a="1"/>
  <c r="K2369" i="3" s="1"/>
  <c r="K2370" i="3" a="1"/>
  <c r="K2370" i="3"/>
  <c r="K2371" i="3" a="1"/>
  <c r="K2371" i="3" s="1"/>
  <c r="K2372" i="3" a="1"/>
  <c r="K2372" i="3"/>
  <c r="K2373" i="3" a="1"/>
  <c r="K2373" i="3" s="1"/>
  <c r="K2374" i="3" a="1"/>
  <c r="K2374" i="3" s="1"/>
  <c r="K2375" i="3" a="1"/>
  <c r="K2375" i="3" s="1"/>
  <c r="K2376" i="3" a="1"/>
  <c r="K2376" i="3" s="1"/>
  <c r="K2377" i="3" a="1"/>
  <c r="K2377" i="3" s="1"/>
  <c r="K2378" i="3" a="1"/>
  <c r="K2378" i="3"/>
  <c r="K2379" i="3" a="1"/>
  <c r="K2379" i="3" s="1"/>
  <c r="K2380" i="3" a="1"/>
  <c r="K2380" i="3"/>
  <c r="K2381" i="3" a="1"/>
  <c r="K2381" i="3" s="1"/>
  <c r="K2382" i="3" a="1"/>
  <c r="K2382" i="3" s="1"/>
  <c r="K2383" i="3" a="1"/>
  <c r="K2383" i="3" s="1"/>
  <c r="K2384" i="3" a="1"/>
  <c r="K2384" i="3" s="1"/>
  <c r="K2385" i="3" a="1"/>
  <c r="K2385" i="3" s="1"/>
  <c r="K2386" i="3" a="1"/>
  <c r="K2386" i="3"/>
  <c r="K2387" i="3" a="1"/>
  <c r="K2387" i="3" s="1"/>
  <c r="K2388" i="3" a="1"/>
  <c r="K2388" i="3"/>
  <c r="K2389" i="3" a="1"/>
  <c r="K2389" i="3" s="1"/>
  <c r="K2390" i="3" a="1"/>
  <c r="K2390" i="3" s="1"/>
  <c r="K2391" i="3" a="1"/>
  <c r="K2391" i="3" s="1"/>
  <c r="K2392" i="3" a="1"/>
  <c r="K2392" i="3" s="1"/>
  <c r="K2393" i="3" a="1"/>
  <c r="K2393" i="3" s="1"/>
  <c r="K2394" i="3" a="1"/>
  <c r="K2394" i="3"/>
  <c r="K2395" i="3" a="1"/>
  <c r="K2395" i="3" s="1"/>
  <c r="K2396" i="3" a="1"/>
  <c r="K2396" i="3"/>
  <c r="K2397" i="3" a="1"/>
  <c r="K2397" i="3" s="1"/>
  <c r="K2398" i="3" a="1"/>
  <c r="K2398" i="3" s="1"/>
  <c r="K2399" i="3" a="1"/>
  <c r="K2399" i="3" s="1"/>
  <c r="K2400" i="3" a="1"/>
  <c r="K2400" i="3" s="1"/>
  <c r="K2401" i="3" a="1"/>
  <c r="K2401" i="3" s="1"/>
  <c r="K2402" i="3" a="1"/>
  <c r="K2402" i="3"/>
  <c r="K2403" i="3" a="1"/>
  <c r="K2403" i="3" s="1"/>
  <c r="K2404" i="3" a="1"/>
  <c r="K2404" i="3"/>
  <c r="K2405" i="3" a="1"/>
  <c r="K2405" i="3" s="1"/>
  <c r="K2406" i="3" a="1"/>
  <c r="K2406" i="3" s="1"/>
  <c r="K2407" i="3" a="1"/>
  <c r="K2407" i="3" s="1"/>
  <c r="K2408" i="3" a="1"/>
  <c r="K2408" i="3" s="1"/>
  <c r="K2409" i="3" a="1"/>
  <c r="K2409" i="3" s="1"/>
  <c r="K2410" i="3" a="1"/>
  <c r="K2410" i="3"/>
  <c r="K2411" i="3" a="1"/>
  <c r="K2411" i="3" s="1"/>
  <c r="K2412" i="3" a="1"/>
  <c r="K2412" i="3"/>
  <c r="K2413" i="3" a="1"/>
  <c r="K2413" i="3" s="1"/>
  <c r="K2414" i="3" a="1"/>
  <c r="K2414" i="3" s="1"/>
  <c r="K2415" i="3" a="1"/>
  <c r="K2415" i="3" s="1"/>
  <c r="K2416" i="3" a="1"/>
  <c r="K2416" i="3" s="1"/>
  <c r="K2417" i="3" a="1"/>
  <c r="K2417" i="3" s="1"/>
  <c r="K2418" i="3" a="1"/>
  <c r="K2418" i="3"/>
  <c r="K2419" i="3" a="1"/>
  <c r="K2419" i="3" s="1"/>
  <c r="K2420" i="3" a="1"/>
  <c r="K2420" i="3"/>
  <c r="K2421" i="3" a="1"/>
  <c r="K2421" i="3" s="1"/>
  <c r="K2422" i="3" a="1"/>
  <c r="K2422" i="3" s="1"/>
  <c r="K2423" i="3" a="1"/>
  <c r="K2423" i="3" s="1"/>
  <c r="K2424" i="3" a="1"/>
  <c r="K2424" i="3" s="1"/>
  <c r="K2425" i="3" a="1"/>
  <c r="K2425" i="3" s="1"/>
  <c r="K2426" i="3" a="1"/>
  <c r="K2426" i="3"/>
  <c r="K2427" i="3" a="1"/>
  <c r="K2427" i="3" s="1"/>
  <c r="K2428" i="3" a="1"/>
  <c r="K2428" i="3"/>
  <c r="K2429" i="3" a="1"/>
  <c r="K2429" i="3" s="1"/>
  <c r="K2430" i="3" a="1"/>
  <c r="K2430" i="3" s="1"/>
  <c r="K2431" i="3" a="1"/>
  <c r="K2431" i="3" s="1"/>
  <c r="K2432" i="3" a="1"/>
  <c r="K2432" i="3" s="1"/>
  <c r="K2433" i="3" a="1"/>
  <c r="K2433" i="3" s="1"/>
  <c r="K2434" i="3" a="1"/>
  <c r="K2434" i="3"/>
  <c r="K2435" i="3" a="1"/>
  <c r="K2435" i="3" s="1"/>
  <c r="K2436" i="3" a="1"/>
  <c r="K2436" i="3"/>
  <c r="K2437" i="3" a="1"/>
  <c r="K2437" i="3" s="1"/>
  <c r="K2438" i="3" a="1"/>
  <c r="K2438" i="3" s="1"/>
  <c r="K2439" i="3" a="1"/>
  <c r="K2439" i="3" s="1"/>
  <c r="K2440" i="3" a="1"/>
  <c r="K2440" i="3" s="1"/>
  <c r="K2441" i="3" a="1"/>
  <c r="K2441" i="3" s="1"/>
  <c r="K2442" i="3" a="1"/>
  <c r="K2442" i="3"/>
  <c r="K2443" i="3" a="1"/>
  <c r="K2443" i="3" s="1"/>
  <c r="K2444" i="3" a="1"/>
  <c r="K2444" i="3"/>
  <c r="K2445" i="3" a="1"/>
  <c r="K2445" i="3" s="1"/>
  <c r="K2446" i="3" a="1"/>
  <c r="K2446" i="3" s="1"/>
  <c r="K2447" i="3" a="1"/>
  <c r="K2447" i="3" s="1"/>
  <c r="K2448" i="3" a="1"/>
  <c r="K2448" i="3" s="1"/>
  <c r="K2449" i="3" a="1"/>
  <c r="K2449" i="3" s="1"/>
  <c r="K2450" i="3" a="1"/>
  <c r="K2450" i="3"/>
  <c r="K2451" i="3" a="1"/>
  <c r="K2451" i="3" s="1"/>
  <c r="K2452" i="3" a="1"/>
  <c r="K2452" i="3"/>
  <c r="K2453" i="3" a="1"/>
  <c r="K2453" i="3" s="1"/>
  <c r="K2454" i="3" a="1"/>
  <c r="K2454" i="3" s="1"/>
  <c r="K2455" i="3" a="1"/>
  <c r="K2455" i="3" s="1"/>
  <c r="K2456" i="3" a="1"/>
  <c r="K2456" i="3" s="1"/>
  <c r="K2457" i="3" a="1"/>
  <c r="K2457" i="3" s="1"/>
  <c r="K2458" i="3" a="1"/>
  <c r="K2458" i="3"/>
  <c r="K2459" i="3" a="1"/>
  <c r="K2459" i="3" s="1"/>
  <c r="K2460" i="3" a="1"/>
  <c r="K2460" i="3"/>
  <c r="K2461" i="3" a="1"/>
  <c r="K2461" i="3" s="1"/>
  <c r="K2462" i="3" a="1"/>
  <c r="K2462" i="3" s="1"/>
  <c r="K2463" i="3" a="1"/>
  <c r="K2463" i="3" s="1"/>
  <c r="K2464" i="3" a="1"/>
  <c r="K2464" i="3" s="1"/>
  <c r="K2465" i="3" a="1"/>
  <c r="K2465" i="3" s="1"/>
  <c r="K2466" i="3" a="1"/>
  <c r="K2466" i="3"/>
  <c r="K2467" i="3" a="1"/>
  <c r="K2467" i="3" s="1"/>
  <c r="K2468" i="3" a="1"/>
  <c r="K2468" i="3"/>
  <c r="K2469" i="3" a="1"/>
  <c r="K2469" i="3" s="1"/>
  <c r="K2470" i="3" a="1"/>
  <c r="K2470" i="3" s="1"/>
  <c r="K2471" i="3" a="1"/>
  <c r="K2471" i="3" s="1"/>
  <c r="K2472" i="3" a="1"/>
  <c r="K2472" i="3" s="1"/>
  <c r="K2473" i="3" a="1"/>
  <c r="K2473" i="3" s="1"/>
  <c r="K2474" i="3" a="1"/>
  <c r="K2474" i="3"/>
  <c r="K2475" i="3" a="1"/>
  <c r="K2475" i="3" s="1"/>
  <c r="K2476" i="3" a="1"/>
  <c r="K2476" i="3"/>
  <c r="K2477" i="3" a="1"/>
  <c r="K2477" i="3" s="1"/>
  <c r="K2478" i="3" a="1"/>
  <c r="K2478" i="3" s="1"/>
  <c r="K2479" i="3" a="1"/>
  <c r="K2479" i="3" s="1"/>
  <c r="K2480" i="3" a="1"/>
  <c r="K2480" i="3" s="1"/>
  <c r="K2481" i="3" a="1"/>
  <c r="K2481" i="3" s="1"/>
  <c r="K2482" i="3" a="1"/>
  <c r="K2482" i="3"/>
  <c r="K2483" i="3" a="1"/>
  <c r="K2483" i="3" s="1"/>
  <c r="K2484" i="3" a="1"/>
  <c r="K2484" i="3"/>
  <c r="K2485" i="3" a="1"/>
  <c r="K2485" i="3" s="1"/>
  <c r="K2486" i="3" a="1"/>
  <c r="K2486" i="3" s="1"/>
  <c r="K2487" i="3" a="1"/>
  <c r="K2487" i="3" s="1"/>
  <c r="K2488" i="3" a="1"/>
  <c r="K2488" i="3" s="1"/>
  <c r="K2489" i="3" a="1"/>
  <c r="K2489" i="3" s="1"/>
  <c r="K2490" i="3" a="1"/>
  <c r="K2490" i="3"/>
  <c r="K2491" i="3" a="1"/>
  <c r="K2491" i="3" s="1"/>
  <c r="K2492" i="3" a="1"/>
  <c r="K2492" i="3"/>
  <c r="K2493" i="3" a="1"/>
  <c r="K2493" i="3" s="1"/>
  <c r="K2494" i="3" a="1"/>
  <c r="K2494" i="3" s="1"/>
  <c r="K2495" i="3" a="1"/>
  <c r="K2495" i="3" s="1"/>
  <c r="K2496" i="3" a="1"/>
  <c r="K2496" i="3" s="1"/>
  <c r="K2497" i="3" a="1"/>
  <c r="K2497" i="3" s="1"/>
  <c r="K2498" i="3" a="1"/>
  <c r="K2498" i="3"/>
  <c r="K2499" i="3" a="1"/>
  <c r="K2499" i="3" s="1"/>
  <c r="K2500" i="3" a="1"/>
  <c r="K2500" i="3"/>
  <c r="K2501" i="3" a="1"/>
  <c r="K2501" i="3" s="1"/>
  <c r="K2502" i="3" a="1"/>
  <c r="K2502" i="3" s="1"/>
  <c r="K2503" i="3" a="1"/>
  <c r="K2503" i="3" s="1"/>
  <c r="K2504" i="3" a="1"/>
  <c r="K2504" i="3" s="1"/>
  <c r="K2505" i="3" a="1"/>
  <c r="K2505" i="3" s="1"/>
  <c r="K2506" i="3" a="1"/>
  <c r="K2506" i="3"/>
  <c r="K2507" i="3" a="1"/>
  <c r="K2507" i="3" s="1"/>
  <c r="K2508" i="3" a="1"/>
  <c r="K2508" i="3"/>
  <c r="K2509" i="3" a="1"/>
  <c r="K2509" i="3" s="1"/>
  <c r="K2510" i="3" a="1"/>
  <c r="K2510" i="3"/>
  <c r="K2511" i="3" a="1"/>
  <c r="K2511" i="3" s="1"/>
  <c r="K2512" i="3" a="1"/>
  <c r="K2512" i="3" s="1"/>
  <c r="K2513" i="3" a="1"/>
  <c r="K2513" i="3" s="1"/>
  <c r="K2514" i="3" a="1"/>
  <c r="K2514" i="3" s="1"/>
  <c r="K2515" i="3" a="1"/>
  <c r="K2515" i="3" s="1"/>
  <c r="K2516" i="3" a="1"/>
  <c r="K2516" i="3" s="1"/>
  <c r="K2517" i="3" a="1"/>
  <c r="K2517" i="3" s="1"/>
  <c r="K2518" i="3" a="1"/>
  <c r="K2518" i="3" s="1"/>
  <c r="K2519" i="3" a="1"/>
  <c r="K2519" i="3" s="1"/>
  <c r="K2520" i="3" a="1"/>
  <c r="K2520" i="3" s="1"/>
  <c r="K2521" i="3" a="1"/>
  <c r="K2521" i="3" s="1"/>
  <c r="K2522" i="3" a="1"/>
  <c r="K2522" i="3" s="1"/>
  <c r="K2523" i="3" a="1"/>
  <c r="K2523" i="3" s="1"/>
  <c r="K2524" i="3" a="1"/>
  <c r="K2524" i="3" s="1"/>
  <c r="K2525" i="3" a="1"/>
  <c r="K2525" i="3" s="1"/>
  <c r="K2526" i="3" a="1"/>
  <c r="K2526" i="3" s="1"/>
  <c r="K2527" i="3" a="1"/>
  <c r="K2527" i="3" s="1"/>
  <c r="K2528" i="3" a="1"/>
  <c r="K2528" i="3" s="1"/>
  <c r="K2529" i="3" a="1"/>
  <c r="K2529" i="3" s="1"/>
  <c r="K2530" i="3" a="1"/>
  <c r="K2530" i="3" s="1"/>
  <c r="K2531" i="3" a="1"/>
  <c r="K2531" i="3" s="1"/>
  <c r="K2532" i="3" a="1"/>
  <c r="K2532" i="3" s="1"/>
  <c r="K2533" i="3" a="1"/>
  <c r="K2533" i="3" s="1"/>
  <c r="K2534" i="3" a="1"/>
  <c r="K2534" i="3" s="1"/>
  <c r="K2535" i="3" a="1"/>
  <c r="K2535" i="3" s="1"/>
  <c r="K2536" i="3" a="1"/>
  <c r="K2536" i="3" s="1"/>
  <c r="K2537" i="3" a="1"/>
  <c r="K2537" i="3" s="1"/>
  <c r="K2538" i="3" a="1"/>
  <c r="K2538" i="3" s="1"/>
  <c r="K2539" i="3" a="1"/>
  <c r="K2539" i="3" s="1"/>
  <c r="K2540" i="3" a="1"/>
  <c r="K2540" i="3" s="1"/>
  <c r="K2541" i="3" a="1"/>
  <c r="K2541" i="3" s="1"/>
  <c r="K2542" i="3" a="1"/>
  <c r="K2542" i="3" s="1"/>
  <c r="K2543" i="3" a="1"/>
  <c r="K2543" i="3" s="1"/>
  <c r="K2544" i="3" a="1"/>
  <c r="K2544" i="3" s="1"/>
  <c r="K2545" i="3" a="1"/>
  <c r="K2545" i="3" s="1"/>
  <c r="K2546" i="3" a="1"/>
  <c r="K2546" i="3" s="1"/>
  <c r="K2547" i="3" a="1"/>
  <c r="K2547" i="3" s="1"/>
  <c r="K2548" i="3" a="1"/>
  <c r="K2548" i="3" s="1"/>
  <c r="K2549" i="3" a="1"/>
  <c r="K2549" i="3" s="1"/>
  <c r="K2550" i="3" a="1"/>
  <c r="K2550" i="3" s="1"/>
  <c r="K2551" i="3" a="1"/>
  <c r="K2551" i="3" s="1"/>
  <c r="K2552" i="3" a="1"/>
  <c r="K2552" i="3" s="1"/>
  <c r="K2553" i="3" a="1"/>
  <c r="K2553" i="3" s="1"/>
  <c r="K2554" i="3" a="1"/>
  <c r="K2554" i="3" s="1"/>
  <c r="K2555" i="3" a="1"/>
  <c r="K2555" i="3" s="1"/>
  <c r="K2556" i="3" a="1"/>
  <c r="K2556" i="3" s="1"/>
  <c r="K2557" i="3" a="1"/>
  <c r="K2557" i="3" s="1"/>
  <c r="K2558" i="3" a="1"/>
  <c r="K2558" i="3" s="1"/>
  <c r="K2559" i="3" a="1"/>
  <c r="K2559" i="3" s="1"/>
  <c r="K2560" i="3" a="1"/>
  <c r="K2560" i="3" s="1"/>
  <c r="K2561" i="3" a="1"/>
  <c r="K2561" i="3" s="1"/>
  <c r="K2562" i="3" a="1"/>
  <c r="K2562" i="3" s="1"/>
  <c r="K2563" i="3" a="1"/>
  <c r="K2563" i="3" s="1"/>
  <c r="K2564" i="3" a="1"/>
  <c r="K2564" i="3" s="1"/>
  <c r="K2565" i="3" a="1"/>
  <c r="K2565" i="3" s="1"/>
  <c r="K2566" i="3" a="1"/>
  <c r="K2566" i="3" s="1"/>
  <c r="K2567" i="3" a="1"/>
  <c r="K2567" i="3" s="1"/>
  <c r="K2568" i="3" a="1"/>
  <c r="K2568" i="3" s="1"/>
  <c r="K2569" i="3" a="1"/>
  <c r="K2569" i="3" s="1"/>
  <c r="K2570" i="3" a="1"/>
  <c r="K2570" i="3" s="1"/>
  <c r="K2571" i="3" a="1"/>
  <c r="K2571" i="3" s="1"/>
  <c r="K2572" i="3" a="1"/>
  <c r="K2572" i="3" s="1"/>
  <c r="K2573" i="3" a="1"/>
  <c r="K2573" i="3" s="1"/>
  <c r="K2574" i="3" a="1"/>
  <c r="K2574" i="3" s="1"/>
  <c r="K2575" i="3" a="1"/>
  <c r="K2575" i="3" s="1"/>
  <c r="K2576" i="3" a="1"/>
  <c r="K2576" i="3" s="1"/>
  <c r="K2577" i="3" a="1"/>
  <c r="K2577" i="3" s="1"/>
  <c r="K2578" i="3" a="1"/>
  <c r="K2578" i="3" s="1"/>
  <c r="K2579" i="3" a="1"/>
  <c r="K2579" i="3" s="1"/>
  <c r="K2580" i="3" a="1"/>
  <c r="K2580" i="3" s="1"/>
  <c r="K2581" i="3" a="1"/>
  <c r="K2581" i="3" s="1"/>
  <c r="K2582" i="3" a="1"/>
  <c r="K2582" i="3" s="1"/>
  <c r="K2583" i="3" a="1"/>
  <c r="K2583" i="3" s="1"/>
  <c r="K2584" i="3" a="1"/>
  <c r="K2584" i="3" s="1"/>
  <c r="K2585" i="3" a="1"/>
  <c r="K2585" i="3" s="1"/>
  <c r="K2586" i="3" a="1"/>
  <c r="K2586" i="3" s="1"/>
  <c r="K2587" i="3" a="1"/>
  <c r="K2587" i="3" s="1"/>
  <c r="K2588" i="3" a="1"/>
  <c r="K2588" i="3" s="1"/>
  <c r="K2589" i="3" a="1"/>
  <c r="K2589" i="3" s="1"/>
  <c r="K2590" i="3" a="1"/>
  <c r="K2590" i="3" s="1"/>
  <c r="K2591" i="3" a="1"/>
  <c r="K2591" i="3" s="1"/>
  <c r="K2592" i="3" a="1"/>
  <c r="K2592" i="3" s="1"/>
  <c r="K2593" i="3" a="1"/>
  <c r="K2593" i="3" s="1"/>
  <c r="K2594" i="3" a="1"/>
  <c r="K2594" i="3" s="1"/>
  <c r="K2595" i="3" a="1"/>
  <c r="K2595" i="3" s="1"/>
  <c r="K2596" i="3" a="1"/>
  <c r="K2596" i="3" s="1"/>
  <c r="K2597" i="3" a="1"/>
  <c r="K2597" i="3" s="1"/>
  <c r="K2598" i="3" a="1"/>
  <c r="K2598" i="3" s="1"/>
  <c r="K2599" i="3" a="1"/>
  <c r="K2599" i="3" s="1"/>
  <c r="K2600" i="3" a="1"/>
  <c r="K2600" i="3" s="1"/>
  <c r="K2601" i="3" a="1"/>
  <c r="K2601" i="3" s="1"/>
  <c r="K2602" i="3" a="1"/>
  <c r="K2602" i="3" s="1"/>
  <c r="K2603" i="3" a="1"/>
  <c r="K2603" i="3" s="1"/>
  <c r="K2604" i="3" a="1"/>
  <c r="K2604" i="3" s="1"/>
  <c r="K2605" i="3" a="1"/>
  <c r="K2605" i="3" s="1"/>
  <c r="K2606" i="3" a="1"/>
  <c r="K2606" i="3" s="1"/>
  <c r="K2607" i="3" a="1"/>
  <c r="K2607" i="3" s="1"/>
  <c r="K2608" i="3" a="1"/>
  <c r="K2608" i="3" s="1"/>
  <c r="K2609" i="3" a="1"/>
  <c r="K2609" i="3" s="1"/>
  <c r="K2610" i="3" a="1"/>
  <c r="K2610" i="3" s="1"/>
  <c r="K2611" i="3" a="1"/>
  <c r="K2611" i="3" s="1"/>
  <c r="K2612" i="3" a="1"/>
  <c r="K2612" i="3" s="1"/>
  <c r="K2613" i="3" a="1"/>
  <c r="K2613" i="3" s="1"/>
  <c r="K2614" i="3" a="1"/>
  <c r="K2614" i="3" s="1"/>
  <c r="K2615" i="3" a="1"/>
  <c r="K2615" i="3" s="1"/>
  <c r="K2616" i="3" a="1"/>
  <c r="K2616" i="3" s="1"/>
  <c r="K2617" i="3" a="1"/>
  <c r="K2617" i="3" s="1"/>
  <c r="K2618" i="3" a="1"/>
  <c r="K2618" i="3" s="1"/>
  <c r="K2619" i="3" a="1"/>
  <c r="K2619" i="3" s="1"/>
  <c r="K2620" i="3" a="1"/>
  <c r="K2620" i="3" s="1"/>
  <c r="K2621" i="3" a="1"/>
  <c r="K2621" i="3" s="1"/>
  <c r="K2622" i="3" a="1"/>
  <c r="K2622" i="3" s="1"/>
  <c r="K2623" i="3" a="1"/>
  <c r="K2623" i="3" s="1"/>
  <c r="K2624" i="3" a="1"/>
  <c r="K2624" i="3" s="1"/>
  <c r="K2625" i="3" a="1"/>
  <c r="K2625" i="3" s="1"/>
  <c r="K2626" i="3" a="1"/>
  <c r="K2626" i="3" s="1"/>
  <c r="K2627" i="3" a="1"/>
  <c r="K2627" i="3" s="1"/>
  <c r="K2628" i="3" a="1"/>
  <c r="K2628" i="3" s="1"/>
  <c r="K2629" i="3" a="1"/>
  <c r="K2629" i="3" s="1"/>
  <c r="K2630" i="3" a="1"/>
  <c r="K2630" i="3" s="1"/>
  <c r="K2631" i="3" a="1"/>
  <c r="K2631" i="3" s="1"/>
  <c r="K2632" i="3" a="1"/>
  <c r="K2632" i="3" s="1"/>
  <c r="K2633" i="3" a="1"/>
  <c r="K2633" i="3" s="1"/>
  <c r="K2634" i="3" a="1"/>
  <c r="K2634" i="3" s="1"/>
  <c r="K2635" i="3" a="1"/>
  <c r="K2635" i="3" s="1"/>
  <c r="K2636" i="3" a="1"/>
  <c r="K2636" i="3" s="1"/>
  <c r="K2637" i="3" a="1"/>
  <c r="K2637" i="3" s="1"/>
  <c r="K2638" i="3" a="1"/>
  <c r="K2638" i="3" s="1"/>
  <c r="K2639" i="3" a="1"/>
  <c r="K2639" i="3" s="1"/>
  <c r="K2640" i="3" a="1"/>
  <c r="K2640" i="3" s="1"/>
  <c r="K2641" i="3" a="1"/>
  <c r="K2641" i="3" s="1"/>
  <c r="K2642" i="3" a="1"/>
  <c r="K2642" i="3" s="1"/>
  <c r="K2643" i="3" a="1"/>
  <c r="K2643" i="3" s="1"/>
  <c r="K2644" i="3" a="1"/>
  <c r="K2644" i="3" s="1"/>
  <c r="K2645" i="3" a="1"/>
  <c r="K2645" i="3" s="1"/>
  <c r="K2646" i="3" a="1"/>
  <c r="K2646" i="3" s="1"/>
  <c r="K2647" i="3" a="1"/>
  <c r="K2647" i="3" s="1"/>
  <c r="K2648" i="3" a="1"/>
  <c r="K2648" i="3" s="1"/>
  <c r="K2649" i="3" a="1"/>
  <c r="K2649" i="3" s="1"/>
  <c r="K2650" i="3" a="1"/>
  <c r="K2650" i="3" s="1"/>
  <c r="K2651" i="3" a="1"/>
  <c r="K2651" i="3" s="1"/>
  <c r="K2652" i="3" a="1"/>
  <c r="K2652" i="3" s="1"/>
  <c r="K2653" i="3" a="1"/>
  <c r="K2653" i="3" s="1"/>
  <c r="K2654" i="3" a="1"/>
  <c r="K2654" i="3" s="1"/>
  <c r="K2655" i="3" a="1"/>
  <c r="K2655" i="3" s="1"/>
  <c r="K2656" i="3" a="1"/>
  <c r="K2656" i="3" s="1"/>
  <c r="K2657" i="3" a="1"/>
  <c r="K2657" i="3" s="1"/>
  <c r="K2658" i="3" a="1"/>
  <c r="K2658" i="3" s="1"/>
  <c r="K2659" i="3" a="1"/>
  <c r="K2659" i="3" s="1"/>
  <c r="K2660" i="3" a="1"/>
  <c r="K2660" i="3" s="1"/>
  <c r="K2661" i="3" a="1"/>
  <c r="K2661" i="3" s="1"/>
  <c r="K2662" i="3" a="1"/>
  <c r="K2662" i="3" s="1"/>
  <c r="K2663" i="3" a="1"/>
  <c r="K2663" i="3" s="1"/>
  <c r="K2664" i="3" a="1"/>
  <c r="K2664" i="3" s="1"/>
  <c r="K2665" i="3" a="1"/>
  <c r="K2665" i="3" s="1"/>
  <c r="K2666" i="3" a="1"/>
  <c r="K2666" i="3" s="1"/>
  <c r="K2667" i="3" a="1"/>
  <c r="K2667" i="3" s="1"/>
  <c r="K2668" i="3" a="1"/>
  <c r="K2668" i="3" s="1"/>
  <c r="K2669" i="3" a="1"/>
  <c r="K2669" i="3" s="1"/>
  <c r="K2670" i="3" a="1"/>
  <c r="K2670" i="3" s="1"/>
  <c r="K2671" i="3" a="1"/>
  <c r="K2671" i="3" s="1"/>
  <c r="K2672" i="3" a="1"/>
  <c r="K2672" i="3" s="1"/>
  <c r="K2673" i="3" a="1"/>
  <c r="K2673" i="3" s="1"/>
  <c r="K2674" i="3" a="1"/>
  <c r="K2674" i="3" s="1"/>
  <c r="K2675" i="3" a="1"/>
  <c r="K2675" i="3" s="1"/>
  <c r="K2676" i="3" a="1"/>
  <c r="K2676" i="3" s="1"/>
  <c r="K2677" i="3" a="1"/>
  <c r="K2677" i="3" s="1"/>
  <c r="K2678" i="3" a="1"/>
  <c r="K2678" i="3" s="1"/>
  <c r="K2679" i="3" a="1"/>
  <c r="K2679" i="3" s="1"/>
  <c r="K2680" i="3" a="1"/>
  <c r="K2680" i="3" s="1"/>
  <c r="K2681" i="3" a="1"/>
  <c r="K2681" i="3" s="1"/>
  <c r="K2682" i="3" a="1"/>
  <c r="K2682" i="3" s="1"/>
  <c r="K2683" i="3" a="1"/>
  <c r="K2683" i="3" s="1"/>
  <c r="K2684" i="3" a="1"/>
  <c r="K2684" i="3" s="1"/>
  <c r="K2685" i="3" a="1"/>
  <c r="K2685" i="3" s="1"/>
  <c r="K2686" i="3" a="1"/>
  <c r="K2686" i="3" s="1"/>
  <c r="K2687" i="3" a="1"/>
  <c r="K2687" i="3" s="1"/>
  <c r="K2688" i="3" a="1"/>
  <c r="K2688" i="3" s="1"/>
  <c r="K2689" i="3" a="1"/>
  <c r="K2689" i="3" s="1"/>
  <c r="K2690" i="3" a="1"/>
  <c r="K2690" i="3" s="1"/>
  <c r="K2691" i="3" a="1"/>
  <c r="K2691" i="3" s="1"/>
  <c r="K2692" i="3" a="1"/>
  <c r="K2692" i="3" s="1"/>
  <c r="K2693" i="3" a="1"/>
  <c r="K2693" i="3" s="1"/>
  <c r="K2694" i="3" a="1"/>
  <c r="K2694" i="3" s="1"/>
  <c r="K2695" i="3" a="1"/>
  <c r="K2695" i="3" s="1"/>
  <c r="K2696" i="3" a="1"/>
  <c r="K2696" i="3" s="1"/>
  <c r="K2697" i="3" a="1"/>
  <c r="K2697" i="3" s="1"/>
  <c r="K2698" i="3" a="1"/>
  <c r="K2698" i="3" s="1"/>
  <c r="K2699" i="3" a="1"/>
  <c r="K2699" i="3" s="1"/>
  <c r="K2700" i="3" a="1"/>
  <c r="K2700" i="3" s="1"/>
  <c r="K2701" i="3" a="1"/>
  <c r="K2701" i="3" s="1"/>
  <c r="K2702" i="3" a="1"/>
  <c r="K2702" i="3" s="1"/>
  <c r="K2703" i="3" a="1"/>
  <c r="K2703" i="3" s="1"/>
  <c r="K2704" i="3" a="1"/>
  <c r="K2704" i="3" s="1"/>
  <c r="K2705" i="3" a="1"/>
  <c r="K2705" i="3" s="1"/>
  <c r="K2706" i="3" a="1"/>
  <c r="K2706" i="3" s="1"/>
  <c r="K2707" i="3" a="1"/>
  <c r="K2707" i="3" s="1"/>
  <c r="K2708" i="3" a="1"/>
  <c r="K2708" i="3" s="1"/>
  <c r="K2709" i="3" a="1"/>
  <c r="K2709" i="3" s="1"/>
  <c r="K2710" i="3" a="1"/>
  <c r="K2710" i="3" s="1"/>
  <c r="K2711" i="3" a="1"/>
  <c r="K2711" i="3" s="1"/>
  <c r="K2712" i="3" a="1"/>
  <c r="K2712" i="3" s="1"/>
  <c r="K2713" i="3" a="1"/>
  <c r="K2713" i="3" s="1"/>
  <c r="K2714" i="3" a="1"/>
  <c r="K2714" i="3" s="1"/>
  <c r="K2715" i="3" a="1"/>
  <c r="K2715" i="3" s="1"/>
  <c r="K2716" i="3" a="1"/>
  <c r="K2716" i="3" s="1"/>
  <c r="K2717" i="3" a="1"/>
  <c r="K2717" i="3" s="1"/>
  <c r="K2718" i="3" a="1"/>
  <c r="K2718" i="3" s="1"/>
  <c r="K2719" i="3" a="1"/>
  <c r="K2719" i="3" s="1"/>
  <c r="K2720" i="3" a="1"/>
  <c r="K2720" i="3" s="1"/>
  <c r="K2721" i="3" a="1"/>
  <c r="K2721" i="3" s="1"/>
  <c r="K2722" i="3" a="1"/>
  <c r="K2722" i="3" s="1"/>
  <c r="K2723" i="3" a="1"/>
  <c r="K2723" i="3" s="1"/>
  <c r="K2724" i="3" a="1"/>
  <c r="K2724" i="3" s="1"/>
  <c r="K2725" i="3" a="1"/>
  <c r="K2725" i="3" s="1"/>
  <c r="K2726" i="3" a="1"/>
  <c r="K2726" i="3" s="1"/>
  <c r="K2727" i="3" a="1"/>
  <c r="K2727" i="3" s="1"/>
  <c r="K2728" i="3" a="1"/>
  <c r="K2728" i="3" s="1"/>
  <c r="K2729" i="3" a="1"/>
  <c r="K2729" i="3" s="1"/>
  <c r="K2730" i="3" a="1"/>
  <c r="K2730" i="3" s="1"/>
  <c r="K2731" i="3" a="1"/>
  <c r="K2731" i="3" s="1"/>
  <c r="K2732" i="3" a="1"/>
  <c r="K2732" i="3" s="1"/>
  <c r="K2733" i="3" a="1"/>
  <c r="K2733" i="3" s="1"/>
  <c r="K2734" i="3" a="1"/>
  <c r="K2734" i="3" s="1"/>
  <c r="K2735" i="3" a="1"/>
  <c r="K2735" i="3" s="1"/>
  <c r="K2736" i="3" a="1"/>
  <c r="K2736" i="3" s="1"/>
  <c r="K2737" i="3" a="1"/>
  <c r="K2737" i="3" s="1"/>
  <c r="K2738" i="3" a="1"/>
  <c r="K2738" i="3" s="1"/>
  <c r="K2739" i="3" a="1"/>
  <c r="K2739" i="3" s="1"/>
  <c r="K2740" i="3" a="1"/>
  <c r="K2740" i="3" s="1"/>
  <c r="K2741" i="3" a="1"/>
  <c r="K2741" i="3" s="1"/>
  <c r="K2742" i="3" a="1"/>
  <c r="K2742" i="3" s="1"/>
  <c r="K2743" i="3" a="1"/>
  <c r="K2743" i="3" s="1"/>
  <c r="K2744" i="3" a="1"/>
  <c r="K2744" i="3" s="1"/>
  <c r="K2745" i="3" a="1"/>
  <c r="K2745" i="3" s="1"/>
  <c r="K2746" i="3" a="1"/>
  <c r="K2746" i="3" s="1"/>
  <c r="K2747" i="3" a="1"/>
  <c r="K2747" i="3" s="1"/>
  <c r="K2748" i="3" a="1"/>
  <c r="K2748" i="3" s="1"/>
  <c r="K2749" i="3" a="1"/>
  <c r="K2749" i="3" s="1"/>
  <c r="K2750" i="3" a="1"/>
  <c r="K2750" i="3" s="1"/>
  <c r="K2751" i="3" a="1"/>
  <c r="K2751" i="3" s="1"/>
  <c r="K2752" i="3" a="1"/>
  <c r="K2752" i="3" s="1"/>
  <c r="K2753" i="3" a="1"/>
  <c r="K2753" i="3" s="1"/>
  <c r="K2754" i="3" a="1"/>
  <c r="K2754" i="3" s="1"/>
  <c r="K2755" i="3" a="1"/>
  <c r="K2755" i="3" s="1"/>
  <c r="K2756" i="3" a="1"/>
  <c r="K2756" i="3" s="1"/>
  <c r="K2757" i="3" a="1"/>
  <c r="K2757" i="3" s="1"/>
  <c r="K2758" i="3" a="1"/>
  <c r="K2758" i="3" s="1"/>
  <c r="K2759" i="3" a="1"/>
  <c r="K2759" i="3" s="1"/>
  <c r="K2760" i="3" a="1"/>
  <c r="K2760" i="3" s="1"/>
  <c r="K2761" i="3" a="1"/>
  <c r="K2761" i="3" s="1"/>
  <c r="K2762" i="3" a="1"/>
  <c r="K2762" i="3" s="1"/>
  <c r="K2763" i="3" a="1"/>
  <c r="K2763" i="3" s="1"/>
  <c r="K2764" i="3" a="1"/>
  <c r="K2764" i="3" s="1"/>
  <c r="K2765" i="3" a="1"/>
  <c r="K2765" i="3" s="1"/>
  <c r="K2766" i="3" a="1"/>
  <c r="K2766" i="3" s="1"/>
  <c r="K2767" i="3" a="1"/>
  <c r="K2767" i="3" s="1"/>
  <c r="K2768" i="3" a="1"/>
  <c r="K2768" i="3" s="1"/>
  <c r="K2769" i="3" a="1"/>
  <c r="K2769" i="3" s="1"/>
  <c r="K2770" i="3" a="1"/>
  <c r="K2770" i="3" s="1"/>
  <c r="K2771" i="3" a="1"/>
  <c r="K2771" i="3" s="1"/>
  <c r="K2772" i="3" a="1"/>
  <c r="K2772" i="3" s="1"/>
  <c r="K2773" i="3" a="1"/>
  <c r="K2773" i="3" s="1"/>
  <c r="K2774" i="3" a="1"/>
  <c r="K2774" i="3" s="1"/>
  <c r="K2775" i="3" a="1"/>
  <c r="K2775" i="3" s="1"/>
  <c r="K2776" i="3" a="1"/>
  <c r="K2776" i="3" s="1"/>
  <c r="K2777" i="3" a="1"/>
  <c r="K2777" i="3" s="1"/>
  <c r="K2778" i="3" a="1"/>
  <c r="K2778" i="3" s="1"/>
  <c r="K2779" i="3" a="1"/>
  <c r="K2779" i="3" s="1"/>
  <c r="K2780" i="3" a="1"/>
  <c r="K2780" i="3" s="1"/>
  <c r="K2781" i="3" a="1"/>
  <c r="K2781" i="3" s="1"/>
  <c r="K2782" i="3" a="1"/>
  <c r="K2782" i="3" s="1"/>
  <c r="K2783" i="3" a="1"/>
  <c r="K2783" i="3" s="1"/>
  <c r="K2784" i="3" a="1"/>
  <c r="K2784" i="3" s="1"/>
  <c r="K2785" i="3" a="1"/>
  <c r="K2785" i="3" s="1"/>
  <c r="K2786" i="3" a="1"/>
  <c r="K2786" i="3" s="1"/>
  <c r="K2787" i="3" a="1"/>
  <c r="K2787" i="3" s="1"/>
  <c r="K2788" i="3" a="1"/>
  <c r="K2788" i="3" s="1"/>
  <c r="K2789" i="3" a="1"/>
  <c r="K2789" i="3" s="1"/>
  <c r="K2790" i="3" a="1"/>
  <c r="K2790" i="3" s="1"/>
  <c r="K2791" i="3" a="1"/>
  <c r="K2791" i="3" s="1"/>
  <c r="K2792" i="3" a="1"/>
  <c r="K2792" i="3" s="1"/>
  <c r="K2793" i="3" a="1"/>
  <c r="K2793" i="3" s="1"/>
  <c r="K2794" i="3" a="1"/>
  <c r="K2794" i="3" s="1"/>
  <c r="K2795" i="3" a="1"/>
  <c r="K2795" i="3" s="1"/>
  <c r="K2796" i="3" a="1"/>
  <c r="K2796" i="3" s="1"/>
  <c r="K2797" i="3" a="1"/>
  <c r="K2797" i="3" s="1"/>
  <c r="K2798" i="3" a="1"/>
  <c r="K2798" i="3" s="1"/>
  <c r="K2799" i="3" a="1"/>
  <c r="K2799" i="3" s="1"/>
  <c r="K2800" i="3" a="1"/>
  <c r="K2800" i="3" s="1"/>
  <c r="K2801" i="3" a="1"/>
  <c r="K2801" i="3" s="1"/>
  <c r="K2802" i="3" a="1"/>
  <c r="K2802" i="3" s="1"/>
  <c r="K2803" i="3" a="1"/>
  <c r="K2803" i="3" s="1"/>
  <c r="K2804" i="3" a="1"/>
  <c r="K2804" i="3" s="1"/>
  <c r="K2805" i="3" a="1"/>
  <c r="K2805" i="3" s="1"/>
  <c r="K2806" i="3" a="1"/>
  <c r="K2806" i="3" s="1"/>
  <c r="K2807" i="3" a="1"/>
  <c r="K2807" i="3" s="1"/>
  <c r="K2808" i="3" a="1"/>
  <c r="K2808" i="3" s="1"/>
  <c r="K2809" i="3" a="1"/>
  <c r="K2809" i="3" s="1"/>
  <c r="K2810" i="3" a="1"/>
  <c r="K2810" i="3" s="1"/>
  <c r="K2811" i="3" a="1"/>
  <c r="K2811" i="3" s="1"/>
  <c r="K2812" i="3" a="1"/>
  <c r="K2812" i="3" s="1"/>
  <c r="K2813" i="3" a="1"/>
  <c r="K2813" i="3" s="1"/>
  <c r="K2814" i="3" a="1"/>
  <c r="K2814" i="3" s="1"/>
  <c r="K2815" i="3" a="1"/>
  <c r="K2815" i="3" s="1"/>
  <c r="K2816" i="3" a="1"/>
  <c r="K2816" i="3" s="1"/>
  <c r="K2817" i="3" a="1"/>
  <c r="K2817" i="3" s="1"/>
  <c r="K2818" i="3" a="1"/>
  <c r="K2818" i="3" s="1"/>
  <c r="K2819" i="3" a="1"/>
  <c r="K2819" i="3" s="1"/>
  <c r="K2820" i="3" a="1"/>
  <c r="K2820" i="3" s="1"/>
  <c r="K2821" i="3" a="1"/>
  <c r="K2821" i="3" s="1"/>
  <c r="K2822" i="3" a="1"/>
  <c r="K2822" i="3" s="1"/>
  <c r="K2823" i="3" a="1"/>
  <c r="K2823" i="3" s="1"/>
  <c r="K2824" i="3" a="1"/>
  <c r="K2824" i="3" s="1"/>
  <c r="K2825" i="3" a="1"/>
  <c r="K2825" i="3" s="1"/>
  <c r="K2826" i="3" a="1"/>
  <c r="K2826" i="3" s="1"/>
  <c r="K2827" i="3" a="1"/>
  <c r="K2827" i="3" s="1"/>
  <c r="K2828" i="3" a="1"/>
  <c r="K2828" i="3" s="1"/>
  <c r="K2829" i="3" a="1"/>
  <c r="K2829" i="3" s="1"/>
  <c r="K2830" i="3" a="1"/>
  <c r="K2830" i="3" s="1"/>
  <c r="K2831" i="3" a="1"/>
  <c r="K2831" i="3" s="1"/>
  <c r="K2832" i="3" a="1"/>
  <c r="K2832" i="3" s="1"/>
  <c r="K2833" i="3" a="1"/>
  <c r="K2833" i="3" s="1"/>
  <c r="K2834" i="3" a="1"/>
  <c r="K2834" i="3" s="1"/>
  <c r="K2835" i="3" a="1"/>
  <c r="K2835" i="3" s="1"/>
  <c r="K2836" i="3" a="1"/>
  <c r="K2836" i="3" s="1"/>
  <c r="K2837" i="3" a="1"/>
  <c r="K2837" i="3" s="1"/>
  <c r="K2838" i="3" a="1"/>
  <c r="K2838" i="3" s="1"/>
  <c r="K2839" i="3" a="1"/>
  <c r="K2839" i="3" s="1"/>
  <c r="K2840" i="3" a="1"/>
  <c r="K2840" i="3" s="1"/>
  <c r="K2841" i="3" a="1"/>
  <c r="K2841" i="3" s="1"/>
  <c r="K2842" i="3" a="1"/>
  <c r="K2842" i="3" s="1"/>
  <c r="K2843" i="3" a="1"/>
  <c r="K2843" i="3" s="1"/>
  <c r="K2844" i="3" a="1"/>
  <c r="K2844" i="3" s="1"/>
  <c r="K2845" i="3" a="1"/>
  <c r="K2845" i="3" s="1"/>
  <c r="K2846" i="3" a="1"/>
  <c r="K2846" i="3" s="1"/>
  <c r="K2847" i="3" a="1"/>
  <c r="K2847" i="3" s="1"/>
  <c r="K2848" i="3" a="1"/>
  <c r="K2848" i="3" s="1"/>
  <c r="K2849" i="3" a="1"/>
  <c r="K2849" i="3" s="1"/>
  <c r="K2850" i="3" a="1"/>
  <c r="K2850" i="3" s="1"/>
  <c r="K2851" i="3" a="1"/>
  <c r="K2851" i="3" s="1"/>
  <c r="K2852" i="3" a="1"/>
  <c r="K2852" i="3" s="1"/>
  <c r="K2853" i="3" a="1"/>
  <c r="K2853" i="3" s="1"/>
  <c r="K2854" i="3" a="1"/>
  <c r="K2854" i="3" s="1"/>
  <c r="K2855" i="3" a="1"/>
  <c r="K2855" i="3" s="1"/>
  <c r="K2856" i="3" a="1"/>
  <c r="K2856" i="3" s="1"/>
  <c r="K2857" i="3" a="1"/>
  <c r="K2857" i="3" s="1"/>
  <c r="K2858" i="3" a="1"/>
  <c r="K2858" i="3" s="1"/>
  <c r="K2859" i="3" a="1"/>
  <c r="K2859" i="3" s="1"/>
  <c r="K2860" i="3" a="1"/>
  <c r="K2860" i="3" s="1"/>
  <c r="K2861" i="3" a="1"/>
  <c r="K2861" i="3" s="1"/>
  <c r="K2862" i="3" a="1"/>
  <c r="K2862" i="3" s="1"/>
  <c r="K2863" i="3" a="1"/>
  <c r="K2863" i="3" s="1"/>
  <c r="K2864" i="3" a="1"/>
  <c r="K2864" i="3" s="1"/>
  <c r="K2865" i="3" a="1"/>
  <c r="K2865" i="3" s="1"/>
  <c r="K2866" i="3" a="1"/>
  <c r="K2866" i="3" s="1"/>
  <c r="K2867" i="3" a="1"/>
  <c r="K2867" i="3" s="1"/>
  <c r="K2868" i="3" a="1"/>
  <c r="K2868" i="3" s="1"/>
  <c r="K2869" i="3" a="1"/>
  <c r="K2869" i="3" s="1"/>
  <c r="K2870" i="3" a="1"/>
  <c r="K2870" i="3" s="1"/>
  <c r="K2871" i="3" a="1"/>
  <c r="K2871" i="3" s="1"/>
  <c r="K2872" i="3" a="1"/>
  <c r="K2872" i="3" s="1"/>
  <c r="K2873" i="3" a="1"/>
  <c r="K2873" i="3" s="1"/>
  <c r="K2874" i="3" a="1"/>
  <c r="K2874" i="3" s="1"/>
  <c r="K2875" i="3" a="1"/>
  <c r="K2875" i="3" s="1"/>
  <c r="K2876" i="3" a="1"/>
  <c r="K2876" i="3" s="1"/>
  <c r="K2877" i="3" a="1"/>
  <c r="K2877" i="3" s="1"/>
  <c r="K2878" i="3" a="1"/>
  <c r="K2878" i="3" s="1"/>
  <c r="K2879" i="3" a="1"/>
  <c r="K2879" i="3" s="1"/>
  <c r="K2880" i="3" a="1"/>
  <c r="K2880" i="3" s="1"/>
  <c r="K2881" i="3" a="1"/>
  <c r="K2881" i="3" s="1"/>
  <c r="K2882" i="3" a="1"/>
  <c r="K2882" i="3" s="1"/>
  <c r="K2883" i="3" a="1"/>
  <c r="K2883" i="3" s="1"/>
  <c r="K2884" i="3" a="1"/>
  <c r="K2884" i="3" s="1"/>
  <c r="K2885" i="3" a="1"/>
  <c r="K2885" i="3" s="1"/>
  <c r="K2886" i="3" a="1"/>
  <c r="K2886" i="3" s="1"/>
  <c r="K2887" i="3" a="1"/>
  <c r="K2887" i="3" s="1"/>
  <c r="K2888" i="3" a="1"/>
  <c r="K2888" i="3" s="1"/>
  <c r="K2889" i="3" a="1"/>
  <c r="K2889" i="3" s="1"/>
  <c r="K2890" i="3" a="1"/>
  <c r="K2890" i="3" s="1"/>
  <c r="K2891" i="3" a="1"/>
  <c r="K2891" i="3" s="1"/>
  <c r="K2892" i="3" a="1"/>
  <c r="K2892" i="3" s="1"/>
  <c r="K2893" i="3" a="1"/>
  <c r="K2893" i="3" s="1"/>
  <c r="K2894" i="3" a="1"/>
  <c r="K2894" i="3" s="1"/>
  <c r="K2895" i="3" a="1"/>
  <c r="K2895" i="3" s="1"/>
  <c r="K2896" i="3" a="1"/>
  <c r="K2896" i="3" s="1"/>
  <c r="K2897" i="3" a="1"/>
  <c r="K2897" i="3" s="1"/>
  <c r="K2898" i="3" a="1"/>
  <c r="K2898" i="3" s="1"/>
  <c r="K2899" i="3" a="1"/>
  <c r="K2899" i="3" s="1"/>
  <c r="K2900" i="3" a="1"/>
  <c r="K2900" i="3" s="1"/>
  <c r="K2901" i="3" a="1"/>
  <c r="K2901" i="3" s="1"/>
  <c r="K2902" i="3" a="1"/>
  <c r="K2902" i="3" s="1"/>
  <c r="K2903" i="3" a="1"/>
  <c r="K2903" i="3" s="1"/>
  <c r="K2904" i="3" a="1"/>
  <c r="K2904" i="3" s="1"/>
  <c r="K2905" i="3" a="1"/>
  <c r="K2905" i="3" s="1"/>
  <c r="K2906" i="3" a="1"/>
  <c r="K2906" i="3" s="1"/>
  <c r="K2907" i="3" a="1"/>
  <c r="K2907" i="3" s="1"/>
  <c r="K2908" i="3" a="1"/>
  <c r="K2908" i="3" s="1"/>
  <c r="K2909" i="3" a="1"/>
  <c r="K2909" i="3" s="1"/>
  <c r="K2910" i="3" a="1"/>
  <c r="K2910" i="3" s="1"/>
  <c r="K2911" i="3" a="1"/>
  <c r="K2911" i="3" s="1"/>
  <c r="K2912" i="3" a="1"/>
  <c r="K2912" i="3" s="1"/>
  <c r="K2913" i="3" a="1"/>
  <c r="K2913" i="3" s="1"/>
  <c r="K2914" i="3" a="1"/>
  <c r="K2914" i="3" s="1"/>
  <c r="K2915" i="3" a="1"/>
  <c r="K2915" i="3" s="1"/>
  <c r="K2916" i="3" a="1"/>
  <c r="K2916" i="3" s="1"/>
  <c r="K2917" i="3" a="1"/>
  <c r="K2917" i="3" s="1"/>
  <c r="K2918" i="3" a="1"/>
  <c r="K2918" i="3" s="1"/>
  <c r="K2919" i="3" a="1"/>
  <c r="K2919" i="3" s="1"/>
  <c r="K2920" i="3" a="1"/>
  <c r="K2920" i="3" s="1"/>
  <c r="K2921" i="3" a="1"/>
  <c r="K2921" i="3" s="1"/>
  <c r="K2922" i="3" a="1"/>
  <c r="K2922" i="3" s="1"/>
  <c r="K2923" i="3" a="1"/>
  <c r="K2923" i="3" s="1"/>
  <c r="K2924" i="3" a="1"/>
  <c r="K2924" i="3" s="1"/>
  <c r="K2925" i="3" a="1"/>
  <c r="K2925" i="3" s="1"/>
  <c r="K2926" i="3" a="1"/>
  <c r="K2926" i="3" s="1"/>
  <c r="K2927" i="3" a="1"/>
  <c r="K2927" i="3" s="1"/>
  <c r="K2928" i="3" a="1"/>
  <c r="K2928" i="3" s="1"/>
  <c r="K2929" i="3" a="1"/>
  <c r="K2929" i="3" s="1"/>
  <c r="K2930" i="3" a="1"/>
  <c r="K2930" i="3" s="1"/>
  <c r="K2931" i="3" a="1"/>
  <c r="K2931" i="3" s="1"/>
  <c r="K2932" i="3" a="1"/>
  <c r="K2932" i="3" s="1"/>
  <c r="K2933" i="3" a="1"/>
  <c r="K2933" i="3" s="1"/>
  <c r="K2934" i="3" a="1"/>
  <c r="K2934" i="3" s="1"/>
  <c r="K2935" i="3" a="1"/>
  <c r="K2935" i="3" s="1"/>
  <c r="K2936" i="3" a="1"/>
  <c r="K2936" i="3" s="1"/>
  <c r="K2937" i="3" a="1"/>
  <c r="K2937" i="3" s="1"/>
  <c r="K2938" i="3" a="1"/>
  <c r="K2938" i="3" s="1"/>
  <c r="K2939" i="3" a="1"/>
  <c r="K2939" i="3" s="1"/>
  <c r="K2940" i="3" a="1"/>
  <c r="K2940" i="3" s="1"/>
  <c r="K2941" i="3" a="1"/>
  <c r="K2941" i="3" s="1"/>
  <c r="K2942" i="3" a="1"/>
  <c r="K2942" i="3" s="1"/>
  <c r="K2943" i="3" a="1"/>
  <c r="K2943" i="3" s="1"/>
  <c r="K2944" i="3" a="1"/>
  <c r="K2944" i="3" s="1"/>
  <c r="K2945" i="3" a="1"/>
  <c r="K2945" i="3" s="1"/>
  <c r="K2946" i="3" a="1"/>
  <c r="K2946" i="3" s="1"/>
  <c r="K2947" i="3" a="1"/>
  <c r="K2947" i="3" s="1"/>
  <c r="K2948" i="3" a="1"/>
  <c r="K2948" i="3" s="1"/>
  <c r="K2949" i="3" a="1"/>
  <c r="K2949" i="3" s="1"/>
  <c r="K2950" i="3" a="1"/>
  <c r="K2950" i="3" s="1"/>
  <c r="K2951" i="3" a="1"/>
  <c r="K2951" i="3" s="1"/>
  <c r="K2952" i="3" a="1"/>
  <c r="K2952" i="3" s="1"/>
  <c r="K2953" i="3" a="1"/>
  <c r="K2953" i="3" s="1"/>
  <c r="K2954" i="3" a="1"/>
  <c r="K2954" i="3" s="1"/>
  <c r="K2955" i="3" a="1"/>
  <c r="K2955" i="3" s="1"/>
  <c r="K2956" i="3" a="1"/>
  <c r="K2956" i="3" s="1"/>
  <c r="K2957" i="3" a="1"/>
  <c r="K2957" i="3" s="1"/>
  <c r="K2958" i="3" a="1"/>
  <c r="K2958" i="3" s="1"/>
  <c r="K2959" i="3" a="1"/>
  <c r="K2959" i="3" s="1"/>
  <c r="K2960" i="3" a="1"/>
  <c r="K2960" i="3" s="1"/>
  <c r="K2961" i="3" a="1"/>
  <c r="K2961" i="3" s="1"/>
  <c r="K2962" i="3" a="1"/>
  <c r="K2962" i="3" s="1"/>
  <c r="K2963" i="3" a="1"/>
  <c r="K2963" i="3" s="1"/>
  <c r="K2964" i="3" a="1"/>
  <c r="K2964" i="3" s="1"/>
  <c r="K2965" i="3" a="1"/>
  <c r="K2965" i="3" s="1"/>
  <c r="K2966" i="3" a="1"/>
  <c r="K2966" i="3" s="1"/>
  <c r="K2967" i="3" a="1"/>
  <c r="K2967" i="3" s="1"/>
  <c r="K2968" i="3" a="1"/>
  <c r="K2968" i="3" s="1"/>
  <c r="K2969" i="3" a="1"/>
  <c r="K2969" i="3" s="1"/>
  <c r="K2970" i="3" a="1"/>
  <c r="K2970" i="3" s="1"/>
  <c r="K2971" i="3" a="1"/>
  <c r="K2971" i="3" s="1"/>
  <c r="K2972" i="3" a="1"/>
  <c r="K2972" i="3" s="1"/>
  <c r="K2973" i="3" a="1"/>
  <c r="K2973" i="3" s="1"/>
  <c r="K2974" i="3" a="1"/>
  <c r="K2974" i="3" s="1"/>
  <c r="K2975" i="3" a="1"/>
  <c r="K2975" i="3" s="1"/>
  <c r="K2976" i="3" a="1"/>
  <c r="K2976" i="3" s="1"/>
  <c r="K2977" i="3" a="1"/>
  <c r="K2977" i="3" s="1"/>
  <c r="K2978" i="3" a="1"/>
  <c r="K2978" i="3" s="1"/>
  <c r="K2979" i="3" a="1"/>
  <c r="K2979" i="3" s="1"/>
  <c r="K2980" i="3" a="1"/>
  <c r="K2980" i="3" s="1"/>
  <c r="K2981" i="3" a="1"/>
  <c r="K2981" i="3" s="1"/>
  <c r="K2982" i="3" a="1"/>
  <c r="K2982" i="3" s="1"/>
  <c r="K2983" i="3" a="1"/>
  <c r="K2983" i="3" s="1"/>
  <c r="K2984" i="3" a="1"/>
  <c r="K2984" i="3" s="1"/>
  <c r="K2985" i="3" a="1"/>
  <c r="K2985" i="3" s="1"/>
  <c r="K2986" i="3" a="1"/>
  <c r="K2986" i="3" s="1"/>
  <c r="K2987" i="3" a="1"/>
  <c r="K2987" i="3" s="1"/>
  <c r="K2988" i="3" a="1"/>
  <c r="K2988" i="3" s="1"/>
  <c r="K2989" i="3" a="1"/>
  <c r="K2989" i="3" s="1"/>
  <c r="K2990" i="3" a="1"/>
  <c r="K2990" i="3" s="1"/>
  <c r="K2991" i="3" a="1"/>
  <c r="K2991" i="3" s="1"/>
  <c r="K2992" i="3" a="1"/>
  <c r="K2992" i="3" s="1"/>
  <c r="K2993" i="3" a="1"/>
  <c r="K2993" i="3" s="1"/>
  <c r="K2994" i="3" a="1"/>
  <c r="K2994" i="3" s="1"/>
  <c r="K2995" i="3" a="1"/>
  <c r="K2995" i="3" s="1"/>
  <c r="K2996" i="3" a="1"/>
  <c r="K2996" i="3" s="1"/>
  <c r="K2997" i="3" a="1"/>
  <c r="K2997" i="3" s="1"/>
  <c r="K2998" i="3" a="1"/>
  <c r="K2998" i="3" s="1"/>
  <c r="K2999" i="3" a="1"/>
  <c r="K2999" i="3" s="1"/>
  <c r="K3000" i="3" a="1"/>
  <c r="K3000" i="3" s="1"/>
  <c r="K3001" i="3" a="1"/>
  <c r="K3001" i="3" s="1"/>
  <c r="K2" i="3" a="1"/>
  <c r="K2" i="3" s="1"/>
  <c r="J3" i="3" a="1"/>
  <c r="J3" i="3" s="1"/>
  <c r="M3" i="3" s="1"/>
  <c r="J4" i="3" a="1"/>
  <c r="J4" i="3"/>
  <c r="M4" i="3" s="1"/>
  <c r="J5" i="3" a="1"/>
  <c r="J5" i="3" s="1"/>
  <c r="M5" i="3" s="1"/>
  <c r="J6" i="3" a="1"/>
  <c r="J6" i="3" s="1"/>
  <c r="M6" i="3" s="1"/>
  <c r="J7" i="3" a="1"/>
  <c r="J7" i="3" s="1"/>
  <c r="M7" i="3" s="1"/>
  <c r="J8" i="3" a="1"/>
  <c r="J8" i="3" s="1"/>
  <c r="M8" i="3" s="1"/>
  <c r="J9" i="3" a="1"/>
  <c r="J9" i="3" s="1"/>
  <c r="M9" i="3" s="1"/>
  <c r="J10" i="3" a="1"/>
  <c r="J10" i="3"/>
  <c r="M10" i="3" s="1"/>
  <c r="J11" i="3" a="1"/>
  <c r="J11" i="3" s="1"/>
  <c r="M11" i="3" s="1"/>
  <c r="J12" i="3" a="1"/>
  <c r="J12" i="3" s="1"/>
  <c r="M12" i="3" s="1"/>
  <c r="J13" i="3" a="1"/>
  <c r="J13" i="3" s="1"/>
  <c r="M13" i="3" s="1"/>
  <c r="J14" i="3" a="1"/>
  <c r="J14" i="3" s="1"/>
  <c r="M14" i="3" s="1"/>
  <c r="J15" i="3" a="1"/>
  <c r="J15" i="3" s="1"/>
  <c r="M15" i="3" s="1"/>
  <c r="J16" i="3" a="1"/>
  <c r="J16" i="3" s="1"/>
  <c r="M16" i="3" s="1"/>
  <c r="J17" i="3" a="1"/>
  <c r="J17" i="3" s="1"/>
  <c r="M17" i="3" s="1"/>
  <c r="J18" i="3" a="1"/>
  <c r="J18" i="3"/>
  <c r="M18" i="3" s="1"/>
  <c r="J19" i="3" a="1"/>
  <c r="J19" i="3" s="1"/>
  <c r="M19" i="3" s="1"/>
  <c r="J20" i="3" a="1"/>
  <c r="J20" i="3" s="1"/>
  <c r="M20" i="3" s="1"/>
  <c r="J21" i="3" a="1"/>
  <c r="J21" i="3" s="1"/>
  <c r="M21" i="3" s="1"/>
  <c r="J22" i="3" a="1"/>
  <c r="J22" i="3" s="1"/>
  <c r="M22" i="3" s="1"/>
  <c r="J23" i="3" a="1"/>
  <c r="J23" i="3" s="1"/>
  <c r="M23" i="3" s="1"/>
  <c r="J24" i="3" a="1"/>
  <c r="J24" i="3" s="1"/>
  <c r="M24" i="3" s="1"/>
  <c r="J25" i="3" a="1"/>
  <c r="J25" i="3" s="1"/>
  <c r="M25" i="3" s="1"/>
  <c r="J26" i="3" a="1"/>
  <c r="J26" i="3"/>
  <c r="M26" i="3" s="1"/>
  <c r="J27" i="3" a="1"/>
  <c r="J27" i="3" s="1"/>
  <c r="M27" i="3" s="1"/>
  <c r="J28" i="3" a="1"/>
  <c r="J28" i="3" s="1"/>
  <c r="M28" i="3" s="1"/>
  <c r="J29" i="3" a="1"/>
  <c r="J29" i="3" s="1"/>
  <c r="M29" i="3" s="1"/>
  <c r="J30" i="3" a="1"/>
  <c r="J30" i="3" s="1"/>
  <c r="M30" i="3" s="1"/>
  <c r="J31" i="3" a="1"/>
  <c r="J31" i="3" s="1"/>
  <c r="M31" i="3" s="1"/>
  <c r="J32" i="3" a="1"/>
  <c r="J32" i="3" s="1"/>
  <c r="M32" i="3" s="1"/>
  <c r="J33" i="3" a="1"/>
  <c r="J33" i="3" s="1"/>
  <c r="M33" i="3" s="1"/>
  <c r="J34" i="3" a="1"/>
  <c r="J34" i="3"/>
  <c r="M34" i="3" s="1"/>
  <c r="J35" i="3" a="1"/>
  <c r="J35" i="3" s="1"/>
  <c r="M35" i="3" s="1"/>
  <c r="J36" i="3" a="1"/>
  <c r="J36" i="3" s="1"/>
  <c r="M36" i="3" s="1"/>
  <c r="J37" i="3" a="1"/>
  <c r="J37" i="3" s="1"/>
  <c r="M37" i="3" s="1"/>
  <c r="J38" i="3" a="1"/>
  <c r="J38" i="3" s="1"/>
  <c r="M38" i="3" s="1"/>
  <c r="J39" i="3" a="1"/>
  <c r="J39" i="3" s="1"/>
  <c r="M39" i="3" s="1"/>
  <c r="J40" i="3" a="1"/>
  <c r="J40" i="3" s="1"/>
  <c r="M40" i="3" s="1"/>
  <c r="J41" i="3" a="1"/>
  <c r="J41" i="3" s="1"/>
  <c r="M41" i="3" s="1"/>
  <c r="J42" i="3" a="1"/>
  <c r="J42" i="3"/>
  <c r="M42" i="3" s="1"/>
  <c r="J43" i="3" a="1"/>
  <c r="J43" i="3" s="1"/>
  <c r="M43" i="3" s="1"/>
  <c r="J44" i="3" a="1"/>
  <c r="J44" i="3"/>
  <c r="M44" i="3" s="1"/>
  <c r="J45" i="3" a="1"/>
  <c r="J45" i="3" s="1"/>
  <c r="M45" i="3" s="1"/>
  <c r="J46" i="3" a="1"/>
  <c r="J46" i="3" s="1"/>
  <c r="M46" i="3" s="1"/>
  <c r="J47" i="3" a="1"/>
  <c r="J47" i="3" s="1"/>
  <c r="M47" i="3" s="1"/>
  <c r="J48" i="3" a="1"/>
  <c r="J48" i="3" s="1"/>
  <c r="M48" i="3" s="1"/>
  <c r="J49" i="3" a="1"/>
  <c r="J49" i="3" s="1"/>
  <c r="M49" i="3" s="1"/>
  <c r="J50" i="3" a="1"/>
  <c r="J50" i="3"/>
  <c r="M50" i="3" s="1"/>
  <c r="J51" i="3" a="1"/>
  <c r="J51" i="3" s="1"/>
  <c r="M51" i="3" s="1"/>
  <c r="J52" i="3" a="1"/>
  <c r="J52" i="3"/>
  <c r="M52" i="3" s="1"/>
  <c r="J53" i="3" a="1"/>
  <c r="J53" i="3" s="1"/>
  <c r="M53" i="3" s="1"/>
  <c r="J54" i="3" a="1"/>
  <c r="J54" i="3" s="1"/>
  <c r="M54" i="3" s="1"/>
  <c r="J55" i="3" a="1"/>
  <c r="J55" i="3" s="1"/>
  <c r="M55" i="3" s="1"/>
  <c r="J56" i="3" a="1"/>
  <c r="J56" i="3" s="1"/>
  <c r="M56" i="3" s="1"/>
  <c r="J57" i="3" a="1"/>
  <c r="J57" i="3" s="1"/>
  <c r="M57" i="3" s="1"/>
  <c r="J58" i="3" a="1"/>
  <c r="J58" i="3"/>
  <c r="M58" i="3" s="1"/>
  <c r="J59" i="3" a="1"/>
  <c r="J59" i="3" s="1"/>
  <c r="M59" i="3" s="1"/>
  <c r="J60" i="3" a="1"/>
  <c r="J60" i="3"/>
  <c r="M60" i="3" s="1"/>
  <c r="J61" i="3" a="1"/>
  <c r="J61" i="3" s="1"/>
  <c r="M61" i="3" s="1"/>
  <c r="J62" i="3" a="1"/>
  <c r="J62" i="3" s="1"/>
  <c r="M62" i="3" s="1"/>
  <c r="J63" i="3" a="1"/>
  <c r="J63" i="3" s="1"/>
  <c r="M63" i="3" s="1"/>
  <c r="J64" i="3" a="1"/>
  <c r="J64" i="3" s="1"/>
  <c r="M64" i="3" s="1"/>
  <c r="J65" i="3" a="1"/>
  <c r="J65" i="3" s="1"/>
  <c r="M65" i="3" s="1"/>
  <c r="J66" i="3" a="1"/>
  <c r="J66" i="3"/>
  <c r="M66" i="3" s="1"/>
  <c r="J67" i="3" a="1"/>
  <c r="J67" i="3" s="1"/>
  <c r="M67" i="3" s="1"/>
  <c r="J68" i="3" a="1"/>
  <c r="J68" i="3"/>
  <c r="M68" i="3" s="1"/>
  <c r="J69" i="3" a="1"/>
  <c r="J69" i="3" s="1"/>
  <c r="M69" i="3" s="1"/>
  <c r="J70" i="3" a="1"/>
  <c r="J70" i="3" s="1"/>
  <c r="M70" i="3" s="1"/>
  <c r="J71" i="3" a="1"/>
  <c r="J71" i="3" s="1"/>
  <c r="M71" i="3" s="1"/>
  <c r="J72" i="3" a="1"/>
  <c r="J72" i="3" s="1"/>
  <c r="M72" i="3" s="1"/>
  <c r="J73" i="3" a="1"/>
  <c r="J73" i="3" s="1"/>
  <c r="M73" i="3" s="1"/>
  <c r="J74" i="3" a="1"/>
  <c r="J74" i="3"/>
  <c r="M74" i="3" s="1"/>
  <c r="J75" i="3" a="1"/>
  <c r="J75" i="3" s="1"/>
  <c r="M75" i="3" s="1"/>
  <c r="J76" i="3" a="1"/>
  <c r="J76" i="3"/>
  <c r="M76" i="3" s="1"/>
  <c r="J77" i="3" a="1"/>
  <c r="J77" i="3" s="1"/>
  <c r="M77" i="3" s="1"/>
  <c r="J78" i="3" a="1"/>
  <c r="J78" i="3" s="1"/>
  <c r="M78" i="3" s="1"/>
  <c r="J79" i="3" a="1"/>
  <c r="J79" i="3" s="1"/>
  <c r="M79" i="3" s="1"/>
  <c r="J80" i="3" a="1"/>
  <c r="J80" i="3" s="1"/>
  <c r="M80" i="3" s="1"/>
  <c r="J81" i="3" a="1"/>
  <c r="J81" i="3" s="1"/>
  <c r="M81" i="3" s="1"/>
  <c r="J82" i="3" a="1"/>
  <c r="J82" i="3"/>
  <c r="M82" i="3" s="1"/>
  <c r="J83" i="3" a="1"/>
  <c r="J83" i="3" s="1"/>
  <c r="M83" i="3" s="1"/>
  <c r="J84" i="3" a="1"/>
  <c r="J84" i="3"/>
  <c r="M84" i="3" s="1"/>
  <c r="J85" i="3" a="1"/>
  <c r="J85" i="3" s="1"/>
  <c r="M85" i="3" s="1"/>
  <c r="J86" i="3" a="1"/>
  <c r="J86" i="3" s="1"/>
  <c r="M86" i="3" s="1"/>
  <c r="J87" i="3" a="1"/>
  <c r="J87" i="3" s="1"/>
  <c r="M87" i="3" s="1"/>
  <c r="J88" i="3" a="1"/>
  <c r="J88" i="3" s="1"/>
  <c r="M88" i="3" s="1"/>
  <c r="J89" i="3" a="1"/>
  <c r="J89" i="3" s="1"/>
  <c r="M89" i="3" s="1"/>
  <c r="J90" i="3" a="1"/>
  <c r="J90" i="3"/>
  <c r="M90" i="3" s="1"/>
  <c r="J91" i="3" a="1"/>
  <c r="J91" i="3" s="1"/>
  <c r="M91" i="3" s="1"/>
  <c r="J92" i="3" a="1"/>
  <c r="J92" i="3"/>
  <c r="M92" i="3" s="1"/>
  <c r="J93" i="3" a="1"/>
  <c r="J93" i="3" s="1"/>
  <c r="M93" i="3" s="1"/>
  <c r="J94" i="3" a="1"/>
  <c r="J94" i="3" s="1"/>
  <c r="M94" i="3" s="1"/>
  <c r="J95" i="3" a="1"/>
  <c r="J95" i="3" s="1"/>
  <c r="M95" i="3" s="1"/>
  <c r="J96" i="3" a="1"/>
  <c r="J96" i="3" s="1"/>
  <c r="M96" i="3" s="1"/>
  <c r="J97" i="3" a="1"/>
  <c r="J97" i="3" s="1"/>
  <c r="M97" i="3" s="1"/>
  <c r="J98" i="3" a="1"/>
  <c r="J98" i="3"/>
  <c r="M98" i="3" s="1"/>
  <c r="J99" i="3" a="1"/>
  <c r="J99" i="3" s="1"/>
  <c r="M99" i="3" s="1"/>
  <c r="J100" i="3" a="1"/>
  <c r="J100" i="3"/>
  <c r="M100" i="3" s="1"/>
  <c r="J101" i="3" a="1"/>
  <c r="J101" i="3" s="1"/>
  <c r="M101" i="3" s="1"/>
  <c r="J102" i="3" a="1"/>
  <c r="J102" i="3" s="1"/>
  <c r="M102" i="3" s="1"/>
  <c r="J103" i="3" a="1"/>
  <c r="J103" i="3" s="1"/>
  <c r="M103" i="3" s="1"/>
  <c r="J104" i="3" a="1"/>
  <c r="J104" i="3" s="1"/>
  <c r="M104" i="3" s="1"/>
  <c r="J105" i="3" a="1"/>
  <c r="J105" i="3" s="1"/>
  <c r="M105" i="3" s="1"/>
  <c r="J106" i="3" a="1"/>
  <c r="J106" i="3"/>
  <c r="M106" i="3" s="1"/>
  <c r="J107" i="3" a="1"/>
  <c r="J107" i="3" s="1"/>
  <c r="M107" i="3" s="1"/>
  <c r="J108" i="3" a="1"/>
  <c r="J108" i="3"/>
  <c r="M108" i="3" s="1"/>
  <c r="J109" i="3" a="1"/>
  <c r="J109" i="3" s="1"/>
  <c r="M109" i="3" s="1"/>
  <c r="J110" i="3" a="1"/>
  <c r="J110" i="3" s="1"/>
  <c r="M110" i="3" s="1"/>
  <c r="J111" i="3" a="1"/>
  <c r="J111" i="3" s="1"/>
  <c r="M111" i="3" s="1"/>
  <c r="J112" i="3" a="1"/>
  <c r="J112" i="3" s="1"/>
  <c r="M112" i="3" s="1"/>
  <c r="J113" i="3" a="1"/>
  <c r="J113" i="3" s="1"/>
  <c r="M113" i="3" s="1"/>
  <c r="J114" i="3" a="1"/>
  <c r="J114" i="3"/>
  <c r="M114" i="3" s="1"/>
  <c r="J115" i="3" a="1"/>
  <c r="J115" i="3" s="1"/>
  <c r="M115" i="3" s="1"/>
  <c r="J116" i="3" a="1"/>
  <c r="J116" i="3"/>
  <c r="M116" i="3" s="1"/>
  <c r="J117" i="3" a="1"/>
  <c r="J117" i="3" s="1"/>
  <c r="M117" i="3" s="1"/>
  <c r="J118" i="3" a="1"/>
  <c r="J118" i="3" s="1"/>
  <c r="M118" i="3" s="1"/>
  <c r="J119" i="3" a="1"/>
  <c r="J119" i="3" s="1"/>
  <c r="M119" i="3" s="1"/>
  <c r="J120" i="3" a="1"/>
  <c r="J120" i="3" s="1"/>
  <c r="M120" i="3" s="1"/>
  <c r="J121" i="3" a="1"/>
  <c r="J121" i="3" s="1"/>
  <c r="M121" i="3" s="1"/>
  <c r="J122" i="3" a="1"/>
  <c r="J122" i="3"/>
  <c r="M122" i="3" s="1"/>
  <c r="J123" i="3" a="1"/>
  <c r="J123" i="3" s="1"/>
  <c r="M123" i="3" s="1"/>
  <c r="J124" i="3" a="1"/>
  <c r="J124" i="3"/>
  <c r="M124" i="3" s="1"/>
  <c r="J125" i="3" a="1"/>
  <c r="J125" i="3" s="1"/>
  <c r="M125" i="3" s="1"/>
  <c r="J126" i="3" a="1"/>
  <c r="J126" i="3" s="1"/>
  <c r="M126" i="3" s="1"/>
  <c r="J127" i="3" a="1"/>
  <c r="J127" i="3" s="1"/>
  <c r="M127" i="3" s="1"/>
  <c r="J128" i="3" a="1"/>
  <c r="J128" i="3" s="1"/>
  <c r="M128" i="3" s="1"/>
  <c r="J129" i="3" a="1"/>
  <c r="J129" i="3" s="1"/>
  <c r="M129" i="3" s="1"/>
  <c r="J130" i="3" a="1"/>
  <c r="J130" i="3"/>
  <c r="M130" i="3" s="1"/>
  <c r="J131" i="3" a="1"/>
  <c r="J131" i="3" s="1"/>
  <c r="M131" i="3" s="1"/>
  <c r="J132" i="3" a="1"/>
  <c r="J132" i="3"/>
  <c r="M132" i="3" s="1"/>
  <c r="J133" i="3" a="1"/>
  <c r="J133" i="3" s="1"/>
  <c r="M133" i="3" s="1"/>
  <c r="J134" i="3" a="1"/>
  <c r="J134" i="3" s="1"/>
  <c r="M134" i="3" s="1"/>
  <c r="J135" i="3" a="1"/>
  <c r="J135" i="3" s="1"/>
  <c r="M135" i="3" s="1"/>
  <c r="J136" i="3" a="1"/>
  <c r="J136" i="3" s="1"/>
  <c r="M136" i="3" s="1"/>
  <c r="J137" i="3" a="1"/>
  <c r="J137" i="3" s="1"/>
  <c r="M137" i="3" s="1"/>
  <c r="J138" i="3" a="1"/>
  <c r="J138" i="3"/>
  <c r="M138" i="3" s="1"/>
  <c r="J139" i="3" a="1"/>
  <c r="J139" i="3" s="1"/>
  <c r="M139" i="3" s="1"/>
  <c r="J140" i="3" a="1"/>
  <c r="J140" i="3"/>
  <c r="M140" i="3" s="1"/>
  <c r="J141" i="3" a="1"/>
  <c r="J141" i="3" s="1"/>
  <c r="M141" i="3" s="1"/>
  <c r="J142" i="3" a="1"/>
  <c r="J142" i="3" s="1"/>
  <c r="M142" i="3" s="1"/>
  <c r="J143" i="3" a="1"/>
  <c r="J143" i="3" s="1"/>
  <c r="M143" i="3" s="1"/>
  <c r="J144" i="3" a="1"/>
  <c r="J144" i="3" s="1"/>
  <c r="M144" i="3" s="1"/>
  <c r="J145" i="3" a="1"/>
  <c r="J145" i="3" s="1"/>
  <c r="M145" i="3" s="1"/>
  <c r="J146" i="3" a="1"/>
  <c r="J146" i="3"/>
  <c r="M146" i="3" s="1"/>
  <c r="J147" i="3" a="1"/>
  <c r="J147" i="3" s="1"/>
  <c r="M147" i="3" s="1"/>
  <c r="J148" i="3" a="1"/>
  <c r="J148" i="3"/>
  <c r="M148" i="3" s="1"/>
  <c r="J149" i="3" a="1"/>
  <c r="J149" i="3" s="1"/>
  <c r="M149" i="3" s="1"/>
  <c r="J150" i="3" a="1"/>
  <c r="J150" i="3" s="1"/>
  <c r="M150" i="3" s="1"/>
  <c r="J151" i="3" a="1"/>
  <c r="J151" i="3" s="1"/>
  <c r="M151" i="3" s="1"/>
  <c r="J152" i="3" a="1"/>
  <c r="J152" i="3" s="1"/>
  <c r="M152" i="3" s="1"/>
  <c r="J153" i="3" a="1"/>
  <c r="J153" i="3" s="1"/>
  <c r="M153" i="3" s="1"/>
  <c r="J154" i="3" a="1"/>
  <c r="J154" i="3"/>
  <c r="M154" i="3" s="1"/>
  <c r="J155" i="3" a="1"/>
  <c r="J155" i="3" s="1"/>
  <c r="M155" i="3" s="1"/>
  <c r="J156" i="3" a="1"/>
  <c r="J156" i="3"/>
  <c r="M156" i="3" s="1"/>
  <c r="J157" i="3" a="1"/>
  <c r="J157" i="3" s="1"/>
  <c r="M157" i="3" s="1"/>
  <c r="J158" i="3" a="1"/>
  <c r="J158" i="3" s="1"/>
  <c r="M158" i="3" s="1"/>
  <c r="J159" i="3" a="1"/>
  <c r="J159" i="3" s="1"/>
  <c r="M159" i="3" s="1"/>
  <c r="J160" i="3" a="1"/>
  <c r="J160" i="3" s="1"/>
  <c r="M160" i="3" s="1"/>
  <c r="J161" i="3" a="1"/>
  <c r="J161" i="3" s="1"/>
  <c r="M161" i="3" s="1"/>
  <c r="J162" i="3" a="1"/>
  <c r="J162" i="3"/>
  <c r="M162" i="3" s="1"/>
  <c r="J163" i="3" a="1"/>
  <c r="J163" i="3" s="1"/>
  <c r="M163" i="3" s="1"/>
  <c r="J164" i="3" a="1"/>
  <c r="J164" i="3"/>
  <c r="M164" i="3" s="1"/>
  <c r="J165" i="3" a="1"/>
  <c r="J165" i="3" s="1"/>
  <c r="M165" i="3" s="1"/>
  <c r="J166" i="3" a="1"/>
  <c r="J166" i="3" s="1"/>
  <c r="M166" i="3" s="1"/>
  <c r="J167" i="3" a="1"/>
  <c r="J167" i="3" s="1"/>
  <c r="M167" i="3" s="1"/>
  <c r="J168" i="3" a="1"/>
  <c r="J168" i="3" s="1"/>
  <c r="M168" i="3" s="1"/>
  <c r="J169" i="3" a="1"/>
  <c r="J169" i="3" s="1"/>
  <c r="M169" i="3" s="1"/>
  <c r="J170" i="3" a="1"/>
  <c r="J170" i="3" s="1"/>
  <c r="M170" i="3" s="1"/>
  <c r="J171" i="3" a="1"/>
  <c r="J171" i="3" s="1"/>
  <c r="M171" i="3" s="1"/>
  <c r="J172" i="3" a="1"/>
  <c r="J172" i="3"/>
  <c r="M172" i="3" s="1"/>
  <c r="J173" i="3" a="1"/>
  <c r="J173" i="3" s="1"/>
  <c r="M173" i="3" s="1"/>
  <c r="J174" i="3" a="1"/>
  <c r="J174" i="3"/>
  <c r="M174" i="3" s="1"/>
  <c r="J175" i="3" a="1"/>
  <c r="J175" i="3" s="1"/>
  <c r="M175" i="3" s="1"/>
  <c r="J176" i="3" a="1"/>
  <c r="J176" i="3" s="1"/>
  <c r="M176" i="3" s="1"/>
  <c r="J177" i="3" a="1"/>
  <c r="J177" i="3" s="1"/>
  <c r="M177" i="3" s="1"/>
  <c r="J178" i="3" a="1"/>
  <c r="J178" i="3" s="1"/>
  <c r="M178" i="3" s="1"/>
  <c r="J179" i="3" a="1"/>
  <c r="J179" i="3" s="1"/>
  <c r="M179" i="3" s="1"/>
  <c r="J180" i="3" a="1"/>
  <c r="J180" i="3" s="1"/>
  <c r="M180" i="3" s="1"/>
  <c r="J181" i="3" a="1"/>
  <c r="J181" i="3" s="1"/>
  <c r="M181" i="3" s="1"/>
  <c r="J182" i="3" a="1"/>
  <c r="J182" i="3"/>
  <c r="M182" i="3" s="1"/>
  <c r="J183" i="3" a="1"/>
  <c r="J183" i="3" s="1"/>
  <c r="M183" i="3" s="1"/>
  <c r="J184" i="3" a="1"/>
  <c r="J184" i="3" s="1"/>
  <c r="M184" i="3" s="1"/>
  <c r="J185" i="3" a="1"/>
  <c r="J185" i="3" s="1"/>
  <c r="M185" i="3" s="1"/>
  <c r="J186" i="3" a="1"/>
  <c r="J186" i="3" s="1"/>
  <c r="M186" i="3" s="1"/>
  <c r="J187" i="3" a="1"/>
  <c r="J187" i="3" s="1"/>
  <c r="M187" i="3" s="1"/>
  <c r="J188" i="3" a="1"/>
  <c r="J188" i="3" s="1"/>
  <c r="M188" i="3" s="1"/>
  <c r="J189" i="3" a="1"/>
  <c r="J189" i="3" s="1"/>
  <c r="M189" i="3" s="1"/>
  <c r="J190" i="3" a="1"/>
  <c r="J190" i="3"/>
  <c r="M190" i="3" s="1"/>
  <c r="J191" i="3" a="1"/>
  <c r="J191" i="3" s="1"/>
  <c r="M191" i="3" s="1"/>
  <c r="J192" i="3" a="1"/>
  <c r="J192" i="3" s="1"/>
  <c r="M192" i="3" s="1"/>
  <c r="J193" i="3" a="1"/>
  <c r="J193" i="3" s="1"/>
  <c r="M193" i="3" s="1"/>
  <c r="J194" i="3" a="1"/>
  <c r="J194" i="3" s="1"/>
  <c r="M194" i="3" s="1"/>
  <c r="J195" i="3" a="1"/>
  <c r="J195" i="3" s="1"/>
  <c r="M195" i="3" s="1"/>
  <c r="J196" i="3" a="1"/>
  <c r="J196" i="3" s="1"/>
  <c r="M196" i="3" s="1"/>
  <c r="J197" i="3" a="1"/>
  <c r="J197" i="3" s="1"/>
  <c r="M197" i="3" s="1"/>
  <c r="J198" i="3" a="1"/>
  <c r="J198" i="3"/>
  <c r="M198" i="3" s="1"/>
  <c r="J199" i="3" a="1"/>
  <c r="J199" i="3" s="1"/>
  <c r="M199" i="3" s="1"/>
  <c r="J200" i="3" a="1"/>
  <c r="J200" i="3"/>
  <c r="M200" i="3" s="1"/>
  <c r="J201" i="3" a="1"/>
  <c r="J201" i="3" s="1"/>
  <c r="M201" i="3" s="1"/>
  <c r="J202" i="3" a="1"/>
  <c r="J202" i="3" s="1"/>
  <c r="M202" i="3" s="1"/>
  <c r="J203" i="3" a="1"/>
  <c r="J203" i="3" s="1"/>
  <c r="M203" i="3" s="1"/>
  <c r="J204" i="3" a="1"/>
  <c r="J204" i="3" s="1"/>
  <c r="M204" i="3" s="1"/>
  <c r="J205" i="3" a="1"/>
  <c r="J205" i="3" s="1"/>
  <c r="M205" i="3" s="1"/>
  <c r="J206" i="3" a="1"/>
  <c r="J206" i="3"/>
  <c r="M206" i="3" s="1"/>
  <c r="J207" i="3" a="1"/>
  <c r="J207" i="3" s="1"/>
  <c r="M207" i="3" s="1"/>
  <c r="J208" i="3" a="1"/>
  <c r="J208" i="3"/>
  <c r="M208" i="3" s="1"/>
  <c r="J209" i="3" a="1"/>
  <c r="J209" i="3" s="1"/>
  <c r="M209" i="3" s="1"/>
  <c r="J210" i="3" a="1"/>
  <c r="J210" i="3" s="1"/>
  <c r="M210" i="3" s="1"/>
  <c r="J211" i="3" a="1"/>
  <c r="J211" i="3" s="1"/>
  <c r="M211" i="3" s="1"/>
  <c r="J212" i="3" a="1"/>
  <c r="J212" i="3" s="1"/>
  <c r="M212" i="3" s="1"/>
  <c r="J213" i="3" a="1"/>
  <c r="J213" i="3" s="1"/>
  <c r="M213" i="3" s="1"/>
  <c r="J214" i="3" a="1"/>
  <c r="J214" i="3"/>
  <c r="M214" i="3" s="1"/>
  <c r="J215" i="3" a="1"/>
  <c r="J215" i="3" s="1"/>
  <c r="M215" i="3" s="1"/>
  <c r="J216" i="3" a="1"/>
  <c r="J216" i="3"/>
  <c r="M216" i="3" s="1"/>
  <c r="J217" i="3" a="1"/>
  <c r="J217" i="3" s="1"/>
  <c r="M217" i="3" s="1"/>
  <c r="J218" i="3" a="1"/>
  <c r="J218" i="3" s="1"/>
  <c r="M218" i="3" s="1"/>
  <c r="J219" i="3" a="1"/>
  <c r="J219" i="3" s="1"/>
  <c r="M219" i="3" s="1"/>
  <c r="J220" i="3" a="1"/>
  <c r="J220" i="3" s="1"/>
  <c r="M220" i="3" s="1"/>
  <c r="J221" i="3" a="1"/>
  <c r="J221" i="3" s="1"/>
  <c r="M221" i="3" s="1"/>
  <c r="J222" i="3" a="1"/>
  <c r="J222" i="3"/>
  <c r="M222" i="3" s="1"/>
  <c r="J223" i="3" a="1"/>
  <c r="J223" i="3" s="1"/>
  <c r="M223" i="3" s="1"/>
  <c r="J224" i="3" a="1"/>
  <c r="J224" i="3"/>
  <c r="M224" i="3" s="1"/>
  <c r="J225" i="3" a="1"/>
  <c r="J225" i="3" s="1"/>
  <c r="M225" i="3" s="1"/>
  <c r="J226" i="3" a="1"/>
  <c r="J226" i="3" s="1"/>
  <c r="M226" i="3" s="1"/>
  <c r="J227" i="3" a="1"/>
  <c r="J227" i="3" s="1"/>
  <c r="M227" i="3" s="1"/>
  <c r="J228" i="3" a="1"/>
  <c r="J228" i="3" s="1"/>
  <c r="M228" i="3" s="1"/>
  <c r="J229" i="3" a="1"/>
  <c r="J229" i="3" s="1"/>
  <c r="M229" i="3" s="1"/>
  <c r="J230" i="3" a="1"/>
  <c r="J230" i="3"/>
  <c r="M230" i="3" s="1"/>
  <c r="J231" i="3" a="1"/>
  <c r="J231" i="3" s="1"/>
  <c r="M231" i="3" s="1"/>
  <c r="J232" i="3" a="1"/>
  <c r="J232" i="3"/>
  <c r="M232" i="3" s="1"/>
  <c r="J233" i="3" a="1"/>
  <c r="J233" i="3" s="1"/>
  <c r="M233" i="3" s="1"/>
  <c r="J234" i="3" a="1"/>
  <c r="J234" i="3" s="1"/>
  <c r="M234" i="3" s="1"/>
  <c r="J235" i="3" a="1"/>
  <c r="J235" i="3" s="1"/>
  <c r="M235" i="3" s="1"/>
  <c r="J236" i="3" a="1"/>
  <c r="J236" i="3" s="1"/>
  <c r="M236" i="3" s="1"/>
  <c r="J237" i="3" a="1"/>
  <c r="J237" i="3" s="1"/>
  <c r="M237" i="3" s="1"/>
  <c r="J238" i="3" a="1"/>
  <c r="J238" i="3"/>
  <c r="M238" i="3" s="1"/>
  <c r="J239" i="3" a="1"/>
  <c r="J239" i="3" s="1"/>
  <c r="M239" i="3" s="1"/>
  <c r="J240" i="3" a="1"/>
  <c r="J240" i="3"/>
  <c r="M240" i="3" s="1"/>
  <c r="J241" i="3" a="1"/>
  <c r="J241" i="3" s="1"/>
  <c r="M241" i="3" s="1"/>
  <c r="J242" i="3" a="1"/>
  <c r="J242" i="3" s="1"/>
  <c r="M242" i="3" s="1"/>
  <c r="J243" i="3" a="1"/>
  <c r="J243" i="3" s="1"/>
  <c r="M243" i="3" s="1"/>
  <c r="J244" i="3" a="1"/>
  <c r="J244" i="3" s="1"/>
  <c r="M244" i="3" s="1"/>
  <c r="J245" i="3" a="1"/>
  <c r="J245" i="3" s="1"/>
  <c r="M245" i="3" s="1"/>
  <c r="J246" i="3" a="1"/>
  <c r="J246" i="3"/>
  <c r="M246" i="3" s="1"/>
  <c r="J247" i="3" a="1"/>
  <c r="J247" i="3" s="1"/>
  <c r="M247" i="3" s="1"/>
  <c r="J248" i="3" a="1"/>
  <c r="J248" i="3"/>
  <c r="M248" i="3" s="1"/>
  <c r="J249" i="3" a="1"/>
  <c r="J249" i="3" s="1"/>
  <c r="M249" i="3" s="1"/>
  <c r="J250" i="3" a="1"/>
  <c r="J250" i="3" s="1"/>
  <c r="M250" i="3" s="1"/>
  <c r="J251" i="3" a="1"/>
  <c r="J251" i="3" s="1"/>
  <c r="M251" i="3" s="1"/>
  <c r="J252" i="3" a="1"/>
  <c r="J252" i="3" s="1"/>
  <c r="M252" i="3" s="1"/>
  <c r="J253" i="3" a="1"/>
  <c r="J253" i="3" s="1"/>
  <c r="M253" i="3" s="1"/>
  <c r="J254" i="3" a="1"/>
  <c r="J254" i="3"/>
  <c r="M254" i="3" s="1"/>
  <c r="J255" i="3" a="1"/>
  <c r="J255" i="3" s="1"/>
  <c r="M255" i="3" s="1"/>
  <c r="J256" i="3" a="1"/>
  <c r="J256" i="3"/>
  <c r="M256" i="3" s="1"/>
  <c r="J257" i="3" a="1"/>
  <c r="J257" i="3" s="1"/>
  <c r="M257" i="3" s="1"/>
  <c r="J258" i="3" a="1"/>
  <c r="J258" i="3" s="1"/>
  <c r="M258" i="3" s="1"/>
  <c r="J259" i="3" a="1"/>
  <c r="J259" i="3" s="1"/>
  <c r="M259" i="3" s="1"/>
  <c r="J260" i="3" a="1"/>
  <c r="J260" i="3" s="1"/>
  <c r="M260" i="3" s="1"/>
  <c r="J261" i="3" a="1"/>
  <c r="J261" i="3" s="1"/>
  <c r="M261" i="3" s="1"/>
  <c r="J262" i="3" a="1"/>
  <c r="J262" i="3"/>
  <c r="M262" i="3" s="1"/>
  <c r="J263" i="3" a="1"/>
  <c r="J263" i="3" s="1"/>
  <c r="M263" i="3" s="1"/>
  <c r="J264" i="3" a="1"/>
  <c r="J264" i="3"/>
  <c r="M264" i="3" s="1"/>
  <c r="J265" i="3" a="1"/>
  <c r="J265" i="3" s="1"/>
  <c r="M265" i="3" s="1"/>
  <c r="J266" i="3" a="1"/>
  <c r="J266" i="3" s="1"/>
  <c r="M266" i="3" s="1"/>
  <c r="J267" i="3" a="1"/>
  <c r="J267" i="3" s="1"/>
  <c r="M267" i="3" s="1"/>
  <c r="J268" i="3" a="1"/>
  <c r="J268" i="3" s="1"/>
  <c r="M268" i="3" s="1"/>
  <c r="J269" i="3" a="1"/>
  <c r="J269" i="3" s="1"/>
  <c r="M269" i="3" s="1"/>
  <c r="J270" i="3" a="1"/>
  <c r="J270" i="3"/>
  <c r="M270" i="3" s="1"/>
  <c r="J271" i="3" a="1"/>
  <c r="J271" i="3" s="1"/>
  <c r="M271" i="3" s="1"/>
  <c r="J272" i="3" a="1"/>
  <c r="J272" i="3"/>
  <c r="M272" i="3" s="1"/>
  <c r="J273" i="3" a="1"/>
  <c r="J273" i="3" s="1"/>
  <c r="M273" i="3" s="1"/>
  <c r="J274" i="3" a="1"/>
  <c r="J274" i="3" s="1"/>
  <c r="M274" i="3" s="1"/>
  <c r="J275" i="3" a="1"/>
  <c r="J275" i="3" s="1"/>
  <c r="M275" i="3" s="1"/>
  <c r="J276" i="3" a="1"/>
  <c r="J276" i="3" s="1"/>
  <c r="M276" i="3" s="1"/>
  <c r="J277" i="3" a="1"/>
  <c r="J277" i="3" s="1"/>
  <c r="M277" i="3" s="1"/>
  <c r="J278" i="3" a="1"/>
  <c r="J278" i="3"/>
  <c r="M278" i="3" s="1"/>
  <c r="J279" i="3" a="1"/>
  <c r="J279" i="3" s="1"/>
  <c r="M279" i="3" s="1"/>
  <c r="J280" i="3" a="1"/>
  <c r="J280" i="3"/>
  <c r="M280" i="3" s="1"/>
  <c r="J281" i="3" a="1"/>
  <c r="J281" i="3" s="1"/>
  <c r="M281" i="3" s="1"/>
  <c r="J282" i="3" a="1"/>
  <c r="J282" i="3" s="1"/>
  <c r="M282" i="3" s="1"/>
  <c r="J283" i="3" a="1"/>
  <c r="J283" i="3" s="1"/>
  <c r="M283" i="3" s="1"/>
  <c r="J284" i="3" a="1"/>
  <c r="J284" i="3" s="1"/>
  <c r="M284" i="3" s="1"/>
  <c r="J285" i="3" a="1"/>
  <c r="J285" i="3" s="1"/>
  <c r="M285" i="3" s="1"/>
  <c r="J286" i="3" a="1"/>
  <c r="J286" i="3"/>
  <c r="M286" i="3" s="1"/>
  <c r="J287" i="3" a="1"/>
  <c r="J287" i="3" s="1"/>
  <c r="M287" i="3" s="1"/>
  <c r="J288" i="3" a="1"/>
  <c r="J288" i="3"/>
  <c r="M288" i="3" s="1"/>
  <c r="J289" i="3" a="1"/>
  <c r="J289" i="3" s="1"/>
  <c r="M289" i="3" s="1"/>
  <c r="J290" i="3" a="1"/>
  <c r="J290" i="3" s="1"/>
  <c r="M290" i="3" s="1"/>
  <c r="J291" i="3" a="1"/>
  <c r="J291" i="3" s="1"/>
  <c r="M291" i="3" s="1"/>
  <c r="J292" i="3" a="1"/>
  <c r="J292" i="3" s="1"/>
  <c r="M292" i="3" s="1"/>
  <c r="J293" i="3" a="1"/>
  <c r="J293" i="3" s="1"/>
  <c r="M293" i="3" s="1"/>
  <c r="J294" i="3" a="1"/>
  <c r="J294" i="3"/>
  <c r="M294" i="3" s="1"/>
  <c r="J295" i="3" a="1"/>
  <c r="J295" i="3" s="1"/>
  <c r="M295" i="3" s="1"/>
  <c r="J296" i="3" a="1"/>
  <c r="J296" i="3"/>
  <c r="M296" i="3" s="1"/>
  <c r="J297" i="3" a="1"/>
  <c r="J297" i="3" s="1"/>
  <c r="M297" i="3" s="1"/>
  <c r="J298" i="3" a="1"/>
  <c r="J298" i="3" s="1"/>
  <c r="M298" i="3" s="1"/>
  <c r="J299" i="3" a="1"/>
  <c r="J299" i="3" s="1"/>
  <c r="M299" i="3" s="1"/>
  <c r="J300" i="3" a="1"/>
  <c r="J300" i="3" s="1"/>
  <c r="M300" i="3" s="1"/>
  <c r="J301" i="3" a="1"/>
  <c r="J301" i="3"/>
  <c r="M301" i="3" s="1"/>
  <c r="J302" i="3" a="1"/>
  <c r="J302" i="3" s="1"/>
  <c r="M302" i="3" s="1"/>
  <c r="J303" i="3" a="1"/>
  <c r="J303" i="3"/>
  <c r="M303" i="3" s="1"/>
  <c r="J304" i="3" a="1"/>
  <c r="J304" i="3" s="1"/>
  <c r="M304" i="3" s="1"/>
  <c r="J305" i="3" a="1"/>
  <c r="J305" i="3" s="1"/>
  <c r="M305" i="3" s="1"/>
  <c r="J306" i="3" a="1"/>
  <c r="J306" i="3" s="1"/>
  <c r="M306" i="3" s="1"/>
  <c r="J307" i="3" a="1"/>
  <c r="J307" i="3"/>
  <c r="M307" i="3" s="1"/>
  <c r="J308" i="3" a="1"/>
  <c r="J308" i="3" s="1"/>
  <c r="M308" i="3" s="1"/>
  <c r="J309" i="3" a="1"/>
  <c r="J309" i="3" s="1"/>
  <c r="M309" i="3" s="1"/>
  <c r="J310" i="3" a="1"/>
  <c r="J310" i="3" s="1"/>
  <c r="M310" i="3" s="1"/>
  <c r="J311" i="3" a="1"/>
  <c r="J311" i="3" s="1"/>
  <c r="M311" i="3" s="1"/>
  <c r="J312" i="3" a="1"/>
  <c r="J312" i="3" s="1"/>
  <c r="M312" i="3" s="1"/>
  <c r="J313" i="3" a="1"/>
  <c r="J313" i="3" s="1"/>
  <c r="M313" i="3" s="1"/>
  <c r="J314" i="3" a="1"/>
  <c r="J314" i="3" s="1"/>
  <c r="M314" i="3" s="1"/>
  <c r="J315" i="3" a="1"/>
  <c r="J315" i="3"/>
  <c r="M315" i="3" s="1"/>
  <c r="J316" i="3" a="1"/>
  <c r="J316" i="3" s="1"/>
  <c r="M316" i="3" s="1"/>
  <c r="J317" i="3" a="1"/>
  <c r="J317" i="3" s="1"/>
  <c r="M317" i="3" s="1"/>
  <c r="J318" i="3" a="1"/>
  <c r="J318" i="3" s="1"/>
  <c r="M318" i="3" s="1"/>
  <c r="J319" i="3" a="1"/>
  <c r="J319" i="3" s="1"/>
  <c r="M319" i="3" s="1"/>
  <c r="J320" i="3" a="1"/>
  <c r="J320" i="3" s="1"/>
  <c r="M320" i="3" s="1"/>
  <c r="J321" i="3" a="1"/>
  <c r="J321" i="3" s="1"/>
  <c r="M321" i="3" s="1"/>
  <c r="J322" i="3" a="1"/>
  <c r="J322" i="3" s="1"/>
  <c r="M322" i="3" s="1"/>
  <c r="J323" i="3" a="1"/>
  <c r="J323" i="3"/>
  <c r="M323" i="3" s="1"/>
  <c r="J324" i="3" a="1"/>
  <c r="J324" i="3" s="1"/>
  <c r="M324" i="3" s="1"/>
  <c r="J325" i="3" a="1"/>
  <c r="J325" i="3" s="1"/>
  <c r="M325" i="3" s="1"/>
  <c r="J326" i="3" a="1"/>
  <c r="J326" i="3" s="1"/>
  <c r="M326" i="3" s="1"/>
  <c r="J327" i="3" a="1"/>
  <c r="J327" i="3" s="1"/>
  <c r="M327" i="3" s="1"/>
  <c r="J328" i="3" a="1"/>
  <c r="J328" i="3" s="1"/>
  <c r="M328" i="3" s="1"/>
  <c r="J329" i="3" a="1"/>
  <c r="J329" i="3" s="1"/>
  <c r="M329" i="3" s="1"/>
  <c r="J330" i="3" a="1"/>
  <c r="J330" i="3" s="1"/>
  <c r="M330" i="3" s="1"/>
  <c r="J331" i="3" a="1"/>
  <c r="J331" i="3"/>
  <c r="M331" i="3" s="1"/>
  <c r="J332" i="3" a="1"/>
  <c r="J332" i="3" s="1"/>
  <c r="M332" i="3" s="1"/>
  <c r="J333" i="3" a="1"/>
  <c r="J333" i="3" s="1"/>
  <c r="M333" i="3" s="1"/>
  <c r="J334" i="3" a="1"/>
  <c r="J334" i="3" s="1"/>
  <c r="M334" i="3" s="1"/>
  <c r="J335" i="3" a="1"/>
  <c r="J335" i="3" s="1"/>
  <c r="M335" i="3" s="1"/>
  <c r="J336" i="3" a="1"/>
  <c r="J336" i="3" s="1"/>
  <c r="M336" i="3" s="1"/>
  <c r="J337" i="3" a="1"/>
  <c r="J337" i="3" s="1"/>
  <c r="M337" i="3" s="1"/>
  <c r="J338" i="3" a="1"/>
  <c r="J338" i="3" s="1"/>
  <c r="M338" i="3" s="1"/>
  <c r="J339" i="3" a="1"/>
  <c r="J339" i="3"/>
  <c r="M339" i="3" s="1"/>
  <c r="J340" i="3" a="1"/>
  <c r="J340" i="3" s="1"/>
  <c r="M340" i="3" s="1"/>
  <c r="J341" i="3" a="1"/>
  <c r="J341" i="3" s="1"/>
  <c r="M341" i="3" s="1"/>
  <c r="J342" i="3" a="1"/>
  <c r="J342" i="3" s="1"/>
  <c r="M342" i="3" s="1"/>
  <c r="J343" i="3" a="1"/>
  <c r="J343" i="3" s="1"/>
  <c r="M343" i="3" s="1"/>
  <c r="J344" i="3" a="1"/>
  <c r="J344" i="3" s="1"/>
  <c r="M344" i="3" s="1"/>
  <c r="J345" i="3" a="1"/>
  <c r="J345" i="3" s="1"/>
  <c r="M345" i="3" s="1"/>
  <c r="J346" i="3" a="1"/>
  <c r="J346" i="3" s="1"/>
  <c r="M346" i="3" s="1"/>
  <c r="J347" i="3" a="1"/>
  <c r="J347" i="3"/>
  <c r="M347" i="3" s="1"/>
  <c r="J348" i="3" a="1"/>
  <c r="J348" i="3" s="1"/>
  <c r="M348" i="3" s="1"/>
  <c r="J349" i="3" a="1"/>
  <c r="J349" i="3" s="1"/>
  <c r="M349" i="3" s="1"/>
  <c r="J350" i="3" a="1"/>
  <c r="J350" i="3" s="1"/>
  <c r="M350" i="3" s="1"/>
  <c r="J351" i="3" a="1"/>
  <c r="J351" i="3" s="1"/>
  <c r="M351" i="3" s="1"/>
  <c r="J352" i="3" a="1"/>
  <c r="J352" i="3" s="1"/>
  <c r="M352" i="3" s="1"/>
  <c r="J353" i="3" a="1"/>
  <c r="J353" i="3" s="1"/>
  <c r="M353" i="3" s="1"/>
  <c r="J354" i="3" a="1"/>
  <c r="J354" i="3" s="1"/>
  <c r="M354" i="3" s="1"/>
  <c r="J355" i="3" a="1"/>
  <c r="J355" i="3"/>
  <c r="M355" i="3" s="1"/>
  <c r="J356" i="3" a="1"/>
  <c r="J356" i="3" s="1"/>
  <c r="M356" i="3" s="1"/>
  <c r="J357" i="3" a="1"/>
  <c r="J357" i="3" s="1"/>
  <c r="M357" i="3" s="1"/>
  <c r="J358" i="3" a="1"/>
  <c r="J358" i="3" s="1"/>
  <c r="M358" i="3" s="1"/>
  <c r="J359" i="3" a="1"/>
  <c r="J359" i="3" s="1"/>
  <c r="M359" i="3" s="1"/>
  <c r="J360" i="3" a="1"/>
  <c r="J360" i="3" s="1"/>
  <c r="M360" i="3" s="1"/>
  <c r="J361" i="3" a="1"/>
  <c r="J361" i="3" s="1"/>
  <c r="M361" i="3" s="1"/>
  <c r="J362" i="3" a="1"/>
  <c r="J362" i="3" s="1"/>
  <c r="M362" i="3" s="1"/>
  <c r="J363" i="3" a="1"/>
  <c r="J363" i="3"/>
  <c r="M363" i="3" s="1"/>
  <c r="J364" i="3" a="1"/>
  <c r="J364" i="3" s="1"/>
  <c r="M364" i="3" s="1"/>
  <c r="J365" i="3" a="1"/>
  <c r="J365" i="3" s="1"/>
  <c r="M365" i="3" s="1"/>
  <c r="J366" i="3" a="1"/>
  <c r="J366" i="3" s="1"/>
  <c r="M366" i="3" s="1"/>
  <c r="J367" i="3" a="1"/>
  <c r="J367" i="3" s="1"/>
  <c r="M367" i="3" s="1"/>
  <c r="J368" i="3" a="1"/>
  <c r="J368" i="3" s="1"/>
  <c r="M368" i="3" s="1"/>
  <c r="J369" i="3" a="1"/>
  <c r="J369" i="3" s="1"/>
  <c r="M369" i="3" s="1"/>
  <c r="J370" i="3" a="1"/>
  <c r="J370" i="3" s="1"/>
  <c r="M370" i="3" s="1"/>
  <c r="J371" i="3" a="1"/>
  <c r="J371" i="3"/>
  <c r="M371" i="3" s="1"/>
  <c r="J372" i="3" a="1"/>
  <c r="J372" i="3" s="1"/>
  <c r="M372" i="3" s="1"/>
  <c r="J373" i="3" a="1"/>
  <c r="J373" i="3" s="1"/>
  <c r="M373" i="3" s="1"/>
  <c r="J374" i="3" a="1"/>
  <c r="J374" i="3" s="1"/>
  <c r="M374" i="3" s="1"/>
  <c r="J375" i="3" a="1"/>
  <c r="J375" i="3" s="1"/>
  <c r="M375" i="3" s="1"/>
  <c r="J376" i="3" a="1"/>
  <c r="J376" i="3" s="1"/>
  <c r="M376" i="3" s="1"/>
  <c r="J377" i="3" a="1"/>
  <c r="J377" i="3" s="1"/>
  <c r="M377" i="3" s="1"/>
  <c r="J378" i="3" a="1"/>
  <c r="J378" i="3" s="1"/>
  <c r="M378" i="3" s="1"/>
  <c r="J379" i="3" a="1"/>
  <c r="J379" i="3"/>
  <c r="M379" i="3" s="1"/>
  <c r="J380" i="3" a="1"/>
  <c r="J380" i="3" s="1"/>
  <c r="M380" i="3" s="1"/>
  <c r="J381" i="3" a="1"/>
  <c r="J381" i="3" s="1"/>
  <c r="M381" i="3" s="1"/>
  <c r="J382" i="3" a="1"/>
  <c r="J382" i="3" s="1"/>
  <c r="M382" i="3" s="1"/>
  <c r="J383" i="3" a="1"/>
  <c r="J383" i="3" s="1"/>
  <c r="M383" i="3" s="1"/>
  <c r="J384" i="3" a="1"/>
  <c r="J384" i="3" s="1"/>
  <c r="M384" i="3" s="1"/>
  <c r="J385" i="3" a="1"/>
  <c r="J385" i="3" s="1"/>
  <c r="M385" i="3" s="1"/>
  <c r="J386" i="3" a="1"/>
  <c r="J386" i="3" s="1"/>
  <c r="M386" i="3" s="1"/>
  <c r="J387" i="3" a="1"/>
  <c r="J387" i="3"/>
  <c r="M387" i="3" s="1"/>
  <c r="J388" i="3" a="1"/>
  <c r="J388" i="3" s="1"/>
  <c r="M388" i="3" s="1"/>
  <c r="J389" i="3" a="1"/>
  <c r="J389" i="3" s="1"/>
  <c r="M389" i="3" s="1"/>
  <c r="J390" i="3" a="1"/>
  <c r="J390" i="3" s="1"/>
  <c r="M390" i="3" s="1"/>
  <c r="J391" i="3" a="1"/>
  <c r="J391" i="3" s="1"/>
  <c r="M391" i="3" s="1"/>
  <c r="J392" i="3" a="1"/>
  <c r="J392" i="3" s="1"/>
  <c r="M392" i="3" s="1"/>
  <c r="J393" i="3" a="1"/>
  <c r="J393" i="3" s="1"/>
  <c r="M393" i="3" s="1"/>
  <c r="J394" i="3" a="1"/>
  <c r="J394" i="3" s="1"/>
  <c r="M394" i="3" s="1"/>
  <c r="J395" i="3" a="1"/>
  <c r="J395" i="3"/>
  <c r="M395" i="3" s="1"/>
  <c r="J396" i="3" a="1"/>
  <c r="J396" i="3" s="1"/>
  <c r="M396" i="3" s="1"/>
  <c r="J397" i="3" a="1"/>
  <c r="J397" i="3" s="1"/>
  <c r="M397" i="3" s="1"/>
  <c r="J398" i="3" a="1"/>
  <c r="J398" i="3" s="1"/>
  <c r="M398" i="3" s="1"/>
  <c r="J399" i="3" a="1"/>
  <c r="J399" i="3" s="1"/>
  <c r="M399" i="3" s="1"/>
  <c r="J400" i="3" a="1"/>
  <c r="J400" i="3" s="1"/>
  <c r="M400" i="3" s="1"/>
  <c r="J401" i="3" a="1"/>
  <c r="J401" i="3" s="1"/>
  <c r="M401" i="3" s="1"/>
  <c r="J402" i="3" a="1"/>
  <c r="J402" i="3" s="1"/>
  <c r="M402" i="3" s="1"/>
  <c r="J403" i="3" a="1"/>
  <c r="J403" i="3"/>
  <c r="M403" i="3" s="1"/>
  <c r="J404" i="3" a="1"/>
  <c r="J404" i="3" s="1"/>
  <c r="M404" i="3" s="1"/>
  <c r="J405" i="3" a="1"/>
  <c r="J405" i="3" s="1"/>
  <c r="M405" i="3" s="1"/>
  <c r="J406" i="3" a="1"/>
  <c r="J406" i="3" s="1"/>
  <c r="M406" i="3" s="1"/>
  <c r="J407" i="3" a="1"/>
  <c r="J407" i="3" s="1"/>
  <c r="M407" i="3" s="1"/>
  <c r="J408" i="3" a="1"/>
  <c r="J408" i="3" s="1"/>
  <c r="M408" i="3" s="1"/>
  <c r="J409" i="3" a="1"/>
  <c r="J409" i="3" s="1"/>
  <c r="M409" i="3" s="1"/>
  <c r="J410" i="3" a="1"/>
  <c r="J410" i="3" s="1"/>
  <c r="M410" i="3" s="1"/>
  <c r="J411" i="3" a="1"/>
  <c r="J411" i="3"/>
  <c r="M411" i="3" s="1"/>
  <c r="J412" i="3" a="1"/>
  <c r="J412" i="3" s="1"/>
  <c r="M412" i="3" s="1"/>
  <c r="J413" i="3" a="1"/>
  <c r="J413" i="3" s="1"/>
  <c r="M413" i="3" s="1"/>
  <c r="J414" i="3" a="1"/>
  <c r="J414" i="3" s="1"/>
  <c r="M414" i="3" s="1"/>
  <c r="J415" i="3" a="1"/>
  <c r="J415" i="3" s="1"/>
  <c r="M415" i="3" s="1"/>
  <c r="J416" i="3" a="1"/>
  <c r="J416" i="3" s="1"/>
  <c r="M416" i="3" s="1"/>
  <c r="J417" i="3" a="1"/>
  <c r="J417" i="3" s="1"/>
  <c r="M417" i="3" s="1"/>
  <c r="J418" i="3" a="1"/>
  <c r="J418" i="3" s="1"/>
  <c r="M418" i="3" s="1"/>
  <c r="J419" i="3" a="1"/>
  <c r="J419" i="3"/>
  <c r="M419" i="3" s="1"/>
  <c r="J420" i="3" a="1"/>
  <c r="J420" i="3" s="1"/>
  <c r="M420" i="3" s="1"/>
  <c r="J421" i="3" a="1"/>
  <c r="J421" i="3" s="1"/>
  <c r="M421" i="3" s="1"/>
  <c r="J422" i="3" a="1"/>
  <c r="J422" i="3" s="1"/>
  <c r="M422" i="3" s="1"/>
  <c r="J423" i="3" a="1"/>
  <c r="J423" i="3" s="1"/>
  <c r="M423" i="3" s="1"/>
  <c r="J424" i="3" a="1"/>
  <c r="J424" i="3" s="1"/>
  <c r="M424" i="3" s="1"/>
  <c r="J425" i="3" a="1"/>
  <c r="J425" i="3" s="1"/>
  <c r="M425" i="3" s="1"/>
  <c r="J426" i="3" a="1"/>
  <c r="J426" i="3" s="1"/>
  <c r="M426" i="3" s="1"/>
  <c r="J427" i="3" a="1"/>
  <c r="J427" i="3"/>
  <c r="M427" i="3" s="1"/>
  <c r="J428" i="3" a="1"/>
  <c r="J428" i="3" s="1"/>
  <c r="M428" i="3" s="1"/>
  <c r="J429" i="3" a="1"/>
  <c r="J429" i="3" s="1"/>
  <c r="M429" i="3" s="1"/>
  <c r="J430" i="3" a="1"/>
  <c r="J430" i="3" s="1"/>
  <c r="M430" i="3" s="1"/>
  <c r="J431" i="3" a="1"/>
  <c r="J431" i="3" s="1"/>
  <c r="M431" i="3" s="1"/>
  <c r="J432" i="3" a="1"/>
  <c r="J432" i="3" s="1"/>
  <c r="M432" i="3" s="1"/>
  <c r="J433" i="3" a="1"/>
  <c r="J433" i="3" s="1"/>
  <c r="M433" i="3" s="1"/>
  <c r="J434" i="3" a="1"/>
  <c r="J434" i="3" s="1"/>
  <c r="M434" i="3" s="1"/>
  <c r="J435" i="3" a="1"/>
  <c r="J435" i="3"/>
  <c r="M435" i="3" s="1"/>
  <c r="J436" i="3" a="1"/>
  <c r="J436" i="3" s="1"/>
  <c r="M436" i="3" s="1"/>
  <c r="J437" i="3" a="1"/>
  <c r="J437" i="3" s="1"/>
  <c r="M437" i="3" s="1"/>
  <c r="J438" i="3" a="1"/>
  <c r="J438" i="3" s="1"/>
  <c r="M438" i="3" s="1"/>
  <c r="J439" i="3" a="1"/>
  <c r="J439" i="3" s="1"/>
  <c r="M439" i="3" s="1"/>
  <c r="J440" i="3" a="1"/>
  <c r="J440" i="3" s="1"/>
  <c r="M440" i="3" s="1"/>
  <c r="J441" i="3" a="1"/>
  <c r="J441" i="3" s="1"/>
  <c r="M441" i="3" s="1"/>
  <c r="J442" i="3" a="1"/>
  <c r="J442" i="3" s="1"/>
  <c r="M442" i="3" s="1"/>
  <c r="J443" i="3" a="1"/>
  <c r="J443" i="3"/>
  <c r="M443" i="3" s="1"/>
  <c r="J444" i="3" a="1"/>
  <c r="J444" i="3" s="1"/>
  <c r="M444" i="3" s="1"/>
  <c r="J445" i="3" a="1"/>
  <c r="J445" i="3" s="1"/>
  <c r="M445" i="3" s="1"/>
  <c r="J446" i="3" a="1"/>
  <c r="J446" i="3" s="1"/>
  <c r="M446" i="3" s="1"/>
  <c r="J447" i="3" a="1"/>
  <c r="J447" i="3" s="1"/>
  <c r="M447" i="3" s="1"/>
  <c r="J448" i="3" a="1"/>
  <c r="J448" i="3" s="1"/>
  <c r="M448" i="3" s="1"/>
  <c r="J449" i="3" a="1"/>
  <c r="J449" i="3" s="1"/>
  <c r="M449" i="3" s="1"/>
  <c r="J450" i="3" a="1"/>
  <c r="J450" i="3" s="1"/>
  <c r="M450" i="3" s="1"/>
  <c r="J451" i="3" a="1"/>
  <c r="J451" i="3"/>
  <c r="M451" i="3" s="1"/>
  <c r="J452" i="3" a="1"/>
  <c r="J452" i="3" s="1"/>
  <c r="M452" i="3" s="1"/>
  <c r="J453" i="3" a="1"/>
  <c r="J453" i="3" s="1"/>
  <c r="M453" i="3" s="1"/>
  <c r="J454" i="3" a="1"/>
  <c r="J454" i="3" s="1"/>
  <c r="M454" i="3" s="1"/>
  <c r="J455" i="3" a="1"/>
  <c r="J455" i="3" s="1"/>
  <c r="M455" i="3" s="1"/>
  <c r="J456" i="3" a="1"/>
  <c r="J456" i="3" s="1"/>
  <c r="M456" i="3" s="1"/>
  <c r="J457" i="3" a="1"/>
  <c r="J457" i="3" s="1"/>
  <c r="M457" i="3" s="1"/>
  <c r="J458" i="3" a="1"/>
  <c r="J458" i="3" s="1"/>
  <c r="M458" i="3" s="1"/>
  <c r="J459" i="3" a="1"/>
  <c r="J459" i="3"/>
  <c r="M459" i="3" s="1"/>
  <c r="J460" i="3" a="1"/>
  <c r="J460" i="3" s="1"/>
  <c r="M460" i="3" s="1"/>
  <c r="J461" i="3" a="1"/>
  <c r="J461" i="3" s="1"/>
  <c r="M461" i="3" s="1"/>
  <c r="J462" i="3" a="1"/>
  <c r="J462" i="3" s="1"/>
  <c r="M462" i="3" s="1"/>
  <c r="J463" i="3" a="1"/>
  <c r="J463" i="3" s="1"/>
  <c r="M463" i="3" s="1"/>
  <c r="J464" i="3" a="1"/>
  <c r="J464" i="3" s="1"/>
  <c r="M464" i="3" s="1"/>
  <c r="J465" i="3" a="1"/>
  <c r="J465" i="3"/>
  <c r="M465" i="3" s="1"/>
  <c r="J466" i="3" a="1"/>
  <c r="J466" i="3" s="1"/>
  <c r="M466" i="3" s="1"/>
  <c r="J467" i="3" a="1"/>
  <c r="J467" i="3"/>
  <c r="M467" i="3" s="1"/>
  <c r="J468" i="3" a="1"/>
  <c r="J468" i="3" s="1"/>
  <c r="M468" i="3" s="1"/>
  <c r="J469" i="3" a="1"/>
  <c r="J469" i="3" s="1"/>
  <c r="M469" i="3" s="1"/>
  <c r="J470" i="3" a="1"/>
  <c r="J470" i="3" s="1"/>
  <c r="M470" i="3" s="1"/>
  <c r="J471" i="3" a="1"/>
  <c r="J471" i="3" s="1"/>
  <c r="M471" i="3" s="1"/>
  <c r="J472" i="3" a="1"/>
  <c r="J472" i="3" s="1"/>
  <c r="M472" i="3" s="1"/>
  <c r="J473" i="3" a="1"/>
  <c r="J473" i="3"/>
  <c r="M473" i="3" s="1"/>
  <c r="J474" i="3" a="1"/>
  <c r="J474" i="3" s="1"/>
  <c r="M474" i="3" s="1"/>
  <c r="J475" i="3" a="1"/>
  <c r="J475" i="3"/>
  <c r="M475" i="3" s="1"/>
  <c r="J476" i="3" a="1"/>
  <c r="J476" i="3" s="1"/>
  <c r="M476" i="3" s="1"/>
  <c r="J477" i="3" a="1"/>
  <c r="J477" i="3" s="1"/>
  <c r="M477" i="3" s="1"/>
  <c r="J478" i="3" a="1"/>
  <c r="J478" i="3" s="1"/>
  <c r="M478" i="3" s="1"/>
  <c r="J479" i="3" a="1"/>
  <c r="J479" i="3" s="1"/>
  <c r="M479" i="3" s="1"/>
  <c r="J480" i="3" a="1"/>
  <c r="J480" i="3" s="1"/>
  <c r="M480" i="3" s="1"/>
  <c r="J481" i="3" a="1"/>
  <c r="J481" i="3"/>
  <c r="M481" i="3" s="1"/>
  <c r="J482" i="3" a="1"/>
  <c r="J482" i="3" s="1"/>
  <c r="M482" i="3" s="1"/>
  <c r="J483" i="3" a="1"/>
  <c r="J483" i="3"/>
  <c r="M483" i="3" s="1"/>
  <c r="J484" i="3" a="1"/>
  <c r="J484" i="3" s="1"/>
  <c r="M484" i="3" s="1"/>
  <c r="J485" i="3" a="1"/>
  <c r="J485" i="3" s="1"/>
  <c r="M485" i="3" s="1"/>
  <c r="J486" i="3" a="1"/>
  <c r="J486" i="3" s="1"/>
  <c r="M486" i="3" s="1"/>
  <c r="J487" i="3" a="1"/>
  <c r="J487" i="3" s="1"/>
  <c r="M487" i="3" s="1"/>
  <c r="J488" i="3" a="1"/>
  <c r="J488" i="3" s="1"/>
  <c r="M488" i="3" s="1"/>
  <c r="J489" i="3" a="1"/>
  <c r="J489" i="3"/>
  <c r="M489" i="3" s="1"/>
  <c r="J490" i="3" a="1"/>
  <c r="J490" i="3" s="1"/>
  <c r="M490" i="3" s="1"/>
  <c r="J491" i="3" a="1"/>
  <c r="J491" i="3"/>
  <c r="M491" i="3" s="1"/>
  <c r="J492" i="3" a="1"/>
  <c r="J492" i="3" s="1"/>
  <c r="M492" i="3" s="1"/>
  <c r="J493" i="3" a="1"/>
  <c r="J493" i="3" s="1"/>
  <c r="M493" i="3" s="1"/>
  <c r="J494" i="3" a="1"/>
  <c r="J494" i="3" s="1"/>
  <c r="M494" i="3" s="1"/>
  <c r="J495" i="3" a="1"/>
  <c r="J495" i="3" s="1"/>
  <c r="M495" i="3" s="1"/>
  <c r="J496" i="3" a="1"/>
  <c r="J496" i="3" s="1"/>
  <c r="M496" i="3" s="1"/>
  <c r="J497" i="3" a="1"/>
  <c r="J497" i="3"/>
  <c r="M497" i="3" s="1"/>
  <c r="J498" i="3" a="1"/>
  <c r="J498" i="3" s="1"/>
  <c r="M498" i="3" s="1"/>
  <c r="J499" i="3" a="1"/>
  <c r="J499" i="3"/>
  <c r="M499" i="3" s="1"/>
  <c r="J500" i="3" a="1"/>
  <c r="J500" i="3" s="1"/>
  <c r="M500" i="3" s="1"/>
  <c r="J501" i="3" a="1"/>
  <c r="J501" i="3" s="1"/>
  <c r="M501" i="3" s="1"/>
  <c r="J502" i="3" a="1"/>
  <c r="J502" i="3" s="1"/>
  <c r="M502" i="3" s="1"/>
  <c r="J503" i="3" a="1"/>
  <c r="J503" i="3" s="1"/>
  <c r="M503" i="3" s="1"/>
  <c r="J504" i="3" a="1"/>
  <c r="J504" i="3" s="1"/>
  <c r="M504" i="3" s="1"/>
  <c r="J505" i="3" a="1"/>
  <c r="J505" i="3"/>
  <c r="M505" i="3" s="1"/>
  <c r="J506" i="3" a="1"/>
  <c r="J506" i="3" s="1"/>
  <c r="M506" i="3" s="1"/>
  <c r="J507" i="3" a="1"/>
  <c r="J507" i="3"/>
  <c r="M507" i="3" s="1"/>
  <c r="J508" i="3" a="1"/>
  <c r="J508" i="3" s="1"/>
  <c r="M508" i="3" s="1"/>
  <c r="J509" i="3" a="1"/>
  <c r="J509" i="3" s="1"/>
  <c r="M509" i="3" s="1"/>
  <c r="J510" i="3" a="1"/>
  <c r="J510" i="3" s="1"/>
  <c r="M510" i="3" s="1"/>
  <c r="J511" i="3" a="1"/>
  <c r="J511" i="3" s="1"/>
  <c r="M511" i="3" s="1"/>
  <c r="J512" i="3" a="1"/>
  <c r="J512" i="3" s="1"/>
  <c r="M512" i="3" s="1"/>
  <c r="J513" i="3" a="1"/>
  <c r="J513" i="3"/>
  <c r="M513" i="3" s="1"/>
  <c r="J514" i="3" a="1"/>
  <c r="J514" i="3" s="1"/>
  <c r="M514" i="3" s="1"/>
  <c r="J515" i="3" a="1"/>
  <c r="J515" i="3"/>
  <c r="M515" i="3" s="1"/>
  <c r="J516" i="3" a="1"/>
  <c r="J516" i="3" s="1"/>
  <c r="M516" i="3" s="1"/>
  <c r="J517" i="3" a="1"/>
  <c r="J517" i="3" s="1"/>
  <c r="M517" i="3" s="1"/>
  <c r="J518" i="3" a="1"/>
  <c r="J518" i="3" s="1"/>
  <c r="M518" i="3" s="1"/>
  <c r="J519" i="3" a="1"/>
  <c r="J519" i="3" s="1"/>
  <c r="M519" i="3" s="1"/>
  <c r="J520" i="3" a="1"/>
  <c r="J520" i="3" s="1"/>
  <c r="M520" i="3" s="1"/>
  <c r="J521" i="3" a="1"/>
  <c r="J521" i="3"/>
  <c r="M521" i="3" s="1"/>
  <c r="J522" i="3" a="1"/>
  <c r="J522" i="3" s="1"/>
  <c r="M522" i="3" s="1"/>
  <c r="J523" i="3" a="1"/>
  <c r="J523" i="3"/>
  <c r="M523" i="3" s="1"/>
  <c r="J524" i="3" a="1"/>
  <c r="J524" i="3" s="1"/>
  <c r="M524" i="3" s="1"/>
  <c r="J525" i="3" a="1"/>
  <c r="J525" i="3" s="1"/>
  <c r="M525" i="3" s="1"/>
  <c r="J526" i="3" a="1"/>
  <c r="J526" i="3" s="1"/>
  <c r="M526" i="3" s="1"/>
  <c r="J527" i="3" a="1"/>
  <c r="J527" i="3" s="1"/>
  <c r="M527" i="3" s="1"/>
  <c r="J528" i="3" a="1"/>
  <c r="J528" i="3" s="1"/>
  <c r="M528" i="3" s="1"/>
  <c r="J529" i="3" a="1"/>
  <c r="J529" i="3" s="1"/>
  <c r="M529" i="3" s="1"/>
  <c r="J530" i="3" a="1"/>
  <c r="J530" i="3" s="1"/>
  <c r="M530" i="3" s="1"/>
  <c r="J531" i="3" a="1"/>
  <c r="J531" i="3"/>
  <c r="M531" i="3" s="1"/>
  <c r="J532" i="3" a="1"/>
  <c r="J532" i="3" s="1"/>
  <c r="M532" i="3" s="1"/>
  <c r="J533" i="3" a="1"/>
  <c r="J533" i="3" s="1"/>
  <c r="M533" i="3" s="1"/>
  <c r="J534" i="3" a="1"/>
  <c r="J534" i="3" s="1"/>
  <c r="M534" i="3" s="1"/>
  <c r="J535" i="3" a="1"/>
  <c r="J535" i="3" s="1"/>
  <c r="M535" i="3" s="1"/>
  <c r="J536" i="3" a="1"/>
  <c r="J536" i="3" s="1"/>
  <c r="M536" i="3" s="1"/>
  <c r="J537" i="3" a="1"/>
  <c r="J537" i="3"/>
  <c r="M537" i="3" s="1"/>
  <c r="J538" i="3" a="1"/>
  <c r="J538" i="3" s="1"/>
  <c r="M538" i="3" s="1"/>
  <c r="J539" i="3" a="1"/>
  <c r="J539" i="3"/>
  <c r="M539" i="3" s="1"/>
  <c r="J540" i="3" a="1"/>
  <c r="J540" i="3" s="1"/>
  <c r="M540" i="3" s="1"/>
  <c r="J541" i="3" a="1"/>
  <c r="J541" i="3" s="1"/>
  <c r="M541" i="3" s="1"/>
  <c r="J542" i="3" a="1"/>
  <c r="J542" i="3" s="1"/>
  <c r="M542" i="3" s="1"/>
  <c r="J543" i="3" a="1"/>
  <c r="J543" i="3" s="1"/>
  <c r="M543" i="3" s="1"/>
  <c r="J544" i="3" a="1"/>
  <c r="J544" i="3" s="1"/>
  <c r="M544" i="3" s="1"/>
  <c r="J545" i="3" a="1"/>
  <c r="J545" i="3" s="1"/>
  <c r="M545" i="3" s="1"/>
  <c r="J546" i="3" a="1"/>
  <c r="J546" i="3" s="1"/>
  <c r="M546" i="3" s="1"/>
  <c r="J547" i="3" a="1"/>
  <c r="J547" i="3"/>
  <c r="M547" i="3" s="1"/>
  <c r="J548" i="3" a="1"/>
  <c r="J548" i="3" s="1"/>
  <c r="M548" i="3" s="1"/>
  <c r="J549" i="3" a="1"/>
  <c r="J549" i="3" s="1"/>
  <c r="M549" i="3" s="1"/>
  <c r="J550" i="3" a="1"/>
  <c r="J550" i="3" s="1"/>
  <c r="M550" i="3" s="1"/>
  <c r="J551" i="3" a="1"/>
  <c r="J551" i="3" s="1"/>
  <c r="M551" i="3" s="1"/>
  <c r="J552" i="3" a="1"/>
  <c r="J552" i="3" s="1"/>
  <c r="M552" i="3" s="1"/>
  <c r="J553" i="3" a="1"/>
  <c r="J553" i="3"/>
  <c r="M553" i="3" s="1"/>
  <c r="J554" i="3" a="1"/>
  <c r="J554" i="3" s="1"/>
  <c r="M554" i="3" s="1"/>
  <c r="J555" i="3" a="1"/>
  <c r="J555" i="3"/>
  <c r="M555" i="3" s="1"/>
  <c r="J556" i="3" a="1"/>
  <c r="J556" i="3" s="1"/>
  <c r="M556" i="3" s="1"/>
  <c r="J557" i="3" a="1"/>
  <c r="J557" i="3" s="1"/>
  <c r="M557" i="3" s="1"/>
  <c r="J558" i="3" a="1"/>
  <c r="J558" i="3" s="1"/>
  <c r="M558" i="3" s="1"/>
  <c r="J559" i="3" a="1"/>
  <c r="J559" i="3" s="1"/>
  <c r="M559" i="3" s="1"/>
  <c r="J560" i="3" a="1"/>
  <c r="J560" i="3" s="1"/>
  <c r="M560" i="3" s="1"/>
  <c r="J561" i="3" a="1"/>
  <c r="J561" i="3" s="1"/>
  <c r="M561" i="3" s="1"/>
  <c r="J562" i="3" a="1"/>
  <c r="J562" i="3" s="1"/>
  <c r="M562" i="3" s="1"/>
  <c r="J563" i="3" a="1"/>
  <c r="J563" i="3"/>
  <c r="M563" i="3" s="1"/>
  <c r="J564" i="3" a="1"/>
  <c r="J564" i="3" s="1"/>
  <c r="M564" i="3" s="1"/>
  <c r="J565" i="3" a="1"/>
  <c r="J565" i="3" s="1"/>
  <c r="M565" i="3" s="1"/>
  <c r="J566" i="3" a="1"/>
  <c r="J566" i="3" s="1"/>
  <c r="M566" i="3" s="1"/>
  <c r="J567" i="3" a="1"/>
  <c r="J567" i="3" s="1"/>
  <c r="M567" i="3" s="1"/>
  <c r="J568" i="3" a="1"/>
  <c r="J568" i="3" s="1"/>
  <c r="M568" i="3" s="1"/>
  <c r="J569" i="3" a="1"/>
  <c r="J569" i="3"/>
  <c r="M569" i="3" s="1"/>
  <c r="J570" i="3" a="1"/>
  <c r="J570" i="3" s="1"/>
  <c r="M570" i="3" s="1"/>
  <c r="J571" i="3" a="1"/>
  <c r="J571" i="3"/>
  <c r="M571" i="3" s="1"/>
  <c r="J572" i="3" a="1"/>
  <c r="J572" i="3" s="1"/>
  <c r="M572" i="3" s="1"/>
  <c r="J573" i="3" a="1"/>
  <c r="J573" i="3" s="1"/>
  <c r="M573" i="3" s="1"/>
  <c r="J574" i="3" a="1"/>
  <c r="J574" i="3" s="1"/>
  <c r="M574" i="3" s="1"/>
  <c r="J575" i="3" a="1"/>
  <c r="J575" i="3" s="1"/>
  <c r="M575" i="3" s="1"/>
  <c r="J576" i="3" a="1"/>
  <c r="J576" i="3" s="1"/>
  <c r="M576" i="3" s="1"/>
  <c r="J577" i="3" a="1"/>
  <c r="J577" i="3" s="1"/>
  <c r="M577" i="3" s="1"/>
  <c r="J578" i="3" a="1"/>
  <c r="J578" i="3" s="1"/>
  <c r="M578" i="3" s="1"/>
  <c r="J579" i="3" a="1"/>
  <c r="J579" i="3"/>
  <c r="M579" i="3" s="1"/>
  <c r="J580" i="3" a="1"/>
  <c r="J580" i="3" s="1"/>
  <c r="M580" i="3" s="1"/>
  <c r="J581" i="3" a="1"/>
  <c r="J581" i="3" s="1"/>
  <c r="M581" i="3" s="1"/>
  <c r="J582" i="3" a="1"/>
  <c r="J582" i="3" s="1"/>
  <c r="M582" i="3" s="1"/>
  <c r="J583" i="3" a="1"/>
  <c r="J583" i="3" s="1"/>
  <c r="M583" i="3" s="1"/>
  <c r="J584" i="3" a="1"/>
  <c r="J584" i="3" s="1"/>
  <c r="M584" i="3" s="1"/>
  <c r="J585" i="3" a="1"/>
  <c r="J585" i="3"/>
  <c r="M585" i="3" s="1"/>
  <c r="J586" i="3" a="1"/>
  <c r="J586" i="3" s="1"/>
  <c r="M586" i="3" s="1"/>
  <c r="J587" i="3" a="1"/>
  <c r="J587" i="3"/>
  <c r="M587" i="3" s="1"/>
  <c r="J588" i="3" a="1"/>
  <c r="J588" i="3" s="1"/>
  <c r="M588" i="3" s="1"/>
  <c r="J589" i="3" a="1"/>
  <c r="J589" i="3" s="1"/>
  <c r="M589" i="3" s="1"/>
  <c r="J590" i="3" a="1"/>
  <c r="J590" i="3" s="1"/>
  <c r="M590" i="3" s="1"/>
  <c r="J591" i="3" a="1"/>
  <c r="J591" i="3"/>
  <c r="M591" i="3" s="1"/>
  <c r="J592" i="3" a="1"/>
  <c r="J592" i="3" s="1"/>
  <c r="M592" i="3" s="1"/>
  <c r="J593" i="3" a="1"/>
  <c r="J593" i="3" s="1"/>
  <c r="M593" i="3" s="1"/>
  <c r="J594" i="3" a="1"/>
  <c r="J594" i="3" s="1"/>
  <c r="M594" i="3" s="1"/>
  <c r="J595" i="3" a="1"/>
  <c r="J595" i="3"/>
  <c r="M595" i="3" s="1"/>
  <c r="J596" i="3" a="1"/>
  <c r="J596" i="3" s="1"/>
  <c r="M596" i="3" s="1"/>
  <c r="J597" i="3" a="1"/>
  <c r="J597" i="3" s="1"/>
  <c r="M597" i="3" s="1"/>
  <c r="J598" i="3" a="1"/>
  <c r="J598" i="3" s="1"/>
  <c r="M598" i="3" s="1"/>
  <c r="J599" i="3" a="1"/>
  <c r="J599" i="3"/>
  <c r="M599" i="3" s="1"/>
  <c r="J600" i="3" a="1"/>
  <c r="J600" i="3" s="1"/>
  <c r="M600" i="3" s="1"/>
  <c r="J601" i="3" a="1"/>
  <c r="J601" i="3" s="1"/>
  <c r="M601" i="3" s="1"/>
  <c r="J602" i="3" a="1"/>
  <c r="J602" i="3" s="1"/>
  <c r="M602" i="3" s="1"/>
  <c r="J603" i="3" a="1"/>
  <c r="J603" i="3"/>
  <c r="M603" i="3" s="1"/>
  <c r="J604" i="3" a="1"/>
  <c r="J604" i="3" s="1"/>
  <c r="M604" i="3" s="1"/>
  <c r="J605" i="3" a="1"/>
  <c r="J605" i="3" s="1"/>
  <c r="M605" i="3" s="1"/>
  <c r="J606" i="3" a="1"/>
  <c r="J606" i="3" s="1"/>
  <c r="M606" i="3" s="1"/>
  <c r="J607" i="3" a="1"/>
  <c r="J607" i="3" s="1"/>
  <c r="M607" i="3" s="1"/>
  <c r="J608" i="3" a="1"/>
  <c r="J608" i="3" s="1"/>
  <c r="M608" i="3" s="1"/>
  <c r="J609" i="3" a="1"/>
  <c r="J609" i="3"/>
  <c r="M609" i="3" s="1"/>
  <c r="J610" i="3" a="1"/>
  <c r="J610" i="3" s="1"/>
  <c r="M610" i="3" s="1"/>
  <c r="J611" i="3" a="1"/>
  <c r="J611" i="3"/>
  <c r="M611" i="3" s="1"/>
  <c r="J612" i="3" a="1"/>
  <c r="J612" i="3" s="1"/>
  <c r="M612" i="3" s="1"/>
  <c r="J613" i="3" a="1"/>
  <c r="J613" i="3"/>
  <c r="M613" i="3" s="1"/>
  <c r="J614" i="3" a="1"/>
  <c r="J614" i="3" s="1"/>
  <c r="M614" i="3" s="1"/>
  <c r="J615" i="3" a="1"/>
  <c r="J615" i="3" s="1"/>
  <c r="M615" i="3" s="1"/>
  <c r="J616" i="3" a="1"/>
  <c r="J616" i="3" s="1"/>
  <c r="M616" i="3" s="1"/>
  <c r="J617" i="3" a="1"/>
  <c r="J617" i="3"/>
  <c r="M617" i="3" s="1"/>
  <c r="J618" i="3" a="1"/>
  <c r="J618" i="3" s="1"/>
  <c r="M618" i="3" s="1"/>
  <c r="J619" i="3" a="1"/>
  <c r="J619" i="3"/>
  <c r="M619" i="3" s="1"/>
  <c r="J620" i="3" a="1"/>
  <c r="J620" i="3" s="1"/>
  <c r="M620" i="3" s="1"/>
  <c r="J621" i="3" a="1"/>
  <c r="J621" i="3"/>
  <c r="M621" i="3" s="1"/>
  <c r="J622" i="3" a="1"/>
  <c r="J622" i="3" s="1"/>
  <c r="M622" i="3" s="1"/>
  <c r="J623" i="3" a="1"/>
  <c r="J623" i="3" s="1"/>
  <c r="M623" i="3" s="1"/>
  <c r="J624" i="3" a="1"/>
  <c r="J624" i="3" s="1"/>
  <c r="M624" i="3" s="1"/>
  <c r="J625" i="3" a="1"/>
  <c r="J625" i="3"/>
  <c r="M625" i="3" s="1"/>
  <c r="J626" i="3" a="1"/>
  <c r="J626" i="3" s="1"/>
  <c r="M626" i="3" s="1"/>
  <c r="J627" i="3" a="1"/>
  <c r="J627" i="3"/>
  <c r="M627" i="3" s="1"/>
  <c r="J628" i="3" a="1"/>
  <c r="J628" i="3" s="1"/>
  <c r="M628" i="3" s="1"/>
  <c r="J629" i="3" a="1"/>
  <c r="J629" i="3" s="1"/>
  <c r="M629" i="3" s="1"/>
  <c r="J630" i="3" a="1"/>
  <c r="J630" i="3" s="1"/>
  <c r="M630" i="3" s="1"/>
  <c r="J631" i="3" a="1"/>
  <c r="J631" i="3" s="1"/>
  <c r="M631" i="3" s="1"/>
  <c r="J632" i="3" a="1"/>
  <c r="J632" i="3" s="1"/>
  <c r="M632" i="3" s="1"/>
  <c r="J633" i="3" a="1"/>
  <c r="J633" i="3"/>
  <c r="M633" i="3" s="1"/>
  <c r="J634" i="3" a="1"/>
  <c r="J634" i="3" s="1"/>
  <c r="M634" i="3" s="1"/>
  <c r="J635" i="3" a="1"/>
  <c r="J635" i="3"/>
  <c r="M635" i="3" s="1"/>
  <c r="J636" i="3" a="1"/>
  <c r="J636" i="3" s="1"/>
  <c r="M636" i="3" s="1"/>
  <c r="J637" i="3" a="1"/>
  <c r="J637" i="3"/>
  <c r="M637" i="3" s="1"/>
  <c r="J638" i="3" a="1"/>
  <c r="J638" i="3" s="1"/>
  <c r="M638" i="3" s="1"/>
  <c r="J639" i="3" a="1"/>
  <c r="J639" i="3" s="1"/>
  <c r="M639" i="3" s="1"/>
  <c r="J640" i="3" a="1"/>
  <c r="J640" i="3" s="1"/>
  <c r="M640" i="3" s="1"/>
  <c r="J641" i="3" a="1"/>
  <c r="J641" i="3"/>
  <c r="M641" i="3" s="1"/>
  <c r="J642" i="3" a="1"/>
  <c r="J642" i="3" s="1"/>
  <c r="M642" i="3" s="1"/>
  <c r="J643" i="3" a="1"/>
  <c r="J643" i="3"/>
  <c r="M643" i="3" s="1"/>
  <c r="J644" i="3" a="1"/>
  <c r="J644" i="3" s="1"/>
  <c r="M644" i="3" s="1"/>
  <c r="J645" i="3" a="1"/>
  <c r="J645" i="3"/>
  <c r="M645" i="3" s="1"/>
  <c r="J646" i="3" a="1"/>
  <c r="J646" i="3" s="1"/>
  <c r="M646" i="3" s="1"/>
  <c r="J647" i="3" a="1"/>
  <c r="J647" i="3" s="1"/>
  <c r="M647" i="3" s="1"/>
  <c r="J648" i="3" a="1"/>
  <c r="J648" i="3" s="1"/>
  <c r="M648" i="3" s="1"/>
  <c r="J649" i="3" a="1"/>
  <c r="J649" i="3"/>
  <c r="M649" i="3" s="1"/>
  <c r="J650" i="3" a="1"/>
  <c r="J650" i="3" s="1"/>
  <c r="M650" i="3" s="1"/>
  <c r="J651" i="3" a="1"/>
  <c r="J651" i="3"/>
  <c r="M651" i="3" s="1"/>
  <c r="J652" i="3" a="1"/>
  <c r="J652" i="3" s="1"/>
  <c r="M652" i="3" s="1"/>
  <c r="J653" i="3" a="1"/>
  <c r="J653" i="3"/>
  <c r="M653" i="3" s="1"/>
  <c r="J654" i="3" a="1"/>
  <c r="J654" i="3" s="1"/>
  <c r="M654" i="3" s="1"/>
  <c r="J655" i="3" a="1"/>
  <c r="J655" i="3" s="1"/>
  <c r="M655" i="3" s="1"/>
  <c r="J656" i="3" a="1"/>
  <c r="J656" i="3" s="1"/>
  <c r="M656" i="3" s="1"/>
  <c r="J657" i="3" a="1"/>
  <c r="J657" i="3"/>
  <c r="M657" i="3" s="1"/>
  <c r="J658" i="3" a="1"/>
  <c r="J658" i="3" s="1"/>
  <c r="M658" i="3" s="1"/>
  <c r="J659" i="3" a="1"/>
  <c r="J659" i="3"/>
  <c r="M659" i="3" s="1"/>
  <c r="J660" i="3" a="1"/>
  <c r="J660" i="3" s="1"/>
  <c r="M660" i="3" s="1"/>
  <c r="J661" i="3" a="1"/>
  <c r="J661" i="3"/>
  <c r="M661" i="3" s="1"/>
  <c r="J662" i="3" a="1"/>
  <c r="J662" i="3" s="1"/>
  <c r="M662" i="3" s="1"/>
  <c r="J663" i="3" a="1"/>
  <c r="J663" i="3" s="1"/>
  <c r="M663" i="3" s="1"/>
  <c r="J664" i="3" a="1"/>
  <c r="J664" i="3" s="1"/>
  <c r="M664" i="3" s="1"/>
  <c r="J665" i="3" a="1"/>
  <c r="J665" i="3"/>
  <c r="M665" i="3" s="1"/>
  <c r="J666" i="3" a="1"/>
  <c r="J666" i="3" s="1"/>
  <c r="M666" i="3" s="1"/>
  <c r="J667" i="3" a="1"/>
  <c r="J667" i="3"/>
  <c r="M667" i="3" s="1"/>
  <c r="J668" i="3" a="1"/>
  <c r="J668" i="3" s="1"/>
  <c r="M668" i="3" s="1"/>
  <c r="J669" i="3" a="1"/>
  <c r="J669" i="3"/>
  <c r="M669" i="3" s="1"/>
  <c r="J670" i="3" a="1"/>
  <c r="J670" i="3" s="1"/>
  <c r="M670" i="3" s="1"/>
  <c r="J671" i="3" a="1"/>
  <c r="J671" i="3" s="1"/>
  <c r="M671" i="3" s="1"/>
  <c r="J672" i="3" a="1"/>
  <c r="J672" i="3" s="1"/>
  <c r="M672" i="3" s="1"/>
  <c r="J673" i="3" a="1"/>
  <c r="J673" i="3"/>
  <c r="M673" i="3" s="1"/>
  <c r="J674" i="3" a="1"/>
  <c r="J674" i="3" s="1"/>
  <c r="M674" i="3" s="1"/>
  <c r="J675" i="3" a="1"/>
  <c r="J675" i="3"/>
  <c r="M675" i="3" s="1"/>
  <c r="J676" i="3" a="1"/>
  <c r="J676" i="3" s="1"/>
  <c r="M676" i="3" s="1"/>
  <c r="J677" i="3" a="1"/>
  <c r="J677" i="3"/>
  <c r="M677" i="3" s="1"/>
  <c r="J678" i="3" a="1"/>
  <c r="J678" i="3" s="1"/>
  <c r="M678" i="3" s="1"/>
  <c r="J679" i="3" a="1"/>
  <c r="J679" i="3" s="1"/>
  <c r="M679" i="3" s="1"/>
  <c r="J680" i="3" a="1"/>
  <c r="J680" i="3" s="1"/>
  <c r="M680" i="3" s="1"/>
  <c r="J681" i="3" a="1"/>
  <c r="J681" i="3"/>
  <c r="M681" i="3" s="1"/>
  <c r="J682" i="3" a="1"/>
  <c r="J682" i="3" s="1"/>
  <c r="M682" i="3" s="1"/>
  <c r="J683" i="3" a="1"/>
  <c r="J683" i="3"/>
  <c r="M683" i="3" s="1"/>
  <c r="J684" i="3" a="1"/>
  <c r="J684" i="3" s="1"/>
  <c r="M684" i="3" s="1"/>
  <c r="J685" i="3" a="1"/>
  <c r="J685" i="3"/>
  <c r="M685" i="3" s="1"/>
  <c r="J686" i="3" a="1"/>
  <c r="J686" i="3" s="1"/>
  <c r="M686" i="3" s="1"/>
  <c r="J687" i="3" a="1"/>
  <c r="J687" i="3" s="1"/>
  <c r="M687" i="3" s="1"/>
  <c r="J688" i="3" a="1"/>
  <c r="J688" i="3" s="1"/>
  <c r="M688" i="3" s="1"/>
  <c r="J689" i="3" a="1"/>
  <c r="J689" i="3" s="1"/>
  <c r="M689" i="3" s="1"/>
  <c r="J690" i="3" a="1"/>
  <c r="J690" i="3" s="1"/>
  <c r="M690" i="3" s="1"/>
  <c r="J691" i="3" a="1"/>
  <c r="J691" i="3"/>
  <c r="M691" i="3" s="1"/>
  <c r="J692" i="3" a="1"/>
  <c r="J692" i="3" s="1"/>
  <c r="M692" i="3" s="1"/>
  <c r="J693" i="3" a="1"/>
  <c r="J693" i="3"/>
  <c r="M693" i="3" s="1"/>
  <c r="J694" i="3" a="1"/>
  <c r="J694" i="3" s="1"/>
  <c r="M694" i="3" s="1"/>
  <c r="J695" i="3" a="1"/>
  <c r="J695" i="3" s="1"/>
  <c r="M695" i="3" s="1"/>
  <c r="J696" i="3" a="1"/>
  <c r="J696" i="3" s="1"/>
  <c r="M696" i="3" s="1"/>
  <c r="J697" i="3" a="1"/>
  <c r="J697" i="3"/>
  <c r="M697" i="3" s="1"/>
  <c r="J698" i="3" a="1"/>
  <c r="J698" i="3" s="1"/>
  <c r="M698" i="3" s="1"/>
  <c r="J699" i="3" a="1"/>
  <c r="J699" i="3"/>
  <c r="M699" i="3" s="1"/>
  <c r="J700" i="3" a="1"/>
  <c r="J700" i="3" s="1"/>
  <c r="M700" i="3" s="1"/>
  <c r="J701" i="3" a="1"/>
  <c r="J701" i="3"/>
  <c r="M701" i="3" s="1"/>
  <c r="J702" i="3" a="1"/>
  <c r="J702" i="3" s="1"/>
  <c r="M702" i="3" s="1"/>
  <c r="J703" i="3" a="1"/>
  <c r="J703" i="3" s="1"/>
  <c r="M703" i="3" s="1"/>
  <c r="J704" i="3" a="1"/>
  <c r="J704" i="3"/>
  <c r="M704" i="3" s="1"/>
  <c r="J705" i="3" a="1"/>
  <c r="J705" i="3" s="1"/>
  <c r="M705" i="3" s="1"/>
  <c r="J706" i="3" a="1"/>
  <c r="J706" i="3" s="1"/>
  <c r="M706" i="3" s="1"/>
  <c r="J707" i="3" a="1"/>
  <c r="J707" i="3" s="1"/>
  <c r="M707" i="3" s="1"/>
  <c r="J708" i="3" a="1"/>
  <c r="J708" i="3"/>
  <c r="M708" i="3" s="1"/>
  <c r="J709" i="3" a="1"/>
  <c r="J709" i="3" s="1"/>
  <c r="M709" i="3" s="1"/>
  <c r="J710" i="3" a="1"/>
  <c r="J710" i="3"/>
  <c r="M710" i="3" s="1"/>
  <c r="J711" i="3" a="1"/>
  <c r="J711" i="3" s="1"/>
  <c r="M711" i="3" s="1"/>
  <c r="J712" i="3" a="1"/>
  <c r="J712" i="3"/>
  <c r="M712" i="3" s="1"/>
  <c r="J713" i="3" a="1"/>
  <c r="J713" i="3" s="1"/>
  <c r="M713" i="3" s="1"/>
  <c r="J714" i="3" a="1"/>
  <c r="J714" i="3" s="1"/>
  <c r="M714" i="3" s="1"/>
  <c r="J715" i="3" a="1"/>
  <c r="J715" i="3" s="1"/>
  <c r="M715" i="3" s="1"/>
  <c r="J716" i="3" a="1"/>
  <c r="J716" i="3"/>
  <c r="M716" i="3" s="1"/>
  <c r="J717" i="3" a="1"/>
  <c r="J717" i="3" s="1"/>
  <c r="M717" i="3" s="1"/>
  <c r="J718" i="3" a="1"/>
  <c r="J718" i="3"/>
  <c r="M718" i="3" s="1"/>
  <c r="J719" i="3" a="1"/>
  <c r="J719" i="3" s="1"/>
  <c r="M719" i="3" s="1"/>
  <c r="J720" i="3" a="1"/>
  <c r="J720" i="3"/>
  <c r="M720" i="3" s="1"/>
  <c r="J721" i="3" a="1"/>
  <c r="J721" i="3" s="1"/>
  <c r="M721" i="3" s="1"/>
  <c r="J722" i="3" a="1"/>
  <c r="J722" i="3" s="1"/>
  <c r="M722" i="3" s="1"/>
  <c r="J723" i="3" a="1"/>
  <c r="J723" i="3" s="1"/>
  <c r="M723" i="3" s="1"/>
  <c r="J724" i="3" a="1"/>
  <c r="J724" i="3"/>
  <c r="M724" i="3" s="1"/>
  <c r="J725" i="3" a="1"/>
  <c r="J725" i="3" s="1"/>
  <c r="M725" i="3" s="1"/>
  <c r="J726" i="3" a="1"/>
  <c r="J726" i="3"/>
  <c r="M726" i="3" s="1"/>
  <c r="J727" i="3" a="1"/>
  <c r="J727" i="3" s="1"/>
  <c r="M727" i="3" s="1"/>
  <c r="J728" i="3" a="1"/>
  <c r="J728" i="3"/>
  <c r="M728" i="3" s="1"/>
  <c r="J729" i="3" a="1"/>
  <c r="J729" i="3" s="1"/>
  <c r="M729" i="3" s="1"/>
  <c r="J730" i="3" a="1"/>
  <c r="J730" i="3" s="1"/>
  <c r="M730" i="3" s="1"/>
  <c r="J731" i="3" a="1"/>
  <c r="J731" i="3" s="1"/>
  <c r="M731" i="3" s="1"/>
  <c r="J732" i="3" a="1"/>
  <c r="J732" i="3"/>
  <c r="M732" i="3" s="1"/>
  <c r="J733" i="3" a="1"/>
  <c r="J733" i="3" s="1"/>
  <c r="M733" i="3" s="1"/>
  <c r="J734" i="3" a="1"/>
  <c r="J734" i="3"/>
  <c r="M734" i="3" s="1"/>
  <c r="J735" i="3" a="1"/>
  <c r="J735" i="3" s="1"/>
  <c r="M735" i="3" s="1"/>
  <c r="J736" i="3" a="1"/>
  <c r="J736" i="3"/>
  <c r="M736" i="3" s="1"/>
  <c r="J737" i="3" a="1"/>
  <c r="J737" i="3" s="1"/>
  <c r="M737" i="3" s="1"/>
  <c r="J738" i="3" a="1"/>
  <c r="J738" i="3" s="1"/>
  <c r="M738" i="3" s="1"/>
  <c r="J739" i="3" a="1"/>
  <c r="J739" i="3" s="1"/>
  <c r="M739" i="3" s="1"/>
  <c r="J740" i="3" a="1"/>
  <c r="J740" i="3"/>
  <c r="M740" i="3" s="1"/>
  <c r="J741" i="3" a="1"/>
  <c r="J741" i="3" s="1"/>
  <c r="M741" i="3" s="1"/>
  <c r="J742" i="3" a="1"/>
  <c r="J742" i="3"/>
  <c r="M742" i="3" s="1"/>
  <c r="J743" i="3" a="1"/>
  <c r="J743" i="3" s="1"/>
  <c r="M743" i="3" s="1"/>
  <c r="J744" i="3" a="1"/>
  <c r="J744" i="3"/>
  <c r="M744" i="3" s="1"/>
  <c r="J745" i="3" a="1"/>
  <c r="J745" i="3" s="1"/>
  <c r="M745" i="3" s="1"/>
  <c r="J746" i="3" a="1"/>
  <c r="J746" i="3" s="1"/>
  <c r="M746" i="3" s="1"/>
  <c r="J747" i="3" a="1"/>
  <c r="J747" i="3" s="1"/>
  <c r="M747" i="3" s="1"/>
  <c r="J748" i="3" a="1"/>
  <c r="J748" i="3"/>
  <c r="M748" i="3" s="1"/>
  <c r="J749" i="3" a="1"/>
  <c r="J749" i="3" s="1"/>
  <c r="M749" i="3" s="1"/>
  <c r="J750" i="3" a="1"/>
  <c r="J750" i="3"/>
  <c r="M750" i="3" s="1"/>
  <c r="J751" i="3" a="1"/>
  <c r="J751" i="3" s="1"/>
  <c r="M751" i="3" s="1"/>
  <c r="J752" i="3" a="1"/>
  <c r="J752" i="3"/>
  <c r="M752" i="3" s="1"/>
  <c r="J753" i="3" a="1"/>
  <c r="J753" i="3" s="1"/>
  <c r="M753" i="3" s="1"/>
  <c r="J754" i="3" a="1"/>
  <c r="J754" i="3" s="1"/>
  <c r="M754" i="3" s="1"/>
  <c r="J755" i="3" a="1"/>
  <c r="J755" i="3" s="1"/>
  <c r="M755" i="3" s="1"/>
  <c r="J756" i="3" a="1"/>
  <c r="J756" i="3"/>
  <c r="M756" i="3" s="1"/>
  <c r="J757" i="3" a="1"/>
  <c r="J757" i="3" s="1"/>
  <c r="M757" i="3" s="1"/>
  <c r="J758" i="3" a="1"/>
  <c r="J758" i="3"/>
  <c r="M758" i="3" s="1"/>
  <c r="J759" i="3" a="1"/>
  <c r="J759" i="3" s="1"/>
  <c r="M759" i="3" s="1"/>
  <c r="J760" i="3" a="1"/>
  <c r="J760" i="3"/>
  <c r="M760" i="3" s="1"/>
  <c r="J761" i="3" a="1"/>
  <c r="J761" i="3" s="1"/>
  <c r="M761" i="3" s="1"/>
  <c r="J762" i="3" a="1"/>
  <c r="J762" i="3" s="1"/>
  <c r="M762" i="3" s="1"/>
  <c r="J763" i="3" a="1"/>
  <c r="J763" i="3" s="1"/>
  <c r="M763" i="3" s="1"/>
  <c r="J764" i="3" a="1"/>
  <c r="J764" i="3"/>
  <c r="M764" i="3" s="1"/>
  <c r="J765" i="3" a="1"/>
  <c r="J765" i="3" s="1"/>
  <c r="M765" i="3" s="1"/>
  <c r="J766" i="3" a="1"/>
  <c r="J766" i="3"/>
  <c r="M766" i="3" s="1"/>
  <c r="J767" i="3" a="1"/>
  <c r="J767" i="3" s="1"/>
  <c r="M767" i="3" s="1"/>
  <c r="J768" i="3" a="1"/>
  <c r="J768" i="3"/>
  <c r="M768" i="3" s="1"/>
  <c r="J769" i="3" a="1"/>
  <c r="J769" i="3" s="1"/>
  <c r="M769" i="3" s="1"/>
  <c r="J770" i="3" a="1"/>
  <c r="J770" i="3" s="1"/>
  <c r="M770" i="3" s="1"/>
  <c r="J771" i="3" a="1"/>
  <c r="J771" i="3" s="1"/>
  <c r="M771" i="3" s="1"/>
  <c r="J772" i="3" a="1"/>
  <c r="J772" i="3"/>
  <c r="M772" i="3" s="1"/>
  <c r="J773" i="3" a="1"/>
  <c r="J773" i="3" s="1"/>
  <c r="M773" i="3" s="1"/>
  <c r="J774" i="3" a="1"/>
  <c r="J774" i="3"/>
  <c r="M774" i="3" s="1"/>
  <c r="J775" i="3" a="1"/>
  <c r="J775" i="3" s="1"/>
  <c r="M775" i="3" s="1"/>
  <c r="J776" i="3" a="1"/>
  <c r="J776" i="3"/>
  <c r="M776" i="3" s="1"/>
  <c r="J777" i="3" a="1"/>
  <c r="J777" i="3" s="1"/>
  <c r="M777" i="3" s="1"/>
  <c r="J778" i="3" a="1"/>
  <c r="J778" i="3" s="1"/>
  <c r="M778" i="3" s="1"/>
  <c r="J779" i="3" a="1"/>
  <c r="J779" i="3" s="1"/>
  <c r="M779" i="3" s="1"/>
  <c r="J780" i="3" a="1"/>
  <c r="J780" i="3" s="1"/>
  <c r="M780" i="3" s="1"/>
  <c r="J781" i="3" a="1"/>
  <c r="J781" i="3" s="1"/>
  <c r="M781" i="3" s="1"/>
  <c r="J782" i="3" a="1"/>
  <c r="J782" i="3"/>
  <c r="M782" i="3" s="1"/>
  <c r="J783" i="3" a="1"/>
  <c r="J783" i="3" s="1"/>
  <c r="M783" i="3" s="1"/>
  <c r="J784" i="3" a="1"/>
  <c r="J784" i="3"/>
  <c r="M784" i="3" s="1"/>
  <c r="J785" i="3" a="1"/>
  <c r="J785" i="3" s="1"/>
  <c r="M785" i="3" s="1"/>
  <c r="J786" i="3" a="1"/>
  <c r="J786" i="3" s="1"/>
  <c r="M786" i="3" s="1"/>
  <c r="J787" i="3" a="1"/>
  <c r="J787" i="3" s="1"/>
  <c r="M787" i="3" s="1"/>
  <c r="J788" i="3" a="1"/>
  <c r="J788" i="3" s="1"/>
  <c r="M788" i="3" s="1"/>
  <c r="J789" i="3" a="1"/>
  <c r="J789" i="3" s="1"/>
  <c r="M789" i="3" s="1"/>
  <c r="J790" i="3" a="1"/>
  <c r="J790" i="3"/>
  <c r="M790" i="3" s="1"/>
  <c r="J791" i="3" a="1"/>
  <c r="J791" i="3" s="1"/>
  <c r="M791" i="3" s="1"/>
  <c r="J792" i="3" a="1"/>
  <c r="J792" i="3"/>
  <c r="M792" i="3" s="1"/>
  <c r="J793" i="3" a="1"/>
  <c r="J793" i="3" s="1"/>
  <c r="M793" i="3" s="1"/>
  <c r="J794" i="3" a="1"/>
  <c r="J794" i="3" s="1"/>
  <c r="M794" i="3" s="1"/>
  <c r="J795" i="3" a="1"/>
  <c r="J795" i="3" s="1"/>
  <c r="M795" i="3" s="1"/>
  <c r="J796" i="3" a="1"/>
  <c r="J796" i="3" s="1"/>
  <c r="M796" i="3" s="1"/>
  <c r="J797" i="3" a="1"/>
  <c r="J797" i="3" s="1"/>
  <c r="M797" i="3" s="1"/>
  <c r="J798" i="3" a="1"/>
  <c r="J798" i="3"/>
  <c r="M798" i="3" s="1"/>
  <c r="J799" i="3" a="1"/>
  <c r="J799" i="3" s="1"/>
  <c r="M799" i="3" s="1"/>
  <c r="J800" i="3" a="1"/>
  <c r="J800" i="3"/>
  <c r="M800" i="3" s="1"/>
  <c r="J801" i="3" a="1"/>
  <c r="J801" i="3" s="1"/>
  <c r="M801" i="3" s="1"/>
  <c r="J802" i="3" a="1"/>
  <c r="J802" i="3" s="1"/>
  <c r="M802" i="3" s="1"/>
  <c r="J803" i="3" a="1"/>
  <c r="J803" i="3" s="1"/>
  <c r="M803" i="3" s="1"/>
  <c r="J804" i="3" a="1"/>
  <c r="J804" i="3" s="1"/>
  <c r="M804" i="3" s="1"/>
  <c r="J805" i="3" a="1"/>
  <c r="J805" i="3" s="1"/>
  <c r="M805" i="3" s="1"/>
  <c r="J806" i="3" a="1"/>
  <c r="J806" i="3"/>
  <c r="M806" i="3" s="1"/>
  <c r="J807" i="3" a="1"/>
  <c r="J807" i="3" s="1"/>
  <c r="M807" i="3" s="1"/>
  <c r="J808" i="3" a="1"/>
  <c r="J808" i="3"/>
  <c r="M808" i="3" s="1"/>
  <c r="J809" i="3" a="1"/>
  <c r="J809" i="3" s="1"/>
  <c r="M809" i="3" s="1"/>
  <c r="J810" i="3" a="1"/>
  <c r="J810" i="3" s="1"/>
  <c r="M810" i="3" s="1"/>
  <c r="J811" i="3" a="1"/>
  <c r="J811" i="3" s="1"/>
  <c r="M811" i="3" s="1"/>
  <c r="J812" i="3" a="1"/>
  <c r="J812" i="3" s="1"/>
  <c r="M812" i="3" s="1"/>
  <c r="J813" i="3" a="1"/>
  <c r="J813" i="3" s="1"/>
  <c r="M813" i="3" s="1"/>
  <c r="J814" i="3" a="1"/>
  <c r="J814" i="3"/>
  <c r="M814" i="3" s="1"/>
  <c r="J815" i="3" a="1"/>
  <c r="J815" i="3" s="1"/>
  <c r="M815" i="3" s="1"/>
  <c r="J816" i="3" a="1"/>
  <c r="J816" i="3"/>
  <c r="M816" i="3" s="1"/>
  <c r="J817" i="3" a="1"/>
  <c r="J817" i="3" s="1"/>
  <c r="M817" i="3" s="1"/>
  <c r="J818" i="3" a="1"/>
  <c r="J818" i="3" s="1"/>
  <c r="M818" i="3" s="1"/>
  <c r="J819" i="3" a="1"/>
  <c r="J819" i="3" s="1"/>
  <c r="M819" i="3" s="1"/>
  <c r="J820" i="3" a="1"/>
  <c r="J820" i="3" s="1"/>
  <c r="M820" i="3" s="1"/>
  <c r="J821" i="3" a="1"/>
  <c r="J821" i="3" s="1"/>
  <c r="M821" i="3" s="1"/>
  <c r="J822" i="3" a="1"/>
  <c r="J822" i="3"/>
  <c r="M822" i="3" s="1"/>
  <c r="J823" i="3" a="1"/>
  <c r="J823" i="3" s="1"/>
  <c r="M823" i="3" s="1"/>
  <c r="J824" i="3" a="1"/>
  <c r="J824" i="3"/>
  <c r="M824" i="3" s="1"/>
  <c r="J825" i="3" a="1"/>
  <c r="J825" i="3" s="1"/>
  <c r="M825" i="3" s="1"/>
  <c r="J826" i="3" a="1"/>
  <c r="J826" i="3" s="1"/>
  <c r="M826" i="3" s="1"/>
  <c r="J827" i="3" a="1"/>
  <c r="J827" i="3" s="1"/>
  <c r="M827" i="3" s="1"/>
  <c r="J828" i="3" a="1"/>
  <c r="J828" i="3" s="1"/>
  <c r="M828" i="3" s="1"/>
  <c r="J829" i="3" a="1"/>
  <c r="J829" i="3" s="1"/>
  <c r="M829" i="3" s="1"/>
  <c r="J830" i="3" a="1"/>
  <c r="J830" i="3"/>
  <c r="M830" i="3" s="1"/>
  <c r="J831" i="3" a="1"/>
  <c r="J831" i="3" s="1"/>
  <c r="M831" i="3" s="1"/>
  <c r="J832" i="3" a="1"/>
  <c r="J832" i="3"/>
  <c r="M832" i="3" s="1"/>
  <c r="J833" i="3" a="1"/>
  <c r="J833" i="3" s="1"/>
  <c r="M833" i="3" s="1"/>
  <c r="J834" i="3" a="1"/>
  <c r="J834" i="3" s="1"/>
  <c r="M834" i="3" s="1"/>
  <c r="J835" i="3" a="1"/>
  <c r="J835" i="3" s="1"/>
  <c r="M835" i="3" s="1"/>
  <c r="J836" i="3" a="1"/>
  <c r="J836" i="3" s="1"/>
  <c r="M836" i="3" s="1"/>
  <c r="J837" i="3" a="1"/>
  <c r="J837" i="3" s="1"/>
  <c r="M837" i="3" s="1"/>
  <c r="J838" i="3" a="1"/>
  <c r="J838" i="3"/>
  <c r="M838" i="3" s="1"/>
  <c r="J839" i="3" a="1"/>
  <c r="J839" i="3" s="1"/>
  <c r="M839" i="3" s="1"/>
  <c r="J840" i="3" a="1"/>
  <c r="J840" i="3"/>
  <c r="M840" i="3" s="1"/>
  <c r="J841" i="3" a="1"/>
  <c r="J841" i="3" s="1"/>
  <c r="M841" i="3" s="1"/>
  <c r="J842" i="3" a="1"/>
  <c r="J842" i="3" s="1"/>
  <c r="M842" i="3" s="1"/>
  <c r="J843" i="3" a="1"/>
  <c r="J843" i="3" s="1"/>
  <c r="M843" i="3" s="1"/>
  <c r="J844" i="3" a="1"/>
  <c r="J844" i="3" s="1"/>
  <c r="M844" i="3" s="1"/>
  <c r="J845" i="3" a="1"/>
  <c r="J845" i="3" s="1"/>
  <c r="M845" i="3" s="1"/>
  <c r="J846" i="3" a="1"/>
  <c r="J846" i="3"/>
  <c r="M846" i="3" s="1"/>
  <c r="J847" i="3" a="1"/>
  <c r="J847" i="3" s="1"/>
  <c r="M847" i="3" s="1"/>
  <c r="J848" i="3" a="1"/>
  <c r="J848" i="3"/>
  <c r="M848" i="3" s="1"/>
  <c r="J849" i="3" a="1"/>
  <c r="J849" i="3" s="1"/>
  <c r="M849" i="3" s="1"/>
  <c r="J850" i="3" a="1"/>
  <c r="J850" i="3" s="1"/>
  <c r="M850" i="3" s="1"/>
  <c r="J851" i="3" a="1"/>
  <c r="J851" i="3" s="1"/>
  <c r="M851" i="3" s="1"/>
  <c r="J852" i="3" a="1"/>
  <c r="J852" i="3" s="1"/>
  <c r="M852" i="3" s="1"/>
  <c r="J853" i="3" a="1"/>
  <c r="J853" i="3" s="1"/>
  <c r="M853" i="3" s="1"/>
  <c r="J854" i="3" a="1"/>
  <c r="J854" i="3"/>
  <c r="M854" i="3" s="1"/>
  <c r="J855" i="3" a="1"/>
  <c r="J855" i="3" s="1"/>
  <c r="M855" i="3" s="1"/>
  <c r="J856" i="3" a="1"/>
  <c r="J856" i="3"/>
  <c r="M856" i="3" s="1"/>
  <c r="J857" i="3" a="1"/>
  <c r="J857" i="3" s="1"/>
  <c r="M857" i="3" s="1"/>
  <c r="J858" i="3" a="1"/>
  <c r="J858" i="3" s="1"/>
  <c r="M858" i="3" s="1"/>
  <c r="J859" i="3" a="1"/>
  <c r="J859" i="3" s="1"/>
  <c r="M859" i="3" s="1"/>
  <c r="J860" i="3" a="1"/>
  <c r="J860" i="3" s="1"/>
  <c r="M860" i="3" s="1"/>
  <c r="J861" i="3" a="1"/>
  <c r="J861" i="3" s="1"/>
  <c r="M861" i="3" s="1"/>
  <c r="J862" i="3" a="1"/>
  <c r="J862" i="3"/>
  <c r="M862" i="3" s="1"/>
  <c r="J863" i="3" a="1"/>
  <c r="J863" i="3" s="1"/>
  <c r="M863" i="3" s="1"/>
  <c r="J864" i="3" a="1"/>
  <c r="J864" i="3"/>
  <c r="M864" i="3" s="1"/>
  <c r="J865" i="3" a="1"/>
  <c r="J865" i="3" s="1"/>
  <c r="M865" i="3" s="1"/>
  <c r="J866" i="3" a="1"/>
  <c r="J866" i="3" s="1"/>
  <c r="M866" i="3" s="1"/>
  <c r="J867" i="3" a="1"/>
  <c r="J867" i="3" s="1"/>
  <c r="M867" i="3" s="1"/>
  <c r="J868" i="3" a="1"/>
  <c r="J868" i="3" s="1"/>
  <c r="M868" i="3" s="1"/>
  <c r="J869" i="3" a="1"/>
  <c r="J869" i="3" s="1"/>
  <c r="M869" i="3" s="1"/>
  <c r="J870" i="3" a="1"/>
  <c r="J870" i="3"/>
  <c r="M870" i="3" s="1"/>
  <c r="J871" i="3" a="1"/>
  <c r="J871" i="3" s="1"/>
  <c r="M871" i="3" s="1"/>
  <c r="J872" i="3" a="1"/>
  <c r="J872" i="3"/>
  <c r="M872" i="3" s="1"/>
  <c r="J873" i="3" a="1"/>
  <c r="J873" i="3" s="1"/>
  <c r="M873" i="3" s="1"/>
  <c r="J874" i="3" a="1"/>
  <c r="J874" i="3" s="1"/>
  <c r="M874" i="3" s="1"/>
  <c r="J875" i="3" a="1"/>
  <c r="J875" i="3" s="1"/>
  <c r="M875" i="3" s="1"/>
  <c r="J876" i="3" a="1"/>
  <c r="J876" i="3" s="1"/>
  <c r="M876" i="3" s="1"/>
  <c r="J877" i="3" a="1"/>
  <c r="J877" i="3" s="1"/>
  <c r="M877" i="3" s="1"/>
  <c r="J878" i="3" a="1"/>
  <c r="J878" i="3"/>
  <c r="M878" i="3" s="1"/>
  <c r="J879" i="3" a="1"/>
  <c r="J879" i="3" s="1"/>
  <c r="M879" i="3" s="1"/>
  <c r="J880" i="3" a="1"/>
  <c r="J880" i="3"/>
  <c r="M880" i="3" s="1"/>
  <c r="J881" i="3" a="1"/>
  <c r="J881" i="3" s="1"/>
  <c r="M881" i="3" s="1"/>
  <c r="J882" i="3" a="1"/>
  <c r="J882" i="3" s="1"/>
  <c r="M882" i="3" s="1"/>
  <c r="J883" i="3" a="1"/>
  <c r="J883" i="3" s="1"/>
  <c r="M883" i="3" s="1"/>
  <c r="J884" i="3" a="1"/>
  <c r="J884" i="3" s="1"/>
  <c r="M884" i="3" s="1"/>
  <c r="J885" i="3" a="1"/>
  <c r="J885" i="3" s="1"/>
  <c r="M885" i="3" s="1"/>
  <c r="J886" i="3" a="1"/>
  <c r="J886" i="3"/>
  <c r="M886" i="3" s="1"/>
  <c r="J887" i="3" a="1"/>
  <c r="J887" i="3" s="1"/>
  <c r="M887" i="3" s="1"/>
  <c r="J888" i="3" a="1"/>
  <c r="J888" i="3"/>
  <c r="M888" i="3" s="1"/>
  <c r="J889" i="3" a="1"/>
  <c r="J889" i="3" s="1"/>
  <c r="M889" i="3" s="1"/>
  <c r="J890" i="3" a="1"/>
  <c r="J890" i="3" s="1"/>
  <c r="M890" i="3" s="1"/>
  <c r="J891" i="3" a="1"/>
  <c r="J891" i="3" s="1"/>
  <c r="M891" i="3" s="1"/>
  <c r="J892" i="3" a="1"/>
  <c r="J892" i="3" s="1"/>
  <c r="M892" i="3" s="1"/>
  <c r="J893" i="3" a="1"/>
  <c r="J893" i="3" s="1"/>
  <c r="M893" i="3" s="1"/>
  <c r="J894" i="3" a="1"/>
  <c r="J894" i="3"/>
  <c r="M894" i="3" s="1"/>
  <c r="J895" i="3" a="1"/>
  <c r="J895" i="3" s="1"/>
  <c r="M895" i="3" s="1"/>
  <c r="J896" i="3" a="1"/>
  <c r="J896" i="3"/>
  <c r="M896" i="3" s="1"/>
  <c r="J897" i="3" a="1"/>
  <c r="J897" i="3" s="1"/>
  <c r="M897" i="3" s="1"/>
  <c r="J898" i="3" a="1"/>
  <c r="J898" i="3" s="1"/>
  <c r="M898" i="3" s="1"/>
  <c r="J899" i="3" a="1"/>
  <c r="J899" i="3" s="1"/>
  <c r="M899" i="3" s="1"/>
  <c r="J900" i="3" a="1"/>
  <c r="J900" i="3" s="1"/>
  <c r="M900" i="3" s="1"/>
  <c r="J901" i="3" a="1"/>
  <c r="J901" i="3" s="1"/>
  <c r="M901" i="3" s="1"/>
  <c r="J902" i="3" a="1"/>
  <c r="J902" i="3"/>
  <c r="M902" i="3" s="1"/>
  <c r="J903" i="3" a="1"/>
  <c r="J903" i="3" s="1"/>
  <c r="M903" i="3" s="1"/>
  <c r="J904" i="3" a="1"/>
  <c r="J904" i="3"/>
  <c r="M904" i="3" s="1"/>
  <c r="J905" i="3" a="1"/>
  <c r="J905" i="3" s="1"/>
  <c r="M905" i="3" s="1"/>
  <c r="J906" i="3" a="1"/>
  <c r="J906" i="3" s="1"/>
  <c r="M906" i="3" s="1"/>
  <c r="J907" i="3" a="1"/>
  <c r="J907" i="3" s="1"/>
  <c r="M907" i="3" s="1"/>
  <c r="J908" i="3" a="1"/>
  <c r="J908" i="3" s="1"/>
  <c r="M908" i="3" s="1"/>
  <c r="J909" i="3" a="1"/>
  <c r="J909" i="3" s="1"/>
  <c r="M909" i="3" s="1"/>
  <c r="J910" i="3" a="1"/>
  <c r="J910" i="3"/>
  <c r="M910" i="3" s="1"/>
  <c r="J911" i="3" a="1"/>
  <c r="J911" i="3" s="1"/>
  <c r="M911" i="3" s="1"/>
  <c r="J912" i="3" a="1"/>
  <c r="J912" i="3"/>
  <c r="M912" i="3" s="1"/>
  <c r="J913" i="3" a="1"/>
  <c r="J913" i="3" s="1"/>
  <c r="M913" i="3" s="1"/>
  <c r="J914" i="3" a="1"/>
  <c r="J914" i="3" s="1"/>
  <c r="M914" i="3" s="1"/>
  <c r="J915" i="3" a="1"/>
  <c r="J915" i="3" s="1"/>
  <c r="M915" i="3" s="1"/>
  <c r="J916" i="3" a="1"/>
  <c r="J916" i="3" s="1"/>
  <c r="M916" i="3" s="1"/>
  <c r="J917" i="3" a="1"/>
  <c r="J917" i="3" s="1"/>
  <c r="M917" i="3" s="1"/>
  <c r="J918" i="3" a="1"/>
  <c r="J918" i="3"/>
  <c r="M918" i="3" s="1"/>
  <c r="J919" i="3" a="1"/>
  <c r="J919" i="3" s="1"/>
  <c r="M919" i="3" s="1"/>
  <c r="J920" i="3" a="1"/>
  <c r="J920" i="3"/>
  <c r="M920" i="3" s="1"/>
  <c r="J921" i="3" a="1"/>
  <c r="J921" i="3" s="1"/>
  <c r="M921" i="3" s="1"/>
  <c r="J922" i="3" a="1"/>
  <c r="J922" i="3" s="1"/>
  <c r="M922" i="3" s="1"/>
  <c r="J923" i="3" a="1"/>
  <c r="J923" i="3" s="1"/>
  <c r="M923" i="3" s="1"/>
  <c r="J924" i="3" a="1"/>
  <c r="J924" i="3" s="1"/>
  <c r="M924" i="3" s="1"/>
  <c r="J925" i="3" a="1"/>
  <c r="J925" i="3" s="1"/>
  <c r="M925" i="3" s="1"/>
  <c r="J926" i="3" a="1"/>
  <c r="J926" i="3"/>
  <c r="M926" i="3" s="1"/>
  <c r="J927" i="3" a="1"/>
  <c r="J927" i="3" s="1"/>
  <c r="M927" i="3" s="1"/>
  <c r="J928" i="3" a="1"/>
  <c r="J928" i="3"/>
  <c r="M928" i="3" s="1"/>
  <c r="J929" i="3" a="1"/>
  <c r="J929" i="3" s="1"/>
  <c r="M929" i="3" s="1"/>
  <c r="J930" i="3" a="1"/>
  <c r="J930" i="3" s="1"/>
  <c r="M930" i="3" s="1"/>
  <c r="J931" i="3" a="1"/>
  <c r="J931" i="3" s="1"/>
  <c r="M931" i="3" s="1"/>
  <c r="J932" i="3" a="1"/>
  <c r="J932" i="3" s="1"/>
  <c r="M932" i="3" s="1"/>
  <c r="J933" i="3" a="1"/>
  <c r="J933" i="3" s="1"/>
  <c r="M933" i="3" s="1"/>
  <c r="J934" i="3" a="1"/>
  <c r="J934" i="3"/>
  <c r="M934" i="3" s="1"/>
  <c r="J935" i="3" a="1"/>
  <c r="J935" i="3" s="1"/>
  <c r="M935" i="3" s="1"/>
  <c r="J936" i="3" a="1"/>
  <c r="J936" i="3"/>
  <c r="M936" i="3" s="1"/>
  <c r="J937" i="3" a="1"/>
  <c r="J937" i="3" s="1"/>
  <c r="M937" i="3" s="1"/>
  <c r="J938" i="3" a="1"/>
  <c r="J938" i="3" s="1"/>
  <c r="M938" i="3" s="1"/>
  <c r="J939" i="3" a="1"/>
  <c r="J939" i="3" s="1"/>
  <c r="M939" i="3" s="1"/>
  <c r="J940" i="3" a="1"/>
  <c r="J940" i="3" s="1"/>
  <c r="M940" i="3" s="1"/>
  <c r="J941" i="3" a="1"/>
  <c r="J941" i="3" s="1"/>
  <c r="M941" i="3" s="1"/>
  <c r="J942" i="3" a="1"/>
  <c r="J942" i="3"/>
  <c r="M942" i="3" s="1"/>
  <c r="J943" i="3" a="1"/>
  <c r="J943" i="3" s="1"/>
  <c r="M943" i="3" s="1"/>
  <c r="J944" i="3" a="1"/>
  <c r="J944" i="3"/>
  <c r="M944" i="3" s="1"/>
  <c r="J945" i="3" a="1"/>
  <c r="J945" i="3" s="1"/>
  <c r="M945" i="3" s="1"/>
  <c r="J946" i="3" a="1"/>
  <c r="J946" i="3" s="1"/>
  <c r="M946" i="3" s="1"/>
  <c r="J947" i="3" a="1"/>
  <c r="J947" i="3" s="1"/>
  <c r="M947" i="3" s="1"/>
  <c r="J948" i="3" a="1"/>
  <c r="J948" i="3" s="1"/>
  <c r="M948" i="3" s="1"/>
  <c r="J949" i="3" a="1"/>
  <c r="J949" i="3" s="1"/>
  <c r="M949" i="3" s="1"/>
  <c r="J950" i="3" a="1"/>
  <c r="J950" i="3"/>
  <c r="M950" i="3" s="1"/>
  <c r="J951" i="3" a="1"/>
  <c r="J951" i="3" s="1"/>
  <c r="M951" i="3" s="1"/>
  <c r="J952" i="3" a="1"/>
  <c r="J952" i="3"/>
  <c r="M952" i="3" s="1"/>
  <c r="J953" i="3" a="1"/>
  <c r="J953" i="3" s="1"/>
  <c r="M953" i="3" s="1"/>
  <c r="J954" i="3" a="1"/>
  <c r="J954" i="3" s="1"/>
  <c r="M954" i="3" s="1"/>
  <c r="J955" i="3" a="1"/>
  <c r="J955" i="3" s="1"/>
  <c r="M955" i="3" s="1"/>
  <c r="J956" i="3" a="1"/>
  <c r="J956" i="3" s="1"/>
  <c r="M956" i="3" s="1"/>
  <c r="J957" i="3" a="1"/>
  <c r="J957" i="3" s="1"/>
  <c r="M957" i="3" s="1"/>
  <c r="J958" i="3" a="1"/>
  <c r="J958" i="3"/>
  <c r="M958" i="3" s="1"/>
  <c r="J959" i="3" a="1"/>
  <c r="J959" i="3" s="1"/>
  <c r="M959" i="3" s="1"/>
  <c r="J960" i="3" a="1"/>
  <c r="J960" i="3"/>
  <c r="M960" i="3" s="1"/>
  <c r="J961" i="3" a="1"/>
  <c r="J961" i="3" s="1"/>
  <c r="M961" i="3" s="1"/>
  <c r="J962" i="3" a="1"/>
  <c r="J962" i="3" s="1"/>
  <c r="M962" i="3" s="1"/>
  <c r="J963" i="3" a="1"/>
  <c r="J963" i="3" s="1"/>
  <c r="M963" i="3" s="1"/>
  <c r="J964" i="3" a="1"/>
  <c r="J964" i="3" s="1"/>
  <c r="M964" i="3" s="1"/>
  <c r="J965" i="3" a="1"/>
  <c r="J965" i="3" s="1"/>
  <c r="M965" i="3" s="1"/>
  <c r="J966" i="3" a="1"/>
  <c r="J966" i="3"/>
  <c r="M966" i="3" s="1"/>
  <c r="J967" i="3" a="1"/>
  <c r="J967" i="3" s="1"/>
  <c r="M967" i="3" s="1"/>
  <c r="J968" i="3" a="1"/>
  <c r="J968" i="3"/>
  <c r="M968" i="3" s="1"/>
  <c r="J969" i="3" a="1"/>
  <c r="J969" i="3" s="1"/>
  <c r="M969" i="3" s="1"/>
  <c r="J970" i="3" a="1"/>
  <c r="J970" i="3" s="1"/>
  <c r="M970" i="3" s="1"/>
  <c r="J971" i="3" a="1"/>
  <c r="J971" i="3" s="1"/>
  <c r="M971" i="3" s="1"/>
  <c r="J972" i="3" a="1"/>
  <c r="J972" i="3" s="1"/>
  <c r="M972" i="3" s="1"/>
  <c r="J973" i="3" a="1"/>
  <c r="J973" i="3" s="1"/>
  <c r="M973" i="3" s="1"/>
  <c r="J974" i="3" a="1"/>
  <c r="J974" i="3"/>
  <c r="M974" i="3" s="1"/>
  <c r="J975" i="3" a="1"/>
  <c r="J975" i="3" s="1"/>
  <c r="M975" i="3" s="1"/>
  <c r="J976" i="3" a="1"/>
  <c r="J976" i="3"/>
  <c r="M976" i="3" s="1"/>
  <c r="J977" i="3" a="1"/>
  <c r="J977" i="3" s="1"/>
  <c r="M977" i="3" s="1"/>
  <c r="J978" i="3" a="1"/>
  <c r="J978" i="3" s="1"/>
  <c r="M978" i="3" s="1"/>
  <c r="J979" i="3" a="1"/>
  <c r="J979" i="3" s="1"/>
  <c r="M979" i="3" s="1"/>
  <c r="J980" i="3" a="1"/>
  <c r="J980" i="3" s="1"/>
  <c r="M980" i="3" s="1"/>
  <c r="J981" i="3" a="1"/>
  <c r="J981" i="3" s="1"/>
  <c r="M981" i="3" s="1"/>
  <c r="J982" i="3" a="1"/>
  <c r="J982" i="3"/>
  <c r="M982" i="3" s="1"/>
  <c r="J983" i="3" a="1"/>
  <c r="J983" i="3" s="1"/>
  <c r="M983" i="3" s="1"/>
  <c r="J984" i="3" a="1"/>
  <c r="J984" i="3"/>
  <c r="M984" i="3" s="1"/>
  <c r="J985" i="3" a="1"/>
  <c r="J985" i="3" s="1"/>
  <c r="M985" i="3" s="1"/>
  <c r="J986" i="3" a="1"/>
  <c r="J986" i="3" s="1"/>
  <c r="M986" i="3" s="1"/>
  <c r="J987" i="3" a="1"/>
  <c r="J987" i="3" s="1"/>
  <c r="M987" i="3" s="1"/>
  <c r="J988" i="3" a="1"/>
  <c r="J988" i="3" s="1"/>
  <c r="M988" i="3" s="1"/>
  <c r="J989" i="3" a="1"/>
  <c r="J989" i="3" s="1"/>
  <c r="M989" i="3" s="1"/>
  <c r="J990" i="3" a="1"/>
  <c r="J990" i="3"/>
  <c r="M990" i="3" s="1"/>
  <c r="J991" i="3" a="1"/>
  <c r="J991" i="3" s="1"/>
  <c r="M991" i="3" s="1"/>
  <c r="J992" i="3" a="1"/>
  <c r="J992" i="3"/>
  <c r="M992" i="3" s="1"/>
  <c r="J993" i="3" a="1"/>
  <c r="J993" i="3" s="1"/>
  <c r="M993" i="3" s="1"/>
  <c r="J994" i="3" a="1"/>
  <c r="J994" i="3" s="1"/>
  <c r="M994" i="3" s="1"/>
  <c r="J995" i="3" a="1"/>
  <c r="J995" i="3" s="1"/>
  <c r="M995" i="3" s="1"/>
  <c r="J996" i="3" a="1"/>
  <c r="J996" i="3" s="1"/>
  <c r="M996" i="3" s="1"/>
  <c r="J997" i="3" a="1"/>
  <c r="J997" i="3" s="1"/>
  <c r="M997" i="3" s="1"/>
  <c r="J998" i="3" a="1"/>
  <c r="J998" i="3"/>
  <c r="M998" i="3" s="1"/>
  <c r="J999" i="3" a="1"/>
  <c r="J999" i="3" s="1"/>
  <c r="M999" i="3" s="1"/>
  <c r="J1000" i="3" a="1"/>
  <c r="J1000" i="3"/>
  <c r="M1000" i="3" s="1"/>
  <c r="J1001" i="3" a="1"/>
  <c r="J1001" i="3" s="1"/>
  <c r="M1001" i="3" s="1"/>
  <c r="J1002" i="3" a="1"/>
  <c r="J1002" i="3" s="1"/>
  <c r="M1002" i="3" s="1"/>
  <c r="J1003" i="3" a="1"/>
  <c r="J1003" i="3" s="1"/>
  <c r="M1003" i="3" s="1"/>
  <c r="J1004" i="3" a="1"/>
  <c r="J1004" i="3" s="1"/>
  <c r="M1004" i="3" s="1"/>
  <c r="J1005" i="3" a="1"/>
  <c r="J1005" i="3" s="1"/>
  <c r="M1005" i="3" s="1"/>
  <c r="J1006" i="3" a="1"/>
  <c r="J1006" i="3"/>
  <c r="M1006" i="3" s="1"/>
  <c r="J1007" i="3" a="1"/>
  <c r="J1007" i="3" s="1"/>
  <c r="M1007" i="3" s="1"/>
  <c r="J1008" i="3" a="1"/>
  <c r="J1008" i="3"/>
  <c r="M1008" i="3" s="1"/>
  <c r="J1009" i="3" a="1"/>
  <c r="J1009" i="3" s="1"/>
  <c r="M1009" i="3" s="1"/>
  <c r="J1010" i="3" a="1"/>
  <c r="J1010" i="3" s="1"/>
  <c r="M1010" i="3" s="1"/>
  <c r="J1011" i="3" a="1"/>
  <c r="J1011" i="3" s="1"/>
  <c r="M1011" i="3" s="1"/>
  <c r="J1012" i="3" a="1"/>
  <c r="J1012" i="3" s="1"/>
  <c r="M1012" i="3" s="1"/>
  <c r="J1013" i="3" a="1"/>
  <c r="J1013" i="3" s="1"/>
  <c r="M1013" i="3" s="1"/>
  <c r="J1014" i="3" a="1"/>
  <c r="J1014" i="3"/>
  <c r="M1014" i="3" s="1"/>
  <c r="J1015" i="3" a="1"/>
  <c r="J1015" i="3" s="1"/>
  <c r="M1015" i="3" s="1"/>
  <c r="J1016" i="3" a="1"/>
  <c r="J1016" i="3"/>
  <c r="M1016" i="3" s="1"/>
  <c r="J1017" i="3" a="1"/>
  <c r="J1017" i="3" s="1"/>
  <c r="M1017" i="3" s="1"/>
  <c r="J1018" i="3" a="1"/>
  <c r="J1018" i="3" s="1"/>
  <c r="M1018" i="3" s="1"/>
  <c r="J1019" i="3" a="1"/>
  <c r="J1019" i="3" s="1"/>
  <c r="M1019" i="3" s="1"/>
  <c r="J1020" i="3" a="1"/>
  <c r="J1020" i="3" s="1"/>
  <c r="M1020" i="3" s="1"/>
  <c r="J1021" i="3" a="1"/>
  <c r="J1021" i="3" s="1"/>
  <c r="M1021" i="3" s="1"/>
  <c r="J1022" i="3" a="1"/>
  <c r="J1022" i="3"/>
  <c r="M1022" i="3" s="1"/>
  <c r="J1023" i="3" a="1"/>
  <c r="J1023" i="3" s="1"/>
  <c r="M1023" i="3" s="1"/>
  <c r="J1024" i="3" a="1"/>
  <c r="J1024" i="3"/>
  <c r="M1024" i="3" s="1"/>
  <c r="J1025" i="3" a="1"/>
  <c r="J1025" i="3" s="1"/>
  <c r="M1025" i="3" s="1"/>
  <c r="J1026" i="3" a="1"/>
  <c r="J1026" i="3" s="1"/>
  <c r="M1026" i="3" s="1"/>
  <c r="J1027" i="3" a="1"/>
  <c r="J1027" i="3" s="1"/>
  <c r="M1027" i="3" s="1"/>
  <c r="J1028" i="3" a="1"/>
  <c r="J1028" i="3" s="1"/>
  <c r="M1028" i="3" s="1"/>
  <c r="J1029" i="3" a="1"/>
  <c r="J1029" i="3" s="1"/>
  <c r="M1029" i="3" s="1"/>
  <c r="J1030" i="3" a="1"/>
  <c r="J1030" i="3"/>
  <c r="M1030" i="3" s="1"/>
  <c r="J1031" i="3" a="1"/>
  <c r="J1031" i="3" s="1"/>
  <c r="M1031" i="3" s="1"/>
  <c r="J1032" i="3" a="1"/>
  <c r="J1032" i="3"/>
  <c r="M1032" i="3" s="1"/>
  <c r="J1033" i="3" a="1"/>
  <c r="J1033" i="3" s="1"/>
  <c r="M1033" i="3" s="1"/>
  <c r="J1034" i="3" a="1"/>
  <c r="J1034" i="3" s="1"/>
  <c r="M1034" i="3" s="1"/>
  <c r="J1035" i="3" a="1"/>
  <c r="J1035" i="3" s="1"/>
  <c r="M1035" i="3" s="1"/>
  <c r="J1036" i="3" a="1"/>
  <c r="J1036" i="3" s="1"/>
  <c r="M1036" i="3" s="1"/>
  <c r="J1037" i="3" a="1"/>
  <c r="J1037" i="3" s="1"/>
  <c r="M1037" i="3" s="1"/>
  <c r="J1038" i="3" a="1"/>
  <c r="J1038" i="3"/>
  <c r="M1038" i="3" s="1"/>
  <c r="J1039" i="3" a="1"/>
  <c r="J1039" i="3" s="1"/>
  <c r="M1039" i="3" s="1"/>
  <c r="J1040" i="3" a="1"/>
  <c r="J1040" i="3"/>
  <c r="M1040" i="3" s="1"/>
  <c r="J1041" i="3" a="1"/>
  <c r="J1041" i="3" s="1"/>
  <c r="M1041" i="3" s="1"/>
  <c r="J1042" i="3" a="1"/>
  <c r="J1042" i="3" s="1"/>
  <c r="M1042" i="3" s="1"/>
  <c r="J1043" i="3" a="1"/>
  <c r="J1043" i="3" s="1"/>
  <c r="M1043" i="3" s="1"/>
  <c r="J1044" i="3" a="1"/>
  <c r="J1044" i="3" s="1"/>
  <c r="M1044" i="3" s="1"/>
  <c r="J1045" i="3" a="1"/>
  <c r="J1045" i="3" s="1"/>
  <c r="M1045" i="3" s="1"/>
  <c r="J1046" i="3" a="1"/>
  <c r="J1046" i="3"/>
  <c r="M1046" i="3" s="1"/>
  <c r="J1047" i="3" a="1"/>
  <c r="J1047" i="3" s="1"/>
  <c r="M1047" i="3" s="1"/>
  <c r="J1048" i="3" a="1"/>
  <c r="J1048" i="3"/>
  <c r="M1048" i="3" s="1"/>
  <c r="J1049" i="3" a="1"/>
  <c r="J1049" i="3" s="1"/>
  <c r="M1049" i="3" s="1"/>
  <c r="J1050" i="3" a="1"/>
  <c r="J1050" i="3" s="1"/>
  <c r="M1050" i="3" s="1"/>
  <c r="J1051" i="3" a="1"/>
  <c r="J1051" i="3" s="1"/>
  <c r="M1051" i="3" s="1"/>
  <c r="J1052" i="3" a="1"/>
  <c r="J1052" i="3" s="1"/>
  <c r="M1052" i="3" s="1"/>
  <c r="J1053" i="3" a="1"/>
  <c r="J1053" i="3" s="1"/>
  <c r="M1053" i="3" s="1"/>
  <c r="J1054" i="3" a="1"/>
  <c r="J1054" i="3"/>
  <c r="M1054" i="3" s="1"/>
  <c r="J1055" i="3" a="1"/>
  <c r="J1055" i="3" s="1"/>
  <c r="M1055" i="3" s="1"/>
  <c r="J1056" i="3" a="1"/>
  <c r="J1056" i="3"/>
  <c r="M1056" i="3" s="1"/>
  <c r="J1057" i="3" a="1"/>
  <c r="J1057" i="3" s="1"/>
  <c r="M1057" i="3" s="1"/>
  <c r="J1058" i="3" a="1"/>
  <c r="J1058" i="3" s="1"/>
  <c r="M1058" i="3" s="1"/>
  <c r="J1059" i="3" a="1"/>
  <c r="J1059" i="3" s="1"/>
  <c r="M1059" i="3" s="1"/>
  <c r="J1060" i="3" a="1"/>
  <c r="J1060" i="3" s="1"/>
  <c r="M1060" i="3" s="1"/>
  <c r="J1061" i="3" a="1"/>
  <c r="J1061" i="3" s="1"/>
  <c r="M1061" i="3" s="1"/>
  <c r="J1062" i="3" a="1"/>
  <c r="J1062" i="3"/>
  <c r="M1062" i="3" s="1"/>
  <c r="J1063" i="3" a="1"/>
  <c r="J1063" i="3" s="1"/>
  <c r="M1063" i="3" s="1"/>
  <c r="J1064" i="3" a="1"/>
  <c r="J1064" i="3"/>
  <c r="M1064" i="3" s="1"/>
  <c r="J1065" i="3" a="1"/>
  <c r="J1065" i="3" s="1"/>
  <c r="M1065" i="3" s="1"/>
  <c r="J1066" i="3" a="1"/>
  <c r="J1066" i="3" s="1"/>
  <c r="M1066" i="3" s="1"/>
  <c r="J1067" i="3" a="1"/>
  <c r="J1067" i="3" s="1"/>
  <c r="M1067" i="3" s="1"/>
  <c r="J1068" i="3" a="1"/>
  <c r="J1068" i="3" s="1"/>
  <c r="M1068" i="3" s="1"/>
  <c r="J1069" i="3" a="1"/>
  <c r="J1069" i="3" s="1"/>
  <c r="M1069" i="3" s="1"/>
  <c r="J1070" i="3" a="1"/>
  <c r="J1070" i="3"/>
  <c r="M1070" i="3" s="1"/>
  <c r="J1071" i="3" a="1"/>
  <c r="J1071" i="3" s="1"/>
  <c r="M1071" i="3" s="1"/>
  <c r="J1072" i="3" a="1"/>
  <c r="J1072" i="3"/>
  <c r="M1072" i="3" s="1"/>
  <c r="J1073" i="3" a="1"/>
  <c r="J1073" i="3" s="1"/>
  <c r="M1073" i="3" s="1"/>
  <c r="J1074" i="3" a="1"/>
  <c r="J1074" i="3" s="1"/>
  <c r="M1074" i="3" s="1"/>
  <c r="J1075" i="3" a="1"/>
  <c r="J1075" i="3" s="1"/>
  <c r="M1075" i="3" s="1"/>
  <c r="J1076" i="3" a="1"/>
  <c r="J1076" i="3" s="1"/>
  <c r="M1076" i="3" s="1"/>
  <c r="J1077" i="3" a="1"/>
  <c r="J1077" i="3" s="1"/>
  <c r="M1077" i="3" s="1"/>
  <c r="J1078" i="3" a="1"/>
  <c r="J1078" i="3"/>
  <c r="M1078" i="3" s="1"/>
  <c r="J1079" i="3" a="1"/>
  <c r="J1079" i="3" s="1"/>
  <c r="M1079" i="3" s="1"/>
  <c r="J1080" i="3" a="1"/>
  <c r="J1080" i="3"/>
  <c r="M1080" i="3" s="1"/>
  <c r="J1081" i="3" a="1"/>
  <c r="J1081" i="3" s="1"/>
  <c r="M1081" i="3" s="1"/>
  <c r="J1082" i="3" a="1"/>
  <c r="J1082" i="3" s="1"/>
  <c r="M1082" i="3" s="1"/>
  <c r="J1083" i="3" a="1"/>
  <c r="J1083" i="3" s="1"/>
  <c r="M1083" i="3" s="1"/>
  <c r="J1084" i="3" a="1"/>
  <c r="J1084" i="3" s="1"/>
  <c r="M1084" i="3" s="1"/>
  <c r="J1085" i="3" a="1"/>
  <c r="J1085" i="3" s="1"/>
  <c r="M1085" i="3" s="1"/>
  <c r="J1086" i="3" a="1"/>
  <c r="J1086" i="3"/>
  <c r="M1086" i="3" s="1"/>
  <c r="J1087" i="3" a="1"/>
  <c r="J1087" i="3" s="1"/>
  <c r="M1087" i="3" s="1"/>
  <c r="J1088" i="3" a="1"/>
  <c r="J1088" i="3"/>
  <c r="M1088" i="3" s="1"/>
  <c r="J1089" i="3" a="1"/>
  <c r="J1089" i="3" s="1"/>
  <c r="M1089" i="3" s="1"/>
  <c r="J1090" i="3" a="1"/>
  <c r="J1090" i="3" s="1"/>
  <c r="M1090" i="3" s="1"/>
  <c r="J1091" i="3" a="1"/>
  <c r="J1091" i="3" s="1"/>
  <c r="M1091" i="3" s="1"/>
  <c r="J1092" i="3" a="1"/>
  <c r="J1092" i="3" s="1"/>
  <c r="M1092" i="3" s="1"/>
  <c r="J1093" i="3" a="1"/>
  <c r="J1093" i="3" s="1"/>
  <c r="M1093" i="3" s="1"/>
  <c r="J1094" i="3" a="1"/>
  <c r="J1094" i="3"/>
  <c r="M1094" i="3" s="1"/>
  <c r="J1095" i="3" a="1"/>
  <c r="J1095" i="3" s="1"/>
  <c r="M1095" i="3" s="1"/>
  <c r="J1096" i="3" a="1"/>
  <c r="J1096" i="3"/>
  <c r="M1096" i="3" s="1"/>
  <c r="J1097" i="3" a="1"/>
  <c r="J1097" i="3" s="1"/>
  <c r="M1097" i="3" s="1"/>
  <c r="J1098" i="3" a="1"/>
  <c r="J1098" i="3" s="1"/>
  <c r="M1098" i="3" s="1"/>
  <c r="J1099" i="3" a="1"/>
  <c r="J1099" i="3" s="1"/>
  <c r="M1099" i="3" s="1"/>
  <c r="J1100" i="3" a="1"/>
  <c r="J1100" i="3" s="1"/>
  <c r="M1100" i="3" s="1"/>
  <c r="J1101" i="3" a="1"/>
  <c r="J1101" i="3" s="1"/>
  <c r="M1101" i="3" s="1"/>
  <c r="J1102" i="3" a="1"/>
  <c r="J1102" i="3"/>
  <c r="M1102" i="3" s="1"/>
  <c r="J1103" i="3" a="1"/>
  <c r="J1103" i="3" s="1"/>
  <c r="M1103" i="3" s="1"/>
  <c r="J1104" i="3" a="1"/>
  <c r="J1104" i="3"/>
  <c r="M1104" i="3" s="1"/>
  <c r="J1105" i="3" a="1"/>
  <c r="J1105" i="3" s="1"/>
  <c r="M1105" i="3" s="1"/>
  <c r="J1106" i="3" a="1"/>
  <c r="J1106" i="3" s="1"/>
  <c r="M1106" i="3" s="1"/>
  <c r="J1107" i="3" a="1"/>
  <c r="J1107" i="3" s="1"/>
  <c r="M1107" i="3" s="1"/>
  <c r="J1108" i="3" a="1"/>
  <c r="J1108" i="3" s="1"/>
  <c r="M1108" i="3" s="1"/>
  <c r="J1109" i="3" a="1"/>
  <c r="J1109" i="3" s="1"/>
  <c r="M1109" i="3" s="1"/>
  <c r="J1110" i="3" a="1"/>
  <c r="J1110" i="3"/>
  <c r="M1110" i="3" s="1"/>
  <c r="J1111" i="3" a="1"/>
  <c r="J1111" i="3" s="1"/>
  <c r="M1111" i="3" s="1"/>
  <c r="J1112" i="3" a="1"/>
  <c r="J1112" i="3"/>
  <c r="M1112" i="3" s="1"/>
  <c r="J1113" i="3" a="1"/>
  <c r="J1113" i="3" s="1"/>
  <c r="M1113" i="3" s="1"/>
  <c r="J1114" i="3" a="1"/>
  <c r="J1114" i="3" s="1"/>
  <c r="M1114" i="3" s="1"/>
  <c r="J1115" i="3" a="1"/>
  <c r="J1115" i="3" s="1"/>
  <c r="M1115" i="3" s="1"/>
  <c r="J1116" i="3" a="1"/>
  <c r="J1116" i="3" s="1"/>
  <c r="M1116" i="3" s="1"/>
  <c r="J1117" i="3" a="1"/>
  <c r="J1117" i="3" s="1"/>
  <c r="M1117" i="3" s="1"/>
  <c r="J1118" i="3" a="1"/>
  <c r="J1118" i="3"/>
  <c r="M1118" i="3" s="1"/>
  <c r="J1119" i="3" a="1"/>
  <c r="J1119" i="3" s="1"/>
  <c r="M1119" i="3" s="1"/>
  <c r="J1120" i="3" a="1"/>
  <c r="J1120" i="3"/>
  <c r="M1120" i="3" s="1"/>
  <c r="J1121" i="3" a="1"/>
  <c r="J1121" i="3" s="1"/>
  <c r="M1121" i="3" s="1"/>
  <c r="J1122" i="3" a="1"/>
  <c r="J1122" i="3" s="1"/>
  <c r="M1122" i="3" s="1"/>
  <c r="J1123" i="3" a="1"/>
  <c r="J1123" i="3" s="1"/>
  <c r="M1123" i="3" s="1"/>
  <c r="J1124" i="3" a="1"/>
  <c r="J1124" i="3" s="1"/>
  <c r="M1124" i="3" s="1"/>
  <c r="J1125" i="3" a="1"/>
  <c r="J1125" i="3" s="1"/>
  <c r="M1125" i="3" s="1"/>
  <c r="J1126" i="3" a="1"/>
  <c r="J1126" i="3"/>
  <c r="M1126" i="3" s="1"/>
  <c r="J1127" i="3" a="1"/>
  <c r="J1127" i="3" s="1"/>
  <c r="M1127" i="3" s="1"/>
  <c r="J1128" i="3" a="1"/>
  <c r="J1128" i="3"/>
  <c r="M1128" i="3" s="1"/>
  <c r="J1129" i="3" a="1"/>
  <c r="J1129" i="3" s="1"/>
  <c r="M1129" i="3" s="1"/>
  <c r="J1130" i="3" a="1"/>
  <c r="J1130" i="3" s="1"/>
  <c r="M1130" i="3" s="1"/>
  <c r="J1131" i="3" a="1"/>
  <c r="J1131" i="3" s="1"/>
  <c r="M1131" i="3" s="1"/>
  <c r="J1132" i="3" a="1"/>
  <c r="J1132" i="3" s="1"/>
  <c r="M1132" i="3" s="1"/>
  <c r="J1133" i="3" a="1"/>
  <c r="J1133" i="3" s="1"/>
  <c r="M1133" i="3" s="1"/>
  <c r="J1134" i="3" a="1"/>
  <c r="J1134" i="3"/>
  <c r="M1134" i="3" s="1"/>
  <c r="J1135" i="3" a="1"/>
  <c r="J1135" i="3" s="1"/>
  <c r="M1135" i="3" s="1"/>
  <c r="J1136" i="3" a="1"/>
  <c r="J1136" i="3"/>
  <c r="M1136" i="3" s="1"/>
  <c r="J1137" i="3" a="1"/>
  <c r="J1137" i="3" s="1"/>
  <c r="M1137" i="3" s="1"/>
  <c r="J1138" i="3" a="1"/>
  <c r="J1138" i="3" s="1"/>
  <c r="M1138" i="3" s="1"/>
  <c r="J1139" i="3" a="1"/>
  <c r="J1139" i="3" s="1"/>
  <c r="M1139" i="3" s="1"/>
  <c r="J1140" i="3" a="1"/>
  <c r="J1140" i="3" s="1"/>
  <c r="M1140" i="3" s="1"/>
  <c r="J1141" i="3" a="1"/>
  <c r="J1141" i="3" s="1"/>
  <c r="M1141" i="3" s="1"/>
  <c r="J1142" i="3" a="1"/>
  <c r="J1142" i="3"/>
  <c r="M1142" i="3" s="1"/>
  <c r="J1143" i="3" a="1"/>
  <c r="J1143" i="3" s="1"/>
  <c r="M1143" i="3" s="1"/>
  <c r="J1144" i="3" a="1"/>
  <c r="J1144" i="3"/>
  <c r="M1144" i="3" s="1"/>
  <c r="J1145" i="3" a="1"/>
  <c r="J1145" i="3" s="1"/>
  <c r="M1145" i="3" s="1"/>
  <c r="J1146" i="3" a="1"/>
  <c r="J1146" i="3" s="1"/>
  <c r="M1146" i="3" s="1"/>
  <c r="J1147" i="3" a="1"/>
  <c r="J1147" i="3" s="1"/>
  <c r="M1147" i="3" s="1"/>
  <c r="J1148" i="3" a="1"/>
  <c r="J1148" i="3" s="1"/>
  <c r="M1148" i="3" s="1"/>
  <c r="J1149" i="3" a="1"/>
  <c r="J1149" i="3" s="1"/>
  <c r="M1149" i="3" s="1"/>
  <c r="J1150" i="3" a="1"/>
  <c r="J1150" i="3"/>
  <c r="M1150" i="3" s="1"/>
  <c r="J1151" i="3" a="1"/>
  <c r="J1151" i="3" s="1"/>
  <c r="M1151" i="3" s="1"/>
  <c r="J1152" i="3" a="1"/>
  <c r="J1152" i="3"/>
  <c r="M1152" i="3" s="1"/>
  <c r="J1153" i="3" a="1"/>
  <c r="J1153" i="3" s="1"/>
  <c r="M1153" i="3" s="1"/>
  <c r="J1154" i="3" a="1"/>
  <c r="J1154" i="3" s="1"/>
  <c r="M1154" i="3" s="1"/>
  <c r="J1155" i="3" a="1"/>
  <c r="J1155" i="3" s="1"/>
  <c r="M1155" i="3" s="1"/>
  <c r="J1156" i="3" a="1"/>
  <c r="J1156" i="3" s="1"/>
  <c r="M1156" i="3" s="1"/>
  <c r="J1157" i="3" a="1"/>
  <c r="J1157" i="3" s="1"/>
  <c r="M1157" i="3" s="1"/>
  <c r="J1158" i="3" a="1"/>
  <c r="J1158" i="3"/>
  <c r="M1158" i="3" s="1"/>
  <c r="J1159" i="3" a="1"/>
  <c r="J1159" i="3" s="1"/>
  <c r="M1159" i="3" s="1"/>
  <c r="J1160" i="3" a="1"/>
  <c r="J1160" i="3"/>
  <c r="M1160" i="3" s="1"/>
  <c r="J1161" i="3" a="1"/>
  <c r="J1161" i="3" s="1"/>
  <c r="M1161" i="3" s="1"/>
  <c r="J1162" i="3" a="1"/>
  <c r="J1162" i="3" s="1"/>
  <c r="M1162" i="3" s="1"/>
  <c r="J1163" i="3" a="1"/>
  <c r="J1163" i="3" s="1"/>
  <c r="M1163" i="3" s="1"/>
  <c r="J1164" i="3" a="1"/>
  <c r="J1164" i="3" s="1"/>
  <c r="M1164" i="3" s="1"/>
  <c r="J1165" i="3" a="1"/>
  <c r="J1165" i="3" s="1"/>
  <c r="M1165" i="3" s="1"/>
  <c r="J1166" i="3" a="1"/>
  <c r="J1166" i="3"/>
  <c r="M1166" i="3" s="1"/>
  <c r="J1167" i="3" a="1"/>
  <c r="J1167" i="3" s="1"/>
  <c r="M1167" i="3" s="1"/>
  <c r="J1168" i="3" a="1"/>
  <c r="J1168" i="3"/>
  <c r="M1168" i="3" s="1"/>
  <c r="J1169" i="3" a="1"/>
  <c r="J1169" i="3" s="1"/>
  <c r="M1169" i="3" s="1"/>
  <c r="J1170" i="3" a="1"/>
  <c r="J1170" i="3" s="1"/>
  <c r="M1170" i="3" s="1"/>
  <c r="J1171" i="3" a="1"/>
  <c r="J1171" i="3" s="1"/>
  <c r="M1171" i="3" s="1"/>
  <c r="J1172" i="3" a="1"/>
  <c r="J1172" i="3" s="1"/>
  <c r="M1172" i="3" s="1"/>
  <c r="J1173" i="3" a="1"/>
  <c r="J1173" i="3" s="1"/>
  <c r="M1173" i="3" s="1"/>
  <c r="J1174" i="3" a="1"/>
  <c r="J1174" i="3"/>
  <c r="M1174" i="3" s="1"/>
  <c r="J1175" i="3" a="1"/>
  <c r="J1175" i="3" s="1"/>
  <c r="M1175" i="3" s="1"/>
  <c r="J1176" i="3" a="1"/>
  <c r="J1176" i="3"/>
  <c r="M1176" i="3" s="1"/>
  <c r="J1177" i="3" a="1"/>
  <c r="J1177" i="3" s="1"/>
  <c r="M1177" i="3" s="1"/>
  <c r="J1178" i="3" a="1"/>
  <c r="J1178" i="3" s="1"/>
  <c r="M1178" i="3" s="1"/>
  <c r="J1179" i="3" a="1"/>
  <c r="J1179" i="3" s="1"/>
  <c r="M1179" i="3" s="1"/>
  <c r="J1180" i="3" a="1"/>
  <c r="J1180" i="3" s="1"/>
  <c r="M1180" i="3" s="1"/>
  <c r="J1181" i="3" a="1"/>
  <c r="J1181" i="3" s="1"/>
  <c r="M1181" i="3" s="1"/>
  <c r="J1182" i="3" a="1"/>
  <c r="J1182" i="3"/>
  <c r="M1182" i="3" s="1"/>
  <c r="J1183" i="3" a="1"/>
  <c r="J1183" i="3" s="1"/>
  <c r="M1183" i="3" s="1"/>
  <c r="J1184" i="3" a="1"/>
  <c r="J1184" i="3"/>
  <c r="M1184" i="3" s="1"/>
  <c r="J1185" i="3" a="1"/>
  <c r="J1185" i="3" s="1"/>
  <c r="M1185" i="3" s="1"/>
  <c r="J1186" i="3" a="1"/>
  <c r="J1186" i="3" s="1"/>
  <c r="M1186" i="3" s="1"/>
  <c r="J1187" i="3" a="1"/>
  <c r="J1187" i="3" s="1"/>
  <c r="M1187" i="3" s="1"/>
  <c r="J1188" i="3" a="1"/>
  <c r="J1188" i="3" s="1"/>
  <c r="M1188" i="3" s="1"/>
  <c r="J1189" i="3" a="1"/>
  <c r="J1189" i="3" s="1"/>
  <c r="M1189" i="3" s="1"/>
  <c r="J1190" i="3" a="1"/>
  <c r="J1190" i="3"/>
  <c r="M1190" i="3" s="1"/>
  <c r="J1191" i="3" a="1"/>
  <c r="J1191" i="3" s="1"/>
  <c r="M1191" i="3" s="1"/>
  <c r="J1192" i="3" a="1"/>
  <c r="J1192" i="3"/>
  <c r="M1192" i="3" s="1"/>
  <c r="J1193" i="3" a="1"/>
  <c r="J1193" i="3" s="1"/>
  <c r="M1193" i="3" s="1"/>
  <c r="J1194" i="3" a="1"/>
  <c r="J1194" i="3" s="1"/>
  <c r="M1194" i="3" s="1"/>
  <c r="J1195" i="3" a="1"/>
  <c r="J1195" i="3" s="1"/>
  <c r="M1195" i="3" s="1"/>
  <c r="J1196" i="3" a="1"/>
  <c r="J1196" i="3" s="1"/>
  <c r="M1196" i="3" s="1"/>
  <c r="J1197" i="3" a="1"/>
  <c r="J1197" i="3" s="1"/>
  <c r="M1197" i="3" s="1"/>
  <c r="J1198" i="3" a="1"/>
  <c r="J1198" i="3"/>
  <c r="M1198" i="3" s="1"/>
  <c r="J1199" i="3" a="1"/>
  <c r="J1199" i="3" s="1"/>
  <c r="M1199" i="3" s="1"/>
  <c r="J1200" i="3" a="1"/>
  <c r="J1200" i="3"/>
  <c r="M1200" i="3" s="1"/>
  <c r="J1201" i="3" a="1"/>
  <c r="J1201" i="3" s="1"/>
  <c r="M1201" i="3" s="1"/>
  <c r="J1202" i="3" a="1"/>
  <c r="J1202" i="3" s="1"/>
  <c r="M1202" i="3" s="1"/>
  <c r="J1203" i="3" a="1"/>
  <c r="J1203" i="3" s="1"/>
  <c r="M1203" i="3" s="1"/>
  <c r="J1204" i="3" a="1"/>
  <c r="J1204" i="3" s="1"/>
  <c r="M1204" i="3" s="1"/>
  <c r="J1205" i="3" a="1"/>
  <c r="J1205" i="3" s="1"/>
  <c r="M1205" i="3" s="1"/>
  <c r="J1206" i="3" a="1"/>
  <c r="J1206" i="3"/>
  <c r="M1206" i="3" s="1"/>
  <c r="J1207" i="3" a="1"/>
  <c r="J1207" i="3" s="1"/>
  <c r="M1207" i="3" s="1"/>
  <c r="J1208" i="3" a="1"/>
  <c r="J1208" i="3"/>
  <c r="M1208" i="3" s="1"/>
  <c r="J1209" i="3" a="1"/>
  <c r="J1209" i="3" s="1"/>
  <c r="M1209" i="3" s="1"/>
  <c r="J1210" i="3" a="1"/>
  <c r="J1210" i="3" s="1"/>
  <c r="M1210" i="3" s="1"/>
  <c r="J1211" i="3" a="1"/>
  <c r="J1211" i="3" s="1"/>
  <c r="M1211" i="3" s="1"/>
  <c r="J1212" i="3" a="1"/>
  <c r="J1212" i="3" s="1"/>
  <c r="M1212" i="3" s="1"/>
  <c r="J1213" i="3" a="1"/>
  <c r="J1213" i="3" s="1"/>
  <c r="M1213" i="3" s="1"/>
  <c r="J1214" i="3" a="1"/>
  <c r="J1214" i="3"/>
  <c r="M1214" i="3" s="1"/>
  <c r="J1215" i="3" a="1"/>
  <c r="J1215" i="3" s="1"/>
  <c r="M1215" i="3" s="1"/>
  <c r="J1216" i="3" a="1"/>
  <c r="J1216" i="3"/>
  <c r="M1216" i="3" s="1"/>
  <c r="J1217" i="3" a="1"/>
  <c r="J1217" i="3" s="1"/>
  <c r="M1217" i="3" s="1"/>
  <c r="J1218" i="3" a="1"/>
  <c r="J1218" i="3" s="1"/>
  <c r="M1218" i="3" s="1"/>
  <c r="J1219" i="3" a="1"/>
  <c r="J1219" i="3" s="1"/>
  <c r="M1219" i="3" s="1"/>
  <c r="J1220" i="3" a="1"/>
  <c r="J1220" i="3" s="1"/>
  <c r="M1220" i="3" s="1"/>
  <c r="J1221" i="3" a="1"/>
  <c r="J1221" i="3" s="1"/>
  <c r="M1221" i="3" s="1"/>
  <c r="J1222" i="3" a="1"/>
  <c r="J1222" i="3"/>
  <c r="M1222" i="3" s="1"/>
  <c r="J1223" i="3" a="1"/>
  <c r="J1223" i="3" s="1"/>
  <c r="M1223" i="3" s="1"/>
  <c r="J1224" i="3" a="1"/>
  <c r="J1224" i="3"/>
  <c r="M1224" i="3" s="1"/>
  <c r="J1225" i="3" a="1"/>
  <c r="J1225" i="3" s="1"/>
  <c r="M1225" i="3" s="1"/>
  <c r="J1226" i="3" a="1"/>
  <c r="J1226" i="3" s="1"/>
  <c r="M1226" i="3" s="1"/>
  <c r="J1227" i="3" a="1"/>
  <c r="J1227" i="3" s="1"/>
  <c r="M1227" i="3" s="1"/>
  <c r="J1228" i="3" a="1"/>
  <c r="J1228" i="3" s="1"/>
  <c r="M1228" i="3" s="1"/>
  <c r="J1229" i="3" a="1"/>
  <c r="J1229" i="3" s="1"/>
  <c r="M1229" i="3" s="1"/>
  <c r="J1230" i="3" a="1"/>
  <c r="J1230" i="3"/>
  <c r="M1230" i="3" s="1"/>
  <c r="J1231" i="3" a="1"/>
  <c r="J1231" i="3" s="1"/>
  <c r="M1231" i="3" s="1"/>
  <c r="J1232" i="3" a="1"/>
  <c r="J1232" i="3"/>
  <c r="M1232" i="3" s="1"/>
  <c r="J1233" i="3" a="1"/>
  <c r="J1233" i="3" s="1"/>
  <c r="M1233" i="3" s="1"/>
  <c r="J1234" i="3" a="1"/>
  <c r="J1234" i="3" s="1"/>
  <c r="M1234" i="3" s="1"/>
  <c r="J1235" i="3" a="1"/>
  <c r="J1235" i="3" s="1"/>
  <c r="M1235" i="3" s="1"/>
  <c r="J1236" i="3" a="1"/>
  <c r="J1236" i="3" s="1"/>
  <c r="M1236" i="3" s="1"/>
  <c r="J1237" i="3" a="1"/>
  <c r="J1237" i="3" s="1"/>
  <c r="M1237" i="3" s="1"/>
  <c r="J1238" i="3" a="1"/>
  <c r="J1238" i="3"/>
  <c r="M1238" i="3" s="1"/>
  <c r="J1239" i="3" a="1"/>
  <c r="J1239" i="3" s="1"/>
  <c r="M1239" i="3" s="1"/>
  <c r="J1240" i="3" a="1"/>
  <c r="J1240" i="3"/>
  <c r="M1240" i="3" s="1"/>
  <c r="J1241" i="3" a="1"/>
  <c r="J1241" i="3" s="1"/>
  <c r="M1241" i="3" s="1"/>
  <c r="J1242" i="3" a="1"/>
  <c r="J1242" i="3" s="1"/>
  <c r="M1242" i="3" s="1"/>
  <c r="J1243" i="3" a="1"/>
  <c r="J1243" i="3" s="1"/>
  <c r="M1243" i="3" s="1"/>
  <c r="J1244" i="3" a="1"/>
  <c r="J1244" i="3" s="1"/>
  <c r="M1244" i="3" s="1"/>
  <c r="J1245" i="3" a="1"/>
  <c r="J1245" i="3" s="1"/>
  <c r="M1245" i="3" s="1"/>
  <c r="J1246" i="3" a="1"/>
  <c r="J1246" i="3"/>
  <c r="M1246" i="3" s="1"/>
  <c r="J1247" i="3" a="1"/>
  <c r="J1247" i="3" s="1"/>
  <c r="M1247" i="3" s="1"/>
  <c r="J1248" i="3" a="1"/>
  <c r="J1248" i="3"/>
  <c r="M1248" i="3" s="1"/>
  <c r="J1249" i="3" a="1"/>
  <c r="J1249" i="3" s="1"/>
  <c r="M1249" i="3" s="1"/>
  <c r="J1250" i="3" a="1"/>
  <c r="J1250" i="3" s="1"/>
  <c r="M1250" i="3" s="1"/>
  <c r="J1251" i="3" a="1"/>
  <c r="J1251" i="3" s="1"/>
  <c r="M1251" i="3" s="1"/>
  <c r="J1252" i="3" a="1"/>
  <c r="J1252" i="3" s="1"/>
  <c r="M1252" i="3" s="1"/>
  <c r="J1253" i="3" a="1"/>
  <c r="J1253" i="3" s="1"/>
  <c r="M1253" i="3" s="1"/>
  <c r="J1254" i="3" a="1"/>
  <c r="J1254" i="3"/>
  <c r="M1254" i="3" s="1"/>
  <c r="J1255" i="3" a="1"/>
  <c r="J1255" i="3" s="1"/>
  <c r="M1255" i="3" s="1"/>
  <c r="J1256" i="3" a="1"/>
  <c r="J1256" i="3"/>
  <c r="M1256" i="3" s="1"/>
  <c r="J1257" i="3" a="1"/>
  <c r="J1257" i="3" s="1"/>
  <c r="M1257" i="3" s="1"/>
  <c r="J1258" i="3" a="1"/>
  <c r="J1258" i="3" s="1"/>
  <c r="M1258" i="3" s="1"/>
  <c r="J1259" i="3" a="1"/>
  <c r="J1259" i="3" s="1"/>
  <c r="M1259" i="3" s="1"/>
  <c r="J1260" i="3" a="1"/>
  <c r="J1260" i="3" s="1"/>
  <c r="M1260" i="3" s="1"/>
  <c r="J1261" i="3" a="1"/>
  <c r="J1261" i="3" s="1"/>
  <c r="M1261" i="3" s="1"/>
  <c r="J1262" i="3" a="1"/>
  <c r="J1262" i="3"/>
  <c r="M1262" i="3" s="1"/>
  <c r="J1263" i="3" a="1"/>
  <c r="J1263" i="3" s="1"/>
  <c r="M1263" i="3" s="1"/>
  <c r="J1264" i="3" a="1"/>
  <c r="J1264" i="3"/>
  <c r="M1264" i="3" s="1"/>
  <c r="J1265" i="3" a="1"/>
  <c r="J1265" i="3" s="1"/>
  <c r="M1265" i="3" s="1"/>
  <c r="J1266" i="3" a="1"/>
  <c r="J1266" i="3" s="1"/>
  <c r="M1266" i="3" s="1"/>
  <c r="J1267" i="3" a="1"/>
  <c r="J1267" i="3" s="1"/>
  <c r="M1267" i="3" s="1"/>
  <c r="J1268" i="3" a="1"/>
  <c r="J1268" i="3" s="1"/>
  <c r="M1268" i="3" s="1"/>
  <c r="J1269" i="3" a="1"/>
  <c r="J1269" i="3" s="1"/>
  <c r="M1269" i="3" s="1"/>
  <c r="J1270" i="3" a="1"/>
  <c r="J1270" i="3"/>
  <c r="M1270" i="3" s="1"/>
  <c r="J1271" i="3" a="1"/>
  <c r="J1271" i="3" s="1"/>
  <c r="M1271" i="3" s="1"/>
  <c r="J1272" i="3" a="1"/>
  <c r="J1272" i="3"/>
  <c r="M1272" i="3" s="1"/>
  <c r="J1273" i="3" a="1"/>
  <c r="J1273" i="3" s="1"/>
  <c r="M1273" i="3" s="1"/>
  <c r="J1274" i="3" a="1"/>
  <c r="J1274" i="3" s="1"/>
  <c r="M1274" i="3" s="1"/>
  <c r="J1275" i="3" a="1"/>
  <c r="J1275" i="3" s="1"/>
  <c r="M1275" i="3" s="1"/>
  <c r="J1276" i="3" a="1"/>
  <c r="J1276" i="3" s="1"/>
  <c r="M1276" i="3" s="1"/>
  <c r="J1277" i="3" a="1"/>
  <c r="J1277" i="3" s="1"/>
  <c r="M1277" i="3" s="1"/>
  <c r="J1278" i="3" a="1"/>
  <c r="J1278" i="3"/>
  <c r="M1278" i="3" s="1"/>
  <c r="J1279" i="3" a="1"/>
  <c r="J1279" i="3" s="1"/>
  <c r="M1279" i="3" s="1"/>
  <c r="J1280" i="3" a="1"/>
  <c r="J1280" i="3"/>
  <c r="M1280" i="3" s="1"/>
  <c r="J1281" i="3" a="1"/>
  <c r="J1281" i="3" s="1"/>
  <c r="M1281" i="3" s="1"/>
  <c r="J1282" i="3" a="1"/>
  <c r="J1282" i="3" s="1"/>
  <c r="M1282" i="3" s="1"/>
  <c r="J1283" i="3" a="1"/>
  <c r="J1283" i="3" s="1"/>
  <c r="M1283" i="3" s="1"/>
  <c r="J1284" i="3" a="1"/>
  <c r="J1284" i="3" s="1"/>
  <c r="M1284" i="3" s="1"/>
  <c r="J1285" i="3" a="1"/>
  <c r="J1285" i="3" s="1"/>
  <c r="M1285" i="3" s="1"/>
  <c r="J1286" i="3" a="1"/>
  <c r="J1286" i="3"/>
  <c r="M1286" i="3" s="1"/>
  <c r="J1287" i="3" a="1"/>
  <c r="J1287" i="3" s="1"/>
  <c r="M1287" i="3" s="1"/>
  <c r="J1288" i="3" a="1"/>
  <c r="J1288" i="3"/>
  <c r="M1288" i="3" s="1"/>
  <c r="J1289" i="3" a="1"/>
  <c r="J1289" i="3" s="1"/>
  <c r="M1289" i="3" s="1"/>
  <c r="J1290" i="3" a="1"/>
  <c r="J1290" i="3" s="1"/>
  <c r="M1290" i="3" s="1"/>
  <c r="J1291" i="3" a="1"/>
  <c r="J1291" i="3" s="1"/>
  <c r="M1291" i="3" s="1"/>
  <c r="J1292" i="3" a="1"/>
  <c r="J1292" i="3"/>
  <c r="M1292" i="3" s="1"/>
  <c r="J1293" i="3" a="1"/>
  <c r="J1293" i="3" s="1"/>
  <c r="M1293" i="3" s="1"/>
  <c r="J1294" i="3" a="1"/>
  <c r="J1294" i="3"/>
  <c r="M1294" i="3" s="1"/>
  <c r="J1295" i="3" a="1"/>
  <c r="J1295" i="3" s="1"/>
  <c r="M1295" i="3" s="1"/>
  <c r="J1296" i="3" a="1"/>
  <c r="J1296" i="3"/>
  <c r="M1296" i="3" s="1"/>
  <c r="J1297" i="3" a="1"/>
  <c r="J1297" i="3" s="1"/>
  <c r="M1297" i="3" s="1"/>
  <c r="J1298" i="3" a="1"/>
  <c r="J1298" i="3" s="1"/>
  <c r="M1298" i="3" s="1"/>
  <c r="J1299" i="3" a="1"/>
  <c r="J1299" i="3" s="1"/>
  <c r="M1299" i="3" s="1"/>
  <c r="J1300" i="3" a="1"/>
  <c r="J1300" i="3" s="1"/>
  <c r="M1300" i="3" s="1"/>
  <c r="J1301" i="3" a="1"/>
  <c r="J1301" i="3" s="1"/>
  <c r="M1301" i="3" s="1"/>
  <c r="J1302" i="3" a="1"/>
  <c r="J1302" i="3"/>
  <c r="M1302" i="3" s="1"/>
  <c r="J1303" i="3" a="1"/>
  <c r="J1303" i="3" s="1"/>
  <c r="M1303" i="3" s="1"/>
  <c r="J1304" i="3" a="1"/>
  <c r="J1304" i="3"/>
  <c r="M1304" i="3" s="1"/>
  <c r="J1305" i="3" a="1"/>
  <c r="J1305" i="3" s="1"/>
  <c r="M1305" i="3" s="1"/>
  <c r="J1306" i="3" a="1"/>
  <c r="J1306" i="3" s="1"/>
  <c r="M1306" i="3" s="1"/>
  <c r="J1307" i="3" a="1"/>
  <c r="J1307" i="3" s="1"/>
  <c r="M1307" i="3" s="1"/>
  <c r="J1308" i="3" a="1"/>
  <c r="J1308" i="3"/>
  <c r="M1308" i="3" s="1"/>
  <c r="J1309" i="3" a="1"/>
  <c r="J1309" i="3" s="1"/>
  <c r="M1309" i="3" s="1"/>
  <c r="J1310" i="3" a="1"/>
  <c r="J1310" i="3"/>
  <c r="M1310" i="3" s="1"/>
  <c r="J1311" i="3" a="1"/>
  <c r="J1311" i="3" s="1"/>
  <c r="M1311" i="3" s="1"/>
  <c r="J1312" i="3" a="1"/>
  <c r="J1312" i="3"/>
  <c r="M1312" i="3" s="1"/>
  <c r="J1313" i="3" a="1"/>
  <c r="J1313" i="3" s="1"/>
  <c r="M1313" i="3" s="1"/>
  <c r="J1314" i="3" a="1"/>
  <c r="J1314" i="3" s="1"/>
  <c r="M1314" i="3" s="1"/>
  <c r="J1315" i="3" a="1"/>
  <c r="J1315" i="3" s="1"/>
  <c r="M1315" i="3" s="1"/>
  <c r="J1316" i="3" a="1"/>
  <c r="J1316" i="3"/>
  <c r="M1316" i="3" s="1"/>
  <c r="J1317" i="3" a="1"/>
  <c r="J1317" i="3" s="1"/>
  <c r="M1317" i="3" s="1"/>
  <c r="J1318" i="3" a="1"/>
  <c r="J1318" i="3"/>
  <c r="M1318" i="3" s="1"/>
  <c r="J1319" i="3" a="1"/>
  <c r="J1319" i="3" s="1"/>
  <c r="M1319" i="3" s="1"/>
  <c r="J1320" i="3" a="1"/>
  <c r="J1320" i="3"/>
  <c r="M1320" i="3" s="1"/>
  <c r="J1321" i="3" a="1"/>
  <c r="J1321" i="3" s="1"/>
  <c r="M1321" i="3" s="1"/>
  <c r="J1322" i="3" a="1"/>
  <c r="J1322" i="3" s="1"/>
  <c r="M1322" i="3" s="1"/>
  <c r="J1323" i="3" a="1"/>
  <c r="J1323" i="3" s="1"/>
  <c r="M1323" i="3" s="1"/>
  <c r="J1324" i="3" a="1"/>
  <c r="J1324" i="3"/>
  <c r="M1324" i="3" s="1"/>
  <c r="J1325" i="3" a="1"/>
  <c r="J1325" i="3" s="1"/>
  <c r="M1325" i="3" s="1"/>
  <c r="J1326" i="3" a="1"/>
  <c r="J1326" i="3"/>
  <c r="M1326" i="3" s="1"/>
  <c r="J1327" i="3" a="1"/>
  <c r="J1327" i="3" s="1"/>
  <c r="M1327" i="3" s="1"/>
  <c r="J1328" i="3" a="1"/>
  <c r="J1328" i="3"/>
  <c r="M1328" i="3" s="1"/>
  <c r="J1329" i="3" a="1"/>
  <c r="J1329" i="3" s="1"/>
  <c r="M1329" i="3" s="1"/>
  <c r="J1330" i="3" a="1"/>
  <c r="J1330" i="3" s="1"/>
  <c r="M1330" i="3" s="1"/>
  <c r="J1331" i="3" a="1"/>
  <c r="J1331" i="3" s="1"/>
  <c r="M1331" i="3" s="1"/>
  <c r="J1332" i="3" a="1"/>
  <c r="J1332" i="3" s="1"/>
  <c r="M1332" i="3" s="1"/>
  <c r="J1333" i="3" a="1"/>
  <c r="J1333" i="3" s="1"/>
  <c r="M1333" i="3" s="1"/>
  <c r="J1334" i="3" a="1"/>
  <c r="J1334" i="3"/>
  <c r="M1334" i="3" s="1"/>
  <c r="J1335" i="3" a="1"/>
  <c r="J1335" i="3" s="1"/>
  <c r="M1335" i="3" s="1"/>
  <c r="J1336" i="3" a="1"/>
  <c r="J1336" i="3"/>
  <c r="M1336" i="3" s="1"/>
  <c r="J1337" i="3" a="1"/>
  <c r="J1337" i="3" s="1"/>
  <c r="M1337" i="3" s="1"/>
  <c r="J1338" i="3" a="1"/>
  <c r="J1338" i="3" s="1"/>
  <c r="M1338" i="3" s="1"/>
  <c r="J1339" i="3" a="1"/>
  <c r="J1339" i="3" s="1"/>
  <c r="M1339" i="3" s="1"/>
  <c r="J1340" i="3" a="1"/>
  <c r="J1340" i="3"/>
  <c r="M1340" i="3" s="1"/>
  <c r="J1341" i="3" a="1"/>
  <c r="J1341" i="3" s="1"/>
  <c r="M1341" i="3" s="1"/>
  <c r="J1342" i="3" a="1"/>
  <c r="J1342" i="3"/>
  <c r="M1342" i="3" s="1"/>
  <c r="J1343" i="3" a="1"/>
  <c r="J1343" i="3" s="1"/>
  <c r="M1343" i="3" s="1"/>
  <c r="J1344" i="3" a="1"/>
  <c r="J1344" i="3"/>
  <c r="M1344" i="3" s="1"/>
  <c r="J1345" i="3" a="1"/>
  <c r="J1345" i="3" s="1"/>
  <c r="M1345" i="3" s="1"/>
  <c r="J1346" i="3" a="1"/>
  <c r="J1346" i="3" s="1"/>
  <c r="M1346" i="3" s="1"/>
  <c r="J1347" i="3" a="1"/>
  <c r="J1347" i="3" s="1"/>
  <c r="M1347" i="3" s="1"/>
  <c r="J1348" i="3" a="1"/>
  <c r="J1348" i="3"/>
  <c r="M1348" i="3" s="1"/>
  <c r="J1349" i="3" a="1"/>
  <c r="J1349" i="3" s="1"/>
  <c r="M1349" i="3" s="1"/>
  <c r="J1350" i="3" a="1"/>
  <c r="J1350" i="3" s="1"/>
  <c r="M1350" i="3" s="1"/>
  <c r="J1351" i="3" a="1"/>
  <c r="J1351" i="3" s="1"/>
  <c r="M1351" i="3" s="1"/>
  <c r="J1352" i="3" a="1"/>
  <c r="J1352" i="3" s="1"/>
  <c r="M1352" i="3" s="1"/>
  <c r="J1353" i="3" a="1"/>
  <c r="J1353" i="3" s="1"/>
  <c r="M1353" i="3" s="1"/>
  <c r="J1354" i="3" a="1"/>
  <c r="J1354" i="3"/>
  <c r="M1354" i="3" s="1"/>
  <c r="J1355" i="3" a="1"/>
  <c r="J1355" i="3" s="1"/>
  <c r="M1355" i="3" s="1"/>
  <c r="J1356" i="3" a="1"/>
  <c r="J1356" i="3"/>
  <c r="M1356" i="3" s="1"/>
  <c r="J1357" i="3" a="1"/>
  <c r="J1357" i="3" s="1"/>
  <c r="M1357" i="3" s="1"/>
  <c r="J1358" i="3" a="1"/>
  <c r="J1358" i="3" s="1"/>
  <c r="M1358" i="3" s="1"/>
  <c r="J1359" i="3" a="1"/>
  <c r="J1359" i="3" s="1"/>
  <c r="M1359" i="3" s="1"/>
  <c r="J1360" i="3" a="1"/>
  <c r="J1360" i="3" s="1"/>
  <c r="M1360" i="3" s="1"/>
  <c r="J1361" i="3" a="1"/>
  <c r="J1361" i="3" s="1"/>
  <c r="M1361" i="3" s="1"/>
  <c r="J1362" i="3" a="1"/>
  <c r="J1362" i="3" s="1"/>
  <c r="M1362" i="3" s="1"/>
  <c r="J1363" i="3" a="1"/>
  <c r="J1363" i="3" s="1"/>
  <c r="M1363" i="3" s="1"/>
  <c r="J1364" i="3" a="1"/>
  <c r="J1364" i="3"/>
  <c r="M1364" i="3" s="1"/>
  <c r="J1365" i="3" a="1"/>
  <c r="J1365" i="3" s="1"/>
  <c r="M1365" i="3" s="1"/>
  <c r="J1366" i="3" a="1"/>
  <c r="J1366" i="3" s="1"/>
  <c r="M1366" i="3" s="1"/>
  <c r="J1367" i="3" a="1"/>
  <c r="J1367" i="3" s="1"/>
  <c r="M1367" i="3" s="1"/>
  <c r="J1368" i="3" a="1"/>
  <c r="J1368" i="3" s="1"/>
  <c r="M1368" i="3" s="1"/>
  <c r="J1369" i="3" a="1"/>
  <c r="J1369" i="3" s="1"/>
  <c r="M1369" i="3" s="1"/>
  <c r="J1370" i="3" a="1"/>
  <c r="J1370" i="3"/>
  <c r="M1370" i="3" s="1"/>
  <c r="J1371" i="3" a="1"/>
  <c r="J1371" i="3" s="1"/>
  <c r="M1371" i="3" s="1"/>
  <c r="J1372" i="3" a="1"/>
  <c r="J1372" i="3"/>
  <c r="M1372" i="3" s="1"/>
  <c r="J1373" i="3" a="1"/>
  <c r="J1373" i="3" s="1"/>
  <c r="M1373" i="3" s="1"/>
  <c r="J1374" i="3" a="1"/>
  <c r="J1374" i="3" s="1"/>
  <c r="M1374" i="3" s="1"/>
  <c r="J1375" i="3" a="1"/>
  <c r="J1375" i="3" s="1"/>
  <c r="M1375" i="3" s="1"/>
  <c r="J1376" i="3" a="1"/>
  <c r="J1376" i="3" s="1"/>
  <c r="M1376" i="3" s="1"/>
  <c r="J1377" i="3" a="1"/>
  <c r="J1377" i="3" s="1"/>
  <c r="M1377" i="3" s="1"/>
  <c r="J1378" i="3" a="1"/>
  <c r="J1378" i="3"/>
  <c r="M1378" i="3" s="1"/>
  <c r="J1379" i="3" a="1"/>
  <c r="J1379" i="3" s="1"/>
  <c r="M1379" i="3" s="1"/>
  <c r="J1380" i="3" a="1"/>
  <c r="J1380" i="3"/>
  <c r="M1380" i="3" s="1"/>
  <c r="J1381" i="3" a="1"/>
  <c r="J1381" i="3" s="1"/>
  <c r="M1381" i="3" s="1"/>
  <c r="J1382" i="3" a="1"/>
  <c r="J1382" i="3" s="1"/>
  <c r="M1382" i="3" s="1"/>
  <c r="J1383" i="3" a="1"/>
  <c r="J1383" i="3" s="1"/>
  <c r="M1383" i="3" s="1"/>
  <c r="J1384" i="3" a="1"/>
  <c r="J1384" i="3" s="1"/>
  <c r="M1384" i="3" s="1"/>
  <c r="J1385" i="3" a="1"/>
  <c r="J1385" i="3" s="1"/>
  <c r="M1385" i="3" s="1"/>
  <c r="J1386" i="3" a="1"/>
  <c r="J1386" i="3"/>
  <c r="M1386" i="3" s="1"/>
  <c r="J1387" i="3" a="1"/>
  <c r="J1387" i="3" s="1"/>
  <c r="M1387" i="3" s="1"/>
  <c r="J1388" i="3" a="1"/>
  <c r="J1388" i="3"/>
  <c r="M1388" i="3" s="1"/>
  <c r="J1389" i="3" a="1"/>
  <c r="J1389" i="3" s="1"/>
  <c r="M1389" i="3" s="1"/>
  <c r="J1390" i="3" a="1"/>
  <c r="J1390" i="3" s="1"/>
  <c r="M1390" i="3" s="1"/>
  <c r="J1391" i="3" a="1"/>
  <c r="J1391" i="3" s="1"/>
  <c r="M1391" i="3" s="1"/>
  <c r="J1392" i="3" a="1"/>
  <c r="J1392" i="3" s="1"/>
  <c r="M1392" i="3" s="1"/>
  <c r="J1393" i="3" a="1"/>
  <c r="J1393" i="3" s="1"/>
  <c r="M1393" i="3" s="1"/>
  <c r="J1394" i="3" a="1"/>
  <c r="J1394" i="3"/>
  <c r="M1394" i="3" s="1"/>
  <c r="J1395" i="3" a="1"/>
  <c r="J1395" i="3" s="1"/>
  <c r="M1395" i="3" s="1"/>
  <c r="J1396" i="3" a="1"/>
  <c r="J1396" i="3"/>
  <c r="M1396" i="3" s="1"/>
  <c r="J1397" i="3" a="1"/>
  <c r="J1397" i="3" s="1"/>
  <c r="M1397" i="3" s="1"/>
  <c r="J1398" i="3" a="1"/>
  <c r="J1398" i="3" s="1"/>
  <c r="M1398" i="3" s="1"/>
  <c r="J1399" i="3" a="1"/>
  <c r="J1399" i="3" s="1"/>
  <c r="M1399" i="3" s="1"/>
  <c r="J1400" i="3" a="1"/>
  <c r="J1400" i="3" s="1"/>
  <c r="M1400" i="3" s="1"/>
  <c r="J1401" i="3" a="1"/>
  <c r="J1401" i="3" s="1"/>
  <c r="M1401" i="3" s="1"/>
  <c r="J1402" i="3" a="1"/>
  <c r="J1402" i="3"/>
  <c r="M1402" i="3" s="1"/>
  <c r="J1403" i="3" a="1"/>
  <c r="J1403" i="3" s="1"/>
  <c r="M1403" i="3" s="1"/>
  <c r="J1404" i="3" a="1"/>
  <c r="J1404" i="3"/>
  <c r="M1404" i="3" s="1"/>
  <c r="J1405" i="3" a="1"/>
  <c r="J1405" i="3" s="1"/>
  <c r="M1405" i="3" s="1"/>
  <c r="J1406" i="3" a="1"/>
  <c r="J1406" i="3" s="1"/>
  <c r="M1406" i="3" s="1"/>
  <c r="J1407" i="3" a="1"/>
  <c r="J1407" i="3" s="1"/>
  <c r="M1407" i="3" s="1"/>
  <c r="J1408" i="3" a="1"/>
  <c r="J1408" i="3" s="1"/>
  <c r="M1408" i="3" s="1"/>
  <c r="J1409" i="3" a="1"/>
  <c r="J1409" i="3" s="1"/>
  <c r="M1409" i="3" s="1"/>
  <c r="J1410" i="3" a="1"/>
  <c r="J1410" i="3" s="1"/>
  <c r="M1410" i="3" s="1"/>
  <c r="J1411" i="3" a="1"/>
  <c r="J1411" i="3" s="1"/>
  <c r="M1411" i="3" s="1"/>
  <c r="J1412" i="3" a="1"/>
  <c r="J1412" i="3"/>
  <c r="M1412" i="3" s="1"/>
  <c r="J1413" i="3" a="1"/>
  <c r="J1413" i="3" s="1"/>
  <c r="M1413" i="3" s="1"/>
  <c r="J1414" i="3" a="1"/>
  <c r="J1414" i="3" s="1"/>
  <c r="M1414" i="3" s="1"/>
  <c r="J1415" i="3" a="1"/>
  <c r="J1415" i="3" s="1"/>
  <c r="M1415" i="3" s="1"/>
  <c r="J1416" i="3" a="1"/>
  <c r="J1416" i="3" s="1"/>
  <c r="M1416" i="3" s="1"/>
  <c r="J1417" i="3" a="1"/>
  <c r="J1417" i="3" s="1"/>
  <c r="M1417" i="3" s="1"/>
  <c r="J1418" i="3" a="1"/>
  <c r="J1418" i="3" s="1"/>
  <c r="M1418" i="3" s="1"/>
  <c r="J1419" i="3" a="1"/>
  <c r="J1419" i="3" s="1"/>
  <c r="M1419" i="3" s="1"/>
  <c r="J1420" i="3" a="1"/>
  <c r="J1420" i="3"/>
  <c r="M1420" i="3" s="1"/>
  <c r="J1421" i="3" a="1"/>
  <c r="J1421" i="3" s="1"/>
  <c r="M1421" i="3" s="1"/>
  <c r="J1422" i="3" a="1"/>
  <c r="J1422" i="3" s="1"/>
  <c r="M1422" i="3" s="1"/>
  <c r="J1423" i="3" a="1"/>
  <c r="J1423" i="3" s="1"/>
  <c r="M1423" i="3" s="1"/>
  <c r="J1424" i="3" a="1"/>
  <c r="J1424" i="3" s="1"/>
  <c r="M1424" i="3" s="1"/>
  <c r="J1425" i="3" a="1"/>
  <c r="J1425" i="3" s="1"/>
  <c r="M1425" i="3" s="1"/>
  <c r="J1426" i="3" a="1"/>
  <c r="J1426" i="3" s="1"/>
  <c r="M1426" i="3" s="1"/>
  <c r="J1427" i="3" a="1"/>
  <c r="J1427" i="3" s="1"/>
  <c r="M1427" i="3" s="1"/>
  <c r="J1428" i="3" a="1"/>
  <c r="J1428" i="3"/>
  <c r="M1428" i="3" s="1"/>
  <c r="J1429" i="3" a="1"/>
  <c r="J1429" i="3" s="1"/>
  <c r="M1429" i="3" s="1"/>
  <c r="J1430" i="3" a="1"/>
  <c r="J1430" i="3" s="1"/>
  <c r="M1430" i="3" s="1"/>
  <c r="J1431" i="3" a="1"/>
  <c r="J1431" i="3" s="1"/>
  <c r="M1431" i="3" s="1"/>
  <c r="J1432" i="3" a="1"/>
  <c r="J1432" i="3" s="1"/>
  <c r="M1432" i="3" s="1"/>
  <c r="J1433" i="3" a="1"/>
  <c r="J1433" i="3" s="1"/>
  <c r="M1433" i="3" s="1"/>
  <c r="J1434" i="3" a="1"/>
  <c r="J1434" i="3" s="1"/>
  <c r="M1434" i="3" s="1"/>
  <c r="J1435" i="3" a="1"/>
  <c r="J1435" i="3" s="1"/>
  <c r="M1435" i="3" s="1"/>
  <c r="J1436" i="3" a="1"/>
  <c r="J1436" i="3"/>
  <c r="M1436" i="3" s="1"/>
  <c r="J1437" i="3" a="1"/>
  <c r="J1437" i="3" s="1"/>
  <c r="M1437" i="3" s="1"/>
  <c r="J1438" i="3" a="1"/>
  <c r="J1438" i="3" s="1"/>
  <c r="M1438" i="3" s="1"/>
  <c r="J1439" i="3" a="1"/>
  <c r="J1439" i="3" s="1"/>
  <c r="M1439" i="3" s="1"/>
  <c r="J1440" i="3" a="1"/>
  <c r="J1440" i="3" s="1"/>
  <c r="M1440" i="3" s="1"/>
  <c r="J1441" i="3" a="1"/>
  <c r="J1441" i="3" s="1"/>
  <c r="M1441" i="3" s="1"/>
  <c r="J1442" i="3" a="1"/>
  <c r="J1442" i="3" s="1"/>
  <c r="M1442" i="3" s="1"/>
  <c r="J1443" i="3" a="1"/>
  <c r="J1443" i="3" s="1"/>
  <c r="M1443" i="3" s="1"/>
  <c r="J1444" i="3" a="1"/>
  <c r="J1444" i="3"/>
  <c r="M1444" i="3" s="1"/>
  <c r="J1445" i="3" a="1"/>
  <c r="J1445" i="3" s="1"/>
  <c r="M1445" i="3" s="1"/>
  <c r="J1446" i="3" a="1"/>
  <c r="J1446" i="3" s="1"/>
  <c r="M1446" i="3" s="1"/>
  <c r="J1447" i="3" a="1"/>
  <c r="J1447" i="3" s="1"/>
  <c r="M1447" i="3" s="1"/>
  <c r="J1448" i="3" a="1"/>
  <c r="J1448" i="3" s="1"/>
  <c r="M1448" i="3" s="1"/>
  <c r="J1449" i="3" a="1"/>
  <c r="J1449" i="3" s="1"/>
  <c r="M1449" i="3" s="1"/>
  <c r="J1450" i="3" a="1"/>
  <c r="J1450" i="3" s="1"/>
  <c r="M1450" i="3" s="1"/>
  <c r="J1451" i="3" a="1"/>
  <c r="J1451" i="3" s="1"/>
  <c r="M1451" i="3" s="1"/>
  <c r="J1452" i="3" a="1"/>
  <c r="J1452" i="3"/>
  <c r="M1452" i="3" s="1"/>
  <c r="J1453" i="3" a="1"/>
  <c r="J1453" i="3" s="1"/>
  <c r="M1453" i="3" s="1"/>
  <c r="J1454" i="3" a="1"/>
  <c r="J1454" i="3" s="1"/>
  <c r="M1454" i="3" s="1"/>
  <c r="J1455" i="3" a="1"/>
  <c r="J1455" i="3" s="1"/>
  <c r="M1455" i="3" s="1"/>
  <c r="J1456" i="3" a="1"/>
  <c r="J1456" i="3" s="1"/>
  <c r="M1456" i="3" s="1"/>
  <c r="J1457" i="3" a="1"/>
  <c r="J1457" i="3" s="1"/>
  <c r="M1457" i="3" s="1"/>
  <c r="J1458" i="3" a="1"/>
  <c r="J1458" i="3" s="1"/>
  <c r="M1458" i="3" s="1"/>
  <c r="J1459" i="3" a="1"/>
  <c r="J1459" i="3" s="1"/>
  <c r="M1459" i="3" s="1"/>
  <c r="J1460" i="3" a="1"/>
  <c r="J1460" i="3"/>
  <c r="M1460" i="3" s="1"/>
  <c r="J1461" i="3" a="1"/>
  <c r="J1461" i="3" s="1"/>
  <c r="M1461" i="3" s="1"/>
  <c r="J1462" i="3" a="1"/>
  <c r="J1462" i="3" s="1"/>
  <c r="M1462" i="3" s="1"/>
  <c r="J1463" i="3" a="1"/>
  <c r="J1463" i="3" s="1"/>
  <c r="M1463" i="3" s="1"/>
  <c r="J1464" i="3" a="1"/>
  <c r="J1464" i="3" s="1"/>
  <c r="M1464" i="3" s="1"/>
  <c r="J1465" i="3" a="1"/>
  <c r="J1465" i="3" s="1"/>
  <c r="M1465" i="3" s="1"/>
  <c r="J1466" i="3" a="1"/>
  <c r="J1466" i="3" s="1"/>
  <c r="M1466" i="3" s="1"/>
  <c r="J1467" i="3" a="1"/>
  <c r="J1467" i="3" s="1"/>
  <c r="M1467" i="3" s="1"/>
  <c r="J1468" i="3" a="1"/>
  <c r="J1468" i="3"/>
  <c r="M1468" i="3" s="1"/>
  <c r="J1469" i="3" a="1"/>
  <c r="J1469" i="3" s="1"/>
  <c r="M1469" i="3" s="1"/>
  <c r="J1470" i="3" a="1"/>
  <c r="J1470" i="3" s="1"/>
  <c r="M1470" i="3" s="1"/>
  <c r="J1471" i="3" a="1"/>
  <c r="J1471" i="3" s="1"/>
  <c r="M1471" i="3" s="1"/>
  <c r="J1472" i="3" a="1"/>
  <c r="J1472" i="3" s="1"/>
  <c r="M1472" i="3" s="1"/>
  <c r="J1473" i="3" a="1"/>
  <c r="J1473" i="3" s="1"/>
  <c r="M1473" i="3" s="1"/>
  <c r="J1474" i="3" a="1"/>
  <c r="J1474" i="3" s="1"/>
  <c r="M1474" i="3" s="1"/>
  <c r="J1475" i="3" a="1"/>
  <c r="J1475" i="3" s="1"/>
  <c r="M1475" i="3" s="1"/>
  <c r="J1476" i="3" a="1"/>
  <c r="J1476" i="3"/>
  <c r="M1476" i="3" s="1"/>
  <c r="J1477" i="3" a="1"/>
  <c r="J1477" i="3" s="1"/>
  <c r="M1477" i="3" s="1"/>
  <c r="J1478" i="3" a="1"/>
  <c r="J1478" i="3" s="1"/>
  <c r="M1478" i="3" s="1"/>
  <c r="J1479" i="3" a="1"/>
  <c r="J1479" i="3" s="1"/>
  <c r="M1479" i="3" s="1"/>
  <c r="J1480" i="3" a="1"/>
  <c r="J1480" i="3" s="1"/>
  <c r="M1480" i="3" s="1"/>
  <c r="J1481" i="3" a="1"/>
  <c r="J1481" i="3" s="1"/>
  <c r="M1481" i="3" s="1"/>
  <c r="J1482" i="3" a="1"/>
  <c r="J1482" i="3" s="1"/>
  <c r="M1482" i="3" s="1"/>
  <c r="J1483" i="3" a="1"/>
  <c r="J1483" i="3" s="1"/>
  <c r="M1483" i="3" s="1"/>
  <c r="J1484" i="3" a="1"/>
  <c r="J1484" i="3"/>
  <c r="M1484" i="3" s="1"/>
  <c r="J1485" i="3" a="1"/>
  <c r="J1485" i="3" s="1"/>
  <c r="M1485" i="3" s="1"/>
  <c r="J1486" i="3" a="1"/>
  <c r="J1486" i="3" s="1"/>
  <c r="M1486" i="3" s="1"/>
  <c r="J1487" i="3" a="1"/>
  <c r="J1487" i="3" s="1"/>
  <c r="M1487" i="3" s="1"/>
  <c r="J1488" i="3" a="1"/>
  <c r="J1488" i="3" s="1"/>
  <c r="M1488" i="3" s="1"/>
  <c r="J1489" i="3" a="1"/>
  <c r="J1489" i="3" s="1"/>
  <c r="M1489" i="3" s="1"/>
  <c r="J1490" i="3" a="1"/>
  <c r="J1490" i="3" s="1"/>
  <c r="M1490" i="3" s="1"/>
  <c r="J1491" i="3" a="1"/>
  <c r="J1491" i="3" s="1"/>
  <c r="M1491" i="3" s="1"/>
  <c r="J1492" i="3" a="1"/>
  <c r="J1492" i="3"/>
  <c r="M1492" i="3" s="1"/>
  <c r="J1493" i="3" a="1"/>
  <c r="J1493" i="3" s="1"/>
  <c r="M1493" i="3" s="1"/>
  <c r="J1494" i="3" a="1"/>
  <c r="J1494" i="3" s="1"/>
  <c r="M1494" i="3" s="1"/>
  <c r="J1495" i="3" a="1"/>
  <c r="J1495" i="3" s="1"/>
  <c r="M1495" i="3" s="1"/>
  <c r="J1496" i="3" a="1"/>
  <c r="J1496" i="3" s="1"/>
  <c r="M1496" i="3" s="1"/>
  <c r="J1497" i="3" a="1"/>
  <c r="J1497" i="3" s="1"/>
  <c r="M1497" i="3" s="1"/>
  <c r="J1498" i="3" a="1"/>
  <c r="J1498" i="3" s="1"/>
  <c r="M1498" i="3" s="1"/>
  <c r="J1499" i="3" a="1"/>
  <c r="J1499" i="3" s="1"/>
  <c r="M1499" i="3" s="1"/>
  <c r="J1500" i="3" a="1"/>
  <c r="J1500" i="3"/>
  <c r="M1500" i="3" s="1"/>
  <c r="J1501" i="3" a="1"/>
  <c r="J1501" i="3" s="1"/>
  <c r="M1501" i="3" s="1"/>
  <c r="J1502" i="3" a="1"/>
  <c r="J1502" i="3" s="1"/>
  <c r="M1502" i="3" s="1"/>
  <c r="J1503" i="3" a="1"/>
  <c r="J1503" i="3" s="1"/>
  <c r="M1503" i="3" s="1"/>
  <c r="J1504" i="3" a="1"/>
  <c r="J1504" i="3" s="1"/>
  <c r="M1504" i="3" s="1"/>
  <c r="J1505" i="3" a="1"/>
  <c r="J1505" i="3" s="1"/>
  <c r="M1505" i="3" s="1"/>
  <c r="J1506" i="3" a="1"/>
  <c r="J1506" i="3" s="1"/>
  <c r="M1506" i="3" s="1"/>
  <c r="J1507" i="3" a="1"/>
  <c r="J1507" i="3" s="1"/>
  <c r="M1507" i="3" s="1"/>
  <c r="J1508" i="3" a="1"/>
  <c r="J1508" i="3"/>
  <c r="M1508" i="3" s="1"/>
  <c r="J1509" i="3" a="1"/>
  <c r="J1509" i="3" s="1"/>
  <c r="M1509" i="3" s="1"/>
  <c r="J1510" i="3" a="1"/>
  <c r="J1510" i="3" s="1"/>
  <c r="M1510" i="3" s="1"/>
  <c r="J1511" i="3" a="1"/>
  <c r="J1511" i="3" s="1"/>
  <c r="M1511" i="3" s="1"/>
  <c r="J1512" i="3" a="1"/>
  <c r="J1512" i="3" s="1"/>
  <c r="M1512" i="3" s="1"/>
  <c r="J1513" i="3" a="1"/>
  <c r="J1513" i="3" s="1"/>
  <c r="M1513" i="3" s="1"/>
  <c r="J1514" i="3" a="1"/>
  <c r="J1514" i="3"/>
  <c r="M1514" i="3" s="1"/>
  <c r="J1515" i="3" a="1"/>
  <c r="J1515" i="3" s="1"/>
  <c r="M1515" i="3" s="1"/>
  <c r="J1516" i="3" a="1"/>
  <c r="J1516" i="3"/>
  <c r="M1516" i="3" s="1"/>
  <c r="J1517" i="3" a="1"/>
  <c r="J1517" i="3" s="1"/>
  <c r="M1517" i="3" s="1"/>
  <c r="J1518" i="3" a="1"/>
  <c r="J1518" i="3" s="1"/>
  <c r="M1518" i="3" s="1"/>
  <c r="J1519" i="3" a="1"/>
  <c r="J1519" i="3" s="1"/>
  <c r="M1519" i="3" s="1"/>
  <c r="J1520" i="3" a="1"/>
  <c r="J1520" i="3" s="1"/>
  <c r="M1520" i="3" s="1"/>
  <c r="J1521" i="3" a="1"/>
  <c r="J1521" i="3" s="1"/>
  <c r="M1521" i="3" s="1"/>
  <c r="J1522" i="3" a="1"/>
  <c r="J1522" i="3" s="1"/>
  <c r="M1522" i="3" s="1"/>
  <c r="J1523" i="3" a="1"/>
  <c r="J1523" i="3" s="1"/>
  <c r="M1523" i="3" s="1"/>
  <c r="J1524" i="3" a="1"/>
  <c r="J1524" i="3"/>
  <c r="M1524" i="3" s="1"/>
  <c r="J1525" i="3" a="1"/>
  <c r="J1525" i="3" s="1"/>
  <c r="M1525" i="3" s="1"/>
  <c r="J1526" i="3" a="1"/>
  <c r="J1526" i="3" s="1"/>
  <c r="M1526" i="3" s="1"/>
  <c r="J1527" i="3" a="1"/>
  <c r="J1527" i="3" s="1"/>
  <c r="M1527" i="3" s="1"/>
  <c r="J1528" i="3" a="1"/>
  <c r="J1528" i="3" s="1"/>
  <c r="M1528" i="3" s="1"/>
  <c r="J1529" i="3" a="1"/>
  <c r="J1529" i="3" s="1"/>
  <c r="M1529" i="3" s="1"/>
  <c r="J1530" i="3" a="1"/>
  <c r="J1530" i="3" s="1"/>
  <c r="M1530" i="3" s="1"/>
  <c r="J1531" i="3" a="1"/>
  <c r="J1531" i="3" s="1"/>
  <c r="M1531" i="3" s="1"/>
  <c r="J1532" i="3" a="1"/>
  <c r="J1532" i="3" s="1"/>
  <c r="M1532" i="3" s="1"/>
  <c r="J1533" i="3" a="1"/>
  <c r="J1533" i="3"/>
  <c r="M1533" i="3" s="1"/>
  <c r="J1534" i="3" a="1"/>
  <c r="J1534" i="3" s="1"/>
  <c r="M1534" i="3" s="1"/>
  <c r="J1535" i="3" a="1"/>
  <c r="J1535" i="3" s="1"/>
  <c r="M1535" i="3" s="1"/>
  <c r="J1536" i="3" a="1"/>
  <c r="J1536" i="3" s="1"/>
  <c r="M1536" i="3" s="1"/>
  <c r="J1537" i="3" a="1"/>
  <c r="J1537" i="3" s="1"/>
  <c r="M1537" i="3" s="1"/>
  <c r="J1538" i="3" a="1"/>
  <c r="J1538" i="3" s="1"/>
  <c r="M1538" i="3" s="1"/>
  <c r="J1539" i="3" a="1"/>
  <c r="J1539" i="3" s="1"/>
  <c r="M1539" i="3" s="1"/>
  <c r="J1540" i="3" a="1"/>
  <c r="J1540" i="3" s="1"/>
  <c r="M1540" i="3" s="1"/>
  <c r="J1541" i="3" a="1"/>
  <c r="J1541" i="3"/>
  <c r="M1541" i="3" s="1"/>
  <c r="J1542" i="3" a="1"/>
  <c r="J1542" i="3" s="1"/>
  <c r="M1542" i="3" s="1"/>
  <c r="J1543" i="3" a="1"/>
  <c r="J1543" i="3" s="1"/>
  <c r="M1543" i="3" s="1"/>
  <c r="J1544" i="3" a="1"/>
  <c r="J1544" i="3" s="1"/>
  <c r="M1544" i="3" s="1"/>
  <c r="J1545" i="3" a="1"/>
  <c r="J1545" i="3"/>
  <c r="M1545" i="3" s="1"/>
  <c r="J1546" i="3" a="1"/>
  <c r="J1546" i="3" s="1"/>
  <c r="M1546" i="3" s="1"/>
  <c r="J1547" i="3" a="1"/>
  <c r="J1547" i="3" s="1"/>
  <c r="M1547" i="3" s="1"/>
  <c r="J1548" i="3" a="1"/>
  <c r="J1548" i="3" s="1"/>
  <c r="M1548" i="3" s="1"/>
  <c r="J1549" i="3" a="1"/>
  <c r="J1549" i="3"/>
  <c r="M1549" i="3" s="1"/>
  <c r="J1550" i="3" a="1"/>
  <c r="J1550" i="3" s="1"/>
  <c r="M1550" i="3" s="1"/>
  <c r="J1551" i="3" a="1"/>
  <c r="J1551" i="3" s="1"/>
  <c r="M1551" i="3" s="1"/>
  <c r="J1552" i="3" a="1"/>
  <c r="J1552" i="3" s="1"/>
  <c r="M1552" i="3" s="1"/>
  <c r="J1553" i="3" a="1"/>
  <c r="J1553" i="3"/>
  <c r="M1553" i="3" s="1"/>
  <c r="J1554" i="3" a="1"/>
  <c r="J1554" i="3" s="1"/>
  <c r="M1554" i="3" s="1"/>
  <c r="J1555" i="3" a="1"/>
  <c r="J1555" i="3" s="1"/>
  <c r="M1555" i="3" s="1"/>
  <c r="J1556" i="3" a="1"/>
  <c r="J1556" i="3" s="1"/>
  <c r="M1556" i="3" s="1"/>
  <c r="J1557" i="3" a="1"/>
  <c r="J1557" i="3"/>
  <c r="M1557" i="3" s="1"/>
  <c r="J1558" i="3" a="1"/>
  <c r="J1558" i="3" s="1"/>
  <c r="M1558" i="3" s="1"/>
  <c r="J1559" i="3" a="1"/>
  <c r="J1559" i="3" s="1"/>
  <c r="M1559" i="3" s="1"/>
  <c r="J1560" i="3" a="1"/>
  <c r="J1560" i="3" s="1"/>
  <c r="M1560" i="3" s="1"/>
  <c r="J1561" i="3" a="1"/>
  <c r="J1561" i="3"/>
  <c r="M1561" i="3" s="1"/>
  <c r="J1562" i="3" a="1"/>
  <c r="J1562" i="3" s="1"/>
  <c r="M1562" i="3" s="1"/>
  <c r="J1563" i="3" a="1"/>
  <c r="J1563" i="3" s="1"/>
  <c r="M1563" i="3" s="1"/>
  <c r="J1564" i="3" a="1"/>
  <c r="J1564" i="3" s="1"/>
  <c r="M1564" i="3" s="1"/>
  <c r="J1565" i="3" a="1"/>
  <c r="J1565" i="3" s="1"/>
  <c r="M1565" i="3" s="1"/>
  <c r="J1566" i="3" a="1"/>
  <c r="J1566" i="3" s="1"/>
  <c r="M1566" i="3" s="1"/>
  <c r="J1567" i="3" a="1"/>
  <c r="J1567" i="3"/>
  <c r="M1567" i="3" s="1"/>
  <c r="J1568" i="3" a="1"/>
  <c r="J1568" i="3" s="1"/>
  <c r="M1568" i="3" s="1"/>
  <c r="J1569" i="3" a="1"/>
  <c r="J1569" i="3"/>
  <c r="M1569" i="3" s="1"/>
  <c r="J1570" i="3" a="1"/>
  <c r="J1570" i="3" s="1"/>
  <c r="M1570" i="3" s="1"/>
  <c r="J1571" i="3" a="1"/>
  <c r="J1571" i="3" s="1"/>
  <c r="M1571" i="3" s="1"/>
  <c r="J1572" i="3" a="1"/>
  <c r="J1572" i="3" s="1"/>
  <c r="M1572" i="3" s="1"/>
  <c r="J1573" i="3" a="1"/>
  <c r="J1573" i="3" s="1"/>
  <c r="M1573" i="3" s="1"/>
  <c r="J1574" i="3" a="1"/>
  <c r="J1574" i="3" s="1"/>
  <c r="M1574" i="3" s="1"/>
  <c r="J1575" i="3" a="1"/>
  <c r="J1575" i="3"/>
  <c r="M1575" i="3" s="1"/>
  <c r="J1576" i="3" a="1"/>
  <c r="J1576" i="3" s="1"/>
  <c r="M1576" i="3" s="1"/>
  <c r="J1577" i="3" a="1"/>
  <c r="J1577" i="3"/>
  <c r="M1577" i="3" s="1"/>
  <c r="J1578" i="3" a="1"/>
  <c r="J1578" i="3" s="1"/>
  <c r="M1578" i="3" s="1"/>
  <c r="J1579" i="3" a="1"/>
  <c r="J1579" i="3" s="1"/>
  <c r="M1579" i="3" s="1"/>
  <c r="J1580" i="3" a="1"/>
  <c r="J1580" i="3" s="1"/>
  <c r="M1580" i="3" s="1"/>
  <c r="J1581" i="3" a="1"/>
  <c r="J1581" i="3" s="1"/>
  <c r="M1581" i="3" s="1"/>
  <c r="J1582" i="3" a="1"/>
  <c r="J1582" i="3" s="1"/>
  <c r="M1582" i="3" s="1"/>
  <c r="J1583" i="3" a="1"/>
  <c r="J1583" i="3"/>
  <c r="M1583" i="3" s="1"/>
  <c r="J1584" i="3" a="1"/>
  <c r="J1584" i="3" s="1"/>
  <c r="M1584" i="3" s="1"/>
  <c r="J1585" i="3" a="1"/>
  <c r="J1585" i="3"/>
  <c r="M1585" i="3" s="1"/>
  <c r="J1586" i="3" a="1"/>
  <c r="J1586" i="3" s="1"/>
  <c r="M1586" i="3" s="1"/>
  <c r="J1587" i="3" a="1"/>
  <c r="J1587" i="3" s="1"/>
  <c r="M1587" i="3" s="1"/>
  <c r="J1588" i="3" a="1"/>
  <c r="J1588" i="3" s="1"/>
  <c r="M1588" i="3" s="1"/>
  <c r="J1589" i="3" a="1"/>
  <c r="J1589" i="3" s="1"/>
  <c r="M1589" i="3" s="1"/>
  <c r="J1590" i="3" a="1"/>
  <c r="J1590" i="3" s="1"/>
  <c r="M1590" i="3" s="1"/>
  <c r="J1591" i="3" a="1"/>
  <c r="J1591" i="3"/>
  <c r="M1591" i="3" s="1"/>
  <c r="J1592" i="3" a="1"/>
  <c r="J1592" i="3" s="1"/>
  <c r="M1592" i="3" s="1"/>
  <c r="J1593" i="3" a="1"/>
  <c r="J1593" i="3"/>
  <c r="M1593" i="3" s="1"/>
  <c r="J1594" i="3" a="1"/>
  <c r="J1594" i="3" s="1"/>
  <c r="M1594" i="3" s="1"/>
  <c r="J1595" i="3" a="1"/>
  <c r="J1595" i="3" s="1"/>
  <c r="M1595" i="3" s="1"/>
  <c r="J1596" i="3" a="1"/>
  <c r="J1596" i="3" s="1"/>
  <c r="M1596" i="3" s="1"/>
  <c r="J1597" i="3" a="1"/>
  <c r="J1597" i="3" s="1"/>
  <c r="M1597" i="3" s="1"/>
  <c r="J1598" i="3" a="1"/>
  <c r="J1598" i="3" s="1"/>
  <c r="M1598" i="3" s="1"/>
  <c r="J1599" i="3" a="1"/>
  <c r="J1599" i="3"/>
  <c r="M1599" i="3" s="1"/>
  <c r="J1600" i="3" a="1"/>
  <c r="J1600" i="3" s="1"/>
  <c r="M1600" i="3" s="1"/>
  <c r="J1601" i="3" a="1"/>
  <c r="J1601" i="3" s="1"/>
  <c r="M1601" i="3" s="1"/>
  <c r="J1602" i="3" a="1"/>
  <c r="J1602" i="3" s="1"/>
  <c r="M1602" i="3" s="1"/>
  <c r="J1603" i="3" a="1"/>
  <c r="J1603" i="3" s="1"/>
  <c r="M1603" i="3" s="1"/>
  <c r="J1604" i="3" a="1"/>
  <c r="J1604" i="3" s="1"/>
  <c r="M1604" i="3" s="1"/>
  <c r="J1605" i="3" a="1"/>
  <c r="J1605" i="3" s="1"/>
  <c r="M1605" i="3" s="1"/>
  <c r="J1606" i="3" a="1"/>
  <c r="J1606" i="3" s="1"/>
  <c r="M1606" i="3" s="1"/>
  <c r="J1607" i="3" a="1"/>
  <c r="J1607" i="3"/>
  <c r="M1607" i="3" s="1"/>
  <c r="J1608" i="3" a="1"/>
  <c r="J1608" i="3" s="1"/>
  <c r="M1608" i="3" s="1"/>
  <c r="J1609" i="3" a="1"/>
  <c r="J1609" i="3"/>
  <c r="M1609" i="3" s="1"/>
  <c r="J1610" i="3" a="1"/>
  <c r="J1610" i="3" s="1"/>
  <c r="M1610" i="3" s="1"/>
  <c r="J1611" i="3" a="1"/>
  <c r="J1611" i="3" s="1"/>
  <c r="M1611" i="3" s="1"/>
  <c r="J1612" i="3" a="1"/>
  <c r="J1612" i="3" s="1"/>
  <c r="M1612" i="3" s="1"/>
  <c r="J1613" i="3" a="1"/>
  <c r="J1613" i="3" s="1"/>
  <c r="M1613" i="3" s="1"/>
  <c r="J1614" i="3" a="1"/>
  <c r="J1614" i="3" s="1"/>
  <c r="M1614" i="3" s="1"/>
  <c r="J1615" i="3" a="1"/>
  <c r="J1615" i="3"/>
  <c r="M1615" i="3" s="1"/>
  <c r="J1616" i="3" a="1"/>
  <c r="J1616" i="3" s="1"/>
  <c r="M1616" i="3" s="1"/>
  <c r="J1617" i="3" a="1"/>
  <c r="J1617" i="3"/>
  <c r="M1617" i="3" s="1"/>
  <c r="J1618" i="3" a="1"/>
  <c r="J1618" i="3" s="1"/>
  <c r="M1618" i="3" s="1"/>
  <c r="J1619" i="3" a="1"/>
  <c r="J1619" i="3" s="1"/>
  <c r="M1619" i="3" s="1"/>
  <c r="J1620" i="3" a="1"/>
  <c r="J1620" i="3" s="1"/>
  <c r="M1620" i="3" s="1"/>
  <c r="J1621" i="3" a="1"/>
  <c r="J1621" i="3" s="1"/>
  <c r="M1621" i="3" s="1"/>
  <c r="J1622" i="3" a="1"/>
  <c r="J1622" i="3" s="1"/>
  <c r="M1622" i="3" s="1"/>
  <c r="J1623" i="3" a="1"/>
  <c r="J1623" i="3"/>
  <c r="M1623" i="3" s="1"/>
  <c r="J1624" i="3" a="1"/>
  <c r="J1624" i="3" s="1"/>
  <c r="M1624" i="3" s="1"/>
  <c r="J1625" i="3" a="1"/>
  <c r="J1625" i="3"/>
  <c r="M1625" i="3" s="1"/>
  <c r="J1626" i="3" a="1"/>
  <c r="J1626" i="3" s="1"/>
  <c r="M1626" i="3" s="1"/>
  <c r="J1627" i="3" a="1"/>
  <c r="J1627" i="3" s="1"/>
  <c r="M1627" i="3" s="1"/>
  <c r="J1628" i="3" a="1"/>
  <c r="J1628" i="3" s="1"/>
  <c r="M1628" i="3" s="1"/>
  <c r="J1629" i="3" a="1"/>
  <c r="J1629" i="3" s="1"/>
  <c r="M1629" i="3" s="1"/>
  <c r="J1630" i="3" a="1"/>
  <c r="J1630" i="3" s="1"/>
  <c r="M1630" i="3" s="1"/>
  <c r="J1631" i="3" a="1"/>
  <c r="J1631" i="3"/>
  <c r="M1631" i="3" s="1"/>
  <c r="J1632" i="3" a="1"/>
  <c r="J1632" i="3" s="1"/>
  <c r="M1632" i="3" s="1"/>
  <c r="J1633" i="3" a="1"/>
  <c r="J1633" i="3"/>
  <c r="M1633" i="3" s="1"/>
  <c r="J1634" i="3" a="1"/>
  <c r="J1634" i="3" s="1"/>
  <c r="M1634" i="3" s="1"/>
  <c r="J1635" i="3" a="1"/>
  <c r="J1635" i="3" s="1"/>
  <c r="M1635" i="3" s="1"/>
  <c r="J1636" i="3" a="1"/>
  <c r="J1636" i="3" s="1"/>
  <c r="M1636" i="3" s="1"/>
  <c r="J1637" i="3" a="1"/>
  <c r="J1637" i="3" s="1"/>
  <c r="M1637" i="3" s="1"/>
  <c r="J1638" i="3" a="1"/>
  <c r="J1638" i="3" s="1"/>
  <c r="M1638" i="3" s="1"/>
  <c r="J1639" i="3" a="1"/>
  <c r="J1639" i="3"/>
  <c r="M1639" i="3" s="1"/>
  <c r="J1640" i="3" a="1"/>
  <c r="J1640" i="3" s="1"/>
  <c r="M1640" i="3" s="1"/>
  <c r="J1641" i="3" a="1"/>
  <c r="J1641" i="3"/>
  <c r="M1641" i="3" s="1"/>
  <c r="J1642" i="3" a="1"/>
  <c r="J1642" i="3" s="1"/>
  <c r="M1642" i="3" s="1"/>
  <c r="J1643" i="3" a="1"/>
  <c r="J1643" i="3" s="1"/>
  <c r="M1643" i="3" s="1"/>
  <c r="J1644" i="3" a="1"/>
  <c r="J1644" i="3" s="1"/>
  <c r="M1644" i="3" s="1"/>
  <c r="J1645" i="3" a="1"/>
  <c r="J1645" i="3" s="1"/>
  <c r="M1645" i="3" s="1"/>
  <c r="J1646" i="3" a="1"/>
  <c r="J1646" i="3" s="1"/>
  <c r="M1646" i="3" s="1"/>
  <c r="J1647" i="3" a="1"/>
  <c r="J1647" i="3"/>
  <c r="M1647" i="3" s="1"/>
  <c r="J1648" i="3" a="1"/>
  <c r="J1648" i="3" s="1"/>
  <c r="M1648" i="3" s="1"/>
  <c r="J1649" i="3" a="1"/>
  <c r="J1649" i="3"/>
  <c r="M1649" i="3" s="1"/>
  <c r="J1650" i="3" a="1"/>
  <c r="J1650" i="3" s="1"/>
  <c r="M1650" i="3" s="1"/>
  <c r="J1651" i="3" a="1"/>
  <c r="J1651" i="3" s="1"/>
  <c r="M1651" i="3" s="1"/>
  <c r="J1652" i="3" a="1"/>
  <c r="J1652" i="3" s="1"/>
  <c r="M1652" i="3" s="1"/>
  <c r="J1653" i="3" a="1"/>
  <c r="J1653" i="3" s="1"/>
  <c r="M1653" i="3" s="1"/>
  <c r="J1654" i="3" a="1"/>
  <c r="J1654" i="3" s="1"/>
  <c r="M1654" i="3" s="1"/>
  <c r="J1655" i="3" a="1"/>
  <c r="J1655" i="3"/>
  <c r="M1655" i="3" s="1"/>
  <c r="J1656" i="3" a="1"/>
  <c r="J1656" i="3" s="1"/>
  <c r="M1656" i="3" s="1"/>
  <c r="J1657" i="3" a="1"/>
  <c r="J1657" i="3"/>
  <c r="M1657" i="3" s="1"/>
  <c r="J1658" i="3" a="1"/>
  <c r="J1658" i="3" s="1"/>
  <c r="M1658" i="3" s="1"/>
  <c r="J1659" i="3" a="1"/>
  <c r="J1659" i="3" s="1"/>
  <c r="M1659" i="3" s="1"/>
  <c r="J1660" i="3" a="1"/>
  <c r="J1660" i="3" s="1"/>
  <c r="M1660" i="3" s="1"/>
  <c r="J1661" i="3" a="1"/>
  <c r="J1661" i="3" s="1"/>
  <c r="M1661" i="3" s="1"/>
  <c r="J1662" i="3" a="1"/>
  <c r="J1662" i="3" s="1"/>
  <c r="M1662" i="3" s="1"/>
  <c r="J1663" i="3" a="1"/>
  <c r="J1663" i="3"/>
  <c r="M1663" i="3" s="1"/>
  <c r="J1664" i="3" a="1"/>
  <c r="J1664" i="3" s="1"/>
  <c r="M1664" i="3" s="1"/>
  <c r="J1665" i="3" a="1"/>
  <c r="J1665" i="3" s="1"/>
  <c r="M1665" i="3" s="1"/>
  <c r="J1666" i="3" a="1"/>
  <c r="J1666" i="3" s="1"/>
  <c r="M1666" i="3" s="1"/>
  <c r="J1667" i="3" a="1"/>
  <c r="J1667" i="3" s="1"/>
  <c r="M1667" i="3" s="1"/>
  <c r="J1668" i="3" a="1"/>
  <c r="J1668" i="3" s="1"/>
  <c r="M1668" i="3" s="1"/>
  <c r="J1669" i="3" a="1"/>
  <c r="J1669" i="3" s="1"/>
  <c r="M1669" i="3" s="1"/>
  <c r="J1670" i="3" a="1"/>
  <c r="J1670" i="3" s="1"/>
  <c r="M1670" i="3" s="1"/>
  <c r="J1671" i="3" a="1"/>
  <c r="J1671" i="3"/>
  <c r="M1671" i="3" s="1"/>
  <c r="J1672" i="3" a="1"/>
  <c r="J1672" i="3" s="1"/>
  <c r="M1672" i="3" s="1"/>
  <c r="J1673" i="3" a="1"/>
  <c r="J1673" i="3"/>
  <c r="M1673" i="3" s="1"/>
  <c r="J1674" i="3" a="1"/>
  <c r="J1674" i="3" s="1"/>
  <c r="M1674" i="3" s="1"/>
  <c r="J1675" i="3" a="1"/>
  <c r="J1675" i="3" s="1"/>
  <c r="M1675" i="3" s="1"/>
  <c r="J1676" i="3" a="1"/>
  <c r="J1676" i="3" s="1"/>
  <c r="M1676" i="3" s="1"/>
  <c r="J1677" i="3" a="1"/>
  <c r="J1677" i="3" s="1"/>
  <c r="M1677" i="3" s="1"/>
  <c r="J1678" i="3" a="1"/>
  <c r="J1678" i="3" s="1"/>
  <c r="M1678" i="3" s="1"/>
  <c r="J1679" i="3" a="1"/>
  <c r="J1679" i="3"/>
  <c r="M1679" i="3" s="1"/>
  <c r="J1680" i="3" a="1"/>
  <c r="J1680" i="3" s="1"/>
  <c r="M1680" i="3" s="1"/>
  <c r="J1681" i="3" a="1"/>
  <c r="J1681" i="3"/>
  <c r="M1681" i="3" s="1"/>
  <c r="J1682" i="3" a="1"/>
  <c r="J1682" i="3" s="1"/>
  <c r="M1682" i="3" s="1"/>
  <c r="J1683" i="3" a="1"/>
  <c r="J1683" i="3" s="1"/>
  <c r="M1683" i="3" s="1"/>
  <c r="J1684" i="3" a="1"/>
  <c r="J1684" i="3" s="1"/>
  <c r="M1684" i="3" s="1"/>
  <c r="J1685" i="3" a="1"/>
  <c r="J1685" i="3" s="1"/>
  <c r="M1685" i="3" s="1"/>
  <c r="J1686" i="3" a="1"/>
  <c r="J1686" i="3" s="1"/>
  <c r="M1686" i="3" s="1"/>
  <c r="J1687" i="3" a="1"/>
  <c r="J1687" i="3"/>
  <c r="M1687" i="3" s="1"/>
  <c r="J1688" i="3" a="1"/>
  <c r="J1688" i="3" s="1"/>
  <c r="M1688" i="3" s="1"/>
  <c r="J1689" i="3" a="1"/>
  <c r="J1689" i="3"/>
  <c r="M1689" i="3" s="1"/>
  <c r="J1690" i="3" a="1"/>
  <c r="J1690" i="3" s="1"/>
  <c r="M1690" i="3" s="1"/>
  <c r="J1691" i="3" a="1"/>
  <c r="J1691" i="3" s="1"/>
  <c r="M1691" i="3" s="1"/>
  <c r="J1692" i="3" a="1"/>
  <c r="J1692" i="3" s="1"/>
  <c r="M1692" i="3" s="1"/>
  <c r="J1693" i="3" a="1"/>
  <c r="J1693" i="3" s="1"/>
  <c r="M1693" i="3" s="1"/>
  <c r="J1694" i="3" a="1"/>
  <c r="J1694" i="3" s="1"/>
  <c r="M1694" i="3" s="1"/>
  <c r="J1695" i="3" a="1"/>
  <c r="J1695" i="3"/>
  <c r="M1695" i="3" s="1"/>
  <c r="J1696" i="3" a="1"/>
  <c r="J1696" i="3" s="1"/>
  <c r="M1696" i="3" s="1"/>
  <c r="J1697" i="3" a="1"/>
  <c r="J1697" i="3"/>
  <c r="M1697" i="3" s="1"/>
  <c r="J1698" i="3" a="1"/>
  <c r="J1698" i="3" s="1"/>
  <c r="M1698" i="3" s="1"/>
  <c r="J1699" i="3" a="1"/>
  <c r="J1699" i="3" s="1"/>
  <c r="M1699" i="3" s="1"/>
  <c r="J1700" i="3" a="1"/>
  <c r="J1700" i="3" s="1"/>
  <c r="M1700" i="3" s="1"/>
  <c r="J1701" i="3" a="1"/>
  <c r="J1701" i="3" s="1"/>
  <c r="M1701" i="3" s="1"/>
  <c r="J1702" i="3" a="1"/>
  <c r="J1702" i="3" s="1"/>
  <c r="M1702" i="3" s="1"/>
  <c r="J1703" i="3" a="1"/>
  <c r="J1703" i="3"/>
  <c r="M1703" i="3" s="1"/>
  <c r="J1704" i="3" a="1"/>
  <c r="J1704" i="3" s="1"/>
  <c r="M1704" i="3" s="1"/>
  <c r="J1705" i="3" a="1"/>
  <c r="J1705" i="3"/>
  <c r="M1705" i="3" s="1"/>
  <c r="J1706" i="3" a="1"/>
  <c r="J1706" i="3" s="1"/>
  <c r="M1706" i="3" s="1"/>
  <c r="J1707" i="3" a="1"/>
  <c r="J1707" i="3" s="1"/>
  <c r="M1707" i="3" s="1"/>
  <c r="J1708" i="3" a="1"/>
  <c r="J1708" i="3" s="1"/>
  <c r="M1708" i="3" s="1"/>
  <c r="J1709" i="3" a="1"/>
  <c r="J1709" i="3" s="1"/>
  <c r="M1709" i="3" s="1"/>
  <c r="J1710" i="3" a="1"/>
  <c r="J1710" i="3" s="1"/>
  <c r="M1710" i="3" s="1"/>
  <c r="J1711" i="3" a="1"/>
  <c r="J1711" i="3"/>
  <c r="M1711" i="3" s="1"/>
  <c r="J1712" i="3" a="1"/>
  <c r="J1712" i="3" s="1"/>
  <c r="M1712" i="3" s="1"/>
  <c r="J1713" i="3" a="1"/>
  <c r="J1713" i="3"/>
  <c r="M1713" i="3" s="1"/>
  <c r="J1714" i="3" a="1"/>
  <c r="J1714" i="3" s="1"/>
  <c r="M1714" i="3" s="1"/>
  <c r="J1715" i="3" a="1"/>
  <c r="J1715" i="3" s="1"/>
  <c r="M1715" i="3" s="1"/>
  <c r="J1716" i="3" a="1"/>
  <c r="J1716" i="3" s="1"/>
  <c r="M1716" i="3" s="1"/>
  <c r="J1717" i="3" a="1"/>
  <c r="J1717" i="3" s="1"/>
  <c r="M1717" i="3" s="1"/>
  <c r="J1718" i="3" a="1"/>
  <c r="J1718" i="3" s="1"/>
  <c r="M1718" i="3" s="1"/>
  <c r="J1719" i="3" a="1"/>
  <c r="J1719" i="3"/>
  <c r="M1719" i="3" s="1"/>
  <c r="J1720" i="3" a="1"/>
  <c r="J1720" i="3" s="1"/>
  <c r="M1720" i="3" s="1"/>
  <c r="J1721" i="3" a="1"/>
  <c r="J1721" i="3"/>
  <c r="M1721" i="3" s="1"/>
  <c r="J1722" i="3" a="1"/>
  <c r="J1722" i="3" s="1"/>
  <c r="M1722" i="3" s="1"/>
  <c r="J1723" i="3" a="1"/>
  <c r="J1723" i="3" s="1"/>
  <c r="M1723" i="3" s="1"/>
  <c r="J1724" i="3" a="1"/>
  <c r="J1724" i="3" s="1"/>
  <c r="M1724" i="3" s="1"/>
  <c r="J1725" i="3" a="1"/>
  <c r="J1725" i="3" s="1"/>
  <c r="M1725" i="3" s="1"/>
  <c r="J1726" i="3" a="1"/>
  <c r="J1726" i="3" s="1"/>
  <c r="M1726" i="3" s="1"/>
  <c r="J1727" i="3" a="1"/>
  <c r="J1727" i="3"/>
  <c r="M1727" i="3" s="1"/>
  <c r="J1728" i="3" a="1"/>
  <c r="J1728" i="3" s="1"/>
  <c r="M1728" i="3" s="1"/>
  <c r="J1729" i="3" a="1"/>
  <c r="J1729" i="3"/>
  <c r="M1729" i="3" s="1"/>
  <c r="J1730" i="3" a="1"/>
  <c r="J1730" i="3" s="1"/>
  <c r="M1730" i="3" s="1"/>
  <c r="J1731" i="3" a="1"/>
  <c r="J1731" i="3" s="1"/>
  <c r="M1731" i="3" s="1"/>
  <c r="J1732" i="3" a="1"/>
  <c r="J1732" i="3" s="1"/>
  <c r="M1732" i="3" s="1"/>
  <c r="J1733" i="3" a="1"/>
  <c r="J1733" i="3" s="1"/>
  <c r="M1733" i="3" s="1"/>
  <c r="J1734" i="3" a="1"/>
  <c r="J1734" i="3" s="1"/>
  <c r="M1734" i="3" s="1"/>
  <c r="J1735" i="3" a="1"/>
  <c r="J1735" i="3"/>
  <c r="M1735" i="3" s="1"/>
  <c r="J1736" i="3" a="1"/>
  <c r="J1736" i="3" s="1"/>
  <c r="M1736" i="3" s="1"/>
  <c r="J1737" i="3" a="1"/>
  <c r="J1737" i="3"/>
  <c r="M1737" i="3" s="1"/>
  <c r="J1738" i="3" a="1"/>
  <c r="J1738" i="3" s="1"/>
  <c r="M1738" i="3" s="1"/>
  <c r="J1739" i="3" a="1"/>
  <c r="J1739" i="3" s="1"/>
  <c r="M1739" i="3" s="1"/>
  <c r="J1740" i="3" a="1"/>
  <c r="J1740" i="3" s="1"/>
  <c r="M1740" i="3" s="1"/>
  <c r="J1741" i="3" a="1"/>
  <c r="J1741" i="3" s="1"/>
  <c r="M1741" i="3" s="1"/>
  <c r="J1742" i="3" a="1"/>
  <c r="J1742" i="3" s="1"/>
  <c r="M1742" i="3" s="1"/>
  <c r="J1743" i="3" a="1"/>
  <c r="J1743" i="3"/>
  <c r="M1743" i="3" s="1"/>
  <c r="J1744" i="3" a="1"/>
  <c r="J1744" i="3" s="1"/>
  <c r="M1744" i="3" s="1"/>
  <c r="J1745" i="3" a="1"/>
  <c r="J1745" i="3"/>
  <c r="M1745" i="3" s="1"/>
  <c r="J1746" i="3" a="1"/>
  <c r="J1746" i="3" s="1"/>
  <c r="M1746" i="3" s="1"/>
  <c r="J1747" i="3" a="1"/>
  <c r="J1747" i="3" s="1"/>
  <c r="M1747" i="3" s="1"/>
  <c r="J1748" i="3" a="1"/>
  <c r="J1748" i="3" s="1"/>
  <c r="M1748" i="3" s="1"/>
  <c r="J1749" i="3" a="1"/>
  <c r="J1749" i="3" s="1"/>
  <c r="M1749" i="3" s="1"/>
  <c r="J1750" i="3" a="1"/>
  <c r="J1750" i="3" s="1"/>
  <c r="M1750" i="3" s="1"/>
  <c r="J1751" i="3" a="1"/>
  <c r="J1751" i="3"/>
  <c r="M1751" i="3" s="1"/>
  <c r="J1752" i="3" a="1"/>
  <c r="J1752" i="3" s="1"/>
  <c r="M1752" i="3" s="1"/>
  <c r="J1753" i="3" a="1"/>
  <c r="J1753" i="3"/>
  <c r="M1753" i="3" s="1"/>
  <c r="J1754" i="3" a="1"/>
  <c r="J1754" i="3" s="1"/>
  <c r="M1754" i="3" s="1"/>
  <c r="J1755" i="3" a="1"/>
  <c r="J1755" i="3" s="1"/>
  <c r="M1755" i="3" s="1"/>
  <c r="J1756" i="3" a="1"/>
  <c r="J1756" i="3" s="1"/>
  <c r="M1756" i="3" s="1"/>
  <c r="J1757" i="3" a="1"/>
  <c r="J1757" i="3" s="1"/>
  <c r="M1757" i="3" s="1"/>
  <c r="J1758" i="3" a="1"/>
  <c r="J1758" i="3" s="1"/>
  <c r="M1758" i="3" s="1"/>
  <c r="J1759" i="3" a="1"/>
  <c r="J1759" i="3"/>
  <c r="M1759" i="3" s="1"/>
  <c r="J1760" i="3" a="1"/>
  <c r="J1760" i="3" s="1"/>
  <c r="M1760" i="3" s="1"/>
  <c r="J1761" i="3" a="1"/>
  <c r="J1761" i="3"/>
  <c r="M1761" i="3" s="1"/>
  <c r="J1762" i="3" a="1"/>
  <c r="J1762" i="3" s="1"/>
  <c r="M1762" i="3" s="1"/>
  <c r="J1763" i="3" a="1"/>
  <c r="J1763" i="3" s="1"/>
  <c r="M1763" i="3" s="1"/>
  <c r="J1764" i="3" a="1"/>
  <c r="J1764" i="3" s="1"/>
  <c r="M1764" i="3" s="1"/>
  <c r="J1765" i="3" a="1"/>
  <c r="J1765" i="3" s="1"/>
  <c r="M1765" i="3" s="1"/>
  <c r="J1766" i="3" a="1"/>
  <c r="J1766" i="3" s="1"/>
  <c r="M1766" i="3" s="1"/>
  <c r="J1767" i="3" a="1"/>
  <c r="J1767" i="3"/>
  <c r="M1767" i="3" s="1"/>
  <c r="J1768" i="3" a="1"/>
  <c r="J1768" i="3" s="1"/>
  <c r="M1768" i="3" s="1"/>
  <c r="J1769" i="3" a="1"/>
  <c r="J1769" i="3"/>
  <c r="M1769" i="3" s="1"/>
  <c r="J1770" i="3" a="1"/>
  <c r="J1770" i="3" s="1"/>
  <c r="M1770" i="3" s="1"/>
  <c r="J1771" i="3" a="1"/>
  <c r="J1771" i="3" s="1"/>
  <c r="M1771" i="3" s="1"/>
  <c r="J1772" i="3" a="1"/>
  <c r="J1772" i="3" s="1"/>
  <c r="M1772" i="3" s="1"/>
  <c r="J1773" i="3" a="1"/>
  <c r="J1773" i="3" s="1"/>
  <c r="M1773" i="3" s="1"/>
  <c r="J1774" i="3" a="1"/>
  <c r="J1774" i="3" s="1"/>
  <c r="M1774" i="3" s="1"/>
  <c r="J1775" i="3" a="1"/>
  <c r="J1775" i="3"/>
  <c r="M1775" i="3" s="1"/>
  <c r="J1776" i="3" a="1"/>
  <c r="J1776" i="3" s="1"/>
  <c r="M1776" i="3" s="1"/>
  <c r="J1777" i="3" a="1"/>
  <c r="J1777" i="3"/>
  <c r="M1777" i="3" s="1"/>
  <c r="J1778" i="3" a="1"/>
  <c r="J1778" i="3" s="1"/>
  <c r="M1778" i="3" s="1"/>
  <c r="J1779" i="3" a="1"/>
  <c r="J1779" i="3" s="1"/>
  <c r="M1779" i="3" s="1"/>
  <c r="J1780" i="3" a="1"/>
  <c r="J1780" i="3" s="1"/>
  <c r="M1780" i="3" s="1"/>
  <c r="J1781" i="3" a="1"/>
  <c r="J1781" i="3" s="1"/>
  <c r="M1781" i="3" s="1"/>
  <c r="J1782" i="3" a="1"/>
  <c r="J1782" i="3" s="1"/>
  <c r="M1782" i="3" s="1"/>
  <c r="J1783" i="3" a="1"/>
  <c r="J1783" i="3"/>
  <c r="M1783" i="3" s="1"/>
  <c r="J1784" i="3" a="1"/>
  <c r="J1784" i="3" s="1"/>
  <c r="M1784" i="3" s="1"/>
  <c r="J1785" i="3" a="1"/>
  <c r="J1785" i="3"/>
  <c r="M1785" i="3" s="1"/>
  <c r="J1786" i="3" a="1"/>
  <c r="J1786" i="3" s="1"/>
  <c r="M1786" i="3" s="1"/>
  <c r="J1787" i="3" a="1"/>
  <c r="J1787" i="3" s="1"/>
  <c r="M1787" i="3" s="1"/>
  <c r="J1788" i="3" a="1"/>
  <c r="J1788" i="3" s="1"/>
  <c r="M1788" i="3" s="1"/>
  <c r="J1789" i="3" a="1"/>
  <c r="J1789" i="3" s="1"/>
  <c r="M1789" i="3" s="1"/>
  <c r="J1790" i="3" a="1"/>
  <c r="J1790" i="3" s="1"/>
  <c r="M1790" i="3" s="1"/>
  <c r="J1791" i="3" a="1"/>
  <c r="J1791" i="3"/>
  <c r="M1791" i="3" s="1"/>
  <c r="J1792" i="3" a="1"/>
  <c r="J1792" i="3" s="1"/>
  <c r="M1792" i="3" s="1"/>
  <c r="J1793" i="3" a="1"/>
  <c r="J1793" i="3"/>
  <c r="M1793" i="3" s="1"/>
  <c r="J1794" i="3" a="1"/>
  <c r="J1794" i="3" s="1"/>
  <c r="M1794" i="3" s="1"/>
  <c r="J1795" i="3" a="1"/>
  <c r="J1795" i="3" s="1"/>
  <c r="M1795" i="3" s="1"/>
  <c r="J1796" i="3" a="1"/>
  <c r="J1796" i="3" s="1"/>
  <c r="M1796" i="3" s="1"/>
  <c r="J1797" i="3" a="1"/>
  <c r="J1797" i="3" s="1"/>
  <c r="M1797" i="3" s="1"/>
  <c r="J1798" i="3" a="1"/>
  <c r="J1798" i="3" s="1"/>
  <c r="M1798" i="3" s="1"/>
  <c r="J1799" i="3" a="1"/>
  <c r="J1799" i="3"/>
  <c r="M1799" i="3" s="1"/>
  <c r="J1800" i="3" a="1"/>
  <c r="J1800" i="3" s="1"/>
  <c r="M1800" i="3" s="1"/>
  <c r="J1801" i="3" a="1"/>
  <c r="J1801" i="3"/>
  <c r="M1801" i="3" s="1"/>
  <c r="J1802" i="3" a="1"/>
  <c r="J1802" i="3" s="1"/>
  <c r="M1802" i="3" s="1"/>
  <c r="J1803" i="3" a="1"/>
  <c r="J1803" i="3" s="1"/>
  <c r="M1803" i="3" s="1"/>
  <c r="J1804" i="3" a="1"/>
  <c r="J1804" i="3" s="1"/>
  <c r="M1804" i="3" s="1"/>
  <c r="J1805" i="3" a="1"/>
  <c r="J1805" i="3"/>
  <c r="M1805" i="3" s="1"/>
  <c r="J1806" i="3" a="1"/>
  <c r="J1806" i="3" s="1"/>
  <c r="M1806" i="3" s="1"/>
  <c r="J1807" i="3" a="1"/>
  <c r="J1807" i="3"/>
  <c r="M1807" i="3" s="1"/>
  <c r="J1808" i="3" a="1"/>
  <c r="J1808" i="3" s="1"/>
  <c r="M1808" i="3" s="1"/>
  <c r="J1809" i="3" a="1"/>
  <c r="J1809" i="3"/>
  <c r="M1809" i="3" s="1"/>
  <c r="J1810" i="3" a="1"/>
  <c r="J1810" i="3" s="1"/>
  <c r="M1810" i="3" s="1"/>
  <c r="J1811" i="3" a="1"/>
  <c r="J1811" i="3" s="1"/>
  <c r="M1811" i="3" s="1"/>
  <c r="J1812" i="3" a="1"/>
  <c r="J1812" i="3" s="1"/>
  <c r="M1812" i="3" s="1"/>
  <c r="J1813" i="3" a="1"/>
  <c r="J1813" i="3"/>
  <c r="M1813" i="3" s="1"/>
  <c r="J1814" i="3" a="1"/>
  <c r="J1814" i="3" s="1"/>
  <c r="M1814" i="3" s="1"/>
  <c r="J1815" i="3" a="1"/>
  <c r="J1815" i="3"/>
  <c r="M1815" i="3" s="1"/>
  <c r="J1816" i="3" a="1"/>
  <c r="J1816" i="3" s="1"/>
  <c r="M1816" i="3" s="1"/>
  <c r="J1817" i="3" a="1"/>
  <c r="J1817" i="3"/>
  <c r="M1817" i="3" s="1"/>
  <c r="J1818" i="3" a="1"/>
  <c r="J1818" i="3" s="1"/>
  <c r="M1818" i="3" s="1"/>
  <c r="J1819" i="3" a="1"/>
  <c r="J1819" i="3" s="1"/>
  <c r="M1819" i="3" s="1"/>
  <c r="J1820" i="3" a="1"/>
  <c r="J1820" i="3" s="1"/>
  <c r="M1820" i="3" s="1"/>
  <c r="J1821" i="3" a="1"/>
  <c r="J1821" i="3" s="1"/>
  <c r="M1821" i="3" s="1"/>
  <c r="J1822" i="3" a="1"/>
  <c r="J1822" i="3"/>
  <c r="M1822" i="3" s="1"/>
  <c r="J1823" i="3" a="1"/>
  <c r="J1823" i="3" s="1"/>
  <c r="M1823" i="3" s="1"/>
  <c r="J1824" i="3" a="1"/>
  <c r="J1824" i="3" s="1"/>
  <c r="M1824" i="3" s="1"/>
  <c r="J1825" i="3" a="1"/>
  <c r="J1825" i="3" s="1"/>
  <c r="M1825" i="3" s="1"/>
  <c r="J1826" i="3" a="1"/>
  <c r="J1826" i="3" s="1"/>
  <c r="M1826" i="3" s="1"/>
  <c r="J1827" i="3" a="1"/>
  <c r="J1827" i="3" s="1"/>
  <c r="M1827" i="3" s="1"/>
  <c r="J1828" i="3" a="1"/>
  <c r="J1828" i="3" s="1"/>
  <c r="M1828" i="3" s="1"/>
  <c r="J1829" i="3" a="1"/>
  <c r="J1829" i="3"/>
  <c r="M1829" i="3" s="1"/>
  <c r="J1830" i="3" a="1"/>
  <c r="J1830" i="3" s="1"/>
  <c r="M1830" i="3" s="1"/>
  <c r="J1831" i="3" a="1"/>
  <c r="J1831" i="3" s="1"/>
  <c r="M1831" i="3" s="1"/>
  <c r="J1832" i="3" a="1"/>
  <c r="J1832" i="3" s="1"/>
  <c r="M1832" i="3" s="1"/>
  <c r="J1833" i="3" a="1"/>
  <c r="J1833" i="3" s="1"/>
  <c r="M1833" i="3" s="1"/>
  <c r="J1834" i="3" a="1"/>
  <c r="J1834" i="3" s="1"/>
  <c r="M1834" i="3" s="1"/>
  <c r="J1835" i="3" a="1"/>
  <c r="J1835" i="3" s="1"/>
  <c r="M1835" i="3" s="1"/>
  <c r="J1836" i="3" a="1"/>
  <c r="J1836" i="3" s="1"/>
  <c r="M1836" i="3" s="1"/>
  <c r="J1837" i="3" a="1"/>
  <c r="J1837" i="3"/>
  <c r="M1837" i="3" s="1"/>
  <c r="J1838" i="3" a="1"/>
  <c r="J1838" i="3" s="1"/>
  <c r="M1838" i="3" s="1"/>
  <c r="J1839" i="3" a="1"/>
  <c r="J1839" i="3" s="1"/>
  <c r="M1839" i="3" s="1"/>
  <c r="J1840" i="3" a="1"/>
  <c r="J1840" i="3" s="1"/>
  <c r="M1840" i="3" s="1"/>
  <c r="J1841" i="3" a="1"/>
  <c r="J1841" i="3" s="1"/>
  <c r="M1841" i="3" s="1"/>
  <c r="J1842" i="3" a="1"/>
  <c r="J1842" i="3" s="1"/>
  <c r="M1842" i="3" s="1"/>
  <c r="J1843" i="3" a="1"/>
  <c r="J1843" i="3" s="1"/>
  <c r="M1843" i="3" s="1"/>
  <c r="J1844" i="3" a="1"/>
  <c r="J1844" i="3" s="1"/>
  <c r="M1844" i="3" s="1"/>
  <c r="J1845" i="3" a="1"/>
  <c r="J1845" i="3"/>
  <c r="M1845" i="3" s="1"/>
  <c r="J1846" i="3" a="1"/>
  <c r="J1846" i="3" s="1"/>
  <c r="M1846" i="3" s="1"/>
  <c r="J1847" i="3" a="1"/>
  <c r="J1847" i="3" s="1"/>
  <c r="M1847" i="3" s="1"/>
  <c r="J1848" i="3" a="1"/>
  <c r="J1848" i="3" s="1"/>
  <c r="M1848" i="3" s="1"/>
  <c r="J1849" i="3" a="1"/>
  <c r="J1849" i="3" s="1"/>
  <c r="M1849" i="3" s="1"/>
  <c r="J1850" i="3" a="1"/>
  <c r="J1850" i="3" s="1"/>
  <c r="M1850" i="3" s="1"/>
  <c r="J1851" i="3" a="1"/>
  <c r="J1851" i="3" s="1"/>
  <c r="M1851" i="3" s="1"/>
  <c r="J1852" i="3" a="1"/>
  <c r="J1852" i="3" s="1"/>
  <c r="M1852" i="3" s="1"/>
  <c r="J1853" i="3" a="1"/>
  <c r="J1853" i="3"/>
  <c r="M1853" i="3" s="1"/>
  <c r="J1854" i="3" a="1"/>
  <c r="J1854" i="3" s="1"/>
  <c r="M1854" i="3" s="1"/>
  <c r="J1855" i="3" a="1"/>
  <c r="J1855" i="3" s="1"/>
  <c r="M1855" i="3" s="1"/>
  <c r="J1856" i="3" a="1"/>
  <c r="J1856" i="3" s="1"/>
  <c r="M1856" i="3" s="1"/>
  <c r="J1857" i="3" a="1"/>
  <c r="J1857" i="3" s="1"/>
  <c r="M1857" i="3" s="1"/>
  <c r="J1858" i="3" a="1"/>
  <c r="J1858" i="3" s="1"/>
  <c r="M1858" i="3" s="1"/>
  <c r="J1859" i="3" a="1"/>
  <c r="J1859" i="3" s="1"/>
  <c r="M1859" i="3" s="1"/>
  <c r="J1860" i="3" a="1"/>
  <c r="J1860" i="3" s="1"/>
  <c r="M1860" i="3" s="1"/>
  <c r="J1861" i="3" a="1"/>
  <c r="J1861" i="3"/>
  <c r="M1861" i="3" s="1"/>
  <c r="J1862" i="3" a="1"/>
  <c r="J1862" i="3" s="1"/>
  <c r="M1862" i="3" s="1"/>
  <c r="J1863" i="3" a="1"/>
  <c r="J1863" i="3" s="1"/>
  <c r="M1863" i="3" s="1"/>
  <c r="J1864" i="3" a="1"/>
  <c r="J1864" i="3" s="1"/>
  <c r="M1864" i="3" s="1"/>
  <c r="J1865" i="3" a="1"/>
  <c r="J1865" i="3" s="1"/>
  <c r="M1865" i="3" s="1"/>
  <c r="J1866" i="3" a="1"/>
  <c r="J1866" i="3" s="1"/>
  <c r="M1866" i="3" s="1"/>
  <c r="J1867" i="3" a="1"/>
  <c r="J1867" i="3" s="1"/>
  <c r="M1867" i="3" s="1"/>
  <c r="J1868" i="3" a="1"/>
  <c r="J1868" i="3" s="1"/>
  <c r="M1868" i="3" s="1"/>
  <c r="J1869" i="3" a="1"/>
  <c r="J1869" i="3"/>
  <c r="M1869" i="3" s="1"/>
  <c r="J1870" i="3" a="1"/>
  <c r="J1870" i="3" s="1"/>
  <c r="M1870" i="3" s="1"/>
  <c r="J1871" i="3" a="1"/>
  <c r="J1871" i="3" s="1"/>
  <c r="M1871" i="3" s="1"/>
  <c r="J1872" i="3" a="1"/>
  <c r="J1872" i="3" s="1"/>
  <c r="M1872" i="3" s="1"/>
  <c r="J1873" i="3" a="1"/>
  <c r="J1873" i="3" s="1"/>
  <c r="M1873" i="3" s="1"/>
  <c r="J1874" i="3" a="1"/>
  <c r="J1874" i="3" s="1"/>
  <c r="M1874" i="3" s="1"/>
  <c r="J1875" i="3" a="1"/>
  <c r="J1875" i="3" s="1"/>
  <c r="M1875" i="3" s="1"/>
  <c r="J1876" i="3" a="1"/>
  <c r="J1876" i="3" s="1"/>
  <c r="M1876" i="3" s="1"/>
  <c r="J1877" i="3" a="1"/>
  <c r="J1877" i="3"/>
  <c r="M1877" i="3" s="1"/>
  <c r="J1878" i="3" a="1"/>
  <c r="J1878" i="3" s="1"/>
  <c r="M1878" i="3" s="1"/>
  <c r="J1879" i="3" a="1"/>
  <c r="J1879" i="3" s="1"/>
  <c r="M1879" i="3" s="1"/>
  <c r="J1880" i="3" a="1"/>
  <c r="J1880" i="3" s="1"/>
  <c r="M1880" i="3" s="1"/>
  <c r="J1881" i="3" a="1"/>
  <c r="J1881" i="3" s="1"/>
  <c r="M1881" i="3" s="1"/>
  <c r="J1882" i="3" a="1"/>
  <c r="J1882" i="3" s="1"/>
  <c r="M1882" i="3" s="1"/>
  <c r="J1883" i="3" a="1"/>
  <c r="J1883" i="3" s="1"/>
  <c r="M1883" i="3" s="1"/>
  <c r="J1884" i="3" a="1"/>
  <c r="J1884" i="3" s="1"/>
  <c r="M1884" i="3" s="1"/>
  <c r="J1885" i="3" a="1"/>
  <c r="J1885" i="3"/>
  <c r="M1885" i="3" s="1"/>
  <c r="J1886" i="3" a="1"/>
  <c r="J1886" i="3" s="1"/>
  <c r="M1886" i="3" s="1"/>
  <c r="J1887" i="3" a="1"/>
  <c r="J1887" i="3" s="1"/>
  <c r="M1887" i="3" s="1"/>
  <c r="J1888" i="3" a="1"/>
  <c r="J1888" i="3" s="1"/>
  <c r="M1888" i="3" s="1"/>
  <c r="J1889" i="3" a="1"/>
  <c r="J1889" i="3" s="1"/>
  <c r="M1889" i="3" s="1"/>
  <c r="J1890" i="3" a="1"/>
  <c r="J1890" i="3" s="1"/>
  <c r="M1890" i="3" s="1"/>
  <c r="J1891" i="3" a="1"/>
  <c r="J1891" i="3" s="1"/>
  <c r="M1891" i="3" s="1"/>
  <c r="J1892" i="3" a="1"/>
  <c r="J1892" i="3" s="1"/>
  <c r="M1892" i="3" s="1"/>
  <c r="J1893" i="3" a="1"/>
  <c r="J1893" i="3"/>
  <c r="M1893" i="3" s="1"/>
  <c r="J1894" i="3" a="1"/>
  <c r="J1894" i="3" s="1"/>
  <c r="M1894" i="3" s="1"/>
  <c r="J1895" i="3" a="1"/>
  <c r="J1895" i="3" s="1"/>
  <c r="M1895" i="3" s="1"/>
  <c r="J1896" i="3" a="1"/>
  <c r="J1896" i="3" s="1"/>
  <c r="M1896" i="3" s="1"/>
  <c r="J1897" i="3" a="1"/>
  <c r="J1897" i="3" s="1"/>
  <c r="M1897" i="3" s="1"/>
  <c r="J1898" i="3" a="1"/>
  <c r="J1898" i="3" s="1"/>
  <c r="M1898" i="3" s="1"/>
  <c r="J1899" i="3" a="1"/>
  <c r="J1899" i="3" s="1"/>
  <c r="M1899" i="3" s="1"/>
  <c r="J1900" i="3" a="1"/>
  <c r="J1900" i="3" s="1"/>
  <c r="M1900" i="3" s="1"/>
  <c r="J1901" i="3" a="1"/>
  <c r="J1901" i="3"/>
  <c r="M1901" i="3" s="1"/>
  <c r="J1902" i="3" a="1"/>
  <c r="J1902" i="3" s="1"/>
  <c r="M1902" i="3" s="1"/>
  <c r="J1903" i="3" a="1"/>
  <c r="J1903" i="3" s="1"/>
  <c r="M1903" i="3" s="1"/>
  <c r="J1904" i="3" a="1"/>
  <c r="J1904" i="3" s="1"/>
  <c r="M1904" i="3" s="1"/>
  <c r="J1905" i="3" a="1"/>
  <c r="J1905" i="3" s="1"/>
  <c r="M1905" i="3" s="1"/>
  <c r="J1906" i="3" a="1"/>
  <c r="J1906" i="3" s="1"/>
  <c r="M1906" i="3" s="1"/>
  <c r="J1907" i="3" a="1"/>
  <c r="J1907" i="3" s="1"/>
  <c r="M1907" i="3" s="1"/>
  <c r="J1908" i="3" a="1"/>
  <c r="J1908" i="3" s="1"/>
  <c r="M1908" i="3" s="1"/>
  <c r="J1909" i="3" a="1"/>
  <c r="J1909" i="3"/>
  <c r="M1909" i="3" s="1"/>
  <c r="J1910" i="3" a="1"/>
  <c r="J1910" i="3" s="1"/>
  <c r="M1910" i="3" s="1"/>
  <c r="J1911" i="3" a="1"/>
  <c r="J1911" i="3" s="1"/>
  <c r="M1911" i="3" s="1"/>
  <c r="J1912" i="3" a="1"/>
  <c r="J1912" i="3" s="1"/>
  <c r="M1912" i="3" s="1"/>
  <c r="J1913" i="3" a="1"/>
  <c r="J1913" i="3" s="1"/>
  <c r="M1913" i="3" s="1"/>
  <c r="J1914" i="3" a="1"/>
  <c r="J1914" i="3" s="1"/>
  <c r="M1914" i="3" s="1"/>
  <c r="J1915" i="3" a="1"/>
  <c r="J1915" i="3" s="1"/>
  <c r="M1915" i="3" s="1"/>
  <c r="J1916" i="3" a="1"/>
  <c r="J1916" i="3" s="1"/>
  <c r="M1916" i="3" s="1"/>
  <c r="J1917" i="3" a="1"/>
  <c r="J1917" i="3"/>
  <c r="M1917" i="3" s="1"/>
  <c r="J1918" i="3" a="1"/>
  <c r="J1918" i="3" s="1"/>
  <c r="M1918" i="3" s="1"/>
  <c r="J1919" i="3" a="1"/>
  <c r="J1919" i="3" s="1"/>
  <c r="M1919" i="3" s="1"/>
  <c r="J1920" i="3" a="1"/>
  <c r="J1920" i="3" s="1"/>
  <c r="M1920" i="3" s="1"/>
  <c r="J1921" i="3" a="1"/>
  <c r="J1921" i="3" s="1"/>
  <c r="M1921" i="3" s="1"/>
  <c r="J1922" i="3" a="1"/>
  <c r="J1922" i="3" s="1"/>
  <c r="M1922" i="3" s="1"/>
  <c r="J1923" i="3" a="1"/>
  <c r="J1923" i="3" s="1"/>
  <c r="M1923" i="3" s="1"/>
  <c r="J1924" i="3" a="1"/>
  <c r="J1924" i="3" s="1"/>
  <c r="M1924" i="3" s="1"/>
  <c r="J1925" i="3" a="1"/>
  <c r="J1925" i="3"/>
  <c r="M1925" i="3" s="1"/>
  <c r="J1926" i="3" a="1"/>
  <c r="J1926" i="3" s="1"/>
  <c r="M1926" i="3" s="1"/>
  <c r="J1927" i="3" a="1"/>
  <c r="J1927" i="3" s="1"/>
  <c r="M1927" i="3" s="1"/>
  <c r="J1928" i="3" a="1"/>
  <c r="J1928" i="3" s="1"/>
  <c r="M1928" i="3" s="1"/>
  <c r="J1929" i="3" a="1"/>
  <c r="J1929" i="3" s="1"/>
  <c r="M1929" i="3" s="1"/>
  <c r="J1930" i="3" a="1"/>
  <c r="J1930" i="3" s="1"/>
  <c r="M1930" i="3" s="1"/>
  <c r="J1931" i="3" a="1"/>
  <c r="J1931" i="3" s="1"/>
  <c r="M1931" i="3" s="1"/>
  <c r="J1932" i="3" a="1"/>
  <c r="J1932" i="3" s="1"/>
  <c r="M1932" i="3" s="1"/>
  <c r="J1933" i="3" a="1"/>
  <c r="J1933" i="3"/>
  <c r="M1933" i="3" s="1"/>
  <c r="J1934" i="3" a="1"/>
  <c r="J1934" i="3" s="1"/>
  <c r="M1934" i="3" s="1"/>
  <c r="J1935" i="3" a="1"/>
  <c r="J1935" i="3" s="1"/>
  <c r="M1935" i="3" s="1"/>
  <c r="J1936" i="3" a="1"/>
  <c r="J1936" i="3" s="1"/>
  <c r="M1936" i="3" s="1"/>
  <c r="J1937" i="3" a="1"/>
  <c r="J1937" i="3" s="1"/>
  <c r="M1937" i="3" s="1"/>
  <c r="J1938" i="3" a="1"/>
  <c r="J1938" i="3" s="1"/>
  <c r="M1938" i="3" s="1"/>
  <c r="J1939" i="3" a="1"/>
  <c r="J1939" i="3" s="1"/>
  <c r="M1939" i="3" s="1"/>
  <c r="J1940" i="3" a="1"/>
  <c r="J1940" i="3" s="1"/>
  <c r="M1940" i="3" s="1"/>
  <c r="J1941" i="3" a="1"/>
  <c r="J1941" i="3"/>
  <c r="M1941" i="3" s="1"/>
  <c r="J1942" i="3" a="1"/>
  <c r="J1942" i="3" s="1"/>
  <c r="M1942" i="3" s="1"/>
  <c r="J1943" i="3" a="1"/>
  <c r="J1943" i="3" s="1"/>
  <c r="M1943" i="3" s="1"/>
  <c r="J1944" i="3" a="1"/>
  <c r="J1944" i="3" s="1"/>
  <c r="M1944" i="3" s="1"/>
  <c r="J1945" i="3" a="1"/>
  <c r="J1945" i="3" s="1"/>
  <c r="M1945" i="3" s="1"/>
  <c r="J1946" i="3" a="1"/>
  <c r="J1946" i="3" s="1"/>
  <c r="M1946" i="3" s="1"/>
  <c r="J1947" i="3" a="1"/>
  <c r="J1947" i="3" s="1"/>
  <c r="M1947" i="3" s="1"/>
  <c r="J1948" i="3" a="1"/>
  <c r="J1948" i="3" s="1"/>
  <c r="M1948" i="3" s="1"/>
  <c r="J1949" i="3" a="1"/>
  <c r="J1949" i="3"/>
  <c r="M1949" i="3" s="1"/>
  <c r="J1950" i="3" a="1"/>
  <c r="J1950" i="3" s="1"/>
  <c r="M1950" i="3" s="1"/>
  <c r="J1951" i="3" a="1"/>
  <c r="J1951" i="3" s="1"/>
  <c r="M1951" i="3" s="1"/>
  <c r="J1952" i="3" a="1"/>
  <c r="J1952" i="3" s="1"/>
  <c r="M1952" i="3" s="1"/>
  <c r="J1953" i="3" a="1"/>
  <c r="J1953" i="3" s="1"/>
  <c r="M1953" i="3" s="1"/>
  <c r="J1954" i="3" a="1"/>
  <c r="J1954" i="3" s="1"/>
  <c r="M1954" i="3" s="1"/>
  <c r="J1955" i="3" a="1"/>
  <c r="J1955" i="3" s="1"/>
  <c r="M1955" i="3" s="1"/>
  <c r="J1956" i="3" a="1"/>
  <c r="J1956" i="3" s="1"/>
  <c r="M1956" i="3" s="1"/>
  <c r="J1957" i="3" a="1"/>
  <c r="J1957" i="3"/>
  <c r="M1957" i="3" s="1"/>
  <c r="J1958" i="3" a="1"/>
  <c r="J1958" i="3" s="1"/>
  <c r="M1958" i="3" s="1"/>
  <c r="J1959" i="3" a="1"/>
  <c r="J1959" i="3" s="1"/>
  <c r="M1959" i="3" s="1"/>
  <c r="J1960" i="3" a="1"/>
  <c r="J1960" i="3" s="1"/>
  <c r="M1960" i="3" s="1"/>
  <c r="J1961" i="3" a="1"/>
  <c r="J1961" i="3" s="1"/>
  <c r="M1961" i="3" s="1"/>
  <c r="J1962" i="3" a="1"/>
  <c r="J1962" i="3" s="1"/>
  <c r="M1962" i="3" s="1"/>
  <c r="J1963" i="3" a="1"/>
  <c r="J1963" i="3" s="1"/>
  <c r="M1963" i="3" s="1"/>
  <c r="J1964" i="3" a="1"/>
  <c r="J1964" i="3" s="1"/>
  <c r="M1964" i="3" s="1"/>
  <c r="J1965" i="3" a="1"/>
  <c r="J1965" i="3"/>
  <c r="M1965" i="3" s="1"/>
  <c r="J1966" i="3" a="1"/>
  <c r="J1966" i="3" s="1"/>
  <c r="M1966" i="3" s="1"/>
  <c r="J1967" i="3" a="1"/>
  <c r="J1967" i="3" s="1"/>
  <c r="M1967" i="3" s="1"/>
  <c r="J1968" i="3" a="1"/>
  <c r="J1968" i="3" s="1"/>
  <c r="M1968" i="3" s="1"/>
  <c r="J1969" i="3" a="1"/>
  <c r="J1969" i="3" s="1"/>
  <c r="M1969" i="3" s="1"/>
  <c r="J1970" i="3" a="1"/>
  <c r="J1970" i="3" s="1"/>
  <c r="M1970" i="3" s="1"/>
  <c r="J1971" i="3" a="1"/>
  <c r="J1971" i="3" s="1"/>
  <c r="M1971" i="3" s="1"/>
  <c r="J1972" i="3" a="1"/>
  <c r="J1972" i="3" s="1"/>
  <c r="M1972" i="3" s="1"/>
  <c r="J1973" i="3" a="1"/>
  <c r="J1973" i="3"/>
  <c r="M1973" i="3" s="1"/>
  <c r="J1974" i="3" a="1"/>
  <c r="J1974" i="3" s="1"/>
  <c r="M1974" i="3" s="1"/>
  <c r="J1975" i="3" a="1"/>
  <c r="J1975" i="3" s="1"/>
  <c r="M1975" i="3" s="1"/>
  <c r="J1976" i="3" a="1"/>
  <c r="J1976" i="3" s="1"/>
  <c r="M1976" i="3" s="1"/>
  <c r="J1977" i="3" a="1"/>
  <c r="J1977" i="3" s="1"/>
  <c r="M1977" i="3" s="1"/>
  <c r="J1978" i="3" a="1"/>
  <c r="J1978" i="3" s="1"/>
  <c r="M1978" i="3" s="1"/>
  <c r="J1979" i="3" a="1"/>
  <c r="J1979" i="3" s="1"/>
  <c r="M1979" i="3" s="1"/>
  <c r="J1980" i="3" a="1"/>
  <c r="J1980" i="3" s="1"/>
  <c r="M1980" i="3" s="1"/>
  <c r="J1981" i="3" a="1"/>
  <c r="J1981" i="3"/>
  <c r="M1981" i="3" s="1"/>
  <c r="J1982" i="3" a="1"/>
  <c r="J1982" i="3" s="1"/>
  <c r="M1982" i="3" s="1"/>
  <c r="J1983" i="3" a="1"/>
  <c r="J1983" i="3" s="1"/>
  <c r="M1983" i="3" s="1"/>
  <c r="J1984" i="3" a="1"/>
  <c r="J1984" i="3" s="1"/>
  <c r="M1984" i="3" s="1"/>
  <c r="J1985" i="3" a="1"/>
  <c r="J1985" i="3" s="1"/>
  <c r="M1985" i="3" s="1"/>
  <c r="J1986" i="3" a="1"/>
  <c r="J1986" i="3" s="1"/>
  <c r="M1986" i="3" s="1"/>
  <c r="J1987" i="3" a="1"/>
  <c r="J1987" i="3" s="1"/>
  <c r="M1987" i="3" s="1"/>
  <c r="J1988" i="3" a="1"/>
  <c r="J1988" i="3" s="1"/>
  <c r="M1988" i="3" s="1"/>
  <c r="J1989" i="3" a="1"/>
  <c r="J1989" i="3"/>
  <c r="M1989" i="3" s="1"/>
  <c r="J1990" i="3" a="1"/>
  <c r="J1990" i="3" s="1"/>
  <c r="M1990" i="3" s="1"/>
  <c r="J1991" i="3" a="1"/>
  <c r="J1991" i="3" s="1"/>
  <c r="M1991" i="3" s="1"/>
  <c r="J1992" i="3" a="1"/>
  <c r="J1992" i="3" s="1"/>
  <c r="M1992" i="3" s="1"/>
  <c r="J1993" i="3" a="1"/>
  <c r="J1993" i="3" s="1"/>
  <c r="M1993" i="3" s="1"/>
  <c r="J1994" i="3" a="1"/>
  <c r="J1994" i="3" s="1"/>
  <c r="M1994" i="3" s="1"/>
  <c r="J1995" i="3" a="1"/>
  <c r="J1995" i="3" s="1"/>
  <c r="M1995" i="3" s="1"/>
  <c r="J1996" i="3" a="1"/>
  <c r="J1996" i="3" s="1"/>
  <c r="M1996" i="3" s="1"/>
  <c r="J1997" i="3" a="1"/>
  <c r="J1997" i="3"/>
  <c r="M1997" i="3" s="1"/>
  <c r="J1998" i="3" a="1"/>
  <c r="J1998" i="3" s="1"/>
  <c r="M1998" i="3" s="1"/>
  <c r="J1999" i="3" a="1"/>
  <c r="J1999" i="3" s="1"/>
  <c r="M1999" i="3" s="1"/>
  <c r="J2000" i="3" a="1"/>
  <c r="J2000" i="3" s="1"/>
  <c r="M2000" i="3" s="1"/>
  <c r="J2001" i="3" a="1"/>
  <c r="J2001" i="3" s="1"/>
  <c r="M2001" i="3" s="1"/>
  <c r="J2002" i="3" a="1"/>
  <c r="J2002" i="3" s="1"/>
  <c r="M2002" i="3" s="1"/>
  <c r="J2003" i="3" a="1"/>
  <c r="J2003" i="3" s="1"/>
  <c r="M2003" i="3" s="1"/>
  <c r="J2004" i="3" a="1"/>
  <c r="J2004" i="3" s="1"/>
  <c r="M2004" i="3" s="1"/>
  <c r="J2005" i="3" a="1"/>
  <c r="J2005" i="3"/>
  <c r="M2005" i="3" s="1"/>
  <c r="J2006" i="3" a="1"/>
  <c r="J2006" i="3" s="1"/>
  <c r="M2006" i="3" s="1"/>
  <c r="J2007" i="3" a="1"/>
  <c r="J2007" i="3" s="1"/>
  <c r="M2007" i="3" s="1"/>
  <c r="J2008" i="3" a="1"/>
  <c r="J2008" i="3" s="1"/>
  <c r="M2008" i="3" s="1"/>
  <c r="J2009" i="3" a="1"/>
  <c r="J2009" i="3" s="1"/>
  <c r="M2009" i="3" s="1"/>
  <c r="J2010" i="3" a="1"/>
  <c r="J2010" i="3" s="1"/>
  <c r="M2010" i="3" s="1"/>
  <c r="J2011" i="3" a="1"/>
  <c r="J2011" i="3" s="1"/>
  <c r="M2011" i="3" s="1"/>
  <c r="J2012" i="3" a="1"/>
  <c r="J2012" i="3" s="1"/>
  <c r="M2012" i="3" s="1"/>
  <c r="J2013" i="3" a="1"/>
  <c r="J2013" i="3"/>
  <c r="M2013" i="3" s="1"/>
  <c r="J2014" i="3" a="1"/>
  <c r="J2014" i="3" s="1"/>
  <c r="M2014" i="3" s="1"/>
  <c r="J2015" i="3" a="1"/>
  <c r="J2015" i="3" s="1"/>
  <c r="M2015" i="3" s="1"/>
  <c r="J2016" i="3" a="1"/>
  <c r="J2016" i="3" s="1"/>
  <c r="M2016" i="3" s="1"/>
  <c r="J2017" i="3" a="1"/>
  <c r="J2017" i="3" s="1"/>
  <c r="M2017" i="3" s="1"/>
  <c r="J2018" i="3" a="1"/>
  <c r="J2018" i="3" s="1"/>
  <c r="M2018" i="3" s="1"/>
  <c r="J2019" i="3" a="1"/>
  <c r="J2019" i="3" s="1"/>
  <c r="M2019" i="3" s="1"/>
  <c r="J2020" i="3" a="1"/>
  <c r="J2020" i="3" s="1"/>
  <c r="M2020" i="3" s="1"/>
  <c r="J2021" i="3" a="1"/>
  <c r="J2021" i="3"/>
  <c r="M2021" i="3" s="1"/>
  <c r="J2022" i="3" a="1"/>
  <c r="J2022" i="3" s="1"/>
  <c r="M2022" i="3" s="1"/>
  <c r="J2023" i="3" a="1"/>
  <c r="J2023" i="3" s="1"/>
  <c r="M2023" i="3" s="1"/>
  <c r="J2024" i="3" a="1"/>
  <c r="J2024" i="3" s="1"/>
  <c r="M2024" i="3" s="1"/>
  <c r="J2025" i="3" a="1"/>
  <c r="J2025" i="3" s="1"/>
  <c r="M2025" i="3" s="1"/>
  <c r="J2026" i="3" a="1"/>
  <c r="J2026" i="3" s="1"/>
  <c r="M2026" i="3" s="1"/>
  <c r="J2027" i="3" a="1"/>
  <c r="J2027" i="3" s="1"/>
  <c r="M2027" i="3" s="1"/>
  <c r="J2028" i="3" a="1"/>
  <c r="J2028" i="3" s="1"/>
  <c r="M2028" i="3" s="1"/>
  <c r="J2029" i="3" a="1"/>
  <c r="J2029" i="3"/>
  <c r="M2029" i="3" s="1"/>
  <c r="J2030" i="3" a="1"/>
  <c r="J2030" i="3" s="1"/>
  <c r="M2030" i="3" s="1"/>
  <c r="J2031" i="3" a="1"/>
  <c r="J2031" i="3" s="1"/>
  <c r="M2031" i="3" s="1"/>
  <c r="J2032" i="3" a="1"/>
  <c r="J2032" i="3" s="1"/>
  <c r="M2032" i="3" s="1"/>
  <c r="J2033" i="3" a="1"/>
  <c r="J2033" i="3" s="1"/>
  <c r="M2033" i="3" s="1"/>
  <c r="J2034" i="3" a="1"/>
  <c r="J2034" i="3" s="1"/>
  <c r="M2034" i="3" s="1"/>
  <c r="J2035" i="3" a="1"/>
  <c r="J2035" i="3" s="1"/>
  <c r="M2035" i="3" s="1"/>
  <c r="J2036" i="3" a="1"/>
  <c r="J2036" i="3" s="1"/>
  <c r="M2036" i="3" s="1"/>
  <c r="J2037" i="3" a="1"/>
  <c r="J2037" i="3"/>
  <c r="M2037" i="3" s="1"/>
  <c r="J2038" i="3" a="1"/>
  <c r="J2038" i="3" s="1"/>
  <c r="M2038" i="3" s="1"/>
  <c r="J2039" i="3" a="1"/>
  <c r="J2039" i="3" s="1"/>
  <c r="M2039" i="3" s="1"/>
  <c r="J2040" i="3" a="1"/>
  <c r="J2040" i="3" s="1"/>
  <c r="M2040" i="3" s="1"/>
  <c r="J2041" i="3" a="1"/>
  <c r="J2041" i="3" s="1"/>
  <c r="M2041" i="3" s="1"/>
  <c r="J2042" i="3" a="1"/>
  <c r="J2042" i="3" s="1"/>
  <c r="M2042" i="3" s="1"/>
  <c r="J2043" i="3" a="1"/>
  <c r="J2043" i="3" s="1"/>
  <c r="M2043" i="3" s="1"/>
  <c r="J2044" i="3" a="1"/>
  <c r="J2044" i="3" s="1"/>
  <c r="M2044" i="3" s="1"/>
  <c r="J2045" i="3" a="1"/>
  <c r="J2045" i="3"/>
  <c r="M2045" i="3" s="1"/>
  <c r="J2046" i="3" a="1"/>
  <c r="J2046" i="3" s="1"/>
  <c r="M2046" i="3" s="1"/>
  <c r="J2047" i="3" a="1"/>
  <c r="J2047" i="3" s="1"/>
  <c r="M2047" i="3" s="1"/>
  <c r="J2048" i="3" a="1"/>
  <c r="J2048" i="3" s="1"/>
  <c r="M2048" i="3" s="1"/>
  <c r="J2049" i="3" a="1"/>
  <c r="J2049" i="3" s="1"/>
  <c r="M2049" i="3" s="1"/>
  <c r="J2050" i="3" a="1"/>
  <c r="J2050" i="3" s="1"/>
  <c r="M2050" i="3" s="1"/>
  <c r="J2051" i="3" a="1"/>
  <c r="J2051" i="3" s="1"/>
  <c r="M2051" i="3" s="1"/>
  <c r="J2052" i="3" a="1"/>
  <c r="J2052" i="3" s="1"/>
  <c r="M2052" i="3" s="1"/>
  <c r="J2053" i="3" a="1"/>
  <c r="J2053" i="3"/>
  <c r="M2053" i="3" s="1"/>
  <c r="J2054" i="3" a="1"/>
  <c r="J2054" i="3" s="1"/>
  <c r="M2054" i="3" s="1"/>
  <c r="J2055" i="3" a="1"/>
  <c r="J2055" i="3" s="1"/>
  <c r="M2055" i="3" s="1"/>
  <c r="J2056" i="3" a="1"/>
  <c r="J2056" i="3" s="1"/>
  <c r="M2056" i="3" s="1"/>
  <c r="J2057" i="3" a="1"/>
  <c r="J2057" i="3" s="1"/>
  <c r="M2057" i="3" s="1"/>
  <c r="J2058" i="3" a="1"/>
  <c r="J2058" i="3" s="1"/>
  <c r="M2058" i="3" s="1"/>
  <c r="J2059" i="3" a="1"/>
  <c r="J2059" i="3" s="1"/>
  <c r="M2059" i="3" s="1"/>
  <c r="J2060" i="3" a="1"/>
  <c r="J2060" i="3" s="1"/>
  <c r="M2060" i="3" s="1"/>
  <c r="J2061" i="3" a="1"/>
  <c r="J2061" i="3"/>
  <c r="M2061" i="3" s="1"/>
  <c r="J2062" i="3" a="1"/>
  <c r="J2062" i="3" s="1"/>
  <c r="M2062" i="3" s="1"/>
  <c r="J2063" i="3" a="1"/>
  <c r="J2063" i="3" s="1"/>
  <c r="M2063" i="3" s="1"/>
  <c r="J2064" i="3" a="1"/>
  <c r="J2064" i="3" s="1"/>
  <c r="M2064" i="3" s="1"/>
  <c r="J2065" i="3" a="1"/>
  <c r="J2065" i="3" s="1"/>
  <c r="M2065" i="3" s="1"/>
  <c r="J2066" i="3" a="1"/>
  <c r="J2066" i="3" s="1"/>
  <c r="M2066" i="3" s="1"/>
  <c r="J2067" i="3" a="1"/>
  <c r="J2067" i="3"/>
  <c r="M2067" i="3" s="1"/>
  <c r="J2068" i="3" a="1"/>
  <c r="J2068" i="3" s="1"/>
  <c r="M2068" i="3" s="1"/>
  <c r="J2069" i="3" a="1"/>
  <c r="J2069" i="3"/>
  <c r="M2069" i="3" s="1"/>
  <c r="J2070" i="3" a="1"/>
  <c r="J2070" i="3" s="1"/>
  <c r="M2070" i="3" s="1"/>
  <c r="J2071" i="3" a="1"/>
  <c r="J2071" i="3" s="1"/>
  <c r="M2071" i="3" s="1"/>
  <c r="J2072" i="3" a="1"/>
  <c r="J2072" i="3" s="1"/>
  <c r="M2072" i="3" s="1"/>
  <c r="J2073" i="3" a="1"/>
  <c r="J2073" i="3" s="1"/>
  <c r="M2073" i="3" s="1"/>
  <c r="J2074" i="3" a="1"/>
  <c r="J2074" i="3" s="1"/>
  <c r="M2074" i="3" s="1"/>
  <c r="J2075" i="3" a="1"/>
  <c r="J2075" i="3"/>
  <c r="M2075" i="3" s="1"/>
  <c r="J2076" i="3" a="1"/>
  <c r="J2076" i="3" s="1"/>
  <c r="M2076" i="3" s="1"/>
  <c r="J2077" i="3" a="1"/>
  <c r="J2077" i="3"/>
  <c r="M2077" i="3" s="1"/>
  <c r="J2078" i="3" a="1"/>
  <c r="J2078" i="3" s="1"/>
  <c r="M2078" i="3" s="1"/>
  <c r="J2079" i="3" a="1"/>
  <c r="J2079" i="3" s="1"/>
  <c r="M2079" i="3" s="1"/>
  <c r="J2080" i="3" a="1"/>
  <c r="J2080" i="3" s="1"/>
  <c r="M2080" i="3" s="1"/>
  <c r="J2081" i="3" a="1"/>
  <c r="J2081" i="3" s="1"/>
  <c r="M2081" i="3" s="1"/>
  <c r="J2082" i="3" a="1"/>
  <c r="J2082" i="3" s="1"/>
  <c r="M2082" i="3" s="1"/>
  <c r="J2083" i="3" a="1"/>
  <c r="J2083" i="3"/>
  <c r="M2083" i="3" s="1"/>
  <c r="J2084" i="3" a="1"/>
  <c r="J2084" i="3" s="1"/>
  <c r="M2084" i="3" s="1"/>
  <c r="J2085" i="3" a="1"/>
  <c r="J2085" i="3"/>
  <c r="M2085" i="3" s="1"/>
  <c r="J2086" i="3" a="1"/>
  <c r="J2086" i="3" s="1"/>
  <c r="M2086" i="3" s="1"/>
  <c r="J2087" i="3" a="1"/>
  <c r="J2087" i="3" s="1"/>
  <c r="M2087" i="3" s="1"/>
  <c r="J2088" i="3" a="1"/>
  <c r="J2088" i="3" s="1"/>
  <c r="M2088" i="3" s="1"/>
  <c r="J2089" i="3" a="1"/>
  <c r="J2089" i="3" s="1"/>
  <c r="M2089" i="3" s="1"/>
  <c r="J2090" i="3" a="1"/>
  <c r="J2090" i="3" s="1"/>
  <c r="M2090" i="3" s="1"/>
  <c r="J2091" i="3" a="1"/>
  <c r="J2091" i="3"/>
  <c r="M2091" i="3" s="1"/>
  <c r="J2092" i="3" a="1"/>
  <c r="J2092" i="3" s="1"/>
  <c r="M2092" i="3" s="1"/>
  <c r="J2093" i="3" a="1"/>
  <c r="J2093" i="3"/>
  <c r="M2093" i="3" s="1"/>
  <c r="J2094" i="3" a="1"/>
  <c r="J2094" i="3" s="1"/>
  <c r="M2094" i="3" s="1"/>
  <c r="J2095" i="3" a="1"/>
  <c r="J2095" i="3" s="1"/>
  <c r="M2095" i="3" s="1"/>
  <c r="J2096" i="3" a="1"/>
  <c r="J2096" i="3" s="1"/>
  <c r="M2096" i="3" s="1"/>
  <c r="J2097" i="3" a="1"/>
  <c r="J2097" i="3" s="1"/>
  <c r="M2097" i="3" s="1"/>
  <c r="J2098" i="3" a="1"/>
  <c r="J2098" i="3" s="1"/>
  <c r="M2098" i="3" s="1"/>
  <c r="J2099" i="3" a="1"/>
  <c r="J2099" i="3"/>
  <c r="M2099" i="3" s="1"/>
  <c r="J2100" i="3" a="1"/>
  <c r="J2100" i="3" s="1"/>
  <c r="M2100" i="3" s="1"/>
  <c r="J2101" i="3" a="1"/>
  <c r="J2101" i="3"/>
  <c r="M2101" i="3" s="1"/>
  <c r="J2102" i="3" a="1"/>
  <c r="J2102" i="3" s="1"/>
  <c r="M2102" i="3" s="1"/>
  <c r="J2103" i="3" a="1"/>
  <c r="J2103" i="3" s="1"/>
  <c r="M2103" i="3" s="1"/>
  <c r="J2104" i="3" a="1"/>
  <c r="J2104" i="3" s="1"/>
  <c r="M2104" i="3" s="1"/>
  <c r="J2105" i="3" a="1"/>
  <c r="J2105" i="3" s="1"/>
  <c r="M2105" i="3" s="1"/>
  <c r="J2106" i="3" a="1"/>
  <c r="J2106" i="3" s="1"/>
  <c r="M2106" i="3" s="1"/>
  <c r="J2107" i="3" a="1"/>
  <c r="J2107" i="3"/>
  <c r="M2107" i="3" s="1"/>
  <c r="J2108" i="3" a="1"/>
  <c r="J2108" i="3" s="1"/>
  <c r="M2108" i="3" s="1"/>
  <c r="J2109" i="3" a="1"/>
  <c r="J2109" i="3"/>
  <c r="M2109" i="3" s="1"/>
  <c r="J2110" i="3" a="1"/>
  <c r="J2110" i="3" s="1"/>
  <c r="M2110" i="3" s="1"/>
  <c r="J2111" i="3" a="1"/>
  <c r="J2111" i="3" s="1"/>
  <c r="M2111" i="3" s="1"/>
  <c r="J2112" i="3" a="1"/>
  <c r="J2112" i="3" s="1"/>
  <c r="M2112" i="3" s="1"/>
  <c r="J2113" i="3" a="1"/>
  <c r="J2113" i="3" s="1"/>
  <c r="M2113" i="3" s="1"/>
  <c r="J2114" i="3" a="1"/>
  <c r="J2114" i="3" s="1"/>
  <c r="M2114" i="3" s="1"/>
  <c r="J2115" i="3" a="1"/>
  <c r="J2115" i="3"/>
  <c r="M2115" i="3" s="1"/>
  <c r="J2116" i="3" a="1"/>
  <c r="J2116" i="3" s="1"/>
  <c r="M2116" i="3" s="1"/>
  <c r="J2117" i="3" a="1"/>
  <c r="J2117" i="3"/>
  <c r="M2117" i="3" s="1"/>
  <c r="J2118" i="3" a="1"/>
  <c r="J2118" i="3" s="1"/>
  <c r="M2118" i="3" s="1"/>
  <c r="J2119" i="3" a="1"/>
  <c r="J2119" i="3" s="1"/>
  <c r="M2119" i="3" s="1"/>
  <c r="J2120" i="3" a="1"/>
  <c r="J2120" i="3" s="1"/>
  <c r="M2120" i="3" s="1"/>
  <c r="J2121" i="3" a="1"/>
  <c r="J2121" i="3" s="1"/>
  <c r="M2121" i="3" s="1"/>
  <c r="J2122" i="3" a="1"/>
  <c r="J2122" i="3" s="1"/>
  <c r="M2122" i="3" s="1"/>
  <c r="J2123" i="3" a="1"/>
  <c r="J2123" i="3"/>
  <c r="M2123" i="3" s="1"/>
  <c r="J2124" i="3" a="1"/>
  <c r="J2124" i="3" s="1"/>
  <c r="M2124" i="3" s="1"/>
  <c r="J2125" i="3" a="1"/>
  <c r="J2125" i="3"/>
  <c r="M2125" i="3" s="1"/>
  <c r="J2126" i="3" a="1"/>
  <c r="J2126" i="3" s="1"/>
  <c r="M2126" i="3" s="1"/>
  <c r="J2127" i="3" a="1"/>
  <c r="J2127" i="3" s="1"/>
  <c r="M2127" i="3" s="1"/>
  <c r="J2128" i="3" a="1"/>
  <c r="J2128" i="3" s="1"/>
  <c r="M2128" i="3" s="1"/>
  <c r="J2129" i="3" a="1"/>
  <c r="J2129" i="3" s="1"/>
  <c r="M2129" i="3" s="1"/>
  <c r="J2130" i="3" a="1"/>
  <c r="J2130" i="3" s="1"/>
  <c r="M2130" i="3" s="1"/>
  <c r="J2131" i="3" a="1"/>
  <c r="J2131" i="3"/>
  <c r="M2131" i="3" s="1"/>
  <c r="J2132" i="3" a="1"/>
  <c r="J2132" i="3" s="1"/>
  <c r="M2132" i="3" s="1"/>
  <c r="J2133" i="3" a="1"/>
  <c r="J2133" i="3"/>
  <c r="M2133" i="3" s="1"/>
  <c r="J2134" i="3" a="1"/>
  <c r="J2134" i="3" s="1"/>
  <c r="M2134" i="3" s="1"/>
  <c r="J2135" i="3" a="1"/>
  <c r="J2135" i="3" s="1"/>
  <c r="M2135" i="3" s="1"/>
  <c r="J2136" i="3" a="1"/>
  <c r="J2136" i="3" s="1"/>
  <c r="M2136" i="3" s="1"/>
  <c r="J2137" i="3" a="1"/>
  <c r="J2137" i="3" s="1"/>
  <c r="M2137" i="3" s="1"/>
  <c r="J2138" i="3" a="1"/>
  <c r="J2138" i="3" s="1"/>
  <c r="M2138" i="3" s="1"/>
  <c r="J2139" i="3" a="1"/>
  <c r="J2139" i="3"/>
  <c r="M2139" i="3" s="1"/>
  <c r="J2140" i="3" a="1"/>
  <c r="J2140" i="3" s="1"/>
  <c r="M2140" i="3" s="1"/>
  <c r="J2141" i="3" a="1"/>
  <c r="J2141" i="3"/>
  <c r="M2141" i="3" s="1"/>
  <c r="J2142" i="3" a="1"/>
  <c r="J2142" i="3" s="1"/>
  <c r="M2142" i="3" s="1"/>
  <c r="J2143" i="3" a="1"/>
  <c r="J2143" i="3" s="1"/>
  <c r="M2143" i="3" s="1"/>
  <c r="J2144" i="3" a="1"/>
  <c r="J2144" i="3" s="1"/>
  <c r="M2144" i="3" s="1"/>
  <c r="J2145" i="3" a="1"/>
  <c r="J2145" i="3" s="1"/>
  <c r="M2145" i="3" s="1"/>
  <c r="J2146" i="3" a="1"/>
  <c r="J2146" i="3" s="1"/>
  <c r="M2146" i="3" s="1"/>
  <c r="J2147" i="3" a="1"/>
  <c r="J2147" i="3"/>
  <c r="M2147" i="3" s="1"/>
  <c r="J2148" i="3" a="1"/>
  <c r="J2148" i="3" s="1"/>
  <c r="M2148" i="3" s="1"/>
  <c r="J2149" i="3" a="1"/>
  <c r="J2149" i="3"/>
  <c r="M2149" i="3" s="1"/>
  <c r="J2150" i="3" a="1"/>
  <c r="J2150" i="3" s="1"/>
  <c r="M2150" i="3" s="1"/>
  <c r="J2151" i="3" a="1"/>
  <c r="J2151" i="3" s="1"/>
  <c r="M2151" i="3" s="1"/>
  <c r="J2152" i="3" a="1"/>
  <c r="J2152" i="3" s="1"/>
  <c r="M2152" i="3" s="1"/>
  <c r="J2153" i="3" a="1"/>
  <c r="J2153" i="3" s="1"/>
  <c r="M2153" i="3" s="1"/>
  <c r="J2154" i="3" a="1"/>
  <c r="J2154" i="3" s="1"/>
  <c r="M2154" i="3" s="1"/>
  <c r="J2155" i="3" a="1"/>
  <c r="J2155" i="3"/>
  <c r="M2155" i="3" s="1"/>
  <c r="J2156" i="3" a="1"/>
  <c r="J2156" i="3" s="1"/>
  <c r="M2156" i="3" s="1"/>
  <c r="J2157" i="3" a="1"/>
  <c r="J2157" i="3"/>
  <c r="M2157" i="3" s="1"/>
  <c r="J2158" i="3" a="1"/>
  <c r="J2158" i="3" s="1"/>
  <c r="M2158" i="3" s="1"/>
  <c r="J2159" i="3" a="1"/>
  <c r="J2159" i="3" s="1"/>
  <c r="M2159" i="3" s="1"/>
  <c r="J2160" i="3" a="1"/>
  <c r="J2160" i="3" s="1"/>
  <c r="M2160" i="3" s="1"/>
  <c r="J2161" i="3" a="1"/>
  <c r="J2161" i="3" s="1"/>
  <c r="M2161" i="3" s="1"/>
  <c r="J2162" i="3" a="1"/>
  <c r="J2162" i="3" s="1"/>
  <c r="M2162" i="3" s="1"/>
  <c r="J2163" i="3" a="1"/>
  <c r="J2163" i="3"/>
  <c r="M2163" i="3" s="1"/>
  <c r="J2164" i="3" a="1"/>
  <c r="J2164" i="3" s="1"/>
  <c r="M2164" i="3" s="1"/>
  <c r="J2165" i="3" a="1"/>
  <c r="J2165" i="3"/>
  <c r="M2165" i="3" s="1"/>
  <c r="J2166" i="3" a="1"/>
  <c r="J2166" i="3" s="1"/>
  <c r="M2166" i="3" s="1"/>
  <c r="J2167" i="3" a="1"/>
  <c r="J2167" i="3" s="1"/>
  <c r="M2167" i="3" s="1"/>
  <c r="J2168" i="3" a="1"/>
  <c r="J2168" i="3" s="1"/>
  <c r="M2168" i="3" s="1"/>
  <c r="J2169" i="3" a="1"/>
  <c r="J2169" i="3" s="1"/>
  <c r="M2169" i="3" s="1"/>
  <c r="J2170" i="3" a="1"/>
  <c r="J2170" i="3" s="1"/>
  <c r="M2170" i="3" s="1"/>
  <c r="J2171" i="3" a="1"/>
  <c r="J2171" i="3"/>
  <c r="M2171" i="3" s="1"/>
  <c r="J2172" i="3" a="1"/>
  <c r="J2172" i="3" s="1"/>
  <c r="M2172" i="3" s="1"/>
  <c r="J2173" i="3" a="1"/>
  <c r="J2173" i="3"/>
  <c r="M2173" i="3" s="1"/>
  <c r="J2174" i="3" a="1"/>
  <c r="J2174" i="3" s="1"/>
  <c r="M2174" i="3" s="1"/>
  <c r="J2175" i="3" a="1"/>
  <c r="J2175" i="3" s="1"/>
  <c r="M2175" i="3" s="1"/>
  <c r="J2176" i="3" a="1"/>
  <c r="J2176" i="3" s="1"/>
  <c r="M2176" i="3" s="1"/>
  <c r="J2177" i="3" a="1"/>
  <c r="J2177" i="3" s="1"/>
  <c r="M2177" i="3" s="1"/>
  <c r="J2178" i="3" a="1"/>
  <c r="J2178" i="3" s="1"/>
  <c r="M2178" i="3" s="1"/>
  <c r="J2179" i="3" a="1"/>
  <c r="J2179" i="3"/>
  <c r="M2179" i="3" s="1"/>
  <c r="J2180" i="3" a="1"/>
  <c r="J2180" i="3" s="1"/>
  <c r="M2180" i="3" s="1"/>
  <c r="J2181" i="3" a="1"/>
  <c r="J2181" i="3"/>
  <c r="M2181" i="3" s="1"/>
  <c r="J2182" i="3" a="1"/>
  <c r="J2182" i="3" s="1"/>
  <c r="M2182" i="3" s="1"/>
  <c r="J2183" i="3" a="1"/>
  <c r="J2183" i="3" s="1"/>
  <c r="M2183" i="3" s="1"/>
  <c r="J2184" i="3" a="1"/>
  <c r="J2184" i="3" s="1"/>
  <c r="M2184" i="3" s="1"/>
  <c r="J2185" i="3" a="1"/>
  <c r="J2185" i="3" s="1"/>
  <c r="M2185" i="3" s="1"/>
  <c r="J2186" i="3" a="1"/>
  <c r="J2186" i="3" s="1"/>
  <c r="M2186" i="3" s="1"/>
  <c r="J2187" i="3" a="1"/>
  <c r="J2187" i="3"/>
  <c r="M2187" i="3" s="1"/>
  <c r="J2188" i="3" a="1"/>
  <c r="J2188" i="3" s="1"/>
  <c r="M2188" i="3" s="1"/>
  <c r="J2189" i="3" a="1"/>
  <c r="J2189" i="3"/>
  <c r="M2189" i="3" s="1"/>
  <c r="J2190" i="3" a="1"/>
  <c r="J2190" i="3" s="1"/>
  <c r="M2190" i="3" s="1"/>
  <c r="J2191" i="3" a="1"/>
  <c r="J2191" i="3" s="1"/>
  <c r="M2191" i="3" s="1"/>
  <c r="J2192" i="3" a="1"/>
  <c r="J2192" i="3" s="1"/>
  <c r="M2192" i="3" s="1"/>
  <c r="J2193" i="3" a="1"/>
  <c r="J2193" i="3" s="1"/>
  <c r="M2193" i="3" s="1"/>
  <c r="J2194" i="3" a="1"/>
  <c r="J2194" i="3" s="1"/>
  <c r="M2194" i="3" s="1"/>
  <c r="J2195" i="3" a="1"/>
  <c r="J2195" i="3"/>
  <c r="M2195" i="3" s="1"/>
  <c r="J2196" i="3" a="1"/>
  <c r="J2196" i="3" s="1"/>
  <c r="M2196" i="3" s="1"/>
  <c r="J2197" i="3" a="1"/>
  <c r="J2197" i="3"/>
  <c r="M2197" i="3" s="1"/>
  <c r="J2198" i="3" a="1"/>
  <c r="J2198" i="3" s="1"/>
  <c r="M2198" i="3" s="1"/>
  <c r="J2199" i="3" a="1"/>
  <c r="J2199" i="3" s="1"/>
  <c r="M2199" i="3" s="1"/>
  <c r="J2200" i="3" a="1"/>
  <c r="J2200" i="3" s="1"/>
  <c r="M2200" i="3" s="1"/>
  <c r="J2201" i="3" a="1"/>
  <c r="J2201" i="3" s="1"/>
  <c r="M2201" i="3" s="1"/>
  <c r="J2202" i="3" a="1"/>
  <c r="J2202" i="3" s="1"/>
  <c r="M2202" i="3" s="1"/>
  <c r="J2203" i="3" a="1"/>
  <c r="J2203" i="3"/>
  <c r="M2203" i="3" s="1"/>
  <c r="J2204" i="3" a="1"/>
  <c r="J2204" i="3" s="1"/>
  <c r="M2204" i="3" s="1"/>
  <c r="J2205" i="3" a="1"/>
  <c r="J2205" i="3"/>
  <c r="M2205" i="3" s="1"/>
  <c r="J2206" i="3" a="1"/>
  <c r="J2206" i="3" s="1"/>
  <c r="M2206" i="3" s="1"/>
  <c r="J2207" i="3" a="1"/>
  <c r="J2207" i="3" s="1"/>
  <c r="M2207" i="3" s="1"/>
  <c r="J2208" i="3" a="1"/>
  <c r="J2208" i="3" s="1"/>
  <c r="M2208" i="3" s="1"/>
  <c r="J2209" i="3" a="1"/>
  <c r="J2209" i="3" s="1"/>
  <c r="M2209" i="3" s="1"/>
  <c r="J2210" i="3" a="1"/>
  <c r="J2210" i="3" s="1"/>
  <c r="M2210" i="3" s="1"/>
  <c r="J2211" i="3" a="1"/>
  <c r="J2211" i="3"/>
  <c r="M2211" i="3" s="1"/>
  <c r="J2212" i="3" a="1"/>
  <c r="J2212" i="3" s="1"/>
  <c r="M2212" i="3" s="1"/>
  <c r="J2213" i="3" a="1"/>
  <c r="J2213" i="3"/>
  <c r="M2213" i="3" s="1"/>
  <c r="J2214" i="3" a="1"/>
  <c r="J2214" i="3" s="1"/>
  <c r="M2214" i="3" s="1"/>
  <c r="J2215" i="3" a="1"/>
  <c r="J2215" i="3" s="1"/>
  <c r="M2215" i="3" s="1"/>
  <c r="J2216" i="3" a="1"/>
  <c r="J2216" i="3" s="1"/>
  <c r="M2216" i="3" s="1"/>
  <c r="J2217" i="3" a="1"/>
  <c r="J2217" i="3" s="1"/>
  <c r="M2217" i="3" s="1"/>
  <c r="J2218" i="3" a="1"/>
  <c r="J2218" i="3" s="1"/>
  <c r="M2218" i="3" s="1"/>
  <c r="J2219" i="3" a="1"/>
  <c r="J2219" i="3"/>
  <c r="M2219" i="3" s="1"/>
  <c r="J2220" i="3" a="1"/>
  <c r="J2220" i="3" s="1"/>
  <c r="M2220" i="3" s="1"/>
  <c r="J2221" i="3" a="1"/>
  <c r="J2221" i="3"/>
  <c r="M2221" i="3" s="1"/>
  <c r="J2222" i="3" a="1"/>
  <c r="J2222" i="3" s="1"/>
  <c r="M2222" i="3" s="1"/>
  <c r="J2223" i="3" a="1"/>
  <c r="J2223" i="3" s="1"/>
  <c r="M2223" i="3" s="1"/>
  <c r="J2224" i="3" a="1"/>
  <c r="J2224" i="3" s="1"/>
  <c r="M2224" i="3" s="1"/>
  <c r="J2225" i="3" a="1"/>
  <c r="J2225" i="3" s="1"/>
  <c r="M2225" i="3" s="1"/>
  <c r="J2226" i="3" a="1"/>
  <c r="J2226" i="3" s="1"/>
  <c r="M2226" i="3" s="1"/>
  <c r="J2227" i="3" a="1"/>
  <c r="J2227" i="3"/>
  <c r="M2227" i="3" s="1"/>
  <c r="J2228" i="3" a="1"/>
  <c r="J2228" i="3" s="1"/>
  <c r="M2228" i="3" s="1"/>
  <c r="J2229" i="3" a="1"/>
  <c r="J2229" i="3"/>
  <c r="M2229" i="3" s="1"/>
  <c r="J2230" i="3" a="1"/>
  <c r="J2230" i="3" s="1"/>
  <c r="M2230" i="3" s="1"/>
  <c r="J2231" i="3" a="1"/>
  <c r="J2231" i="3" s="1"/>
  <c r="M2231" i="3" s="1"/>
  <c r="J2232" i="3" a="1"/>
  <c r="J2232" i="3" s="1"/>
  <c r="M2232" i="3" s="1"/>
  <c r="J2233" i="3" a="1"/>
  <c r="J2233" i="3" s="1"/>
  <c r="M2233" i="3" s="1"/>
  <c r="J2234" i="3" a="1"/>
  <c r="J2234" i="3" s="1"/>
  <c r="M2234" i="3" s="1"/>
  <c r="J2235" i="3" a="1"/>
  <c r="J2235" i="3"/>
  <c r="M2235" i="3" s="1"/>
  <c r="J2236" i="3" a="1"/>
  <c r="J2236" i="3" s="1"/>
  <c r="M2236" i="3" s="1"/>
  <c r="J2237" i="3" a="1"/>
  <c r="J2237" i="3"/>
  <c r="M2237" i="3" s="1"/>
  <c r="J2238" i="3" a="1"/>
  <c r="J2238" i="3" s="1"/>
  <c r="M2238" i="3" s="1"/>
  <c r="J2239" i="3" a="1"/>
  <c r="J2239" i="3" s="1"/>
  <c r="M2239" i="3" s="1"/>
  <c r="J2240" i="3" a="1"/>
  <c r="J2240" i="3" s="1"/>
  <c r="M2240" i="3" s="1"/>
  <c r="J2241" i="3" a="1"/>
  <c r="J2241" i="3" s="1"/>
  <c r="M2241" i="3" s="1"/>
  <c r="J2242" i="3" a="1"/>
  <c r="J2242" i="3" s="1"/>
  <c r="M2242" i="3" s="1"/>
  <c r="J2243" i="3" a="1"/>
  <c r="J2243" i="3"/>
  <c r="M2243" i="3" s="1"/>
  <c r="J2244" i="3" a="1"/>
  <c r="J2244" i="3" s="1"/>
  <c r="M2244" i="3" s="1"/>
  <c r="J2245" i="3" a="1"/>
  <c r="J2245" i="3"/>
  <c r="M2245" i="3" s="1"/>
  <c r="J2246" i="3" a="1"/>
  <c r="J2246" i="3" s="1"/>
  <c r="M2246" i="3" s="1"/>
  <c r="J2247" i="3" a="1"/>
  <c r="J2247" i="3" s="1"/>
  <c r="M2247" i="3" s="1"/>
  <c r="J2248" i="3" a="1"/>
  <c r="J2248" i="3" s="1"/>
  <c r="M2248" i="3" s="1"/>
  <c r="J2249" i="3" a="1"/>
  <c r="J2249" i="3" s="1"/>
  <c r="M2249" i="3" s="1"/>
  <c r="J2250" i="3" a="1"/>
  <c r="J2250" i="3" s="1"/>
  <c r="M2250" i="3" s="1"/>
  <c r="J2251" i="3" a="1"/>
  <c r="J2251" i="3"/>
  <c r="M2251" i="3" s="1"/>
  <c r="J2252" i="3" a="1"/>
  <c r="J2252" i="3" s="1"/>
  <c r="M2252" i="3" s="1"/>
  <c r="J2253" i="3" a="1"/>
  <c r="J2253" i="3"/>
  <c r="M2253" i="3" s="1"/>
  <c r="J2254" i="3" a="1"/>
  <c r="J2254" i="3" s="1"/>
  <c r="M2254" i="3" s="1"/>
  <c r="J2255" i="3" a="1"/>
  <c r="J2255" i="3" s="1"/>
  <c r="M2255" i="3" s="1"/>
  <c r="J2256" i="3" a="1"/>
  <c r="J2256" i="3" s="1"/>
  <c r="M2256" i="3" s="1"/>
  <c r="J2257" i="3" a="1"/>
  <c r="J2257" i="3" s="1"/>
  <c r="M2257" i="3" s="1"/>
  <c r="J2258" i="3" a="1"/>
  <c r="J2258" i="3" s="1"/>
  <c r="M2258" i="3" s="1"/>
  <c r="J2259" i="3" a="1"/>
  <c r="J2259" i="3"/>
  <c r="M2259" i="3" s="1"/>
  <c r="J2260" i="3" a="1"/>
  <c r="J2260" i="3" s="1"/>
  <c r="M2260" i="3" s="1"/>
  <c r="J2261" i="3" a="1"/>
  <c r="J2261" i="3"/>
  <c r="M2261" i="3" s="1"/>
  <c r="J2262" i="3" a="1"/>
  <c r="J2262" i="3" s="1"/>
  <c r="M2262" i="3" s="1"/>
  <c r="J2263" i="3" a="1"/>
  <c r="J2263" i="3" s="1"/>
  <c r="M2263" i="3" s="1"/>
  <c r="J2264" i="3" a="1"/>
  <c r="J2264" i="3" s="1"/>
  <c r="M2264" i="3" s="1"/>
  <c r="J2265" i="3" a="1"/>
  <c r="J2265" i="3" s="1"/>
  <c r="M2265" i="3" s="1"/>
  <c r="J2266" i="3" a="1"/>
  <c r="J2266" i="3" s="1"/>
  <c r="M2266" i="3" s="1"/>
  <c r="J2267" i="3" a="1"/>
  <c r="J2267" i="3"/>
  <c r="M2267" i="3" s="1"/>
  <c r="J2268" i="3" a="1"/>
  <c r="J2268" i="3" s="1"/>
  <c r="M2268" i="3" s="1"/>
  <c r="J2269" i="3" a="1"/>
  <c r="J2269" i="3"/>
  <c r="M2269" i="3" s="1"/>
  <c r="J2270" i="3" a="1"/>
  <c r="J2270" i="3" s="1"/>
  <c r="M2270" i="3" s="1"/>
  <c r="J2271" i="3" a="1"/>
  <c r="J2271" i="3" s="1"/>
  <c r="M2271" i="3" s="1"/>
  <c r="J2272" i="3" a="1"/>
  <c r="J2272" i="3" s="1"/>
  <c r="M2272" i="3" s="1"/>
  <c r="J2273" i="3" a="1"/>
  <c r="J2273" i="3" s="1"/>
  <c r="M2273" i="3" s="1"/>
  <c r="J2274" i="3" a="1"/>
  <c r="J2274" i="3" s="1"/>
  <c r="M2274" i="3" s="1"/>
  <c r="J2275" i="3" a="1"/>
  <c r="J2275" i="3"/>
  <c r="M2275" i="3" s="1"/>
  <c r="J2276" i="3" a="1"/>
  <c r="J2276" i="3" s="1"/>
  <c r="M2276" i="3" s="1"/>
  <c r="J2277" i="3" a="1"/>
  <c r="J2277" i="3"/>
  <c r="M2277" i="3" s="1"/>
  <c r="J2278" i="3" a="1"/>
  <c r="J2278" i="3" s="1"/>
  <c r="M2278" i="3" s="1"/>
  <c r="J2279" i="3" a="1"/>
  <c r="J2279" i="3" s="1"/>
  <c r="M2279" i="3" s="1"/>
  <c r="J2280" i="3" a="1"/>
  <c r="J2280" i="3" s="1"/>
  <c r="M2280" i="3" s="1"/>
  <c r="J2281" i="3" a="1"/>
  <c r="J2281" i="3" s="1"/>
  <c r="M2281" i="3" s="1"/>
  <c r="J2282" i="3" a="1"/>
  <c r="J2282" i="3" s="1"/>
  <c r="M2282" i="3" s="1"/>
  <c r="J2283" i="3" a="1"/>
  <c r="J2283" i="3"/>
  <c r="M2283" i="3" s="1"/>
  <c r="J2284" i="3" a="1"/>
  <c r="J2284" i="3" s="1"/>
  <c r="M2284" i="3" s="1"/>
  <c r="J2285" i="3" a="1"/>
  <c r="J2285" i="3"/>
  <c r="M2285" i="3" s="1"/>
  <c r="J2286" i="3" a="1"/>
  <c r="J2286" i="3" s="1"/>
  <c r="M2286" i="3" s="1"/>
  <c r="J2287" i="3" a="1"/>
  <c r="J2287" i="3" s="1"/>
  <c r="M2287" i="3" s="1"/>
  <c r="J2288" i="3" a="1"/>
  <c r="J2288" i="3" s="1"/>
  <c r="M2288" i="3" s="1"/>
  <c r="J2289" i="3" a="1"/>
  <c r="J2289" i="3" s="1"/>
  <c r="M2289" i="3" s="1"/>
  <c r="J2290" i="3" a="1"/>
  <c r="J2290" i="3" s="1"/>
  <c r="M2290" i="3" s="1"/>
  <c r="J2291" i="3" a="1"/>
  <c r="J2291" i="3"/>
  <c r="M2291" i="3" s="1"/>
  <c r="J2292" i="3" a="1"/>
  <c r="J2292" i="3" s="1"/>
  <c r="M2292" i="3" s="1"/>
  <c r="J2293" i="3" a="1"/>
  <c r="J2293" i="3"/>
  <c r="M2293" i="3" s="1"/>
  <c r="J2294" i="3" a="1"/>
  <c r="J2294" i="3" s="1"/>
  <c r="M2294" i="3" s="1"/>
  <c r="J2295" i="3" a="1"/>
  <c r="J2295" i="3" s="1"/>
  <c r="M2295" i="3" s="1"/>
  <c r="J2296" i="3" a="1"/>
  <c r="J2296" i="3" s="1"/>
  <c r="M2296" i="3" s="1"/>
  <c r="J2297" i="3" a="1"/>
  <c r="J2297" i="3" s="1"/>
  <c r="M2297" i="3" s="1"/>
  <c r="J2298" i="3" a="1"/>
  <c r="J2298" i="3" s="1"/>
  <c r="M2298" i="3" s="1"/>
  <c r="J2299" i="3" a="1"/>
  <c r="J2299" i="3"/>
  <c r="M2299" i="3" s="1"/>
  <c r="J2300" i="3" a="1"/>
  <c r="J2300" i="3" s="1"/>
  <c r="M2300" i="3" s="1"/>
  <c r="J2301" i="3" a="1"/>
  <c r="J2301" i="3"/>
  <c r="M2301" i="3" s="1"/>
  <c r="J2302" i="3" a="1"/>
  <c r="J2302" i="3" s="1"/>
  <c r="M2302" i="3" s="1"/>
  <c r="J2303" i="3" a="1"/>
  <c r="J2303" i="3" s="1"/>
  <c r="M2303" i="3" s="1"/>
  <c r="J2304" i="3" a="1"/>
  <c r="J2304" i="3" s="1"/>
  <c r="M2304" i="3" s="1"/>
  <c r="J2305" i="3" a="1"/>
  <c r="J2305" i="3" s="1"/>
  <c r="M2305" i="3" s="1"/>
  <c r="J2306" i="3" a="1"/>
  <c r="J2306" i="3" s="1"/>
  <c r="M2306" i="3" s="1"/>
  <c r="J2307" i="3" a="1"/>
  <c r="J2307" i="3"/>
  <c r="M2307" i="3" s="1"/>
  <c r="J2308" i="3" a="1"/>
  <c r="J2308" i="3" s="1"/>
  <c r="M2308" i="3" s="1"/>
  <c r="J2309" i="3" a="1"/>
  <c r="J2309" i="3"/>
  <c r="M2309" i="3" s="1"/>
  <c r="J2310" i="3" a="1"/>
  <c r="J2310" i="3" s="1"/>
  <c r="M2310" i="3" s="1"/>
  <c r="J2311" i="3" a="1"/>
  <c r="J2311" i="3" s="1"/>
  <c r="M2311" i="3" s="1"/>
  <c r="J2312" i="3" a="1"/>
  <c r="J2312" i="3" s="1"/>
  <c r="M2312" i="3" s="1"/>
  <c r="J2313" i="3" a="1"/>
  <c r="J2313" i="3" s="1"/>
  <c r="M2313" i="3" s="1"/>
  <c r="J2314" i="3" a="1"/>
  <c r="J2314" i="3" s="1"/>
  <c r="M2314" i="3" s="1"/>
  <c r="J2315" i="3" a="1"/>
  <c r="J2315" i="3"/>
  <c r="M2315" i="3" s="1"/>
  <c r="J2316" i="3" a="1"/>
  <c r="J2316" i="3" s="1"/>
  <c r="M2316" i="3" s="1"/>
  <c r="J2317" i="3" a="1"/>
  <c r="J2317" i="3"/>
  <c r="M2317" i="3" s="1"/>
  <c r="J2318" i="3" a="1"/>
  <c r="J2318" i="3" s="1"/>
  <c r="M2318" i="3" s="1"/>
  <c r="J2319" i="3" a="1"/>
  <c r="J2319" i="3" s="1"/>
  <c r="M2319" i="3" s="1"/>
  <c r="J2320" i="3" a="1"/>
  <c r="J2320" i="3" s="1"/>
  <c r="M2320" i="3" s="1"/>
  <c r="J2321" i="3" a="1"/>
  <c r="J2321" i="3" s="1"/>
  <c r="M2321" i="3" s="1"/>
  <c r="J2322" i="3" a="1"/>
  <c r="J2322" i="3" s="1"/>
  <c r="M2322" i="3" s="1"/>
  <c r="J2323" i="3" a="1"/>
  <c r="J2323" i="3"/>
  <c r="M2323" i="3" s="1"/>
  <c r="J2324" i="3" a="1"/>
  <c r="J2324" i="3" s="1"/>
  <c r="M2324" i="3" s="1"/>
  <c r="J2325" i="3" a="1"/>
  <c r="J2325" i="3"/>
  <c r="M2325" i="3" s="1"/>
  <c r="J2326" i="3" a="1"/>
  <c r="J2326" i="3" s="1"/>
  <c r="M2326" i="3" s="1"/>
  <c r="J2327" i="3" a="1"/>
  <c r="J2327" i="3" s="1"/>
  <c r="M2327" i="3" s="1"/>
  <c r="J2328" i="3" a="1"/>
  <c r="J2328" i="3" s="1"/>
  <c r="M2328" i="3" s="1"/>
  <c r="J2329" i="3" a="1"/>
  <c r="J2329" i="3" s="1"/>
  <c r="M2329" i="3" s="1"/>
  <c r="J2330" i="3" a="1"/>
  <c r="J2330" i="3" s="1"/>
  <c r="M2330" i="3" s="1"/>
  <c r="J2331" i="3" a="1"/>
  <c r="J2331" i="3"/>
  <c r="M2331" i="3" s="1"/>
  <c r="J2332" i="3" a="1"/>
  <c r="J2332" i="3" s="1"/>
  <c r="M2332" i="3" s="1"/>
  <c r="J2333" i="3" a="1"/>
  <c r="J2333" i="3"/>
  <c r="M2333" i="3" s="1"/>
  <c r="J2334" i="3" a="1"/>
  <c r="J2334" i="3" s="1"/>
  <c r="M2334" i="3" s="1"/>
  <c r="J2335" i="3" a="1"/>
  <c r="J2335" i="3" s="1"/>
  <c r="M2335" i="3" s="1"/>
  <c r="J2336" i="3" a="1"/>
  <c r="J2336" i="3" s="1"/>
  <c r="M2336" i="3" s="1"/>
  <c r="J2337" i="3" a="1"/>
  <c r="J2337" i="3" s="1"/>
  <c r="M2337" i="3" s="1"/>
  <c r="J2338" i="3" a="1"/>
  <c r="J2338" i="3" s="1"/>
  <c r="M2338" i="3" s="1"/>
  <c r="J2339" i="3" a="1"/>
  <c r="J2339" i="3"/>
  <c r="M2339" i="3" s="1"/>
  <c r="J2340" i="3" a="1"/>
  <c r="J2340" i="3" s="1"/>
  <c r="M2340" i="3" s="1"/>
  <c r="J2341" i="3" a="1"/>
  <c r="J2341" i="3"/>
  <c r="M2341" i="3" s="1"/>
  <c r="J2342" i="3" a="1"/>
  <c r="J2342" i="3" s="1"/>
  <c r="M2342" i="3" s="1"/>
  <c r="J2343" i="3" a="1"/>
  <c r="J2343" i="3" s="1"/>
  <c r="M2343" i="3" s="1"/>
  <c r="J2344" i="3" a="1"/>
  <c r="J2344" i="3" s="1"/>
  <c r="M2344" i="3" s="1"/>
  <c r="J2345" i="3" a="1"/>
  <c r="J2345" i="3" s="1"/>
  <c r="M2345" i="3" s="1"/>
  <c r="J2346" i="3" a="1"/>
  <c r="J2346" i="3" s="1"/>
  <c r="M2346" i="3" s="1"/>
  <c r="J2347" i="3" a="1"/>
  <c r="J2347" i="3"/>
  <c r="M2347" i="3" s="1"/>
  <c r="J2348" i="3" a="1"/>
  <c r="J2348" i="3" s="1"/>
  <c r="M2348" i="3" s="1"/>
  <c r="J2349" i="3" a="1"/>
  <c r="J2349" i="3"/>
  <c r="M2349" i="3" s="1"/>
  <c r="J2350" i="3" a="1"/>
  <c r="J2350" i="3" s="1"/>
  <c r="M2350" i="3" s="1"/>
  <c r="J2351" i="3" a="1"/>
  <c r="J2351" i="3" s="1"/>
  <c r="M2351" i="3" s="1"/>
  <c r="J2352" i="3" a="1"/>
  <c r="J2352" i="3" s="1"/>
  <c r="M2352" i="3" s="1"/>
  <c r="J2353" i="3" a="1"/>
  <c r="J2353" i="3" s="1"/>
  <c r="M2353" i="3" s="1"/>
  <c r="J2354" i="3" a="1"/>
  <c r="J2354" i="3" s="1"/>
  <c r="M2354" i="3" s="1"/>
  <c r="J2355" i="3" a="1"/>
  <c r="J2355" i="3"/>
  <c r="M2355" i="3" s="1"/>
  <c r="J2356" i="3" a="1"/>
  <c r="J2356" i="3" s="1"/>
  <c r="M2356" i="3" s="1"/>
  <c r="J2357" i="3" a="1"/>
  <c r="J2357" i="3"/>
  <c r="M2357" i="3" s="1"/>
  <c r="J2358" i="3" a="1"/>
  <c r="J2358" i="3" s="1"/>
  <c r="M2358" i="3" s="1"/>
  <c r="J2359" i="3" a="1"/>
  <c r="J2359" i="3" s="1"/>
  <c r="M2359" i="3" s="1"/>
  <c r="J2360" i="3" a="1"/>
  <c r="J2360" i="3" s="1"/>
  <c r="M2360" i="3" s="1"/>
  <c r="J2361" i="3" a="1"/>
  <c r="J2361" i="3" s="1"/>
  <c r="M2361" i="3" s="1"/>
  <c r="J2362" i="3" a="1"/>
  <c r="J2362" i="3" s="1"/>
  <c r="M2362" i="3" s="1"/>
  <c r="J2363" i="3" a="1"/>
  <c r="J2363" i="3"/>
  <c r="M2363" i="3" s="1"/>
  <c r="J2364" i="3" a="1"/>
  <c r="J2364" i="3" s="1"/>
  <c r="M2364" i="3" s="1"/>
  <c r="J2365" i="3" a="1"/>
  <c r="J2365" i="3"/>
  <c r="M2365" i="3" s="1"/>
  <c r="J2366" i="3" a="1"/>
  <c r="J2366" i="3" s="1"/>
  <c r="M2366" i="3" s="1"/>
  <c r="J2367" i="3" a="1"/>
  <c r="J2367" i="3" s="1"/>
  <c r="M2367" i="3" s="1"/>
  <c r="J2368" i="3" a="1"/>
  <c r="J2368" i="3" s="1"/>
  <c r="M2368" i="3" s="1"/>
  <c r="J2369" i="3" a="1"/>
  <c r="J2369" i="3" s="1"/>
  <c r="M2369" i="3" s="1"/>
  <c r="J2370" i="3" a="1"/>
  <c r="J2370" i="3" s="1"/>
  <c r="M2370" i="3" s="1"/>
  <c r="J2371" i="3" a="1"/>
  <c r="J2371" i="3" s="1"/>
  <c r="M2371" i="3" s="1"/>
  <c r="J2372" i="3" a="1"/>
  <c r="J2372" i="3" s="1"/>
  <c r="M2372" i="3" s="1"/>
  <c r="J2373" i="3" a="1"/>
  <c r="J2373" i="3"/>
  <c r="M2373" i="3" s="1"/>
  <c r="J2374" i="3" a="1"/>
  <c r="J2374" i="3" s="1"/>
  <c r="M2374" i="3" s="1"/>
  <c r="J2375" i="3" a="1"/>
  <c r="J2375" i="3" s="1"/>
  <c r="M2375" i="3" s="1"/>
  <c r="J2376" i="3" a="1"/>
  <c r="J2376" i="3" s="1"/>
  <c r="M2376" i="3" s="1"/>
  <c r="J2377" i="3" a="1"/>
  <c r="J2377" i="3" s="1"/>
  <c r="M2377" i="3" s="1"/>
  <c r="J2378" i="3" a="1"/>
  <c r="J2378" i="3" s="1"/>
  <c r="M2378" i="3" s="1"/>
  <c r="J2379" i="3" a="1"/>
  <c r="J2379" i="3" s="1"/>
  <c r="M2379" i="3" s="1"/>
  <c r="J2380" i="3" a="1"/>
  <c r="J2380" i="3" s="1"/>
  <c r="M2380" i="3" s="1"/>
  <c r="J2381" i="3" a="1"/>
  <c r="J2381" i="3"/>
  <c r="M2381" i="3" s="1"/>
  <c r="J2382" i="3" a="1"/>
  <c r="J2382" i="3" s="1"/>
  <c r="M2382" i="3" s="1"/>
  <c r="J2383" i="3" a="1"/>
  <c r="J2383" i="3" s="1"/>
  <c r="M2383" i="3" s="1"/>
  <c r="J2384" i="3" a="1"/>
  <c r="J2384" i="3" s="1"/>
  <c r="M2384" i="3" s="1"/>
  <c r="J2385" i="3" a="1"/>
  <c r="J2385" i="3" s="1"/>
  <c r="M2385" i="3" s="1"/>
  <c r="J2386" i="3" a="1"/>
  <c r="J2386" i="3" s="1"/>
  <c r="M2386" i="3" s="1"/>
  <c r="J2387" i="3" a="1"/>
  <c r="J2387" i="3" s="1"/>
  <c r="M2387" i="3" s="1"/>
  <c r="J2388" i="3" a="1"/>
  <c r="J2388" i="3" s="1"/>
  <c r="M2388" i="3" s="1"/>
  <c r="J2389" i="3" a="1"/>
  <c r="J2389" i="3"/>
  <c r="M2389" i="3" s="1"/>
  <c r="J2390" i="3" a="1"/>
  <c r="J2390" i="3" s="1"/>
  <c r="M2390" i="3" s="1"/>
  <c r="J2391" i="3" a="1"/>
  <c r="J2391" i="3" s="1"/>
  <c r="M2391" i="3" s="1"/>
  <c r="J2392" i="3" a="1"/>
  <c r="J2392" i="3" s="1"/>
  <c r="M2392" i="3" s="1"/>
  <c r="J2393" i="3" a="1"/>
  <c r="J2393" i="3" s="1"/>
  <c r="M2393" i="3" s="1"/>
  <c r="J2394" i="3" a="1"/>
  <c r="J2394" i="3" s="1"/>
  <c r="M2394" i="3" s="1"/>
  <c r="J2395" i="3" a="1"/>
  <c r="J2395" i="3" s="1"/>
  <c r="M2395" i="3" s="1"/>
  <c r="J2396" i="3" a="1"/>
  <c r="J2396" i="3" s="1"/>
  <c r="M2396" i="3" s="1"/>
  <c r="J2397" i="3" a="1"/>
  <c r="J2397" i="3"/>
  <c r="M2397" i="3" s="1"/>
  <c r="J2398" i="3" a="1"/>
  <c r="J2398" i="3" s="1"/>
  <c r="M2398" i="3" s="1"/>
  <c r="J2399" i="3" a="1"/>
  <c r="J2399" i="3" s="1"/>
  <c r="M2399" i="3" s="1"/>
  <c r="J2400" i="3" a="1"/>
  <c r="J2400" i="3" s="1"/>
  <c r="M2400" i="3" s="1"/>
  <c r="J2401" i="3" a="1"/>
  <c r="J2401" i="3" s="1"/>
  <c r="M2401" i="3" s="1"/>
  <c r="J2402" i="3" a="1"/>
  <c r="J2402" i="3" s="1"/>
  <c r="M2402" i="3" s="1"/>
  <c r="J2403" i="3" a="1"/>
  <c r="J2403" i="3" s="1"/>
  <c r="M2403" i="3" s="1"/>
  <c r="J2404" i="3" a="1"/>
  <c r="J2404" i="3" s="1"/>
  <c r="M2404" i="3" s="1"/>
  <c r="J2405" i="3" a="1"/>
  <c r="J2405" i="3"/>
  <c r="M2405" i="3" s="1"/>
  <c r="J2406" i="3" a="1"/>
  <c r="J2406" i="3" s="1"/>
  <c r="M2406" i="3" s="1"/>
  <c r="J2407" i="3" a="1"/>
  <c r="J2407" i="3" s="1"/>
  <c r="M2407" i="3" s="1"/>
  <c r="J2408" i="3" a="1"/>
  <c r="J2408" i="3" s="1"/>
  <c r="M2408" i="3" s="1"/>
  <c r="J2409" i="3" a="1"/>
  <c r="J2409" i="3" s="1"/>
  <c r="M2409" i="3" s="1"/>
  <c r="J2410" i="3" a="1"/>
  <c r="J2410" i="3" s="1"/>
  <c r="M2410" i="3" s="1"/>
  <c r="J2411" i="3" a="1"/>
  <c r="J2411" i="3" s="1"/>
  <c r="M2411" i="3" s="1"/>
  <c r="J2412" i="3" a="1"/>
  <c r="J2412" i="3" s="1"/>
  <c r="M2412" i="3" s="1"/>
  <c r="J2413" i="3" a="1"/>
  <c r="J2413" i="3"/>
  <c r="M2413" i="3" s="1"/>
  <c r="J2414" i="3" a="1"/>
  <c r="J2414" i="3" s="1"/>
  <c r="M2414" i="3" s="1"/>
  <c r="J2415" i="3" a="1"/>
  <c r="J2415" i="3" s="1"/>
  <c r="M2415" i="3" s="1"/>
  <c r="J2416" i="3" a="1"/>
  <c r="J2416" i="3" s="1"/>
  <c r="M2416" i="3" s="1"/>
  <c r="J2417" i="3" a="1"/>
  <c r="J2417" i="3" s="1"/>
  <c r="M2417" i="3" s="1"/>
  <c r="J2418" i="3" a="1"/>
  <c r="J2418" i="3" s="1"/>
  <c r="M2418" i="3" s="1"/>
  <c r="J2419" i="3" a="1"/>
  <c r="J2419" i="3" s="1"/>
  <c r="M2419" i="3" s="1"/>
  <c r="J2420" i="3" a="1"/>
  <c r="J2420" i="3" s="1"/>
  <c r="M2420" i="3" s="1"/>
  <c r="J2421" i="3" a="1"/>
  <c r="J2421" i="3"/>
  <c r="M2421" i="3" s="1"/>
  <c r="J2422" i="3" a="1"/>
  <c r="J2422" i="3" s="1"/>
  <c r="M2422" i="3" s="1"/>
  <c r="J2423" i="3" a="1"/>
  <c r="J2423" i="3" s="1"/>
  <c r="M2423" i="3" s="1"/>
  <c r="J2424" i="3" a="1"/>
  <c r="J2424" i="3" s="1"/>
  <c r="M2424" i="3" s="1"/>
  <c r="J2425" i="3" a="1"/>
  <c r="J2425" i="3" s="1"/>
  <c r="M2425" i="3" s="1"/>
  <c r="J2426" i="3" a="1"/>
  <c r="J2426" i="3" s="1"/>
  <c r="M2426" i="3" s="1"/>
  <c r="J2427" i="3" a="1"/>
  <c r="J2427" i="3" s="1"/>
  <c r="M2427" i="3" s="1"/>
  <c r="J2428" i="3" a="1"/>
  <c r="J2428" i="3" s="1"/>
  <c r="M2428" i="3" s="1"/>
  <c r="J2429" i="3" a="1"/>
  <c r="J2429" i="3"/>
  <c r="M2429" i="3" s="1"/>
  <c r="J2430" i="3" a="1"/>
  <c r="J2430" i="3" s="1"/>
  <c r="M2430" i="3" s="1"/>
  <c r="J2431" i="3" a="1"/>
  <c r="J2431" i="3" s="1"/>
  <c r="M2431" i="3" s="1"/>
  <c r="J2432" i="3" a="1"/>
  <c r="J2432" i="3" s="1"/>
  <c r="M2432" i="3" s="1"/>
  <c r="J2433" i="3" a="1"/>
  <c r="J2433" i="3" s="1"/>
  <c r="M2433" i="3" s="1"/>
  <c r="J2434" i="3" a="1"/>
  <c r="J2434" i="3" s="1"/>
  <c r="M2434" i="3" s="1"/>
  <c r="J2435" i="3" a="1"/>
  <c r="J2435" i="3" s="1"/>
  <c r="M2435" i="3" s="1"/>
  <c r="J2436" i="3" a="1"/>
  <c r="J2436" i="3" s="1"/>
  <c r="M2436" i="3" s="1"/>
  <c r="J2437" i="3" a="1"/>
  <c r="J2437" i="3"/>
  <c r="M2437" i="3" s="1"/>
  <c r="J2438" i="3" a="1"/>
  <c r="J2438" i="3" s="1"/>
  <c r="M2438" i="3" s="1"/>
  <c r="J2439" i="3" a="1"/>
  <c r="J2439" i="3" s="1"/>
  <c r="M2439" i="3" s="1"/>
  <c r="J2440" i="3" a="1"/>
  <c r="J2440" i="3" s="1"/>
  <c r="M2440" i="3" s="1"/>
  <c r="J2441" i="3" a="1"/>
  <c r="J2441" i="3" s="1"/>
  <c r="M2441" i="3" s="1"/>
  <c r="J2442" i="3" a="1"/>
  <c r="J2442" i="3" s="1"/>
  <c r="M2442" i="3" s="1"/>
  <c r="J2443" i="3" a="1"/>
  <c r="J2443" i="3" s="1"/>
  <c r="M2443" i="3" s="1"/>
  <c r="J2444" i="3" a="1"/>
  <c r="J2444" i="3" s="1"/>
  <c r="M2444" i="3" s="1"/>
  <c r="J2445" i="3" a="1"/>
  <c r="J2445" i="3"/>
  <c r="M2445" i="3" s="1"/>
  <c r="J2446" i="3" a="1"/>
  <c r="J2446" i="3" s="1"/>
  <c r="M2446" i="3" s="1"/>
  <c r="J2447" i="3" a="1"/>
  <c r="J2447" i="3" s="1"/>
  <c r="M2447" i="3" s="1"/>
  <c r="J2448" i="3" a="1"/>
  <c r="J2448" i="3" s="1"/>
  <c r="M2448" i="3" s="1"/>
  <c r="J2449" i="3" a="1"/>
  <c r="J2449" i="3" s="1"/>
  <c r="M2449" i="3" s="1"/>
  <c r="J2450" i="3" a="1"/>
  <c r="J2450" i="3" s="1"/>
  <c r="M2450" i="3" s="1"/>
  <c r="J2451" i="3" a="1"/>
  <c r="J2451" i="3" s="1"/>
  <c r="M2451" i="3" s="1"/>
  <c r="J2452" i="3" a="1"/>
  <c r="J2452" i="3" s="1"/>
  <c r="M2452" i="3" s="1"/>
  <c r="J2453" i="3" a="1"/>
  <c r="J2453" i="3"/>
  <c r="M2453" i="3" s="1"/>
  <c r="J2454" i="3" a="1"/>
  <c r="J2454" i="3" s="1"/>
  <c r="M2454" i="3" s="1"/>
  <c r="J2455" i="3" a="1"/>
  <c r="J2455" i="3" s="1"/>
  <c r="M2455" i="3" s="1"/>
  <c r="J2456" i="3" a="1"/>
  <c r="J2456" i="3" s="1"/>
  <c r="M2456" i="3" s="1"/>
  <c r="J2457" i="3" a="1"/>
  <c r="J2457" i="3" s="1"/>
  <c r="M2457" i="3" s="1"/>
  <c r="J2458" i="3" a="1"/>
  <c r="J2458" i="3" s="1"/>
  <c r="M2458" i="3" s="1"/>
  <c r="J2459" i="3" a="1"/>
  <c r="J2459" i="3" s="1"/>
  <c r="M2459" i="3" s="1"/>
  <c r="J2460" i="3" a="1"/>
  <c r="J2460" i="3" s="1"/>
  <c r="M2460" i="3" s="1"/>
  <c r="J2461" i="3" a="1"/>
  <c r="J2461" i="3"/>
  <c r="M2461" i="3" s="1"/>
  <c r="J2462" i="3" a="1"/>
  <c r="J2462" i="3" s="1"/>
  <c r="M2462" i="3" s="1"/>
  <c r="J2463" i="3" a="1"/>
  <c r="J2463" i="3" s="1"/>
  <c r="M2463" i="3" s="1"/>
  <c r="J2464" i="3" a="1"/>
  <c r="J2464" i="3" s="1"/>
  <c r="M2464" i="3" s="1"/>
  <c r="J2465" i="3" a="1"/>
  <c r="J2465" i="3" s="1"/>
  <c r="M2465" i="3" s="1"/>
  <c r="J2466" i="3" a="1"/>
  <c r="J2466" i="3" s="1"/>
  <c r="M2466" i="3" s="1"/>
  <c r="J2467" i="3" a="1"/>
  <c r="J2467" i="3"/>
  <c r="M2467" i="3" s="1"/>
  <c r="J2468" i="3" a="1"/>
  <c r="J2468" i="3" s="1"/>
  <c r="M2468" i="3" s="1"/>
  <c r="J2469" i="3" a="1"/>
  <c r="J2469" i="3"/>
  <c r="M2469" i="3" s="1"/>
  <c r="J2470" i="3" a="1"/>
  <c r="J2470" i="3" s="1"/>
  <c r="M2470" i="3" s="1"/>
  <c r="J2471" i="3" a="1"/>
  <c r="J2471" i="3" s="1"/>
  <c r="M2471" i="3" s="1"/>
  <c r="J2472" i="3" a="1"/>
  <c r="J2472" i="3" s="1"/>
  <c r="M2472" i="3" s="1"/>
  <c r="J2473" i="3" a="1"/>
  <c r="J2473" i="3" s="1"/>
  <c r="M2473" i="3" s="1"/>
  <c r="J2474" i="3" a="1"/>
  <c r="J2474" i="3" s="1"/>
  <c r="M2474" i="3" s="1"/>
  <c r="J2475" i="3" a="1"/>
  <c r="J2475" i="3"/>
  <c r="M2475" i="3" s="1"/>
  <c r="J2476" i="3" a="1"/>
  <c r="J2476" i="3" s="1"/>
  <c r="M2476" i="3" s="1"/>
  <c r="J2477" i="3" a="1"/>
  <c r="J2477" i="3"/>
  <c r="M2477" i="3" s="1"/>
  <c r="J2478" i="3" a="1"/>
  <c r="J2478" i="3" s="1"/>
  <c r="M2478" i="3" s="1"/>
  <c r="J2479" i="3" a="1"/>
  <c r="J2479" i="3" s="1"/>
  <c r="M2479" i="3" s="1"/>
  <c r="J2480" i="3" a="1"/>
  <c r="J2480" i="3" s="1"/>
  <c r="M2480" i="3" s="1"/>
  <c r="J2481" i="3" a="1"/>
  <c r="J2481" i="3" s="1"/>
  <c r="M2481" i="3" s="1"/>
  <c r="J2482" i="3" a="1"/>
  <c r="J2482" i="3" s="1"/>
  <c r="M2482" i="3" s="1"/>
  <c r="J2483" i="3" a="1"/>
  <c r="J2483" i="3"/>
  <c r="M2483" i="3" s="1"/>
  <c r="J2484" i="3" a="1"/>
  <c r="J2484" i="3" s="1"/>
  <c r="M2484" i="3" s="1"/>
  <c r="J2485" i="3" a="1"/>
  <c r="J2485" i="3"/>
  <c r="M2485" i="3" s="1"/>
  <c r="J2486" i="3" a="1"/>
  <c r="J2486" i="3" s="1"/>
  <c r="M2486" i="3" s="1"/>
  <c r="J2487" i="3" a="1"/>
  <c r="J2487" i="3" s="1"/>
  <c r="M2487" i="3" s="1"/>
  <c r="J2488" i="3" a="1"/>
  <c r="J2488" i="3" s="1"/>
  <c r="M2488" i="3" s="1"/>
  <c r="J2489" i="3" a="1"/>
  <c r="J2489" i="3" s="1"/>
  <c r="M2489" i="3" s="1"/>
  <c r="J2490" i="3" a="1"/>
  <c r="J2490" i="3" s="1"/>
  <c r="M2490" i="3" s="1"/>
  <c r="J2491" i="3" a="1"/>
  <c r="J2491" i="3"/>
  <c r="M2491" i="3" s="1"/>
  <c r="J2492" i="3" a="1"/>
  <c r="J2492" i="3" s="1"/>
  <c r="M2492" i="3" s="1"/>
  <c r="J2493" i="3" a="1"/>
  <c r="J2493" i="3"/>
  <c r="M2493" i="3" s="1"/>
  <c r="J2494" i="3" a="1"/>
  <c r="J2494" i="3" s="1"/>
  <c r="M2494" i="3" s="1"/>
  <c r="J2495" i="3" a="1"/>
  <c r="J2495" i="3" s="1"/>
  <c r="M2495" i="3" s="1"/>
  <c r="J2496" i="3" a="1"/>
  <c r="J2496" i="3" s="1"/>
  <c r="M2496" i="3" s="1"/>
  <c r="J2497" i="3" a="1"/>
  <c r="J2497" i="3" s="1"/>
  <c r="M2497" i="3" s="1"/>
  <c r="J2498" i="3" a="1"/>
  <c r="J2498" i="3"/>
  <c r="M2498" i="3" s="1"/>
  <c r="J2499" i="3" a="1"/>
  <c r="J2499" i="3" s="1"/>
  <c r="M2499" i="3" s="1"/>
  <c r="J2500" i="3" a="1"/>
  <c r="J2500" i="3"/>
  <c r="M2500" i="3" s="1"/>
  <c r="J2501" i="3" a="1"/>
  <c r="J2501" i="3" s="1"/>
  <c r="M2501" i="3" s="1"/>
  <c r="J2502" i="3" a="1"/>
  <c r="J2502" i="3"/>
  <c r="M2502" i="3" s="1"/>
  <c r="J2503" i="3" a="1"/>
  <c r="J2503" i="3" s="1"/>
  <c r="M2503" i="3" s="1"/>
  <c r="J2504" i="3" a="1"/>
  <c r="J2504" i="3"/>
  <c r="M2504" i="3" s="1"/>
  <c r="J2505" i="3" a="1"/>
  <c r="J2505" i="3" s="1"/>
  <c r="M2505" i="3" s="1"/>
  <c r="J2506" i="3" a="1"/>
  <c r="J2506" i="3"/>
  <c r="M2506" i="3" s="1"/>
  <c r="J2507" i="3" a="1"/>
  <c r="J2507" i="3" s="1"/>
  <c r="M2507" i="3" s="1"/>
  <c r="J2508" i="3" a="1"/>
  <c r="J2508" i="3"/>
  <c r="M2508" i="3" s="1"/>
  <c r="J2509" i="3" a="1"/>
  <c r="J2509" i="3" s="1"/>
  <c r="M2509" i="3" s="1"/>
  <c r="J2510" i="3" a="1"/>
  <c r="J2510" i="3"/>
  <c r="M2510" i="3" s="1"/>
  <c r="J2511" i="3" a="1"/>
  <c r="J2511" i="3" s="1"/>
  <c r="M2511" i="3" s="1"/>
  <c r="J2512" i="3" a="1"/>
  <c r="J2512" i="3"/>
  <c r="M2512" i="3" s="1"/>
  <c r="J2513" i="3" a="1"/>
  <c r="J2513" i="3" s="1"/>
  <c r="M2513" i="3" s="1"/>
  <c r="J2514" i="3" a="1"/>
  <c r="J2514" i="3"/>
  <c r="M2514" i="3" s="1"/>
  <c r="J2515" i="3" a="1"/>
  <c r="J2515" i="3" s="1"/>
  <c r="M2515" i="3" s="1"/>
  <c r="J2516" i="3" a="1"/>
  <c r="J2516" i="3"/>
  <c r="M2516" i="3" s="1"/>
  <c r="J2517" i="3" a="1"/>
  <c r="J2517" i="3" s="1"/>
  <c r="M2517" i="3" s="1"/>
  <c r="J2518" i="3" a="1"/>
  <c r="J2518" i="3"/>
  <c r="M2518" i="3" s="1"/>
  <c r="J2519" i="3" a="1"/>
  <c r="J2519" i="3" s="1"/>
  <c r="M2519" i="3" s="1"/>
  <c r="J2520" i="3" a="1"/>
  <c r="J2520" i="3"/>
  <c r="M2520" i="3" s="1"/>
  <c r="J2521" i="3" a="1"/>
  <c r="J2521" i="3" s="1"/>
  <c r="M2521" i="3" s="1"/>
  <c r="J2522" i="3" a="1"/>
  <c r="J2522" i="3"/>
  <c r="M2522" i="3" s="1"/>
  <c r="J2523" i="3" a="1"/>
  <c r="J2523" i="3" s="1"/>
  <c r="M2523" i="3" s="1"/>
  <c r="J2524" i="3" a="1"/>
  <c r="J2524" i="3"/>
  <c r="M2524" i="3" s="1"/>
  <c r="J2525" i="3" a="1"/>
  <c r="J2525" i="3" s="1"/>
  <c r="M2525" i="3" s="1"/>
  <c r="J2526" i="3" a="1"/>
  <c r="J2526" i="3"/>
  <c r="M2526" i="3" s="1"/>
  <c r="J2527" i="3" a="1"/>
  <c r="J2527" i="3" s="1"/>
  <c r="M2527" i="3" s="1"/>
  <c r="J2528" i="3" a="1"/>
  <c r="J2528" i="3"/>
  <c r="J2529" i="3" a="1"/>
  <c r="J2529" i="3" s="1"/>
  <c r="M2529" i="3" s="1"/>
  <c r="J2530" i="3" a="1"/>
  <c r="J2530" i="3"/>
  <c r="M2530" i="3" s="1"/>
  <c r="J2531" i="3" a="1"/>
  <c r="J2531" i="3" s="1"/>
  <c r="M2531" i="3" s="1"/>
  <c r="J2532" i="3" a="1"/>
  <c r="J2532" i="3"/>
  <c r="M2532" i="3" s="1"/>
  <c r="J2533" i="3" a="1"/>
  <c r="J2533" i="3" s="1"/>
  <c r="M2533" i="3" s="1"/>
  <c r="J2534" i="3" a="1"/>
  <c r="J2534" i="3" s="1"/>
  <c r="J2535" i="3" a="1"/>
  <c r="J2535" i="3" s="1"/>
  <c r="M2535" i="3" s="1"/>
  <c r="J2536" i="3" a="1"/>
  <c r="J2536" i="3" s="1"/>
  <c r="M2536" i="3" s="1"/>
  <c r="J2537" i="3" a="1"/>
  <c r="J2537" i="3" s="1"/>
  <c r="J2538" i="3" a="1"/>
  <c r="J2538" i="3" s="1"/>
  <c r="M2538" i="3" s="1"/>
  <c r="J2539" i="3" a="1"/>
  <c r="J2539" i="3" s="1"/>
  <c r="M2539" i="3" s="1"/>
  <c r="J2540" i="3" a="1"/>
  <c r="J2540" i="3" s="1"/>
  <c r="M2540" i="3" s="1"/>
  <c r="J2541" i="3" a="1"/>
  <c r="J2541" i="3" s="1"/>
  <c r="M2541" i="3" s="1"/>
  <c r="J2542" i="3" a="1"/>
  <c r="J2542" i="3" s="1"/>
  <c r="J2543" i="3" a="1"/>
  <c r="J2543" i="3" s="1"/>
  <c r="M2543" i="3" s="1"/>
  <c r="J2544" i="3" a="1"/>
  <c r="J2544" i="3" s="1"/>
  <c r="M2544" i="3" s="1"/>
  <c r="J2545" i="3" a="1"/>
  <c r="J2545" i="3" s="1"/>
  <c r="J2546" i="3" a="1"/>
  <c r="J2546" i="3" s="1"/>
  <c r="M2546" i="3" s="1"/>
  <c r="J2547" i="3" a="1"/>
  <c r="J2547" i="3" s="1"/>
  <c r="M2547" i="3" s="1"/>
  <c r="J2548" i="3" a="1"/>
  <c r="J2548" i="3" s="1"/>
  <c r="M2548" i="3" s="1"/>
  <c r="J2549" i="3" a="1"/>
  <c r="J2549" i="3" s="1"/>
  <c r="M2549" i="3" s="1"/>
  <c r="J2550" i="3" a="1"/>
  <c r="J2550" i="3" s="1"/>
  <c r="J2551" i="3" a="1"/>
  <c r="J2551" i="3" s="1"/>
  <c r="M2551" i="3" s="1"/>
  <c r="J2552" i="3" a="1"/>
  <c r="J2552" i="3" s="1"/>
  <c r="M2552" i="3" s="1"/>
  <c r="J2553" i="3" a="1"/>
  <c r="J2553" i="3" s="1"/>
  <c r="J2554" i="3" a="1"/>
  <c r="J2554" i="3" s="1"/>
  <c r="M2554" i="3" s="1"/>
  <c r="J2555" i="3" a="1"/>
  <c r="J2555" i="3" s="1"/>
  <c r="M2555" i="3" s="1"/>
  <c r="J2556" i="3" a="1"/>
  <c r="J2556" i="3" s="1"/>
  <c r="M2556" i="3" s="1"/>
  <c r="J2557" i="3" a="1"/>
  <c r="J2557" i="3" s="1"/>
  <c r="M2557" i="3" s="1"/>
  <c r="J2558" i="3" a="1"/>
  <c r="J2558" i="3" s="1"/>
  <c r="J2559" i="3" a="1"/>
  <c r="J2559" i="3" s="1"/>
  <c r="M2559" i="3" s="1"/>
  <c r="J2560" i="3" a="1"/>
  <c r="J2560" i="3" s="1"/>
  <c r="M2560" i="3" s="1"/>
  <c r="J2561" i="3" a="1"/>
  <c r="J2561" i="3" s="1"/>
  <c r="J2562" i="3" a="1"/>
  <c r="J2562" i="3" s="1"/>
  <c r="M2562" i="3" s="1"/>
  <c r="J2563" i="3" a="1"/>
  <c r="J2563" i="3" s="1"/>
  <c r="M2563" i="3" s="1"/>
  <c r="J2564" i="3" a="1"/>
  <c r="J2564" i="3" s="1"/>
  <c r="M2564" i="3" s="1"/>
  <c r="J2565" i="3" a="1"/>
  <c r="J2565" i="3" s="1"/>
  <c r="M2565" i="3" s="1"/>
  <c r="J2566" i="3" a="1"/>
  <c r="J2566" i="3" s="1"/>
  <c r="M2566" i="3" s="1"/>
  <c r="J2567" i="3" a="1"/>
  <c r="J2567" i="3" s="1"/>
  <c r="M2567" i="3" s="1"/>
  <c r="J2568" i="3" a="1"/>
  <c r="J2568" i="3" s="1"/>
  <c r="M2568" i="3" s="1"/>
  <c r="J2569" i="3" a="1"/>
  <c r="J2569" i="3" s="1"/>
  <c r="M2569" i="3" s="1"/>
  <c r="J2570" i="3" a="1"/>
  <c r="J2570" i="3" s="1"/>
  <c r="M2570" i="3" s="1"/>
  <c r="J2571" i="3" a="1"/>
  <c r="J2571" i="3" s="1"/>
  <c r="M2571" i="3" s="1"/>
  <c r="J2572" i="3" a="1"/>
  <c r="J2572" i="3" s="1"/>
  <c r="M2572" i="3" s="1"/>
  <c r="J2573" i="3" a="1"/>
  <c r="J2573" i="3" s="1"/>
  <c r="M2573" i="3" s="1"/>
  <c r="J2574" i="3" a="1"/>
  <c r="J2574" i="3" s="1"/>
  <c r="M2574" i="3" s="1"/>
  <c r="J2575" i="3" a="1"/>
  <c r="J2575" i="3" s="1"/>
  <c r="M2575" i="3" s="1"/>
  <c r="J2576" i="3" a="1"/>
  <c r="J2576" i="3" s="1"/>
  <c r="M2576" i="3" s="1"/>
  <c r="J2577" i="3" a="1"/>
  <c r="J2577" i="3" s="1"/>
  <c r="M2577" i="3" s="1"/>
  <c r="J2578" i="3" a="1"/>
  <c r="J2578" i="3" s="1"/>
  <c r="M2578" i="3" s="1"/>
  <c r="J2579" i="3" a="1"/>
  <c r="J2579" i="3" s="1"/>
  <c r="M2579" i="3" s="1"/>
  <c r="J2580" i="3" a="1"/>
  <c r="J2580" i="3" s="1"/>
  <c r="M2580" i="3" s="1"/>
  <c r="J2581" i="3" a="1"/>
  <c r="J2581" i="3" s="1"/>
  <c r="M2581" i="3" s="1"/>
  <c r="J2582" i="3" a="1"/>
  <c r="J2582" i="3" s="1"/>
  <c r="M2582" i="3" s="1"/>
  <c r="J2583" i="3" a="1"/>
  <c r="J2583" i="3" s="1"/>
  <c r="J2584" i="3" a="1"/>
  <c r="J2584" i="3" s="1"/>
  <c r="M2584" i="3" s="1"/>
  <c r="J2585" i="3" a="1"/>
  <c r="J2585" i="3" s="1"/>
  <c r="M2585" i="3" s="1"/>
  <c r="J2586" i="3" a="1"/>
  <c r="J2586" i="3" s="1"/>
  <c r="M2586" i="3" s="1"/>
  <c r="J2587" i="3" a="1"/>
  <c r="J2587" i="3" s="1"/>
  <c r="J2588" i="3" a="1"/>
  <c r="J2588" i="3" s="1"/>
  <c r="M2588" i="3" s="1"/>
  <c r="J2589" i="3" a="1"/>
  <c r="J2589" i="3" s="1"/>
  <c r="M2589" i="3" s="1"/>
  <c r="J2590" i="3" a="1"/>
  <c r="J2590" i="3" s="1"/>
  <c r="M2590" i="3" s="1"/>
  <c r="J2591" i="3" a="1"/>
  <c r="J2591" i="3" s="1"/>
  <c r="J2592" i="3" a="1"/>
  <c r="J2592" i="3" s="1"/>
  <c r="M2592" i="3" s="1"/>
  <c r="J2593" i="3" a="1"/>
  <c r="J2593" i="3" s="1"/>
  <c r="M2593" i="3" s="1"/>
  <c r="J2594" i="3" a="1"/>
  <c r="J2594" i="3" s="1"/>
  <c r="M2594" i="3" s="1"/>
  <c r="J2595" i="3" a="1"/>
  <c r="J2595" i="3" s="1"/>
  <c r="J2596" i="3" a="1"/>
  <c r="J2596" i="3" s="1"/>
  <c r="M2596" i="3" s="1"/>
  <c r="J2597" i="3" a="1"/>
  <c r="J2597" i="3" s="1"/>
  <c r="M2597" i="3" s="1"/>
  <c r="J2598" i="3" a="1"/>
  <c r="J2598" i="3" s="1"/>
  <c r="M2598" i="3" s="1"/>
  <c r="J2599" i="3" a="1"/>
  <c r="J2599" i="3" s="1"/>
  <c r="J2600" i="3" a="1"/>
  <c r="J2600" i="3" s="1"/>
  <c r="M2600" i="3" s="1"/>
  <c r="J2601" i="3" a="1"/>
  <c r="J2601" i="3" s="1"/>
  <c r="M2601" i="3" s="1"/>
  <c r="J2602" i="3" a="1"/>
  <c r="J2602" i="3" s="1"/>
  <c r="M2602" i="3" s="1"/>
  <c r="J2603" i="3" a="1"/>
  <c r="J2603" i="3" s="1"/>
  <c r="J2604" i="3" a="1"/>
  <c r="J2604" i="3" s="1"/>
  <c r="M2604" i="3" s="1"/>
  <c r="J2605" i="3" a="1"/>
  <c r="J2605" i="3" s="1"/>
  <c r="M2605" i="3" s="1"/>
  <c r="J2606" i="3" a="1"/>
  <c r="J2606" i="3" s="1"/>
  <c r="M2606" i="3" s="1"/>
  <c r="J2607" i="3" a="1"/>
  <c r="J2607" i="3" s="1"/>
  <c r="J2608" i="3" a="1"/>
  <c r="J2608" i="3" s="1"/>
  <c r="M2608" i="3" s="1"/>
  <c r="J2609" i="3" a="1"/>
  <c r="J2609" i="3" s="1"/>
  <c r="M2609" i="3" s="1"/>
  <c r="J2610" i="3" a="1"/>
  <c r="J2610" i="3" s="1"/>
  <c r="M2610" i="3" s="1"/>
  <c r="J2611" i="3" a="1"/>
  <c r="J2611" i="3" s="1"/>
  <c r="J2612" i="3" a="1"/>
  <c r="J2612" i="3" s="1"/>
  <c r="M2612" i="3" s="1"/>
  <c r="J2613" i="3" a="1"/>
  <c r="J2613" i="3" s="1"/>
  <c r="M2613" i="3" s="1"/>
  <c r="J2614" i="3" a="1"/>
  <c r="J2614" i="3" s="1"/>
  <c r="M2614" i="3" s="1"/>
  <c r="J2615" i="3" a="1"/>
  <c r="J2615" i="3" s="1"/>
  <c r="J2616" i="3" a="1"/>
  <c r="J2616" i="3" s="1"/>
  <c r="M2616" i="3" s="1"/>
  <c r="J2617" i="3" a="1"/>
  <c r="J2617" i="3" s="1"/>
  <c r="M2617" i="3" s="1"/>
  <c r="J2618" i="3" a="1"/>
  <c r="J2618" i="3" s="1"/>
  <c r="M2618" i="3" s="1"/>
  <c r="J2619" i="3" a="1"/>
  <c r="J2619" i="3" s="1"/>
  <c r="J2620" i="3" a="1"/>
  <c r="J2620" i="3" s="1"/>
  <c r="M2620" i="3" s="1"/>
  <c r="J2621" i="3" a="1"/>
  <c r="J2621" i="3" s="1"/>
  <c r="M2621" i="3" s="1"/>
  <c r="J2622" i="3" a="1"/>
  <c r="J2622" i="3" s="1"/>
  <c r="M2622" i="3" s="1"/>
  <c r="J2623" i="3" a="1"/>
  <c r="J2623" i="3" s="1"/>
  <c r="J2624" i="3" a="1"/>
  <c r="J2624" i="3" s="1"/>
  <c r="M2624" i="3" s="1"/>
  <c r="J2625" i="3" a="1"/>
  <c r="J2625" i="3" s="1"/>
  <c r="M2625" i="3" s="1"/>
  <c r="J2626" i="3" a="1"/>
  <c r="J2626" i="3" s="1"/>
  <c r="M2626" i="3" s="1"/>
  <c r="J2627" i="3" a="1"/>
  <c r="J2627" i="3" s="1"/>
  <c r="J2628" i="3" a="1"/>
  <c r="J2628" i="3" s="1"/>
  <c r="M2628" i="3" s="1"/>
  <c r="J2629" i="3" a="1"/>
  <c r="J2629" i="3" s="1"/>
  <c r="M2629" i="3" s="1"/>
  <c r="J2630" i="3" a="1"/>
  <c r="J2630" i="3" s="1"/>
  <c r="M2630" i="3" s="1"/>
  <c r="J2631" i="3" a="1"/>
  <c r="J2631" i="3" s="1"/>
  <c r="J2632" i="3" a="1"/>
  <c r="J2632" i="3" s="1"/>
  <c r="M2632" i="3" s="1"/>
  <c r="J2633" i="3" a="1"/>
  <c r="J2633" i="3" s="1"/>
  <c r="M2633" i="3" s="1"/>
  <c r="J2634" i="3" a="1"/>
  <c r="J2634" i="3" s="1"/>
  <c r="M2634" i="3" s="1"/>
  <c r="J2635" i="3" a="1"/>
  <c r="J2635" i="3" s="1"/>
  <c r="J2636" i="3" a="1"/>
  <c r="J2636" i="3" s="1"/>
  <c r="M2636" i="3" s="1"/>
  <c r="J2637" i="3" a="1"/>
  <c r="J2637" i="3" s="1"/>
  <c r="M2637" i="3" s="1"/>
  <c r="J2638" i="3" a="1"/>
  <c r="J2638" i="3" s="1"/>
  <c r="M2638" i="3" s="1"/>
  <c r="J2639" i="3" a="1"/>
  <c r="J2639" i="3" s="1"/>
  <c r="J2640" i="3" a="1"/>
  <c r="J2640" i="3" s="1"/>
  <c r="M2640" i="3" s="1"/>
  <c r="J2641" i="3" a="1"/>
  <c r="J2641" i="3" s="1"/>
  <c r="M2641" i="3" s="1"/>
  <c r="J2642" i="3" a="1"/>
  <c r="J2642" i="3" s="1"/>
  <c r="M2642" i="3" s="1"/>
  <c r="J2643" i="3" a="1"/>
  <c r="J2643" i="3" s="1"/>
  <c r="J2644" i="3" a="1"/>
  <c r="J2644" i="3" s="1"/>
  <c r="M2644" i="3" s="1"/>
  <c r="J2645" i="3" a="1"/>
  <c r="J2645" i="3" s="1"/>
  <c r="M2645" i="3" s="1"/>
  <c r="J2646" i="3" a="1"/>
  <c r="J2646" i="3" s="1"/>
  <c r="M2646" i="3" s="1"/>
  <c r="J2647" i="3" a="1"/>
  <c r="J2647" i="3" s="1"/>
  <c r="J2648" i="3" a="1"/>
  <c r="J2648" i="3" s="1"/>
  <c r="M2648" i="3" s="1"/>
  <c r="J2649" i="3" a="1"/>
  <c r="J2649" i="3" s="1"/>
  <c r="M2649" i="3" s="1"/>
  <c r="J2650" i="3" a="1"/>
  <c r="J2650" i="3" s="1"/>
  <c r="M2650" i="3" s="1"/>
  <c r="J2651" i="3" a="1"/>
  <c r="J2651" i="3" s="1"/>
  <c r="J2652" i="3" a="1"/>
  <c r="J2652" i="3" s="1"/>
  <c r="M2652" i="3" s="1"/>
  <c r="J2653" i="3" a="1"/>
  <c r="J2653" i="3" s="1"/>
  <c r="M2653" i="3" s="1"/>
  <c r="J2654" i="3" a="1"/>
  <c r="J2654" i="3" s="1"/>
  <c r="M2654" i="3" s="1"/>
  <c r="J2655" i="3" a="1"/>
  <c r="J2655" i="3" s="1"/>
  <c r="J2656" i="3" a="1"/>
  <c r="J2656" i="3" s="1"/>
  <c r="M2656" i="3" s="1"/>
  <c r="J2657" i="3" a="1"/>
  <c r="J2657" i="3" s="1"/>
  <c r="M2657" i="3" s="1"/>
  <c r="J2658" i="3" a="1"/>
  <c r="J2658" i="3" s="1"/>
  <c r="M2658" i="3" s="1"/>
  <c r="J2659" i="3" a="1"/>
  <c r="J2659" i="3" s="1"/>
  <c r="J2660" i="3" a="1"/>
  <c r="J2660" i="3" s="1"/>
  <c r="M2660" i="3" s="1"/>
  <c r="J2661" i="3" a="1"/>
  <c r="J2661" i="3" s="1"/>
  <c r="M2661" i="3" s="1"/>
  <c r="J2662" i="3" a="1"/>
  <c r="J2662" i="3" s="1"/>
  <c r="M2662" i="3" s="1"/>
  <c r="J2663" i="3" a="1"/>
  <c r="J2663" i="3" s="1"/>
  <c r="J2664" i="3" a="1"/>
  <c r="J2664" i="3" s="1"/>
  <c r="M2664" i="3" s="1"/>
  <c r="J2665" i="3" a="1"/>
  <c r="J2665" i="3" s="1"/>
  <c r="M2665" i="3" s="1"/>
  <c r="J2666" i="3" a="1"/>
  <c r="J2666" i="3" s="1"/>
  <c r="M2666" i="3" s="1"/>
  <c r="J2667" i="3" a="1"/>
  <c r="J2667" i="3" s="1"/>
  <c r="J2668" i="3" a="1"/>
  <c r="J2668" i="3" s="1"/>
  <c r="M2668" i="3" s="1"/>
  <c r="J2669" i="3" a="1"/>
  <c r="J2669" i="3" s="1"/>
  <c r="M2669" i="3" s="1"/>
  <c r="J2670" i="3" a="1"/>
  <c r="J2670" i="3" s="1"/>
  <c r="M2670" i="3" s="1"/>
  <c r="J2671" i="3" a="1"/>
  <c r="J2671" i="3" s="1"/>
  <c r="J2672" i="3" a="1"/>
  <c r="J2672" i="3" s="1"/>
  <c r="M2672" i="3" s="1"/>
  <c r="J2673" i="3" a="1"/>
  <c r="J2673" i="3" s="1"/>
  <c r="M2673" i="3" s="1"/>
  <c r="J2674" i="3" a="1"/>
  <c r="J2674" i="3" s="1"/>
  <c r="M2674" i="3" s="1"/>
  <c r="J2675" i="3" a="1"/>
  <c r="J2675" i="3" s="1"/>
  <c r="J2676" i="3" a="1"/>
  <c r="J2676" i="3" s="1"/>
  <c r="M2676" i="3" s="1"/>
  <c r="J2677" i="3" a="1"/>
  <c r="J2677" i="3" s="1"/>
  <c r="M2677" i="3" s="1"/>
  <c r="J2678" i="3" a="1"/>
  <c r="J2678" i="3" s="1"/>
  <c r="M2678" i="3" s="1"/>
  <c r="J2679" i="3" a="1"/>
  <c r="J2679" i="3" s="1"/>
  <c r="J2680" i="3" a="1"/>
  <c r="J2680" i="3" s="1"/>
  <c r="M2680" i="3" s="1"/>
  <c r="J2681" i="3" a="1"/>
  <c r="J2681" i="3" s="1"/>
  <c r="M2681" i="3" s="1"/>
  <c r="J2682" i="3" a="1"/>
  <c r="J2682" i="3" s="1"/>
  <c r="M2682" i="3" s="1"/>
  <c r="J2683" i="3" a="1"/>
  <c r="J2683" i="3" s="1"/>
  <c r="J2684" i="3" a="1"/>
  <c r="J2684" i="3" s="1"/>
  <c r="M2684" i="3" s="1"/>
  <c r="J2685" i="3" a="1"/>
  <c r="J2685" i="3" s="1"/>
  <c r="M2685" i="3" s="1"/>
  <c r="J2686" i="3" a="1"/>
  <c r="J2686" i="3" s="1"/>
  <c r="M2686" i="3" s="1"/>
  <c r="J2687" i="3" a="1"/>
  <c r="J2687" i="3" s="1"/>
  <c r="J2688" i="3" a="1"/>
  <c r="J2688" i="3" s="1"/>
  <c r="M2688" i="3" s="1"/>
  <c r="J2689" i="3" a="1"/>
  <c r="J2689" i="3" s="1"/>
  <c r="M2689" i="3" s="1"/>
  <c r="J2690" i="3" a="1"/>
  <c r="J2690" i="3" s="1"/>
  <c r="M2690" i="3" s="1"/>
  <c r="J2691" i="3" a="1"/>
  <c r="J2691" i="3" s="1"/>
  <c r="J2692" i="3" a="1"/>
  <c r="J2692" i="3" s="1"/>
  <c r="M2692" i="3" s="1"/>
  <c r="J2693" i="3" a="1"/>
  <c r="J2693" i="3" s="1"/>
  <c r="M2693" i="3" s="1"/>
  <c r="J2694" i="3" a="1"/>
  <c r="J2694" i="3" s="1"/>
  <c r="M2694" i="3" s="1"/>
  <c r="J2695" i="3" a="1"/>
  <c r="J2695" i="3" s="1"/>
  <c r="J2696" i="3" a="1"/>
  <c r="J2696" i="3" s="1"/>
  <c r="M2696" i="3" s="1"/>
  <c r="J2697" i="3" a="1"/>
  <c r="J2697" i="3" s="1"/>
  <c r="M2697" i="3" s="1"/>
  <c r="J2698" i="3" a="1"/>
  <c r="J2698" i="3" s="1"/>
  <c r="M2698" i="3" s="1"/>
  <c r="J2699" i="3" a="1"/>
  <c r="J2699" i="3" s="1"/>
  <c r="J2700" i="3" a="1"/>
  <c r="J2700" i="3" s="1"/>
  <c r="M2700" i="3" s="1"/>
  <c r="J2701" i="3" a="1"/>
  <c r="J2701" i="3" s="1"/>
  <c r="M2701" i="3" s="1"/>
  <c r="J2702" i="3" a="1"/>
  <c r="J2702" i="3" s="1"/>
  <c r="M2702" i="3" s="1"/>
  <c r="J2703" i="3" a="1"/>
  <c r="J2703" i="3" s="1"/>
  <c r="J2704" i="3" a="1"/>
  <c r="J2704" i="3"/>
  <c r="M2704" i="3" s="1"/>
  <c r="J2705" i="3" a="1"/>
  <c r="J2705" i="3" s="1"/>
  <c r="M2705" i="3" s="1"/>
  <c r="J2706" i="3" a="1"/>
  <c r="J2706" i="3" s="1"/>
  <c r="M2706" i="3" s="1"/>
  <c r="J2707" i="3" a="1"/>
  <c r="J2707" i="3" s="1"/>
  <c r="M2707" i="3" s="1"/>
  <c r="J2708" i="3" a="1"/>
  <c r="J2708" i="3" s="1"/>
  <c r="M2708" i="3" s="1"/>
  <c r="J2709" i="3" a="1"/>
  <c r="J2709" i="3" s="1"/>
  <c r="M2709" i="3" s="1"/>
  <c r="J2710" i="3" a="1"/>
  <c r="J2710" i="3"/>
  <c r="M2710" i="3" s="1"/>
  <c r="J2711" i="3" a="1"/>
  <c r="J2711" i="3" s="1"/>
  <c r="J2712" i="3" a="1"/>
  <c r="J2712" i="3"/>
  <c r="M2712" i="3" s="1"/>
  <c r="J2713" i="3" a="1"/>
  <c r="J2713" i="3" s="1"/>
  <c r="M2713" i="3" s="1"/>
  <c r="J2714" i="3" a="1"/>
  <c r="J2714" i="3" s="1"/>
  <c r="M2714" i="3" s="1"/>
  <c r="J2715" i="3" a="1"/>
  <c r="J2715" i="3" s="1"/>
  <c r="J2716" i="3" a="1"/>
  <c r="J2716" i="3" s="1"/>
  <c r="M2716" i="3" s="1"/>
  <c r="J2717" i="3" a="1"/>
  <c r="J2717" i="3" s="1"/>
  <c r="M2717" i="3" s="1"/>
  <c r="J2718" i="3" a="1"/>
  <c r="J2718" i="3"/>
  <c r="M2718" i="3" s="1"/>
  <c r="J2719" i="3" a="1"/>
  <c r="J2719" i="3" s="1"/>
  <c r="J2720" i="3" a="1"/>
  <c r="J2720" i="3"/>
  <c r="M2720" i="3" s="1"/>
  <c r="J2721" i="3" a="1"/>
  <c r="J2721" i="3" s="1"/>
  <c r="M2721" i="3" s="1"/>
  <c r="J2722" i="3" a="1"/>
  <c r="J2722" i="3" s="1"/>
  <c r="M2722" i="3" s="1"/>
  <c r="J2723" i="3" a="1"/>
  <c r="J2723" i="3" s="1"/>
  <c r="M2723" i="3" s="1"/>
  <c r="J2724" i="3" a="1"/>
  <c r="J2724" i="3" s="1"/>
  <c r="M2724" i="3" s="1"/>
  <c r="J2725" i="3" a="1"/>
  <c r="J2725" i="3" s="1"/>
  <c r="M2725" i="3" s="1"/>
  <c r="J2726" i="3" a="1"/>
  <c r="J2726" i="3"/>
  <c r="M2726" i="3" s="1"/>
  <c r="J2727" i="3" a="1"/>
  <c r="J2727" i="3" s="1"/>
  <c r="J2728" i="3" a="1"/>
  <c r="J2728" i="3"/>
  <c r="M2728" i="3" s="1"/>
  <c r="J2729" i="3" a="1"/>
  <c r="J2729" i="3" s="1"/>
  <c r="M2729" i="3" s="1"/>
  <c r="J2730" i="3" a="1"/>
  <c r="J2730" i="3" s="1"/>
  <c r="M2730" i="3" s="1"/>
  <c r="J2731" i="3" a="1"/>
  <c r="J2731" i="3" s="1"/>
  <c r="J2732" i="3" a="1"/>
  <c r="J2732" i="3" s="1"/>
  <c r="M2732" i="3" s="1"/>
  <c r="J2733" i="3" a="1"/>
  <c r="J2733" i="3" s="1"/>
  <c r="M2733" i="3" s="1"/>
  <c r="J2734" i="3" a="1"/>
  <c r="J2734" i="3"/>
  <c r="M2734" i="3" s="1"/>
  <c r="J2735" i="3" a="1"/>
  <c r="J2735" i="3" s="1"/>
  <c r="J2736" i="3" a="1"/>
  <c r="J2736" i="3"/>
  <c r="M2736" i="3" s="1"/>
  <c r="J2737" i="3" a="1"/>
  <c r="J2737" i="3" s="1"/>
  <c r="M2737" i="3" s="1"/>
  <c r="J2738" i="3" a="1"/>
  <c r="J2738" i="3" s="1"/>
  <c r="M2738" i="3" s="1"/>
  <c r="J2739" i="3" a="1"/>
  <c r="J2739" i="3" s="1"/>
  <c r="M2739" i="3" s="1"/>
  <c r="J2740" i="3" a="1"/>
  <c r="J2740" i="3" s="1"/>
  <c r="M2740" i="3" s="1"/>
  <c r="J2741" i="3" a="1"/>
  <c r="J2741" i="3" s="1"/>
  <c r="M2741" i="3" s="1"/>
  <c r="J2742" i="3" a="1"/>
  <c r="J2742" i="3"/>
  <c r="M2742" i="3" s="1"/>
  <c r="J2743" i="3" a="1"/>
  <c r="J2743" i="3" s="1"/>
  <c r="J2744" i="3" a="1"/>
  <c r="J2744" i="3"/>
  <c r="M2744" i="3" s="1"/>
  <c r="J2745" i="3" a="1"/>
  <c r="J2745" i="3" s="1"/>
  <c r="M2745" i="3" s="1"/>
  <c r="J2746" i="3" a="1"/>
  <c r="J2746" i="3" s="1"/>
  <c r="M2746" i="3" s="1"/>
  <c r="J2747" i="3" a="1"/>
  <c r="J2747" i="3" s="1"/>
  <c r="J2748" i="3" a="1"/>
  <c r="J2748" i="3" s="1"/>
  <c r="M2748" i="3" s="1"/>
  <c r="J2749" i="3" a="1"/>
  <c r="J2749" i="3" s="1"/>
  <c r="M2749" i="3" s="1"/>
  <c r="J2750" i="3" a="1"/>
  <c r="J2750" i="3"/>
  <c r="M2750" i="3" s="1"/>
  <c r="J2751" i="3" a="1"/>
  <c r="J2751" i="3" s="1"/>
  <c r="J2752" i="3" a="1"/>
  <c r="J2752" i="3"/>
  <c r="M2752" i="3" s="1"/>
  <c r="J2753" i="3" a="1"/>
  <c r="J2753" i="3" s="1"/>
  <c r="M2753" i="3" s="1"/>
  <c r="J2754" i="3" a="1"/>
  <c r="J2754" i="3" s="1"/>
  <c r="M2754" i="3" s="1"/>
  <c r="J2755" i="3" a="1"/>
  <c r="J2755" i="3" s="1"/>
  <c r="M2755" i="3" s="1"/>
  <c r="J2756" i="3" a="1"/>
  <c r="J2756" i="3" s="1"/>
  <c r="M2756" i="3" s="1"/>
  <c r="J2757" i="3" a="1"/>
  <c r="J2757" i="3" s="1"/>
  <c r="M2757" i="3" s="1"/>
  <c r="J2758" i="3" a="1"/>
  <c r="J2758" i="3"/>
  <c r="M2758" i="3" s="1"/>
  <c r="J2759" i="3" a="1"/>
  <c r="J2759" i="3" s="1"/>
  <c r="J2760" i="3" a="1"/>
  <c r="J2760" i="3" s="1"/>
  <c r="M2760" i="3" s="1"/>
  <c r="J2761" i="3" a="1"/>
  <c r="J2761" i="3" s="1"/>
  <c r="M2761" i="3" s="1"/>
  <c r="J2762" i="3" a="1"/>
  <c r="J2762" i="3"/>
  <c r="M2762" i="3" s="1"/>
  <c r="J2763" i="3" a="1"/>
  <c r="J2763" i="3" s="1"/>
  <c r="J2764" i="3" a="1"/>
  <c r="J2764" i="3" s="1"/>
  <c r="M2764" i="3" s="1"/>
  <c r="J2765" i="3" a="1"/>
  <c r="J2765" i="3" s="1"/>
  <c r="M2765" i="3" s="1"/>
  <c r="J2766" i="3" a="1"/>
  <c r="J2766" i="3"/>
  <c r="M2766" i="3" s="1"/>
  <c r="J2767" i="3" a="1"/>
  <c r="J2767" i="3" s="1"/>
  <c r="J2768" i="3" a="1"/>
  <c r="J2768" i="3" s="1"/>
  <c r="M2768" i="3" s="1"/>
  <c r="J2769" i="3" a="1"/>
  <c r="J2769" i="3" s="1"/>
  <c r="M2769" i="3" s="1"/>
  <c r="J2770" i="3" a="1"/>
  <c r="J2770" i="3"/>
  <c r="M2770" i="3" s="1"/>
  <c r="J2771" i="3" a="1"/>
  <c r="J2771" i="3" s="1"/>
  <c r="M2771" i="3" s="1"/>
  <c r="J2772" i="3" a="1"/>
  <c r="J2772" i="3" s="1"/>
  <c r="M2772" i="3" s="1"/>
  <c r="J2773" i="3" a="1"/>
  <c r="J2773" i="3" s="1"/>
  <c r="M2773" i="3" s="1"/>
  <c r="J2774" i="3" a="1"/>
  <c r="J2774" i="3"/>
  <c r="M2774" i="3" s="1"/>
  <c r="J2775" i="3" a="1"/>
  <c r="J2775" i="3" s="1"/>
  <c r="J2776" i="3" a="1"/>
  <c r="J2776" i="3" s="1"/>
  <c r="M2776" i="3" s="1"/>
  <c r="J2777" i="3" a="1"/>
  <c r="J2777" i="3" s="1"/>
  <c r="M2777" i="3" s="1"/>
  <c r="J2778" i="3" a="1"/>
  <c r="J2778" i="3"/>
  <c r="M2778" i="3" s="1"/>
  <c r="J2779" i="3" a="1"/>
  <c r="J2779" i="3" s="1"/>
  <c r="J2780" i="3" a="1"/>
  <c r="J2780" i="3" s="1"/>
  <c r="M2780" i="3" s="1"/>
  <c r="J2781" i="3" a="1"/>
  <c r="J2781" i="3" s="1"/>
  <c r="M2781" i="3" s="1"/>
  <c r="J2782" i="3" a="1"/>
  <c r="J2782" i="3"/>
  <c r="M2782" i="3" s="1"/>
  <c r="J2783" i="3" a="1"/>
  <c r="J2783" i="3" s="1"/>
  <c r="J2784" i="3" a="1"/>
  <c r="J2784" i="3" s="1"/>
  <c r="M2784" i="3" s="1"/>
  <c r="J2785" i="3" a="1"/>
  <c r="J2785" i="3" s="1"/>
  <c r="M2785" i="3" s="1"/>
  <c r="J2786" i="3" a="1"/>
  <c r="J2786" i="3"/>
  <c r="M2786" i="3" s="1"/>
  <c r="J2787" i="3" a="1"/>
  <c r="J2787" i="3" s="1"/>
  <c r="M2787" i="3" s="1"/>
  <c r="J2788" i="3" a="1"/>
  <c r="J2788" i="3" s="1"/>
  <c r="M2788" i="3" s="1"/>
  <c r="J2789" i="3" a="1"/>
  <c r="J2789" i="3" s="1"/>
  <c r="M2789" i="3" s="1"/>
  <c r="J2790" i="3" a="1"/>
  <c r="J2790" i="3"/>
  <c r="M2790" i="3" s="1"/>
  <c r="J2791" i="3" a="1"/>
  <c r="J2791" i="3" s="1"/>
  <c r="J2792" i="3" a="1"/>
  <c r="J2792" i="3" s="1"/>
  <c r="M2792" i="3" s="1"/>
  <c r="J2793" i="3" a="1"/>
  <c r="J2793" i="3" s="1"/>
  <c r="M2793" i="3" s="1"/>
  <c r="J2794" i="3" a="1"/>
  <c r="J2794" i="3"/>
  <c r="M2794" i="3" s="1"/>
  <c r="J2795" i="3" a="1"/>
  <c r="J2795" i="3" s="1"/>
  <c r="J2796" i="3" a="1"/>
  <c r="J2796" i="3" s="1"/>
  <c r="M2796" i="3" s="1"/>
  <c r="J2797" i="3" a="1"/>
  <c r="J2797" i="3" s="1"/>
  <c r="M2797" i="3" s="1"/>
  <c r="J2798" i="3" a="1"/>
  <c r="J2798" i="3"/>
  <c r="M2798" i="3" s="1"/>
  <c r="J2799" i="3" a="1"/>
  <c r="J2799" i="3" s="1"/>
  <c r="J2800" i="3" a="1"/>
  <c r="J2800" i="3" s="1"/>
  <c r="M2800" i="3" s="1"/>
  <c r="J2801" i="3" a="1"/>
  <c r="J2801" i="3" s="1"/>
  <c r="M2801" i="3" s="1"/>
  <c r="J2802" i="3" a="1"/>
  <c r="J2802" i="3"/>
  <c r="M2802" i="3" s="1"/>
  <c r="J2803" i="3" a="1"/>
  <c r="J2803" i="3" s="1"/>
  <c r="M2803" i="3" s="1"/>
  <c r="J2804" i="3" a="1"/>
  <c r="J2804" i="3" s="1"/>
  <c r="M2804" i="3" s="1"/>
  <c r="J2805" i="3" a="1"/>
  <c r="J2805" i="3" s="1"/>
  <c r="M2805" i="3" s="1"/>
  <c r="J2806" i="3" a="1"/>
  <c r="J2806" i="3"/>
  <c r="M2806" i="3" s="1"/>
  <c r="J2807" i="3" a="1"/>
  <c r="J2807" i="3" s="1"/>
  <c r="J2808" i="3" a="1"/>
  <c r="J2808" i="3" s="1"/>
  <c r="M2808" i="3" s="1"/>
  <c r="J2809" i="3" a="1"/>
  <c r="J2809" i="3" s="1"/>
  <c r="M2809" i="3" s="1"/>
  <c r="J2810" i="3" a="1"/>
  <c r="J2810" i="3"/>
  <c r="M2810" i="3" s="1"/>
  <c r="J2811" i="3" a="1"/>
  <c r="J2811" i="3" s="1"/>
  <c r="J2812" i="3" a="1"/>
  <c r="J2812" i="3" s="1"/>
  <c r="M2812" i="3" s="1"/>
  <c r="J2813" i="3" a="1"/>
  <c r="J2813" i="3" s="1"/>
  <c r="M2813" i="3" s="1"/>
  <c r="J2814" i="3" a="1"/>
  <c r="J2814" i="3"/>
  <c r="M2814" i="3" s="1"/>
  <c r="J2815" i="3" a="1"/>
  <c r="J2815" i="3" s="1"/>
  <c r="J2816" i="3" a="1"/>
  <c r="J2816" i="3" s="1"/>
  <c r="M2816" i="3" s="1"/>
  <c r="J2817" i="3" a="1"/>
  <c r="J2817" i="3" s="1"/>
  <c r="M2817" i="3" s="1"/>
  <c r="J2818" i="3" a="1"/>
  <c r="J2818" i="3"/>
  <c r="M2818" i="3" s="1"/>
  <c r="J2819" i="3" a="1"/>
  <c r="J2819" i="3" s="1"/>
  <c r="M2819" i="3" s="1"/>
  <c r="J2820" i="3" a="1"/>
  <c r="J2820" i="3" s="1"/>
  <c r="M2820" i="3" s="1"/>
  <c r="J2821" i="3" a="1"/>
  <c r="J2821" i="3" s="1"/>
  <c r="M2821" i="3" s="1"/>
  <c r="J2822" i="3" a="1"/>
  <c r="J2822" i="3"/>
  <c r="M2822" i="3" s="1"/>
  <c r="J2823" i="3" a="1"/>
  <c r="J2823" i="3" s="1"/>
  <c r="J2824" i="3" a="1"/>
  <c r="J2824" i="3" s="1"/>
  <c r="M2824" i="3" s="1"/>
  <c r="J2825" i="3" a="1"/>
  <c r="J2825" i="3" s="1"/>
  <c r="M2825" i="3" s="1"/>
  <c r="J2826" i="3" a="1"/>
  <c r="J2826" i="3"/>
  <c r="M2826" i="3" s="1"/>
  <c r="J2827" i="3" a="1"/>
  <c r="J2827" i="3" s="1"/>
  <c r="J2828" i="3" a="1"/>
  <c r="J2828" i="3" s="1"/>
  <c r="M2828" i="3" s="1"/>
  <c r="J2829" i="3" a="1"/>
  <c r="J2829" i="3" s="1"/>
  <c r="M2829" i="3" s="1"/>
  <c r="J2830" i="3" a="1"/>
  <c r="J2830" i="3"/>
  <c r="M2830" i="3" s="1"/>
  <c r="J2831" i="3" a="1"/>
  <c r="J2831" i="3" s="1"/>
  <c r="J2832" i="3" a="1"/>
  <c r="J2832" i="3" s="1"/>
  <c r="M2832" i="3" s="1"/>
  <c r="J2833" i="3" a="1"/>
  <c r="J2833" i="3" s="1"/>
  <c r="M2833" i="3" s="1"/>
  <c r="J2834" i="3" a="1"/>
  <c r="J2834" i="3"/>
  <c r="M2834" i="3" s="1"/>
  <c r="J2835" i="3" a="1"/>
  <c r="J2835" i="3" s="1"/>
  <c r="M2835" i="3" s="1"/>
  <c r="J2836" i="3" a="1"/>
  <c r="J2836" i="3" s="1"/>
  <c r="M2836" i="3" s="1"/>
  <c r="J2837" i="3" a="1"/>
  <c r="J2837" i="3" s="1"/>
  <c r="M2837" i="3" s="1"/>
  <c r="J2838" i="3" a="1"/>
  <c r="J2838" i="3"/>
  <c r="M2838" i="3" s="1"/>
  <c r="J2839" i="3" a="1"/>
  <c r="J2839" i="3" s="1"/>
  <c r="J2840" i="3" a="1"/>
  <c r="J2840" i="3" s="1"/>
  <c r="M2840" i="3" s="1"/>
  <c r="J2841" i="3" a="1"/>
  <c r="J2841" i="3" s="1"/>
  <c r="M2841" i="3" s="1"/>
  <c r="J2842" i="3" a="1"/>
  <c r="J2842" i="3"/>
  <c r="M2842" i="3" s="1"/>
  <c r="J2843" i="3" a="1"/>
  <c r="J2843" i="3" s="1"/>
  <c r="J2844" i="3" a="1"/>
  <c r="J2844" i="3" s="1"/>
  <c r="M2844" i="3" s="1"/>
  <c r="J2845" i="3" a="1"/>
  <c r="J2845" i="3" s="1"/>
  <c r="M2845" i="3" s="1"/>
  <c r="J2846" i="3" a="1"/>
  <c r="J2846" i="3"/>
  <c r="M2846" i="3" s="1"/>
  <c r="J2847" i="3" a="1"/>
  <c r="J2847" i="3" s="1"/>
  <c r="J2848" i="3" a="1"/>
  <c r="J2848" i="3" s="1"/>
  <c r="M2848" i="3" s="1"/>
  <c r="J2849" i="3" a="1"/>
  <c r="J2849" i="3" s="1"/>
  <c r="M2849" i="3" s="1"/>
  <c r="J2850" i="3" a="1"/>
  <c r="J2850" i="3"/>
  <c r="M2850" i="3" s="1"/>
  <c r="J2851" i="3" a="1"/>
  <c r="J2851" i="3" s="1"/>
  <c r="M2851" i="3" s="1"/>
  <c r="J2852" i="3" a="1"/>
  <c r="J2852" i="3" s="1"/>
  <c r="M2852" i="3" s="1"/>
  <c r="J2853" i="3" a="1"/>
  <c r="J2853" i="3" s="1"/>
  <c r="M2853" i="3" s="1"/>
  <c r="J2854" i="3" a="1"/>
  <c r="J2854" i="3" s="1"/>
  <c r="M2854" i="3" s="1"/>
  <c r="J2855" i="3" a="1"/>
  <c r="J2855" i="3" s="1"/>
  <c r="M2855" i="3" s="1"/>
  <c r="J2856" i="3" a="1"/>
  <c r="J2856" i="3"/>
  <c r="M2856" i="3" s="1"/>
  <c r="J2857" i="3" a="1"/>
  <c r="J2857" i="3" s="1"/>
  <c r="M2857" i="3" s="1"/>
  <c r="J2858" i="3" a="1"/>
  <c r="J2858" i="3"/>
  <c r="M2858" i="3" s="1"/>
  <c r="J2859" i="3" a="1"/>
  <c r="J2859" i="3" s="1"/>
  <c r="J2860" i="3" a="1"/>
  <c r="J2860" i="3" s="1"/>
  <c r="J2861" i="3" a="1"/>
  <c r="J2861" i="3" s="1"/>
  <c r="M2861" i="3" s="1"/>
  <c r="J2862" i="3" a="1"/>
  <c r="J2862" i="3" s="1"/>
  <c r="M2862" i="3" s="1"/>
  <c r="J2863" i="3" a="1"/>
  <c r="J2863" i="3" s="1"/>
  <c r="J2864" i="3" a="1"/>
  <c r="J2864" i="3"/>
  <c r="M2864" i="3" s="1"/>
  <c r="J2865" i="3" a="1"/>
  <c r="J2865" i="3" s="1"/>
  <c r="M2865" i="3" s="1"/>
  <c r="J2866" i="3" a="1"/>
  <c r="J2866" i="3"/>
  <c r="M2866" i="3" s="1"/>
  <c r="J2867" i="3" a="1"/>
  <c r="J2867" i="3" s="1"/>
  <c r="M2867" i="3" s="1"/>
  <c r="J2868" i="3" a="1"/>
  <c r="J2868" i="3"/>
  <c r="M2868" i="3" s="1"/>
  <c r="J2869" i="3" a="1"/>
  <c r="J2869" i="3" s="1"/>
  <c r="M2869" i="3" s="1"/>
  <c r="J2870" i="3" a="1"/>
  <c r="J2870" i="3" s="1"/>
  <c r="M2870" i="3" s="1"/>
  <c r="J2871" i="3" a="1"/>
  <c r="J2871" i="3" s="1"/>
  <c r="J2872" i="3" a="1"/>
  <c r="J2872" i="3"/>
  <c r="J2873" i="3" a="1"/>
  <c r="J2873" i="3" s="1"/>
  <c r="M2873" i="3" s="1"/>
  <c r="J2874" i="3" a="1"/>
  <c r="J2874" i="3"/>
  <c r="M2874" i="3" s="1"/>
  <c r="J2875" i="3" a="1"/>
  <c r="J2875" i="3" s="1"/>
  <c r="J2876" i="3" a="1"/>
  <c r="J2876" i="3"/>
  <c r="M2876" i="3" s="1"/>
  <c r="J2877" i="3" a="1"/>
  <c r="J2877" i="3" s="1"/>
  <c r="M2877" i="3" s="1"/>
  <c r="J2878" i="3" a="1"/>
  <c r="J2878" i="3" s="1"/>
  <c r="M2878" i="3" s="1"/>
  <c r="J2879" i="3" a="1"/>
  <c r="J2879" i="3" s="1"/>
  <c r="M2879" i="3" s="1"/>
  <c r="J2880" i="3" a="1"/>
  <c r="J2880" i="3"/>
  <c r="M2880" i="3" s="1"/>
  <c r="J2881" i="3" a="1"/>
  <c r="J2881" i="3" s="1"/>
  <c r="M2881" i="3" s="1"/>
  <c r="J2882" i="3" a="1"/>
  <c r="J2882" i="3"/>
  <c r="M2882" i="3" s="1"/>
  <c r="J2883" i="3" a="1"/>
  <c r="J2883" i="3" s="1"/>
  <c r="J2884" i="3" a="1"/>
  <c r="J2884" i="3"/>
  <c r="M2884" i="3" s="1"/>
  <c r="J2885" i="3" a="1"/>
  <c r="J2885" i="3" s="1"/>
  <c r="M2885" i="3" s="1"/>
  <c r="J2886" i="3" a="1"/>
  <c r="J2886" i="3" s="1"/>
  <c r="J2887" i="3" a="1"/>
  <c r="J2887" i="3" s="1"/>
  <c r="M2887" i="3" s="1"/>
  <c r="J2888" i="3" a="1"/>
  <c r="J2888" i="3"/>
  <c r="M2888" i="3" s="1"/>
  <c r="J2889" i="3" a="1"/>
  <c r="J2889" i="3" s="1"/>
  <c r="M2889" i="3" s="1"/>
  <c r="J2890" i="3" a="1"/>
  <c r="J2890" i="3"/>
  <c r="M2890" i="3" s="1"/>
  <c r="J2891" i="3" a="1"/>
  <c r="J2891" i="3" s="1"/>
  <c r="M2891" i="3" s="1"/>
  <c r="J2892" i="3" a="1"/>
  <c r="J2892" i="3"/>
  <c r="J2893" i="3" a="1"/>
  <c r="J2893" i="3" s="1"/>
  <c r="M2893" i="3" s="1"/>
  <c r="J2894" i="3" a="1"/>
  <c r="J2894" i="3" s="1"/>
  <c r="M2894" i="3" s="1"/>
  <c r="J2895" i="3" a="1"/>
  <c r="J2895" i="3" s="1"/>
  <c r="M2895" i="3" s="1"/>
  <c r="J2896" i="3" a="1"/>
  <c r="J2896" i="3"/>
  <c r="M2896" i="3" s="1"/>
  <c r="J2897" i="3" a="1"/>
  <c r="J2897" i="3" s="1"/>
  <c r="M2897" i="3" s="1"/>
  <c r="J2898" i="3" a="1"/>
  <c r="J2898" i="3"/>
  <c r="J2899" i="3" a="1"/>
  <c r="J2899" i="3" s="1"/>
  <c r="M2899" i="3" s="1"/>
  <c r="J2900" i="3" a="1"/>
  <c r="J2900" i="3"/>
  <c r="M2900" i="3" s="1"/>
  <c r="J2901" i="3" a="1"/>
  <c r="J2901" i="3" s="1"/>
  <c r="M2901" i="3" s="1"/>
  <c r="J2902" i="3" a="1"/>
  <c r="J2902" i="3" s="1"/>
  <c r="M2902" i="3" s="1"/>
  <c r="J2903" i="3" a="1"/>
  <c r="J2903" i="3" s="1"/>
  <c r="M2903" i="3" s="1"/>
  <c r="J2904" i="3" a="1"/>
  <c r="J2904" i="3"/>
  <c r="J2905" i="3" a="1"/>
  <c r="J2905" i="3" s="1"/>
  <c r="M2905" i="3" s="1"/>
  <c r="J2906" i="3" a="1"/>
  <c r="J2906" i="3"/>
  <c r="M2906" i="3" s="1"/>
  <c r="J2907" i="3" a="1"/>
  <c r="J2907" i="3" s="1"/>
  <c r="M2907" i="3" s="1"/>
  <c r="J2908" i="3" a="1"/>
  <c r="J2908" i="3"/>
  <c r="M2908" i="3" s="1"/>
  <c r="J2909" i="3" a="1"/>
  <c r="J2909" i="3" s="1"/>
  <c r="J2910" i="3" a="1"/>
  <c r="J2910" i="3" s="1"/>
  <c r="J2911" i="3" a="1"/>
  <c r="J2911" i="3" s="1"/>
  <c r="M2911" i="3" s="1"/>
  <c r="J2912" i="3" a="1"/>
  <c r="J2912" i="3"/>
  <c r="J2913" i="3" a="1"/>
  <c r="J2913" i="3" s="1"/>
  <c r="M2913" i="3" s="1"/>
  <c r="J2914" i="3" a="1"/>
  <c r="J2914" i="3"/>
  <c r="J2915" i="3" a="1"/>
  <c r="J2915" i="3" s="1"/>
  <c r="J2916" i="3" a="1"/>
  <c r="J2916" i="3"/>
  <c r="M2916" i="3" s="1"/>
  <c r="J2917" i="3" a="1"/>
  <c r="J2917" i="3" s="1"/>
  <c r="M2917" i="3" s="1"/>
  <c r="J2918" i="3" a="1"/>
  <c r="J2918" i="3" s="1"/>
  <c r="J2919" i="3" a="1"/>
  <c r="J2919" i="3" s="1"/>
  <c r="M2919" i="3" s="1"/>
  <c r="J2920" i="3" a="1"/>
  <c r="J2920" i="3"/>
  <c r="M2920" i="3" s="1"/>
  <c r="J2921" i="3" a="1"/>
  <c r="J2921" i="3" s="1"/>
  <c r="J2922" i="3" a="1"/>
  <c r="J2922" i="3"/>
  <c r="M2922" i="3" s="1"/>
  <c r="J2923" i="3" a="1"/>
  <c r="J2923" i="3" s="1"/>
  <c r="M2923" i="3" s="1"/>
  <c r="J2924" i="3" a="1"/>
  <c r="J2924" i="3"/>
  <c r="J2925" i="3" a="1"/>
  <c r="J2925" i="3" s="1"/>
  <c r="M2925" i="3" s="1"/>
  <c r="J2926" i="3" a="1"/>
  <c r="J2926" i="3" s="1"/>
  <c r="M2926" i="3" s="1"/>
  <c r="J2927" i="3" a="1"/>
  <c r="J2927" i="3" s="1"/>
  <c r="J2928" i="3" a="1"/>
  <c r="J2928" i="3"/>
  <c r="M2928" i="3" s="1"/>
  <c r="J2929" i="3" a="1"/>
  <c r="J2929" i="3" s="1"/>
  <c r="M2929" i="3" s="1"/>
  <c r="J2930" i="3" a="1"/>
  <c r="J2930" i="3"/>
  <c r="J2931" i="3" a="1"/>
  <c r="J2931" i="3" s="1"/>
  <c r="M2931" i="3" s="1"/>
  <c r="J2932" i="3" a="1"/>
  <c r="J2932" i="3"/>
  <c r="M2932" i="3" s="1"/>
  <c r="J2933" i="3" a="1"/>
  <c r="J2933" i="3" s="1"/>
  <c r="M2933" i="3" s="1"/>
  <c r="J2934" i="3" a="1"/>
  <c r="J2934" i="3" s="1"/>
  <c r="M2934" i="3" s="1"/>
  <c r="J2935" i="3" a="1"/>
  <c r="J2935" i="3" s="1"/>
  <c r="M2935" i="3" s="1"/>
  <c r="J2936" i="3" a="1"/>
  <c r="J2936" i="3"/>
  <c r="J2937" i="3" a="1"/>
  <c r="J2937" i="3" s="1"/>
  <c r="M2937" i="3" s="1"/>
  <c r="J2938" i="3" a="1"/>
  <c r="J2938" i="3"/>
  <c r="M2938" i="3" s="1"/>
  <c r="J2939" i="3" a="1"/>
  <c r="J2939" i="3" s="1"/>
  <c r="M2939" i="3" s="1"/>
  <c r="J2940" i="3" a="1"/>
  <c r="J2940" i="3"/>
  <c r="J2941" i="3" a="1"/>
  <c r="J2941" i="3" s="1"/>
  <c r="J2942" i="3" a="1"/>
  <c r="J2942" i="3" s="1"/>
  <c r="J2943" i="3" a="1"/>
  <c r="J2943" i="3" s="1"/>
  <c r="M2943" i="3" s="1"/>
  <c r="J2944" i="3" a="1"/>
  <c r="J2944" i="3"/>
  <c r="J2945" i="3" a="1"/>
  <c r="J2945" i="3" s="1"/>
  <c r="M2945" i="3" s="1"/>
  <c r="J2946" i="3" a="1"/>
  <c r="J2946" i="3"/>
  <c r="J2947" i="3" a="1"/>
  <c r="J2947" i="3" s="1"/>
  <c r="J2948" i="3" a="1"/>
  <c r="J2948" i="3"/>
  <c r="M2948" i="3" s="1"/>
  <c r="J2949" i="3" a="1"/>
  <c r="J2949" i="3" s="1"/>
  <c r="M2949" i="3" s="1"/>
  <c r="J2950" i="3" a="1"/>
  <c r="J2950" i="3" s="1"/>
  <c r="J2951" i="3" a="1"/>
  <c r="J2951" i="3" s="1"/>
  <c r="M2951" i="3" s="1"/>
  <c r="J2952" i="3" a="1"/>
  <c r="J2952" i="3"/>
  <c r="M2952" i="3" s="1"/>
  <c r="J2953" i="3" a="1"/>
  <c r="J2953" i="3" s="1"/>
  <c r="J2954" i="3" a="1"/>
  <c r="J2954" i="3"/>
  <c r="M2954" i="3" s="1"/>
  <c r="J2955" i="3" a="1"/>
  <c r="J2955" i="3" s="1"/>
  <c r="M2955" i="3" s="1"/>
  <c r="J2956" i="3" a="1"/>
  <c r="J2956" i="3"/>
  <c r="J2957" i="3" a="1"/>
  <c r="J2957" i="3" s="1"/>
  <c r="M2957" i="3" s="1"/>
  <c r="J2958" i="3" a="1"/>
  <c r="J2958" i="3" s="1"/>
  <c r="M2958" i="3" s="1"/>
  <c r="J2959" i="3" a="1"/>
  <c r="J2959" i="3" s="1"/>
  <c r="J2960" i="3" a="1"/>
  <c r="J2960" i="3"/>
  <c r="M2960" i="3" s="1"/>
  <c r="J2961" i="3" a="1"/>
  <c r="J2961" i="3" s="1"/>
  <c r="M2961" i="3" s="1"/>
  <c r="J2962" i="3" a="1"/>
  <c r="J2962" i="3"/>
  <c r="J2963" i="3" a="1"/>
  <c r="J2963" i="3" s="1"/>
  <c r="M2963" i="3" s="1"/>
  <c r="J2964" i="3" a="1"/>
  <c r="J2964" i="3"/>
  <c r="M2964" i="3" s="1"/>
  <c r="J2965" i="3" a="1"/>
  <c r="J2965" i="3" s="1"/>
  <c r="J2966" i="3" a="1"/>
  <c r="J2966" i="3" s="1"/>
  <c r="M2966" i="3" s="1"/>
  <c r="J2967" i="3" a="1"/>
  <c r="J2967" i="3" s="1"/>
  <c r="J2968" i="3" a="1"/>
  <c r="J2968" i="3"/>
  <c r="J2969" i="3" a="1"/>
  <c r="J2969" i="3" s="1"/>
  <c r="M2969" i="3" s="1"/>
  <c r="J2970" i="3" a="1"/>
  <c r="J2970" i="3" s="1"/>
  <c r="J2971" i="3" a="1"/>
  <c r="J2971" i="3" s="1"/>
  <c r="M2971" i="3" s="1"/>
  <c r="J2972" i="3" a="1"/>
  <c r="J2972" i="3"/>
  <c r="M2972" i="3" s="1"/>
  <c r="J2973" i="3" a="1"/>
  <c r="J2973" i="3" s="1"/>
  <c r="J2974" i="3" a="1"/>
  <c r="J2974" i="3" s="1"/>
  <c r="J2975" i="3" a="1"/>
  <c r="J2975" i="3" s="1"/>
  <c r="M2975" i="3" s="1"/>
  <c r="J2976" i="3" a="1"/>
  <c r="J2976" i="3"/>
  <c r="J2977" i="3" a="1"/>
  <c r="J2977" i="3" s="1"/>
  <c r="J2978" i="3" a="1"/>
  <c r="J2978" i="3" s="1"/>
  <c r="J2979" i="3" a="1"/>
  <c r="J2979" i="3" s="1"/>
  <c r="M2979" i="3" s="1"/>
  <c r="J2980" i="3" a="1"/>
  <c r="J2980" i="3"/>
  <c r="J2981" i="3" a="1"/>
  <c r="J2981" i="3" s="1"/>
  <c r="J2982" i="3" a="1"/>
  <c r="J2982" i="3" s="1"/>
  <c r="M2982" i="3" s="1"/>
  <c r="J2983" i="3" a="1"/>
  <c r="J2983" i="3" s="1"/>
  <c r="M2983" i="3" s="1"/>
  <c r="J2984" i="3" a="1"/>
  <c r="J2984" i="3"/>
  <c r="J2985" i="3" a="1"/>
  <c r="J2985" i="3" s="1"/>
  <c r="M2985" i="3" s="1"/>
  <c r="J2986" i="3" a="1"/>
  <c r="J2986" i="3" s="1"/>
  <c r="J2987" i="3" a="1"/>
  <c r="J2987" i="3" s="1"/>
  <c r="J2988" i="3" a="1"/>
  <c r="J2988" i="3"/>
  <c r="M2988" i="3" s="1"/>
  <c r="J2989" i="3" a="1"/>
  <c r="J2989" i="3" s="1"/>
  <c r="M2989" i="3" s="1"/>
  <c r="J2990" i="3" a="1"/>
  <c r="J2990" i="3" s="1"/>
  <c r="J2991" i="3" a="1"/>
  <c r="J2991" i="3" s="1"/>
  <c r="J2992" i="3" a="1"/>
  <c r="J2992" i="3"/>
  <c r="J2993" i="3" a="1"/>
  <c r="J2993" i="3" s="1"/>
  <c r="J2994" i="3" a="1"/>
  <c r="J2994" i="3" s="1"/>
  <c r="J2995" i="3" a="1"/>
  <c r="J2995" i="3" s="1"/>
  <c r="M2995" i="3" s="1"/>
  <c r="J2996" i="3" a="1"/>
  <c r="J2996" i="3"/>
  <c r="J2997" i="3" a="1"/>
  <c r="J2997" i="3" s="1"/>
  <c r="J2998" i="3" a="1"/>
  <c r="J2998" i="3" s="1"/>
  <c r="M2998" i="3" s="1"/>
  <c r="J2999" i="3" a="1"/>
  <c r="J2999" i="3" s="1"/>
  <c r="M2999" i="3" s="1"/>
  <c r="J3000" i="3" a="1"/>
  <c r="J3000" i="3"/>
  <c r="J3001" i="3" a="1"/>
  <c r="J3001" i="3" s="1"/>
  <c r="M3001" i="3" s="1"/>
  <c r="J2" i="3" a="1"/>
  <c r="J2" i="3" s="1"/>
  <c r="I3" i="3" a="1"/>
  <c r="I3" i="3" s="1"/>
  <c r="I4" i="3" a="1"/>
  <c r="I4" i="3"/>
  <c r="I5" i="3" a="1"/>
  <c r="I5" i="3" s="1"/>
  <c r="I6" i="3" a="1"/>
  <c r="I6" i="3" s="1"/>
  <c r="I7" i="3" a="1"/>
  <c r="I7" i="3" s="1"/>
  <c r="I8" i="3" a="1"/>
  <c r="I8" i="3" s="1"/>
  <c r="I9" i="3" a="1"/>
  <c r="I9" i="3" s="1"/>
  <c r="I10" i="3" a="1"/>
  <c r="I10" i="3"/>
  <c r="I11" i="3" a="1"/>
  <c r="I11" i="3" s="1"/>
  <c r="I12" i="3" a="1"/>
  <c r="I12" i="3" s="1"/>
  <c r="I13" i="3" a="1"/>
  <c r="I13" i="3" s="1"/>
  <c r="I14" i="3" a="1"/>
  <c r="I14" i="3" s="1"/>
  <c r="I15" i="3" a="1"/>
  <c r="I15" i="3" s="1"/>
  <c r="I16" i="3" a="1"/>
  <c r="I16" i="3" s="1"/>
  <c r="I17" i="3" a="1"/>
  <c r="I17" i="3" s="1"/>
  <c r="I18" i="3" a="1"/>
  <c r="I18" i="3"/>
  <c r="I19" i="3" a="1"/>
  <c r="I19" i="3" s="1"/>
  <c r="I20" i="3" a="1"/>
  <c r="I20" i="3"/>
  <c r="I21" i="3" a="1"/>
  <c r="I21" i="3" s="1"/>
  <c r="I22" i="3" a="1"/>
  <c r="I22" i="3" s="1"/>
  <c r="I23" i="3" a="1"/>
  <c r="I23" i="3" s="1"/>
  <c r="I24" i="3" a="1"/>
  <c r="I24" i="3" s="1"/>
  <c r="I25" i="3" a="1"/>
  <c r="I25" i="3" s="1"/>
  <c r="I26" i="3" a="1"/>
  <c r="I26" i="3"/>
  <c r="I27" i="3" a="1"/>
  <c r="I27" i="3" s="1"/>
  <c r="I28" i="3" a="1"/>
  <c r="I28" i="3"/>
  <c r="I29" i="3" a="1"/>
  <c r="I29" i="3" s="1"/>
  <c r="I30" i="3" a="1"/>
  <c r="I30" i="3" s="1"/>
  <c r="I31" i="3" a="1"/>
  <c r="I31" i="3" s="1"/>
  <c r="I32" i="3" a="1"/>
  <c r="I32" i="3" s="1"/>
  <c r="I33" i="3" a="1"/>
  <c r="I33" i="3" s="1"/>
  <c r="I34" i="3" a="1"/>
  <c r="I34" i="3"/>
  <c r="I35" i="3" a="1"/>
  <c r="I35" i="3" s="1"/>
  <c r="I36" i="3" a="1"/>
  <c r="I36" i="3"/>
  <c r="I37" i="3" a="1"/>
  <c r="I37" i="3" s="1"/>
  <c r="I38" i="3" a="1"/>
  <c r="I38" i="3" s="1"/>
  <c r="I39" i="3" a="1"/>
  <c r="I39" i="3" s="1"/>
  <c r="I40" i="3" a="1"/>
  <c r="I40" i="3" s="1"/>
  <c r="I41" i="3" a="1"/>
  <c r="I41" i="3" s="1"/>
  <c r="I42" i="3" a="1"/>
  <c r="I42" i="3"/>
  <c r="I43" i="3" a="1"/>
  <c r="I43" i="3" s="1"/>
  <c r="I44" i="3" a="1"/>
  <c r="I44" i="3"/>
  <c r="I45" i="3" a="1"/>
  <c r="I45" i="3" s="1"/>
  <c r="I46" i="3" a="1"/>
  <c r="I46" i="3" s="1"/>
  <c r="I47" i="3" a="1"/>
  <c r="I47" i="3" s="1"/>
  <c r="I48" i="3" a="1"/>
  <c r="I48" i="3" s="1"/>
  <c r="I49" i="3" a="1"/>
  <c r="I49" i="3" s="1"/>
  <c r="I50" i="3" a="1"/>
  <c r="I50" i="3"/>
  <c r="I51" i="3" a="1"/>
  <c r="I51" i="3" s="1"/>
  <c r="I52" i="3" a="1"/>
  <c r="I52" i="3"/>
  <c r="I53" i="3" a="1"/>
  <c r="I53" i="3" s="1"/>
  <c r="I54" i="3" a="1"/>
  <c r="I54" i="3" s="1"/>
  <c r="I55" i="3" a="1"/>
  <c r="I55" i="3" s="1"/>
  <c r="I56" i="3" a="1"/>
  <c r="I56" i="3" s="1"/>
  <c r="I57" i="3" a="1"/>
  <c r="I57" i="3" s="1"/>
  <c r="I58" i="3" a="1"/>
  <c r="I58" i="3"/>
  <c r="I59" i="3" a="1"/>
  <c r="I59" i="3" s="1"/>
  <c r="I60" i="3" a="1"/>
  <c r="I60" i="3"/>
  <c r="I61" i="3" a="1"/>
  <c r="I61" i="3" s="1"/>
  <c r="I62" i="3" a="1"/>
  <c r="I62" i="3" s="1"/>
  <c r="I63" i="3" a="1"/>
  <c r="I63" i="3" s="1"/>
  <c r="I64" i="3" a="1"/>
  <c r="I64" i="3" s="1"/>
  <c r="I65" i="3" a="1"/>
  <c r="I65" i="3" s="1"/>
  <c r="I66" i="3" a="1"/>
  <c r="I66" i="3"/>
  <c r="I67" i="3" a="1"/>
  <c r="I67" i="3" s="1"/>
  <c r="I68" i="3" a="1"/>
  <c r="I68" i="3"/>
  <c r="I69" i="3" a="1"/>
  <c r="I69" i="3" s="1"/>
  <c r="I70" i="3" a="1"/>
  <c r="I70" i="3" s="1"/>
  <c r="I71" i="3" a="1"/>
  <c r="I71" i="3" s="1"/>
  <c r="I72" i="3" a="1"/>
  <c r="I72" i="3"/>
  <c r="I73" i="3" a="1"/>
  <c r="I73" i="3" s="1"/>
  <c r="I74" i="3" a="1"/>
  <c r="I74" i="3"/>
  <c r="I75" i="3" a="1"/>
  <c r="I75" i="3" s="1"/>
  <c r="I76" i="3" a="1"/>
  <c r="I76" i="3"/>
  <c r="I77" i="3" a="1"/>
  <c r="I77" i="3" s="1"/>
  <c r="I78" i="3" a="1"/>
  <c r="I78" i="3" s="1"/>
  <c r="I79" i="3" a="1"/>
  <c r="I79" i="3" s="1"/>
  <c r="I80" i="3" a="1"/>
  <c r="I80" i="3"/>
  <c r="I81" i="3" a="1"/>
  <c r="I81" i="3" s="1"/>
  <c r="I82" i="3" a="1"/>
  <c r="I82" i="3"/>
  <c r="I83" i="3" a="1"/>
  <c r="I83" i="3" s="1"/>
  <c r="I84" i="3" a="1"/>
  <c r="I84" i="3"/>
  <c r="I85" i="3" a="1"/>
  <c r="I85" i="3" s="1"/>
  <c r="I86" i="3" a="1"/>
  <c r="I86" i="3" s="1"/>
  <c r="I87" i="3" a="1"/>
  <c r="I87" i="3" s="1"/>
  <c r="I88" i="3" a="1"/>
  <c r="I88" i="3"/>
  <c r="I89" i="3" a="1"/>
  <c r="I89" i="3" s="1"/>
  <c r="I90" i="3" a="1"/>
  <c r="I90" i="3" s="1"/>
  <c r="I91" i="3" a="1"/>
  <c r="I91" i="3" s="1"/>
  <c r="I92" i="3" a="1"/>
  <c r="I92" i="3"/>
  <c r="I93" i="3" a="1"/>
  <c r="I93" i="3" s="1"/>
  <c r="I94" i="3" a="1"/>
  <c r="I94" i="3" s="1"/>
  <c r="I95" i="3" a="1"/>
  <c r="I95" i="3" s="1"/>
  <c r="I96" i="3" a="1"/>
  <c r="I96" i="3"/>
  <c r="I97" i="3" a="1"/>
  <c r="I97" i="3" s="1"/>
  <c r="I98" i="3" a="1"/>
  <c r="I98" i="3" s="1"/>
  <c r="I99" i="3" a="1"/>
  <c r="I99" i="3" s="1"/>
  <c r="I100" i="3" a="1"/>
  <c r="I100" i="3"/>
  <c r="I101" i="3" a="1"/>
  <c r="I101" i="3" s="1"/>
  <c r="I102" i="3" a="1"/>
  <c r="I102" i="3" s="1"/>
  <c r="I103" i="3" a="1"/>
  <c r="I103" i="3" s="1"/>
  <c r="I104" i="3" a="1"/>
  <c r="I104" i="3"/>
  <c r="I105" i="3" a="1"/>
  <c r="I105" i="3" s="1"/>
  <c r="I106" i="3" a="1"/>
  <c r="I106" i="3" s="1"/>
  <c r="I107" i="3" a="1"/>
  <c r="I107" i="3" s="1"/>
  <c r="I108" i="3" a="1"/>
  <c r="I108" i="3"/>
  <c r="I109" i="3" a="1"/>
  <c r="I109" i="3" s="1"/>
  <c r="I110" i="3" a="1"/>
  <c r="I110" i="3" s="1"/>
  <c r="I111" i="3" a="1"/>
  <c r="I111" i="3" s="1"/>
  <c r="I112" i="3" a="1"/>
  <c r="I112" i="3"/>
  <c r="I113" i="3" a="1"/>
  <c r="I113" i="3" s="1"/>
  <c r="I114" i="3" a="1"/>
  <c r="I114" i="3" s="1"/>
  <c r="I115" i="3" a="1"/>
  <c r="I115" i="3" s="1"/>
  <c r="I116" i="3" a="1"/>
  <c r="I116" i="3"/>
  <c r="I117" i="3" a="1"/>
  <c r="I117" i="3" s="1"/>
  <c r="I118" i="3" a="1"/>
  <c r="I118" i="3" s="1"/>
  <c r="I119" i="3" a="1"/>
  <c r="I119" i="3" s="1"/>
  <c r="I120" i="3" a="1"/>
  <c r="I120" i="3"/>
  <c r="I121" i="3" a="1"/>
  <c r="I121" i="3" s="1"/>
  <c r="I122" i="3" a="1"/>
  <c r="I122" i="3" s="1"/>
  <c r="I123" i="3" a="1"/>
  <c r="I123" i="3" s="1"/>
  <c r="I124" i="3" a="1"/>
  <c r="I124" i="3"/>
  <c r="I125" i="3" a="1"/>
  <c r="I125" i="3" s="1"/>
  <c r="I126" i="3" a="1"/>
  <c r="I126" i="3" s="1"/>
  <c r="I127" i="3" a="1"/>
  <c r="I127" i="3" s="1"/>
  <c r="I128" i="3" a="1"/>
  <c r="I128" i="3"/>
  <c r="I129" i="3" a="1"/>
  <c r="I129" i="3" s="1"/>
  <c r="I130" i="3" a="1"/>
  <c r="I130" i="3" s="1"/>
  <c r="I131" i="3" a="1"/>
  <c r="I131" i="3" s="1"/>
  <c r="I132" i="3" a="1"/>
  <c r="I132" i="3"/>
  <c r="I133" i="3" a="1"/>
  <c r="I133" i="3" s="1"/>
  <c r="I134" i="3" a="1"/>
  <c r="I134" i="3" s="1"/>
  <c r="I135" i="3" a="1"/>
  <c r="I135" i="3" s="1"/>
  <c r="I136" i="3" a="1"/>
  <c r="I136" i="3"/>
  <c r="I137" i="3" a="1"/>
  <c r="I137" i="3" s="1"/>
  <c r="I138" i="3" a="1"/>
  <c r="I138" i="3" s="1"/>
  <c r="I139" i="3" a="1"/>
  <c r="I139" i="3" s="1"/>
  <c r="I140" i="3" a="1"/>
  <c r="I140" i="3"/>
  <c r="I141" i="3" a="1"/>
  <c r="I141" i="3" s="1"/>
  <c r="I142" i="3" a="1"/>
  <c r="I142" i="3" s="1"/>
  <c r="I143" i="3" a="1"/>
  <c r="I143" i="3" s="1"/>
  <c r="I144" i="3" a="1"/>
  <c r="I144" i="3"/>
  <c r="I145" i="3" a="1"/>
  <c r="I145" i="3" s="1"/>
  <c r="I146" i="3" a="1"/>
  <c r="I146" i="3" s="1"/>
  <c r="I147" i="3" a="1"/>
  <c r="I147" i="3" s="1"/>
  <c r="I148" i="3" a="1"/>
  <c r="I148" i="3"/>
  <c r="I149" i="3" a="1"/>
  <c r="I149" i="3" s="1"/>
  <c r="I150" i="3" a="1"/>
  <c r="I150" i="3" s="1"/>
  <c r="I151" i="3" a="1"/>
  <c r="I151" i="3" s="1"/>
  <c r="I152" i="3" a="1"/>
  <c r="I152" i="3"/>
  <c r="I153" i="3" a="1"/>
  <c r="I153" i="3" s="1"/>
  <c r="I154" i="3" a="1"/>
  <c r="I154" i="3" s="1"/>
  <c r="I155" i="3" a="1"/>
  <c r="I155" i="3" s="1"/>
  <c r="I156" i="3" a="1"/>
  <c r="I156" i="3"/>
  <c r="I157" i="3" a="1"/>
  <c r="I157" i="3" s="1"/>
  <c r="I158" i="3" a="1"/>
  <c r="I158" i="3" s="1"/>
  <c r="I159" i="3" a="1"/>
  <c r="I159" i="3" s="1"/>
  <c r="I160" i="3" a="1"/>
  <c r="I160" i="3"/>
  <c r="I161" i="3" a="1"/>
  <c r="I161" i="3" s="1"/>
  <c r="I162" i="3" a="1"/>
  <c r="I162" i="3" s="1"/>
  <c r="I163" i="3" a="1"/>
  <c r="I163" i="3" s="1"/>
  <c r="I164" i="3" a="1"/>
  <c r="I164" i="3"/>
  <c r="I165" i="3" a="1"/>
  <c r="I165" i="3" s="1"/>
  <c r="I166" i="3" a="1"/>
  <c r="I166" i="3" s="1"/>
  <c r="I167" i="3" a="1"/>
  <c r="I167" i="3" s="1"/>
  <c r="I168" i="3" a="1"/>
  <c r="I168" i="3"/>
  <c r="I169" i="3" a="1"/>
  <c r="I169" i="3" s="1"/>
  <c r="I170" i="3" a="1"/>
  <c r="I170" i="3" s="1"/>
  <c r="I171" i="3" a="1"/>
  <c r="I171" i="3" s="1"/>
  <c r="I172" i="3" a="1"/>
  <c r="I172" i="3"/>
  <c r="I173" i="3" a="1"/>
  <c r="I173" i="3"/>
  <c r="I174" i="3" a="1"/>
  <c r="I174" i="3"/>
  <c r="I175" i="3" a="1"/>
  <c r="I175" i="3"/>
  <c r="I176" i="3" a="1"/>
  <c r="I176" i="3"/>
  <c r="I177" i="3" a="1"/>
  <c r="I177" i="3"/>
  <c r="I178" i="3" a="1"/>
  <c r="I178" i="3"/>
  <c r="I179" i="3" a="1"/>
  <c r="I179" i="3"/>
  <c r="I180" i="3" a="1"/>
  <c r="I180" i="3"/>
  <c r="I181" i="3" a="1"/>
  <c r="I181" i="3"/>
  <c r="I182" i="3" a="1"/>
  <c r="I182" i="3"/>
  <c r="I183" i="3" a="1"/>
  <c r="I183" i="3"/>
  <c r="I184" i="3" a="1"/>
  <c r="I184" i="3"/>
  <c r="I185" i="3" a="1"/>
  <c r="I185" i="3"/>
  <c r="I186" i="3" a="1"/>
  <c r="I186" i="3" s="1"/>
  <c r="I187" i="3" a="1"/>
  <c r="I187" i="3" s="1"/>
  <c r="I188" i="3" a="1"/>
  <c r="I188" i="3" s="1"/>
  <c r="I189" i="3" a="1"/>
  <c r="I189" i="3"/>
  <c r="I190" i="3" a="1"/>
  <c r="I190" i="3" s="1"/>
  <c r="I191" i="3" a="1"/>
  <c r="I191" i="3" s="1"/>
  <c r="I192" i="3" a="1"/>
  <c r="I192" i="3" s="1"/>
  <c r="I193" i="3" a="1"/>
  <c r="I193" i="3"/>
  <c r="I194" i="3" a="1"/>
  <c r="I194" i="3" s="1"/>
  <c r="I195" i="3" a="1"/>
  <c r="I195" i="3" s="1"/>
  <c r="I196" i="3" a="1"/>
  <c r="I196" i="3" s="1"/>
  <c r="I197" i="3" a="1"/>
  <c r="I197" i="3"/>
  <c r="I198" i="3" a="1"/>
  <c r="I198" i="3" s="1"/>
  <c r="I199" i="3" a="1"/>
  <c r="I199" i="3" s="1"/>
  <c r="I200" i="3" a="1"/>
  <c r="I200" i="3" s="1"/>
  <c r="I201" i="3" a="1"/>
  <c r="I201" i="3"/>
  <c r="I202" i="3" a="1"/>
  <c r="I202" i="3" s="1"/>
  <c r="I203" i="3" a="1"/>
  <c r="I203" i="3" s="1"/>
  <c r="I204" i="3" a="1"/>
  <c r="I204" i="3" s="1"/>
  <c r="I205" i="3" a="1"/>
  <c r="I205" i="3"/>
  <c r="I206" i="3" a="1"/>
  <c r="I206" i="3" s="1"/>
  <c r="I207" i="3" a="1"/>
  <c r="I207" i="3" s="1"/>
  <c r="I208" i="3" a="1"/>
  <c r="I208" i="3" s="1"/>
  <c r="I209" i="3" a="1"/>
  <c r="I209" i="3"/>
  <c r="I210" i="3" a="1"/>
  <c r="I210" i="3" s="1"/>
  <c r="I211" i="3" a="1"/>
  <c r="I211" i="3" s="1"/>
  <c r="I212" i="3" a="1"/>
  <c r="I212" i="3" s="1"/>
  <c r="I213" i="3" a="1"/>
  <c r="I213" i="3"/>
  <c r="I214" i="3" a="1"/>
  <c r="I214" i="3" s="1"/>
  <c r="I215" i="3" a="1"/>
  <c r="I215" i="3" s="1"/>
  <c r="I216" i="3" a="1"/>
  <c r="I216" i="3" s="1"/>
  <c r="I217" i="3" a="1"/>
  <c r="I217" i="3"/>
  <c r="I218" i="3" a="1"/>
  <c r="I218" i="3" s="1"/>
  <c r="I219" i="3" a="1"/>
  <c r="I219" i="3" s="1"/>
  <c r="I220" i="3" a="1"/>
  <c r="I220" i="3" s="1"/>
  <c r="I221" i="3" a="1"/>
  <c r="I221" i="3" s="1"/>
  <c r="I222" i="3" a="1"/>
  <c r="I222" i="3" s="1"/>
  <c r="I223" i="3" a="1"/>
  <c r="I223" i="3" s="1"/>
  <c r="I224" i="3" a="1"/>
  <c r="I224" i="3" s="1"/>
  <c r="I225" i="3" a="1"/>
  <c r="I225" i="3"/>
  <c r="I226" i="3" a="1"/>
  <c r="I226" i="3" s="1"/>
  <c r="I227" i="3" a="1"/>
  <c r="I227" i="3" s="1"/>
  <c r="I228" i="3" a="1"/>
  <c r="I228" i="3" s="1"/>
  <c r="I229" i="3" a="1"/>
  <c r="I229" i="3" s="1"/>
  <c r="I230" i="3" a="1"/>
  <c r="I230" i="3" s="1"/>
  <c r="I231" i="3" a="1"/>
  <c r="I231" i="3" s="1"/>
  <c r="I232" i="3" a="1"/>
  <c r="I232" i="3" s="1"/>
  <c r="I233" i="3" a="1"/>
  <c r="I233" i="3"/>
  <c r="I234" i="3" a="1"/>
  <c r="I234" i="3" s="1"/>
  <c r="I235" i="3" a="1"/>
  <c r="I235" i="3" s="1"/>
  <c r="I236" i="3" a="1"/>
  <c r="I236" i="3" s="1"/>
  <c r="I237" i="3" a="1"/>
  <c r="I237" i="3" s="1"/>
  <c r="I238" i="3" a="1"/>
  <c r="I238" i="3" s="1"/>
  <c r="I239" i="3" a="1"/>
  <c r="I239" i="3" s="1"/>
  <c r="I240" i="3" a="1"/>
  <c r="I240" i="3" s="1"/>
  <c r="I241" i="3" a="1"/>
  <c r="I241" i="3"/>
  <c r="I242" i="3" a="1"/>
  <c r="I242" i="3" s="1"/>
  <c r="I243" i="3" a="1"/>
  <c r="I243" i="3" s="1"/>
  <c r="I244" i="3" a="1"/>
  <c r="I244" i="3" s="1"/>
  <c r="I245" i="3" a="1"/>
  <c r="I245" i="3" s="1"/>
  <c r="I246" i="3" a="1"/>
  <c r="I246" i="3" s="1"/>
  <c r="I247" i="3" a="1"/>
  <c r="I247" i="3" s="1"/>
  <c r="I248" i="3" a="1"/>
  <c r="I248" i="3" s="1"/>
  <c r="I249" i="3" a="1"/>
  <c r="I249" i="3"/>
  <c r="I250" i="3" a="1"/>
  <c r="I250" i="3" s="1"/>
  <c r="I251" i="3" a="1"/>
  <c r="I251" i="3" s="1"/>
  <c r="I252" i="3" a="1"/>
  <c r="I252" i="3" s="1"/>
  <c r="I253" i="3" a="1"/>
  <c r="I253" i="3" s="1"/>
  <c r="I254" i="3" a="1"/>
  <c r="I254" i="3" s="1"/>
  <c r="I255" i="3" a="1"/>
  <c r="I255" i="3" s="1"/>
  <c r="I256" i="3" a="1"/>
  <c r="I256" i="3" s="1"/>
  <c r="I257" i="3" a="1"/>
  <c r="I257" i="3"/>
  <c r="I258" i="3" a="1"/>
  <c r="I258" i="3" s="1"/>
  <c r="I259" i="3" a="1"/>
  <c r="I259" i="3" s="1"/>
  <c r="I260" i="3" a="1"/>
  <c r="I260" i="3" s="1"/>
  <c r="I261" i="3" a="1"/>
  <c r="I261" i="3" s="1"/>
  <c r="I262" i="3" a="1"/>
  <c r="I262" i="3" s="1"/>
  <c r="I263" i="3" a="1"/>
  <c r="I263" i="3" s="1"/>
  <c r="I264" i="3" a="1"/>
  <c r="I264" i="3" s="1"/>
  <c r="I265" i="3" a="1"/>
  <c r="I265" i="3"/>
  <c r="I266" i="3" a="1"/>
  <c r="I266" i="3" s="1"/>
  <c r="I267" i="3" a="1"/>
  <c r="I267" i="3" s="1"/>
  <c r="I268" i="3" a="1"/>
  <c r="I268" i="3" s="1"/>
  <c r="I269" i="3" a="1"/>
  <c r="I269" i="3" s="1"/>
  <c r="I270" i="3" a="1"/>
  <c r="I270" i="3" s="1"/>
  <c r="I271" i="3" a="1"/>
  <c r="I271" i="3" s="1"/>
  <c r="I272" i="3" a="1"/>
  <c r="I272" i="3" s="1"/>
  <c r="I273" i="3" a="1"/>
  <c r="I273" i="3"/>
  <c r="I274" i="3" a="1"/>
  <c r="I274" i="3" s="1"/>
  <c r="I275" i="3" a="1"/>
  <c r="I275" i="3" s="1"/>
  <c r="I276" i="3" a="1"/>
  <c r="I276" i="3" s="1"/>
  <c r="I277" i="3" a="1"/>
  <c r="I277" i="3" s="1"/>
  <c r="I278" i="3" a="1"/>
  <c r="I278" i="3" s="1"/>
  <c r="I279" i="3" a="1"/>
  <c r="I279" i="3" s="1"/>
  <c r="I280" i="3" a="1"/>
  <c r="I280" i="3" s="1"/>
  <c r="I281" i="3" a="1"/>
  <c r="I281" i="3"/>
  <c r="I282" i="3" a="1"/>
  <c r="I282" i="3" s="1"/>
  <c r="I283" i="3" a="1"/>
  <c r="I283" i="3" s="1"/>
  <c r="I284" i="3" a="1"/>
  <c r="I284" i="3" s="1"/>
  <c r="I285" i="3" a="1"/>
  <c r="I285" i="3" s="1"/>
  <c r="I286" i="3" a="1"/>
  <c r="I286" i="3" s="1"/>
  <c r="I287" i="3" a="1"/>
  <c r="I287" i="3" s="1"/>
  <c r="I288" i="3" a="1"/>
  <c r="I288" i="3" s="1"/>
  <c r="I289" i="3" a="1"/>
  <c r="I289" i="3"/>
  <c r="I290" i="3" a="1"/>
  <c r="I290" i="3" s="1"/>
  <c r="I291" i="3" a="1"/>
  <c r="I291" i="3" s="1"/>
  <c r="I292" i="3" a="1"/>
  <c r="I292" i="3" s="1"/>
  <c r="I293" i="3" a="1"/>
  <c r="I293" i="3" s="1"/>
  <c r="I294" i="3" a="1"/>
  <c r="I294" i="3" s="1"/>
  <c r="I295" i="3" a="1"/>
  <c r="I295" i="3" s="1"/>
  <c r="I296" i="3" a="1"/>
  <c r="I296" i="3" s="1"/>
  <c r="I297" i="3" a="1"/>
  <c r="I297" i="3"/>
  <c r="I298" i="3" a="1"/>
  <c r="I298" i="3" s="1"/>
  <c r="I299" i="3" a="1"/>
  <c r="I299" i="3" s="1"/>
  <c r="I300" i="3" a="1"/>
  <c r="I300" i="3" s="1"/>
  <c r="I301" i="3" a="1"/>
  <c r="I301" i="3" s="1"/>
  <c r="I302" i="3" a="1"/>
  <c r="I302" i="3" s="1"/>
  <c r="I303" i="3" a="1"/>
  <c r="I303" i="3" s="1"/>
  <c r="I304" i="3" a="1"/>
  <c r="I304" i="3" s="1"/>
  <c r="I305" i="3" a="1"/>
  <c r="I305" i="3"/>
  <c r="I306" i="3" a="1"/>
  <c r="I306" i="3" s="1"/>
  <c r="I307" i="3" a="1"/>
  <c r="I307" i="3" s="1"/>
  <c r="I308" i="3" a="1"/>
  <c r="I308" i="3" s="1"/>
  <c r="I309" i="3" a="1"/>
  <c r="I309" i="3" s="1"/>
  <c r="I310" i="3" a="1"/>
  <c r="I310" i="3" s="1"/>
  <c r="I311" i="3" a="1"/>
  <c r="I311" i="3" s="1"/>
  <c r="I312" i="3" a="1"/>
  <c r="I312" i="3" s="1"/>
  <c r="I313" i="3" a="1"/>
  <c r="I313" i="3"/>
  <c r="I314" i="3" a="1"/>
  <c r="I314" i="3" s="1"/>
  <c r="I315" i="3" a="1"/>
  <c r="I315" i="3" s="1"/>
  <c r="I316" i="3" a="1"/>
  <c r="I316" i="3" s="1"/>
  <c r="I317" i="3" a="1"/>
  <c r="I317" i="3" s="1"/>
  <c r="I318" i="3" a="1"/>
  <c r="I318" i="3" s="1"/>
  <c r="I319" i="3" a="1"/>
  <c r="I319" i="3" s="1"/>
  <c r="I320" i="3" a="1"/>
  <c r="I320" i="3" s="1"/>
  <c r="I321" i="3" a="1"/>
  <c r="I321" i="3"/>
  <c r="I322" i="3" a="1"/>
  <c r="I322" i="3" s="1"/>
  <c r="I323" i="3" a="1"/>
  <c r="I323" i="3" s="1"/>
  <c r="I324" i="3" a="1"/>
  <c r="I324" i="3" s="1"/>
  <c r="I325" i="3" a="1"/>
  <c r="I325" i="3" s="1"/>
  <c r="I326" i="3" a="1"/>
  <c r="I326" i="3" s="1"/>
  <c r="I327" i="3" a="1"/>
  <c r="I327" i="3" s="1"/>
  <c r="I328" i="3" a="1"/>
  <c r="I328" i="3" s="1"/>
  <c r="I329" i="3" a="1"/>
  <c r="I329" i="3"/>
  <c r="I330" i="3" a="1"/>
  <c r="I330" i="3" s="1"/>
  <c r="I331" i="3" a="1"/>
  <c r="I331" i="3" s="1"/>
  <c r="I332" i="3" a="1"/>
  <c r="I332" i="3" s="1"/>
  <c r="I333" i="3" a="1"/>
  <c r="I333" i="3" s="1"/>
  <c r="I334" i="3" a="1"/>
  <c r="I334" i="3" s="1"/>
  <c r="I335" i="3" a="1"/>
  <c r="I335" i="3"/>
  <c r="I336" i="3" a="1"/>
  <c r="I336" i="3" s="1"/>
  <c r="I337" i="3" a="1"/>
  <c r="I337" i="3"/>
  <c r="I338" i="3" a="1"/>
  <c r="I338" i="3" s="1"/>
  <c r="I339" i="3" a="1"/>
  <c r="I339" i="3" s="1"/>
  <c r="I340" i="3" a="1"/>
  <c r="I340" i="3" s="1"/>
  <c r="I341" i="3" a="1"/>
  <c r="I341" i="3" s="1"/>
  <c r="I342" i="3" a="1"/>
  <c r="I342" i="3" s="1"/>
  <c r="I343" i="3" a="1"/>
  <c r="I343" i="3"/>
  <c r="I344" i="3" a="1"/>
  <c r="I344" i="3" s="1"/>
  <c r="I345" i="3" a="1"/>
  <c r="I345" i="3"/>
  <c r="I346" i="3" a="1"/>
  <c r="I346" i="3" s="1"/>
  <c r="I347" i="3" a="1"/>
  <c r="I347" i="3" s="1"/>
  <c r="I348" i="3" a="1"/>
  <c r="I348" i="3" s="1"/>
  <c r="I349" i="3" a="1"/>
  <c r="I349" i="3" s="1"/>
  <c r="I350" i="3" a="1"/>
  <c r="I350" i="3" s="1"/>
  <c r="I351" i="3" a="1"/>
  <c r="I351" i="3"/>
  <c r="I352" i="3" a="1"/>
  <c r="I352" i="3" s="1"/>
  <c r="I353" i="3" a="1"/>
  <c r="I353" i="3"/>
  <c r="I354" i="3" a="1"/>
  <c r="I354" i="3" s="1"/>
  <c r="I355" i="3" a="1"/>
  <c r="I355" i="3"/>
  <c r="I356" i="3" a="1"/>
  <c r="I356" i="3" s="1"/>
  <c r="I357" i="3" a="1"/>
  <c r="I357" i="3"/>
  <c r="I358" i="3" a="1"/>
  <c r="I358" i="3" s="1"/>
  <c r="I359" i="3" a="1"/>
  <c r="I359" i="3"/>
  <c r="I360" i="3" a="1"/>
  <c r="I360" i="3" s="1"/>
  <c r="I361" i="3" a="1"/>
  <c r="I361" i="3"/>
  <c r="I362" i="3" a="1"/>
  <c r="I362" i="3" s="1"/>
  <c r="I363" i="3" a="1"/>
  <c r="I363" i="3" s="1"/>
  <c r="I364" i="3" a="1"/>
  <c r="I364" i="3" s="1"/>
  <c r="I365" i="3" a="1"/>
  <c r="I365" i="3" s="1"/>
  <c r="I366" i="3" a="1"/>
  <c r="I366" i="3" s="1"/>
  <c r="I367" i="3" a="1"/>
  <c r="I367" i="3"/>
  <c r="I368" i="3" a="1"/>
  <c r="I368" i="3" s="1"/>
  <c r="I369" i="3" a="1"/>
  <c r="I369" i="3"/>
  <c r="I370" i="3" a="1"/>
  <c r="I370" i="3" s="1"/>
  <c r="I371" i="3" a="1"/>
  <c r="I371" i="3" s="1"/>
  <c r="I372" i="3" a="1"/>
  <c r="I372" i="3" s="1"/>
  <c r="I373" i="3" a="1"/>
  <c r="I373" i="3" s="1"/>
  <c r="I374" i="3" a="1"/>
  <c r="I374" i="3" s="1"/>
  <c r="I375" i="3" a="1"/>
  <c r="I375" i="3"/>
  <c r="I376" i="3" a="1"/>
  <c r="I376" i="3" s="1"/>
  <c r="I377" i="3" a="1"/>
  <c r="I377" i="3"/>
  <c r="I378" i="3" a="1"/>
  <c r="I378" i="3" s="1"/>
  <c r="I379" i="3" a="1"/>
  <c r="I379" i="3" s="1"/>
  <c r="I380" i="3" a="1"/>
  <c r="I380" i="3" s="1"/>
  <c r="I381" i="3" a="1"/>
  <c r="I381" i="3" s="1"/>
  <c r="I382" i="3" a="1"/>
  <c r="I382" i="3" s="1"/>
  <c r="I383" i="3" a="1"/>
  <c r="I383" i="3"/>
  <c r="I384" i="3" a="1"/>
  <c r="I384" i="3" s="1"/>
  <c r="I385" i="3" a="1"/>
  <c r="I385" i="3"/>
  <c r="I386" i="3" a="1"/>
  <c r="I386" i="3" s="1"/>
  <c r="I387" i="3" a="1"/>
  <c r="I387" i="3" s="1"/>
  <c r="I388" i="3" a="1"/>
  <c r="I388" i="3" s="1"/>
  <c r="I389" i="3" a="1"/>
  <c r="I389" i="3" s="1"/>
  <c r="I390" i="3" a="1"/>
  <c r="I390" i="3" s="1"/>
  <c r="I391" i="3" a="1"/>
  <c r="I391" i="3"/>
  <c r="I392" i="3" a="1"/>
  <c r="I392" i="3" s="1"/>
  <c r="I393" i="3" a="1"/>
  <c r="I393" i="3"/>
  <c r="I394" i="3" a="1"/>
  <c r="I394" i="3" s="1"/>
  <c r="I395" i="3" a="1"/>
  <c r="I395" i="3" s="1"/>
  <c r="I396" i="3" a="1"/>
  <c r="I396" i="3" s="1"/>
  <c r="I397" i="3" a="1"/>
  <c r="I397" i="3" s="1"/>
  <c r="I398" i="3" a="1"/>
  <c r="I398" i="3" s="1"/>
  <c r="I399" i="3" a="1"/>
  <c r="I399" i="3"/>
  <c r="I400" i="3" a="1"/>
  <c r="I400" i="3" s="1"/>
  <c r="I401" i="3" a="1"/>
  <c r="I401" i="3"/>
  <c r="I402" i="3" a="1"/>
  <c r="I402" i="3" s="1"/>
  <c r="I403" i="3" a="1"/>
  <c r="I403" i="3" s="1"/>
  <c r="I404" i="3" a="1"/>
  <c r="I404" i="3" s="1"/>
  <c r="I405" i="3" a="1"/>
  <c r="I405" i="3" s="1"/>
  <c r="I406" i="3" a="1"/>
  <c r="I406" i="3" s="1"/>
  <c r="I407" i="3" a="1"/>
  <c r="I407" i="3"/>
  <c r="I408" i="3" a="1"/>
  <c r="I408" i="3" s="1"/>
  <c r="I409" i="3" a="1"/>
  <c r="I409" i="3"/>
  <c r="I410" i="3" a="1"/>
  <c r="I410" i="3" s="1"/>
  <c r="I411" i="3" a="1"/>
  <c r="I411" i="3" s="1"/>
  <c r="I412" i="3" a="1"/>
  <c r="I412" i="3" s="1"/>
  <c r="I413" i="3" a="1"/>
  <c r="I413" i="3" s="1"/>
  <c r="I414" i="3" a="1"/>
  <c r="I414" i="3" s="1"/>
  <c r="I415" i="3" a="1"/>
  <c r="I415" i="3"/>
  <c r="I416" i="3" a="1"/>
  <c r="I416" i="3" s="1"/>
  <c r="I417" i="3" a="1"/>
  <c r="I417" i="3"/>
  <c r="I418" i="3" a="1"/>
  <c r="I418" i="3" s="1"/>
  <c r="I419" i="3" a="1"/>
  <c r="I419" i="3" s="1"/>
  <c r="I420" i="3" a="1"/>
  <c r="I420" i="3" s="1"/>
  <c r="I421" i="3" a="1"/>
  <c r="I421" i="3" s="1"/>
  <c r="I422" i="3" a="1"/>
  <c r="I422" i="3" s="1"/>
  <c r="I423" i="3" a="1"/>
  <c r="I423" i="3"/>
  <c r="I424" i="3" a="1"/>
  <c r="I424" i="3" s="1"/>
  <c r="I425" i="3" a="1"/>
  <c r="I425" i="3"/>
  <c r="I426" i="3" a="1"/>
  <c r="I426" i="3" s="1"/>
  <c r="I427" i="3" a="1"/>
  <c r="I427" i="3" s="1"/>
  <c r="I428" i="3" a="1"/>
  <c r="I428" i="3" s="1"/>
  <c r="I429" i="3" a="1"/>
  <c r="I429" i="3" s="1"/>
  <c r="I430" i="3" a="1"/>
  <c r="I430" i="3" s="1"/>
  <c r="I431" i="3" a="1"/>
  <c r="I431" i="3"/>
  <c r="I432" i="3" a="1"/>
  <c r="I432" i="3" s="1"/>
  <c r="I433" i="3" a="1"/>
  <c r="I433" i="3"/>
  <c r="I434" i="3" a="1"/>
  <c r="I434" i="3" s="1"/>
  <c r="I435" i="3" a="1"/>
  <c r="I435" i="3" s="1"/>
  <c r="I436" i="3" a="1"/>
  <c r="I436" i="3" s="1"/>
  <c r="I437" i="3" a="1"/>
  <c r="I437" i="3" s="1"/>
  <c r="I438" i="3" a="1"/>
  <c r="I438" i="3" s="1"/>
  <c r="I439" i="3" a="1"/>
  <c r="I439" i="3"/>
  <c r="I440" i="3" a="1"/>
  <c r="I440" i="3" s="1"/>
  <c r="I441" i="3" a="1"/>
  <c r="I441" i="3"/>
  <c r="I442" i="3" a="1"/>
  <c r="I442" i="3" s="1"/>
  <c r="I443" i="3" a="1"/>
  <c r="I443" i="3" s="1"/>
  <c r="I444" i="3" a="1"/>
  <c r="I444" i="3" s="1"/>
  <c r="I445" i="3" a="1"/>
  <c r="I445" i="3" s="1"/>
  <c r="I446" i="3" a="1"/>
  <c r="I446" i="3" s="1"/>
  <c r="I447" i="3" a="1"/>
  <c r="I447" i="3"/>
  <c r="I448" i="3" a="1"/>
  <c r="I448" i="3" s="1"/>
  <c r="I449" i="3" a="1"/>
  <c r="I449" i="3"/>
  <c r="I450" i="3" a="1"/>
  <c r="I450" i="3" s="1"/>
  <c r="I451" i="3" a="1"/>
  <c r="I451" i="3" s="1"/>
  <c r="I452" i="3" a="1"/>
  <c r="I452" i="3" s="1"/>
  <c r="I453" i="3" a="1"/>
  <c r="I453" i="3" s="1"/>
  <c r="I454" i="3" a="1"/>
  <c r="I454" i="3" s="1"/>
  <c r="I455" i="3" a="1"/>
  <c r="I455" i="3"/>
  <c r="I456" i="3" a="1"/>
  <c r="I456" i="3" s="1"/>
  <c r="I457" i="3" a="1"/>
  <c r="I457" i="3"/>
  <c r="I458" i="3" a="1"/>
  <c r="I458" i="3" s="1"/>
  <c r="I459" i="3" a="1"/>
  <c r="I459" i="3" s="1"/>
  <c r="I460" i="3" a="1"/>
  <c r="I460" i="3" s="1"/>
  <c r="I461" i="3" a="1"/>
  <c r="I461" i="3" s="1"/>
  <c r="I462" i="3" a="1"/>
  <c r="I462" i="3" s="1"/>
  <c r="I463" i="3" a="1"/>
  <c r="I463" i="3"/>
  <c r="I464" i="3" a="1"/>
  <c r="I464" i="3" s="1"/>
  <c r="I465" i="3" a="1"/>
  <c r="I465" i="3"/>
  <c r="I466" i="3" a="1"/>
  <c r="I466" i="3" s="1"/>
  <c r="I467" i="3" a="1"/>
  <c r="I467" i="3" s="1"/>
  <c r="I468" i="3" a="1"/>
  <c r="I468" i="3" s="1"/>
  <c r="I469" i="3" a="1"/>
  <c r="I469" i="3" s="1"/>
  <c r="I470" i="3" a="1"/>
  <c r="I470" i="3" s="1"/>
  <c r="I471" i="3" a="1"/>
  <c r="I471" i="3"/>
  <c r="I472" i="3" a="1"/>
  <c r="I472" i="3" s="1"/>
  <c r="I473" i="3" a="1"/>
  <c r="I473" i="3"/>
  <c r="I474" i="3" a="1"/>
  <c r="I474" i="3" s="1"/>
  <c r="I475" i="3" a="1"/>
  <c r="I475" i="3" s="1"/>
  <c r="I476" i="3" a="1"/>
  <c r="I476" i="3" s="1"/>
  <c r="I477" i="3" a="1"/>
  <c r="I477" i="3" s="1"/>
  <c r="I478" i="3" a="1"/>
  <c r="I478" i="3" s="1"/>
  <c r="I479" i="3" a="1"/>
  <c r="I479" i="3"/>
  <c r="I480" i="3" a="1"/>
  <c r="I480" i="3" s="1"/>
  <c r="I481" i="3" a="1"/>
  <c r="I481" i="3"/>
  <c r="I482" i="3" a="1"/>
  <c r="I482" i="3" s="1"/>
  <c r="I483" i="3" a="1"/>
  <c r="I483" i="3" s="1"/>
  <c r="I484" i="3" a="1"/>
  <c r="I484" i="3" s="1"/>
  <c r="I485" i="3" a="1"/>
  <c r="I485" i="3" s="1"/>
  <c r="I486" i="3" a="1"/>
  <c r="I486" i="3" s="1"/>
  <c r="I487" i="3" a="1"/>
  <c r="I487" i="3"/>
  <c r="I488" i="3" a="1"/>
  <c r="I488" i="3" s="1"/>
  <c r="I489" i="3" a="1"/>
  <c r="I489" i="3"/>
  <c r="I490" i="3" a="1"/>
  <c r="I490" i="3" s="1"/>
  <c r="I491" i="3" a="1"/>
  <c r="I491" i="3" s="1"/>
  <c r="I492" i="3" a="1"/>
  <c r="I492" i="3" s="1"/>
  <c r="I493" i="3" a="1"/>
  <c r="I493" i="3" s="1"/>
  <c r="I494" i="3" a="1"/>
  <c r="I494" i="3" s="1"/>
  <c r="I495" i="3" a="1"/>
  <c r="I495" i="3"/>
  <c r="I496" i="3" a="1"/>
  <c r="I496" i="3" s="1"/>
  <c r="I497" i="3" a="1"/>
  <c r="I497" i="3"/>
  <c r="I498" i="3" a="1"/>
  <c r="I498" i="3" s="1"/>
  <c r="I499" i="3" a="1"/>
  <c r="I499" i="3" s="1"/>
  <c r="I500" i="3" a="1"/>
  <c r="I500" i="3" s="1"/>
  <c r="I501" i="3" a="1"/>
  <c r="I501" i="3" s="1"/>
  <c r="I502" i="3" a="1"/>
  <c r="I502" i="3" s="1"/>
  <c r="I503" i="3" a="1"/>
  <c r="I503" i="3"/>
  <c r="I504" i="3" a="1"/>
  <c r="I504" i="3" s="1"/>
  <c r="I505" i="3" a="1"/>
  <c r="I505" i="3"/>
  <c r="I506" i="3" a="1"/>
  <c r="I506" i="3" s="1"/>
  <c r="I507" i="3" a="1"/>
  <c r="I507" i="3" s="1"/>
  <c r="I508" i="3" a="1"/>
  <c r="I508" i="3" s="1"/>
  <c r="I509" i="3" a="1"/>
  <c r="I509" i="3" s="1"/>
  <c r="I510" i="3" a="1"/>
  <c r="I510" i="3" s="1"/>
  <c r="I511" i="3" a="1"/>
  <c r="I511" i="3"/>
  <c r="I512" i="3" a="1"/>
  <c r="I512" i="3" s="1"/>
  <c r="I513" i="3" a="1"/>
  <c r="I513" i="3"/>
  <c r="I514" i="3" a="1"/>
  <c r="I514" i="3" s="1"/>
  <c r="I515" i="3" a="1"/>
  <c r="I515" i="3" s="1"/>
  <c r="I516" i="3" a="1"/>
  <c r="I516" i="3" s="1"/>
  <c r="I517" i="3" a="1"/>
  <c r="I517" i="3" s="1"/>
  <c r="I518" i="3" a="1"/>
  <c r="I518" i="3" s="1"/>
  <c r="I519" i="3" a="1"/>
  <c r="I519" i="3"/>
  <c r="I520" i="3" a="1"/>
  <c r="I520" i="3" s="1"/>
  <c r="I521" i="3" a="1"/>
  <c r="I521" i="3"/>
  <c r="I522" i="3" a="1"/>
  <c r="I522" i="3" s="1"/>
  <c r="I523" i="3" a="1"/>
  <c r="I523" i="3" s="1"/>
  <c r="I524" i="3" a="1"/>
  <c r="I524" i="3" s="1"/>
  <c r="I525" i="3" a="1"/>
  <c r="I525" i="3" s="1"/>
  <c r="I526" i="3" a="1"/>
  <c r="I526" i="3" s="1"/>
  <c r="I527" i="3" a="1"/>
  <c r="I527" i="3"/>
  <c r="I528" i="3" a="1"/>
  <c r="I528" i="3" s="1"/>
  <c r="I529" i="3" a="1"/>
  <c r="I529" i="3"/>
  <c r="I530" i="3" a="1"/>
  <c r="I530" i="3" s="1"/>
  <c r="I531" i="3" a="1"/>
  <c r="I531" i="3" s="1"/>
  <c r="I532" i="3" a="1"/>
  <c r="I532" i="3" s="1"/>
  <c r="I533" i="3" a="1"/>
  <c r="I533" i="3" s="1"/>
  <c r="I534" i="3" a="1"/>
  <c r="I534" i="3" s="1"/>
  <c r="I535" i="3" a="1"/>
  <c r="I535" i="3"/>
  <c r="I536" i="3" a="1"/>
  <c r="I536" i="3" s="1"/>
  <c r="I537" i="3" a="1"/>
  <c r="I537" i="3"/>
  <c r="I538" i="3" a="1"/>
  <c r="I538" i="3" s="1"/>
  <c r="I539" i="3" a="1"/>
  <c r="I539" i="3" s="1"/>
  <c r="I540" i="3" a="1"/>
  <c r="I540" i="3" s="1"/>
  <c r="I541" i="3" a="1"/>
  <c r="I541" i="3" s="1"/>
  <c r="I542" i="3" a="1"/>
  <c r="I542" i="3" s="1"/>
  <c r="I543" i="3" a="1"/>
  <c r="I543" i="3"/>
  <c r="I544" i="3" a="1"/>
  <c r="I544" i="3" s="1"/>
  <c r="I545" i="3" a="1"/>
  <c r="I545" i="3"/>
  <c r="I546" i="3" a="1"/>
  <c r="I546" i="3" s="1"/>
  <c r="I547" i="3" a="1"/>
  <c r="I547" i="3" s="1"/>
  <c r="I548" i="3" a="1"/>
  <c r="I548" i="3" s="1"/>
  <c r="I549" i="3" a="1"/>
  <c r="I549" i="3" s="1"/>
  <c r="I550" i="3" a="1"/>
  <c r="I550" i="3" s="1"/>
  <c r="I551" i="3" a="1"/>
  <c r="I551" i="3"/>
  <c r="I552" i="3" a="1"/>
  <c r="I552" i="3" s="1"/>
  <c r="I553" i="3" a="1"/>
  <c r="I553" i="3"/>
  <c r="I554" i="3" a="1"/>
  <c r="I554" i="3" s="1"/>
  <c r="I555" i="3" a="1"/>
  <c r="I555" i="3" s="1"/>
  <c r="I556" i="3" a="1"/>
  <c r="I556" i="3" s="1"/>
  <c r="I557" i="3" a="1"/>
  <c r="I557" i="3" s="1"/>
  <c r="I558" i="3" a="1"/>
  <c r="I558" i="3" s="1"/>
  <c r="I559" i="3" a="1"/>
  <c r="I559" i="3"/>
  <c r="I560" i="3" a="1"/>
  <c r="I560" i="3" s="1"/>
  <c r="I561" i="3" a="1"/>
  <c r="I561" i="3"/>
  <c r="I562" i="3" a="1"/>
  <c r="I562" i="3" s="1"/>
  <c r="I563" i="3" a="1"/>
  <c r="I563" i="3" s="1"/>
  <c r="I564" i="3" a="1"/>
  <c r="I564" i="3" s="1"/>
  <c r="I565" i="3" a="1"/>
  <c r="I565" i="3"/>
  <c r="I566" i="3" a="1"/>
  <c r="I566" i="3" s="1"/>
  <c r="I567" i="3" a="1"/>
  <c r="I567" i="3"/>
  <c r="I568" i="3" a="1"/>
  <c r="I568" i="3" s="1"/>
  <c r="I569" i="3" a="1"/>
  <c r="I569" i="3"/>
  <c r="I570" i="3" a="1"/>
  <c r="I570" i="3" s="1"/>
  <c r="I571" i="3" a="1"/>
  <c r="I571" i="3" s="1"/>
  <c r="I572" i="3" a="1"/>
  <c r="I572" i="3" s="1"/>
  <c r="I573" i="3" a="1"/>
  <c r="I573" i="3"/>
  <c r="I574" i="3" a="1"/>
  <c r="I574" i="3" s="1"/>
  <c r="I575" i="3" a="1"/>
  <c r="I575" i="3"/>
  <c r="I576" i="3" a="1"/>
  <c r="I576" i="3" s="1"/>
  <c r="I577" i="3" a="1"/>
  <c r="I577" i="3"/>
  <c r="I578" i="3" a="1"/>
  <c r="I578" i="3" s="1"/>
  <c r="I579" i="3" a="1"/>
  <c r="I579" i="3" s="1"/>
  <c r="I580" i="3" a="1"/>
  <c r="I580" i="3" s="1"/>
  <c r="I581" i="3" a="1"/>
  <c r="I581" i="3"/>
  <c r="I582" i="3" a="1"/>
  <c r="I582" i="3" s="1"/>
  <c r="I583" i="3" a="1"/>
  <c r="I583" i="3"/>
  <c r="I584" i="3" a="1"/>
  <c r="I584" i="3" s="1"/>
  <c r="I585" i="3" a="1"/>
  <c r="I585" i="3"/>
  <c r="I586" i="3" a="1"/>
  <c r="I586" i="3" s="1"/>
  <c r="I587" i="3" a="1"/>
  <c r="I587" i="3" s="1"/>
  <c r="I588" i="3" a="1"/>
  <c r="I588" i="3" s="1"/>
  <c r="I589" i="3" a="1"/>
  <c r="I589" i="3" s="1"/>
  <c r="I590" i="3" a="1"/>
  <c r="I590" i="3" s="1"/>
  <c r="I591" i="3" a="1"/>
  <c r="I591" i="3"/>
  <c r="I592" i="3" a="1"/>
  <c r="I592" i="3" s="1"/>
  <c r="I593" i="3" a="1"/>
  <c r="I593" i="3"/>
  <c r="I594" i="3" a="1"/>
  <c r="I594" i="3" s="1"/>
  <c r="I595" i="3" a="1"/>
  <c r="I595" i="3" s="1"/>
  <c r="I596" i="3" a="1"/>
  <c r="I596" i="3" s="1"/>
  <c r="I597" i="3" a="1"/>
  <c r="I597" i="3" s="1"/>
  <c r="I598" i="3" a="1"/>
  <c r="I598" i="3" s="1"/>
  <c r="I599" i="3" a="1"/>
  <c r="I599" i="3"/>
  <c r="I600" i="3" a="1"/>
  <c r="I600" i="3" s="1"/>
  <c r="I601" i="3" a="1"/>
  <c r="I601" i="3"/>
  <c r="I602" i="3" a="1"/>
  <c r="I602" i="3" s="1"/>
  <c r="I603" i="3" a="1"/>
  <c r="I603" i="3" s="1"/>
  <c r="I604" i="3" a="1"/>
  <c r="I604" i="3" s="1"/>
  <c r="I605" i="3" a="1"/>
  <c r="I605" i="3" s="1"/>
  <c r="I606" i="3" a="1"/>
  <c r="I606" i="3" s="1"/>
  <c r="I607" i="3" a="1"/>
  <c r="I607" i="3"/>
  <c r="I608" i="3" a="1"/>
  <c r="I608" i="3" s="1"/>
  <c r="I609" i="3" a="1"/>
  <c r="I609" i="3"/>
  <c r="I610" i="3" a="1"/>
  <c r="I610" i="3" s="1"/>
  <c r="I611" i="3" a="1"/>
  <c r="I611" i="3" s="1"/>
  <c r="I612" i="3" a="1"/>
  <c r="I612" i="3" s="1"/>
  <c r="I613" i="3" a="1"/>
  <c r="I613" i="3" s="1"/>
  <c r="I614" i="3" a="1"/>
  <c r="I614" i="3" s="1"/>
  <c r="I615" i="3" a="1"/>
  <c r="I615" i="3"/>
  <c r="I616" i="3" a="1"/>
  <c r="I616" i="3" s="1"/>
  <c r="I617" i="3" a="1"/>
  <c r="I617" i="3"/>
  <c r="I618" i="3" a="1"/>
  <c r="I618" i="3" s="1"/>
  <c r="I619" i="3" a="1"/>
  <c r="I619" i="3" s="1"/>
  <c r="I620" i="3" a="1"/>
  <c r="I620" i="3" s="1"/>
  <c r="I621" i="3" a="1"/>
  <c r="I621" i="3" s="1"/>
  <c r="I622" i="3" a="1"/>
  <c r="I622" i="3" s="1"/>
  <c r="I623" i="3" a="1"/>
  <c r="I623" i="3"/>
  <c r="I624" i="3" a="1"/>
  <c r="I624" i="3" s="1"/>
  <c r="I625" i="3" a="1"/>
  <c r="I625" i="3"/>
  <c r="I626" i="3" a="1"/>
  <c r="I626" i="3" s="1"/>
  <c r="I627" i="3" a="1"/>
  <c r="I627" i="3" s="1"/>
  <c r="I628" i="3" a="1"/>
  <c r="I628" i="3" s="1"/>
  <c r="I629" i="3" a="1"/>
  <c r="I629" i="3" s="1"/>
  <c r="I630" i="3" a="1"/>
  <c r="I630" i="3" s="1"/>
  <c r="I631" i="3" a="1"/>
  <c r="I631" i="3"/>
  <c r="I632" i="3" a="1"/>
  <c r="I632" i="3" s="1"/>
  <c r="I633" i="3" a="1"/>
  <c r="I633" i="3"/>
  <c r="I634" i="3" a="1"/>
  <c r="I634" i="3" s="1"/>
  <c r="I635" i="3" a="1"/>
  <c r="I635" i="3" s="1"/>
  <c r="I636" i="3" a="1"/>
  <c r="I636" i="3" s="1"/>
  <c r="I637" i="3" a="1"/>
  <c r="I637" i="3" s="1"/>
  <c r="I638" i="3" a="1"/>
  <c r="I638" i="3" s="1"/>
  <c r="I639" i="3" a="1"/>
  <c r="I639" i="3"/>
  <c r="I640" i="3" a="1"/>
  <c r="I640" i="3" s="1"/>
  <c r="I641" i="3" a="1"/>
  <c r="I641" i="3"/>
  <c r="I642" i="3" a="1"/>
  <c r="I642" i="3" s="1"/>
  <c r="I643" i="3" a="1"/>
  <c r="I643" i="3" s="1"/>
  <c r="I644" i="3" a="1"/>
  <c r="I644" i="3" s="1"/>
  <c r="I645" i="3" a="1"/>
  <c r="I645" i="3"/>
  <c r="I646" i="3" a="1"/>
  <c r="I646" i="3" s="1"/>
  <c r="I647" i="3" a="1"/>
  <c r="I647" i="3"/>
  <c r="I648" i="3" a="1"/>
  <c r="I648" i="3" s="1"/>
  <c r="I649" i="3" a="1"/>
  <c r="I649" i="3"/>
  <c r="I650" i="3" a="1"/>
  <c r="I650" i="3" s="1"/>
  <c r="I651" i="3" a="1"/>
  <c r="I651" i="3" s="1"/>
  <c r="I652" i="3" a="1"/>
  <c r="I652" i="3" s="1"/>
  <c r="I653" i="3" a="1"/>
  <c r="I653" i="3"/>
  <c r="I654" i="3" a="1"/>
  <c r="I654" i="3" s="1"/>
  <c r="I655" i="3" a="1"/>
  <c r="I655" i="3"/>
  <c r="I656" i="3" a="1"/>
  <c r="I656" i="3" s="1"/>
  <c r="I657" i="3" a="1"/>
  <c r="I657" i="3"/>
  <c r="I658" i="3" a="1"/>
  <c r="I658" i="3" s="1"/>
  <c r="I659" i="3" a="1"/>
  <c r="I659" i="3" s="1"/>
  <c r="I660" i="3" a="1"/>
  <c r="I660" i="3" s="1"/>
  <c r="I661" i="3" a="1"/>
  <c r="I661" i="3" s="1"/>
  <c r="I662" i="3" a="1"/>
  <c r="I662" i="3" s="1"/>
  <c r="I663" i="3" a="1"/>
  <c r="I663" i="3" s="1"/>
  <c r="I664" i="3" a="1"/>
  <c r="I664" i="3"/>
  <c r="I665" i="3" a="1"/>
  <c r="I665" i="3" s="1"/>
  <c r="I666" i="3" a="1"/>
  <c r="I666" i="3"/>
  <c r="I667" i="3" a="1"/>
  <c r="I667" i="3" s="1"/>
  <c r="I668" i="3" a="1"/>
  <c r="I668" i="3" s="1"/>
  <c r="I669" i="3" a="1"/>
  <c r="I669" i="3" s="1"/>
  <c r="I670" i="3" a="1"/>
  <c r="I670" i="3" s="1"/>
  <c r="I671" i="3" a="1"/>
  <c r="I671" i="3" s="1"/>
  <c r="I672" i="3" a="1"/>
  <c r="I672" i="3"/>
  <c r="I673" i="3" a="1"/>
  <c r="I673" i="3" s="1"/>
  <c r="I674" i="3" a="1"/>
  <c r="I674" i="3"/>
  <c r="I675" i="3" a="1"/>
  <c r="I675" i="3" s="1"/>
  <c r="I676" i="3" a="1"/>
  <c r="I676" i="3" s="1"/>
  <c r="I677" i="3" a="1"/>
  <c r="I677" i="3" s="1"/>
  <c r="I678" i="3" a="1"/>
  <c r="I678" i="3" s="1"/>
  <c r="I679" i="3" a="1"/>
  <c r="I679" i="3" s="1"/>
  <c r="I680" i="3" a="1"/>
  <c r="I680" i="3" s="1"/>
  <c r="I681" i="3" a="1"/>
  <c r="I681" i="3" s="1"/>
  <c r="I682" i="3" a="1"/>
  <c r="I682" i="3"/>
  <c r="I683" i="3" a="1"/>
  <c r="I683" i="3" s="1"/>
  <c r="I684" i="3" a="1"/>
  <c r="I684" i="3" s="1"/>
  <c r="I685" i="3" a="1"/>
  <c r="I685" i="3" s="1"/>
  <c r="I686" i="3" a="1"/>
  <c r="I686" i="3" s="1"/>
  <c r="I687" i="3" a="1"/>
  <c r="I687" i="3" s="1"/>
  <c r="I688" i="3" a="1"/>
  <c r="I688" i="3" s="1"/>
  <c r="I689" i="3" a="1"/>
  <c r="I689" i="3" s="1"/>
  <c r="I690" i="3" a="1"/>
  <c r="I690" i="3"/>
  <c r="I691" i="3" a="1"/>
  <c r="I691" i="3" s="1"/>
  <c r="I692" i="3" a="1"/>
  <c r="I692" i="3" s="1"/>
  <c r="I693" i="3" a="1"/>
  <c r="I693" i="3" s="1"/>
  <c r="I694" i="3" a="1"/>
  <c r="I694" i="3" s="1"/>
  <c r="I695" i="3" a="1"/>
  <c r="I695" i="3" s="1"/>
  <c r="I696" i="3" a="1"/>
  <c r="I696" i="3" s="1"/>
  <c r="I697" i="3" a="1"/>
  <c r="I697" i="3" s="1"/>
  <c r="I698" i="3" a="1"/>
  <c r="I698" i="3"/>
  <c r="I699" i="3" a="1"/>
  <c r="I699" i="3" s="1"/>
  <c r="I700" i="3" a="1"/>
  <c r="I700" i="3" s="1"/>
  <c r="I701" i="3" a="1"/>
  <c r="I701" i="3" s="1"/>
  <c r="I702" i="3" a="1"/>
  <c r="I702" i="3" s="1"/>
  <c r="I703" i="3" a="1"/>
  <c r="I703" i="3" s="1"/>
  <c r="I704" i="3" a="1"/>
  <c r="I704" i="3" s="1"/>
  <c r="I705" i="3" a="1"/>
  <c r="I705" i="3" s="1"/>
  <c r="I706" i="3" a="1"/>
  <c r="I706" i="3"/>
  <c r="I707" i="3" a="1"/>
  <c r="I707" i="3" s="1"/>
  <c r="I708" i="3" a="1"/>
  <c r="I708" i="3" s="1"/>
  <c r="I709" i="3" a="1"/>
  <c r="I709" i="3" s="1"/>
  <c r="I710" i="3" a="1"/>
  <c r="I710" i="3" s="1"/>
  <c r="I711" i="3" a="1"/>
  <c r="I711" i="3" s="1"/>
  <c r="I712" i="3" a="1"/>
  <c r="I712" i="3" s="1"/>
  <c r="I713" i="3" a="1"/>
  <c r="I713" i="3" s="1"/>
  <c r="I714" i="3" a="1"/>
  <c r="I714" i="3"/>
  <c r="I715" i="3" a="1"/>
  <c r="I715" i="3" s="1"/>
  <c r="I716" i="3" a="1"/>
  <c r="I716" i="3" s="1"/>
  <c r="I717" i="3" a="1"/>
  <c r="I717" i="3" s="1"/>
  <c r="I718" i="3" a="1"/>
  <c r="I718" i="3" s="1"/>
  <c r="I719" i="3" a="1"/>
  <c r="I719" i="3" s="1"/>
  <c r="I720" i="3" a="1"/>
  <c r="I720" i="3" s="1"/>
  <c r="I721" i="3" a="1"/>
  <c r="I721" i="3" s="1"/>
  <c r="I722" i="3" a="1"/>
  <c r="I722" i="3"/>
  <c r="I723" i="3" a="1"/>
  <c r="I723" i="3" s="1"/>
  <c r="I724" i="3" a="1"/>
  <c r="I724" i="3" s="1"/>
  <c r="I725" i="3" a="1"/>
  <c r="I725" i="3" s="1"/>
  <c r="I726" i="3" a="1"/>
  <c r="I726" i="3" s="1"/>
  <c r="I727" i="3" a="1"/>
  <c r="I727" i="3" s="1"/>
  <c r="I728" i="3" a="1"/>
  <c r="I728" i="3" s="1"/>
  <c r="I729" i="3" a="1"/>
  <c r="I729" i="3" s="1"/>
  <c r="I730" i="3" a="1"/>
  <c r="I730" i="3"/>
  <c r="I731" i="3" a="1"/>
  <c r="I731" i="3" s="1"/>
  <c r="I732" i="3" a="1"/>
  <c r="I732" i="3" s="1"/>
  <c r="I733" i="3" a="1"/>
  <c r="I733" i="3" s="1"/>
  <c r="I734" i="3" a="1"/>
  <c r="I734" i="3" s="1"/>
  <c r="I735" i="3" a="1"/>
  <c r="I735" i="3" s="1"/>
  <c r="I736" i="3" a="1"/>
  <c r="I736" i="3" s="1"/>
  <c r="I737" i="3" a="1"/>
  <c r="I737" i="3" s="1"/>
  <c r="I738" i="3" a="1"/>
  <c r="I738" i="3"/>
  <c r="I739" i="3" a="1"/>
  <c r="I739" i="3" s="1"/>
  <c r="I740" i="3" a="1"/>
  <c r="I740" i="3" s="1"/>
  <c r="I741" i="3" a="1"/>
  <c r="I741" i="3" s="1"/>
  <c r="I742" i="3" a="1"/>
  <c r="I742" i="3" s="1"/>
  <c r="I743" i="3" a="1"/>
  <c r="I743" i="3" s="1"/>
  <c r="I744" i="3" a="1"/>
  <c r="I744" i="3" s="1"/>
  <c r="I745" i="3" a="1"/>
  <c r="I745" i="3" s="1"/>
  <c r="I746" i="3" a="1"/>
  <c r="I746" i="3"/>
  <c r="I747" i="3" a="1"/>
  <c r="I747" i="3" s="1"/>
  <c r="I748" i="3" a="1"/>
  <c r="I748" i="3" s="1"/>
  <c r="I749" i="3" a="1"/>
  <c r="I749" i="3" s="1"/>
  <c r="I750" i="3" a="1"/>
  <c r="I750" i="3" s="1"/>
  <c r="I751" i="3" a="1"/>
  <c r="I751" i="3" s="1"/>
  <c r="I752" i="3" a="1"/>
  <c r="I752" i="3" s="1"/>
  <c r="I753" i="3" a="1"/>
  <c r="I753" i="3" s="1"/>
  <c r="I754" i="3" a="1"/>
  <c r="I754" i="3"/>
  <c r="I755" i="3" a="1"/>
  <c r="I755" i="3" s="1"/>
  <c r="I756" i="3" a="1"/>
  <c r="I756" i="3" s="1"/>
  <c r="I757" i="3" a="1"/>
  <c r="I757" i="3" s="1"/>
  <c r="I758" i="3" a="1"/>
  <c r="I758" i="3" s="1"/>
  <c r="I759" i="3" a="1"/>
  <c r="I759" i="3" s="1"/>
  <c r="I760" i="3" a="1"/>
  <c r="I760" i="3" s="1"/>
  <c r="I761" i="3" a="1"/>
  <c r="I761" i="3" s="1"/>
  <c r="I762" i="3" a="1"/>
  <c r="I762" i="3"/>
  <c r="I763" i="3" a="1"/>
  <c r="I763" i="3" s="1"/>
  <c r="I764" i="3" a="1"/>
  <c r="I764" i="3" s="1"/>
  <c r="I765" i="3" a="1"/>
  <c r="I765" i="3" s="1"/>
  <c r="I766" i="3" a="1"/>
  <c r="I766" i="3" s="1"/>
  <c r="I767" i="3" a="1"/>
  <c r="I767" i="3" s="1"/>
  <c r="I768" i="3" a="1"/>
  <c r="I768" i="3" s="1"/>
  <c r="I769" i="3" a="1"/>
  <c r="I769" i="3" s="1"/>
  <c r="I770" i="3" a="1"/>
  <c r="I770" i="3"/>
  <c r="I771" i="3" a="1"/>
  <c r="I771" i="3" s="1"/>
  <c r="I772" i="3" a="1"/>
  <c r="I772" i="3" s="1"/>
  <c r="I773" i="3" a="1"/>
  <c r="I773" i="3" s="1"/>
  <c r="I774" i="3" a="1"/>
  <c r="I774" i="3" s="1"/>
  <c r="I775" i="3" a="1"/>
  <c r="I775" i="3" s="1"/>
  <c r="I776" i="3" a="1"/>
  <c r="I776" i="3" s="1"/>
  <c r="I777" i="3" a="1"/>
  <c r="I777" i="3" s="1"/>
  <c r="I778" i="3" a="1"/>
  <c r="I778" i="3"/>
  <c r="I779" i="3" a="1"/>
  <c r="I779" i="3" s="1"/>
  <c r="I780" i="3" a="1"/>
  <c r="I780" i="3" s="1"/>
  <c r="I781" i="3" a="1"/>
  <c r="I781" i="3" s="1"/>
  <c r="I782" i="3" a="1"/>
  <c r="I782" i="3" s="1"/>
  <c r="I783" i="3" a="1"/>
  <c r="I783" i="3" s="1"/>
  <c r="I784" i="3" a="1"/>
  <c r="I784" i="3" s="1"/>
  <c r="I785" i="3" a="1"/>
  <c r="I785" i="3" s="1"/>
  <c r="I786" i="3" a="1"/>
  <c r="I786" i="3"/>
  <c r="I787" i="3" a="1"/>
  <c r="I787" i="3" s="1"/>
  <c r="I788" i="3" a="1"/>
  <c r="I788" i="3" s="1"/>
  <c r="I789" i="3" a="1"/>
  <c r="I789" i="3" s="1"/>
  <c r="I790" i="3" a="1"/>
  <c r="I790" i="3" s="1"/>
  <c r="I791" i="3" a="1"/>
  <c r="I791" i="3" s="1"/>
  <c r="I792" i="3" a="1"/>
  <c r="I792" i="3" s="1"/>
  <c r="I793" i="3" a="1"/>
  <c r="I793" i="3" s="1"/>
  <c r="I794" i="3" a="1"/>
  <c r="I794" i="3"/>
  <c r="I795" i="3" a="1"/>
  <c r="I795" i="3" s="1"/>
  <c r="I796" i="3" a="1"/>
  <c r="I796" i="3" s="1"/>
  <c r="I797" i="3" a="1"/>
  <c r="I797" i="3" s="1"/>
  <c r="I798" i="3" a="1"/>
  <c r="I798" i="3" s="1"/>
  <c r="I799" i="3" a="1"/>
  <c r="I799" i="3" s="1"/>
  <c r="I800" i="3" a="1"/>
  <c r="I800" i="3" s="1"/>
  <c r="I801" i="3" a="1"/>
  <c r="I801" i="3" s="1"/>
  <c r="I802" i="3" a="1"/>
  <c r="I802" i="3"/>
  <c r="I803" i="3" a="1"/>
  <c r="I803" i="3" s="1"/>
  <c r="I804" i="3" a="1"/>
  <c r="I804" i="3" s="1"/>
  <c r="I805" i="3" a="1"/>
  <c r="I805" i="3" s="1"/>
  <c r="I806" i="3" a="1"/>
  <c r="I806" i="3" s="1"/>
  <c r="I807" i="3" a="1"/>
  <c r="I807" i="3" s="1"/>
  <c r="I808" i="3" a="1"/>
  <c r="I808" i="3" s="1"/>
  <c r="I809" i="3" a="1"/>
  <c r="I809" i="3" s="1"/>
  <c r="I810" i="3" a="1"/>
  <c r="I810" i="3"/>
  <c r="I811" i="3" a="1"/>
  <c r="I811" i="3" s="1"/>
  <c r="I812" i="3" a="1"/>
  <c r="I812" i="3" s="1"/>
  <c r="I813" i="3" a="1"/>
  <c r="I813" i="3" s="1"/>
  <c r="I814" i="3" a="1"/>
  <c r="I814" i="3" s="1"/>
  <c r="I815" i="3" a="1"/>
  <c r="I815" i="3" s="1"/>
  <c r="I816" i="3" a="1"/>
  <c r="I816" i="3" s="1"/>
  <c r="I817" i="3" a="1"/>
  <c r="I817" i="3" s="1"/>
  <c r="I818" i="3" a="1"/>
  <c r="I818" i="3"/>
  <c r="I819" i="3" a="1"/>
  <c r="I819" i="3" s="1"/>
  <c r="I820" i="3" a="1"/>
  <c r="I820" i="3" s="1"/>
  <c r="I821" i="3" a="1"/>
  <c r="I821" i="3" s="1"/>
  <c r="I822" i="3" a="1"/>
  <c r="I822" i="3" s="1"/>
  <c r="I823" i="3" a="1"/>
  <c r="I823" i="3" s="1"/>
  <c r="I824" i="3" a="1"/>
  <c r="I824" i="3" s="1"/>
  <c r="I825" i="3" a="1"/>
  <c r="I825" i="3" s="1"/>
  <c r="I826" i="3" a="1"/>
  <c r="I826" i="3"/>
  <c r="I827" i="3" a="1"/>
  <c r="I827" i="3" s="1"/>
  <c r="I828" i="3" a="1"/>
  <c r="I828" i="3" s="1"/>
  <c r="I829" i="3" a="1"/>
  <c r="I829" i="3" s="1"/>
  <c r="I830" i="3" a="1"/>
  <c r="I830" i="3" s="1"/>
  <c r="I831" i="3" a="1"/>
  <c r="I831" i="3" s="1"/>
  <c r="I832" i="3" a="1"/>
  <c r="I832" i="3" s="1"/>
  <c r="I833" i="3" a="1"/>
  <c r="I833" i="3" s="1"/>
  <c r="I834" i="3" a="1"/>
  <c r="I834" i="3"/>
  <c r="I835" i="3" a="1"/>
  <c r="I835" i="3" s="1"/>
  <c r="I836" i="3" a="1"/>
  <c r="I836" i="3" s="1"/>
  <c r="I837" i="3" a="1"/>
  <c r="I837" i="3" s="1"/>
  <c r="I838" i="3" a="1"/>
  <c r="I838" i="3" s="1"/>
  <c r="I839" i="3" a="1"/>
  <c r="I839" i="3" s="1"/>
  <c r="I840" i="3" a="1"/>
  <c r="I840" i="3" s="1"/>
  <c r="I841" i="3" a="1"/>
  <c r="I841" i="3" s="1"/>
  <c r="I842" i="3" a="1"/>
  <c r="I842" i="3"/>
  <c r="I843" i="3" a="1"/>
  <c r="I843" i="3" s="1"/>
  <c r="I844" i="3" a="1"/>
  <c r="I844" i="3" s="1"/>
  <c r="I845" i="3" a="1"/>
  <c r="I845" i="3" s="1"/>
  <c r="I846" i="3" a="1"/>
  <c r="I846" i="3" s="1"/>
  <c r="I847" i="3" a="1"/>
  <c r="I847" i="3" s="1"/>
  <c r="I848" i="3" a="1"/>
  <c r="I848" i="3" s="1"/>
  <c r="I849" i="3" a="1"/>
  <c r="I849" i="3" s="1"/>
  <c r="I850" i="3" a="1"/>
  <c r="I850" i="3"/>
  <c r="I851" i="3" a="1"/>
  <c r="I851" i="3" s="1"/>
  <c r="I852" i="3" a="1"/>
  <c r="I852" i="3" s="1"/>
  <c r="I853" i="3" a="1"/>
  <c r="I853" i="3" s="1"/>
  <c r="I854" i="3" a="1"/>
  <c r="I854" i="3" s="1"/>
  <c r="I855" i="3" a="1"/>
  <c r="I855" i="3" s="1"/>
  <c r="I856" i="3" a="1"/>
  <c r="I856" i="3" s="1"/>
  <c r="I857" i="3" a="1"/>
  <c r="I857" i="3" s="1"/>
  <c r="I858" i="3" a="1"/>
  <c r="I858" i="3"/>
  <c r="I859" i="3" a="1"/>
  <c r="I859" i="3" s="1"/>
  <c r="I860" i="3" a="1"/>
  <c r="I860" i="3" s="1"/>
  <c r="I861" i="3" a="1"/>
  <c r="I861" i="3" s="1"/>
  <c r="I862" i="3" a="1"/>
  <c r="I862" i="3" s="1"/>
  <c r="I863" i="3" a="1"/>
  <c r="I863" i="3" s="1"/>
  <c r="I864" i="3" a="1"/>
  <c r="I864" i="3" s="1"/>
  <c r="I865" i="3" a="1"/>
  <c r="I865" i="3" s="1"/>
  <c r="I866" i="3" a="1"/>
  <c r="I866" i="3"/>
  <c r="I867" i="3" a="1"/>
  <c r="I867" i="3" s="1"/>
  <c r="I868" i="3" a="1"/>
  <c r="I868" i="3" s="1"/>
  <c r="I869" i="3" a="1"/>
  <c r="I869" i="3" s="1"/>
  <c r="I870" i="3" a="1"/>
  <c r="I870" i="3" s="1"/>
  <c r="I871" i="3" a="1"/>
  <c r="I871" i="3" s="1"/>
  <c r="I872" i="3" a="1"/>
  <c r="I872" i="3" s="1"/>
  <c r="I873" i="3" a="1"/>
  <c r="I873" i="3" s="1"/>
  <c r="I874" i="3" a="1"/>
  <c r="I874" i="3"/>
  <c r="I875" i="3" a="1"/>
  <c r="I875" i="3" s="1"/>
  <c r="I876" i="3" a="1"/>
  <c r="I876" i="3" s="1"/>
  <c r="I877" i="3" a="1"/>
  <c r="I877" i="3" s="1"/>
  <c r="I878" i="3" a="1"/>
  <c r="I878" i="3" s="1"/>
  <c r="I879" i="3" a="1"/>
  <c r="I879" i="3" s="1"/>
  <c r="I880" i="3" a="1"/>
  <c r="I880" i="3" s="1"/>
  <c r="I881" i="3" a="1"/>
  <c r="I881" i="3" s="1"/>
  <c r="I882" i="3" a="1"/>
  <c r="I882" i="3"/>
  <c r="I883" i="3" a="1"/>
  <c r="I883" i="3" s="1"/>
  <c r="I884" i="3" a="1"/>
  <c r="I884" i="3" s="1"/>
  <c r="I885" i="3" a="1"/>
  <c r="I885" i="3" s="1"/>
  <c r="I886" i="3" a="1"/>
  <c r="I886" i="3" s="1"/>
  <c r="I887" i="3" a="1"/>
  <c r="I887" i="3" s="1"/>
  <c r="I888" i="3" a="1"/>
  <c r="I888" i="3" s="1"/>
  <c r="I889" i="3" a="1"/>
  <c r="I889" i="3" s="1"/>
  <c r="I890" i="3" a="1"/>
  <c r="I890" i="3"/>
  <c r="I891" i="3" a="1"/>
  <c r="I891" i="3" s="1"/>
  <c r="I892" i="3" a="1"/>
  <c r="I892" i="3" s="1"/>
  <c r="I893" i="3" a="1"/>
  <c r="I893" i="3" s="1"/>
  <c r="I894" i="3" a="1"/>
  <c r="I894" i="3" s="1"/>
  <c r="I895" i="3" a="1"/>
  <c r="I895" i="3" s="1"/>
  <c r="I896" i="3" a="1"/>
  <c r="I896" i="3" s="1"/>
  <c r="I897" i="3" a="1"/>
  <c r="I897" i="3" s="1"/>
  <c r="I898" i="3" a="1"/>
  <c r="I898" i="3"/>
  <c r="I899" i="3" a="1"/>
  <c r="I899" i="3" s="1"/>
  <c r="I900" i="3" a="1"/>
  <c r="I900" i="3" s="1"/>
  <c r="I901" i="3" a="1"/>
  <c r="I901" i="3" s="1"/>
  <c r="I902" i="3" a="1"/>
  <c r="I902" i="3" s="1"/>
  <c r="I903" i="3" a="1"/>
  <c r="I903" i="3" s="1"/>
  <c r="I904" i="3" a="1"/>
  <c r="I904" i="3" s="1"/>
  <c r="I905" i="3" a="1"/>
  <c r="I905" i="3" s="1"/>
  <c r="I906" i="3" a="1"/>
  <c r="I906" i="3"/>
  <c r="I907" i="3" a="1"/>
  <c r="I907" i="3" s="1"/>
  <c r="I908" i="3" a="1"/>
  <c r="I908" i="3" s="1"/>
  <c r="I909" i="3" a="1"/>
  <c r="I909" i="3" s="1"/>
  <c r="I910" i="3" a="1"/>
  <c r="I910" i="3" s="1"/>
  <c r="I911" i="3" a="1"/>
  <c r="I911" i="3" s="1"/>
  <c r="I912" i="3" a="1"/>
  <c r="I912" i="3" s="1"/>
  <c r="I913" i="3" a="1"/>
  <c r="I913" i="3" s="1"/>
  <c r="I914" i="3" a="1"/>
  <c r="I914" i="3"/>
  <c r="I915" i="3" a="1"/>
  <c r="I915" i="3" s="1"/>
  <c r="I916" i="3" a="1"/>
  <c r="I916" i="3" s="1"/>
  <c r="I917" i="3" a="1"/>
  <c r="I917" i="3" s="1"/>
  <c r="I918" i="3" a="1"/>
  <c r="I918" i="3" s="1"/>
  <c r="I919" i="3" a="1"/>
  <c r="I919" i="3" s="1"/>
  <c r="I920" i="3" a="1"/>
  <c r="I920" i="3"/>
  <c r="I921" i="3" a="1"/>
  <c r="I921" i="3" s="1"/>
  <c r="I922" i="3" a="1"/>
  <c r="I922" i="3"/>
  <c r="I923" i="3" a="1"/>
  <c r="I923" i="3" s="1"/>
  <c r="I924" i="3" a="1"/>
  <c r="I924" i="3" s="1"/>
  <c r="I925" i="3" a="1"/>
  <c r="I925" i="3" s="1"/>
  <c r="I926" i="3" a="1"/>
  <c r="I926" i="3" s="1"/>
  <c r="I927" i="3" a="1"/>
  <c r="I927" i="3" s="1"/>
  <c r="I928" i="3" a="1"/>
  <c r="I928" i="3" s="1"/>
  <c r="I929" i="3" a="1"/>
  <c r="I929" i="3" s="1"/>
  <c r="I930" i="3" a="1"/>
  <c r="I930" i="3" s="1"/>
  <c r="I931" i="3" a="1"/>
  <c r="I931" i="3"/>
  <c r="I932" i="3" a="1"/>
  <c r="I932" i="3" s="1"/>
  <c r="I933" i="3" a="1"/>
  <c r="I933" i="3" s="1"/>
  <c r="I934" i="3" a="1"/>
  <c r="I934" i="3" s="1"/>
  <c r="I935" i="3" a="1"/>
  <c r="I935" i="3" s="1"/>
  <c r="I936" i="3" a="1"/>
  <c r="I936" i="3" s="1"/>
  <c r="I937" i="3" a="1"/>
  <c r="I937" i="3" s="1"/>
  <c r="I938" i="3" a="1"/>
  <c r="I938" i="3" s="1"/>
  <c r="I939" i="3" a="1"/>
  <c r="I939" i="3"/>
  <c r="I940" i="3" a="1"/>
  <c r="I940" i="3" s="1"/>
  <c r="I941" i="3" a="1"/>
  <c r="I941" i="3" s="1"/>
  <c r="I942" i="3" a="1"/>
  <c r="I942" i="3" s="1"/>
  <c r="I943" i="3" a="1"/>
  <c r="I943" i="3" s="1"/>
  <c r="I944" i="3" a="1"/>
  <c r="I944" i="3" s="1"/>
  <c r="I945" i="3" a="1"/>
  <c r="I945" i="3" s="1"/>
  <c r="I946" i="3" a="1"/>
  <c r="I946" i="3" s="1"/>
  <c r="I947" i="3" a="1"/>
  <c r="I947" i="3"/>
  <c r="I948" i="3" a="1"/>
  <c r="I948" i="3" s="1"/>
  <c r="I949" i="3" a="1"/>
  <c r="I949" i="3" s="1"/>
  <c r="I950" i="3" a="1"/>
  <c r="I950" i="3" s="1"/>
  <c r="I951" i="3" a="1"/>
  <c r="I951" i="3" s="1"/>
  <c r="I952" i="3" a="1"/>
  <c r="I952" i="3" s="1"/>
  <c r="I953" i="3" a="1"/>
  <c r="I953" i="3" s="1"/>
  <c r="I954" i="3" a="1"/>
  <c r="I954" i="3" s="1"/>
  <c r="I955" i="3" a="1"/>
  <c r="I955" i="3"/>
  <c r="I956" i="3" a="1"/>
  <c r="I956" i="3" s="1"/>
  <c r="I957" i="3" a="1"/>
  <c r="I957" i="3" s="1"/>
  <c r="I958" i="3" a="1"/>
  <c r="I958" i="3" s="1"/>
  <c r="I959" i="3" a="1"/>
  <c r="I959" i="3" s="1"/>
  <c r="I960" i="3" a="1"/>
  <c r="I960" i="3" s="1"/>
  <c r="I961" i="3" a="1"/>
  <c r="I961" i="3" s="1"/>
  <c r="I962" i="3" a="1"/>
  <c r="I962" i="3" s="1"/>
  <c r="I963" i="3" a="1"/>
  <c r="I963" i="3"/>
  <c r="I964" i="3" a="1"/>
  <c r="I964" i="3" s="1"/>
  <c r="I965" i="3" a="1"/>
  <c r="I965" i="3" s="1"/>
  <c r="I966" i="3" a="1"/>
  <c r="I966" i="3" s="1"/>
  <c r="I967" i="3" a="1"/>
  <c r="I967" i="3" s="1"/>
  <c r="I968" i="3" a="1"/>
  <c r="I968" i="3" s="1"/>
  <c r="I969" i="3" a="1"/>
  <c r="I969" i="3" s="1"/>
  <c r="I970" i="3" a="1"/>
  <c r="I970" i="3" s="1"/>
  <c r="I971" i="3" a="1"/>
  <c r="I971" i="3"/>
  <c r="I972" i="3" a="1"/>
  <c r="I972" i="3" s="1"/>
  <c r="I973" i="3" a="1"/>
  <c r="I973" i="3" s="1"/>
  <c r="I974" i="3" a="1"/>
  <c r="I974" i="3" s="1"/>
  <c r="I975" i="3" a="1"/>
  <c r="I975" i="3" s="1"/>
  <c r="I976" i="3" a="1"/>
  <c r="I976" i="3" s="1"/>
  <c r="I977" i="3" a="1"/>
  <c r="I977" i="3" s="1"/>
  <c r="I978" i="3" a="1"/>
  <c r="I978" i="3" s="1"/>
  <c r="I979" i="3" a="1"/>
  <c r="I979" i="3"/>
  <c r="I980" i="3" a="1"/>
  <c r="I980" i="3" s="1"/>
  <c r="I981" i="3" a="1"/>
  <c r="I981" i="3" s="1"/>
  <c r="I982" i="3" a="1"/>
  <c r="I982" i="3" s="1"/>
  <c r="I983" i="3" a="1"/>
  <c r="I983" i="3" s="1"/>
  <c r="I984" i="3" a="1"/>
  <c r="I984" i="3" s="1"/>
  <c r="I985" i="3" a="1"/>
  <c r="I985" i="3" s="1"/>
  <c r="I986" i="3" a="1"/>
  <c r="I986" i="3" s="1"/>
  <c r="I987" i="3" a="1"/>
  <c r="I987" i="3"/>
  <c r="I988" i="3" a="1"/>
  <c r="I988" i="3" s="1"/>
  <c r="I989" i="3" a="1"/>
  <c r="I989" i="3" s="1"/>
  <c r="I990" i="3" a="1"/>
  <c r="I990" i="3" s="1"/>
  <c r="I991" i="3" a="1"/>
  <c r="I991" i="3" s="1"/>
  <c r="I992" i="3" a="1"/>
  <c r="I992" i="3" s="1"/>
  <c r="I993" i="3" a="1"/>
  <c r="I993" i="3" s="1"/>
  <c r="I994" i="3" a="1"/>
  <c r="I994" i="3" s="1"/>
  <c r="I995" i="3" a="1"/>
  <c r="I995" i="3"/>
  <c r="I996" i="3" a="1"/>
  <c r="I996" i="3" s="1"/>
  <c r="I997" i="3" a="1"/>
  <c r="I997" i="3" s="1"/>
  <c r="I998" i="3" a="1"/>
  <c r="I998" i="3" s="1"/>
  <c r="I999" i="3" a="1"/>
  <c r="I999" i="3" s="1"/>
  <c r="I1000" i="3" a="1"/>
  <c r="I1000" i="3" s="1"/>
  <c r="I1001" i="3" a="1"/>
  <c r="I1001" i="3" s="1"/>
  <c r="I1002" i="3" a="1"/>
  <c r="I1002" i="3" s="1"/>
  <c r="I1003" i="3" a="1"/>
  <c r="I1003" i="3"/>
  <c r="I1004" i="3" a="1"/>
  <c r="I1004" i="3" s="1"/>
  <c r="I1005" i="3" a="1"/>
  <c r="I1005" i="3" s="1"/>
  <c r="I1006" i="3" a="1"/>
  <c r="I1006" i="3" s="1"/>
  <c r="I1007" i="3" a="1"/>
  <c r="I1007" i="3" s="1"/>
  <c r="I1008" i="3" a="1"/>
  <c r="I1008" i="3" s="1"/>
  <c r="I1009" i="3" a="1"/>
  <c r="I1009" i="3" s="1"/>
  <c r="I1010" i="3" a="1"/>
  <c r="I1010" i="3" s="1"/>
  <c r="I1011" i="3" a="1"/>
  <c r="I1011" i="3"/>
  <c r="I1012" i="3" a="1"/>
  <c r="I1012" i="3" s="1"/>
  <c r="I1013" i="3" a="1"/>
  <c r="I1013" i="3" s="1"/>
  <c r="I1014" i="3" a="1"/>
  <c r="I1014" i="3" s="1"/>
  <c r="I1015" i="3" a="1"/>
  <c r="I1015" i="3" s="1"/>
  <c r="I1016" i="3" a="1"/>
  <c r="I1016" i="3" s="1"/>
  <c r="I1017" i="3" a="1"/>
  <c r="I1017" i="3" s="1"/>
  <c r="I1018" i="3" a="1"/>
  <c r="I1018" i="3" s="1"/>
  <c r="I1019" i="3" a="1"/>
  <c r="I1019" i="3"/>
  <c r="I1020" i="3" a="1"/>
  <c r="I1020" i="3" s="1"/>
  <c r="I1021" i="3" a="1"/>
  <c r="I1021" i="3" s="1"/>
  <c r="I1022" i="3" a="1"/>
  <c r="I1022" i="3" s="1"/>
  <c r="I1023" i="3" a="1"/>
  <c r="I1023" i="3" s="1"/>
  <c r="I1024" i="3" a="1"/>
  <c r="I1024" i="3" s="1"/>
  <c r="I1025" i="3" a="1"/>
  <c r="I1025" i="3" s="1"/>
  <c r="I1026" i="3" a="1"/>
  <c r="I1026" i="3" s="1"/>
  <c r="I1027" i="3" a="1"/>
  <c r="I1027" i="3"/>
  <c r="I1028" i="3" a="1"/>
  <c r="I1028" i="3" s="1"/>
  <c r="I1029" i="3" a="1"/>
  <c r="I1029" i="3" s="1"/>
  <c r="I1030" i="3" a="1"/>
  <c r="I1030" i="3" s="1"/>
  <c r="I1031" i="3" a="1"/>
  <c r="I1031" i="3" s="1"/>
  <c r="I1032" i="3" a="1"/>
  <c r="I1032" i="3" s="1"/>
  <c r="I1033" i="3" a="1"/>
  <c r="I1033" i="3" s="1"/>
  <c r="I1034" i="3" a="1"/>
  <c r="I1034" i="3" s="1"/>
  <c r="I1035" i="3" a="1"/>
  <c r="I1035" i="3"/>
  <c r="I1036" i="3" a="1"/>
  <c r="I1036" i="3" s="1"/>
  <c r="I1037" i="3" a="1"/>
  <c r="I1037" i="3" s="1"/>
  <c r="I1038" i="3" a="1"/>
  <c r="I1038" i="3" s="1"/>
  <c r="I1039" i="3" a="1"/>
  <c r="I1039" i="3" s="1"/>
  <c r="I1040" i="3" a="1"/>
  <c r="I1040" i="3" s="1"/>
  <c r="I1041" i="3" a="1"/>
  <c r="I1041" i="3" s="1"/>
  <c r="I1042" i="3" a="1"/>
  <c r="I1042" i="3" s="1"/>
  <c r="I1043" i="3" a="1"/>
  <c r="I1043" i="3"/>
  <c r="I1044" i="3" a="1"/>
  <c r="I1044" i="3" s="1"/>
  <c r="I1045" i="3" a="1"/>
  <c r="I1045" i="3" s="1"/>
  <c r="I1046" i="3" a="1"/>
  <c r="I1046" i="3" s="1"/>
  <c r="I1047" i="3" a="1"/>
  <c r="I1047" i="3" s="1"/>
  <c r="I1048" i="3" a="1"/>
  <c r="I1048" i="3" s="1"/>
  <c r="I1049" i="3" a="1"/>
  <c r="I1049" i="3" s="1"/>
  <c r="I1050" i="3" a="1"/>
  <c r="I1050" i="3" s="1"/>
  <c r="I1051" i="3" a="1"/>
  <c r="I1051" i="3"/>
  <c r="I1052" i="3" a="1"/>
  <c r="I1052" i="3" s="1"/>
  <c r="I1053" i="3" a="1"/>
  <c r="I1053" i="3" s="1"/>
  <c r="I1054" i="3" a="1"/>
  <c r="I1054" i="3" s="1"/>
  <c r="I1055" i="3" a="1"/>
  <c r="I1055" i="3" s="1"/>
  <c r="I1056" i="3" a="1"/>
  <c r="I1056" i="3" s="1"/>
  <c r="I1057" i="3" a="1"/>
  <c r="I1057" i="3" s="1"/>
  <c r="I1058" i="3" a="1"/>
  <c r="I1058" i="3" s="1"/>
  <c r="I1059" i="3" a="1"/>
  <c r="I1059" i="3"/>
  <c r="I1060" i="3" a="1"/>
  <c r="I1060" i="3" s="1"/>
  <c r="I1061" i="3" a="1"/>
  <c r="I1061" i="3" s="1"/>
  <c r="I1062" i="3" a="1"/>
  <c r="I1062" i="3" s="1"/>
  <c r="I1063" i="3" a="1"/>
  <c r="I1063" i="3" s="1"/>
  <c r="I1064" i="3" a="1"/>
  <c r="I1064" i="3" s="1"/>
  <c r="I1065" i="3" a="1"/>
  <c r="I1065" i="3" s="1"/>
  <c r="I1066" i="3" a="1"/>
  <c r="I1066" i="3" s="1"/>
  <c r="I1067" i="3" a="1"/>
  <c r="I1067" i="3"/>
  <c r="I1068" i="3" a="1"/>
  <c r="I1068" i="3" s="1"/>
  <c r="I1069" i="3" a="1"/>
  <c r="I1069" i="3" s="1"/>
  <c r="I1070" i="3" a="1"/>
  <c r="I1070" i="3" s="1"/>
  <c r="I1071" i="3" a="1"/>
  <c r="I1071" i="3" s="1"/>
  <c r="I1072" i="3" a="1"/>
  <c r="I1072" i="3" s="1"/>
  <c r="I1073" i="3" a="1"/>
  <c r="I1073" i="3" s="1"/>
  <c r="I1074" i="3" a="1"/>
  <c r="I1074" i="3" s="1"/>
  <c r="I1075" i="3" a="1"/>
  <c r="I1075" i="3"/>
  <c r="I1076" i="3" a="1"/>
  <c r="I1076" i="3" s="1"/>
  <c r="I1077" i="3" a="1"/>
  <c r="I1077" i="3" s="1"/>
  <c r="I1078" i="3" a="1"/>
  <c r="I1078" i="3" s="1"/>
  <c r="I1079" i="3" a="1"/>
  <c r="I1079" i="3" s="1"/>
  <c r="I1080" i="3" a="1"/>
  <c r="I1080" i="3" s="1"/>
  <c r="I1081" i="3" a="1"/>
  <c r="I1081" i="3" s="1"/>
  <c r="I1082" i="3" a="1"/>
  <c r="I1082" i="3" s="1"/>
  <c r="I1083" i="3" a="1"/>
  <c r="I1083" i="3"/>
  <c r="I1084" i="3" a="1"/>
  <c r="I1084" i="3" s="1"/>
  <c r="I1085" i="3" a="1"/>
  <c r="I1085" i="3" s="1"/>
  <c r="I1086" i="3" a="1"/>
  <c r="I1086" i="3" s="1"/>
  <c r="I1087" i="3" a="1"/>
  <c r="I1087" i="3" s="1"/>
  <c r="I1088" i="3" a="1"/>
  <c r="I1088" i="3" s="1"/>
  <c r="I1089" i="3" a="1"/>
  <c r="I1089" i="3" s="1"/>
  <c r="I1090" i="3" a="1"/>
  <c r="I1090" i="3" s="1"/>
  <c r="I1091" i="3" a="1"/>
  <c r="I1091" i="3"/>
  <c r="I1092" i="3" a="1"/>
  <c r="I1092" i="3" s="1"/>
  <c r="I1093" i="3" a="1"/>
  <c r="I1093" i="3" s="1"/>
  <c r="I1094" i="3" a="1"/>
  <c r="I1094" i="3" s="1"/>
  <c r="I1095" i="3" a="1"/>
  <c r="I1095" i="3" s="1"/>
  <c r="I1096" i="3" a="1"/>
  <c r="I1096" i="3" s="1"/>
  <c r="I1097" i="3" a="1"/>
  <c r="I1097" i="3" s="1"/>
  <c r="I1098" i="3" a="1"/>
  <c r="I1098" i="3" s="1"/>
  <c r="I1099" i="3" a="1"/>
  <c r="I1099" i="3"/>
  <c r="I1100" i="3" a="1"/>
  <c r="I1100" i="3" s="1"/>
  <c r="I1101" i="3" a="1"/>
  <c r="I1101" i="3" s="1"/>
  <c r="I1102" i="3" a="1"/>
  <c r="I1102" i="3" s="1"/>
  <c r="I1103" i="3" a="1"/>
  <c r="I1103" i="3" s="1"/>
  <c r="I1104" i="3" a="1"/>
  <c r="I1104" i="3" s="1"/>
  <c r="I1105" i="3" a="1"/>
  <c r="I1105" i="3" s="1"/>
  <c r="I1106" i="3" a="1"/>
  <c r="I1106" i="3" s="1"/>
  <c r="I1107" i="3" a="1"/>
  <c r="I1107" i="3"/>
  <c r="I1108" i="3" a="1"/>
  <c r="I1108" i="3" s="1"/>
  <c r="I1109" i="3" a="1"/>
  <c r="I1109" i="3" s="1"/>
  <c r="I1110" i="3" a="1"/>
  <c r="I1110" i="3" s="1"/>
  <c r="I1111" i="3" a="1"/>
  <c r="I1111" i="3" s="1"/>
  <c r="I1112" i="3" a="1"/>
  <c r="I1112" i="3" s="1"/>
  <c r="I1113" i="3" a="1"/>
  <c r="I1113" i="3" s="1"/>
  <c r="I1114" i="3" a="1"/>
  <c r="I1114" i="3" s="1"/>
  <c r="I1115" i="3" a="1"/>
  <c r="I1115" i="3"/>
  <c r="I1116" i="3" a="1"/>
  <c r="I1116" i="3" s="1"/>
  <c r="I1117" i="3" a="1"/>
  <c r="I1117" i="3" s="1"/>
  <c r="I1118" i="3" a="1"/>
  <c r="I1118" i="3" s="1"/>
  <c r="I1119" i="3" a="1"/>
  <c r="I1119" i="3" s="1"/>
  <c r="I1120" i="3" a="1"/>
  <c r="I1120" i="3" s="1"/>
  <c r="I1121" i="3" a="1"/>
  <c r="I1121" i="3" s="1"/>
  <c r="I1122" i="3" a="1"/>
  <c r="I1122" i="3" s="1"/>
  <c r="I1123" i="3" a="1"/>
  <c r="I1123" i="3"/>
  <c r="I1124" i="3" a="1"/>
  <c r="I1124" i="3" s="1"/>
  <c r="I1125" i="3" a="1"/>
  <c r="I1125" i="3" s="1"/>
  <c r="I1126" i="3" a="1"/>
  <c r="I1126" i="3" s="1"/>
  <c r="I1127" i="3" a="1"/>
  <c r="I1127" i="3" s="1"/>
  <c r="I1128" i="3" a="1"/>
  <c r="I1128" i="3" s="1"/>
  <c r="I1129" i="3" a="1"/>
  <c r="I1129" i="3" s="1"/>
  <c r="I1130" i="3" a="1"/>
  <c r="I1130" i="3" s="1"/>
  <c r="I1131" i="3" a="1"/>
  <c r="I1131" i="3"/>
  <c r="I1132" i="3" a="1"/>
  <c r="I1132" i="3" s="1"/>
  <c r="I1133" i="3" a="1"/>
  <c r="I1133" i="3" s="1"/>
  <c r="I1134" i="3" a="1"/>
  <c r="I1134" i="3" s="1"/>
  <c r="I1135" i="3" a="1"/>
  <c r="I1135" i="3" s="1"/>
  <c r="I1136" i="3" a="1"/>
  <c r="I1136" i="3" s="1"/>
  <c r="I1137" i="3" a="1"/>
  <c r="I1137" i="3" s="1"/>
  <c r="I1138" i="3" a="1"/>
  <c r="I1138" i="3" s="1"/>
  <c r="I1139" i="3" a="1"/>
  <c r="I1139" i="3"/>
  <c r="I1140" i="3" a="1"/>
  <c r="I1140" i="3" s="1"/>
  <c r="I1141" i="3" a="1"/>
  <c r="I1141" i="3" s="1"/>
  <c r="I1142" i="3" a="1"/>
  <c r="I1142" i="3" s="1"/>
  <c r="I1143" i="3" a="1"/>
  <c r="I1143" i="3" s="1"/>
  <c r="I1144" i="3" a="1"/>
  <c r="I1144" i="3" s="1"/>
  <c r="I1145" i="3" a="1"/>
  <c r="I1145" i="3" s="1"/>
  <c r="I1146" i="3" a="1"/>
  <c r="I1146" i="3" s="1"/>
  <c r="I1147" i="3" a="1"/>
  <c r="I1147" i="3"/>
  <c r="I1148" i="3" a="1"/>
  <c r="I1148" i="3" s="1"/>
  <c r="I1149" i="3" a="1"/>
  <c r="I1149" i="3" s="1"/>
  <c r="I1150" i="3" a="1"/>
  <c r="I1150" i="3" s="1"/>
  <c r="I1151" i="3" a="1"/>
  <c r="I1151" i="3" s="1"/>
  <c r="I1152" i="3" a="1"/>
  <c r="I1152" i="3" s="1"/>
  <c r="I1153" i="3" a="1"/>
  <c r="I1153" i="3" s="1"/>
  <c r="I1154" i="3" a="1"/>
  <c r="I1154" i="3" s="1"/>
  <c r="I1155" i="3" a="1"/>
  <c r="I1155" i="3"/>
  <c r="I1156" i="3" a="1"/>
  <c r="I1156" i="3" s="1"/>
  <c r="I1157" i="3" a="1"/>
  <c r="I1157" i="3" s="1"/>
  <c r="I1158" i="3" a="1"/>
  <c r="I1158" i="3" s="1"/>
  <c r="I1159" i="3" a="1"/>
  <c r="I1159" i="3" s="1"/>
  <c r="I1160" i="3" a="1"/>
  <c r="I1160" i="3" s="1"/>
  <c r="I1161" i="3" a="1"/>
  <c r="I1161" i="3" s="1"/>
  <c r="I1162" i="3" a="1"/>
  <c r="I1162" i="3" s="1"/>
  <c r="I1163" i="3" a="1"/>
  <c r="I1163" i="3"/>
  <c r="I1164" i="3" a="1"/>
  <c r="I1164" i="3" s="1"/>
  <c r="I1165" i="3" a="1"/>
  <c r="I1165" i="3" s="1"/>
  <c r="I1166" i="3" a="1"/>
  <c r="I1166" i="3" s="1"/>
  <c r="I1167" i="3" a="1"/>
  <c r="I1167" i="3" s="1"/>
  <c r="I1168" i="3" a="1"/>
  <c r="I1168" i="3" s="1"/>
  <c r="I1169" i="3" a="1"/>
  <c r="I1169" i="3" s="1"/>
  <c r="I1170" i="3" a="1"/>
  <c r="I1170" i="3" s="1"/>
  <c r="I1171" i="3" a="1"/>
  <c r="I1171" i="3"/>
  <c r="I1172" i="3" a="1"/>
  <c r="I1172" i="3" s="1"/>
  <c r="I1173" i="3" a="1"/>
  <c r="I1173" i="3" s="1"/>
  <c r="I1174" i="3" a="1"/>
  <c r="I1174" i="3" s="1"/>
  <c r="I1175" i="3" a="1"/>
  <c r="I1175" i="3" s="1"/>
  <c r="I1176" i="3" a="1"/>
  <c r="I1176" i="3" s="1"/>
  <c r="I1177" i="3" a="1"/>
  <c r="I1177" i="3" s="1"/>
  <c r="I1178" i="3" a="1"/>
  <c r="I1178" i="3" s="1"/>
  <c r="I1179" i="3" a="1"/>
  <c r="I1179" i="3"/>
  <c r="I1180" i="3" a="1"/>
  <c r="I1180" i="3" s="1"/>
  <c r="I1181" i="3" a="1"/>
  <c r="I1181" i="3" s="1"/>
  <c r="I1182" i="3" a="1"/>
  <c r="I1182" i="3" s="1"/>
  <c r="I1183" i="3" a="1"/>
  <c r="I1183" i="3" s="1"/>
  <c r="I1184" i="3" a="1"/>
  <c r="I1184" i="3" s="1"/>
  <c r="I1185" i="3" a="1"/>
  <c r="I1185" i="3" s="1"/>
  <c r="I1186" i="3" a="1"/>
  <c r="I1186" i="3" s="1"/>
  <c r="I1187" i="3" a="1"/>
  <c r="I1187" i="3"/>
  <c r="I1188" i="3" a="1"/>
  <c r="I1188" i="3" s="1"/>
  <c r="I1189" i="3" a="1"/>
  <c r="I1189" i="3" s="1"/>
  <c r="I1190" i="3" a="1"/>
  <c r="I1190" i="3" s="1"/>
  <c r="I1191" i="3" a="1"/>
  <c r="I1191" i="3" s="1"/>
  <c r="I1192" i="3" a="1"/>
  <c r="I1192" i="3" s="1"/>
  <c r="I1193" i="3" a="1"/>
  <c r="I1193" i="3" s="1"/>
  <c r="I1194" i="3" a="1"/>
  <c r="I1194" i="3" s="1"/>
  <c r="I1195" i="3" a="1"/>
  <c r="I1195" i="3"/>
  <c r="I1196" i="3" a="1"/>
  <c r="I1196" i="3" s="1"/>
  <c r="I1197" i="3" a="1"/>
  <c r="I1197" i="3" s="1"/>
  <c r="I1198" i="3" a="1"/>
  <c r="I1198" i="3" s="1"/>
  <c r="I1199" i="3" a="1"/>
  <c r="I1199" i="3" s="1"/>
  <c r="I1200" i="3" a="1"/>
  <c r="I1200" i="3" s="1"/>
  <c r="I1201" i="3" a="1"/>
  <c r="I1201" i="3" s="1"/>
  <c r="I1202" i="3" a="1"/>
  <c r="I1202" i="3" s="1"/>
  <c r="I1203" i="3" a="1"/>
  <c r="I1203" i="3"/>
  <c r="I1204" i="3" a="1"/>
  <c r="I1204" i="3" s="1"/>
  <c r="I1205" i="3" a="1"/>
  <c r="I1205" i="3" s="1"/>
  <c r="I1206" i="3" a="1"/>
  <c r="I1206" i="3" s="1"/>
  <c r="I1207" i="3" a="1"/>
  <c r="I1207" i="3" s="1"/>
  <c r="I1208" i="3" a="1"/>
  <c r="I1208" i="3" s="1"/>
  <c r="I1209" i="3" a="1"/>
  <c r="I1209" i="3" s="1"/>
  <c r="I1210" i="3" a="1"/>
  <c r="I1210" i="3" s="1"/>
  <c r="I1211" i="3" a="1"/>
  <c r="I1211" i="3"/>
  <c r="I1212" i="3" a="1"/>
  <c r="I1212" i="3" s="1"/>
  <c r="I1213" i="3" a="1"/>
  <c r="I1213" i="3" s="1"/>
  <c r="I1214" i="3" a="1"/>
  <c r="I1214" i="3" s="1"/>
  <c r="I1215" i="3" a="1"/>
  <c r="I1215" i="3" s="1"/>
  <c r="I1216" i="3" a="1"/>
  <c r="I1216" i="3" s="1"/>
  <c r="I1217" i="3" a="1"/>
  <c r="I1217" i="3" s="1"/>
  <c r="I1218" i="3" a="1"/>
  <c r="I1218" i="3" s="1"/>
  <c r="I1219" i="3" a="1"/>
  <c r="I1219" i="3"/>
  <c r="I1220" i="3" a="1"/>
  <c r="I1220" i="3" s="1"/>
  <c r="I1221" i="3" a="1"/>
  <c r="I1221" i="3" s="1"/>
  <c r="I1222" i="3" a="1"/>
  <c r="I1222" i="3" s="1"/>
  <c r="I1223" i="3" a="1"/>
  <c r="I1223" i="3" s="1"/>
  <c r="I1224" i="3" a="1"/>
  <c r="I1224" i="3" s="1"/>
  <c r="I1225" i="3" a="1"/>
  <c r="I1225" i="3" s="1"/>
  <c r="I1226" i="3" a="1"/>
  <c r="I1226" i="3" s="1"/>
  <c r="I1227" i="3" a="1"/>
  <c r="I1227" i="3"/>
  <c r="I1228" i="3" a="1"/>
  <c r="I1228" i="3" s="1"/>
  <c r="I1229" i="3" a="1"/>
  <c r="I1229" i="3" s="1"/>
  <c r="I1230" i="3" a="1"/>
  <c r="I1230" i="3" s="1"/>
  <c r="I1231" i="3" a="1"/>
  <c r="I1231" i="3" s="1"/>
  <c r="I1232" i="3" a="1"/>
  <c r="I1232" i="3" s="1"/>
  <c r="I1233" i="3" a="1"/>
  <c r="I1233" i="3" s="1"/>
  <c r="I1234" i="3" a="1"/>
  <c r="I1234" i="3" s="1"/>
  <c r="I1235" i="3" a="1"/>
  <c r="I1235" i="3"/>
  <c r="I1236" i="3" a="1"/>
  <c r="I1236" i="3" s="1"/>
  <c r="I1237" i="3" a="1"/>
  <c r="I1237" i="3" s="1"/>
  <c r="I1238" i="3" a="1"/>
  <c r="I1238" i="3" s="1"/>
  <c r="I1239" i="3" a="1"/>
  <c r="I1239" i="3" s="1"/>
  <c r="I1240" i="3" a="1"/>
  <c r="I1240" i="3" s="1"/>
  <c r="I1241" i="3" a="1"/>
  <c r="I1241" i="3" s="1"/>
  <c r="I1242" i="3" a="1"/>
  <c r="I1242" i="3" s="1"/>
  <c r="I1243" i="3" a="1"/>
  <c r="I1243" i="3"/>
  <c r="I1244" i="3" a="1"/>
  <c r="I1244" i="3" s="1"/>
  <c r="I1245" i="3" a="1"/>
  <c r="I1245" i="3" s="1"/>
  <c r="I1246" i="3" a="1"/>
  <c r="I1246" i="3" s="1"/>
  <c r="I1247" i="3" a="1"/>
  <c r="I1247" i="3" s="1"/>
  <c r="I1248" i="3" a="1"/>
  <c r="I1248" i="3" s="1"/>
  <c r="I1249" i="3" a="1"/>
  <c r="I1249" i="3" s="1"/>
  <c r="I1250" i="3" a="1"/>
  <c r="I1250" i="3" s="1"/>
  <c r="I1251" i="3" a="1"/>
  <c r="I1251" i="3"/>
  <c r="I1252" i="3" a="1"/>
  <c r="I1252" i="3" s="1"/>
  <c r="I1253" i="3" a="1"/>
  <c r="I1253" i="3" s="1"/>
  <c r="I1254" i="3" a="1"/>
  <c r="I1254" i="3" s="1"/>
  <c r="I1255" i="3" a="1"/>
  <c r="I1255" i="3" s="1"/>
  <c r="I1256" i="3" a="1"/>
  <c r="I1256" i="3" s="1"/>
  <c r="I1257" i="3" a="1"/>
  <c r="I1257" i="3" s="1"/>
  <c r="I1258" i="3" a="1"/>
  <c r="I1258" i="3" s="1"/>
  <c r="I1259" i="3" a="1"/>
  <c r="I1259" i="3"/>
  <c r="I1260" i="3" a="1"/>
  <c r="I1260" i="3" s="1"/>
  <c r="I1261" i="3" a="1"/>
  <c r="I1261" i="3" s="1"/>
  <c r="I1262" i="3" a="1"/>
  <c r="I1262" i="3" s="1"/>
  <c r="I1263" i="3" a="1"/>
  <c r="I1263" i="3" s="1"/>
  <c r="I1264" i="3" a="1"/>
  <c r="I1264" i="3" s="1"/>
  <c r="I1265" i="3" a="1"/>
  <c r="I1265" i="3" s="1"/>
  <c r="I1266" i="3" a="1"/>
  <c r="I1266" i="3" s="1"/>
  <c r="I1267" i="3" a="1"/>
  <c r="I1267" i="3"/>
  <c r="I1268" i="3" a="1"/>
  <c r="I1268" i="3" s="1"/>
  <c r="I1269" i="3" a="1"/>
  <c r="I1269" i="3" s="1"/>
  <c r="I1270" i="3" a="1"/>
  <c r="I1270" i="3" s="1"/>
  <c r="I1271" i="3" a="1"/>
  <c r="I1271" i="3" s="1"/>
  <c r="I1272" i="3" a="1"/>
  <c r="I1272" i="3" s="1"/>
  <c r="I1273" i="3" a="1"/>
  <c r="I1273" i="3" s="1"/>
  <c r="I1274" i="3" a="1"/>
  <c r="I1274" i="3" s="1"/>
  <c r="I1275" i="3" a="1"/>
  <c r="I1275" i="3"/>
  <c r="I1276" i="3" a="1"/>
  <c r="I1276" i="3" s="1"/>
  <c r="I1277" i="3" a="1"/>
  <c r="I1277" i="3" s="1"/>
  <c r="I1278" i="3" a="1"/>
  <c r="I1278" i="3" s="1"/>
  <c r="I1279" i="3" a="1"/>
  <c r="I1279" i="3" s="1"/>
  <c r="I1280" i="3" a="1"/>
  <c r="I1280" i="3" s="1"/>
  <c r="I1281" i="3" a="1"/>
  <c r="I1281" i="3" s="1"/>
  <c r="I1282" i="3" a="1"/>
  <c r="I1282" i="3" s="1"/>
  <c r="I1283" i="3" a="1"/>
  <c r="I1283" i="3"/>
  <c r="I1284" i="3" a="1"/>
  <c r="I1284" i="3" s="1"/>
  <c r="I1285" i="3" a="1"/>
  <c r="I1285" i="3" s="1"/>
  <c r="I1286" i="3" a="1"/>
  <c r="I1286" i="3" s="1"/>
  <c r="I1287" i="3" a="1"/>
  <c r="I1287" i="3" s="1"/>
  <c r="I1288" i="3" a="1"/>
  <c r="I1288" i="3" s="1"/>
  <c r="I1289" i="3" a="1"/>
  <c r="I1289" i="3" s="1"/>
  <c r="I1290" i="3" a="1"/>
  <c r="I1290" i="3" s="1"/>
  <c r="I1291" i="3" a="1"/>
  <c r="I1291" i="3"/>
  <c r="I1292" i="3" a="1"/>
  <c r="I1292" i="3" s="1"/>
  <c r="I1293" i="3" a="1"/>
  <c r="I1293" i="3" s="1"/>
  <c r="I1294" i="3" a="1"/>
  <c r="I1294" i="3" s="1"/>
  <c r="I1295" i="3" a="1"/>
  <c r="I1295" i="3" s="1"/>
  <c r="I1296" i="3" a="1"/>
  <c r="I1296" i="3" s="1"/>
  <c r="I1297" i="3" a="1"/>
  <c r="I1297" i="3" s="1"/>
  <c r="I1298" i="3" a="1"/>
  <c r="I1298" i="3" s="1"/>
  <c r="I1299" i="3" a="1"/>
  <c r="I1299" i="3"/>
  <c r="I1300" i="3" a="1"/>
  <c r="I1300" i="3" s="1"/>
  <c r="I1301" i="3" a="1"/>
  <c r="I1301" i="3" s="1"/>
  <c r="I1302" i="3" a="1"/>
  <c r="I1302" i="3" s="1"/>
  <c r="I1303" i="3" a="1"/>
  <c r="I1303" i="3" s="1"/>
  <c r="I1304" i="3" a="1"/>
  <c r="I1304" i="3" s="1"/>
  <c r="I1305" i="3" a="1"/>
  <c r="I1305" i="3" s="1"/>
  <c r="I1306" i="3" a="1"/>
  <c r="I1306" i="3" s="1"/>
  <c r="I1307" i="3" a="1"/>
  <c r="I1307" i="3"/>
  <c r="I1308" i="3" a="1"/>
  <c r="I1308" i="3" s="1"/>
  <c r="I1309" i="3" a="1"/>
  <c r="I1309" i="3" s="1"/>
  <c r="I1310" i="3" a="1"/>
  <c r="I1310" i="3" s="1"/>
  <c r="I1311" i="3" a="1"/>
  <c r="I1311" i="3" s="1"/>
  <c r="I1312" i="3" a="1"/>
  <c r="I1312" i="3" s="1"/>
  <c r="I1313" i="3" a="1"/>
  <c r="I1313" i="3" s="1"/>
  <c r="I1314" i="3" a="1"/>
  <c r="I1314" i="3" s="1"/>
  <c r="I1315" i="3" a="1"/>
  <c r="I1315" i="3"/>
  <c r="I1316" i="3" a="1"/>
  <c r="I1316" i="3" s="1"/>
  <c r="I1317" i="3" a="1"/>
  <c r="I1317" i="3" s="1"/>
  <c r="I1318" i="3" a="1"/>
  <c r="I1318" i="3" s="1"/>
  <c r="I1319" i="3" a="1"/>
  <c r="I1319" i="3" s="1"/>
  <c r="I1320" i="3" a="1"/>
  <c r="I1320" i="3" s="1"/>
  <c r="I1321" i="3" a="1"/>
  <c r="I1321" i="3" s="1"/>
  <c r="I1322" i="3" a="1"/>
  <c r="I1322" i="3" s="1"/>
  <c r="I1323" i="3" a="1"/>
  <c r="I1323" i="3"/>
  <c r="I1324" i="3" a="1"/>
  <c r="I1324" i="3" s="1"/>
  <c r="I1325" i="3" a="1"/>
  <c r="I1325" i="3" s="1"/>
  <c r="I1326" i="3" a="1"/>
  <c r="I1326" i="3" s="1"/>
  <c r="I1327" i="3" a="1"/>
  <c r="I1327" i="3" s="1"/>
  <c r="I1328" i="3" a="1"/>
  <c r="I1328" i="3" s="1"/>
  <c r="I1329" i="3" a="1"/>
  <c r="I1329" i="3" s="1"/>
  <c r="I1330" i="3" a="1"/>
  <c r="I1330" i="3" s="1"/>
  <c r="I1331" i="3" a="1"/>
  <c r="I1331" i="3"/>
  <c r="I1332" i="3" a="1"/>
  <c r="I1332" i="3" s="1"/>
  <c r="I1333" i="3" a="1"/>
  <c r="I1333" i="3" s="1"/>
  <c r="I1334" i="3" a="1"/>
  <c r="I1334" i="3" s="1"/>
  <c r="I1335" i="3" a="1"/>
  <c r="I1335" i="3" s="1"/>
  <c r="I1336" i="3" a="1"/>
  <c r="I1336" i="3" s="1"/>
  <c r="I1337" i="3" a="1"/>
  <c r="I1337" i="3" s="1"/>
  <c r="I1338" i="3" a="1"/>
  <c r="I1338" i="3" s="1"/>
  <c r="I1339" i="3" a="1"/>
  <c r="I1339" i="3"/>
  <c r="I1340" i="3" a="1"/>
  <c r="I1340" i="3" s="1"/>
  <c r="I1341" i="3" a="1"/>
  <c r="I1341" i="3" s="1"/>
  <c r="I1342" i="3" a="1"/>
  <c r="I1342" i="3" s="1"/>
  <c r="I1343" i="3" a="1"/>
  <c r="I1343" i="3" s="1"/>
  <c r="I1344" i="3" a="1"/>
  <c r="I1344" i="3" s="1"/>
  <c r="I1345" i="3" a="1"/>
  <c r="I1345" i="3" s="1"/>
  <c r="I1346" i="3" a="1"/>
  <c r="I1346" i="3" s="1"/>
  <c r="I1347" i="3" a="1"/>
  <c r="I1347" i="3"/>
  <c r="I1348" i="3" a="1"/>
  <c r="I1348" i="3" s="1"/>
  <c r="I1349" i="3" a="1"/>
  <c r="I1349" i="3" s="1"/>
  <c r="I1350" i="3" a="1"/>
  <c r="I1350" i="3" s="1"/>
  <c r="I1351" i="3" a="1"/>
  <c r="I1351" i="3" s="1"/>
  <c r="I1352" i="3" a="1"/>
  <c r="I1352" i="3" s="1"/>
  <c r="I1353" i="3" a="1"/>
  <c r="I1353" i="3" s="1"/>
  <c r="I1354" i="3" a="1"/>
  <c r="I1354" i="3" s="1"/>
  <c r="I1355" i="3" a="1"/>
  <c r="I1355" i="3"/>
  <c r="I1356" i="3" a="1"/>
  <c r="I1356" i="3" s="1"/>
  <c r="I1357" i="3" a="1"/>
  <c r="I1357" i="3" s="1"/>
  <c r="I1358" i="3" a="1"/>
  <c r="I1358" i="3" s="1"/>
  <c r="I1359" i="3" a="1"/>
  <c r="I1359" i="3" s="1"/>
  <c r="I1360" i="3" a="1"/>
  <c r="I1360" i="3" s="1"/>
  <c r="I1361" i="3" a="1"/>
  <c r="I1361" i="3" s="1"/>
  <c r="I1362" i="3" a="1"/>
  <c r="I1362" i="3" s="1"/>
  <c r="I1363" i="3" a="1"/>
  <c r="I1363" i="3"/>
  <c r="I1364" i="3" a="1"/>
  <c r="I1364" i="3" s="1"/>
  <c r="I1365" i="3" a="1"/>
  <c r="I1365" i="3" s="1"/>
  <c r="I1366" i="3" a="1"/>
  <c r="I1366" i="3" s="1"/>
  <c r="I1367" i="3" a="1"/>
  <c r="I1367" i="3" s="1"/>
  <c r="I1368" i="3" a="1"/>
  <c r="I1368" i="3" s="1"/>
  <c r="I1369" i="3" a="1"/>
  <c r="I1369" i="3" s="1"/>
  <c r="I1370" i="3" a="1"/>
  <c r="I1370" i="3" s="1"/>
  <c r="I1371" i="3" a="1"/>
  <c r="I1371" i="3"/>
  <c r="I1372" i="3" a="1"/>
  <c r="I1372" i="3" s="1"/>
  <c r="I1373" i="3" a="1"/>
  <c r="I1373" i="3" s="1"/>
  <c r="I1374" i="3" a="1"/>
  <c r="I1374" i="3" s="1"/>
  <c r="I1375" i="3" a="1"/>
  <c r="I1375" i="3" s="1"/>
  <c r="I1376" i="3" a="1"/>
  <c r="I1376" i="3" s="1"/>
  <c r="I1377" i="3" a="1"/>
  <c r="I1377" i="3" s="1"/>
  <c r="I1378" i="3" a="1"/>
  <c r="I1378" i="3" s="1"/>
  <c r="I1379" i="3" a="1"/>
  <c r="I1379" i="3"/>
  <c r="I1380" i="3" a="1"/>
  <c r="I1380" i="3" s="1"/>
  <c r="I1381" i="3" a="1"/>
  <c r="I1381" i="3" s="1"/>
  <c r="I1382" i="3" a="1"/>
  <c r="I1382" i="3" s="1"/>
  <c r="I1383" i="3" a="1"/>
  <c r="I1383" i="3" s="1"/>
  <c r="I1384" i="3" a="1"/>
  <c r="I1384" i="3" s="1"/>
  <c r="I1385" i="3" a="1"/>
  <c r="I1385" i="3" s="1"/>
  <c r="I1386" i="3" a="1"/>
  <c r="I1386" i="3" s="1"/>
  <c r="I1387" i="3" a="1"/>
  <c r="I1387" i="3"/>
  <c r="I1388" i="3" a="1"/>
  <c r="I1388" i="3" s="1"/>
  <c r="I1389" i="3" a="1"/>
  <c r="I1389" i="3" s="1"/>
  <c r="I1390" i="3" a="1"/>
  <c r="I1390" i="3" s="1"/>
  <c r="I1391" i="3" a="1"/>
  <c r="I1391" i="3" s="1"/>
  <c r="I1392" i="3" a="1"/>
  <c r="I1392" i="3" s="1"/>
  <c r="I1393" i="3" a="1"/>
  <c r="I1393" i="3" s="1"/>
  <c r="I1394" i="3" a="1"/>
  <c r="I1394" i="3" s="1"/>
  <c r="I1395" i="3" a="1"/>
  <c r="I1395" i="3"/>
  <c r="I1396" i="3" a="1"/>
  <c r="I1396" i="3" s="1"/>
  <c r="I1397" i="3" a="1"/>
  <c r="I1397" i="3" s="1"/>
  <c r="I1398" i="3" a="1"/>
  <c r="I1398" i="3" s="1"/>
  <c r="I1399" i="3" a="1"/>
  <c r="I1399" i="3" s="1"/>
  <c r="I1400" i="3" a="1"/>
  <c r="I1400" i="3" s="1"/>
  <c r="I1401" i="3" a="1"/>
  <c r="I1401" i="3" s="1"/>
  <c r="I1402" i="3" a="1"/>
  <c r="I1402" i="3" s="1"/>
  <c r="I1403" i="3" a="1"/>
  <c r="I1403" i="3"/>
  <c r="I1404" i="3" a="1"/>
  <c r="I1404" i="3" s="1"/>
  <c r="I1405" i="3" a="1"/>
  <c r="I1405" i="3" s="1"/>
  <c r="I1406" i="3" a="1"/>
  <c r="I1406" i="3" s="1"/>
  <c r="I1407" i="3" a="1"/>
  <c r="I1407" i="3" s="1"/>
  <c r="I1408" i="3" a="1"/>
  <c r="I1408" i="3" s="1"/>
  <c r="I1409" i="3" a="1"/>
  <c r="I1409" i="3" s="1"/>
  <c r="I1410" i="3" a="1"/>
  <c r="I1410" i="3" s="1"/>
  <c r="I1411" i="3" a="1"/>
  <c r="I1411" i="3"/>
  <c r="I1412" i="3" a="1"/>
  <c r="I1412" i="3" s="1"/>
  <c r="I1413" i="3" a="1"/>
  <c r="I1413" i="3" s="1"/>
  <c r="I1414" i="3" a="1"/>
  <c r="I1414" i="3" s="1"/>
  <c r="I1415" i="3" a="1"/>
  <c r="I1415" i="3" s="1"/>
  <c r="I1416" i="3" a="1"/>
  <c r="I1416" i="3" s="1"/>
  <c r="I1417" i="3" a="1"/>
  <c r="I1417" i="3" s="1"/>
  <c r="I1418" i="3" a="1"/>
  <c r="I1418" i="3" s="1"/>
  <c r="I1419" i="3" a="1"/>
  <c r="I1419" i="3"/>
  <c r="I1420" i="3" a="1"/>
  <c r="I1420" i="3" s="1"/>
  <c r="I1421" i="3" a="1"/>
  <c r="I1421" i="3" s="1"/>
  <c r="I1422" i="3" a="1"/>
  <c r="I1422" i="3" s="1"/>
  <c r="I1423" i="3" a="1"/>
  <c r="I1423" i="3" s="1"/>
  <c r="I1424" i="3" a="1"/>
  <c r="I1424" i="3" s="1"/>
  <c r="I1425" i="3" a="1"/>
  <c r="I1425" i="3" s="1"/>
  <c r="I1426" i="3" a="1"/>
  <c r="I1426" i="3" s="1"/>
  <c r="I1427" i="3" a="1"/>
  <c r="I1427" i="3"/>
  <c r="I1428" i="3" a="1"/>
  <c r="I1428" i="3" s="1"/>
  <c r="I1429" i="3" a="1"/>
  <c r="I1429" i="3" s="1"/>
  <c r="I1430" i="3" a="1"/>
  <c r="I1430" i="3" s="1"/>
  <c r="I1431" i="3" a="1"/>
  <c r="I1431" i="3" s="1"/>
  <c r="I1432" i="3" a="1"/>
  <c r="I1432" i="3" s="1"/>
  <c r="I1433" i="3" a="1"/>
  <c r="I1433" i="3" s="1"/>
  <c r="I1434" i="3" a="1"/>
  <c r="I1434" i="3" s="1"/>
  <c r="I1435" i="3" a="1"/>
  <c r="I1435" i="3"/>
  <c r="I1436" i="3" a="1"/>
  <c r="I1436" i="3" s="1"/>
  <c r="I1437" i="3" a="1"/>
  <c r="I1437" i="3" s="1"/>
  <c r="I1438" i="3" a="1"/>
  <c r="I1438" i="3" s="1"/>
  <c r="I1439" i="3" a="1"/>
  <c r="I1439" i="3" s="1"/>
  <c r="I1440" i="3" a="1"/>
  <c r="I1440" i="3" s="1"/>
  <c r="I1441" i="3" a="1"/>
  <c r="I1441" i="3" s="1"/>
  <c r="I1442" i="3" a="1"/>
  <c r="I1442" i="3" s="1"/>
  <c r="I1443" i="3" a="1"/>
  <c r="I1443" i="3"/>
  <c r="I1444" i="3" a="1"/>
  <c r="I1444" i="3" s="1"/>
  <c r="I1445" i="3" a="1"/>
  <c r="I1445" i="3" s="1"/>
  <c r="I1446" i="3" a="1"/>
  <c r="I1446" i="3" s="1"/>
  <c r="I1447" i="3" a="1"/>
  <c r="I1447" i="3" s="1"/>
  <c r="I1448" i="3" a="1"/>
  <c r="I1448" i="3" s="1"/>
  <c r="I1449" i="3" a="1"/>
  <c r="I1449" i="3" s="1"/>
  <c r="I1450" i="3" a="1"/>
  <c r="I1450" i="3" s="1"/>
  <c r="I1451" i="3" a="1"/>
  <c r="I1451" i="3"/>
  <c r="I1452" i="3" a="1"/>
  <c r="I1452" i="3" s="1"/>
  <c r="I1453" i="3" a="1"/>
  <c r="I1453" i="3" s="1"/>
  <c r="I1454" i="3" a="1"/>
  <c r="I1454" i="3" s="1"/>
  <c r="I1455" i="3" a="1"/>
  <c r="I1455" i="3" s="1"/>
  <c r="I1456" i="3" a="1"/>
  <c r="I1456" i="3" s="1"/>
  <c r="I1457" i="3" a="1"/>
  <c r="I1457" i="3" s="1"/>
  <c r="I1458" i="3" a="1"/>
  <c r="I1458" i="3" s="1"/>
  <c r="I1459" i="3" a="1"/>
  <c r="I1459" i="3"/>
  <c r="I1460" i="3" a="1"/>
  <c r="I1460" i="3" s="1"/>
  <c r="I1461" i="3" a="1"/>
  <c r="I1461" i="3" s="1"/>
  <c r="I1462" i="3" a="1"/>
  <c r="I1462" i="3" s="1"/>
  <c r="I1463" i="3" a="1"/>
  <c r="I1463" i="3" s="1"/>
  <c r="I1464" i="3" a="1"/>
  <c r="I1464" i="3" s="1"/>
  <c r="I1465" i="3" a="1"/>
  <c r="I1465" i="3" s="1"/>
  <c r="I1466" i="3" a="1"/>
  <c r="I1466" i="3" s="1"/>
  <c r="I1467" i="3" a="1"/>
  <c r="I1467" i="3"/>
  <c r="I1468" i="3" a="1"/>
  <c r="I1468" i="3" s="1"/>
  <c r="I1469" i="3" a="1"/>
  <c r="I1469" i="3" s="1"/>
  <c r="I1470" i="3" a="1"/>
  <c r="I1470" i="3" s="1"/>
  <c r="I1471" i="3" a="1"/>
  <c r="I1471" i="3" s="1"/>
  <c r="I1472" i="3" a="1"/>
  <c r="I1472" i="3" s="1"/>
  <c r="I1473" i="3" a="1"/>
  <c r="I1473" i="3" s="1"/>
  <c r="I1474" i="3" a="1"/>
  <c r="I1474" i="3" s="1"/>
  <c r="I1475" i="3" a="1"/>
  <c r="I1475" i="3"/>
  <c r="I1476" i="3" a="1"/>
  <c r="I1476" i="3" s="1"/>
  <c r="I1477" i="3" a="1"/>
  <c r="I1477" i="3" s="1"/>
  <c r="I1478" i="3" a="1"/>
  <c r="I1478" i="3" s="1"/>
  <c r="I1479" i="3" a="1"/>
  <c r="I1479" i="3" s="1"/>
  <c r="I1480" i="3" a="1"/>
  <c r="I1480" i="3" s="1"/>
  <c r="I1481" i="3" a="1"/>
  <c r="I1481" i="3" s="1"/>
  <c r="I1482" i="3" a="1"/>
  <c r="I1482" i="3" s="1"/>
  <c r="I1483" i="3" a="1"/>
  <c r="I1483" i="3"/>
  <c r="I1484" i="3" a="1"/>
  <c r="I1484" i="3" s="1"/>
  <c r="I1485" i="3" a="1"/>
  <c r="I1485" i="3" s="1"/>
  <c r="I1486" i="3" a="1"/>
  <c r="I1486" i="3" s="1"/>
  <c r="I1487" i="3" a="1"/>
  <c r="I1487" i="3" s="1"/>
  <c r="I1488" i="3" a="1"/>
  <c r="I1488" i="3" s="1"/>
  <c r="I1489" i="3" a="1"/>
  <c r="I1489" i="3" s="1"/>
  <c r="I1490" i="3" a="1"/>
  <c r="I1490" i="3" s="1"/>
  <c r="I1491" i="3" a="1"/>
  <c r="I1491" i="3"/>
  <c r="I1492" i="3" a="1"/>
  <c r="I1492" i="3" s="1"/>
  <c r="I1493" i="3" a="1"/>
  <c r="I1493" i="3" s="1"/>
  <c r="I1494" i="3" a="1"/>
  <c r="I1494" i="3" s="1"/>
  <c r="I1495" i="3" a="1"/>
  <c r="I1495" i="3" s="1"/>
  <c r="I1496" i="3" a="1"/>
  <c r="I1496" i="3" s="1"/>
  <c r="I1497" i="3" a="1"/>
  <c r="I1497" i="3" s="1"/>
  <c r="I1498" i="3" a="1"/>
  <c r="I1498" i="3" s="1"/>
  <c r="I1499" i="3" a="1"/>
  <c r="I1499" i="3"/>
  <c r="I1500" i="3" a="1"/>
  <c r="I1500" i="3" s="1"/>
  <c r="I1501" i="3" a="1"/>
  <c r="I1501" i="3" s="1"/>
  <c r="I1502" i="3" a="1"/>
  <c r="I1502" i="3" s="1"/>
  <c r="I1503" i="3" a="1"/>
  <c r="I1503" i="3" s="1"/>
  <c r="I1504" i="3" a="1"/>
  <c r="I1504" i="3" s="1"/>
  <c r="I1505" i="3" a="1"/>
  <c r="I1505" i="3" s="1"/>
  <c r="I1506" i="3" a="1"/>
  <c r="I1506" i="3" s="1"/>
  <c r="I1507" i="3" a="1"/>
  <c r="I1507" i="3"/>
  <c r="I1508" i="3" a="1"/>
  <c r="I1508" i="3" s="1"/>
  <c r="I1509" i="3" a="1"/>
  <c r="I1509" i="3" s="1"/>
  <c r="I1510" i="3" a="1"/>
  <c r="I1510" i="3" s="1"/>
  <c r="I1511" i="3" a="1"/>
  <c r="I1511" i="3" s="1"/>
  <c r="I1512" i="3" a="1"/>
  <c r="I1512" i="3" s="1"/>
  <c r="I1513" i="3" a="1"/>
  <c r="I1513" i="3" s="1"/>
  <c r="I1514" i="3" a="1"/>
  <c r="I1514" i="3" s="1"/>
  <c r="I1515" i="3" a="1"/>
  <c r="I1515" i="3"/>
  <c r="I1516" i="3" a="1"/>
  <c r="I1516" i="3" s="1"/>
  <c r="I1517" i="3" a="1"/>
  <c r="I1517" i="3" s="1"/>
  <c r="I1518" i="3" a="1"/>
  <c r="I1518" i="3" s="1"/>
  <c r="I1519" i="3" a="1"/>
  <c r="I1519" i="3" s="1"/>
  <c r="I1520" i="3" a="1"/>
  <c r="I1520" i="3" s="1"/>
  <c r="I1521" i="3" a="1"/>
  <c r="I1521" i="3" s="1"/>
  <c r="I1522" i="3" a="1"/>
  <c r="I1522" i="3" s="1"/>
  <c r="I1523" i="3" a="1"/>
  <c r="I1523" i="3"/>
  <c r="I1524" i="3" a="1"/>
  <c r="I1524" i="3" s="1"/>
  <c r="I1525" i="3" a="1"/>
  <c r="I1525" i="3" s="1"/>
  <c r="I1526" i="3" a="1"/>
  <c r="I1526" i="3" s="1"/>
  <c r="I1527" i="3" a="1"/>
  <c r="I1527" i="3" s="1"/>
  <c r="I1528" i="3" a="1"/>
  <c r="I1528" i="3" s="1"/>
  <c r="I1529" i="3" a="1"/>
  <c r="I1529" i="3"/>
  <c r="I1530" i="3" a="1"/>
  <c r="I1530" i="3" s="1"/>
  <c r="I1531" i="3" a="1"/>
  <c r="I1531" i="3"/>
  <c r="I1532" i="3" a="1"/>
  <c r="I1532" i="3" s="1"/>
  <c r="I1533" i="3" a="1"/>
  <c r="I1533" i="3" s="1"/>
  <c r="I1534" i="3" a="1"/>
  <c r="I1534" i="3" s="1"/>
  <c r="I1535" i="3" a="1"/>
  <c r="I1535" i="3" s="1"/>
  <c r="I1536" i="3" a="1"/>
  <c r="I1536" i="3" s="1"/>
  <c r="I1537" i="3" a="1"/>
  <c r="I1537" i="3" s="1"/>
  <c r="I1538" i="3" a="1"/>
  <c r="I1538" i="3" s="1"/>
  <c r="I1539" i="3" a="1"/>
  <c r="I1539" i="3"/>
  <c r="I1540" i="3" a="1"/>
  <c r="I1540" i="3" s="1"/>
  <c r="I1541" i="3" a="1"/>
  <c r="I1541" i="3"/>
  <c r="I1542" i="3" a="1"/>
  <c r="I1542" i="3" s="1"/>
  <c r="I1543" i="3" a="1"/>
  <c r="I1543" i="3" s="1"/>
  <c r="I1544" i="3" a="1"/>
  <c r="I1544" i="3" s="1"/>
  <c r="I1545" i="3" a="1"/>
  <c r="I1545" i="3" s="1"/>
  <c r="I1546" i="3" a="1"/>
  <c r="I1546" i="3" s="1"/>
  <c r="I1547" i="3" a="1"/>
  <c r="I1547" i="3" s="1"/>
  <c r="I1548" i="3" a="1"/>
  <c r="I1548" i="3" s="1"/>
  <c r="I1549" i="3" a="1"/>
  <c r="I1549" i="3"/>
  <c r="I1550" i="3" a="1"/>
  <c r="I1550" i="3" s="1"/>
  <c r="I1551" i="3" a="1"/>
  <c r="I1551" i="3" s="1"/>
  <c r="I1552" i="3" a="1"/>
  <c r="I1552" i="3" s="1"/>
  <c r="I1553" i="3" a="1"/>
  <c r="I1553" i="3" s="1"/>
  <c r="I1554" i="3" a="1"/>
  <c r="I1554" i="3" s="1"/>
  <c r="I1555" i="3" a="1"/>
  <c r="I1555" i="3" s="1"/>
  <c r="I1556" i="3" a="1"/>
  <c r="I1556" i="3" s="1"/>
  <c r="I1557" i="3" a="1"/>
  <c r="I1557" i="3"/>
  <c r="I1558" i="3" a="1"/>
  <c r="I1558" i="3" s="1"/>
  <c r="I1559" i="3" a="1"/>
  <c r="I1559" i="3" s="1"/>
  <c r="I1560" i="3" a="1"/>
  <c r="I1560" i="3" s="1"/>
  <c r="I1561" i="3" a="1"/>
  <c r="I1561" i="3" s="1"/>
  <c r="I1562" i="3" a="1"/>
  <c r="I1562" i="3" s="1"/>
  <c r="I1563" i="3" a="1"/>
  <c r="I1563" i="3" s="1"/>
  <c r="I1564" i="3" a="1"/>
  <c r="I1564" i="3" s="1"/>
  <c r="I1565" i="3" a="1"/>
  <c r="I1565" i="3"/>
  <c r="I1566" i="3" a="1"/>
  <c r="I1566" i="3" s="1"/>
  <c r="I1567" i="3" a="1"/>
  <c r="I1567" i="3" s="1"/>
  <c r="I1568" i="3" a="1"/>
  <c r="I1568" i="3" s="1"/>
  <c r="I1569" i="3" a="1"/>
  <c r="I1569" i="3" s="1"/>
  <c r="I1570" i="3" a="1"/>
  <c r="I1570" i="3" s="1"/>
  <c r="I1571" i="3" a="1"/>
  <c r="I1571" i="3" s="1"/>
  <c r="I1572" i="3" a="1"/>
  <c r="I1572" i="3" s="1"/>
  <c r="I1573" i="3" a="1"/>
  <c r="I1573" i="3"/>
  <c r="I1574" i="3" a="1"/>
  <c r="I1574" i="3" s="1"/>
  <c r="I1575" i="3" a="1"/>
  <c r="I1575" i="3" s="1"/>
  <c r="I1576" i="3" a="1"/>
  <c r="I1576" i="3" s="1"/>
  <c r="I1577" i="3" a="1"/>
  <c r="I1577" i="3" s="1"/>
  <c r="I1578" i="3" a="1"/>
  <c r="I1578" i="3" s="1"/>
  <c r="I1579" i="3" a="1"/>
  <c r="I1579" i="3" s="1"/>
  <c r="I1580" i="3" a="1"/>
  <c r="I1580" i="3" s="1"/>
  <c r="I1581" i="3" a="1"/>
  <c r="I1581" i="3"/>
  <c r="I1582" i="3" a="1"/>
  <c r="I1582" i="3" s="1"/>
  <c r="I1583" i="3" a="1"/>
  <c r="I1583" i="3" s="1"/>
  <c r="I1584" i="3" a="1"/>
  <c r="I1584" i="3" s="1"/>
  <c r="I1585" i="3" a="1"/>
  <c r="I1585" i="3" s="1"/>
  <c r="I1586" i="3" a="1"/>
  <c r="I1586" i="3" s="1"/>
  <c r="I1587" i="3" a="1"/>
  <c r="I1587" i="3" s="1"/>
  <c r="I1588" i="3" a="1"/>
  <c r="I1588" i="3" s="1"/>
  <c r="I1589" i="3" a="1"/>
  <c r="I1589" i="3"/>
  <c r="I1590" i="3" a="1"/>
  <c r="I1590" i="3" s="1"/>
  <c r="I1591" i="3" a="1"/>
  <c r="I1591" i="3" s="1"/>
  <c r="I1592" i="3" a="1"/>
  <c r="I1592" i="3" s="1"/>
  <c r="I1593" i="3" a="1"/>
  <c r="I1593" i="3" s="1"/>
  <c r="I1594" i="3" a="1"/>
  <c r="I1594" i="3" s="1"/>
  <c r="I1595" i="3" a="1"/>
  <c r="I1595" i="3" s="1"/>
  <c r="I1596" i="3" a="1"/>
  <c r="I1596" i="3" s="1"/>
  <c r="I1597" i="3" a="1"/>
  <c r="I1597" i="3"/>
  <c r="I1598" i="3" a="1"/>
  <c r="I1598" i="3" s="1"/>
  <c r="I1599" i="3" a="1"/>
  <c r="I1599" i="3" s="1"/>
  <c r="I1600" i="3" a="1"/>
  <c r="I1600" i="3" s="1"/>
  <c r="I1601" i="3" a="1"/>
  <c r="I1601" i="3" s="1"/>
  <c r="I1602" i="3" a="1"/>
  <c r="I1602" i="3" s="1"/>
  <c r="I1603" i="3" a="1"/>
  <c r="I1603" i="3" s="1"/>
  <c r="I1604" i="3" a="1"/>
  <c r="I1604" i="3" s="1"/>
  <c r="I1605" i="3" a="1"/>
  <c r="I1605" i="3"/>
  <c r="I1606" i="3" a="1"/>
  <c r="I1606" i="3" s="1"/>
  <c r="I1607" i="3" a="1"/>
  <c r="I1607" i="3" s="1"/>
  <c r="I1608" i="3" a="1"/>
  <c r="I1608" i="3" s="1"/>
  <c r="I1609" i="3" a="1"/>
  <c r="I1609" i="3" s="1"/>
  <c r="I1610" i="3" a="1"/>
  <c r="I1610" i="3" s="1"/>
  <c r="I1611" i="3" a="1"/>
  <c r="I1611" i="3" s="1"/>
  <c r="I1612" i="3" a="1"/>
  <c r="I1612" i="3" s="1"/>
  <c r="I1613" i="3" a="1"/>
  <c r="I1613" i="3"/>
  <c r="I1614" i="3" a="1"/>
  <c r="I1614" i="3" s="1"/>
  <c r="I1615" i="3" a="1"/>
  <c r="I1615" i="3" s="1"/>
  <c r="I1616" i="3" a="1"/>
  <c r="I1616" i="3" s="1"/>
  <c r="I1617" i="3" a="1"/>
  <c r="I1617" i="3" s="1"/>
  <c r="I1618" i="3" a="1"/>
  <c r="I1618" i="3" s="1"/>
  <c r="I1619" i="3" a="1"/>
  <c r="I1619" i="3" s="1"/>
  <c r="I1620" i="3" a="1"/>
  <c r="I1620" i="3" s="1"/>
  <c r="I1621" i="3" a="1"/>
  <c r="I1621" i="3"/>
  <c r="I1622" i="3" a="1"/>
  <c r="I1622" i="3" s="1"/>
  <c r="I1623" i="3" a="1"/>
  <c r="I1623" i="3" s="1"/>
  <c r="I1624" i="3" a="1"/>
  <c r="I1624" i="3" s="1"/>
  <c r="I1625" i="3" a="1"/>
  <c r="I1625" i="3" s="1"/>
  <c r="I1626" i="3" a="1"/>
  <c r="I1626" i="3" s="1"/>
  <c r="I1627" i="3" a="1"/>
  <c r="I1627" i="3" s="1"/>
  <c r="I1628" i="3" a="1"/>
  <c r="I1628" i="3" s="1"/>
  <c r="I1629" i="3" a="1"/>
  <c r="I1629" i="3"/>
  <c r="I1630" i="3" a="1"/>
  <c r="I1630" i="3" s="1"/>
  <c r="I1631" i="3" a="1"/>
  <c r="I1631" i="3" s="1"/>
  <c r="I1632" i="3" a="1"/>
  <c r="I1632" i="3" s="1"/>
  <c r="I1633" i="3" a="1"/>
  <c r="I1633" i="3" s="1"/>
  <c r="I1634" i="3" a="1"/>
  <c r="I1634" i="3" s="1"/>
  <c r="I1635" i="3" a="1"/>
  <c r="I1635" i="3" s="1"/>
  <c r="I1636" i="3" a="1"/>
  <c r="I1636" i="3" s="1"/>
  <c r="I1637" i="3" a="1"/>
  <c r="I1637" i="3"/>
  <c r="I1638" i="3" a="1"/>
  <c r="I1638" i="3" s="1"/>
  <c r="I1639" i="3" a="1"/>
  <c r="I1639" i="3" s="1"/>
  <c r="I1640" i="3" a="1"/>
  <c r="I1640" i="3" s="1"/>
  <c r="I1641" i="3" a="1"/>
  <c r="I1641" i="3" s="1"/>
  <c r="I1642" i="3" a="1"/>
  <c r="I1642" i="3" s="1"/>
  <c r="I1643" i="3" a="1"/>
  <c r="I1643" i="3" s="1"/>
  <c r="I1644" i="3" a="1"/>
  <c r="I1644" i="3" s="1"/>
  <c r="I1645" i="3" a="1"/>
  <c r="I1645" i="3"/>
  <c r="I1646" i="3" a="1"/>
  <c r="I1646" i="3" s="1"/>
  <c r="I1647" i="3" a="1"/>
  <c r="I1647" i="3" s="1"/>
  <c r="I1648" i="3" a="1"/>
  <c r="I1648" i="3" s="1"/>
  <c r="I1649" i="3" a="1"/>
  <c r="I1649" i="3" s="1"/>
  <c r="I1650" i="3" a="1"/>
  <c r="I1650" i="3" s="1"/>
  <c r="I1651" i="3" a="1"/>
  <c r="I1651" i="3" s="1"/>
  <c r="I1652" i="3" a="1"/>
  <c r="I1652" i="3" s="1"/>
  <c r="I1653" i="3" a="1"/>
  <c r="I1653" i="3"/>
  <c r="I1654" i="3" a="1"/>
  <c r="I1654" i="3" s="1"/>
  <c r="I1655" i="3" a="1"/>
  <c r="I1655" i="3" s="1"/>
  <c r="I1656" i="3" a="1"/>
  <c r="I1656" i="3" s="1"/>
  <c r="I1657" i="3" a="1"/>
  <c r="I1657" i="3" s="1"/>
  <c r="I1658" i="3" a="1"/>
  <c r="I1658" i="3" s="1"/>
  <c r="I1659" i="3" a="1"/>
  <c r="I1659" i="3" s="1"/>
  <c r="I1660" i="3" a="1"/>
  <c r="I1660" i="3" s="1"/>
  <c r="I1661" i="3" a="1"/>
  <c r="I1661" i="3"/>
  <c r="I1662" i="3" a="1"/>
  <c r="I1662" i="3" s="1"/>
  <c r="I1663" i="3" a="1"/>
  <c r="I1663" i="3" s="1"/>
  <c r="I1664" i="3" a="1"/>
  <c r="I1664" i="3" s="1"/>
  <c r="I1665" i="3" a="1"/>
  <c r="I1665" i="3" s="1"/>
  <c r="I1666" i="3" a="1"/>
  <c r="I1666" i="3" s="1"/>
  <c r="I1667" i="3" a="1"/>
  <c r="I1667" i="3" s="1"/>
  <c r="I1668" i="3" a="1"/>
  <c r="I1668" i="3" s="1"/>
  <c r="I1669" i="3" a="1"/>
  <c r="I1669" i="3"/>
  <c r="I1670" i="3" a="1"/>
  <c r="I1670" i="3" s="1"/>
  <c r="I1671" i="3" a="1"/>
  <c r="I1671" i="3" s="1"/>
  <c r="I1672" i="3" a="1"/>
  <c r="I1672" i="3" s="1"/>
  <c r="I1673" i="3" a="1"/>
  <c r="I1673" i="3" s="1"/>
  <c r="I1674" i="3" a="1"/>
  <c r="I1674" i="3" s="1"/>
  <c r="I1675" i="3" a="1"/>
  <c r="I1675" i="3" s="1"/>
  <c r="I1676" i="3" a="1"/>
  <c r="I1676" i="3" s="1"/>
  <c r="I1677" i="3" a="1"/>
  <c r="I1677" i="3"/>
  <c r="I1678" i="3" a="1"/>
  <c r="I1678" i="3" s="1"/>
  <c r="I1679" i="3" a="1"/>
  <c r="I1679" i="3" s="1"/>
  <c r="I1680" i="3" a="1"/>
  <c r="I1680" i="3" s="1"/>
  <c r="I1681" i="3" a="1"/>
  <c r="I1681" i="3" s="1"/>
  <c r="I1682" i="3" a="1"/>
  <c r="I1682" i="3" s="1"/>
  <c r="I1683" i="3" a="1"/>
  <c r="I1683" i="3" s="1"/>
  <c r="I1684" i="3" a="1"/>
  <c r="I1684" i="3" s="1"/>
  <c r="I1685" i="3" a="1"/>
  <c r="I1685" i="3"/>
  <c r="I1686" i="3" a="1"/>
  <c r="I1686" i="3" s="1"/>
  <c r="I1687" i="3" a="1"/>
  <c r="I1687" i="3" s="1"/>
  <c r="I1688" i="3" a="1"/>
  <c r="I1688" i="3" s="1"/>
  <c r="I1689" i="3" a="1"/>
  <c r="I1689" i="3" s="1"/>
  <c r="I1690" i="3" a="1"/>
  <c r="I1690" i="3" s="1"/>
  <c r="I1691" i="3" a="1"/>
  <c r="I1691" i="3" s="1"/>
  <c r="I1692" i="3" a="1"/>
  <c r="I1692" i="3" s="1"/>
  <c r="I1693" i="3" a="1"/>
  <c r="I1693" i="3"/>
  <c r="I1694" i="3" a="1"/>
  <c r="I1694" i="3" s="1"/>
  <c r="I1695" i="3" a="1"/>
  <c r="I1695" i="3" s="1"/>
  <c r="I1696" i="3" a="1"/>
  <c r="I1696" i="3" s="1"/>
  <c r="I1697" i="3" a="1"/>
  <c r="I1697" i="3" s="1"/>
  <c r="I1698" i="3" a="1"/>
  <c r="I1698" i="3" s="1"/>
  <c r="I1699" i="3" a="1"/>
  <c r="I1699" i="3" s="1"/>
  <c r="I1700" i="3" a="1"/>
  <c r="I1700" i="3" s="1"/>
  <c r="I1701" i="3" a="1"/>
  <c r="I1701" i="3"/>
  <c r="I1702" i="3" a="1"/>
  <c r="I1702" i="3" s="1"/>
  <c r="I1703" i="3" a="1"/>
  <c r="I1703" i="3" s="1"/>
  <c r="I1704" i="3" a="1"/>
  <c r="I1704" i="3" s="1"/>
  <c r="I1705" i="3" a="1"/>
  <c r="I1705" i="3" s="1"/>
  <c r="I1706" i="3" a="1"/>
  <c r="I1706" i="3" s="1"/>
  <c r="I1707" i="3" a="1"/>
  <c r="I1707" i="3" s="1"/>
  <c r="I1708" i="3" a="1"/>
  <c r="I1708" i="3" s="1"/>
  <c r="I1709" i="3" a="1"/>
  <c r="I1709" i="3"/>
  <c r="I1710" i="3" a="1"/>
  <c r="I1710" i="3" s="1"/>
  <c r="I1711" i="3" a="1"/>
  <c r="I1711" i="3" s="1"/>
  <c r="I1712" i="3" a="1"/>
  <c r="I1712" i="3" s="1"/>
  <c r="I1713" i="3" a="1"/>
  <c r="I1713" i="3" s="1"/>
  <c r="I1714" i="3" a="1"/>
  <c r="I1714" i="3" s="1"/>
  <c r="I1715" i="3" a="1"/>
  <c r="I1715" i="3" s="1"/>
  <c r="I1716" i="3" a="1"/>
  <c r="I1716" i="3" s="1"/>
  <c r="I1717" i="3" a="1"/>
  <c r="I1717" i="3"/>
  <c r="I1718" i="3" a="1"/>
  <c r="I1718" i="3" s="1"/>
  <c r="I1719" i="3" a="1"/>
  <c r="I1719" i="3" s="1"/>
  <c r="I1720" i="3" a="1"/>
  <c r="I1720" i="3" s="1"/>
  <c r="I1721" i="3" a="1"/>
  <c r="I1721" i="3" s="1"/>
  <c r="I1722" i="3" a="1"/>
  <c r="I1722" i="3" s="1"/>
  <c r="I1723" i="3" a="1"/>
  <c r="I1723" i="3" s="1"/>
  <c r="I1724" i="3" a="1"/>
  <c r="I1724" i="3" s="1"/>
  <c r="I1725" i="3" a="1"/>
  <c r="I1725" i="3"/>
  <c r="I1726" i="3" a="1"/>
  <c r="I1726" i="3" s="1"/>
  <c r="I1727" i="3" a="1"/>
  <c r="I1727" i="3" s="1"/>
  <c r="I1728" i="3" a="1"/>
  <c r="I1728" i="3" s="1"/>
  <c r="I1729" i="3" a="1"/>
  <c r="I1729" i="3" s="1"/>
  <c r="I1730" i="3" a="1"/>
  <c r="I1730" i="3" s="1"/>
  <c r="I1731" i="3" a="1"/>
  <c r="I1731" i="3" s="1"/>
  <c r="I1732" i="3" a="1"/>
  <c r="I1732" i="3" s="1"/>
  <c r="I1733" i="3" a="1"/>
  <c r="I1733" i="3"/>
  <c r="I1734" i="3" a="1"/>
  <c r="I1734" i="3" s="1"/>
  <c r="I1735" i="3" a="1"/>
  <c r="I1735" i="3" s="1"/>
  <c r="I1736" i="3" a="1"/>
  <c r="I1736" i="3" s="1"/>
  <c r="I1737" i="3" a="1"/>
  <c r="I1737" i="3" s="1"/>
  <c r="I1738" i="3" a="1"/>
  <c r="I1738" i="3" s="1"/>
  <c r="I1739" i="3" a="1"/>
  <c r="I1739" i="3" s="1"/>
  <c r="I1740" i="3" a="1"/>
  <c r="I1740" i="3" s="1"/>
  <c r="I1741" i="3" a="1"/>
  <c r="I1741" i="3"/>
  <c r="I1742" i="3" a="1"/>
  <c r="I1742" i="3" s="1"/>
  <c r="I1743" i="3" a="1"/>
  <c r="I1743" i="3" s="1"/>
  <c r="I1744" i="3" a="1"/>
  <c r="I1744" i="3" s="1"/>
  <c r="I1745" i="3" a="1"/>
  <c r="I1745" i="3" s="1"/>
  <c r="I1746" i="3" a="1"/>
  <c r="I1746" i="3" s="1"/>
  <c r="I1747" i="3" a="1"/>
  <c r="I1747" i="3" s="1"/>
  <c r="I1748" i="3" a="1"/>
  <c r="I1748" i="3" s="1"/>
  <c r="I1749" i="3" a="1"/>
  <c r="I1749" i="3"/>
  <c r="I1750" i="3" a="1"/>
  <c r="I1750" i="3" s="1"/>
  <c r="I1751" i="3" a="1"/>
  <c r="I1751" i="3" s="1"/>
  <c r="I1752" i="3" a="1"/>
  <c r="I1752" i="3" s="1"/>
  <c r="I1753" i="3" a="1"/>
  <c r="I1753" i="3"/>
  <c r="I1754" i="3" a="1"/>
  <c r="I1754" i="3" s="1"/>
  <c r="I1755" i="3" a="1"/>
  <c r="I1755" i="3" s="1"/>
  <c r="I1756" i="3" a="1"/>
  <c r="I1756" i="3" s="1"/>
  <c r="I1757" i="3" a="1"/>
  <c r="I1757" i="3"/>
  <c r="I1758" i="3" a="1"/>
  <c r="I1758" i="3" s="1"/>
  <c r="I1759" i="3" a="1"/>
  <c r="I1759" i="3" s="1"/>
  <c r="I1760" i="3" a="1"/>
  <c r="I1760" i="3" s="1"/>
  <c r="I1761" i="3" a="1"/>
  <c r="I1761" i="3"/>
  <c r="I1762" i="3" a="1"/>
  <c r="I1762" i="3" s="1"/>
  <c r="I1763" i="3" a="1"/>
  <c r="I1763" i="3" s="1"/>
  <c r="I1764" i="3" a="1"/>
  <c r="I1764" i="3" s="1"/>
  <c r="I1765" i="3" a="1"/>
  <c r="I1765" i="3"/>
  <c r="I1766" i="3" a="1"/>
  <c r="I1766" i="3" s="1"/>
  <c r="I1767" i="3" a="1"/>
  <c r="I1767" i="3" s="1"/>
  <c r="I1768" i="3" a="1"/>
  <c r="I1768" i="3" s="1"/>
  <c r="I1769" i="3" a="1"/>
  <c r="I1769" i="3"/>
  <c r="I1770" i="3" a="1"/>
  <c r="I1770" i="3" s="1"/>
  <c r="I1771" i="3" a="1"/>
  <c r="I1771" i="3" s="1"/>
  <c r="I1772" i="3" a="1"/>
  <c r="I1772" i="3" s="1"/>
  <c r="I1773" i="3" a="1"/>
  <c r="I1773" i="3"/>
  <c r="I1774" i="3" a="1"/>
  <c r="I1774" i="3" s="1"/>
  <c r="I1775" i="3" a="1"/>
  <c r="I1775" i="3" s="1"/>
  <c r="I1776" i="3" a="1"/>
  <c r="I1776" i="3" s="1"/>
  <c r="I1777" i="3" a="1"/>
  <c r="I1777" i="3"/>
  <c r="I1778" i="3" a="1"/>
  <c r="I1778" i="3" s="1"/>
  <c r="I1779" i="3" a="1"/>
  <c r="I1779" i="3" s="1"/>
  <c r="I1780" i="3" a="1"/>
  <c r="I1780" i="3" s="1"/>
  <c r="I1781" i="3" a="1"/>
  <c r="I1781" i="3"/>
  <c r="I1782" i="3" a="1"/>
  <c r="I1782" i="3" s="1"/>
  <c r="I1783" i="3" a="1"/>
  <c r="I1783" i="3" s="1"/>
  <c r="I1784" i="3" a="1"/>
  <c r="I1784" i="3" s="1"/>
  <c r="I1785" i="3" a="1"/>
  <c r="I1785" i="3"/>
  <c r="I1786" i="3" a="1"/>
  <c r="I1786" i="3" s="1"/>
  <c r="I1787" i="3" a="1"/>
  <c r="I1787" i="3" s="1"/>
  <c r="I1788" i="3" a="1"/>
  <c r="I1788" i="3" s="1"/>
  <c r="I1789" i="3" a="1"/>
  <c r="I1789" i="3"/>
  <c r="I1790" i="3" a="1"/>
  <c r="I1790" i="3" s="1"/>
  <c r="I1791" i="3" a="1"/>
  <c r="I1791" i="3" s="1"/>
  <c r="I1792" i="3" a="1"/>
  <c r="I1792" i="3" s="1"/>
  <c r="I1793" i="3" a="1"/>
  <c r="I1793" i="3"/>
  <c r="I1794" i="3" a="1"/>
  <c r="I1794" i="3" s="1"/>
  <c r="I1795" i="3" a="1"/>
  <c r="I1795" i="3" s="1"/>
  <c r="I1796" i="3" a="1"/>
  <c r="I1796" i="3" s="1"/>
  <c r="I1797" i="3" a="1"/>
  <c r="I1797" i="3"/>
  <c r="I1798" i="3" a="1"/>
  <c r="I1798" i="3" s="1"/>
  <c r="I1799" i="3" a="1"/>
  <c r="I1799" i="3" s="1"/>
  <c r="I1800" i="3" a="1"/>
  <c r="I1800" i="3" s="1"/>
  <c r="I1801" i="3" a="1"/>
  <c r="I1801" i="3"/>
  <c r="I1802" i="3" a="1"/>
  <c r="I1802" i="3" s="1"/>
  <c r="I1803" i="3" a="1"/>
  <c r="I1803" i="3" s="1"/>
  <c r="I1804" i="3" a="1"/>
  <c r="I1804" i="3" s="1"/>
  <c r="I1805" i="3" a="1"/>
  <c r="I1805" i="3"/>
  <c r="I1806" i="3" a="1"/>
  <c r="I1806" i="3" s="1"/>
  <c r="I1807" i="3" a="1"/>
  <c r="I1807" i="3" s="1"/>
  <c r="I1808" i="3" a="1"/>
  <c r="I1808" i="3" s="1"/>
  <c r="I1809" i="3" a="1"/>
  <c r="I1809" i="3"/>
  <c r="I1810" i="3" a="1"/>
  <c r="I1810" i="3" s="1"/>
  <c r="I1811" i="3" a="1"/>
  <c r="I1811" i="3" s="1"/>
  <c r="I1812" i="3" a="1"/>
  <c r="I1812" i="3" s="1"/>
  <c r="I1813" i="3" a="1"/>
  <c r="I1813" i="3"/>
  <c r="I1814" i="3" a="1"/>
  <c r="I1814" i="3" s="1"/>
  <c r="I1815" i="3" a="1"/>
  <c r="I1815" i="3" s="1"/>
  <c r="I1816" i="3" a="1"/>
  <c r="I1816" i="3" s="1"/>
  <c r="I1817" i="3" a="1"/>
  <c r="I1817" i="3"/>
  <c r="I1818" i="3" a="1"/>
  <c r="I1818" i="3" s="1"/>
  <c r="I1819" i="3" a="1"/>
  <c r="I1819" i="3" s="1"/>
  <c r="I1820" i="3" a="1"/>
  <c r="I1820" i="3" s="1"/>
  <c r="I1821" i="3" a="1"/>
  <c r="I1821" i="3"/>
  <c r="I1822" i="3" a="1"/>
  <c r="I1822" i="3" s="1"/>
  <c r="I1823" i="3" a="1"/>
  <c r="I1823" i="3" s="1"/>
  <c r="I1824" i="3" a="1"/>
  <c r="I1824" i="3" s="1"/>
  <c r="I1825" i="3" a="1"/>
  <c r="I1825" i="3"/>
  <c r="I1826" i="3" a="1"/>
  <c r="I1826" i="3" s="1"/>
  <c r="I1827" i="3" a="1"/>
  <c r="I1827" i="3" s="1"/>
  <c r="I1828" i="3" a="1"/>
  <c r="I1828" i="3" s="1"/>
  <c r="I1829" i="3" a="1"/>
  <c r="I1829" i="3"/>
  <c r="I1830" i="3" a="1"/>
  <c r="I1830" i="3" s="1"/>
  <c r="I1831" i="3" a="1"/>
  <c r="I1831" i="3" s="1"/>
  <c r="I1832" i="3" a="1"/>
  <c r="I1832" i="3" s="1"/>
  <c r="I1833" i="3" a="1"/>
  <c r="I1833" i="3"/>
  <c r="I1834" i="3" a="1"/>
  <c r="I1834" i="3" s="1"/>
  <c r="I1835" i="3" a="1"/>
  <c r="I1835" i="3" s="1"/>
  <c r="I1836" i="3" a="1"/>
  <c r="I1836" i="3" s="1"/>
  <c r="I1837" i="3" a="1"/>
  <c r="I1837" i="3"/>
  <c r="I1838" i="3" a="1"/>
  <c r="I1838" i="3" s="1"/>
  <c r="I1839" i="3" a="1"/>
  <c r="I1839" i="3" s="1"/>
  <c r="I1840" i="3" a="1"/>
  <c r="I1840" i="3" s="1"/>
  <c r="I1841" i="3" a="1"/>
  <c r="I1841" i="3"/>
  <c r="I1842" i="3" a="1"/>
  <c r="I1842" i="3" s="1"/>
  <c r="I1843" i="3" a="1"/>
  <c r="I1843" i="3" s="1"/>
  <c r="I1844" i="3" a="1"/>
  <c r="I1844" i="3" s="1"/>
  <c r="I1845" i="3" a="1"/>
  <c r="I1845" i="3"/>
  <c r="I1846" i="3" a="1"/>
  <c r="I1846" i="3" s="1"/>
  <c r="I1847" i="3" a="1"/>
  <c r="I1847" i="3" s="1"/>
  <c r="I1848" i="3" a="1"/>
  <c r="I1848" i="3" s="1"/>
  <c r="I1849" i="3" a="1"/>
  <c r="I1849" i="3"/>
  <c r="I1850" i="3" a="1"/>
  <c r="I1850" i="3" s="1"/>
  <c r="I1851" i="3" a="1"/>
  <c r="I1851" i="3" s="1"/>
  <c r="I1852" i="3" a="1"/>
  <c r="I1852" i="3" s="1"/>
  <c r="I1853" i="3" a="1"/>
  <c r="I1853" i="3"/>
  <c r="I1854" i="3" a="1"/>
  <c r="I1854" i="3" s="1"/>
  <c r="I1855" i="3" a="1"/>
  <c r="I1855" i="3" s="1"/>
  <c r="I1856" i="3" a="1"/>
  <c r="I1856" i="3" s="1"/>
  <c r="I1857" i="3" a="1"/>
  <c r="I1857" i="3"/>
  <c r="I1858" i="3" a="1"/>
  <c r="I1858" i="3" s="1"/>
  <c r="I1859" i="3" a="1"/>
  <c r="I1859" i="3" s="1"/>
  <c r="I1860" i="3" a="1"/>
  <c r="I1860" i="3" s="1"/>
  <c r="I1861" i="3" a="1"/>
  <c r="I1861" i="3"/>
  <c r="I1862" i="3" a="1"/>
  <c r="I1862" i="3" s="1"/>
  <c r="I1863" i="3" a="1"/>
  <c r="I1863" i="3" s="1"/>
  <c r="I1864" i="3" a="1"/>
  <c r="I1864" i="3" s="1"/>
  <c r="I1865" i="3" a="1"/>
  <c r="I1865" i="3"/>
  <c r="I1866" i="3" a="1"/>
  <c r="I1866" i="3" s="1"/>
  <c r="I1867" i="3" a="1"/>
  <c r="I1867" i="3" s="1"/>
  <c r="I1868" i="3" a="1"/>
  <c r="I1868" i="3" s="1"/>
  <c r="I1869" i="3" a="1"/>
  <c r="I1869" i="3"/>
  <c r="I1870" i="3" a="1"/>
  <c r="I1870" i="3" s="1"/>
  <c r="I1871" i="3" a="1"/>
  <c r="I1871" i="3" s="1"/>
  <c r="I1872" i="3" a="1"/>
  <c r="I1872" i="3" s="1"/>
  <c r="I1873" i="3" a="1"/>
  <c r="I1873" i="3"/>
  <c r="I1874" i="3" a="1"/>
  <c r="I1874" i="3" s="1"/>
  <c r="I1875" i="3" a="1"/>
  <c r="I1875" i="3" s="1"/>
  <c r="I1876" i="3" a="1"/>
  <c r="I1876" i="3" s="1"/>
  <c r="I1877" i="3" a="1"/>
  <c r="I1877" i="3"/>
  <c r="I1878" i="3" a="1"/>
  <c r="I1878" i="3" s="1"/>
  <c r="I1879" i="3" a="1"/>
  <c r="I1879" i="3" s="1"/>
  <c r="I1880" i="3" a="1"/>
  <c r="I1880" i="3" s="1"/>
  <c r="I1881" i="3" a="1"/>
  <c r="I1881" i="3"/>
  <c r="I1882" i="3" a="1"/>
  <c r="I1882" i="3" s="1"/>
  <c r="I1883" i="3" a="1"/>
  <c r="I1883" i="3" s="1"/>
  <c r="I1884" i="3" a="1"/>
  <c r="I1884" i="3" s="1"/>
  <c r="I1885" i="3" a="1"/>
  <c r="I1885" i="3"/>
  <c r="I1886" i="3" a="1"/>
  <c r="I1886" i="3" s="1"/>
  <c r="I1887" i="3" a="1"/>
  <c r="I1887" i="3" s="1"/>
  <c r="I1888" i="3" a="1"/>
  <c r="I1888" i="3" s="1"/>
  <c r="I1889" i="3" a="1"/>
  <c r="I1889" i="3"/>
  <c r="I1890" i="3" a="1"/>
  <c r="I1890" i="3" s="1"/>
  <c r="I1891" i="3" a="1"/>
  <c r="I1891" i="3" s="1"/>
  <c r="I1892" i="3" a="1"/>
  <c r="I1892" i="3" s="1"/>
  <c r="I1893" i="3" a="1"/>
  <c r="I1893" i="3"/>
  <c r="I1894" i="3" a="1"/>
  <c r="I1894" i="3" s="1"/>
  <c r="I1895" i="3" a="1"/>
  <c r="I1895" i="3" s="1"/>
  <c r="I1896" i="3" a="1"/>
  <c r="I1896" i="3" s="1"/>
  <c r="I1897" i="3" a="1"/>
  <c r="I1897" i="3"/>
  <c r="I1898" i="3" a="1"/>
  <c r="I1898" i="3" s="1"/>
  <c r="I1899" i="3" a="1"/>
  <c r="I1899" i="3" s="1"/>
  <c r="I1900" i="3" a="1"/>
  <c r="I1900" i="3" s="1"/>
  <c r="I1901" i="3" a="1"/>
  <c r="I1901" i="3"/>
  <c r="I1902" i="3" a="1"/>
  <c r="I1902" i="3" s="1"/>
  <c r="I1903" i="3" a="1"/>
  <c r="I1903" i="3" s="1"/>
  <c r="I1904" i="3" a="1"/>
  <c r="I1904" i="3" s="1"/>
  <c r="I1905" i="3" a="1"/>
  <c r="I1905" i="3"/>
  <c r="I1906" i="3" a="1"/>
  <c r="I1906" i="3" s="1"/>
  <c r="I1907" i="3" a="1"/>
  <c r="I1907" i="3" s="1"/>
  <c r="I1908" i="3" a="1"/>
  <c r="I1908" i="3" s="1"/>
  <c r="I1909" i="3" a="1"/>
  <c r="I1909" i="3"/>
  <c r="I1910" i="3" a="1"/>
  <c r="I1910" i="3" s="1"/>
  <c r="I1911" i="3" a="1"/>
  <c r="I1911" i="3" s="1"/>
  <c r="I1912" i="3" a="1"/>
  <c r="I1912" i="3" s="1"/>
  <c r="I1913" i="3" a="1"/>
  <c r="I1913" i="3"/>
  <c r="I1914" i="3" a="1"/>
  <c r="I1914" i="3" s="1"/>
  <c r="I1915" i="3" a="1"/>
  <c r="I1915" i="3" s="1"/>
  <c r="I1916" i="3" a="1"/>
  <c r="I1916" i="3" s="1"/>
  <c r="I1917" i="3" a="1"/>
  <c r="I1917" i="3"/>
  <c r="I1918" i="3" a="1"/>
  <c r="I1918" i="3" s="1"/>
  <c r="I1919" i="3" a="1"/>
  <c r="I1919" i="3" s="1"/>
  <c r="I1920" i="3" a="1"/>
  <c r="I1920" i="3" s="1"/>
  <c r="I1921" i="3" a="1"/>
  <c r="I1921" i="3"/>
  <c r="I1922" i="3" a="1"/>
  <c r="I1922" i="3" s="1"/>
  <c r="I1923" i="3" a="1"/>
  <c r="I1923" i="3" s="1"/>
  <c r="I1924" i="3" a="1"/>
  <c r="I1924" i="3" s="1"/>
  <c r="I1925" i="3" a="1"/>
  <c r="I1925" i="3"/>
  <c r="I1926" i="3" a="1"/>
  <c r="I1926" i="3" s="1"/>
  <c r="I1927" i="3" a="1"/>
  <c r="I1927" i="3" s="1"/>
  <c r="I1928" i="3" a="1"/>
  <c r="I1928" i="3" s="1"/>
  <c r="I1929" i="3" a="1"/>
  <c r="I1929" i="3"/>
  <c r="I1930" i="3" a="1"/>
  <c r="I1930" i="3" s="1"/>
  <c r="I1931" i="3" a="1"/>
  <c r="I1931" i="3" s="1"/>
  <c r="I1932" i="3" a="1"/>
  <c r="I1932" i="3" s="1"/>
  <c r="I1933" i="3" a="1"/>
  <c r="I1933" i="3"/>
  <c r="I1934" i="3" a="1"/>
  <c r="I1934" i="3" s="1"/>
  <c r="I1935" i="3" a="1"/>
  <c r="I1935" i="3" s="1"/>
  <c r="I1936" i="3" a="1"/>
  <c r="I1936" i="3" s="1"/>
  <c r="I1937" i="3" a="1"/>
  <c r="I1937" i="3"/>
  <c r="I1938" i="3" a="1"/>
  <c r="I1938" i="3" s="1"/>
  <c r="I1939" i="3" a="1"/>
  <c r="I1939" i="3" s="1"/>
  <c r="I1940" i="3" a="1"/>
  <c r="I1940" i="3" s="1"/>
  <c r="I1941" i="3" a="1"/>
  <c r="I1941" i="3"/>
  <c r="I1942" i="3" a="1"/>
  <c r="I1942" i="3" s="1"/>
  <c r="I1943" i="3" a="1"/>
  <c r="I1943" i="3" s="1"/>
  <c r="I1944" i="3" a="1"/>
  <c r="I1944" i="3" s="1"/>
  <c r="I1945" i="3" a="1"/>
  <c r="I1945" i="3"/>
  <c r="I1946" i="3" a="1"/>
  <c r="I1946" i="3" s="1"/>
  <c r="I1947" i="3" a="1"/>
  <c r="I1947" i="3" s="1"/>
  <c r="I1948" i="3" a="1"/>
  <c r="I1948" i="3" s="1"/>
  <c r="I1949" i="3" a="1"/>
  <c r="I1949" i="3"/>
  <c r="I1950" i="3" a="1"/>
  <c r="I1950" i="3" s="1"/>
  <c r="I1951" i="3" a="1"/>
  <c r="I1951" i="3" s="1"/>
  <c r="I1952" i="3" a="1"/>
  <c r="I1952" i="3" s="1"/>
  <c r="I1953" i="3" a="1"/>
  <c r="I1953" i="3"/>
  <c r="I1954" i="3" a="1"/>
  <c r="I1954" i="3" s="1"/>
  <c r="I1955" i="3" a="1"/>
  <c r="I1955" i="3" s="1"/>
  <c r="I1956" i="3" a="1"/>
  <c r="I1956" i="3" s="1"/>
  <c r="I1957" i="3" a="1"/>
  <c r="I1957" i="3"/>
  <c r="I1958" i="3" a="1"/>
  <c r="I1958" i="3" s="1"/>
  <c r="I1959" i="3" a="1"/>
  <c r="I1959" i="3" s="1"/>
  <c r="I1960" i="3" a="1"/>
  <c r="I1960" i="3" s="1"/>
  <c r="I1961" i="3" a="1"/>
  <c r="I1961" i="3"/>
  <c r="I1962" i="3" a="1"/>
  <c r="I1962" i="3" s="1"/>
  <c r="I1963" i="3" a="1"/>
  <c r="I1963" i="3" s="1"/>
  <c r="I1964" i="3" a="1"/>
  <c r="I1964" i="3" s="1"/>
  <c r="I1965" i="3" a="1"/>
  <c r="I1965" i="3"/>
  <c r="I1966" i="3" a="1"/>
  <c r="I1966" i="3" s="1"/>
  <c r="I1967" i="3" a="1"/>
  <c r="I1967" i="3" s="1"/>
  <c r="I1968" i="3" a="1"/>
  <c r="I1968" i="3" s="1"/>
  <c r="I1969" i="3" a="1"/>
  <c r="I1969" i="3"/>
  <c r="I1970" i="3" a="1"/>
  <c r="I1970" i="3" s="1"/>
  <c r="I1971" i="3" a="1"/>
  <c r="I1971" i="3" s="1"/>
  <c r="I1972" i="3" a="1"/>
  <c r="I1972" i="3" s="1"/>
  <c r="I1973" i="3" a="1"/>
  <c r="I1973" i="3"/>
  <c r="I1974" i="3" a="1"/>
  <c r="I1974" i="3" s="1"/>
  <c r="I1975" i="3" a="1"/>
  <c r="I1975" i="3" s="1"/>
  <c r="I1976" i="3" a="1"/>
  <c r="I1976" i="3" s="1"/>
  <c r="I1977" i="3" a="1"/>
  <c r="I1977" i="3"/>
  <c r="I1978" i="3" a="1"/>
  <c r="I1978" i="3" s="1"/>
  <c r="I1979" i="3" a="1"/>
  <c r="I1979" i="3" s="1"/>
  <c r="I1980" i="3" a="1"/>
  <c r="I1980" i="3" s="1"/>
  <c r="I1981" i="3" a="1"/>
  <c r="I1981" i="3"/>
  <c r="I1982" i="3" a="1"/>
  <c r="I1982" i="3" s="1"/>
  <c r="I1983" i="3" a="1"/>
  <c r="I1983" i="3" s="1"/>
  <c r="I1984" i="3" a="1"/>
  <c r="I1984" i="3" s="1"/>
  <c r="I1985" i="3" a="1"/>
  <c r="I1985" i="3"/>
  <c r="I1986" i="3" a="1"/>
  <c r="I1986" i="3" s="1"/>
  <c r="I1987" i="3" a="1"/>
  <c r="I1987" i="3" s="1"/>
  <c r="I1988" i="3" a="1"/>
  <c r="I1988" i="3" s="1"/>
  <c r="I1989" i="3" a="1"/>
  <c r="I1989" i="3"/>
  <c r="I1990" i="3" a="1"/>
  <c r="I1990" i="3" s="1"/>
  <c r="I1991" i="3" a="1"/>
  <c r="I1991" i="3" s="1"/>
  <c r="I1992" i="3" a="1"/>
  <c r="I1992" i="3" s="1"/>
  <c r="I1993" i="3" a="1"/>
  <c r="I1993" i="3"/>
  <c r="I1994" i="3" a="1"/>
  <c r="I1994" i="3" s="1"/>
  <c r="I1995" i="3" a="1"/>
  <c r="I1995" i="3" s="1"/>
  <c r="I1996" i="3" a="1"/>
  <c r="I1996" i="3" s="1"/>
  <c r="I1997" i="3" a="1"/>
  <c r="I1997" i="3"/>
  <c r="I1998" i="3" a="1"/>
  <c r="I1998" i="3" s="1"/>
  <c r="I1999" i="3" a="1"/>
  <c r="I1999" i="3" s="1"/>
  <c r="I2000" i="3" a="1"/>
  <c r="I2000" i="3" s="1"/>
  <c r="I2001" i="3" a="1"/>
  <c r="I2001" i="3"/>
  <c r="I2002" i="3" a="1"/>
  <c r="I2002" i="3" s="1"/>
  <c r="I2003" i="3" a="1"/>
  <c r="I2003" i="3" s="1"/>
  <c r="I2004" i="3" a="1"/>
  <c r="I2004" i="3" s="1"/>
  <c r="I2005" i="3" a="1"/>
  <c r="I2005" i="3"/>
  <c r="I2006" i="3" a="1"/>
  <c r="I2006" i="3" s="1"/>
  <c r="I2007" i="3" a="1"/>
  <c r="I2007" i="3" s="1"/>
  <c r="I2008" i="3" a="1"/>
  <c r="I2008" i="3" s="1"/>
  <c r="I2009" i="3" a="1"/>
  <c r="I2009" i="3"/>
  <c r="I2010" i="3" a="1"/>
  <c r="I2010" i="3" s="1"/>
  <c r="I2011" i="3" a="1"/>
  <c r="I2011" i="3" s="1"/>
  <c r="I2012" i="3" a="1"/>
  <c r="I2012" i="3" s="1"/>
  <c r="I2013" i="3" a="1"/>
  <c r="I2013" i="3"/>
  <c r="I2014" i="3" a="1"/>
  <c r="I2014" i="3" s="1"/>
  <c r="I2015" i="3" a="1"/>
  <c r="I2015" i="3" s="1"/>
  <c r="I2016" i="3" a="1"/>
  <c r="I2016" i="3" s="1"/>
  <c r="I2017" i="3" a="1"/>
  <c r="I2017" i="3"/>
  <c r="I2018" i="3" a="1"/>
  <c r="I2018" i="3" s="1"/>
  <c r="I2019" i="3" a="1"/>
  <c r="I2019" i="3" s="1"/>
  <c r="I2020" i="3" a="1"/>
  <c r="I2020" i="3" s="1"/>
  <c r="I2021" i="3" a="1"/>
  <c r="I2021" i="3"/>
  <c r="I2022" i="3" a="1"/>
  <c r="I2022" i="3" s="1"/>
  <c r="I2023" i="3" a="1"/>
  <c r="I2023" i="3" s="1"/>
  <c r="I2024" i="3" a="1"/>
  <c r="I2024" i="3" s="1"/>
  <c r="I2025" i="3" a="1"/>
  <c r="I2025" i="3"/>
  <c r="I2026" i="3" a="1"/>
  <c r="I2026" i="3" s="1"/>
  <c r="I2027" i="3" a="1"/>
  <c r="I2027" i="3" s="1"/>
  <c r="I2028" i="3" a="1"/>
  <c r="I2028" i="3" s="1"/>
  <c r="I2029" i="3" a="1"/>
  <c r="I2029" i="3"/>
  <c r="I2030" i="3" a="1"/>
  <c r="I2030" i="3" s="1"/>
  <c r="I2031" i="3" a="1"/>
  <c r="I2031" i="3" s="1"/>
  <c r="I2032" i="3" a="1"/>
  <c r="I2032" i="3" s="1"/>
  <c r="I2033" i="3" a="1"/>
  <c r="I2033" i="3"/>
  <c r="I2034" i="3" a="1"/>
  <c r="I2034" i="3" s="1"/>
  <c r="I2035" i="3" a="1"/>
  <c r="I2035" i="3" s="1"/>
  <c r="I2036" i="3" a="1"/>
  <c r="I2036" i="3" s="1"/>
  <c r="I2037" i="3" a="1"/>
  <c r="I2037" i="3"/>
  <c r="I2038" i="3" a="1"/>
  <c r="I2038" i="3" s="1"/>
  <c r="I2039" i="3" a="1"/>
  <c r="I2039" i="3" s="1"/>
  <c r="I2040" i="3" a="1"/>
  <c r="I2040" i="3" s="1"/>
  <c r="I2041" i="3" a="1"/>
  <c r="I2041" i="3"/>
  <c r="I2042" i="3" a="1"/>
  <c r="I2042" i="3" s="1"/>
  <c r="I2043" i="3" a="1"/>
  <c r="I2043" i="3" s="1"/>
  <c r="I2044" i="3" a="1"/>
  <c r="I2044" i="3" s="1"/>
  <c r="I2045" i="3" a="1"/>
  <c r="I2045" i="3"/>
  <c r="I2046" i="3" a="1"/>
  <c r="I2046" i="3" s="1"/>
  <c r="I2047" i="3" a="1"/>
  <c r="I2047" i="3" s="1"/>
  <c r="I2048" i="3" a="1"/>
  <c r="I2048" i="3" s="1"/>
  <c r="I2049" i="3" a="1"/>
  <c r="I2049" i="3"/>
  <c r="I2050" i="3" a="1"/>
  <c r="I2050" i="3" s="1"/>
  <c r="I2051" i="3" a="1"/>
  <c r="I2051" i="3" s="1"/>
  <c r="I2052" i="3" a="1"/>
  <c r="I2052" i="3" s="1"/>
  <c r="I2053" i="3" a="1"/>
  <c r="I2053" i="3"/>
  <c r="I2054" i="3" a="1"/>
  <c r="I2054" i="3" s="1"/>
  <c r="I2055" i="3" a="1"/>
  <c r="I2055" i="3" s="1"/>
  <c r="I2056" i="3" a="1"/>
  <c r="I2056" i="3" s="1"/>
  <c r="I2057" i="3" a="1"/>
  <c r="I2057" i="3"/>
  <c r="I2058" i="3" a="1"/>
  <c r="I2058" i="3" s="1"/>
  <c r="I2059" i="3" a="1"/>
  <c r="I2059" i="3" s="1"/>
  <c r="I2060" i="3" a="1"/>
  <c r="I2060" i="3" s="1"/>
  <c r="I2061" i="3" a="1"/>
  <c r="I2061" i="3"/>
  <c r="I2062" i="3" a="1"/>
  <c r="I2062" i="3" s="1"/>
  <c r="I2063" i="3" a="1"/>
  <c r="I2063" i="3" s="1"/>
  <c r="I2064" i="3" a="1"/>
  <c r="I2064" i="3" s="1"/>
  <c r="I2065" i="3" a="1"/>
  <c r="I2065" i="3"/>
  <c r="I2066" i="3" a="1"/>
  <c r="I2066" i="3" s="1"/>
  <c r="I2067" i="3" a="1"/>
  <c r="I2067" i="3" s="1"/>
  <c r="I2068" i="3" a="1"/>
  <c r="I2068" i="3" s="1"/>
  <c r="I2069" i="3" a="1"/>
  <c r="I2069" i="3"/>
  <c r="I2070" i="3" a="1"/>
  <c r="I2070" i="3" s="1"/>
  <c r="I2071" i="3" a="1"/>
  <c r="I2071" i="3" s="1"/>
  <c r="I2072" i="3" a="1"/>
  <c r="I2072" i="3" s="1"/>
  <c r="I2073" i="3" a="1"/>
  <c r="I2073" i="3"/>
  <c r="I2074" i="3" a="1"/>
  <c r="I2074" i="3" s="1"/>
  <c r="I2075" i="3" a="1"/>
  <c r="I2075" i="3" s="1"/>
  <c r="I2076" i="3" a="1"/>
  <c r="I2076" i="3" s="1"/>
  <c r="I2077" i="3" a="1"/>
  <c r="I2077" i="3"/>
  <c r="I2078" i="3" a="1"/>
  <c r="I2078" i="3" s="1"/>
  <c r="I2079" i="3" a="1"/>
  <c r="I2079" i="3" s="1"/>
  <c r="I2080" i="3" a="1"/>
  <c r="I2080" i="3" s="1"/>
  <c r="I2081" i="3" a="1"/>
  <c r="I2081" i="3"/>
  <c r="I2082" i="3" a="1"/>
  <c r="I2082" i="3" s="1"/>
  <c r="I2083" i="3" a="1"/>
  <c r="I2083" i="3" s="1"/>
  <c r="I2084" i="3" a="1"/>
  <c r="I2084" i="3" s="1"/>
  <c r="I2085" i="3" a="1"/>
  <c r="I2085" i="3"/>
  <c r="I2086" i="3" a="1"/>
  <c r="I2086" i="3" s="1"/>
  <c r="I2087" i="3" a="1"/>
  <c r="I2087" i="3" s="1"/>
  <c r="I2088" i="3" a="1"/>
  <c r="I2088" i="3" s="1"/>
  <c r="I2089" i="3" a="1"/>
  <c r="I2089" i="3"/>
  <c r="I2090" i="3" a="1"/>
  <c r="I2090" i="3" s="1"/>
  <c r="I2091" i="3" a="1"/>
  <c r="I2091" i="3" s="1"/>
  <c r="I2092" i="3" a="1"/>
  <c r="I2092" i="3" s="1"/>
  <c r="I2093" i="3" a="1"/>
  <c r="I2093" i="3"/>
  <c r="I2094" i="3" a="1"/>
  <c r="I2094" i="3" s="1"/>
  <c r="I2095" i="3" a="1"/>
  <c r="I2095" i="3" s="1"/>
  <c r="I2096" i="3" a="1"/>
  <c r="I2096" i="3" s="1"/>
  <c r="I2097" i="3" a="1"/>
  <c r="I2097" i="3"/>
  <c r="I2098" i="3" a="1"/>
  <c r="I2098" i="3" s="1"/>
  <c r="I2099" i="3" a="1"/>
  <c r="I2099" i="3" s="1"/>
  <c r="I2100" i="3" a="1"/>
  <c r="I2100" i="3" s="1"/>
  <c r="I2101" i="3" a="1"/>
  <c r="I2101" i="3"/>
  <c r="I2102" i="3" a="1"/>
  <c r="I2102" i="3" s="1"/>
  <c r="I2103" i="3" a="1"/>
  <c r="I2103" i="3" s="1"/>
  <c r="I2104" i="3" a="1"/>
  <c r="I2104" i="3" s="1"/>
  <c r="I2105" i="3" a="1"/>
  <c r="I2105" i="3"/>
  <c r="I2106" i="3" a="1"/>
  <c r="I2106" i="3" s="1"/>
  <c r="I2107" i="3" a="1"/>
  <c r="I2107" i="3" s="1"/>
  <c r="I2108" i="3" a="1"/>
  <c r="I2108" i="3" s="1"/>
  <c r="I2109" i="3" a="1"/>
  <c r="I2109" i="3"/>
  <c r="I2110" i="3" a="1"/>
  <c r="I2110" i="3" s="1"/>
  <c r="I2111" i="3" a="1"/>
  <c r="I2111" i="3" s="1"/>
  <c r="I2112" i="3" a="1"/>
  <c r="I2112" i="3" s="1"/>
  <c r="I2113" i="3" a="1"/>
  <c r="I2113" i="3"/>
  <c r="I2114" i="3" a="1"/>
  <c r="I2114" i="3" s="1"/>
  <c r="I2115" i="3" a="1"/>
  <c r="I2115" i="3" s="1"/>
  <c r="I2116" i="3" a="1"/>
  <c r="I2116" i="3" s="1"/>
  <c r="I2117" i="3" a="1"/>
  <c r="I2117" i="3"/>
  <c r="I2118" i="3" a="1"/>
  <c r="I2118" i="3" s="1"/>
  <c r="I2119" i="3" a="1"/>
  <c r="I2119" i="3" s="1"/>
  <c r="I2120" i="3" a="1"/>
  <c r="I2120" i="3" s="1"/>
  <c r="I2121" i="3" a="1"/>
  <c r="I2121" i="3"/>
  <c r="I2122" i="3" a="1"/>
  <c r="I2122" i="3" s="1"/>
  <c r="I2123" i="3" a="1"/>
  <c r="I2123" i="3" s="1"/>
  <c r="I2124" i="3" a="1"/>
  <c r="I2124" i="3" s="1"/>
  <c r="I2125" i="3" a="1"/>
  <c r="I2125" i="3"/>
  <c r="I2126" i="3" a="1"/>
  <c r="I2126" i="3" s="1"/>
  <c r="I2127" i="3" a="1"/>
  <c r="I2127" i="3" s="1"/>
  <c r="I2128" i="3" a="1"/>
  <c r="I2128" i="3" s="1"/>
  <c r="I2129" i="3" a="1"/>
  <c r="I2129" i="3"/>
  <c r="I2130" i="3" a="1"/>
  <c r="I2130" i="3" s="1"/>
  <c r="I2131" i="3" a="1"/>
  <c r="I2131" i="3" s="1"/>
  <c r="I2132" i="3" a="1"/>
  <c r="I2132" i="3" s="1"/>
  <c r="I2133" i="3" a="1"/>
  <c r="I2133" i="3"/>
  <c r="I2134" i="3" a="1"/>
  <c r="I2134" i="3" s="1"/>
  <c r="I2135" i="3" a="1"/>
  <c r="I2135" i="3" s="1"/>
  <c r="I2136" i="3" a="1"/>
  <c r="I2136" i="3" s="1"/>
  <c r="I2137" i="3" a="1"/>
  <c r="I2137" i="3"/>
  <c r="I2138" i="3" a="1"/>
  <c r="I2138" i="3" s="1"/>
  <c r="I2139" i="3" a="1"/>
  <c r="I2139" i="3" s="1"/>
  <c r="I2140" i="3" a="1"/>
  <c r="I2140" i="3" s="1"/>
  <c r="I2141" i="3" a="1"/>
  <c r="I2141" i="3"/>
  <c r="I2142" i="3" a="1"/>
  <c r="I2142" i="3" s="1"/>
  <c r="I2143" i="3" a="1"/>
  <c r="I2143" i="3" s="1"/>
  <c r="I2144" i="3" a="1"/>
  <c r="I2144" i="3" s="1"/>
  <c r="I2145" i="3" a="1"/>
  <c r="I2145" i="3"/>
  <c r="I2146" i="3" a="1"/>
  <c r="I2146" i="3" s="1"/>
  <c r="I2147" i="3" a="1"/>
  <c r="I2147" i="3" s="1"/>
  <c r="I2148" i="3" a="1"/>
  <c r="I2148" i="3" s="1"/>
  <c r="I2149" i="3" a="1"/>
  <c r="I2149" i="3"/>
  <c r="I2150" i="3" a="1"/>
  <c r="I2150" i="3" s="1"/>
  <c r="I2151" i="3" a="1"/>
  <c r="I2151" i="3" s="1"/>
  <c r="I2152" i="3" a="1"/>
  <c r="I2152" i="3" s="1"/>
  <c r="I2153" i="3" a="1"/>
  <c r="I2153" i="3"/>
  <c r="I2154" i="3" a="1"/>
  <c r="I2154" i="3" s="1"/>
  <c r="I2155" i="3" a="1"/>
  <c r="I2155" i="3" s="1"/>
  <c r="I2156" i="3" a="1"/>
  <c r="I2156" i="3" s="1"/>
  <c r="I2157" i="3" a="1"/>
  <c r="I2157" i="3"/>
  <c r="I2158" i="3" a="1"/>
  <c r="I2158" i="3" s="1"/>
  <c r="I2159" i="3" a="1"/>
  <c r="I2159" i="3" s="1"/>
  <c r="I2160" i="3" a="1"/>
  <c r="I2160" i="3" s="1"/>
  <c r="I2161" i="3" a="1"/>
  <c r="I2161" i="3"/>
  <c r="I2162" i="3" a="1"/>
  <c r="I2162" i="3" s="1"/>
  <c r="I2163" i="3" a="1"/>
  <c r="I2163" i="3" s="1"/>
  <c r="I2164" i="3" a="1"/>
  <c r="I2164" i="3" s="1"/>
  <c r="I2165" i="3" a="1"/>
  <c r="I2165" i="3"/>
  <c r="I2166" i="3" a="1"/>
  <c r="I2166" i="3" s="1"/>
  <c r="I2167" i="3" a="1"/>
  <c r="I2167" i="3" s="1"/>
  <c r="I2168" i="3" a="1"/>
  <c r="I2168" i="3" s="1"/>
  <c r="I2169" i="3" a="1"/>
  <c r="I2169" i="3"/>
  <c r="I2170" i="3" a="1"/>
  <c r="I2170" i="3" s="1"/>
  <c r="I2171" i="3" a="1"/>
  <c r="I2171" i="3" s="1"/>
  <c r="I2172" i="3" a="1"/>
  <c r="I2172" i="3" s="1"/>
  <c r="I2173" i="3" a="1"/>
  <c r="I2173" i="3"/>
  <c r="I2174" i="3" a="1"/>
  <c r="I2174" i="3" s="1"/>
  <c r="I2175" i="3" a="1"/>
  <c r="I2175" i="3" s="1"/>
  <c r="I2176" i="3" a="1"/>
  <c r="I2176" i="3" s="1"/>
  <c r="I2177" i="3" a="1"/>
  <c r="I2177" i="3"/>
  <c r="I2178" i="3" a="1"/>
  <c r="I2178" i="3" s="1"/>
  <c r="I2179" i="3" a="1"/>
  <c r="I2179" i="3" s="1"/>
  <c r="I2180" i="3" a="1"/>
  <c r="I2180" i="3" s="1"/>
  <c r="I2181" i="3" a="1"/>
  <c r="I2181" i="3"/>
  <c r="I2182" i="3" a="1"/>
  <c r="I2182" i="3" s="1"/>
  <c r="I2183" i="3" a="1"/>
  <c r="I2183" i="3" s="1"/>
  <c r="I2184" i="3" a="1"/>
  <c r="I2184" i="3" s="1"/>
  <c r="I2185" i="3" a="1"/>
  <c r="I2185" i="3"/>
  <c r="I2186" i="3" a="1"/>
  <c r="I2186" i="3" s="1"/>
  <c r="I2187" i="3" a="1"/>
  <c r="I2187" i="3" s="1"/>
  <c r="I2188" i="3" a="1"/>
  <c r="I2188" i="3" s="1"/>
  <c r="I2189" i="3" a="1"/>
  <c r="I2189" i="3"/>
  <c r="I2190" i="3" a="1"/>
  <c r="I2190" i="3" s="1"/>
  <c r="I2191" i="3" a="1"/>
  <c r="I2191" i="3" s="1"/>
  <c r="I2192" i="3" a="1"/>
  <c r="I2192" i="3" s="1"/>
  <c r="I2193" i="3" a="1"/>
  <c r="I2193" i="3"/>
  <c r="I2194" i="3" a="1"/>
  <c r="I2194" i="3" s="1"/>
  <c r="I2195" i="3" a="1"/>
  <c r="I2195" i="3" s="1"/>
  <c r="I2196" i="3" a="1"/>
  <c r="I2196" i="3" s="1"/>
  <c r="I2197" i="3" a="1"/>
  <c r="I2197" i="3"/>
  <c r="I2198" i="3" a="1"/>
  <c r="I2198" i="3" s="1"/>
  <c r="I2199" i="3" a="1"/>
  <c r="I2199" i="3" s="1"/>
  <c r="I2200" i="3" a="1"/>
  <c r="I2200" i="3" s="1"/>
  <c r="I2201" i="3" a="1"/>
  <c r="I2201" i="3"/>
  <c r="I2202" i="3" a="1"/>
  <c r="I2202" i="3" s="1"/>
  <c r="I2203" i="3" a="1"/>
  <c r="I2203" i="3" s="1"/>
  <c r="I2204" i="3" a="1"/>
  <c r="I2204" i="3" s="1"/>
  <c r="I2205" i="3" a="1"/>
  <c r="I2205" i="3"/>
  <c r="I2206" i="3" a="1"/>
  <c r="I2206" i="3" s="1"/>
  <c r="I2207" i="3" a="1"/>
  <c r="I2207" i="3" s="1"/>
  <c r="I2208" i="3" a="1"/>
  <c r="I2208" i="3" s="1"/>
  <c r="I2209" i="3" a="1"/>
  <c r="I2209" i="3"/>
  <c r="I2210" i="3" a="1"/>
  <c r="I2210" i="3" s="1"/>
  <c r="I2211" i="3" a="1"/>
  <c r="I2211" i="3" s="1"/>
  <c r="I2212" i="3" a="1"/>
  <c r="I2212" i="3" s="1"/>
  <c r="I2213" i="3" a="1"/>
  <c r="I2213" i="3"/>
  <c r="I2214" i="3" a="1"/>
  <c r="I2214" i="3" s="1"/>
  <c r="I2215" i="3" a="1"/>
  <c r="I2215" i="3" s="1"/>
  <c r="I2216" i="3" a="1"/>
  <c r="I2216" i="3" s="1"/>
  <c r="I2217" i="3" a="1"/>
  <c r="I2217" i="3"/>
  <c r="I2218" i="3" a="1"/>
  <c r="I2218" i="3" s="1"/>
  <c r="I2219" i="3" a="1"/>
  <c r="I2219" i="3" s="1"/>
  <c r="I2220" i="3" a="1"/>
  <c r="I2220" i="3" s="1"/>
  <c r="I2221" i="3" a="1"/>
  <c r="I2221" i="3"/>
  <c r="I2222" i="3" a="1"/>
  <c r="I2222" i="3" s="1"/>
  <c r="I2223" i="3" a="1"/>
  <c r="I2223" i="3" s="1"/>
  <c r="I2224" i="3" a="1"/>
  <c r="I2224" i="3" s="1"/>
  <c r="I2225" i="3" a="1"/>
  <c r="I2225" i="3"/>
  <c r="I2226" i="3" a="1"/>
  <c r="I2226" i="3" s="1"/>
  <c r="I2227" i="3" a="1"/>
  <c r="I2227" i="3" s="1"/>
  <c r="I2228" i="3" a="1"/>
  <c r="I2228" i="3" s="1"/>
  <c r="I2229" i="3" a="1"/>
  <c r="I2229" i="3"/>
  <c r="I2230" i="3" a="1"/>
  <c r="I2230" i="3" s="1"/>
  <c r="I2231" i="3" a="1"/>
  <c r="I2231" i="3" s="1"/>
  <c r="I2232" i="3" a="1"/>
  <c r="I2232" i="3" s="1"/>
  <c r="I2233" i="3" a="1"/>
  <c r="I2233" i="3"/>
  <c r="I2234" i="3" a="1"/>
  <c r="I2234" i="3" s="1"/>
  <c r="I2235" i="3" a="1"/>
  <c r="I2235" i="3" s="1"/>
  <c r="I2236" i="3" a="1"/>
  <c r="I2236" i="3" s="1"/>
  <c r="I2237" i="3" a="1"/>
  <c r="I2237" i="3"/>
  <c r="I2238" i="3" a="1"/>
  <c r="I2238" i="3" s="1"/>
  <c r="I2239" i="3" a="1"/>
  <c r="I2239" i="3" s="1"/>
  <c r="I2240" i="3" a="1"/>
  <c r="I2240" i="3" s="1"/>
  <c r="I2241" i="3" a="1"/>
  <c r="I2241" i="3"/>
  <c r="I2242" i="3" a="1"/>
  <c r="I2242" i="3" s="1"/>
  <c r="I2243" i="3" a="1"/>
  <c r="I2243" i="3" s="1"/>
  <c r="I2244" i="3" a="1"/>
  <c r="I2244" i="3" s="1"/>
  <c r="I2245" i="3" a="1"/>
  <c r="I2245" i="3"/>
  <c r="I2246" i="3" a="1"/>
  <c r="I2246" i="3" s="1"/>
  <c r="I2247" i="3" a="1"/>
  <c r="I2247" i="3" s="1"/>
  <c r="I2248" i="3" a="1"/>
  <c r="I2248" i="3" s="1"/>
  <c r="I2249" i="3" a="1"/>
  <c r="I2249" i="3"/>
  <c r="I2250" i="3" a="1"/>
  <c r="I2250" i="3" s="1"/>
  <c r="I2251" i="3" a="1"/>
  <c r="I2251" i="3" s="1"/>
  <c r="I2252" i="3" a="1"/>
  <c r="I2252" i="3" s="1"/>
  <c r="I2253" i="3" a="1"/>
  <c r="I2253" i="3"/>
  <c r="I2254" i="3" a="1"/>
  <c r="I2254" i="3" s="1"/>
  <c r="I2255" i="3" a="1"/>
  <c r="I2255" i="3" s="1"/>
  <c r="I2256" i="3" a="1"/>
  <c r="I2256" i="3" s="1"/>
  <c r="I2257" i="3" a="1"/>
  <c r="I2257" i="3"/>
  <c r="I2258" i="3" a="1"/>
  <c r="I2258" i="3" s="1"/>
  <c r="I2259" i="3" a="1"/>
  <c r="I2259" i="3" s="1"/>
  <c r="I2260" i="3" a="1"/>
  <c r="I2260" i="3" s="1"/>
  <c r="I2261" i="3" a="1"/>
  <c r="I2261" i="3"/>
  <c r="I2262" i="3" a="1"/>
  <c r="I2262" i="3" s="1"/>
  <c r="I2263" i="3" a="1"/>
  <c r="I2263" i="3" s="1"/>
  <c r="I2264" i="3" a="1"/>
  <c r="I2264" i="3" s="1"/>
  <c r="I2265" i="3" a="1"/>
  <c r="I2265" i="3"/>
  <c r="I2266" i="3" a="1"/>
  <c r="I2266" i="3" s="1"/>
  <c r="I2267" i="3" a="1"/>
  <c r="I2267" i="3" s="1"/>
  <c r="I2268" i="3" a="1"/>
  <c r="I2268" i="3" s="1"/>
  <c r="I2269" i="3" a="1"/>
  <c r="I2269" i="3"/>
  <c r="I2270" i="3" a="1"/>
  <c r="I2270" i="3" s="1"/>
  <c r="I2271" i="3" a="1"/>
  <c r="I2271" i="3" s="1"/>
  <c r="I2272" i="3" a="1"/>
  <c r="I2272" i="3" s="1"/>
  <c r="I2273" i="3" a="1"/>
  <c r="I2273" i="3"/>
  <c r="I2274" i="3" a="1"/>
  <c r="I2274" i="3" s="1"/>
  <c r="I2275" i="3" a="1"/>
  <c r="I2275" i="3" s="1"/>
  <c r="I2276" i="3" a="1"/>
  <c r="I2276" i="3" s="1"/>
  <c r="I2277" i="3" a="1"/>
  <c r="I2277" i="3"/>
  <c r="I2278" i="3" a="1"/>
  <c r="I2278" i="3" s="1"/>
  <c r="I2279" i="3" a="1"/>
  <c r="I2279" i="3" s="1"/>
  <c r="I2280" i="3" a="1"/>
  <c r="I2280" i="3" s="1"/>
  <c r="I2281" i="3" a="1"/>
  <c r="I2281" i="3"/>
  <c r="I2282" i="3" a="1"/>
  <c r="I2282" i="3" s="1"/>
  <c r="I2283" i="3" a="1"/>
  <c r="I2283" i="3" s="1"/>
  <c r="I2284" i="3" a="1"/>
  <c r="I2284" i="3" s="1"/>
  <c r="I2285" i="3" a="1"/>
  <c r="I2285" i="3"/>
  <c r="I2286" i="3" a="1"/>
  <c r="I2286" i="3" s="1"/>
  <c r="I2287" i="3" a="1"/>
  <c r="I2287" i="3" s="1"/>
  <c r="I2288" i="3" a="1"/>
  <c r="I2288" i="3" s="1"/>
  <c r="I2289" i="3" a="1"/>
  <c r="I2289" i="3"/>
  <c r="I2290" i="3" a="1"/>
  <c r="I2290" i="3" s="1"/>
  <c r="I2291" i="3" a="1"/>
  <c r="I2291" i="3" s="1"/>
  <c r="I2292" i="3" a="1"/>
  <c r="I2292" i="3" s="1"/>
  <c r="I2293" i="3" a="1"/>
  <c r="I2293" i="3" s="1"/>
  <c r="I2294" i="3" a="1"/>
  <c r="I2294" i="3" s="1"/>
  <c r="I2295" i="3" a="1"/>
  <c r="I2295" i="3" s="1"/>
  <c r="I2296" i="3" a="1"/>
  <c r="I2296" i="3" s="1"/>
  <c r="I2297" i="3" a="1"/>
  <c r="I2297" i="3"/>
  <c r="I2298" i="3" a="1"/>
  <c r="I2298" i="3" s="1"/>
  <c r="I2299" i="3" a="1"/>
  <c r="I2299" i="3" s="1"/>
  <c r="I2300" i="3" a="1"/>
  <c r="I2300" i="3" s="1"/>
  <c r="I2301" i="3" a="1"/>
  <c r="I2301" i="3" s="1"/>
  <c r="I2302" i="3" a="1"/>
  <c r="I2302" i="3" s="1"/>
  <c r="I2303" i="3" a="1"/>
  <c r="I2303" i="3" s="1"/>
  <c r="I2304" i="3" a="1"/>
  <c r="I2304" i="3" s="1"/>
  <c r="I2305" i="3" a="1"/>
  <c r="I2305" i="3"/>
  <c r="I2306" i="3" a="1"/>
  <c r="I2306" i="3" s="1"/>
  <c r="I2307" i="3" a="1"/>
  <c r="I2307" i="3" s="1"/>
  <c r="I2308" i="3" a="1"/>
  <c r="I2308" i="3" s="1"/>
  <c r="I2309" i="3" a="1"/>
  <c r="I2309" i="3" s="1"/>
  <c r="I2310" i="3" a="1"/>
  <c r="I2310" i="3" s="1"/>
  <c r="I2311" i="3" a="1"/>
  <c r="I2311" i="3" s="1"/>
  <c r="I2312" i="3" a="1"/>
  <c r="I2312" i="3" s="1"/>
  <c r="I2313" i="3" a="1"/>
  <c r="I2313" i="3"/>
  <c r="I2314" i="3" a="1"/>
  <c r="I2314" i="3" s="1"/>
  <c r="I2315" i="3" a="1"/>
  <c r="I2315" i="3" s="1"/>
  <c r="I2316" i="3" a="1"/>
  <c r="I2316" i="3" s="1"/>
  <c r="I2317" i="3" a="1"/>
  <c r="I2317" i="3" s="1"/>
  <c r="I2318" i="3" a="1"/>
  <c r="I2318" i="3" s="1"/>
  <c r="I2319" i="3" a="1"/>
  <c r="I2319" i="3" s="1"/>
  <c r="I2320" i="3" a="1"/>
  <c r="I2320" i="3" s="1"/>
  <c r="I2321" i="3" a="1"/>
  <c r="I2321" i="3"/>
  <c r="I2322" i="3" a="1"/>
  <c r="I2322" i="3" s="1"/>
  <c r="I2323" i="3" a="1"/>
  <c r="I2323" i="3" s="1"/>
  <c r="I2324" i="3" a="1"/>
  <c r="I2324" i="3" s="1"/>
  <c r="I2325" i="3" a="1"/>
  <c r="I2325" i="3" s="1"/>
  <c r="I2326" i="3" a="1"/>
  <c r="I2326" i="3" s="1"/>
  <c r="I2327" i="3" a="1"/>
  <c r="I2327" i="3" s="1"/>
  <c r="I2328" i="3" a="1"/>
  <c r="I2328" i="3" s="1"/>
  <c r="I2329" i="3" a="1"/>
  <c r="I2329" i="3"/>
  <c r="I2330" i="3" a="1"/>
  <c r="I2330" i="3" s="1"/>
  <c r="I2331" i="3" a="1"/>
  <c r="I2331" i="3" s="1"/>
  <c r="I2332" i="3" a="1"/>
  <c r="I2332" i="3" s="1"/>
  <c r="I2333" i="3" a="1"/>
  <c r="I2333" i="3"/>
  <c r="I2334" i="3" a="1"/>
  <c r="I2334" i="3" s="1"/>
  <c r="I2335" i="3" a="1"/>
  <c r="I2335" i="3" s="1"/>
  <c r="I2336" i="3" a="1"/>
  <c r="I2336" i="3" s="1"/>
  <c r="I2337" i="3" a="1"/>
  <c r="I2337" i="3"/>
  <c r="I2338" i="3" a="1"/>
  <c r="I2338" i="3" s="1"/>
  <c r="I2339" i="3" a="1"/>
  <c r="I2339" i="3" s="1"/>
  <c r="I2340" i="3" a="1"/>
  <c r="I2340" i="3" s="1"/>
  <c r="I2341" i="3" a="1"/>
  <c r="I2341" i="3"/>
  <c r="I2342" i="3" a="1"/>
  <c r="I2342" i="3" s="1"/>
  <c r="I2343" i="3" a="1"/>
  <c r="I2343" i="3" s="1"/>
  <c r="I2344" i="3" a="1"/>
  <c r="I2344" i="3" s="1"/>
  <c r="I2345" i="3" a="1"/>
  <c r="I2345" i="3"/>
  <c r="I2346" i="3" a="1"/>
  <c r="I2346" i="3" s="1"/>
  <c r="I2347" i="3" a="1"/>
  <c r="I2347" i="3" s="1"/>
  <c r="I2348" i="3" a="1"/>
  <c r="I2348" i="3" s="1"/>
  <c r="I2349" i="3" a="1"/>
  <c r="I2349" i="3"/>
  <c r="I2350" i="3" a="1"/>
  <c r="I2350" i="3" s="1"/>
  <c r="I2351" i="3" a="1"/>
  <c r="I2351" i="3" s="1"/>
  <c r="I2352" i="3" a="1"/>
  <c r="I2352" i="3" s="1"/>
  <c r="I2353" i="3" a="1"/>
  <c r="I2353" i="3"/>
  <c r="I2354" i="3" a="1"/>
  <c r="I2354" i="3" s="1"/>
  <c r="I2355" i="3" a="1"/>
  <c r="I2355" i="3" s="1"/>
  <c r="I2356" i="3" a="1"/>
  <c r="I2356" i="3" s="1"/>
  <c r="I2357" i="3" a="1"/>
  <c r="I2357" i="3"/>
  <c r="I2358" i="3" a="1"/>
  <c r="I2358" i="3" s="1"/>
  <c r="I2359" i="3" a="1"/>
  <c r="I2359" i="3" s="1"/>
  <c r="I2360" i="3" a="1"/>
  <c r="I2360" i="3" s="1"/>
  <c r="I2361" i="3" a="1"/>
  <c r="I2361" i="3"/>
  <c r="I2362" i="3" a="1"/>
  <c r="I2362" i="3" s="1"/>
  <c r="I2363" i="3" a="1"/>
  <c r="I2363" i="3" s="1"/>
  <c r="I2364" i="3" a="1"/>
  <c r="I2364" i="3" s="1"/>
  <c r="I2365" i="3" a="1"/>
  <c r="I2365" i="3"/>
  <c r="I2366" i="3" a="1"/>
  <c r="I2366" i="3" s="1"/>
  <c r="I2367" i="3" a="1"/>
  <c r="I2367" i="3" s="1"/>
  <c r="I2368" i="3" a="1"/>
  <c r="I2368" i="3" s="1"/>
  <c r="I2369" i="3" a="1"/>
  <c r="I2369" i="3"/>
  <c r="I2370" i="3" a="1"/>
  <c r="I2370" i="3" s="1"/>
  <c r="I2371" i="3" a="1"/>
  <c r="I2371" i="3" s="1"/>
  <c r="I2372" i="3" a="1"/>
  <c r="I2372" i="3" s="1"/>
  <c r="I2373" i="3" a="1"/>
  <c r="I2373" i="3"/>
  <c r="I2374" i="3" a="1"/>
  <c r="I2374" i="3" s="1"/>
  <c r="I2375" i="3" a="1"/>
  <c r="I2375" i="3" s="1"/>
  <c r="I2376" i="3" a="1"/>
  <c r="I2376" i="3" s="1"/>
  <c r="I2377" i="3" a="1"/>
  <c r="I2377" i="3"/>
  <c r="I2378" i="3" a="1"/>
  <c r="I2378" i="3" s="1"/>
  <c r="I2379" i="3" a="1"/>
  <c r="I2379" i="3" s="1"/>
  <c r="I2380" i="3" a="1"/>
  <c r="I2380" i="3" s="1"/>
  <c r="I2381" i="3" a="1"/>
  <c r="I2381" i="3"/>
  <c r="I2382" i="3" a="1"/>
  <c r="I2382" i="3" s="1"/>
  <c r="I2383" i="3" a="1"/>
  <c r="I2383" i="3" s="1"/>
  <c r="I2384" i="3" a="1"/>
  <c r="I2384" i="3" s="1"/>
  <c r="I2385" i="3" a="1"/>
  <c r="I2385" i="3"/>
  <c r="I2386" i="3" a="1"/>
  <c r="I2386" i="3" s="1"/>
  <c r="I2387" i="3" a="1"/>
  <c r="I2387" i="3" s="1"/>
  <c r="I2388" i="3" a="1"/>
  <c r="I2388" i="3" s="1"/>
  <c r="I2389" i="3" a="1"/>
  <c r="I2389" i="3"/>
  <c r="I2390" i="3" a="1"/>
  <c r="I2390" i="3" s="1"/>
  <c r="I2391" i="3" a="1"/>
  <c r="I2391" i="3" s="1"/>
  <c r="I2392" i="3" a="1"/>
  <c r="I2392" i="3" s="1"/>
  <c r="I2393" i="3" a="1"/>
  <c r="I2393" i="3"/>
  <c r="I2394" i="3" a="1"/>
  <c r="I2394" i="3" s="1"/>
  <c r="I2395" i="3" a="1"/>
  <c r="I2395" i="3" s="1"/>
  <c r="I2396" i="3" a="1"/>
  <c r="I2396" i="3" s="1"/>
  <c r="I2397" i="3" a="1"/>
  <c r="I2397" i="3"/>
  <c r="I2398" i="3" a="1"/>
  <c r="I2398" i="3" s="1"/>
  <c r="I2399" i="3" a="1"/>
  <c r="I2399" i="3" s="1"/>
  <c r="I2400" i="3" a="1"/>
  <c r="I2400" i="3" s="1"/>
  <c r="I2401" i="3" a="1"/>
  <c r="I2401" i="3"/>
  <c r="I2402" i="3" a="1"/>
  <c r="I2402" i="3" s="1"/>
  <c r="I2403" i="3" a="1"/>
  <c r="I2403" i="3" s="1"/>
  <c r="I2404" i="3" a="1"/>
  <c r="I2404" i="3" s="1"/>
  <c r="I2405" i="3" a="1"/>
  <c r="I2405" i="3"/>
  <c r="I2406" i="3" a="1"/>
  <c r="I2406" i="3" s="1"/>
  <c r="I2407" i="3" a="1"/>
  <c r="I2407" i="3" s="1"/>
  <c r="I2408" i="3" a="1"/>
  <c r="I2408" i="3" s="1"/>
  <c r="I2409" i="3" a="1"/>
  <c r="I2409" i="3"/>
  <c r="I2410" i="3" a="1"/>
  <c r="I2410" i="3" s="1"/>
  <c r="I2411" i="3" a="1"/>
  <c r="I2411" i="3" s="1"/>
  <c r="I2412" i="3" a="1"/>
  <c r="I2412" i="3" s="1"/>
  <c r="I2413" i="3" a="1"/>
  <c r="I2413" i="3"/>
  <c r="I2414" i="3" a="1"/>
  <c r="I2414" i="3" s="1"/>
  <c r="I2415" i="3" a="1"/>
  <c r="I2415" i="3" s="1"/>
  <c r="I2416" i="3" a="1"/>
  <c r="I2416" i="3" s="1"/>
  <c r="I2417" i="3" a="1"/>
  <c r="I2417" i="3"/>
  <c r="I2418" i="3" a="1"/>
  <c r="I2418" i="3" s="1"/>
  <c r="I2419" i="3" a="1"/>
  <c r="I2419" i="3" s="1"/>
  <c r="I2420" i="3" a="1"/>
  <c r="I2420" i="3" s="1"/>
  <c r="I2421" i="3" a="1"/>
  <c r="I2421" i="3"/>
  <c r="I2422" i="3" a="1"/>
  <c r="I2422" i="3" s="1"/>
  <c r="I2423" i="3" a="1"/>
  <c r="I2423" i="3" s="1"/>
  <c r="I2424" i="3" a="1"/>
  <c r="I2424" i="3" s="1"/>
  <c r="I2425" i="3" a="1"/>
  <c r="I2425" i="3"/>
  <c r="I2426" i="3" a="1"/>
  <c r="I2426" i="3" s="1"/>
  <c r="I2427" i="3" a="1"/>
  <c r="I2427" i="3" s="1"/>
  <c r="I2428" i="3" a="1"/>
  <c r="I2428" i="3" s="1"/>
  <c r="I2429" i="3" a="1"/>
  <c r="I2429" i="3" s="1"/>
  <c r="I2430" i="3" a="1"/>
  <c r="I2430" i="3" s="1"/>
  <c r="I2431" i="3" a="1"/>
  <c r="I2431" i="3" s="1"/>
  <c r="I2432" i="3" a="1"/>
  <c r="I2432" i="3" s="1"/>
  <c r="I2433" i="3" a="1"/>
  <c r="I2433" i="3"/>
  <c r="I2434" i="3" a="1"/>
  <c r="I2434" i="3" s="1"/>
  <c r="I2435" i="3" a="1"/>
  <c r="I2435" i="3" s="1"/>
  <c r="I2436" i="3" a="1"/>
  <c r="I2436" i="3" s="1"/>
  <c r="I2437" i="3" a="1"/>
  <c r="I2437" i="3" s="1"/>
  <c r="I2438" i="3" a="1"/>
  <c r="I2438" i="3" s="1"/>
  <c r="I2439" i="3" a="1"/>
  <c r="I2439" i="3" s="1"/>
  <c r="I2440" i="3" a="1"/>
  <c r="I2440" i="3" s="1"/>
  <c r="I2441" i="3" a="1"/>
  <c r="I2441" i="3"/>
  <c r="I2442" i="3" a="1"/>
  <c r="I2442" i="3" s="1"/>
  <c r="I2443" i="3" a="1"/>
  <c r="I2443" i="3" s="1"/>
  <c r="I2444" i="3" a="1"/>
  <c r="I2444" i="3" s="1"/>
  <c r="I2445" i="3" a="1"/>
  <c r="I2445" i="3" s="1"/>
  <c r="I2446" i="3" a="1"/>
  <c r="I2446" i="3" s="1"/>
  <c r="I2447" i="3" a="1"/>
  <c r="I2447" i="3" s="1"/>
  <c r="I2448" i="3" a="1"/>
  <c r="I2448" i="3" s="1"/>
  <c r="I2449" i="3" a="1"/>
  <c r="I2449" i="3"/>
  <c r="I2450" i="3" a="1"/>
  <c r="I2450" i="3" s="1"/>
  <c r="I2451" i="3" a="1"/>
  <c r="I2451" i="3" s="1"/>
  <c r="I2452" i="3" a="1"/>
  <c r="I2452" i="3" s="1"/>
  <c r="I2453" i="3" a="1"/>
  <c r="I2453" i="3" s="1"/>
  <c r="I2454" i="3" a="1"/>
  <c r="I2454" i="3" s="1"/>
  <c r="I2455" i="3" a="1"/>
  <c r="I2455" i="3"/>
  <c r="I2456" i="3" a="1"/>
  <c r="I2456" i="3" s="1"/>
  <c r="I2457" i="3" a="1"/>
  <c r="I2457" i="3"/>
  <c r="I2458" i="3" a="1"/>
  <c r="I2458" i="3" s="1"/>
  <c r="I2459" i="3" a="1"/>
  <c r="I2459" i="3" s="1"/>
  <c r="I2460" i="3" a="1"/>
  <c r="I2460" i="3" s="1"/>
  <c r="I2461" i="3" a="1"/>
  <c r="I2461" i="3" s="1"/>
  <c r="I2462" i="3" a="1"/>
  <c r="I2462" i="3" s="1"/>
  <c r="I2463" i="3" a="1"/>
  <c r="I2463" i="3"/>
  <c r="I2464" i="3" a="1"/>
  <c r="I2464" i="3" s="1"/>
  <c r="I2465" i="3" a="1"/>
  <c r="I2465" i="3"/>
  <c r="I2466" i="3" a="1"/>
  <c r="I2466" i="3" s="1"/>
  <c r="I2467" i="3" a="1"/>
  <c r="I2467" i="3" s="1"/>
  <c r="I2468" i="3" a="1"/>
  <c r="I2468" i="3" s="1"/>
  <c r="I2469" i="3" a="1"/>
  <c r="I2469" i="3" s="1"/>
  <c r="I2470" i="3" a="1"/>
  <c r="I2470" i="3" s="1"/>
  <c r="I2471" i="3" a="1"/>
  <c r="I2471" i="3"/>
  <c r="I2472" i="3" a="1"/>
  <c r="I2472" i="3" s="1"/>
  <c r="I2473" i="3" a="1"/>
  <c r="I2473" i="3"/>
  <c r="I2474" i="3" a="1"/>
  <c r="I2474" i="3" s="1"/>
  <c r="I2475" i="3" a="1"/>
  <c r="I2475" i="3" s="1"/>
  <c r="I2476" i="3" a="1"/>
  <c r="I2476" i="3" s="1"/>
  <c r="I2477" i="3" a="1"/>
  <c r="I2477" i="3" s="1"/>
  <c r="I2478" i="3" a="1"/>
  <c r="I2478" i="3" s="1"/>
  <c r="I2479" i="3" a="1"/>
  <c r="I2479" i="3"/>
  <c r="I2480" i="3" a="1"/>
  <c r="I2480" i="3" s="1"/>
  <c r="I2481" i="3" a="1"/>
  <c r="I2481" i="3"/>
  <c r="I2482" i="3" a="1"/>
  <c r="I2482" i="3" s="1"/>
  <c r="I2483" i="3" a="1"/>
  <c r="I2483" i="3" s="1"/>
  <c r="I2484" i="3" a="1"/>
  <c r="I2484" i="3" s="1"/>
  <c r="I2485" i="3" a="1"/>
  <c r="I2485" i="3" s="1"/>
  <c r="I2486" i="3" a="1"/>
  <c r="I2486" i="3" s="1"/>
  <c r="I2487" i="3" a="1"/>
  <c r="I2487" i="3"/>
  <c r="I2488" i="3" a="1"/>
  <c r="I2488" i="3" s="1"/>
  <c r="I2489" i="3" a="1"/>
  <c r="I2489" i="3"/>
  <c r="I2490" i="3" a="1"/>
  <c r="I2490" i="3" s="1"/>
  <c r="I2491" i="3" a="1"/>
  <c r="I2491" i="3" s="1"/>
  <c r="I2492" i="3" a="1"/>
  <c r="I2492" i="3" s="1"/>
  <c r="I2493" i="3" a="1"/>
  <c r="I2493" i="3" s="1"/>
  <c r="I2494" i="3" a="1"/>
  <c r="I2494" i="3" s="1"/>
  <c r="I2495" i="3" a="1"/>
  <c r="I2495" i="3"/>
  <c r="I2496" i="3" a="1"/>
  <c r="I2496" i="3" s="1"/>
  <c r="I2497" i="3" a="1"/>
  <c r="I2497" i="3"/>
  <c r="I2498" i="3" a="1"/>
  <c r="I2498" i="3" s="1"/>
  <c r="I2499" i="3" a="1"/>
  <c r="I2499" i="3" s="1"/>
  <c r="I2500" i="3" a="1"/>
  <c r="I2500" i="3" s="1"/>
  <c r="I2501" i="3" a="1"/>
  <c r="I2501" i="3" s="1"/>
  <c r="I2502" i="3" a="1"/>
  <c r="I2502" i="3" s="1"/>
  <c r="I2503" i="3" a="1"/>
  <c r="I2503" i="3"/>
  <c r="I2504" i="3" a="1"/>
  <c r="I2504" i="3" s="1"/>
  <c r="I2505" i="3" a="1"/>
  <c r="I2505" i="3"/>
  <c r="I2506" i="3" a="1"/>
  <c r="I2506" i="3" s="1"/>
  <c r="I2507" i="3" a="1"/>
  <c r="I2507" i="3" s="1"/>
  <c r="I2508" i="3" a="1"/>
  <c r="I2508" i="3" s="1"/>
  <c r="I2509" i="3" a="1"/>
  <c r="I2509" i="3" s="1"/>
  <c r="I2510" i="3" a="1"/>
  <c r="I2510" i="3" s="1"/>
  <c r="I2511" i="3" a="1"/>
  <c r="I2511" i="3"/>
  <c r="I2512" i="3" a="1"/>
  <c r="I2512" i="3" s="1"/>
  <c r="I2513" i="3" a="1"/>
  <c r="I2513" i="3"/>
  <c r="I2514" i="3" a="1"/>
  <c r="I2514" i="3" s="1"/>
  <c r="I2515" i="3" a="1"/>
  <c r="I2515" i="3" s="1"/>
  <c r="I2516" i="3" a="1"/>
  <c r="I2516" i="3" s="1"/>
  <c r="I2517" i="3" a="1"/>
  <c r="I2517" i="3" s="1"/>
  <c r="I2518" i="3" a="1"/>
  <c r="I2518" i="3" s="1"/>
  <c r="I2519" i="3" a="1"/>
  <c r="I2519" i="3"/>
  <c r="I2520" i="3" a="1"/>
  <c r="I2520" i="3" s="1"/>
  <c r="I2521" i="3" a="1"/>
  <c r="I2521" i="3"/>
  <c r="I2522" i="3" a="1"/>
  <c r="I2522" i="3" s="1"/>
  <c r="I2523" i="3" a="1"/>
  <c r="I2523" i="3" s="1"/>
  <c r="I2524" i="3" a="1"/>
  <c r="I2524" i="3" s="1"/>
  <c r="I2525" i="3" a="1"/>
  <c r="I2525" i="3" s="1"/>
  <c r="I2526" i="3" a="1"/>
  <c r="I2526" i="3" s="1"/>
  <c r="I2527" i="3" a="1"/>
  <c r="I2527" i="3"/>
  <c r="I2528" i="3" a="1"/>
  <c r="I2528" i="3" s="1"/>
  <c r="I2529" i="3" a="1"/>
  <c r="I2529" i="3"/>
  <c r="I2530" i="3" a="1"/>
  <c r="I2530" i="3" s="1"/>
  <c r="I2531" i="3" a="1"/>
  <c r="I2531" i="3" s="1"/>
  <c r="I2532" i="3" a="1"/>
  <c r="I2532" i="3" s="1"/>
  <c r="I2533" i="3" a="1"/>
  <c r="I2533" i="3" s="1"/>
  <c r="I2534" i="3" a="1"/>
  <c r="I2534" i="3" s="1"/>
  <c r="I2535" i="3" a="1"/>
  <c r="I2535" i="3"/>
  <c r="I2536" i="3" a="1"/>
  <c r="I2536" i="3" s="1"/>
  <c r="I2537" i="3" a="1"/>
  <c r="I2537" i="3"/>
  <c r="I2538" i="3" a="1"/>
  <c r="I2538" i="3" s="1"/>
  <c r="I2539" i="3" a="1"/>
  <c r="I2539" i="3" s="1"/>
  <c r="I2540" i="3" a="1"/>
  <c r="I2540" i="3" s="1"/>
  <c r="I2541" i="3" a="1"/>
  <c r="I2541" i="3" s="1"/>
  <c r="I2542" i="3" a="1"/>
  <c r="I2542" i="3" s="1"/>
  <c r="I2543" i="3" a="1"/>
  <c r="I2543" i="3"/>
  <c r="I2544" i="3" a="1"/>
  <c r="I2544" i="3" s="1"/>
  <c r="I2545" i="3" a="1"/>
  <c r="I2545" i="3"/>
  <c r="I2546" i="3" a="1"/>
  <c r="I2546" i="3" s="1"/>
  <c r="I2547" i="3" a="1"/>
  <c r="I2547" i="3" s="1"/>
  <c r="I2548" i="3" a="1"/>
  <c r="I2548" i="3" s="1"/>
  <c r="I2549" i="3" a="1"/>
  <c r="I2549" i="3" s="1"/>
  <c r="I2550" i="3" a="1"/>
  <c r="I2550" i="3" s="1"/>
  <c r="I2551" i="3" a="1"/>
  <c r="I2551" i="3"/>
  <c r="I2552" i="3" a="1"/>
  <c r="I2552" i="3" s="1"/>
  <c r="I2553" i="3" a="1"/>
  <c r="I2553" i="3"/>
  <c r="I2554" i="3" a="1"/>
  <c r="I2554" i="3" s="1"/>
  <c r="I2555" i="3" a="1"/>
  <c r="I2555" i="3" s="1"/>
  <c r="I2556" i="3" a="1"/>
  <c r="I2556" i="3" s="1"/>
  <c r="I2557" i="3" a="1"/>
  <c r="I2557" i="3" s="1"/>
  <c r="I2558" i="3" a="1"/>
  <c r="I2558" i="3" s="1"/>
  <c r="I2559" i="3" a="1"/>
  <c r="I2559" i="3"/>
  <c r="I2560" i="3" a="1"/>
  <c r="I2560" i="3" s="1"/>
  <c r="I2561" i="3" a="1"/>
  <c r="I2561" i="3"/>
  <c r="I2562" i="3" a="1"/>
  <c r="I2562" i="3" s="1"/>
  <c r="I2563" i="3" a="1"/>
  <c r="I2563" i="3" s="1"/>
  <c r="I2564" i="3" a="1"/>
  <c r="I2564" i="3" s="1"/>
  <c r="I2565" i="3" a="1"/>
  <c r="I2565" i="3" s="1"/>
  <c r="I2566" i="3" a="1"/>
  <c r="I2566" i="3" s="1"/>
  <c r="I2567" i="3" a="1"/>
  <c r="I2567" i="3"/>
  <c r="I2568" i="3" a="1"/>
  <c r="I2568" i="3" s="1"/>
  <c r="I2569" i="3" a="1"/>
  <c r="I2569" i="3"/>
  <c r="I2570" i="3" a="1"/>
  <c r="I2570" i="3" s="1"/>
  <c r="I2571" i="3" a="1"/>
  <c r="I2571" i="3" s="1"/>
  <c r="I2572" i="3" a="1"/>
  <c r="I2572" i="3" s="1"/>
  <c r="I2573" i="3" a="1"/>
  <c r="I2573" i="3" s="1"/>
  <c r="I2574" i="3" a="1"/>
  <c r="I2574" i="3" s="1"/>
  <c r="I2575" i="3" a="1"/>
  <c r="I2575" i="3"/>
  <c r="I2576" i="3" a="1"/>
  <c r="I2576" i="3" s="1"/>
  <c r="I2577" i="3" a="1"/>
  <c r="I2577" i="3"/>
  <c r="I2578" i="3" a="1"/>
  <c r="I2578" i="3" s="1"/>
  <c r="I2579" i="3" a="1"/>
  <c r="I2579" i="3" s="1"/>
  <c r="I2580" i="3" a="1"/>
  <c r="I2580" i="3" s="1"/>
  <c r="I2581" i="3" a="1"/>
  <c r="I2581" i="3" s="1"/>
  <c r="I2582" i="3" a="1"/>
  <c r="I2582" i="3" s="1"/>
  <c r="I2583" i="3" a="1"/>
  <c r="I2583" i="3"/>
  <c r="I2584" i="3" a="1"/>
  <c r="I2584" i="3" s="1"/>
  <c r="I2585" i="3" a="1"/>
  <c r="I2585" i="3"/>
  <c r="I2586" i="3" a="1"/>
  <c r="I2586" i="3" s="1"/>
  <c r="I2587" i="3" a="1"/>
  <c r="I2587" i="3" s="1"/>
  <c r="I2588" i="3" a="1"/>
  <c r="I2588" i="3" s="1"/>
  <c r="I2589" i="3" a="1"/>
  <c r="I2589" i="3" s="1"/>
  <c r="I2590" i="3" a="1"/>
  <c r="I2590" i="3" s="1"/>
  <c r="I2591" i="3" a="1"/>
  <c r="I2591" i="3"/>
  <c r="I2592" i="3" a="1"/>
  <c r="I2592" i="3" s="1"/>
  <c r="I2593" i="3" a="1"/>
  <c r="I2593" i="3"/>
  <c r="I2594" i="3" a="1"/>
  <c r="I2594" i="3" s="1"/>
  <c r="I2595" i="3" a="1"/>
  <c r="I2595" i="3" s="1"/>
  <c r="I2596" i="3" a="1"/>
  <c r="I2596" i="3" s="1"/>
  <c r="I2597" i="3" a="1"/>
  <c r="I2597" i="3" s="1"/>
  <c r="I2598" i="3" a="1"/>
  <c r="I2598" i="3" s="1"/>
  <c r="I2599" i="3" a="1"/>
  <c r="I2599" i="3"/>
  <c r="I2600" i="3" a="1"/>
  <c r="I2600" i="3" s="1"/>
  <c r="I2601" i="3" a="1"/>
  <c r="I2601" i="3"/>
  <c r="I2602" i="3" a="1"/>
  <c r="I2602" i="3" s="1"/>
  <c r="I2603" i="3" a="1"/>
  <c r="I2603" i="3" s="1"/>
  <c r="I2604" i="3" a="1"/>
  <c r="I2604" i="3" s="1"/>
  <c r="I2605" i="3" a="1"/>
  <c r="I2605" i="3" s="1"/>
  <c r="I2606" i="3" a="1"/>
  <c r="I2606" i="3" s="1"/>
  <c r="I2607" i="3" a="1"/>
  <c r="I2607" i="3" s="1"/>
  <c r="I2608" i="3" a="1"/>
  <c r="I2608" i="3" s="1"/>
  <c r="I2609" i="3" a="1"/>
  <c r="I2609" i="3"/>
  <c r="I2610" i="3" a="1"/>
  <c r="I2610" i="3" s="1"/>
  <c r="I2611" i="3" a="1"/>
  <c r="I2611" i="3" s="1"/>
  <c r="I2612" i="3" a="1"/>
  <c r="I2612" i="3" s="1"/>
  <c r="I2613" i="3" a="1"/>
  <c r="I2613" i="3" s="1"/>
  <c r="I2614" i="3" a="1"/>
  <c r="I2614" i="3" s="1"/>
  <c r="I2615" i="3" a="1"/>
  <c r="I2615" i="3" s="1"/>
  <c r="I2616" i="3" a="1"/>
  <c r="I2616" i="3" s="1"/>
  <c r="I2617" i="3" a="1"/>
  <c r="I2617" i="3"/>
  <c r="I2618" i="3" a="1"/>
  <c r="I2618" i="3" s="1"/>
  <c r="I2619" i="3" a="1"/>
  <c r="I2619" i="3" s="1"/>
  <c r="I2620" i="3" a="1"/>
  <c r="I2620" i="3" s="1"/>
  <c r="I2621" i="3" a="1"/>
  <c r="I2621" i="3" s="1"/>
  <c r="I2622" i="3" a="1"/>
  <c r="I2622" i="3" s="1"/>
  <c r="I2623" i="3" a="1"/>
  <c r="I2623" i="3" s="1"/>
  <c r="I2624" i="3" a="1"/>
  <c r="I2624" i="3" s="1"/>
  <c r="I2625" i="3" a="1"/>
  <c r="I2625" i="3"/>
  <c r="I2626" i="3" a="1"/>
  <c r="I2626" i="3" s="1"/>
  <c r="I2627" i="3" a="1"/>
  <c r="I2627" i="3" s="1"/>
  <c r="I2628" i="3" a="1"/>
  <c r="I2628" i="3" s="1"/>
  <c r="I2629" i="3" a="1"/>
  <c r="I2629" i="3" s="1"/>
  <c r="I2630" i="3" a="1"/>
  <c r="I2630" i="3" s="1"/>
  <c r="I2631" i="3" a="1"/>
  <c r="I2631" i="3" s="1"/>
  <c r="I2632" i="3" a="1"/>
  <c r="I2632" i="3" s="1"/>
  <c r="I2633" i="3" a="1"/>
  <c r="I2633" i="3"/>
  <c r="I2634" i="3" a="1"/>
  <c r="I2634" i="3" s="1"/>
  <c r="I2635" i="3" a="1"/>
  <c r="I2635" i="3" s="1"/>
  <c r="I2636" i="3" a="1"/>
  <c r="I2636" i="3" s="1"/>
  <c r="I2637" i="3" a="1"/>
  <c r="I2637" i="3" s="1"/>
  <c r="I2638" i="3" a="1"/>
  <c r="I2638" i="3" s="1"/>
  <c r="I2639" i="3" a="1"/>
  <c r="I2639" i="3" s="1"/>
  <c r="I2640" i="3" a="1"/>
  <c r="I2640" i="3" s="1"/>
  <c r="I2641" i="3" a="1"/>
  <c r="I2641" i="3"/>
  <c r="I2642" i="3" a="1"/>
  <c r="I2642" i="3" s="1"/>
  <c r="I2643" i="3" a="1"/>
  <c r="I2643" i="3" s="1"/>
  <c r="I2644" i="3" a="1"/>
  <c r="I2644" i="3" s="1"/>
  <c r="I2645" i="3" a="1"/>
  <c r="I2645" i="3" s="1"/>
  <c r="I2646" i="3" a="1"/>
  <c r="I2646" i="3" s="1"/>
  <c r="I2647" i="3" a="1"/>
  <c r="I2647" i="3" s="1"/>
  <c r="I2648" i="3" a="1"/>
  <c r="I2648" i="3" s="1"/>
  <c r="I2649" i="3" a="1"/>
  <c r="I2649" i="3"/>
  <c r="I2650" i="3" a="1"/>
  <c r="I2650" i="3" s="1"/>
  <c r="I2651" i="3" a="1"/>
  <c r="I2651" i="3" s="1"/>
  <c r="I2652" i="3" a="1"/>
  <c r="I2652" i="3" s="1"/>
  <c r="I2653" i="3" a="1"/>
  <c r="I2653" i="3" s="1"/>
  <c r="I2654" i="3" a="1"/>
  <c r="I2654" i="3" s="1"/>
  <c r="I2655" i="3" a="1"/>
  <c r="I2655" i="3" s="1"/>
  <c r="I2656" i="3" a="1"/>
  <c r="I2656" i="3" s="1"/>
  <c r="I2657" i="3" a="1"/>
  <c r="I2657" i="3"/>
  <c r="I2658" i="3" a="1"/>
  <c r="I2658" i="3" s="1"/>
  <c r="I2659" i="3" a="1"/>
  <c r="I2659" i="3" s="1"/>
  <c r="I2660" i="3" a="1"/>
  <c r="I2660" i="3" s="1"/>
  <c r="I2661" i="3" a="1"/>
  <c r="I2661" i="3" s="1"/>
  <c r="I2662" i="3" a="1"/>
  <c r="I2662" i="3" s="1"/>
  <c r="I2663" i="3" a="1"/>
  <c r="I2663" i="3" s="1"/>
  <c r="I2664" i="3" a="1"/>
  <c r="I2664" i="3" s="1"/>
  <c r="I2665" i="3" a="1"/>
  <c r="I2665" i="3"/>
  <c r="I2666" i="3" a="1"/>
  <c r="I2666" i="3" s="1"/>
  <c r="I2667" i="3" a="1"/>
  <c r="I2667" i="3" s="1"/>
  <c r="I2668" i="3" a="1"/>
  <c r="I2668" i="3" s="1"/>
  <c r="I2669" i="3" a="1"/>
  <c r="I2669" i="3" s="1"/>
  <c r="I2670" i="3" a="1"/>
  <c r="I2670" i="3" s="1"/>
  <c r="I2671" i="3" a="1"/>
  <c r="I2671" i="3" s="1"/>
  <c r="I2672" i="3" a="1"/>
  <c r="I2672" i="3" s="1"/>
  <c r="I2673" i="3" a="1"/>
  <c r="I2673" i="3"/>
  <c r="I2674" i="3" a="1"/>
  <c r="I2674" i="3" s="1"/>
  <c r="I2675" i="3" a="1"/>
  <c r="I2675" i="3" s="1"/>
  <c r="I2676" i="3" a="1"/>
  <c r="I2676" i="3" s="1"/>
  <c r="I2677" i="3" a="1"/>
  <c r="I2677" i="3" s="1"/>
  <c r="I2678" i="3" a="1"/>
  <c r="I2678" i="3" s="1"/>
  <c r="I2679" i="3" a="1"/>
  <c r="I2679" i="3" s="1"/>
  <c r="I2680" i="3" a="1"/>
  <c r="I2680" i="3" s="1"/>
  <c r="I2681" i="3" a="1"/>
  <c r="I2681" i="3"/>
  <c r="I2682" i="3" a="1"/>
  <c r="I2682" i="3" s="1"/>
  <c r="I2683" i="3" a="1"/>
  <c r="I2683" i="3" s="1"/>
  <c r="I2684" i="3" a="1"/>
  <c r="I2684" i="3" s="1"/>
  <c r="I2685" i="3" a="1"/>
  <c r="I2685" i="3" s="1"/>
  <c r="I2686" i="3" a="1"/>
  <c r="I2686" i="3" s="1"/>
  <c r="I2687" i="3" a="1"/>
  <c r="I2687" i="3" s="1"/>
  <c r="I2688" i="3" a="1"/>
  <c r="I2688" i="3" s="1"/>
  <c r="I2689" i="3" a="1"/>
  <c r="I2689" i="3"/>
  <c r="I2690" i="3" a="1"/>
  <c r="I2690" i="3" s="1"/>
  <c r="I2691" i="3" a="1"/>
  <c r="I2691" i="3" s="1"/>
  <c r="I2692" i="3" a="1"/>
  <c r="I2692" i="3" s="1"/>
  <c r="I2693" i="3" a="1"/>
  <c r="I2693" i="3" s="1"/>
  <c r="I2694" i="3" a="1"/>
  <c r="I2694" i="3" s="1"/>
  <c r="I2695" i="3" a="1"/>
  <c r="I2695" i="3" s="1"/>
  <c r="I2696" i="3" a="1"/>
  <c r="I2696" i="3" s="1"/>
  <c r="I2697" i="3" a="1"/>
  <c r="I2697" i="3"/>
  <c r="I2698" i="3" a="1"/>
  <c r="I2698" i="3" s="1"/>
  <c r="I2699" i="3" a="1"/>
  <c r="I2699" i="3" s="1"/>
  <c r="I2700" i="3" a="1"/>
  <c r="I2700" i="3" s="1"/>
  <c r="I2701" i="3" a="1"/>
  <c r="I2701" i="3" s="1"/>
  <c r="I2702" i="3" a="1"/>
  <c r="I2702" i="3" s="1"/>
  <c r="I2703" i="3" a="1"/>
  <c r="I2703" i="3" s="1"/>
  <c r="I2704" i="3" a="1"/>
  <c r="I2704" i="3" s="1"/>
  <c r="I2705" i="3" a="1"/>
  <c r="I2705" i="3"/>
  <c r="I2706" i="3" a="1"/>
  <c r="I2706" i="3" s="1"/>
  <c r="I2707" i="3" a="1"/>
  <c r="I2707" i="3" s="1"/>
  <c r="I2708" i="3" a="1"/>
  <c r="I2708" i="3" s="1"/>
  <c r="I2709" i="3" a="1"/>
  <c r="I2709" i="3" s="1"/>
  <c r="I2710" i="3" a="1"/>
  <c r="I2710" i="3" s="1"/>
  <c r="I2711" i="3" a="1"/>
  <c r="I2711" i="3" s="1"/>
  <c r="I2712" i="3" a="1"/>
  <c r="I2712" i="3" s="1"/>
  <c r="I2713" i="3" a="1"/>
  <c r="I2713" i="3"/>
  <c r="I2714" i="3" a="1"/>
  <c r="I2714" i="3" s="1"/>
  <c r="I2715" i="3" a="1"/>
  <c r="I2715" i="3" s="1"/>
  <c r="I2716" i="3" a="1"/>
  <c r="I2716" i="3" s="1"/>
  <c r="I2717" i="3" a="1"/>
  <c r="I2717" i="3" s="1"/>
  <c r="I2718" i="3" a="1"/>
  <c r="I2718" i="3" s="1"/>
  <c r="I2719" i="3" a="1"/>
  <c r="I2719" i="3" s="1"/>
  <c r="I2720" i="3" a="1"/>
  <c r="I2720" i="3" s="1"/>
  <c r="I2721" i="3" a="1"/>
  <c r="I2721" i="3"/>
  <c r="I2722" i="3" a="1"/>
  <c r="I2722" i="3" s="1"/>
  <c r="I2723" i="3" a="1"/>
  <c r="I2723" i="3" s="1"/>
  <c r="I2724" i="3" a="1"/>
  <c r="I2724" i="3" s="1"/>
  <c r="I2725" i="3" a="1"/>
  <c r="I2725" i="3" s="1"/>
  <c r="I2726" i="3" a="1"/>
  <c r="I2726" i="3" s="1"/>
  <c r="I2727" i="3" a="1"/>
  <c r="I2727" i="3" s="1"/>
  <c r="I2728" i="3" a="1"/>
  <c r="I2728" i="3" s="1"/>
  <c r="I2729" i="3" a="1"/>
  <c r="I2729" i="3"/>
  <c r="I2730" i="3" a="1"/>
  <c r="I2730" i="3" s="1"/>
  <c r="I2731" i="3" a="1"/>
  <c r="I2731" i="3" s="1"/>
  <c r="I2732" i="3" a="1"/>
  <c r="I2732" i="3" s="1"/>
  <c r="I2733" i="3" a="1"/>
  <c r="I2733" i="3" s="1"/>
  <c r="I2734" i="3" a="1"/>
  <c r="I2734" i="3" s="1"/>
  <c r="I2735" i="3" a="1"/>
  <c r="I2735" i="3" s="1"/>
  <c r="I2736" i="3" a="1"/>
  <c r="I2736" i="3" s="1"/>
  <c r="I2737" i="3" a="1"/>
  <c r="I2737" i="3"/>
  <c r="I2738" i="3" a="1"/>
  <c r="I2738" i="3" s="1"/>
  <c r="I2739" i="3" a="1"/>
  <c r="I2739" i="3" s="1"/>
  <c r="I2740" i="3" a="1"/>
  <c r="I2740" i="3" s="1"/>
  <c r="I2741" i="3" a="1"/>
  <c r="I2741" i="3" s="1"/>
  <c r="I2742" i="3" a="1"/>
  <c r="I2742" i="3" s="1"/>
  <c r="I2743" i="3" a="1"/>
  <c r="I2743" i="3" s="1"/>
  <c r="I2744" i="3" a="1"/>
  <c r="I2744" i="3" s="1"/>
  <c r="I2745" i="3" a="1"/>
  <c r="I2745" i="3"/>
  <c r="I2746" i="3" a="1"/>
  <c r="I2746" i="3" s="1"/>
  <c r="I2747" i="3" a="1"/>
  <c r="I2747" i="3" s="1"/>
  <c r="I2748" i="3" a="1"/>
  <c r="I2748" i="3" s="1"/>
  <c r="I2749" i="3" a="1"/>
  <c r="I2749" i="3" s="1"/>
  <c r="I2750" i="3" a="1"/>
  <c r="I2750" i="3"/>
  <c r="I2751" i="3" a="1"/>
  <c r="I2751" i="3" s="1"/>
  <c r="I2752" i="3" a="1"/>
  <c r="I2752" i="3"/>
  <c r="I2753" i="3" a="1"/>
  <c r="I2753" i="3" s="1"/>
  <c r="I2754" i="3" a="1"/>
  <c r="I2754" i="3"/>
  <c r="I2755" i="3" a="1"/>
  <c r="I2755" i="3" s="1"/>
  <c r="I2756" i="3" a="1"/>
  <c r="I2756" i="3"/>
  <c r="I2757" i="3" a="1"/>
  <c r="I2757" i="3" s="1"/>
  <c r="I2758" i="3" a="1"/>
  <c r="I2758" i="3" s="1"/>
  <c r="I2759" i="3" a="1"/>
  <c r="I2759" i="3" s="1"/>
  <c r="I2760" i="3" a="1"/>
  <c r="I2760" i="3"/>
  <c r="I2761" i="3" a="1"/>
  <c r="I2761" i="3" s="1"/>
  <c r="I2762" i="3" a="1"/>
  <c r="I2762" i="3" s="1"/>
  <c r="I2763" i="3" a="1"/>
  <c r="I2763" i="3" s="1"/>
  <c r="I2764" i="3" a="1"/>
  <c r="I2764" i="3"/>
  <c r="I2765" i="3" a="1"/>
  <c r="I2765" i="3" s="1"/>
  <c r="I2766" i="3" a="1"/>
  <c r="I2766" i="3" s="1"/>
  <c r="I2767" i="3" a="1"/>
  <c r="I2767" i="3" s="1"/>
  <c r="I2768" i="3" a="1"/>
  <c r="I2768" i="3"/>
  <c r="I2769" i="3" a="1"/>
  <c r="I2769" i="3" s="1"/>
  <c r="I2770" i="3" a="1"/>
  <c r="I2770" i="3" s="1"/>
  <c r="I2771" i="3" a="1"/>
  <c r="I2771" i="3" s="1"/>
  <c r="I2772" i="3" a="1"/>
  <c r="I2772" i="3"/>
  <c r="I2773" i="3" a="1"/>
  <c r="I2773" i="3" s="1"/>
  <c r="I2774" i="3" a="1"/>
  <c r="I2774" i="3" s="1"/>
  <c r="I2775" i="3" a="1"/>
  <c r="I2775" i="3" s="1"/>
  <c r="I2776" i="3" a="1"/>
  <c r="I2776" i="3" s="1"/>
  <c r="I2777" i="3" a="1"/>
  <c r="I2777" i="3" s="1"/>
  <c r="I2778" i="3" a="1"/>
  <c r="I2778" i="3"/>
  <c r="I2779" i="3" a="1"/>
  <c r="I2779" i="3" s="1"/>
  <c r="I2780" i="3" a="1"/>
  <c r="I2780" i="3"/>
  <c r="I2781" i="3" a="1"/>
  <c r="I2781" i="3" s="1"/>
  <c r="I2782" i="3" a="1"/>
  <c r="I2782" i="3" s="1"/>
  <c r="I2783" i="3" a="1"/>
  <c r="I2783" i="3" s="1"/>
  <c r="I2784" i="3" a="1"/>
  <c r="I2784" i="3" s="1"/>
  <c r="I2785" i="3" a="1"/>
  <c r="I2785" i="3" s="1"/>
  <c r="I2786" i="3" a="1"/>
  <c r="I2786" i="3"/>
  <c r="I2787" i="3" a="1"/>
  <c r="I2787" i="3" s="1"/>
  <c r="I2788" i="3" a="1"/>
  <c r="I2788" i="3" s="1"/>
  <c r="I2789" i="3" a="1"/>
  <c r="I2789" i="3" s="1"/>
  <c r="I2790" i="3" a="1"/>
  <c r="I2790" i="3" s="1"/>
  <c r="I2791" i="3" a="1"/>
  <c r="I2791" i="3" s="1"/>
  <c r="I2792" i="3" a="1"/>
  <c r="I2792" i="3" s="1"/>
  <c r="I2793" i="3" a="1"/>
  <c r="I2793" i="3" s="1"/>
  <c r="I2794" i="3" a="1"/>
  <c r="I2794" i="3"/>
  <c r="I2795" i="3" a="1"/>
  <c r="I2795" i="3" s="1"/>
  <c r="I2796" i="3" a="1"/>
  <c r="I2796" i="3"/>
  <c r="I2797" i="3" a="1"/>
  <c r="I2797" i="3" s="1"/>
  <c r="I2798" i="3" a="1"/>
  <c r="I2798" i="3" s="1"/>
  <c r="I2799" i="3" a="1"/>
  <c r="I2799" i="3" s="1"/>
  <c r="I2800" i="3" a="1"/>
  <c r="I2800" i="3" s="1"/>
  <c r="I2801" i="3" a="1"/>
  <c r="I2801" i="3" s="1"/>
  <c r="I2802" i="3" a="1"/>
  <c r="I2802" i="3"/>
  <c r="I2803" i="3" a="1"/>
  <c r="I2803" i="3" s="1"/>
  <c r="I2804" i="3" a="1"/>
  <c r="I2804" i="3"/>
  <c r="I2805" i="3" a="1"/>
  <c r="I2805" i="3" s="1"/>
  <c r="I2806" i="3" a="1"/>
  <c r="I2806" i="3" s="1"/>
  <c r="I2807" i="3" a="1"/>
  <c r="I2807" i="3" s="1"/>
  <c r="I2808" i="3" a="1"/>
  <c r="I2808" i="3" s="1"/>
  <c r="I2809" i="3" a="1"/>
  <c r="I2809" i="3" s="1"/>
  <c r="I2810" i="3" a="1"/>
  <c r="I2810" i="3"/>
  <c r="I2811" i="3" a="1"/>
  <c r="I2811" i="3" s="1"/>
  <c r="I2812" i="3" a="1"/>
  <c r="I2812" i="3"/>
  <c r="I2813" i="3" a="1"/>
  <c r="I2813" i="3" s="1"/>
  <c r="I2814" i="3" a="1"/>
  <c r="I2814" i="3" s="1"/>
  <c r="I2815" i="3" a="1"/>
  <c r="I2815" i="3" s="1"/>
  <c r="I2816" i="3" a="1"/>
  <c r="I2816" i="3" s="1"/>
  <c r="I2817" i="3" a="1"/>
  <c r="I2817" i="3" s="1"/>
  <c r="I2818" i="3" a="1"/>
  <c r="I2818" i="3"/>
  <c r="I2819" i="3" a="1"/>
  <c r="I2819" i="3" s="1"/>
  <c r="I2820" i="3" a="1"/>
  <c r="I2820" i="3" s="1"/>
  <c r="I2821" i="3" a="1"/>
  <c r="I2821" i="3" s="1"/>
  <c r="I2822" i="3" a="1"/>
  <c r="I2822" i="3" s="1"/>
  <c r="I2823" i="3" a="1"/>
  <c r="I2823" i="3" s="1"/>
  <c r="I2824" i="3" a="1"/>
  <c r="I2824" i="3" s="1"/>
  <c r="I2825" i="3" a="1"/>
  <c r="I2825" i="3" s="1"/>
  <c r="I2826" i="3" a="1"/>
  <c r="I2826" i="3"/>
  <c r="I2827" i="3" a="1"/>
  <c r="I2827" i="3" s="1"/>
  <c r="I2828" i="3" a="1"/>
  <c r="I2828" i="3" s="1"/>
  <c r="I2829" i="3" a="1"/>
  <c r="I2829" i="3" s="1"/>
  <c r="I2830" i="3" a="1"/>
  <c r="I2830" i="3" s="1"/>
  <c r="I2831" i="3" a="1"/>
  <c r="I2831" i="3" s="1"/>
  <c r="I2832" i="3" a="1"/>
  <c r="I2832" i="3" s="1"/>
  <c r="I2833" i="3" a="1"/>
  <c r="I2833" i="3" s="1"/>
  <c r="I2834" i="3" a="1"/>
  <c r="I2834" i="3"/>
  <c r="I2835" i="3" a="1"/>
  <c r="I2835" i="3" s="1"/>
  <c r="I2836" i="3" a="1"/>
  <c r="I2836" i="3"/>
  <c r="I2837" i="3" a="1"/>
  <c r="I2837" i="3" s="1"/>
  <c r="I2838" i="3" a="1"/>
  <c r="I2838" i="3" s="1"/>
  <c r="I2839" i="3" a="1"/>
  <c r="I2839" i="3" s="1"/>
  <c r="I2840" i="3" a="1"/>
  <c r="I2840" i="3" s="1"/>
  <c r="I2841" i="3" a="1"/>
  <c r="I2841" i="3" s="1"/>
  <c r="I2842" i="3" a="1"/>
  <c r="I2842" i="3"/>
  <c r="I2843" i="3" a="1"/>
  <c r="I2843" i="3" s="1"/>
  <c r="I2844" i="3" a="1"/>
  <c r="I2844" i="3" s="1"/>
  <c r="I2845" i="3" a="1"/>
  <c r="I2845" i="3" s="1"/>
  <c r="I2846" i="3" a="1"/>
  <c r="I2846" i="3" s="1"/>
  <c r="I2847" i="3" a="1"/>
  <c r="I2847" i="3" s="1"/>
  <c r="I2848" i="3" a="1"/>
  <c r="I2848" i="3" s="1"/>
  <c r="I2849" i="3" a="1"/>
  <c r="I2849" i="3" s="1"/>
  <c r="I2850" i="3" a="1"/>
  <c r="I2850" i="3"/>
  <c r="I2851" i="3" a="1"/>
  <c r="I2851" i="3" s="1"/>
  <c r="I2852" i="3" a="1"/>
  <c r="I2852" i="3"/>
  <c r="I2853" i="3" a="1"/>
  <c r="I2853" i="3" s="1"/>
  <c r="I2854" i="3" a="1"/>
  <c r="I2854" i="3" s="1"/>
  <c r="I2855" i="3" a="1"/>
  <c r="I2855" i="3" s="1"/>
  <c r="I2856" i="3" a="1"/>
  <c r="I2856" i="3" s="1"/>
  <c r="I2857" i="3" a="1"/>
  <c r="I2857" i="3" s="1"/>
  <c r="I2858" i="3" a="1"/>
  <c r="I2858" i="3"/>
  <c r="I2859" i="3" a="1"/>
  <c r="I2859" i="3" s="1"/>
  <c r="I2860" i="3" a="1"/>
  <c r="I2860" i="3"/>
  <c r="I2861" i="3" a="1"/>
  <c r="I2861" i="3" s="1"/>
  <c r="I2862" i="3" a="1"/>
  <c r="I2862" i="3" s="1"/>
  <c r="I2863" i="3" a="1"/>
  <c r="I2863" i="3" s="1"/>
  <c r="I2864" i="3" a="1"/>
  <c r="I2864" i="3" s="1"/>
  <c r="I2865" i="3" a="1"/>
  <c r="I2865" i="3" s="1"/>
  <c r="I2866" i="3" a="1"/>
  <c r="I2866" i="3"/>
  <c r="I2867" i="3" a="1"/>
  <c r="I2867" i="3" s="1"/>
  <c r="I2868" i="3" a="1"/>
  <c r="I2868" i="3" s="1"/>
  <c r="I2869" i="3" a="1"/>
  <c r="I2869" i="3" s="1"/>
  <c r="I2870" i="3" a="1"/>
  <c r="I2870" i="3" s="1"/>
  <c r="I2871" i="3" a="1"/>
  <c r="I2871" i="3" s="1"/>
  <c r="I2872" i="3" a="1"/>
  <c r="I2872" i="3" s="1"/>
  <c r="I2873" i="3" a="1"/>
  <c r="I2873" i="3" s="1"/>
  <c r="I2874" i="3" a="1"/>
  <c r="I2874" i="3"/>
  <c r="I2875" i="3" a="1"/>
  <c r="I2875" i="3" s="1"/>
  <c r="I2876" i="3" a="1"/>
  <c r="I2876" i="3"/>
  <c r="I2877" i="3" a="1"/>
  <c r="I2877" i="3" s="1"/>
  <c r="I2878" i="3" a="1"/>
  <c r="I2878" i="3" s="1"/>
  <c r="I2879" i="3" a="1"/>
  <c r="I2879" i="3" s="1"/>
  <c r="I2880" i="3" a="1"/>
  <c r="I2880" i="3" s="1"/>
  <c r="I2881" i="3" a="1"/>
  <c r="I2881" i="3" s="1"/>
  <c r="I2882" i="3" a="1"/>
  <c r="I2882" i="3"/>
  <c r="I2883" i="3" a="1"/>
  <c r="I2883" i="3" s="1"/>
  <c r="I2884" i="3" a="1"/>
  <c r="I2884" i="3"/>
  <c r="I2885" i="3" a="1"/>
  <c r="I2885" i="3" s="1"/>
  <c r="I2886" i="3" a="1"/>
  <c r="I2886" i="3" s="1"/>
  <c r="I2887" i="3" a="1"/>
  <c r="I2887" i="3" s="1"/>
  <c r="I2888" i="3" a="1"/>
  <c r="I2888" i="3" s="1"/>
  <c r="I2889" i="3" a="1"/>
  <c r="I2889" i="3" s="1"/>
  <c r="I2890" i="3" a="1"/>
  <c r="I2890" i="3"/>
  <c r="I2891" i="3" a="1"/>
  <c r="I2891" i="3" s="1"/>
  <c r="I2892" i="3" a="1"/>
  <c r="I2892" i="3"/>
  <c r="I2893" i="3" a="1"/>
  <c r="I2893" i="3" s="1"/>
  <c r="I2894" i="3" a="1"/>
  <c r="I2894" i="3" s="1"/>
  <c r="I2895" i="3" a="1"/>
  <c r="I2895" i="3" s="1"/>
  <c r="I2896" i="3" a="1"/>
  <c r="I2896" i="3" s="1"/>
  <c r="I2897" i="3" a="1"/>
  <c r="I2897" i="3" s="1"/>
  <c r="I2898" i="3" a="1"/>
  <c r="I2898" i="3"/>
  <c r="I2899" i="3" a="1"/>
  <c r="I2899" i="3" s="1"/>
  <c r="I2900" i="3" a="1"/>
  <c r="I2900" i="3"/>
  <c r="I2901" i="3" a="1"/>
  <c r="I2901" i="3" s="1"/>
  <c r="I2902" i="3" a="1"/>
  <c r="I2902" i="3" s="1"/>
  <c r="I2903" i="3" a="1"/>
  <c r="I2903" i="3" s="1"/>
  <c r="I2904" i="3" a="1"/>
  <c r="I2904" i="3" s="1"/>
  <c r="I2905" i="3" a="1"/>
  <c r="I2905" i="3" s="1"/>
  <c r="I2906" i="3" a="1"/>
  <c r="I2906" i="3"/>
  <c r="I2907" i="3" a="1"/>
  <c r="I2907" i="3" s="1"/>
  <c r="I2908" i="3" a="1"/>
  <c r="I2908" i="3"/>
  <c r="I2909" i="3" a="1"/>
  <c r="I2909" i="3" s="1"/>
  <c r="I2910" i="3" a="1"/>
  <c r="I2910" i="3" s="1"/>
  <c r="I2911" i="3" a="1"/>
  <c r="I2911" i="3" s="1"/>
  <c r="I2912" i="3" a="1"/>
  <c r="I2912" i="3" s="1"/>
  <c r="I2913" i="3" a="1"/>
  <c r="I2913" i="3" s="1"/>
  <c r="I2914" i="3" a="1"/>
  <c r="I2914" i="3"/>
  <c r="I2915" i="3" a="1"/>
  <c r="I2915" i="3" s="1"/>
  <c r="I2916" i="3" a="1"/>
  <c r="I2916" i="3"/>
  <c r="I2917" i="3" a="1"/>
  <c r="I2917" i="3" s="1"/>
  <c r="I2918" i="3" a="1"/>
  <c r="I2918" i="3" s="1"/>
  <c r="I2919" i="3" a="1"/>
  <c r="I2919" i="3" s="1"/>
  <c r="I2920" i="3" a="1"/>
  <c r="I2920" i="3" s="1"/>
  <c r="I2921" i="3" a="1"/>
  <c r="I2921" i="3" s="1"/>
  <c r="I2922" i="3" a="1"/>
  <c r="I2922" i="3"/>
  <c r="I2923" i="3" a="1"/>
  <c r="I2923" i="3" s="1"/>
  <c r="I2924" i="3" a="1"/>
  <c r="I2924" i="3" s="1"/>
  <c r="I2925" i="3" a="1"/>
  <c r="I2925" i="3" s="1"/>
  <c r="I2926" i="3" a="1"/>
  <c r="I2926" i="3" s="1"/>
  <c r="I2927" i="3" a="1"/>
  <c r="I2927" i="3" s="1"/>
  <c r="I2928" i="3" a="1"/>
  <c r="I2928" i="3" s="1"/>
  <c r="I2929" i="3" a="1"/>
  <c r="I2929" i="3" s="1"/>
  <c r="I2930" i="3" a="1"/>
  <c r="I2930" i="3"/>
  <c r="I2931" i="3" a="1"/>
  <c r="I2931" i="3" s="1"/>
  <c r="I2932" i="3" a="1"/>
  <c r="I2932" i="3"/>
  <c r="I2933" i="3" a="1"/>
  <c r="I2933" i="3" s="1"/>
  <c r="I2934" i="3" a="1"/>
  <c r="I2934" i="3" s="1"/>
  <c r="I2935" i="3" a="1"/>
  <c r="I2935" i="3" s="1"/>
  <c r="I2936" i="3" a="1"/>
  <c r="I2936" i="3" s="1"/>
  <c r="I2937" i="3" a="1"/>
  <c r="I2937" i="3" s="1"/>
  <c r="I2938" i="3" a="1"/>
  <c r="I2938" i="3"/>
  <c r="I2939" i="3" a="1"/>
  <c r="I2939" i="3" s="1"/>
  <c r="I2940" i="3" a="1"/>
  <c r="I2940" i="3"/>
  <c r="I2941" i="3" a="1"/>
  <c r="I2941" i="3" s="1"/>
  <c r="I2942" i="3" a="1"/>
  <c r="I2942" i="3" s="1"/>
  <c r="I2943" i="3" a="1"/>
  <c r="I2943" i="3" s="1"/>
  <c r="I2944" i="3" a="1"/>
  <c r="I2944" i="3" s="1"/>
  <c r="I2945" i="3" a="1"/>
  <c r="I2945" i="3" s="1"/>
  <c r="I2946" i="3" a="1"/>
  <c r="I2946" i="3"/>
  <c r="I2947" i="3" a="1"/>
  <c r="I2947" i="3" s="1"/>
  <c r="I2948" i="3" a="1"/>
  <c r="I2948" i="3"/>
  <c r="I2949" i="3" a="1"/>
  <c r="I2949" i="3" s="1"/>
  <c r="I2950" i="3" a="1"/>
  <c r="I2950" i="3" s="1"/>
  <c r="I2951" i="3" a="1"/>
  <c r="I2951" i="3" s="1"/>
  <c r="I2952" i="3" a="1"/>
  <c r="I2952" i="3" s="1"/>
  <c r="I2953" i="3" a="1"/>
  <c r="I2953" i="3" s="1"/>
  <c r="I2954" i="3" a="1"/>
  <c r="I2954" i="3"/>
  <c r="I2955" i="3" a="1"/>
  <c r="I2955" i="3" s="1"/>
  <c r="I2956" i="3" a="1"/>
  <c r="I2956" i="3"/>
  <c r="I2957" i="3" a="1"/>
  <c r="I2957" i="3" s="1"/>
  <c r="I2958" i="3" a="1"/>
  <c r="I2958" i="3" s="1"/>
  <c r="I2959" i="3" a="1"/>
  <c r="I2959" i="3" s="1"/>
  <c r="I2960" i="3" a="1"/>
  <c r="I2960" i="3" s="1"/>
  <c r="I2961" i="3" a="1"/>
  <c r="I2961" i="3" s="1"/>
  <c r="I2962" i="3" a="1"/>
  <c r="I2962" i="3"/>
  <c r="I2963" i="3" a="1"/>
  <c r="I2963" i="3" s="1"/>
  <c r="I2964" i="3" a="1"/>
  <c r="I2964" i="3" s="1"/>
  <c r="I2965" i="3" a="1"/>
  <c r="I2965" i="3" s="1"/>
  <c r="I2966" i="3" a="1"/>
  <c r="I2966" i="3" s="1"/>
  <c r="I2967" i="3" a="1"/>
  <c r="I2967" i="3" s="1"/>
  <c r="I2968" i="3" a="1"/>
  <c r="I2968" i="3" s="1"/>
  <c r="I2969" i="3" a="1"/>
  <c r="I2969" i="3" s="1"/>
  <c r="I2970" i="3" a="1"/>
  <c r="I2970" i="3"/>
  <c r="I2971" i="3" a="1"/>
  <c r="I2971" i="3" s="1"/>
  <c r="I2972" i="3" a="1"/>
  <c r="I2972" i="3" s="1"/>
  <c r="I2973" i="3" a="1"/>
  <c r="I2973" i="3" s="1"/>
  <c r="I2974" i="3" a="1"/>
  <c r="I2974" i="3" s="1"/>
  <c r="I2975" i="3" a="1"/>
  <c r="I2975" i="3" s="1"/>
  <c r="I2976" i="3" a="1"/>
  <c r="I2976" i="3" s="1"/>
  <c r="I2977" i="3" a="1"/>
  <c r="I2977" i="3" s="1"/>
  <c r="I2978" i="3" a="1"/>
  <c r="I2978" i="3"/>
  <c r="I2979" i="3" a="1"/>
  <c r="I2979" i="3" s="1"/>
  <c r="I2980" i="3" a="1"/>
  <c r="I2980" i="3" s="1"/>
  <c r="I2981" i="3" a="1"/>
  <c r="I2981" i="3" s="1"/>
  <c r="I2982" i="3" a="1"/>
  <c r="I2982" i="3" s="1"/>
  <c r="I2983" i="3" a="1"/>
  <c r="I2983" i="3" s="1"/>
  <c r="I2984" i="3" a="1"/>
  <c r="I2984" i="3" s="1"/>
  <c r="I2985" i="3" a="1"/>
  <c r="I2985" i="3" s="1"/>
  <c r="I2986" i="3" a="1"/>
  <c r="I2986" i="3"/>
  <c r="I2987" i="3" a="1"/>
  <c r="I2987" i="3" s="1"/>
  <c r="I2988" i="3" a="1"/>
  <c r="I2988" i="3" s="1"/>
  <c r="I2989" i="3" a="1"/>
  <c r="I2989" i="3" s="1"/>
  <c r="I2990" i="3" a="1"/>
  <c r="I2990" i="3" s="1"/>
  <c r="I2991" i="3" a="1"/>
  <c r="I2991" i="3" s="1"/>
  <c r="I2992" i="3" a="1"/>
  <c r="I2992" i="3" s="1"/>
  <c r="I2993" i="3" a="1"/>
  <c r="I2993" i="3" s="1"/>
  <c r="I2994" i="3" a="1"/>
  <c r="I2994" i="3"/>
  <c r="I2995" i="3" a="1"/>
  <c r="I2995" i="3" s="1"/>
  <c r="I2996" i="3" a="1"/>
  <c r="I2996" i="3" s="1"/>
  <c r="I2997" i="3" a="1"/>
  <c r="I2997" i="3" s="1"/>
  <c r="I2998" i="3" a="1"/>
  <c r="I2998" i="3" s="1"/>
  <c r="I2999" i="3" a="1"/>
  <c r="I2999" i="3"/>
  <c r="I3000" i="3" a="1"/>
  <c r="I3000" i="3" s="1"/>
  <c r="I3001" i="3" a="1"/>
  <c r="I3001" i="3"/>
  <c r="I2" i="3" a="1"/>
  <c r="I2" i="3" s="1"/>
  <c r="H3" i="3" a="1"/>
  <c r="H3" i="3" s="1"/>
  <c r="H4" i="3" a="1"/>
  <c r="H4" i="3" s="1"/>
  <c r="H5" i="3" a="1"/>
  <c r="H5" i="3" s="1"/>
  <c r="H6" i="3" a="1"/>
  <c r="H6" i="3" s="1"/>
  <c r="H7" i="3" a="1"/>
  <c r="H7" i="3" s="1"/>
  <c r="H8" i="3" a="1"/>
  <c r="H8" i="3" s="1"/>
  <c r="H9" i="3" a="1"/>
  <c r="H9" i="3" s="1"/>
  <c r="H10" i="3" a="1"/>
  <c r="H10" i="3" s="1"/>
  <c r="H11" i="3" a="1"/>
  <c r="H11" i="3" s="1"/>
  <c r="H12" i="3" a="1"/>
  <c r="H12" i="3" s="1"/>
  <c r="H13" i="3" a="1"/>
  <c r="H13" i="3" s="1"/>
  <c r="H14" i="3" a="1"/>
  <c r="H14" i="3" s="1"/>
  <c r="H15" i="3" a="1"/>
  <c r="H15" i="3" s="1"/>
  <c r="H16" i="3" a="1"/>
  <c r="H16" i="3" s="1"/>
  <c r="H17" i="3" a="1"/>
  <c r="H17" i="3" s="1"/>
  <c r="H18" i="3" a="1"/>
  <c r="H18" i="3" s="1"/>
  <c r="H19" i="3" a="1"/>
  <c r="H19" i="3" s="1"/>
  <c r="H20" i="3" a="1"/>
  <c r="H20" i="3" s="1"/>
  <c r="H21" i="3" a="1"/>
  <c r="H21" i="3" s="1"/>
  <c r="H22" i="3" a="1"/>
  <c r="H22" i="3" s="1"/>
  <c r="H23" i="3" a="1"/>
  <c r="H23" i="3" s="1"/>
  <c r="H24" i="3" a="1"/>
  <c r="H24" i="3" s="1"/>
  <c r="H25" i="3" a="1"/>
  <c r="H25" i="3" s="1"/>
  <c r="H26" i="3" a="1"/>
  <c r="H26" i="3"/>
  <c r="H27" i="3" a="1"/>
  <c r="H27" i="3" s="1"/>
  <c r="H28" i="3" a="1"/>
  <c r="H28" i="3" s="1"/>
  <c r="H29" i="3" a="1"/>
  <c r="H29" i="3" s="1"/>
  <c r="H30" i="3" a="1"/>
  <c r="H30" i="3" s="1"/>
  <c r="H31" i="3" a="1"/>
  <c r="H31" i="3" s="1"/>
  <c r="H32" i="3" a="1"/>
  <c r="H32" i="3" s="1"/>
  <c r="H33" i="3" a="1"/>
  <c r="H33" i="3" s="1"/>
  <c r="H34" i="3" a="1"/>
  <c r="H34" i="3" s="1"/>
  <c r="H35" i="3" a="1"/>
  <c r="H35" i="3" s="1"/>
  <c r="H36" i="3" a="1"/>
  <c r="H36" i="3" s="1"/>
  <c r="H37" i="3" a="1"/>
  <c r="H37" i="3" s="1"/>
  <c r="H38" i="3" a="1"/>
  <c r="H38" i="3" s="1"/>
  <c r="H39" i="3" a="1"/>
  <c r="H39" i="3" s="1"/>
  <c r="H40" i="3" a="1"/>
  <c r="H40" i="3" s="1"/>
  <c r="H41" i="3" a="1"/>
  <c r="H41" i="3" s="1"/>
  <c r="H42" i="3" a="1"/>
  <c r="H42" i="3" s="1"/>
  <c r="H43" i="3" a="1"/>
  <c r="H43" i="3" s="1"/>
  <c r="H44" i="3" a="1"/>
  <c r="H44" i="3" s="1"/>
  <c r="H45" i="3" a="1"/>
  <c r="H45" i="3" s="1"/>
  <c r="H46" i="3" a="1"/>
  <c r="H46" i="3" s="1"/>
  <c r="H47" i="3" a="1"/>
  <c r="H47" i="3" s="1"/>
  <c r="H48" i="3" a="1"/>
  <c r="H48" i="3" s="1"/>
  <c r="H49" i="3" a="1"/>
  <c r="H49" i="3" s="1"/>
  <c r="H50" i="3" a="1"/>
  <c r="H50" i="3" s="1"/>
  <c r="H51" i="3" a="1"/>
  <c r="H51" i="3" s="1"/>
  <c r="H52" i="3" a="1"/>
  <c r="H52" i="3"/>
  <c r="H53" i="3" a="1"/>
  <c r="H53" i="3" s="1"/>
  <c r="H54" i="3" a="1"/>
  <c r="H54" i="3" s="1"/>
  <c r="H55" i="3" a="1"/>
  <c r="H55" i="3" s="1"/>
  <c r="H56" i="3" a="1"/>
  <c r="H56" i="3" s="1"/>
  <c r="H57" i="3" a="1"/>
  <c r="H57" i="3" s="1"/>
  <c r="H58" i="3" a="1"/>
  <c r="H58" i="3" s="1"/>
  <c r="H59" i="3" a="1"/>
  <c r="H59" i="3" s="1"/>
  <c r="H60" i="3" a="1"/>
  <c r="H60" i="3"/>
  <c r="H61" i="3" a="1"/>
  <c r="H61" i="3" s="1"/>
  <c r="H62" i="3" a="1"/>
  <c r="H62" i="3" s="1"/>
  <c r="H63" i="3" a="1"/>
  <c r="H63" i="3" s="1"/>
  <c r="H64" i="3" a="1"/>
  <c r="H64" i="3" s="1"/>
  <c r="H65" i="3" a="1"/>
  <c r="H65" i="3" s="1"/>
  <c r="H66" i="3" a="1"/>
  <c r="H66" i="3" s="1"/>
  <c r="H67" i="3" a="1"/>
  <c r="H67" i="3" s="1"/>
  <c r="H68" i="3" a="1"/>
  <c r="H68" i="3" s="1"/>
  <c r="H69" i="3" a="1"/>
  <c r="H69" i="3" s="1"/>
  <c r="H70" i="3" a="1"/>
  <c r="H70" i="3"/>
  <c r="H71" i="3" a="1"/>
  <c r="H71" i="3" s="1"/>
  <c r="H72" i="3" a="1"/>
  <c r="H72" i="3" s="1"/>
  <c r="H73" i="3" a="1"/>
  <c r="H73" i="3" s="1"/>
  <c r="H74" i="3" a="1"/>
  <c r="H74" i="3" s="1"/>
  <c r="H75" i="3" a="1"/>
  <c r="H75" i="3" s="1"/>
  <c r="H76" i="3" a="1"/>
  <c r="H76" i="3" s="1"/>
  <c r="H77" i="3" a="1"/>
  <c r="H77" i="3" s="1"/>
  <c r="H78" i="3" a="1"/>
  <c r="H78" i="3" s="1"/>
  <c r="H79" i="3" a="1"/>
  <c r="H79" i="3" s="1"/>
  <c r="H80" i="3" a="1"/>
  <c r="H80" i="3" s="1"/>
  <c r="H81" i="3" a="1"/>
  <c r="H81" i="3" s="1"/>
  <c r="H82" i="3" a="1"/>
  <c r="H82" i="3" s="1"/>
  <c r="H83" i="3" a="1"/>
  <c r="H83" i="3" s="1"/>
  <c r="H84" i="3" a="1"/>
  <c r="H84" i="3" s="1"/>
  <c r="H85" i="3" a="1"/>
  <c r="H85" i="3" s="1"/>
  <c r="H86" i="3" a="1"/>
  <c r="H86" i="3"/>
  <c r="H87" i="3" a="1"/>
  <c r="H87" i="3" s="1"/>
  <c r="H88" i="3" a="1"/>
  <c r="H88" i="3" s="1"/>
  <c r="H89" i="3" a="1"/>
  <c r="H89" i="3" s="1"/>
  <c r="H90" i="3" a="1"/>
  <c r="H90" i="3" s="1"/>
  <c r="H91" i="3" a="1"/>
  <c r="H91" i="3" s="1"/>
  <c r="H92" i="3" a="1"/>
  <c r="H92" i="3" s="1"/>
  <c r="H93" i="3" a="1"/>
  <c r="H93" i="3" s="1"/>
  <c r="H94" i="3" a="1"/>
  <c r="H94" i="3" s="1"/>
  <c r="H95" i="3" a="1"/>
  <c r="H95" i="3" s="1"/>
  <c r="H96" i="3" a="1"/>
  <c r="H96" i="3" s="1"/>
  <c r="H97" i="3" a="1"/>
  <c r="H97" i="3" s="1"/>
  <c r="H98" i="3" a="1"/>
  <c r="H98" i="3" s="1"/>
  <c r="H99" i="3" a="1"/>
  <c r="H99" i="3" s="1"/>
  <c r="H100" i="3" a="1"/>
  <c r="H100" i="3" s="1"/>
  <c r="H101" i="3" a="1"/>
  <c r="H101" i="3" s="1"/>
  <c r="H102" i="3" a="1"/>
  <c r="H102" i="3"/>
  <c r="H103" i="3" a="1"/>
  <c r="H103" i="3" s="1"/>
  <c r="H104" i="3" a="1"/>
  <c r="H104" i="3" s="1"/>
  <c r="H105" i="3" a="1"/>
  <c r="H105" i="3" s="1"/>
  <c r="H106" i="3" a="1"/>
  <c r="H106" i="3" s="1"/>
  <c r="H107" i="3" a="1"/>
  <c r="H107" i="3" s="1"/>
  <c r="H108" i="3" a="1"/>
  <c r="H108" i="3" s="1"/>
  <c r="H109" i="3" a="1"/>
  <c r="H109" i="3" s="1"/>
  <c r="H110" i="3" a="1"/>
  <c r="H110" i="3" s="1"/>
  <c r="H111" i="3" a="1"/>
  <c r="H111" i="3" s="1"/>
  <c r="H112" i="3" a="1"/>
  <c r="H112" i="3" s="1"/>
  <c r="H113" i="3" a="1"/>
  <c r="H113" i="3" s="1"/>
  <c r="H114" i="3" a="1"/>
  <c r="H114" i="3"/>
  <c r="H115" i="3" a="1"/>
  <c r="H115" i="3" s="1"/>
  <c r="H116" i="3" a="1"/>
  <c r="H116" i="3" s="1"/>
  <c r="H117" i="3" a="1"/>
  <c r="H117" i="3" s="1"/>
  <c r="H118" i="3" a="1"/>
  <c r="H118" i="3" s="1"/>
  <c r="H119" i="3" a="1"/>
  <c r="H119" i="3" s="1"/>
  <c r="H120" i="3" a="1"/>
  <c r="H120" i="3" s="1"/>
  <c r="H121" i="3" a="1"/>
  <c r="H121" i="3" s="1"/>
  <c r="H122" i="3" a="1"/>
  <c r="H122" i="3"/>
  <c r="H123" i="3" a="1"/>
  <c r="H123" i="3" s="1"/>
  <c r="H124" i="3" a="1"/>
  <c r="H124" i="3" s="1"/>
  <c r="H125" i="3" a="1"/>
  <c r="H125" i="3" s="1"/>
  <c r="H126" i="3" a="1"/>
  <c r="H126" i="3" s="1"/>
  <c r="H127" i="3" a="1"/>
  <c r="H127" i="3" s="1"/>
  <c r="H128" i="3" a="1"/>
  <c r="H128" i="3" s="1"/>
  <c r="H129" i="3" a="1"/>
  <c r="H129" i="3" s="1"/>
  <c r="H130" i="3" a="1"/>
  <c r="H130" i="3"/>
  <c r="H131" i="3" a="1"/>
  <c r="H131" i="3" s="1"/>
  <c r="H132" i="3" a="1"/>
  <c r="H132" i="3" s="1"/>
  <c r="H133" i="3" a="1"/>
  <c r="H133" i="3" s="1"/>
  <c r="H134" i="3" a="1"/>
  <c r="H134" i="3" s="1"/>
  <c r="H135" i="3" a="1"/>
  <c r="H135" i="3" s="1"/>
  <c r="H136" i="3" a="1"/>
  <c r="H136" i="3" s="1"/>
  <c r="H137" i="3" a="1"/>
  <c r="H137" i="3" s="1"/>
  <c r="H138" i="3" a="1"/>
  <c r="H138" i="3"/>
  <c r="H139" i="3" a="1"/>
  <c r="H139" i="3" s="1"/>
  <c r="H140" i="3" a="1"/>
  <c r="H140" i="3" s="1"/>
  <c r="H141" i="3" a="1"/>
  <c r="H141" i="3" s="1"/>
  <c r="H142" i="3" a="1"/>
  <c r="H142" i="3" s="1"/>
  <c r="H143" i="3" a="1"/>
  <c r="H143" i="3" s="1"/>
  <c r="H144" i="3" a="1"/>
  <c r="H144" i="3" s="1"/>
  <c r="H145" i="3" a="1"/>
  <c r="H145" i="3" s="1"/>
  <c r="H146" i="3" a="1"/>
  <c r="H146" i="3"/>
  <c r="H147" i="3" a="1"/>
  <c r="H147" i="3" s="1"/>
  <c r="H148" i="3" a="1"/>
  <c r="H148" i="3" s="1"/>
  <c r="H149" i="3" a="1"/>
  <c r="H149" i="3" s="1"/>
  <c r="H150" i="3" a="1"/>
  <c r="H150" i="3" s="1"/>
  <c r="H151" i="3" a="1"/>
  <c r="H151" i="3" s="1"/>
  <c r="H152" i="3" a="1"/>
  <c r="H152" i="3" s="1"/>
  <c r="H153" i="3" a="1"/>
  <c r="H153" i="3" s="1"/>
  <c r="H154" i="3" a="1"/>
  <c r="H154" i="3" s="1"/>
  <c r="H155" i="3" a="1"/>
  <c r="H155" i="3" s="1"/>
  <c r="H156" i="3" a="1"/>
  <c r="H156" i="3" s="1"/>
  <c r="H157" i="3" a="1"/>
  <c r="H157" i="3" s="1"/>
  <c r="H158" i="3" a="1"/>
  <c r="H158" i="3" s="1"/>
  <c r="H159" i="3" a="1"/>
  <c r="H159" i="3" s="1"/>
  <c r="H160" i="3" a="1"/>
  <c r="H160" i="3" s="1"/>
  <c r="H161" i="3" a="1"/>
  <c r="H161" i="3" s="1"/>
  <c r="H162" i="3" a="1"/>
  <c r="H162" i="3"/>
  <c r="H163" i="3" a="1"/>
  <c r="H163" i="3" s="1"/>
  <c r="H164" i="3" a="1"/>
  <c r="H164" i="3" s="1"/>
  <c r="H165" i="3" a="1"/>
  <c r="H165" i="3" s="1"/>
  <c r="H166" i="3" a="1"/>
  <c r="H166" i="3"/>
  <c r="H167" i="3" a="1"/>
  <c r="H167" i="3" s="1"/>
  <c r="H168" i="3" a="1"/>
  <c r="H168" i="3" s="1"/>
  <c r="H169" i="3" a="1"/>
  <c r="H169" i="3" s="1"/>
  <c r="H170" i="3" a="1"/>
  <c r="H170" i="3" s="1"/>
  <c r="H171" i="3" a="1"/>
  <c r="H171" i="3" s="1"/>
  <c r="H172" i="3" a="1"/>
  <c r="H172" i="3" s="1"/>
  <c r="H173" i="3" a="1"/>
  <c r="H173" i="3" s="1"/>
  <c r="H174" i="3" a="1"/>
  <c r="H174" i="3" s="1"/>
  <c r="H175" i="3" a="1"/>
  <c r="H175" i="3" s="1"/>
  <c r="H176" i="3" a="1"/>
  <c r="H176" i="3" s="1"/>
  <c r="H177" i="3" a="1"/>
  <c r="H177" i="3" s="1"/>
  <c r="H178" i="3" a="1"/>
  <c r="H178" i="3"/>
  <c r="H179" i="3" a="1"/>
  <c r="H179" i="3" s="1"/>
  <c r="H180" i="3" a="1"/>
  <c r="H180" i="3" s="1"/>
  <c r="H181" i="3" a="1"/>
  <c r="H181" i="3" s="1"/>
  <c r="H182" i="3" a="1"/>
  <c r="H182" i="3"/>
  <c r="H183" i="3" a="1"/>
  <c r="H183" i="3" s="1"/>
  <c r="H184" i="3" a="1"/>
  <c r="H184" i="3" s="1"/>
  <c r="H185" i="3" a="1"/>
  <c r="H185" i="3" s="1"/>
  <c r="H186" i="3" a="1"/>
  <c r="H186" i="3" s="1"/>
  <c r="H187" i="3" a="1"/>
  <c r="H187" i="3" s="1"/>
  <c r="H188" i="3" a="1"/>
  <c r="H188" i="3" s="1"/>
  <c r="H189" i="3" a="1"/>
  <c r="H189" i="3" s="1"/>
  <c r="H190" i="3" a="1"/>
  <c r="H190" i="3" s="1"/>
  <c r="H191" i="3" a="1"/>
  <c r="H191" i="3" s="1"/>
  <c r="H192" i="3" a="1"/>
  <c r="H192" i="3" s="1"/>
  <c r="H193" i="3" a="1"/>
  <c r="H193" i="3" s="1"/>
  <c r="H194" i="3" a="1"/>
  <c r="H194" i="3"/>
  <c r="H195" i="3" a="1"/>
  <c r="H195" i="3" s="1"/>
  <c r="H196" i="3" a="1"/>
  <c r="H196" i="3" s="1"/>
  <c r="H197" i="3" a="1"/>
  <c r="H197" i="3" s="1"/>
  <c r="H198" i="3" a="1"/>
  <c r="H198" i="3"/>
  <c r="H199" i="3" a="1"/>
  <c r="H199" i="3" s="1"/>
  <c r="H200" i="3" a="1"/>
  <c r="H200" i="3" s="1"/>
  <c r="H201" i="3" a="1"/>
  <c r="H201" i="3" s="1"/>
  <c r="H202" i="3" a="1"/>
  <c r="H202" i="3" s="1"/>
  <c r="H203" i="3" a="1"/>
  <c r="H203" i="3" s="1"/>
  <c r="H204" i="3" a="1"/>
  <c r="H204" i="3" s="1"/>
  <c r="H205" i="3" a="1"/>
  <c r="H205" i="3" s="1"/>
  <c r="H206" i="3" a="1"/>
  <c r="H206" i="3" s="1"/>
  <c r="H207" i="3" a="1"/>
  <c r="H207" i="3" s="1"/>
  <c r="H208" i="3" a="1"/>
  <c r="H208" i="3" s="1"/>
  <c r="H209" i="3" a="1"/>
  <c r="H209" i="3" s="1"/>
  <c r="H210" i="3" a="1"/>
  <c r="H210" i="3"/>
  <c r="H211" i="3" a="1"/>
  <c r="H211" i="3" s="1"/>
  <c r="H212" i="3" a="1"/>
  <c r="H212" i="3" s="1"/>
  <c r="H213" i="3" a="1"/>
  <c r="H213" i="3" s="1"/>
  <c r="H214" i="3" a="1"/>
  <c r="H214" i="3"/>
  <c r="H215" i="3" a="1"/>
  <c r="H215" i="3" s="1"/>
  <c r="H216" i="3" a="1"/>
  <c r="H216" i="3" s="1"/>
  <c r="H217" i="3" a="1"/>
  <c r="H217" i="3" s="1"/>
  <c r="H218" i="3" a="1"/>
  <c r="H218" i="3" s="1"/>
  <c r="H219" i="3" a="1"/>
  <c r="H219" i="3" s="1"/>
  <c r="H220" i="3" a="1"/>
  <c r="H220" i="3" s="1"/>
  <c r="H221" i="3" a="1"/>
  <c r="H221" i="3" s="1"/>
  <c r="H222" i="3" a="1"/>
  <c r="H222" i="3" s="1"/>
  <c r="H223" i="3" a="1"/>
  <c r="H223" i="3" s="1"/>
  <c r="H224" i="3" a="1"/>
  <c r="H224" i="3" s="1"/>
  <c r="H225" i="3" a="1"/>
  <c r="H225" i="3" s="1"/>
  <c r="H226" i="3" a="1"/>
  <c r="H226" i="3"/>
  <c r="H227" i="3" a="1"/>
  <c r="H227" i="3" s="1"/>
  <c r="H228" i="3" a="1"/>
  <c r="H228" i="3" s="1"/>
  <c r="H229" i="3" a="1"/>
  <c r="H229" i="3" s="1"/>
  <c r="H230" i="3" a="1"/>
  <c r="H230" i="3"/>
  <c r="H231" i="3" a="1"/>
  <c r="H231" i="3" s="1"/>
  <c r="H232" i="3" a="1"/>
  <c r="H232" i="3" s="1"/>
  <c r="H233" i="3" a="1"/>
  <c r="H233" i="3" s="1"/>
  <c r="H234" i="3" a="1"/>
  <c r="H234" i="3" s="1"/>
  <c r="H235" i="3" a="1"/>
  <c r="H235" i="3" s="1"/>
  <c r="H236" i="3" a="1"/>
  <c r="H236" i="3" s="1"/>
  <c r="H237" i="3" a="1"/>
  <c r="H237" i="3" s="1"/>
  <c r="H238" i="3" a="1"/>
  <c r="H238" i="3" s="1"/>
  <c r="H239" i="3" a="1"/>
  <c r="H239" i="3" s="1"/>
  <c r="H240" i="3" a="1"/>
  <c r="H240" i="3" s="1"/>
  <c r="H241" i="3" a="1"/>
  <c r="H241" i="3" s="1"/>
  <c r="H242" i="3" a="1"/>
  <c r="H242" i="3"/>
  <c r="H243" i="3" a="1"/>
  <c r="H243" i="3" s="1"/>
  <c r="H244" i="3" a="1"/>
  <c r="H244" i="3" s="1"/>
  <c r="H245" i="3" a="1"/>
  <c r="H245" i="3" s="1"/>
  <c r="H246" i="3" a="1"/>
  <c r="H246" i="3"/>
  <c r="H247" i="3" a="1"/>
  <c r="H247" i="3" s="1"/>
  <c r="H248" i="3" a="1"/>
  <c r="H248" i="3" s="1"/>
  <c r="H249" i="3" a="1"/>
  <c r="H249" i="3" s="1"/>
  <c r="H250" i="3" a="1"/>
  <c r="H250" i="3" s="1"/>
  <c r="H251" i="3" a="1"/>
  <c r="H251" i="3" s="1"/>
  <c r="H252" i="3" a="1"/>
  <c r="H252" i="3" s="1"/>
  <c r="H253" i="3" a="1"/>
  <c r="H253" i="3" s="1"/>
  <c r="H254" i="3" a="1"/>
  <c r="H254" i="3" s="1"/>
  <c r="H255" i="3" a="1"/>
  <c r="H255" i="3" s="1"/>
  <c r="H256" i="3" a="1"/>
  <c r="H256" i="3" s="1"/>
  <c r="H257" i="3" a="1"/>
  <c r="H257" i="3" s="1"/>
  <c r="H258" i="3" a="1"/>
  <c r="H258" i="3" s="1"/>
  <c r="H259" i="3" a="1"/>
  <c r="H259" i="3" s="1"/>
  <c r="H260" i="3" a="1"/>
  <c r="H260" i="3" s="1"/>
  <c r="H261" i="3" a="1"/>
  <c r="H261" i="3" s="1"/>
  <c r="H262" i="3" a="1"/>
  <c r="H262" i="3"/>
  <c r="H263" i="3" a="1"/>
  <c r="H263" i="3" s="1"/>
  <c r="H264" i="3" a="1"/>
  <c r="H264" i="3" s="1"/>
  <c r="H265" i="3" a="1"/>
  <c r="H265" i="3" s="1"/>
  <c r="H266" i="3" a="1"/>
  <c r="H266" i="3"/>
  <c r="H267" i="3" a="1"/>
  <c r="H267" i="3" s="1"/>
  <c r="H268" i="3" a="1"/>
  <c r="H268" i="3" s="1"/>
  <c r="H269" i="3" a="1"/>
  <c r="H269" i="3" s="1"/>
  <c r="H270" i="3" a="1"/>
  <c r="H270" i="3" s="1"/>
  <c r="H271" i="3" a="1"/>
  <c r="H271" i="3" s="1"/>
  <c r="H272" i="3" a="1"/>
  <c r="H272" i="3" s="1"/>
  <c r="H273" i="3" a="1"/>
  <c r="H273" i="3" s="1"/>
  <c r="H274" i="3" a="1"/>
  <c r="H274" i="3" s="1"/>
  <c r="H275" i="3" a="1"/>
  <c r="H275" i="3" s="1"/>
  <c r="H276" i="3" a="1"/>
  <c r="H276" i="3" s="1"/>
  <c r="H277" i="3" a="1"/>
  <c r="H277" i="3" s="1"/>
  <c r="H278" i="3" a="1"/>
  <c r="H278" i="3"/>
  <c r="H279" i="3" a="1"/>
  <c r="H279" i="3" s="1"/>
  <c r="H280" i="3" a="1"/>
  <c r="H280" i="3" s="1"/>
  <c r="H281" i="3" a="1"/>
  <c r="H281" i="3" s="1"/>
  <c r="H282" i="3" a="1"/>
  <c r="H282" i="3"/>
  <c r="H283" i="3" a="1"/>
  <c r="H283" i="3" s="1"/>
  <c r="H284" i="3" a="1"/>
  <c r="H284" i="3" s="1"/>
  <c r="H285" i="3" a="1"/>
  <c r="H285" i="3" s="1"/>
  <c r="H286" i="3" a="1"/>
  <c r="H286" i="3" s="1"/>
  <c r="H287" i="3" a="1"/>
  <c r="H287" i="3" s="1"/>
  <c r="H288" i="3" a="1"/>
  <c r="H288" i="3" s="1"/>
  <c r="H289" i="3" a="1"/>
  <c r="H289" i="3" s="1"/>
  <c r="H290" i="3" a="1"/>
  <c r="H290" i="3" s="1"/>
  <c r="H291" i="3" a="1"/>
  <c r="H291" i="3" s="1"/>
  <c r="H292" i="3" a="1"/>
  <c r="H292" i="3" s="1"/>
  <c r="H293" i="3" a="1"/>
  <c r="H293" i="3" s="1"/>
  <c r="H294" i="3" a="1"/>
  <c r="H294" i="3"/>
  <c r="H295" i="3" a="1"/>
  <c r="H295" i="3" s="1"/>
  <c r="H296" i="3" a="1"/>
  <c r="H296" i="3" s="1"/>
  <c r="H297" i="3" a="1"/>
  <c r="H297" i="3" s="1"/>
  <c r="H298" i="3" a="1"/>
  <c r="H298" i="3"/>
  <c r="H299" i="3" a="1"/>
  <c r="H299" i="3" s="1"/>
  <c r="H300" i="3" a="1"/>
  <c r="H300" i="3" s="1"/>
  <c r="H301" i="3" a="1"/>
  <c r="H301" i="3" s="1"/>
  <c r="H302" i="3" a="1"/>
  <c r="H302" i="3" s="1"/>
  <c r="H303" i="3" a="1"/>
  <c r="H303" i="3" s="1"/>
  <c r="H304" i="3" a="1"/>
  <c r="H304" i="3" s="1"/>
  <c r="H305" i="3" a="1"/>
  <c r="H305" i="3" s="1"/>
  <c r="H306" i="3" a="1"/>
  <c r="H306" i="3" s="1"/>
  <c r="H307" i="3" a="1"/>
  <c r="H307" i="3" s="1"/>
  <c r="H308" i="3" a="1"/>
  <c r="H308" i="3" s="1"/>
  <c r="H309" i="3" a="1"/>
  <c r="H309" i="3" s="1"/>
  <c r="H310" i="3" a="1"/>
  <c r="H310" i="3"/>
  <c r="H311" i="3" a="1"/>
  <c r="H311" i="3" s="1"/>
  <c r="H312" i="3" a="1"/>
  <c r="H312" i="3" s="1"/>
  <c r="H313" i="3" a="1"/>
  <c r="H313" i="3" s="1"/>
  <c r="H314" i="3" a="1"/>
  <c r="H314" i="3" s="1"/>
  <c r="H315" i="3" a="1"/>
  <c r="H315" i="3" s="1"/>
  <c r="H316" i="3" a="1"/>
  <c r="H316" i="3" s="1"/>
  <c r="H317" i="3" a="1"/>
  <c r="H317" i="3" s="1"/>
  <c r="H318" i="3" a="1"/>
  <c r="H318" i="3" s="1"/>
  <c r="H319" i="3" a="1"/>
  <c r="H319" i="3" s="1"/>
  <c r="H320" i="3" a="1"/>
  <c r="H320" i="3" s="1"/>
  <c r="H321" i="3" a="1"/>
  <c r="H321" i="3" s="1"/>
  <c r="H322" i="3" a="1"/>
  <c r="H322" i="3" s="1"/>
  <c r="H323" i="3" a="1"/>
  <c r="H323" i="3" s="1"/>
  <c r="H324" i="3" a="1"/>
  <c r="H324" i="3" s="1"/>
  <c r="H325" i="3" a="1"/>
  <c r="H325" i="3" s="1"/>
  <c r="H326" i="3" a="1"/>
  <c r="H326" i="3"/>
  <c r="H327" i="3" a="1"/>
  <c r="H327" i="3" s="1"/>
  <c r="H328" i="3" a="1"/>
  <c r="H328" i="3" s="1"/>
  <c r="H329" i="3" a="1"/>
  <c r="H329" i="3" s="1"/>
  <c r="H330" i="3" a="1"/>
  <c r="H330" i="3" s="1"/>
  <c r="H331" i="3" a="1"/>
  <c r="H331" i="3" s="1"/>
  <c r="H332" i="3" a="1"/>
  <c r="H332" i="3" s="1"/>
  <c r="H333" i="3" a="1"/>
  <c r="H333" i="3" s="1"/>
  <c r="H334" i="3" a="1"/>
  <c r="H334" i="3" s="1"/>
  <c r="H335" i="3" a="1"/>
  <c r="H335" i="3" s="1"/>
  <c r="H336" i="3" a="1"/>
  <c r="H336" i="3" s="1"/>
  <c r="H337" i="3" a="1"/>
  <c r="H337" i="3" s="1"/>
  <c r="H338" i="3" a="1"/>
  <c r="H338" i="3" s="1"/>
  <c r="H339" i="3" a="1"/>
  <c r="H339" i="3" s="1"/>
  <c r="H340" i="3" a="1"/>
  <c r="H340" i="3" s="1"/>
  <c r="H341" i="3" a="1"/>
  <c r="H341" i="3" s="1"/>
  <c r="H342" i="3" a="1"/>
  <c r="H342" i="3"/>
  <c r="H343" i="3" a="1"/>
  <c r="H343" i="3" s="1"/>
  <c r="H344" i="3" a="1"/>
  <c r="H344" i="3" s="1"/>
  <c r="H345" i="3" a="1"/>
  <c r="H345" i="3" s="1"/>
  <c r="H346" i="3" a="1"/>
  <c r="H346" i="3" s="1"/>
  <c r="H347" i="3" a="1"/>
  <c r="H347" i="3" s="1"/>
  <c r="H348" i="3" a="1"/>
  <c r="H348" i="3" s="1"/>
  <c r="H349" i="3" a="1"/>
  <c r="H349" i="3" s="1"/>
  <c r="H350" i="3" a="1"/>
  <c r="H350" i="3" s="1"/>
  <c r="H351" i="3" a="1"/>
  <c r="H351" i="3" s="1"/>
  <c r="H352" i="3" a="1"/>
  <c r="H352" i="3" s="1"/>
  <c r="H353" i="3" a="1"/>
  <c r="H353" i="3" s="1"/>
  <c r="H354" i="3" a="1"/>
  <c r="H354" i="3" s="1"/>
  <c r="H355" i="3" a="1"/>
  <c r="H355" i="3" s="1"/>
  <c r="H356" i="3" a="1"/>
  <c r="H356" i="3" s="1"/>
  <c r="H357" i="3" a="1"/>
  <c r="H357" i="3" s="1"/>
  <c r="H358" i="3" a="1"/>
  <c r="H358" i="3" s="1"/>
  <c r="H359" i="3" a="1"/>
  <c r="H359" i="3" s="1"/>
  <c r="H360" i="3" a="1"/>
  <c r="H360" i="3" s="1"/>
  <c r="H361" i="3" a="1"/>
  <c r="H361" i="3" s="1"/>
  <c r="H362" i="3" a="1"/>
  <c r="H362" i="3" s="1"/>
  <c r="H363" i="3" a="1"/>
  <c r="H363" i="3" s="1"/>
  <c r="H364" i="3" a="1"/>
  <c r="H364" i="3" s="1"/>
  <c r="H365" i="3" a="1"/>
  <c r="H365" i="3" s="1"/>
  <c r="H366" i="3" a="1"/>
  <c r="H366" i="3"/>
  <c r="H367" i="3" a="1"/>
  <c r="H367" i="3" s="1"/>
  <c r="H368" i="3" a="1"/>
  <c r="H368" i="3" s="1"/>
  <c r="H369" i="3" a="1"/>
  <c r="H369" i="3" s="1"/>
  <c r="H370" i="3" a="1"/>
  <c r="H370" i="3" s="1"/>
  <c r="H371" i="3" a="1"/>
  <c r="H371" i="3" s="1"/>
  <c r="H372" i="3" a="1"/>
  <c r="H372" i="3" s="1"/>
  <c r="H373" i="3" a="1"/>
  <c r="H373" i="3" s="1"/>
  <c r="H374" i="3" a="1"/>
  <c r="H374" i="3" s="1"/>
  <c r="H375" i="3" a="1"/>
  <c r="H375" i="3" s="1"/>
  <c r="H376" i="3" a="1"/>
  <c r="H376" i="3" s="1"/>
  <c r="H377" i="3" a="1"/>
  <c r="H377" i="3" s="1"/>
  <c r="H378" i="3" a="1"/>
  <c r="H378" i="3" s="1"/>
  <c r="H379" i="3" a="1"/>
  <c r="H379" i="3" s="1"/>
  <c r="H380" i="3" a="1"/>
  <c r="H380" i="3" s="1"/>
  <c r="H381" i="3" a="1"/>
  <c r="H381" i="3" s="1"/>
  <c r="H382" i="3" a="1"/>
  <c r="H382" i="3" s="1"/>
  <c r="H383" i="3" a="1"/>
  <c r="H383" i="3" s="1"/>
  <c r="H384" i="3" a="1"/>
  <c r="H384" i="3" s="1"/>
  <c r="H385" i="3" a="1"/>
  <c r="H385" i="3" s="1"/>
  <c r="H386" i="3" a="1"/>
  <c r="H386" i="3" s="1"/>
  <c r="H387" i="3" a="1"/>
  <c r="H387" i="3" s="1"/>
  <c r="H388" i="3" a="1"/>
  <c r="H388" i="3" s="1"/>
  <c r="H389" i="3" a="1"/>
  <c r="H389" i="3" s="1"/>
  <c r="H390" i="3" a="1"/>
  <c r="H390" i="3" s="1"/>
  <c r="H391" i="3" a="1"/>
  <c r="H391" i="3" s="1"/>
  <c r="H392" i="3" a="1"/>
  <c r="H392" i="3" s="1"/>
  <c r="H393" i="3" a="1"/>
  <c r="H393" i="3" s="1"/>
  <c r="H394" i="3" a="1"/>
  <c r="H394" i="3" s="1"/>
  <c r="H395" i="3" a="1"/>
  <c r="H395" i="3" s="1"/>
  <c r="H396" i="3" a="1"/>
  <c r="H396" i="3" s="1"/>
  <c r="H397" i="3" a="1"/>
  <c r="H397" i="3" s="1"/>
  <c r="H398" i="3" a="1"/>
  <c r="H398" i="3"/>
  <c r="H399" i="3" a="1"/>
  <c r="H399" i="3" s="1"/>
  <c r="H400" i="3" a="1"/>
  <c r="H400" i="3" s="1"/>
  <c r="H401" i="3" a="1"/>
  <c r="H401" i="3" s="1"/>
  <c r="H402" i="3" a="1"/>
  <c r="H402" i="3" s="1"/>
  <c r="H403" i="3" a="1"/>
  <c r="H403" i="3" s="1"/>
  <c r="H404" i="3" a="1"/>
  <c r="H404" i="3" s="1"/>
  <c r="H405" i="3" a="1"/>
  <c r="H405" i="3" s="1"/>
  <c r="H406" i="3" a="1"/>
  <c r="H406" i="3" s="1"/>
  <c r="H407" i="3" a="1"/>
  <c r="H407" i="3" s="1"/>
  <c r="H408" i="3" a="1"/>
  <c r="H408" i="3" s="1"/>
  <c r="H409" i="3" a="1"/>
  <c r="H409" i="3" s="1"/>
  <c r="H410" i="3" a="1"/>
  <c r="H410" i="3" s="1"/>
  <c r="H411" i="3" a="1"/>
  <c r="H411" i="3" s="1"/>
  <c r="H412" i="3" a="1"/>
  <c r="H412" i="3" s="1"/>
  <c r="H413" i="3" a="1"/>
  <c r="H413" i="3" s="1"/>
  <c r="H414" i="3" a="1"/>
  <c r="H414" i="3" s="1"/>
  <c r="H415" i="3" a="1"/>
  <c r="H415" i="3" s="1"/>
  <c r="H416" i="3" a="1"/>
  <c r="H416" i="3" s="1"/>
  <c r="H417" i="3" a="1"/>
  <c r="H417" i="3" s="1"/>
  <c r="H418" i="3" a="1"/>
  <c r="H418" i="3" s="1"/>
  <c r="H419" i="3" a="1"/>
  <c r="H419" i="3" s="1"/>
  <c r="H420" i="3" a="1"/>
  <c r="H420" i="3" s="1"/>
  <c r="H421" i="3" a="1"/>
  <c r="H421" i="3" s="1"/>
  <c r="H422" i="3" a="1"/>
  <c r="H422" i="3" s="1"/>
  <c r="H423" i="3" a="1"/>
  <c r="H423" i="3" s="1"/>
  <c r="H424" i="3" a="1"/>
  <c r="H424" i="3" s="1"/>
  <c r="H425" i="3" a="1"/>
  <c r="H425" i="3" s="1"/>
  <c r="H426" i="3" a="1"/>
  <c r="H426" i="3" s="1"/>
  <c r="H427" i="3" a="1"/>
  <c r="H427" i="3" s="1"/>
  <c r="H428" i="3" a="1"/>
  <c r="H428" i="3" s="1"/>
  <c r="H429" i="3" a="1"/>
  <c r="H429" i="3" s="1"/>
  <c r="H430" i="3" a="1"/>
  <c r="H430" i="3"/>
  <c r="H431" i="3" a="1"/>
  <c r="H431" i="3" s="1"/>
  <c r="H432" i="3" a="1"/>
  <c r="H432" i="3" s="1"/>
  <c r="H433" i="3" a="1"/>
  <c r="H433" i="3" s="1"/>
  <c r="H434" i="3" a="1"/>
  <c r="H434" i="3" s="1"/>
  <c r="H435" i="3" a="1"/>
  <c r="H435" i="3" s="1"/>
  <c r="H436" i="3" a="1"/>
  <c r="H436" i="3" s="1"/>
  <c r="H437" i="3" a="1"/>
  <c r="H437" i="3" s="1"/>
  <c r="H438" i="3" a="1"/>
  <c r="H438" i="3" s="1"/>
  <c r="H439" i="3" a="1"/>
  <c r="H439" i="3" s="1"/>
  <c r="H440" i="3" a="1"/>
  <c r="H440" i="3" s="1"/>
  <c r="H441" i="3" a="1"/>
  <c r="H441" i="3" s="1"/>
  <c r="H442" i="3" a="1"/>
  <c r="H442" i="3" s="1"/>
  <c r="H443" i="3" a="1"/>
  <c r="H443" i="3" s="1"/>
  <c r="H444" i="3" a="1"/>
  <c r="H444" i="3" s="1"/>
  <c r="H445" i="3" a="1"/>
  <c r="H445" i="3" s="1"/>
  <c r="H446" i="3" a="1"/>
  <c r="H446" i="3" s="1"/>
  <c r="H447" i="3" a="1"/>
  <c r="H447" i="3" s="1"/>
  <c r="H448" i="3" a="1"/>
  <c r="H448" i="3" s="1"/>
  <c r="H449" i="3" a="1"/>
  <c r="H449" i="3" s="1"/>
  <c r="H450" i="3" a="1"/>
  <c r="H450" i="3" s="1"/>
  <c r="H451" i="3" a="1"/>
  <c r="H451" i="3" s="1"/>
  <c r="H452" i="3" a="1"/>
  <c r="H452" i="3" s="1"/>
  <c r="H453" i="3" a="1"/>
  <c r="H453" i="3" s="1"/>
  <c r="H454" i="3" a="1"/>
  <c r="H454" i="3" s="1"/>
  <c r="H455" i="3" a="1"/>
  <c r="H455" i="3" s="1"/>
  <c r="H456" i="3" a="1"/>
  <c r="H456" i="3" s="1"/>
  <c r="H457" i="3" a="1"/>
  <c r="H457" i="3" s="1"/>
  <c r="H458" i="3" a="1"/>
  <c r="H458" i="3" s="1"/>
  <c r="H459" i="3" a="1"/>
  <c r="H459" i="3" s="1"/>
  <c r="H460" i="3" a="1"/>
  <c r="H460" i="3" s="1"/>
  <c r="H461" i="3" a="1"/>
  <c r="H461" i="3" s="1"/>
  <c r="H462" i="3" a="1"/>
  <c r="H462" i="3"/>
  <c r="H463" i="3" a="1"/>
  <c r="H463" i="3" s="1"/>
  <c r="H464" i="3" a="1"/>
  <c r="H464" i="3" s="1"/>
  <c r="H465" i="3" a="1"/>
  <c r="H465" i="3" s="1"/>
  <c r="H466" i="3" a="1"/>
  <c r="H466" i="3" s="1"/>
  <c r="H467" i="3" a="1"/>
  <c r="H467" i="3" s="1"/>
  <c r="H468" i="3" a="1"/>
  <c r="H468" i="3" s="1"/>
  <c r="H469" i="3" a="1"/>
  <c r="H469" i="3" s="1"/>
  <c r="H470" i="3" a="1"/>
  <c r="H470" i="3" s="1"/>
  <c r="H471" i="3" a="1"/>
  <c r="H471" i="3" s="1"/>
  <c r="H472" i="3" a="1"/>
  <c r="H472" i="3" s="1"/>
  <c r="H473" i="3" a="1"/>
  <c r="H473" i="3" s="1"/>
  <c r="H474" i="3" a="1"/>
  <c r="H474" i="3" s="1"/>
  <c r="H475" i="3" a="1"/>
  <c r="H475" i="3" s="1"/>
  <c r="H476" i="3" a="1"/>
  <c r="H476" i="3" s="1"/>
  <c r="H477" i="3" a="1"/>
  <c r="H477" i="3" s="1"/>
  <c r="H478" i="3" a="1"/>
  <c r="H478" i="3" s="1"/>
  <c r="H479" i="3" a="1"/>
  <c r="H479" i="3" s="1"/>
  <c r="H480" i="3" a="1"/>
  <c r="H480" i="3" s="1"/>
  <c r="H481" i="3" a="1"/>
  <c r="H481" i="3" s="1"/>
  <c r="H482" i="3" a="1"/>
  <c r="H482" i="3" s="1"/>
  <c r="H483" i="3" a="1"/>
  <c r="H483" i="3" s="1"/>
  <c r="H484" i="3" a="1"/>
  <c r="H484" i="3" s="1"/>
  <c r="H485" i="3" a="1"/>
  <c r="H485" i="3" s="1"/>
  <c r="H486" i="3" a="1"/>
  <c r="H486" i="3" s="1"/>
  <c r="H487" i="3" a="1"/>
  <c r="H487" i="3" s="1"/>
  <c r="H488" i="3" a="1"/>
  <c r="H488" i="3" s="1"/>
  <c r="H489" i="3" a="1"/>
  <c r="H489" i="3" s="1"/>
  <c r="H490" i="3" a="1"/>
  <c r="H490" i="3" s="1"/>
  <c r="H491" i="3" a="1"/>
  <c r="H491" i="3" s="1"/>
  <c r="H492" i="3" a="1"/>
  <c r="H492" i="3" s="1"/>
  <c r="H493" i="3" a="1"/>
  <c r="H493" i="3" s="1"/>
  <c r="H494" i="3" a="1"/>
  <c r="H494" i="3"/>
  <c r="H495" i="3" a="1"/>
  <c r="H495" i="3" s="1"/>
  <c r="H496" i="3" a="1"/>
  <c r="H496" i="3" s="1"/>
  <c r="H497" i="3" a="1"/>
  <c r="H497" i="3" s="1"/>
  <c r="H498" i="3" a="1"/>
  <c r="H498" i="3" s="1"/>
  <c r="H499" i="3" a="1"/>
  <c r="H499" i="3" s="1"/>
  <c r="H500" i="3" a="1"/>
  <c r="H500" i="3" s="1"/>
  <c r="H501" i="3" a="1"/>
  <c r="H501" i="3" s="1"/>
  <c r="H502" i="3" a="1"/>
  <c r="H502" i="3" s="1"/>
  <c r="H503" i="3" a="1"/>
  <c r="H503" i="3" s="1"/>
  <c r="H504" i="3" a="1"/>
  <c r="H504" i="3" s="1"/>
  <c r="H505" i="3" a="1"/>
  <c r="H505" i="3" s="1"/>
  <c r="H506" i="3" a="1"/>
  <c r="H506" i="3" s="1"/>
  <c r="H507" i="3" a="1"/>
  <c r="H507" i="3" s="1"/>
  <c r="H508" i="3" a="1"/>
  <c r="H508" i="3" s="1"/>
  <c r="H509" i="3" a="1"/>
  <c r="H509" i="3" s="1"/>
  <c r="H510" i="3" a="1"/>
  <c r="H510" i="3" s="1"/>
  <c r="H511" i="3" a="1"/>
  <c r="H511" i="3" s="1"/>
  <c r="H512" i="3" a="1"/>
  <c r="H512" i="3" s="1"/>
  <c r="H513" i="3" a="1"/>
  <c r="H513" i="3" s="1"/>
  <c r="H514" i="3" a="1"/>
  <c r="H514" i="3" s="1"/>
  <c r="H515" i="3" a="1"/>
  <c r="H515" i="3" s="1"/>
  <c r="H516" i="3" a="1"/>
  <c r="H516" i="3" s="1"/>
  <c r="H517" i="3" a="1"/>
  <c r="H517" i="3" s="1"/>
  <c r="H518" i="3" a="1"/>
  <c r="H518" i="3" s="1"/>
  <c r="H519" i="3" a="1"/>
  <c r="H519" i="3" s="1"/>
  <c r="H520" i="3" a="1"/>
  <c r="H520" i="3" s="1"/>
  <c r="H521" i="3" a="1"/>
  <c r="H521" i="3" s="1"/>
  <c r="H522" i="3" a="1"/>
  <c r="H522" i="3" s="1"/>
  <c r="H523" i="3" a="1"/>
  <c r="H523" i="3" s="1"/>
  <c r="H524" i="3" a="1"/>
  <c r="H524" i="3" s="1"/>
  <c r="H525" i="3" a="1"/>
  <c r="H525" i="3" s="1"/>
  <c r="H526" i="3" a="1"/>
  <c r="H526" i="3"/>
  <c r="H527" i="3" a="1"/>
  <c r="H527" i="3" s="1"/>
  <c r="H528" i="3" a="1"/>
  <c r="H528" i="3" s="1"/>
  <c r="H529" i="3" a="1"/>
  <c r="H529" i="3" s="1"/>
  <c r="H530" i="3" a="1"/>
  <c r="H530" i="3" s="1"/>
  <c r="H531" i="3" a="1"/>
  <c r="H531" i="3" s="1"/>
  <c r="H532" i="3" a="1"/>
  <c r="H532" i="3" s="1"/>
  <c r="H533" i="3" a="1"/>
  <c r="H533" i="3" s="1"/>
  <c r="H534" i="3" a="1"/>
  <c r="H534" i="3" s="1"/>
  <c r="H535" i="3" a="1"/>
  <c r="H535" i="3" s="1"/>
  <c r="H536" i="3" a="1"/>
  <c r="H536" i="3" s="1"/>
  <c r="H537" i="3" a="1"/>
  <c r="H537" i="3" s="1"/>
  <c r="H538" i="3" a="1"/>
  <c r="H538" i="3" s="1"/>
  <c r="H539" i="3" a="1"/>
  <c r="H539" i="3" s="1"/>
  <c r="H540" i="3" a="1"/>
  <c r="H540" i="3" s="1"/>
  <c r="H541" i="3" a="1"/>
  <c r="H541" i="3" s="1"/>
  <c r="H542" i="3" a="1"/>
  <c r="H542" i="3" s="1"/>
  <c r="H543" i="3" a="1"/>
  <c r="H543" i="3" s="1"/>
  <c r="H544" i="3" a="1"/>
  <c r="H544" i="3" s="1"/>
  <c r="H545" i="3" a="1"/>
  <c r="H545" i="3" s="1"/>
  <c r="H546" i="3" a="1"/>
  <c r="H546" i="3" s="1"/>
  <c r="H547" i="3" a="1"/>
  <c r="H547" i="3" s="1"/>
  <c r="H548" i="3" a="1"/>
  <c r="H548" i="3" s="1"/>
  <c r="H549" i="3" a="1"/>
  <c r="H549" i="3" s="1"/>
  <c r="H550" i="3" a="1"/>
  <c r="H550" i="3"/>
  <c r="H551" i="3" a="1"/>
  <c r="H551" i="3" s="1"/>
  <c r="H552" i="3" a="1"/>
  <c r="H552" i="3" s="1"/>
  <c r="H553" i="3" a="1"/>
  <c r="H553" i="3" s="1"/>
  <c r="H554" i="3" a="1"/>
  <c r="H554" i="3" s="1"/>
  <c r="H555" i="3" a="1"/>
  <c r="H555" i="3" s="1"/>
  <c r="H556" i="3" a="1"/>
  <c r="H556" i="3" s="1"/>
  <c r="H557" i="3" a="1"/>
  <c r="H557" i="3" s="1"/>
  <c r="H558" i="3" a="1"/>
  <c r="H558" i="3"/>
  <c r="H559" i="3" a="1"/>
  <c r="H559" i="3" s="1"/>
  <c r="H560" i="3" a="1"/>
  <c r="H560" i="3" s="1"/>
  <c r="H561" i="3" a="1"/>
  <c r="H561" i="3" s="1"/>
  <c r="H562" i="3" a="1"/>
  <c r="H562" i="3" s="1"/>
  <c r="H563" i="3" a="1"/>
  <c r="H563" i="3" s="1"/>
  <c r="H564" i="3" a="1"/>
  <c r="H564" i="3" s="1"/>
  <c r="H565" i="3" a="1"/>
  <c r="H565" i="3" s="1"/>
  <c r="H566" i="3" a="1"/>
  <c r="H566" i="3" s="1"/>
  <c r="H567" i="3" a="1"/>
  <c r="H567" i="3" s="1"/>
  <c r="H568" i="3" a="1"/>
  <c r="H568" i="3" s="1"/>
  <c r="H569" i="3" a="1"/>
  <c r="H569" i="3" s="1"/>
  <c r="H570" i="3" a="1"/>
  <c r="H570" i="3" s="1"/>
  <c r="H571" i="3" a="1"/>
  <c r="H571" i="3" s="1"/>
  <c r="H572" i="3" a="1"/>
  <c r="H572" i="3" s="1"/>
  <c r="H573" i="3" a="1"/>
  <c r="H573" i="3" s="1"/>
  <c r="H574" i="3" a="1"/>
  <c r="H574" i="3" s="1"/>
  <c r="H575" i="3" a="1"/>
  <c r="H575" i="3" s="1"/>
  <c r="H576" i="3" a="1"/>
  <c r="H576" i="3" s="1"/>
  <c r="H577" i="3" a="1"/>
  <c r="H577" i="3" s="1"/>
  <c r="H578" i="3" a="1"/>
  <c r="H578" i="3" s="1"/>
  <c r="H579" i="3" a="1"/>
  <c r="H579" i="3" s="1"/>
  <c r="H580" i="3" a="1"/>
  <c r="H580" i="3" s="1"/>
  <c r="H581" i="3" a="1"/>
  <c r="H581" i="3" s="1"/>
  <c r="H582" i="3" a="1"/>
  <c r="H582" i="3"/>
  <c r="H583" i="3" a="1"/>
  <c r="H583" i="3" s="1"/>
  <c r="H584" i="3" a="1"/>
  <c r="H584" i="3" s="1"/>
  <c r="H585" i="3" a="1"/>
  <c r="H585" i="3" s="1"/>
  <c r="H586" i="3" a="1"/>
  <c r="H586" i="3" s="1"/>
  <c r="H587" i="3" a="1"/>
  <c r="H587" i="3" s="1"/>
  <c r="H588" i="3" a="1"/>
  <c r="H588" i="3" s="1"/>
  <c r="H589" i="3" a="1"/>
  <c r="H589" i="3" s="1"/>
  <c r="H590" i="3" a="1"/>
  <c r="H590" i="3"/>
  <c r="H591" i="3" a="1"/>
  <c r="H591" i="3" s="1"/>
  <c r="H592" i="3" a="1"/>
  <c r="H592" i="3" s="1"/>
  <c r="H593" i="3" a="1"/>
  <c r="H593" i="3" s="1"/>
  <c r="H594" i="3" a="1"/>
  <c r="H594" i="3" s="1"/>
  <c r="H595" i="3" a="1"/>
  <c r="H595" i="3" s="1"/>
  <c r="H596" i="3" a="1"/>
  <c r="H596" i="3" s="1"/>
  <c r="H597" i="3" a="1"/>
  <c r="H597" i="3" s="1"/>
  <c r="H598" i="3" a="1"/>
  <c r="H598" i="3" s="1"/>
  <c r="H599" i="3" a="1"/>
  <c r="H599" i="3" s="1"/>
  <c r="H600" i="3" a="1"/>
  <c r="H600" i="3" s="1"/>
  <c r="H601" i="3" a="1"/>
  <c r="H601" i="3" s="1"/>
  <c r="H602" i="3" a="1"/>
  <c r="H602" i="3" s="1"/>
  <c r="H603" i="3" a="1"/>
  <c r="H603" i="3" s="1"/>
  <c r="H604" i="3" a="1"/>
  <c r="H604" i="3" s="1"/>
  <c r="H605" i="3" a="1"/>
  <c r="H605" i="3" s="1"/>
  <c r="H606" i="3" a="1"/>
  <c r="H606" i="3" s="1"/>
  <c r="H607" i="3" a="1"/>
  <c r="H607" i="3" s="1"/>
  <c r="H608" i="3" a="1"/>
  <c r="H608" i="3" s="1"/>
  <c r="H609" i="3" a="1"/>
  <c r="H609" i="3" s="1"/>
  <c r="H610" i="3" a="1"/>
  <c r="H610" i="3" s="1"/>
  <c r="H611" i="3" a="1"/>
  <c r="H611" i="3" s="1"/>
  <c r="H612" i="3" a="1"/>
  <c r="H612" i="3" s="1"/>
  <c r="H613" i="3" a="1"/>
  <c r="H613" i="3" s="1"/>
  <c r="H614" i="3" a="1"/>
  <c r="H614" i="3" s="1"/>
  <c r="H615" i="3" a="1"/>
  <c r="H615" i="3" s="1"/>
  <c r="H616" i="3" a="1"/>
  <c r="H616" i="3" s="1"/>
  <c r="H617" i="3" a="1"/>
  <c r="H617" i="3" s="1"/>
  <c r="H618" i="3" a="1"/>
  <c r="H618" i="3" s="1"/>
  <c r="H619" i="3" a="1"/>
  <c r="H619" i="3" s="1"/>
  <c r="H620" i="3" a="1"/>
  <c r="H620" i="3" s="1"/>
  <c r="H621" i="3" a="1"/>
  <c r="H621" i="3" s="1"/>
  <c r="H622" i="3" a="1"/>
  <c r="H622" i="3" s="1"/>
  <c r="H623" i="3" a="1"/>
  <c r="H623" i="3" s="1"/>
  <c r="H624" i="3" a="1"/>
  <c r="H624" i="3" s="1"/>
  <c r="H625" i="3" a="1"/>
  <c r="H625" i="3" s="1"/>
  <c r="H626" i="3" a="1"/>
  <c r="H626" i="3" s="1"/>
  <c r="H627" i="3" a="1"/>
  <c r="H627" i="3" s="1"/>
  <c r="H628" i="3" a="1"/>
  <c r="H628" i="3" s="1"/>
  <c r="H629" i="3" a="1"/>
  <c r="H629" i="3" s="1"/>
  <c r="H630" i="3" a="1"/>
  <c r="H630" i="3" s="1"/>
  <c r="H631" i="3" a="1"/>
  <c r="H631" i="3"/>
  <c r="H632" i="3" a="1"/>
  <c r="H632" i="3" s="1"/>
  <c r="H633" i="3" a="1"/>
  <c r="H633" i="3" s="1"/>
  <c r="H634" i="3" a="1"/>
  <c r="H634" i="3" s="1"/>
  <c r="H635" i="3" a="1"/>
  <c r="H635" i="3" s="1"/>
  <c r="H636" i="3" a="1"/>
  <c r="H636" i="3" s="1"/>
  <c r="H637" i="3" a="1"/>
  <c r="H637" i="3" s="1"/>
  <c r="H638" i="3" a="1"/>
  <c r="H638" i="3" s="1"/>
  <c r="H639" i="3" a="1"/>
  <c r="H639" i="3" s="1"/>
  <c r="H640" i="3" a="1"/>
  <c r="H640" i="3" s="1"/>
  <c r="H641" i="3" a="1"/>
  <c r="H641" i="3"/>
  <c r="H642" i="3" a="1"/>
  <c r="H642" i="3" s="1"/>
  <c r="H643" i="3" a="1"/>
  <c r="H643" i="3" s="1"/>
  <c r="H644" i="3" a="1"/>
  <c r="H644" i="3" s="1"/>
  <c r="H645" i="3" a="1"/>
  <c r="H645" i="3" s="1"/>
  <c r="H646" i="3" a="1"/>
  <c r="H646" i="3" s="1"/>
  <c r="H647" i="3" a="1"/>
  <c r="H647" i="3"/>
  <c r="H648" i="3" a="1"/>
  <c r="H648" i="3" s="1"/>
  <c r="H649" i="3" a="1"/>
  <c r="H649" i="3" s="1"/>
  <c r="H650" i="3" a="1"/>
  <c r="H650" i="3" s="1"/>
  <c r="H651" i="3" a="1"/>
  <c r="H651" i="3" s="1"/>
  <c r="H652" i="3" a="1"/>
  <c r="H652" i="3" s="1"/>
  <c r="H653" i="3" a="1"/>
  <c r="H653" i="3" s="1"/>
  <c r="H654" i="3" a="1"/>
  <c r="H654" i="3" s="1"/>
  <c r="H655" i="3" a="1"/>
  <c r="H655" i="3" s="1"/>
  <c r="H656" i="3" a="1"/>
  <c r="H656" i="3" s="1"/>
  <c r="H657" i="3" a="1"/>
  <c r="H657" i="3"/>
  <c r="H658" i="3" a="1"/>
  <c r="H658" i="3" s="1"/>
  <c r="H659" i="3" a="1"/>
  <c r="H659" i="3" s="1"/>
  <c r="H660" i="3" a="1"/>
  <c r="H660" i="3" s="1"/>
  <c r="H661" i="3" a="1"/>
  <c r="H661" i="3" s="1"/>
  <c r="H662" i="3" a="1"/>
  <c r="H662" i="3" s="1"/>
  <c r="H663" i="3" a="1"/>
  <c r="H663" i="3"/>
  <c r="H664" i="3" a="1"/>
  <c r="H664" i="3" s="1"/>
  <c r="H665" i="3" a="1"/>
  <c r="H665" i="3" s="1"/>
  <c r="H666" i="3" a="1"/>
  <c r="H666" i="3" s="1"/>
  <c r="H667" i="3" a="1"/>
  <c r="H667" i="3" s="1"/>
  <c r="H668" i="3" a="1"/>
  <c r="H668" i="3" s="1"/>
  <c r="H669" i="3" a="1"/>
  <c r="H669" i="3" s="1"/>
  <c r="H670" i="3" a="1"/>
  <c r="H670" i="3" s="1"/>
  <c r="H671" i="3" a="1"/>
  <c r="H671" i="3" s="1"/>
  <c r="H672" i="3" a="1"/>
  <c r="H672" i="3" s="1"/>
  <c r="H673" i="3" a="1"/>
  <c r="H673" i="3"/>
  <c r="H674" i="3" a="1"/>
  <c r="H674" i="3" s="1"/>
  <c r="H675" i="3" a="1"/>
  <c r="H675" i="3" s="1"/>
  <c r="H676" i="3" a="1"/>
  <c r="H676" i="3" s="1"/>
  <c r="H677" i="3" a="1"/>
  <c r="H677" i="3" s="1"/>
  <c r="H678" i="3" a="1"/>
  <c r="H678" i="3" s="1"/>
  <c r="H679" i="3" a="1"/>
  <c r="H679" i="3" s="1"/>
  <c r="H680" i="3" a="1"/>
  <c r="H680" i="3" s="1"/>
  <c r="H681" i="3" a="1"/>
  <c r="H681" i="3" s="1"/>
  <c r="H682" i="3" a="1"/>
  <c r="H682" i="3" s="1"/>
  <c r="H683" i="3" a="1"/>
  <c r="H683" i="3" s="1"/>
  <c r="H684" i="3" a="1"/>
  <c r="H684" i="3" s="1"/>
  <c r="H685" i="3" a="1"/>
  <c r="H685" i="3" s="1"/>
  <c r="H686" i="3" a="1"/>
  <c r="H686" i="3" s="1"/>
  <c r="H687" i="3" a="1"/>
  <c r="H687" i="3" s="1"/>
  <c r="H688" i="3" a="1"/>
  <c r="H688" i="3" s="1"/>
  <c r="H689" i="3" a="1"/>
  <c r="H689" i="3"/>
  <c r="H690" i="3" a="1"/>
  <c r="H690" i="3" s="1"/>
  <c r="H691" i="3" a="1"/>
  <c r="H691" i="3" s="1"/>
  <c r="H692" i="3" a="1"/>
  <c r="H692" i="3" s="1"/>
  <c r="H693" i="3" a="1"/>
  <c r="H693" i="3" s="1"/>
  <c r="H694" i="3" a="1"/>
  <c r="H694" i="3" s="1"/>
  <c r="H695" i="3" a="1"/>
  <c r="H695" i="3" s="1"/>
  <c r="H696" i="3" a="1"/>
  <c r="H696" i="3" s="1"/>
  <c r="H697" i="3" a="1"/>
  <c r="H697" i="3" s="1"/>
  <c r="H698" i="3" a="1"/>
  <c r="H698" i="3" s="1"/>
  <c r="H699" i="3" a="1"/>
  <c r="H699" i="3" s="1"/>
  <c r="H700" i="3" a="1"/>
  <c r="H700" i="3" s="1"/>
  <c r="H701" i="3" a="1"/>
  <c r="H701" i="3" s="1"/>
  <c r="H702" i="3" a="1"/>
  <c r="H702" i="3" s="1"/>
  <c r="H703" i="3" a="1"/>
  <c r="H703" i="3" s="1"/>
  <c r="H704" i="3" a="1"/>
  <c r="H704" i="3" s="1"/>
  <c r="H705" i="3" a="1"/>
  <c r="H705" i="3"/>
  <c r="H706" i="3" a="1"/>
  <c r="H706" i="3" s="1"/>
  <c r="H707" i="3" a="1"/>
  <c r="H707" i="3" s="1"/>
  <c r="H708" i="3" a="1"/>
  <c r="H708" i="3" s="1"/>
  <c r="H709" i="3" a="1"/>
  <c r="H709" i="3" s="1"/>
  <c r="H710" i="3" a="1"/>
  <c r="H710" i="3" s="1"/>
  <c r="H711" i="3" a="1"/>
  <c r="H711" i="3" s="1"/>
  <c r="H712" i="3" a="1"/>
  <c r="H712" i="3" s="1"/>
  <c r="H713" i="3" a="1"/>
  <c r="H713" i="3" s="1"/>
  <c r="H714" i="3" a="1"/>
  <c r="H714" i="3" s="1"/>
  <c r="H715" i="3" a="1"/>
  <c r="H715" i="3" s="1"/>
  <c r="H716" i="3" a="1"/>
  <c r="H716" i="3" s="1"/>
  <c r="H717" i="3" a="1"/>
  <c r="H717" i="3" s="1"/>
  <c r="H718" i="3" a="1"/>
  <c r="H718" i="3" s="1"/>
  <c r="H719" i="3" a="1"/>
  <c r="H719" i="3" s="1"/>
  <c r="H720" i="3" a="1"/>
  <c r="H720" i="3" s="1"/>
  <c r="H721" i="3" a="1"/>
  <c r="H721" i="3" s="1"/>
  <c r="H722" i="3" a="1"/>
  <c r="H722" i="3" s="1"/>
  <c r="H723" i="3" a="1"/>
  <c r="H723" i="3" s="1"/>
  <c r="H724" i="3" a="1"/>
  <c r="H724" i="3" s="1"/>
  <c r="H725" i="3" a="1"/>
  <c r="H725" i="3"/>
  <c r="H726" i="3" a="1"/>
  <c r="H726" i="3" s="1"/>
  <c r="H727" i="3" a="1"/>
  <c r="H727" i="3" s="1"/>
  <c r="H728" i="3" a="1"/>
  <c r="H728" i="3" s="1"/>
  <c r="H729" i="3" a="1"/>
  <c r="H729" i="3" s="1"/>
  <c r="H730" i="3" a="1"/>
  <c r="H730" i="3" s="1"/>
  <c r="H731" i="3" a="1"/>
  <c r="H731" i="3" s="1"/>
  <c r="H732" i="3" a="1"/>
  <c r="H732" i="3" s="1"/>
  <c r="H733" i="3" a="1"/>
  <c r="H733" i="3" s="1"/>
  <c r="H734" i="3" a="1"/>
  <c r="H734" i="3" s="1"/>
  <c r="H735" i="3" a="1"/>
  <c r="H735" i="3" s="1"/>
  <c r="H736" i="3" a="1"/>
  <c r="H736" i="3" s="1"/>
  <c r="H737" i="3" a="1"/>
  <c r="H737" i="3" s="1"/>
  <c r="H738" i="3" a="1"/>
  <c r="H738" i="3" s="1"/>
  <c r="H739" i="3" a="1"/>
  <c r="H739" i="3" s="1"/>
  <c r="H740" i="3" a="1"/>
  <c r="H740" i="3" s="1"/>
  <c r="H741" i="3" a="1"/>
  <c r="H741" i="3"/>
  <c r="H742" i="3" a="1"/>
  <c r="H742" i="3" s="1"/>
  <c r="H743" i="3" a="1"/>
  <c r="H743" i="3" s="1"/>
  <c r="H744" i="3" a="1"/>
  <c r="H744" i="3" s="1"/>
  <c r="H745" i="3" a="1"/>
  <c r="H745" i="3" s="1"/>
  <c r="H746" i="3" a="1"/>
  <c r="H746" i="3" s="1"/>
  <c r="H747" i="3" a="1"/>
  <c r="H747" i="3" s="1"/>
  <c r="H748" i="3" a="1"/>
  <c r="H748" i="3" s="1"/>
  <c r="H749" i="3" a="1"/>
  <c r="H749" i="3" s="1"/>
  <c r="H750" i="3" a="1"/>
  <c r="H750" i="3" s="1"/>
  <c r="H751" i="3" a="1"/>
  <c r="H751" i="3" s="1"/>
  <c r="H752" i="3" a="1"/>
  <c r="H752" i="3" s="1"/>
  <c r="H753" i="3" a="1"/>
  <c r="H753" i="3"/>
  <c r="H754" i="3" a="1"/>
  <c r="H754" i="3" s="1"/>
  <c r="H755" i="3" a="1"/>
  <c r="H755" i="3" s="1"/>
  <c r="H756" i="3" a="1"/>
  <c r="H756" i="3" s="1"/>
  <c r="H757" i="3" a="1"/>
  <c r="H757" i="3" s="1"/>
  <c r="H758" i="3" a="1"/>
  <c r="H758" i="3" s="1"/>
  <c r="H759" i="3" a="1"/>
  <c r="H759" i="3" s="1"/>
  <c r="H760" i="3" a="1"/>
  <c r="H760" i="3" s="1"/>
  <c r="H761" i="3" a="1"/>
  <c r="H761" i="3" s="1"/>
  <c r="H762" i="3" a="1"/>
  <c r="H762" i="3" s="1"/>
  <c r="H763" i="3" a="1"/>
  <c r="H763" i="3" s="1"/>
  <c r="H764" i="3" a="1"/>
  <c r="H764" i="3" s="1"/>
  <c r="H765" i="3" a="1"/>
  <c r="H765" i="3" s="1"/>
  <c r="H766" i="3" a="1"/>
  <c r="H766" i="3" s="1"/>
  <c r="H767" i="3" a="1"/>
  <c r="H767" i="3" s="1"/>
  <c r="H768" i="3" a="1"/>
  <c r="H768" i="3" s="1"/>
  <c r="H769" i="3" a="1"/>
  <c r="H769" i="3"/>
  <c r="H770" i="3" a="1"/>
  <c r="H770" i="3" s="1"/>
  <c r="H771" i="3" a="1"/>
  <c r="H771" i="3" s="1"/>
  <c r="H772" i="3" a="1"/>
  <c r="H772" i="3" s="1"/>
  <c r="H773" i="3" a="1"/>
  <c r="H773" i="3" s="1"/>
  <c r="H774" i="3" a="1"/>
  <c r="H774" i="3" s="1"/>
  <c r="H775" i="3" a="1"/>
  <c r="H775" i="3" s="1"/>
  <c r="H776" i="3" a="1"/>
  <c r="H776" i="3" s="1"/>
  <c r="H777" i="3" a="1"/>
  <c r="H777" i="3" s="1"/>
  <c r="H778" i="3" a="1"/>
  <c r="H778" i="3" s="1"/>
  <c r="H779" i="3" a="1"/>
  <c r="H779" i="3" s="1"/>
  <c r="H780" i="3" a="1"/>
  <c r="H780" i="3" s="1"/>
  <c r="H781" i="3" a="1"/>
  <c r="H781" i="3" s="1"/>
  <c r="H782" i="3" a="1"/>
  <c r="H782" i="3" s="1"/>
  <c r="H783" i="3" a="1"/>
  <c r="H783" i="3" s="1"/>
  <c r="H784" i="3" a="1"/>
  <c r="H784" i="3" s="1"/>
  <c r="H785" i="3" a="1"/>
  <c r="H785" i="3"/>
  <c r="H786" i="3" a="1"/>
  <c r="H786" i="3" s="1"/>
  <c r="H787" i="3" a="1"/>
  <c r="H787" i="3" s="1"/>
  <c r="H788" i="3" a="1"/>
  <c r="H788" i="3" s="1"/>
  <c r="H789" i="3" a="1"/>
  <c r="H789" i="3" s="1"/>
  <c r="H790" i="3" a="1"/>
  <c r="H790" i="3" s="1"/>
  <c r="H791" i="3" a="1"/>
  <c r="H791" i="3" s="1"/>
  <c r="H792" i="3" a="1"/>
  <c r="H792" i="3" s="1"/>
  <c r="H793" i="3" a="1"/>
  <c r="H793" i="3" s="1"/>
  <c r="H794" i="3" a="1"/>
  <c r="H794" i="3" s="1"/>
  <c r="H795" i="3" a="1"/>
  <c r="H795" i="3" s="1"/>
  <c r="H796" i="3" a="1"/>
  <c r="H796" i="3" s="1"/>
  <c r="H797" i="3" a="1"/>
  <c r="H797" i="3" s="1"/>
  <c r="H798" i="3" a="1"/>
  <c r="H798" i="3" s="1"/>
  <c r="H799" i="3" a="1"/>
  <c r="H799" i="3" s="1"/>
  <c r="H800" i="3" a="1"/>
  <c r="H800" i="3" s="1"/>
  <c r="H801" i="3" a="1"/>
  <c r="H801" i="3"/>
  <c r="H802" i="3" a="1"/>
  <c r="H802" i="3" s="1"/>
  <c r="H803" i="3" a="1"/>
  <c r="H803" i="3" s="1"/>
  <c r="H804" i="3" a="1"/>
  <c r="H804" i="3" s="1"/>
  <c r="H805" i="3" a="1"/>
  <c r="H805" i="3" s="1"/>
  <c r="H806" i="3" a="1"/>
  <c r="H806" i="3" s="1"/>
  <c r="H807" i="3" a="1"/>
  <c r="H807" i="3" s="1"/>
  <c r="H808" i="3" a="1"/>
  <c r="H808" i="3" s="1"/>
  <c r="H809" i="3" a="1"/>
  <c r="H809" i="3" s="1"/>
  <c r="H810" i="3" a="1"/>
  <c r="H810" i="3" s="1"/>
  <c r="H811" i="3" a="1"/>
  <c r="H811" i="3" s="1"/>
  <c r="H812" i="3" a="1"/>
  <c r="H812" i="3" s="1"/>
  <c r="H813" i="3" a="1"/>
  <c r="H813" i="3" s="1"/>
  <c r="H814" i="3" a="1"/>
  <c r="H814" i="3" s="1"/>
  <c r="H815" i="3" a="1"/>
  <c r="H815" i="3" s="1"/>
  <c r="H816" i="3" a="1"/>
  <c r="H816" i="3" s="1"/>
  <c r="H817" i="3" a="1"/>
  <c r="H817" i="3"/>
  <c r="H818" i="3" a="1"/>
  <c r="H818" i="3" s="1"/>
  <c r="H819" i="3" a="1"/>
  <c r="H819" i="3" s="1"/>
  <c r="H820" i="3" a="1"/>
  <c r="H820" i="3" s="1"/>
  <c r="H821" i="3" a="1"/>
  <c r="H821" i="3" s="1"/>
  <c r="H822" i="3" a="1"/>
  <c r="H822" i="3" s="1"/>
  <c r="H823" i="3" a="1"/>
  <c r="H823" i="3" s="1"/>
  <c r="H824" i="3" a="1"/>
  <c r="H824" i="3" s="1"/>
  <c r="H825" i="3" a="1"/>
  <c r="H825" i="3" s="1"/>
  <c r="H826" i="3" a="1"/>
  <c r="H826" i="3" s="1"/>
  <c r="H827" i="3" a="1"/>
  <c r="H827" i="3" s="1"/>
  <c r="H828" i="3" a="1"/>
  <c r="H828" i="3" s="1"/>
  <c r="H829" i="3" a="1"/>
  <c r="H829" i="3" s="1"/>
  <c r="H830" i="3" a="1"/>
  <c r="H830" i="3" s="1"/>
  <c r="H831" i="3" a="1"/>
  <c r="H831" i="3" s="1"/>
  <c r="H832" i="3" a="1"/>
  <c r="H832" i="3" s="1"/>
  <c r="H833" i="3" a="1"/>
  <c r="H833" i="3"/>
  <c r="H834" i="3" a="1"/>
  <c r="H834" i="3" s="1"/>
  <c r="H835" i="3" a="1"/>
  <c r="H835" i="3" s="1"/>
  <c r="H836" i="3" a="1"/>
  <c r="H836" i="3" s="1"/>
  <c r="H837" i="3" a="1"/>
  <c r="H837" i="3" s="1"/>
  <c r="H838" i="3" a="1"/>
  <c r="H838" i="3" s="1"/>
  <c r="H839" i="3" a="1"/>
  <c r="H839" i="3" s="1"/>
  <c r="H840" i="3" a="1"/>
  <c r="H840" i="3" s="1"/>
  <c r="H841" i="3" a="1"/>
  <c r="H841" i="3" s="1"/>
  <c r="H842" i="3" a="1"/>
  <c r="H842" i="3" s="1"/>
  <c r="H843" i="3" a="1"/>
  <c r="H843" i="3" s="1"/>
  <c r="H844" i="3" a="1"/>
  <c r="H844" i="3" s="1"/>
  <c r="H845" i="3" a="1"/>
  <c r="H845" i="3" s="1"/>
  <c r="H846" i="3" a="1"/>
  <c r="H846" i="3" s="1"/>
  <c r="H847" i="3" a="1"/>
  <c r="H847" i="3" s="1"/>
  <c r="H848" i="3" a="1"/>
  <c r="H848" i="3" s="1"/>
  <c r="H849" i="3" a="1"/>
  <c r="H849" i="3"/>
  <c r="H850" i="3" a="1"/>
  <c r="H850" i="3" s="1"/>
  <c r="H851" i="3" a="1"/>
  <c r="H851" i="3" s="1"/>
  <c r="H852" i="3" a="1"/>
  <c r="H852" i="3" s="1"/>
  <c r="H853" i="3" a="1"/>
  <c r="H853" i="3" s="1"/>
  <c r="H854" i="3" a="1"/>
  <c r="H854" i="3" s="1"/>
  <c r="H855" i="3" a="1"/>
  <c r="H855" i="3" s="1"/>
  <c r="H856" i="3" a="1"/>
  <c r="H856" i="3" s="1"/>
  <c r="H857" i="3" a="1"/>
  <c r="H857" i="3" s="1"/>
  <c r="H858" i="3" a="1"/>
  <c r="H858" i="3" s="1"/>
  <c r="H859" i="3" a="1"/>
  <c r="H859" i="3" s="1"/>
  <c r="H860" i="3" a="1"/>
  <c r="H860" i="3" s="1"/>
  <c r="H861" i="3" a="1"/>
  <c r="H861" i="3" s="1"/>
  <c r="H862" i="3" a="1"/>
  <c r="H862" i="3" s="1"/>
  <c r="H863" i="3" a="1"/>
  <c r="H863" i="3" s="1"/>
  <c r="H864" i="3" a="1"/>
  <c r="H864" i="3" s="1"/>
  <c r="H865" i="3" a="1"/>
  <c r="H865" i="3" s="1"/>
  <c r="H866" i="3" a="1"/>
  <c r="H866" i="3" s="1"/>
  <c r="H867" i="3" a="1"/>
  <c r="H867" i="3" s="1"/>
  <c r="H868" i="3" a="1"/>
  <c r="H868" i="3" s="1"/>
  <c r="H869" i="3" a="1"/>
  <c r="H869" i="3" s="1"/>
  <c r="H870" i="3" a="1"/>
  <c r="H870" i="3" s="1"/>
  <c r="H871" i="3" a="1"/>
  <c r="H871" i="3" s="1"/>
  <c r="H872" i="3" a="1"/>
  <c r="H872" i="3" s="1"/>
  <c r="H873" i="3" a="1"/>
  <c r="H873" i="3" s="1"/>
  <c r="H874" i="3" a="1"/>
  <c r="H874" i="3"/>
  <c r="H875" i="3" a="1"/>
  <c r="H875" i="3" s="1"/>
  <c r="H876" i="3" a="1"/>
  <c r="H876" i="3" s="1"/>
  <c r="H877" i="3" a="1"/>
  <c r="H877" i="3" s="1"/>
  <c r="H878" i="3" a="1"/>
  <c r="H878" i="3" s="1"/>
  <c r="H879" i="3" a="1"/>
  <c r="H879" i="3" s="1"/>
  <c r="H880" i="3" a="1"/>
  <c r="H880" i="3" s="1"/>
  <c r="H881" i="3" a="1"/>
  <c r="H881" i="3" s="1"/>
  <c r="H882" i="3" a="1"/>
  <c r="H882" i="3" s="1"/>
  <c r="H883" i="3" a="1"/>
  <c r="H883" i="3" s="1"/>
  <c r="H884" i="3" a="1"/>
  <c r="H884" i="3" s="1"/>
  <c r="H885" i="3" a="1"/>
  <c r="H885" i="3" s="1"/>
  <c r="H886" i="3" a="1"/>
  <c r="H886" i="3" s="1"/>
  <c r="H887" i="3" a="1"/>
  <c r="H887" i="3" s="1"/>
  <c r="H888" i="3" a="1"/>
  <c r="H888" i="3" s="1"/>
  <c r="H889" i="3" a="1"/>
  <c r="H889" i="3" s="1"/>
  <c r="H890" i="3" a="1"/>
  <c r="H890" i="3" s="1"/>
  <c r="H891" i="3" a="1"/>
  <c r="H891" i="3" s="1"/>
  <c r="H892" i="3" a="1"/>
  <c r="H892" i="3" s="1"/>
  <c r="H893" i="3" a="1"/>
  <c r="H893" i="3" s="1"/>
  <c r="H894" i="3" a="1"/>
  <c r="H894" i="3" s="1"/>
  <c r="H895" i="3" a="1"/>
  <c r="H895" i="3" s="1"/>
  <c r="H896" i="3" a="1"/>
  <c r="H896" i="3" s="1"/>
  <c r="H897" i="3" a="1"/>
  <c r="H897" i="3" s="1"/>
  <c r="H898" i="3" a="1"/>
  <c r="H898" i="3"/>
  <c r="H899" i="3" a="1"/>
  <c r="H899" i="3" s="1"/>
  <c r="H900" i="3" a="1"/>
  <c r="H900" i="3" s="1"/>
  <c r="H901" i="3" a="1"/>
  <c r="H901" i="3" s="1"/>
  <c r="H902" i="3" a="1"/>
  <c r="H902" i="3" s="1"/>
  <c r="H903" i="3" a="1"/>
  <c r="H903" i="3" s="1"/>
  <c r="H904" i="3" a="1"/>
  <c r="H904" i="3"/>
  <c r="H905" i="3" a="1"/>
  <c r="H905" i="3" s="1"/>
  <c r="H906" i="3" a="1"/>
  <c r="H906" i="3" s="1"/>
  <c r="H907" i="3" a="1"/>
  <c r="H907" i="3" s="1"/>
  <c r="H908" i="3" a="1"/>
  <c r="H908" i="3" s="1"/>
  <c r="H909" i="3" a="1"/>
  <c r="H909" i="3" s="1"/>
  <c r="H910" i="3" a="1"/>
  <c r="H910" i="3" s="1"/>
  <c r="H911" i="3" a="1"/>
  <c r="H911" i="3" s="1"/>
  <c r="H912" i="3" a="1"/>
  <c r="H912" i="3" s="1"/>
  <c r="H913" i="3" a="1"/>
  <c r="H913" i="3" s="1"/>
  <c r="H914" i="3" a="1"/>
  <c r="H914" i="3" s="1"/>
  <c r="H915" i="3" a="1"/>
  <c r="H915" i="3" s="1"/>
  <c r="H916" i="3" a="1"/>
  <c r="H916" i="3"/>
  <c r="H917" i="3" a="1"/>
  <c r="H917" i="3" s="1"/>
  <c r="H918" i="3" a="1"/>
  <c r="H918" i="3" s="1"/>
  <c r="H919" i="3" a="1"/>
  <c r="H919" i="3" s="1"/>
  <c r="H920" i="3" a="1"/>
  <c r="H920" i="3" s="1"/>
  <c r="H921" i="3" a="1"/>
  <c r="H921" i="3" s="1"/>
  <c r="H922" i="3" a="1"/>
  <c r="H922" i="3"/>
  <c r="H923" i="3" a="1"/>
  <c r="H923" i="3" s="1"/>
  <c r="H924" i="3" a="1"/>
  <c r="H924" i="3" s="1"/>
  <c r="H925" i="3" a="1"/>
  <c r="H925" i="3" s="1"/>
  <c r="H926" i="3" a="1"/>
  <c r="H926" i="3" s="1"/>
  <c r="H927" i="3" a="1"/>
  <c r="H927" i="3" s="1"/>
  <c r="H928" i="3" a="1"/>
  <c r="H928" i="3"/>
  <c r="H929" i="3" a="1"/>
  <c r="H929" i="3" s="1"/>
  <c r="H930" i="3" a="1"/>
  <c r="H930" i="3" s="1"/>
  <c r="H931" i="3" a="1"/>
  <c r="H931" i="3" s="1"/>
  <c r="H932" i="3" a="1"/>
  <c r="H932" i="3" s="1"/>
  <c r="H933" i="3" a="1"/>
  <c r="H933" i="3" s="1"/>
  <c r="H934" i="3" a="1"/>
  <c r="H934" i="3" s="1"/>
  <c r="H935" i="3" a="1"/>
  <c r="H935" i="3" s="1"/>
  <c r="H936" i="3" a="1"/>
  <c r="H936" i="3" s="1"/>
  <c r="H937" i="3" a="1"/>
  <c r="H937" i="3" s="1"/>
  <c r="H938" i="3" a="1"/>
  <c r="H938" i="3" s="1"/>
  <c r="H939" i="3" a="1"/>
  <c r="H939" i="3" s="1"/>
  <c r="H940" i="3" a="1"/>
  <c r="H940" i="3" s="1"/>
  <c r="H941" i="3" a="1"/>
  <c r="H941" i="3" s="1"/>
  <c r="H942" i="3" a="1"/>
  <c r="H942" i="3" s="1"/>
  <c r="H943" i="3" a="1"/>
  <c r="H943" i="3" s="1"/>
  <c r="H944" i="3" a="1"/>
  <c r="H944" i="3" s="1"/>
  <c r="H945" i="3" a="1"/>
  <c r="H945" i="3" s="1"/>
  <c r="H946" i="3" a="1"/>
  <c r="H946" i="3" s="1"/>
  <c r="H947" i="3" a="1"/>
  <c r="H947" i="3" s="1"/>
  <c r="H948" i="3" a="1"/>
  <c r="H948" i="3"/>
  <c r="H949" i="3" a="1"/>
  <c r="H949" i="3" s="1"/>
  <c r="H950" i="3" a="1"/>
  <c r="H950" i="3" s="1"/>
  <c r="H951" i="3" a="1"/>
  <c r="H951" i="3" s="1"/>
  <c r="H952" i="3" a="1"/>
  <c r="H952" i="3" s="1"/>
  <c r="H953" i="3" a="1"/>
  <c r="H953" i="3" s="1"/>
  <c r="H954" i="3" a="1"/>
  <c r="H954" i="3" s="1"/>
  <c r="H955" i="3" a="1"/>
  <c r="H955" i="3" s="1"/>
  <c r="H956" i="3" a="1"/>
  <c r="H956" i="3" s="1"/>
  <c r="H957" i="3" a="1"/>
  <c r="H957" i="3" s="1"/>
  <c r="H958" i="3" a="1"/>
  <c r="H958" i="3" s="1"/>
  <c r="H959" i="3" a="1"/>
  <c r="H959" i="3" s="1"/>
  <c r="H960" i="3" a="1"/>
  <c r="H960" i="3" s="1"/>
  <c r="H961" i="3" a="1"/>
  <c r="H961" i="3" s="1"/>
  <c r="H962" i="3" a="1"/>
  <c r="H962" i="3" s="1"/>
  <c r="H963" i="3" a="1"/>
  <c r="H963" i="3" s="1"/>
  <c r="H964" i="3" a="1"/>
  <c r="H964" i="3"/>
  <c r="H965" i="3" a="1"/>
  <c r="H965" i="3" s="1"/>
  <c r="H966" i="3" a="1"/>
  <c r="H966" i="3" s="1"/>
  <c r="H967" i="3" a="1"/>
  <c r="H967" i="3" s="1"/>
  <c r="H968" i="3" a="1"/>
  <c r="H968" i="3" s="1"/>
  <c r="H969" i="3" a="1"/>
  <c r="H969" i="3" s="1"/>
  <c r="H970" i="3" a="1"/>
  <c r="H970" i="3" s="1"/>
  <c r="H971" i="3" a="1"/>
  <c r="H971" i="3" s="1"/>
  <c r="H972" i="3" a="1"/>
  <c r="H972" i="3" s="1"/>
  <c r="H973" i="3" a="1"/>
  <c r="H973" i="3" s="1"/>
  <c r="H974" i="3" a="1"/>
  <c r="H974" i="3" s="1"/>
  <c r="H975" i="3" a="1"/>
  <c r="H975" i="3" s="1"/>
  <c r="H976" i="3" a="1"/>
  <c r="H976" i="3" s="1"/>
  <c r="H977" i="3" a="1"/>
  <c r="H977" i="3" s="1"/>
  <c r="H978" i="3" a="1"/>
  <c r="H978" i="3" s="1"/>
  <c r="H979" i="3" a="1"/>
  <c r="H979" i="3" s="1"/>
  <c r="H980" i="3" a="1"/>
  <c r="H980" i="3"/>
  <c r="H981" i="3" a="1"/>
  <c r="H981" i="3" s="1"/>
  <c r="H982" i="3" a="1"/>
  <c r="H982" i="3" s="1"/>
  <c r="H983" i="3" a="1"/>
  <c r="H983" i="3" s="1"/>
  <c r="H984" i="3" a="1"/>
  <c r="H984" i="3" s="1"/>
  <c r="H985" i="3" a="1"/>
  <c r="H985" i="3" s="1"/>
  <c r="H986" i="3" a="1"/>
  <c r="H986" i="3" s="1"/>
  <c r="H987" i="3" a="1"/>
  <c r="H987" i="3" s="1"/>
  <c r="H988" i="3" a="1"/>
  <c r="H988" i="3" s="1"/>
  <c r="H989" i="3" a="1"/>
  <c r="H989" i="3" s="1"/>
  <c r="H990" i="3" a="1"/>
  <c r="H990" i="3" s="1"/>
  <c r="H991" i="3" a="1"/>
  <c r="H991" i="3" s="1"/>
  <c r="H992" i="3" a="1"/>
  <c r="H992" i="3" s="1"/>
  <c r="H993" i="3" a="1"/>
  <c r="H993" i="3" s="1"/>
  <c r="H994" i="3" a="1"/>
  <c r="H994" i="3" s="1"/>
  <c r="H995" i="3" a="1"/>
  <c r="H995" i="3" s="1"/>
  <c r="H996" i="3" a="1"/>
  <c r="H996" i="3"/>
  <c r="H997" i="3" a="1"/>
  <c r="H997" i="3" s="1"/>
  <c r="H998" i="3" a="1"/>
  <c r="H998" i="3" s="1"/>
  <c r="H999" i="3" a="1"/>
  <c r="H999" i="3" s="1"/>
  <c r="H1000" i="3" a="1"/>
  <c r="H1000" i="3" s="1"/>
  <c r="H1001" i="3" a="1"/>
  <c r="H1001" i="3" s="1"/>
  <c r="H1002" i="3" a="1"/>
  <c r="H1002" i="3"/>
  <c r="H1003" i="3" a="1"/>
  <c r="H1003" i="3" s="1"/>
  <c r="H1004" i="3" a="1"/>
  <c r="H1004" i="3" s="1"/>
  <c r="H1005" i="3" a="1"/>
  <c r="H1005" i="3" s="1"/>
  <c r="H1006" i="3" a="1"/>
  <c r="H1006" i="3" s="1"/>
  <c r="H1007" i="3" a="1"/>
  <c r="H1007" i="3" s="1"/>
  <c r="H1008" i="3" a="1"/>
  <c r="H1008" i="3" s="1"/>
  <c r="H1009" i="3" a="1"/>
  <c r="H1009" i="3" s="1"/>
  <c r="H1010" i="3" a="1"/>
  <c r="H1010" i="3" s="1"/>
  <c r="H1011" i="3" a="1"/>
  <c r="H1011" i="3" s="1"/>
  <c r="H1012" i="3" a="1"/>
  <c r="H1012" i="3"/>
  <c r="H1013" i="3" a="1"/>
  <c r="H1013" i="3" s="1"/>
  <c r="H1014" i="3" a="1"/>
  <c r="H1014" i="3" s="1"/>
  <c r="H1015" i="3" a="1"/>
  <c r="H1015" i="3" s="1"/>
  <c r="H1016" i="3" a="1"/>
  <c r="H1016" i="3" s="1"/>
  <c r="H1017" i="3" a="1"/>
  <c r="H1017" i="3" s="1"/>
  <c r="H1018" i="3" a="1"/>
  <c r="H1018" i="3"/>
  <c r="H1019" i="3" a="1"/>
  <c r="H1019" i="3" s="1"/>
  <c r="H1020" i="3" a="1"/>
  <c r="H1020" i="3" s="1"/>
  <c r="H1021" i="3" a="1"/>
  <c r="H1021" i="3" s="1"/>
  <c r="H1022" i="3" a="1"/>
  <c r="H1022" i="3" s="1"/>
  <c r="H1023" i="3" a="1"/>
  <c r="H1023" i="3" s="1"/>
  <c r="H1024" i="3" a="1"/>
  <c r="H1024" i="3" s="1"/>
  <c r="H1025" i="3" a="1"/>
  <c r="H1025" i="3" s="1"/>
  <c r="H1026" i="3" a="1"/>
  <c r="H1026" i="3" s="1"/>
  <c r="H1027" i="3" a="1"/>
  <c r="H1027" i="3" s="1"/>
  <c r="H1028" i="3" a="1"/>
  <c r="H1028" i="3"/>
  <c r="H1029" i="3" a="1"/>
  <c r="H1029" i="3" s="1"/>
  <c r="H1030" i="3" a="1"/>
  <c r="H1030" i="3" s="1"/>
  <c r="H1031" i="3" a="1"/>
  <c r="H1031" i="3" s="1"/>
  <c r="H1032" i="3" a="1"/>
  <c r="H1032" i="3" s="1"/>
  <c r="H1033" i="3" a="1"/>
  <c r="H1033" i="3" s="1"/>
  <c r="H1034" i="3" a="1"/>
  <c r="H1034" i="3"/>
  <c r="H1035" i="3" a="1"/>
  <c r="H1035" i="3" s="1"/>
  <c r="H1036" i="3" a="1"/>
  <c r="H1036" i="3" s="1"/>
  <c r="H1037" i="3" a="1"/>
  <c r="H1037" i="3" s="1"/>
  <c r="H1038" i="3" a="1"/>
  <c r="H1038" i="3" s="1"/>
  <c r="H1039" i="3" a="1"/>
  <c r="H1039" i="3" s="1"/>
  <c r="H1040" i="3" a="1"/>
  <c r="H1040" i="3" s="1"/>
  <c r="H1041" i="3" a="1"/>
  <c r="H1041" i="3" s="1"/>
  <c r="H1042" i="3" a="1"/>
  <c r="H1042" i="3" s="1"/>
  <c r="H1043" i="3" a="1"/>
  <c r="H1043" i="3" s="1"/>
  <c r="H1044" i="3" a="1"/>
  <c r="H1044" i="3"/>
  <c r="H1045" i="3" a="1"/>
  <c r="H1045" i="3" s="1"/>
  <c r="H1046" i="3" a="1"/>
  <c r="H1046" i="3" s="1"/>
  <c r="H1047" i="3" a="1"/>
  <c r="H1047" i="3" s="1"/>
  <c r="H1048" i="3" a="1"/>
  <c r="H1048" i="3" s="1"/>
  <c r="H1049" i="3" a="1"/>
  <c r="H1049" i="3" s="1"/>
  <c r="H1050" i="3" a="1"/>
  <c r="H1050" i="3"/>
  <c r="H1051" i="3" a="1"/>
  <c r="H1051" i="3" s="1"/>
  <c r="H1052" i="3" a="1"/>
  <c r="H1052" i="3" s="1"/>
  <c r="H1053" i="3" a="1"/>
  <c r="H1053" i="3" s="1"/>
  <c r="H1054" i="3" a="1"/>
  <c r="H1054" i="3" s="1"/>
  <c r="H1055" i="3" a="1"/>
  <c r="H1055" i="3" s="1"/>
  <c r="H1056" i="3" a="1"/>
  <c r="H1056" i="3"/>
  <c r="H1057" i="3" a="1"/>
  <c r="H1057" i="3" s="1"/>
  <c r="H1058" i="3" a="1"/>
  <c r="H1058" i="3" s="1"/>
  <c r="H1059" i="3" a="1"/>
  <c r="H1059" i="3" s="1"/>
  <c r="H1060" i="3" a="1"/>
  <c r="H1060" i="3"/>
  <c r="H1061" i="3" a="1"/>
  <c r="H1061" i="3" s="1"/>
  <c r="H1062" i="3" a="1"/>
  <c r="H1062" i="3" s="1"/>
  <c r="H1063" i="3" a="1"/>
  <c r="H1063" i="3" s="1"/>
  <c r="H1064" i="3" a="1"/>
  <c r="H1064" i="3" s="1"/>
  <c r="H1065" i="3" a="1"/>
  <c r="H1065" i="3" s="1"/>
  <c r="H1066" i="3" a="1"/>
  <c r="H1066" i="3" s="1"/>
  <c r="H1067" i="3" a="1"/>
  <c r="H1067" i="3" s="1"/>
  <c r="H1068" i="3" a="1"/>
  <c r="H1068" i="3" s="1"/>
  <c r="H1069" i="3" a="1"/>
  <c r="H1069" i="3" s="1"/>
  <c r="H1070" i="3" a="1"/>
  <c r="H1070" i="3" s="1"/>
  <c r="H1071" i="3" a="1"/>
  <c r="H1071" i="3" s="1"/>
  <c r="H1072" i="3" a="1"/>
  <c r="H1072" i="3"/>
  <c r="H1073" i="3" a="1"/>
  <c r="H1073" i="3" s="1"/>
  <c r="H1074" i="3" a="1"/>
  <c r="H1074" i="3" s="1"/>
  <c r="H1075" i="3" a="1"/>
  <c r="H1075" i="3" s="1"/>
  <c r="H1076" i="3" a="1"/>
  <c r="H1076" i="3"/>
  <c r="H1077" i="3" a="1"/>
  <c r="H1077" i="3" s="1"/>
  <c r="H1078" i="3" a="1"/>
  <c r="H1078" i="3" s="1"/>
  <c r="H1079" i="3" a="1"/>
  <c r="H1079" i="3" s="1"/>
  <c r="H1080" i="3" a="1"/>
  <c r="H1080" i="3" s="1"/>
  <c r="H1081" i="3" a="1"/>
  <c r="H1081" i="3" s="1"/>
  <c r="H1082" i="3" a="1"/>
  <c r="H1082" i="3" s="1"/>
  <c r="H1083" i="3" a="1"/>
  <c r="H1083" i="3" s="1"/>
  <c r="H1084" i="3" a="1"/>
  <c r="H1084" i="3" s="1"/>
  <c r="H1085" i="3" a="1"/>
  <c r="H1085" i="3" s="1"/>
  <c r="H1086" i="3" a="1"/>
  <c r="H1086" i="3" s="1"/>
  <c r="H1087" i="3" a="1"/>
  <c r="H1087" i="3" s="1"/>
  <c r="H1088" i="3" a="1"/>
  <c r="H1088" i="3"/>
  <c r="H1089" i="3" a="1"/>
  <c r="H1089" i="3" s="1"/>
  <c r="H1090" i="3" a="1"/>
  <c r="H1090" i="3" s="1"/>
  <c r="H1091" i="3" a="1"/>
  <c r="H1091" i="3" s="1"/>
  <c r="H1092" i="3" a="1"/>
  <c r="H1092" i="3"/>
  <c r="H1093" i="3" a="1"/>
  <c r="H1093" i="3" s="1"/>
  <c r="H1094" i="3" a="1"/>
  <c r="H1094" i="3" s="1"/>
  <c r="H1095" i="3" a="1"/>
  <c r="H1095" i="3" s="1"/>
  <c r="H1096" i="3" a="1"/>
  <c r="H1096" i="3" s="1"/>
  <c r="H1097" i="3" a="1"/>
  <c r="H1097" i="3" s="1"/>
  <c r="H1098" i="3" a="1"/>
  <c r="H1098" i="3" s="1"/>
  <c r="H1099" i="3" a="1"/>
  <c r="H1099" i="3" s="1"/>
  <c r="H1100" i="3" a="1"/>
  <c r="H1100" i="3" s="1"/>
  <c r="H1101" i="3" a="1"/>
  <c r="H1101" i="3" s="1"/>
  <c r="H1102" i="3" a="1"/>
  <c r="H1102" i="3"/>
  <c r="H1103" i="3" a="1"/>
  <c r="H1103" i="3" s="1"/>
  <c r="H1104" i="3" a="1"/>
  <c r="H1104" i="3"/>
  <c r="H1105" i="3" a="1"/>
  <c r="H1105" i="3" s="1"/>
  <c r="H1106" i="3" a="1"/>
  <c r="H1106" i="3" s="1"/>
  <c r="H1107" i="3" a="1"/>
  <c r="H1107" i="3" s="1"/>
  <c r="H1108" i="3" a="1"/>
  <c r="H1108" i="3" s="1"/>
  <c r="H1109" i="3" a="1"/>
  <c r="H1109" i="3" s="1"/>
  <c r="H1110" i="3" a="1"/>
  <c r="H1110" i="3" s="1"/>
  <c r="H1111" i="3" a="1"/>
  <c r="H1111" i="3" s="1"/>
  <c r="H1112" i="3" a="1"/>
  <c r="H1112" i="3" s="1"/>
  <c r="H1113" i="3" a="1"/>
  <c r="H1113" i="3" s="1"/>
  <c r="H1114" i="3" a="1"/>
  <c r="H1114" i="3" s="1"/>
  <c r="H1115" i="3" a="1"/>
  <c r="H1115" i="3" s="1"/>
  <c r="H1116" i="3" a="1"/>
  <c r="H1116" i="3" s="1"/>
  <c r="H1117" i="3" a="1"/>
  <c r="H1117" i="3" s="1"/>
  <c r="H1118" i="3" a="1"/>
  <c r="H1118" i="3"/>
  <c r="H1119" i="3" a="1"/>
  <c r="H1119" i="3" s="1"/>
  <c r="H1120" i="3" a="1"/>
  <c r="H1120" i="3"/>
  <c r="H1121" i="3" a="1"/>
  <c r="H1121" i="3" s="1"/>
  <c r="H1122" i="3" a="1"/>
  <c r="H1122" i="3" s="1"/>
  <c r="H1123" i="3" a="1"/>
  <c r="H1123" i="3" s="1"/>
  <c r="H1124" i="3" a="1"/>
  <c r="H1124" i="3" s="1"/>
  <c r="H1125" i="3" a="1"/>
  <c r="H1125" i="3" s="1"/>
  <c r="H1126" i="3" a="1"/>
  <c r="H1126" i="3" s="1"/>
  <c r="H1127" i="3" a="1"/>
  <c r="H1127" i="3" s="1"/>
  <c r="H1128" i="3" a="1"/>
  <c r="H1128" i="3" s="1"/>
  <c r="H1129" i="3" a="1"/>
  <c r="H1129" i="3" s="1"/>
  <c r="H1130" i="3" a="1"/>
  <c r="H1130" i="3" s="1"/>
  <c r="H1131" i="3" a="1"/>
  <c r="H1131" i="3" s="1"/>
  <c r="H1132" i="3" a="1"/>
  <c r="H1132" i="3" s="1"/>
  <c r="H1133" i="3" a="1"/>
  <c r="H1133" i="3" s="1"/>
  <c r="H1134" i="3" a="1"/>
  <c r="H1134" i="3"/>
  <c r="H1135" i="3" a="1"/>
  <c r="H1135" i="3" s="1"/>
  <c r="H1136" i="3" a="1"/>
  <c r="H1136" i="3"/>
  <c r="H1137" i="3" a="1"/>
  <c r="H1137" i="3" s="1"/>
  <c r="H1138" i="3" a="1"/>
  <c r="H1138" i="3" s="1"/>
  <c r="H1139" i="3" a="1"/>
  <c r="H1139" i="3" s="1"/>
  <c r="H1140" i="3" a="1"/>
  <c r="H1140" i="3" s="1"/>
  <c r="H1141" i="3" a="1"/>
  <c r="H1141" i="3" s="1"/>
  <c r="H1142" i="3" a="1"/>
  <c r="H1142" i="3" s="1"/>
  <c r="H1143" i="3" a="1"/>
  <c r="H1143" i="3" s="1"/>
  <c r="H1144" i="3" a="1"/>
  <c r="H1144" i="3" s="1"/>
  <c r="H1145" i="3" a="1"/>
  <c r="H1145" i="3" s="1"/>
  <c r="H1146" i="3" a="1"/>
  <c r="H1146" i="3" s="1"/>
  <c r="H1147" i="3" a="1"/>
  <c r="H1147" i="3" s="1"/>
  <c r="H1148" i="3" a="1"/>
  <c r="H1148" i="3" s="1"/>
  <c r="H1149" i="3" a="1"/>
  <c r="H1149" i="3" s="1"/>
  <c r="H1150" i="3" a="1"/>
  <c r="H1150" i="3"/>
  <c r="H1151" i="3" a="1"/>
  <c r="H1151" i="3" s="1"/>
  <c r="H1152" i="3" a="1"/>
  <c r="H1152" i="3"/>
  <c r="H1153" i="3" a="1"/>
  <c r="H1153" i="3" s="1"/>
  <c r="H1154" i="3" a="1"/>
  <c r="H1154" i="3" s="1"/>
  <c r="H1155" i="3" a="1"/>
  <c r="H1155" i="3" s="1"/>
  <c r="H1156" i="3" a="1"/>
  <c r="H1156" i="3" s="1"/>
  <c r="H1157" i="3" a="1"/>
  <c r="H1157" i="3" s="1"/>
  <c r="H1158" i="3" a="1"/>
  <c r="H1158" i="3" s="1"/>
  <c r="H1159" i="3" a="1"/>
  <c r="H1159" i="3" s="1"/>
  <c r="H1160" i="3" a="1"/>
  <c r="H1160" i="3"/>
  <c r="H1161" i="3" a="1"/>
  <c r="H1161" i="3" s="1"/>
  <c r="H1162" i="3" a="1"/>
  <c r="H1162" i="3" s="1"/>
  <c r="H1163" i="3" a="1"/>
  <c r="H1163" i="3" s="1"/>
  <c r="H1164" i="3" a="1"/>
  <c r="H1164" i="3" s="1"/>
  <c r="H1165" i="3" a="1"/>
  <c r="H1165" i="3" s="1"/>
  <c r="H1166" i="3" a="1"/>
  <c r="H1166" i="3"/>
  <c r="H1167" i="3" a="1"/>
  <c r="H1167" i="3" s="1"/>
  <c r="H1168" i="3" a="1"/>
  <c r="H1168" i="3" s="1"/>
  <c r="H1169" i="3" a="1"/>
  <c r="H1169" i="3" s="1"/>
  <c r="H1170" i="3" a="1"/>
  <c r="H1170" i="3" s="1"/>
  <c r="H1171" i="3" a="1"/>
  <c r="H1171" i="3" s="1"/>
  <c r="H1172" i="3" a="1"/>
  <c r="H1172" i="3" s="1"/>
  <c r="H1173" i="3" a="1"/>
  <c r="H1173" i="3" s="1"/>
  <c r="H1174" i="3" a="1"/>
  <c r="H1174" i="3"/>
  <c r="H1175" i="3" a="1"/>
  <c r="H1175" i="3" s="1"/>
  <c r="H1176" i="3" a="1"/>
  <c r="H1176" i="3" s="1"/>
  <c r="H1177" i="3" a="1"/>
  <c r="H1177" i="3" s="1"/>
  <c r="H1178" i="3" a="1"/>
  <c r="H1178" i="3" s="1"/>
  <c r="H1179" i="3" a="1"/>
  <c r="H1179" i="3" s="1"/>
  <c r="H1180" i="3" a="1"/>
  <c r="H1180" i="3" s="1"/>
  <c r="H1181" i="3" a="1"/>
  <c r="H1181" i="3" s="1"/>
  <c r="H1182" i="3" a="1"/>
  <c r="H1182" i="3" s="1"/>
  <c r="H1183" i="3" a="1"/>
  <c r="H1183" i="3" s="1"/>
  <c r="H1184" i="3" a="1"/>
  <c r="H1184" i="3" s="1"/>
  <c r="H1185" i="3" a="1"/>
  <c r="H1185" i="3" s="1"/>
  <c r="H1186" i="3" a="1"/>
  <c r="H1186" i="3"/>
  <c r="H1187" i="3" a="1"/>
  <c r="H1187" i="3" s="1"/>
  <c r="H1188" i="3" a="1"/>
  <c r="H1188" i="3" s="1"/>
  <c r="H1189" i="3" a="1"/>
  <c r="H1189" i="3" s="1"/>
  <c r="H1190" i="3" a="1"/>
  <c r="H1190" i="3"/>
  <c r="H1191" i="3" a="1"/>
  <c r="H1191" i="3" s="1"/>
  <c r="H1192" i="3" a="1"/>
  <c r="H1192" i="3" s="1"/>
  <c r="H1193" i="3" a="1"/>
  <c r="H1193" i="3" s="1"/>
  <c r="H1194" i="3" a="1"/>
  <c r="H1194" i="3" s="1"/>
  <c r="H1195" i="3" a="1"/>
  <c r="H1195" i="3" s="1"/>
  <c r="H1196" i="3" a="1"/>
  <c r="H1196" i="3" s="1"/>
  <c r="H1197" i="3" a="1"/>
  <c r="H1197" i="3" s="1"/>
  <c r="H1198" i="3" a="1"/>
  <c r="H1198" i="3" s="1"/>
  <c r="H1199" i="3" a="1"/>
  <c r="H1199" i="3" s="1"/>
  <c r="H1200" i="3" a="1"/>
  <c r="H1200" i="3" s="1"/>
  <c r="H1201" i="3" a="1"/>
  <c r="H1201" i="3" s="1"/>
  <c r="H1202" i="3" a="1"/>
  <c r="H1202" i="3"/>
  <c r="H1203" i="3" a="1"/>
  <c r="H1203" i="3" s="1"/>
  <c r="H1204" i="3" a="1"/>
  <c r="H1204" i="3" s="1"/>
  <c r="H1205" i="3" a="1"/>
  <c r="H1205" i="3" s="1"/>
  <c r="H1206" i="3" a="1"/>
  <c r="H1206" i="3"/>
  <c r="H1207" i="3" a="1"/>
  <c r="H1207" i="3" s="1"/>
  <c r="H1208" i="3" a="1"/>
  <c r="H1208" i="3" s="1"/>
  <c r="H1209" i="3" a="1"/>
  <c r="H1209" i="3" s="1"/>
  <c r="H1210" i="3" a="1"/>
  <c r="H1210" i="3" s="1"/>
  <c r="H1211" i="3" a="1"/>
  <c r="H1211" i="3" s="1"/>
  <c r="H1212" i="3" a="1"/>
  <c r="H1212" i="3" s="1"/>
  <c r="H1213" i="3" a="1"/>
  <c r="H1213" i="3" s="1"/>
  <c r="H1214" i="3" a="1"/>
  <c r="H1214" i="3" s="1"/>
  <c r="H1215" i="3" a="1"/>
  <c r="H1215" i="3" s="1"/>
  <c r="H1216" i="3" a="1"/>
  <c r="H1216" i="3" s="1"/>
  <c r="H1217" i="3" a="1"/>
  <c r="H1217" i="3" s="1"/>
  <c r="H1218" i="3" a="1"/>
  <c r="H1218" i="3" s="1"/>
  <c r="H1219" i="3" a="1"/>
  <c r="H1219" i="3" s="1"/>
  <c r="H1220" i="3" a="1"/>
  <c r="H1220" i="3" s="1"/>
  <c r="H1221" i="3" a="1"/>
  <c r="H1221" i="3" s="1"/>
  <c r="H1222" i="3" a="1"/>
  <c r="H1222" i="3"/>
  <c r="H1223" i="3" a="1"/>
  <c r="H1223" i="3" s="1"/>
  <c r="H1224" i="3" a="1"/>
  <c r="H1224" i="3" s="1"/>
  <c r="H1225" i="3" a="1"/>
  <c r="H1225" i="3" s="1"/>
  <c r="H1226" i="3" a="1"/>
  <c r="H1226" i="3" s="1"/>
  <c r="H1227" i="3" a="1"/>
  <c r="H1227" i="3" s="1"/>
  <c r="H1228" i="3" a="1"/>
  <c r="H1228" i="3" s="1"/>
  <c r="H1229" i="3" a="1"/>
  <c r="H1229" i="3" s="1"/>
  <c r="H1230" i="3" a="1"/>
  <c r="H1230" i="3" s="1"/>
  <c r="H1231" i="3" a="1"/>
  <c r="H1231" i="3" s="1"/>
  <c r="H1232" i="3" a="1"/>
  <c r="H1232" i="3" s="1"/>
  <c r="H1233" i="3" a="1"/>
  <c r="H1233" i="3" s="1"/>
  <c r="H1234" i="3" a="1"/>
  <c r="H1234" i="3"/>
  <c r="H1235" i="3" a="1"/>
  <c r="H1235" i="3" s="1"/>
  <c r="H1236" i="3" a="1"/>
  <c r="H1236" i="3" s="1"/>
  <c r="H1237" i="3" a="1"/>
  <c r="H1237" i="3" s="1"/>
  <c r="H1238" i="3" a="1"/>
  <c r="H1238" i="3"/>
  <c r="H1239" i="3" a="1"/>
  <c r="H1239" i="3" s="1"/>
  <c r="H1240" i="3" a="1"/>
  <c r="H1240" i="3" s="1"/>
  <c r="H1241" i="3" a="1"/>
  <c r="H1241" i="3" s="1"/>
  <c r="H1242" i="3" a="1"/>
  <c r="H1242" i="3" s="1"/>
  <c r="H1243" i="3" a="1"/>
  <c r="H1243" i="3" s="1"/>
  <c r="H1244" i="3" a="1"/>
  <c r="H1244" i="3" s="1"/>
  <c r="H1245" i="3" a="1"/>
  <c r="H1245" i="3" s="1"/>
  <c r="H1246" i="3" a="1"/>
  <c r="H1246" i="3" s="1"/>
  <c r="H1247" i="3" a="1"/>
  <c r="H1247" i="3" s="1"/>
  <c r="H1248" i="3" a="1"/>
  <c r="H1248" i="3" s="1"/>
  <c r="H1249" i="3" a="1"/>
  <c r="H1249" i="3" s="1"/>
  <c r="H1250" i="3" a="1"/>
  <c r="H1250" i="3"/>
  <c r="H1251" i="3" a="1"/>
  <c r="H1251" i="3" s="1"/>
  <c r="H1252" i="3" a="1"/>
  <c r="H1252" i="3" s="1"/>
  <c r="H1253" i="3" a="1"/>
  <c r="H1253" i="3" s="1"/>
  <c r="H1254" i="3" a="1"/>
  <c r="H1254" i="3"/>
  <c r="H1255" i="3" a="1"/>
  <c r="H1255" i="3" s="1"/>
  <c r="H1256" i="3" a="1"/>
  <c r="H1256" i="3" s="1"/>
  <c r="H1257" i="3" a="1"/>
  <c r="H1257" i="3" s="1"/>
  <c r="H1258" i="3" a="1"/>
  <c r="H1258" i="3" s="1"/>
  <c r="H1259" i="3" a="1"/>
  <c r="H1259" i="3" s="1"/>
  <c r="H1260" i="3" a="1"/>
  <c r="H1260" i="3" s="1"/>
  <c r="H1261" i="3" a="1"/>
  <c r="H1261" i="3" s="1"/>
  <c r="H1262" i="3" a="1"/>
  <c r="H1262" i="3" s="1"/>
  <c r="H1263" i="3" a="1"/>
  <c r="H1263" i="3" s="1"/>
  <c r="H1264" i="3" a="1"/>
  <c r="H1264" i="3" s="1"/>
  <c r="H1265" i="3" a="1"/>
  <c r="H1265" i="3" s="1"/>
  <c r="H1266" i="3" a="1"/>
  <c r="H1266" i="3"/>
  <c r="H1267" i="3" a="1"/>
  <c r="H1267" i="3" s="1"/>
  <c r="H1268" i="3" a="1"/>
  <c r="H1268" i="3" s="1"/>
  <c r="H1269" i="3" a="1"/>
  <c r="H1269" i="3" s="1"/>
  <c r="H1270" i="3" a="1"/>
  <c r="H1270" i="3"/>
  <c r="H1271" i="3" a="1"/>
  <c r="H1271" i="3" s="1"/>
  <c r="H1272" i="3" a="1"/>
  <c r="H1272" i="3" s="1"/>
  <c r="H1273" i="3" a="1"/>
  <c r="H1273" i="3" s="1"/>
  <c r="H1274" i="3" a="1"/>
  <c r="H1274" i="3" s="1"/>
  <c r="H1275" i="3" a="1"/>
  <c r="H1275" i="3" s="1"/>
  <c r="H1276" i="3" a="1"/>
  <c r="H1276" i="3" s="1"/>
  <c r="H1277" i="3" a="1"/>
  <c r="H1277" i="3" s="1"/>
  <c r="H1278" i="3" a="1"/>
  <c r="H1278" i="3" s="1"/>
  <c r="H1279" i="3" a="1"/>
  <c r="H1279" i="3" s="1"/>
  <c r="H1280" i="3" a="1"/>
  <c r="H1280" i="3" s="1"/>
  <c r="H1281" i="3" a="1"/>
  <c r="H1281" i="3" s="1"/>
  <c r="H1282" i="3" a="1"/>
  <c r="H1282" i="3"/>
  <c r="H1283" i="3" a="1"/>
  <c r="H1283" i="3" s="1"/>
  <c r="H1284" i="3" a="1"/>
  <c r="H1284" i="3" s="1"/>
  <c r="H1285" i="3" a="1"/>
  <c r="H1285" i="3" s="1"/>
  <c r="H1286" i="3" a="1"/>
  <c r="H1286" i="3"/>
  <c r="H1287" i="3" a="1"/>
  <c r="H1287" i="3" s="1"/>
  <c r="H1288" i="3" a="1"/>
  <c r="H1288" i="3" s="1"/>
  <c r="H1289" i="3" a="1"/>
  <c r="H1289" i="3" s="1"/>
  <c r="H1290" i="3" a="1"/>
  <c r="H1290" i="3" s="1"/>
  <c r="H1291" i="3" a="1"/>
  <c r="H1291" i="3" s="1"/>
  <c r="H1292" i="3" a="1"/>
  <c r="H1292" i="3" s="1"/>
  <c r="H1293" i="3" a="1"/>
  <c r="H1293" i="3" s="1"/>
  <c r="H1294" i="3" a="1"/>
  <c r="H1294" i="3" s="1"/>
  <c r="H1295" i="3" a="1"/>
  <c r="H1295" i="3" s="1"/>
  <c r="H1296" i="3" a="1"/>
  <c r="H1296" i="3" s="1"/>
  <c r="H1297" i="3" a="1"/>
  <c r="H1297" i="3" s="1"/>
  <c r="H1298" i="3" a="1"/>
  <c r="H1298" i="3"/>
  <c r="H1299" i="3" a="1"/>
  <c r="H1299" i="3" s="1"/>
  <c r="H1300" i="3" a="1"/>
  <c r="H1300" i="3" s="1"/>
  <c r="H1301" i="3" a="1"/>
  <c r="H1301" i="3" s="1"/>
  <c r="H1302" i="3" a="1"/>
  <c r="H1302" i="3"/>
  <c r="H1303" i="3" a="1"/>
  <c r="H1303" i="3" s="1"/>
  <c r="H1304" i="3" a="1"/>
  <c r="H1304" i="3" s="1"/>
  <c r="H1305" i="3" a="1"/>
  <c r="H1305" i="3" s="1"/>
  <c r="H1306" i="3" a="1"/>
  <c r="H1306" i="3" s="1"/>
  <c r="H1307" i="3" a="1"/>
  <c r="H1307" i="3" s="1"/>
  <c r="H1308" i="3" a="1"/>
  <c r="H1308" i="3" s="1"/>
  <c r="H1309" i="3" a="1"/>
  <c r="H1309" i="3" s="1"/>
  <c r="H1310" i="3" a="1"/>
  <c r="H1310" i="3" s="1"/>
  <c r="H1311" i="3" a="1"/>
  <c r="H1311" i="3" s="1"/>
  <c r="H1312" i="3" a="1"/>
  <c r="H1312" i="3" s="1"/>
  <c r="H1313" i="3" a="1"/>
  <c r="H1313" i="3" s="1"/>
  <c r="H1314" i="3" a="1"/>
  <c r="H1314" i="3"/>
  <c r="H1315" i="3" a="1"/>
  <c r="H1315" i="3" s="1"/>
  <c r="H1316" i="3" a="1"/>
  <c r="H1316" i="3" s="1"/>
  <c r="H1317" i="3" a="1"/>
  <c r="H1317" i="3" s="1"/>
  <c r="H1318" i="3" a="1"/>
  <c r="H1318" i="3"/>
  <c r="H1319" i="3" a="1"/>
  <c r="H1319" i="3" s="1"/>
  <c r="H1320" i="3" a="1"/>
  <c r="H1320" i="3" s="1"/>
  <c r="H1321" i="3" a="1"/>
  <c r="H1321" i="3" s="1"/>
  <c r="H1322" i="3" a="1"/>
  <c r="H1322" i="3" s="1"/>
  <c r="H1323" i="3" a="1"/>
  <c r="H1323" i="3" s="1"/>
  <c r="H1324" i="3" a="1"/>
  <c r="H1324" i="3" s="1"/>
  <c r="H1325" i="3" a="1"/>
  <c r="H1325" i="3" s="1"/>
  <c r="H1326" i="3" a="1"/>
  <c r="H1326" i="3" s="1"/>
  <c r="H1327" i="3" a="1"/>
  <c r="H1327" i="3" s="1"/>
  <c r="H1328" i="3" a="1"/>
  <c r="H1328" i="3" s="1"/>
  <c r="H1329" i="3" a="1"/>
  <c r="H1329" i="3" s="1"/>
  <c r="H1330" i="3" a="1"/>
  <c r="H1330" i="3"/>
  <c r="H1331" i="3" a="1"/>
  <c r="H1331" i="3" s="1"/>
  <c r="H1332" i="3" a="1"/>
  <c r="H1332" i="3" s="1"/>
  <c r="H1333" i="3" a="1"/>
  <c r="H1333" i="3" s="1"/>
  <c r="H1334" i="3" a="1"/>
  <c r="H1334" i="3"/>
  <c r="H1335" i="3" a="1"/>
  <c r="H1335" i="3" s="1"/>
  <c r="H1336" i="3" a="1"/>
  <c r="H1336" i="3" s="1"/>
  <c r="H1337" i="3" a="1"/>
  <c r="H1337" i="3" s="1"/>
  <c r="H1338" i="3" a="1"/>
  <c r="H1338" i="3" s="1"/>
  <c r="H1339" i="3" a="1"/>
  <c r="H1339" i="3" s="1"/>
  <c r="H1340" i="3" a="1"/>
  <c r="H1340" i="3" s="1"/>
  <c r="H1341" i="3" a="1"/>
  <c r="H1341" i="3" s="1"/>
  <c r="H1342" i="3" a="1"/>
  <c r="H1342" i="3" s="1"/>
  <c r="H1343" i="3" a="1"/>
  <c r="H1343" i="3" s="1"/>
  <c r="H1344" i="3" a="1"/>
  <c r="H1344" i="3" s="1"/>
  <c r="H1345" i="3" a="1"/>
  <c r="H1345" i="3" s="1"/>
  <c r="H1346" i="3" a="1"/>
  <c r="H1346" i="3"/>
  <c r="H1347" i="3" a="1"/>
  <c r="H1347" i="3" s="1"/>
  <c r="H1348" i="3" a="1"/>
  <c r="H1348" i="3" s="1"/>
  <c r="H1349" i="3" a="1"/>
  <c r="H1349" i="3" s="1"/>
  <c r="H1350" i="3" a="1"/>
  <c r="H1350" i="3"/>
  <c r="H1351" i="3" a="1"/>
  <c r="H1351" i="3" s="1"/>
  <c r="H1352" i="3" a="1"/>
  <c r="H1352" i="3" s="1"/>
  <c r="H1353" i="3" a="1"/>
  <c r="H1353" i="3" s="1"/>
  <c r="H1354" i="3" a="1"/>
  <c r="H1354" i="3" s="1"/>
  <c r="H1355" i="3" a="1"/>
  <c r="H1355" i="3" s="1"/>
  <c r="H1356" i="3" a="1"/>
  <c r="H1356" i="3" s="1"/>
  <c r="H1357" i="3" a="1"/>
  <c r="H1357" i="3" s="1"/>
  <c r="H1358" i="3" a="1"/>
  <c r="H1358" i="3" s="1"/>
  <c r="H1359" i="3" a="1"/>
  <c r="H1359" i="3" s="1"/>
  <c r="H1360" i="3" a="1"/>
  <c r="H1360" i="3" s="1"/>
  <c r="H1361" i="3" a="1"/>
  <c r="H1361" i="3" s="1"/>
  <c r="H1362" i="3" a="1"/>
  <c r="H1362" i="3"/>
  <c r="H1363" i="3" a="1"/>
  <c r="H1363" i="3" s="1"/>
  <c r="H1364" i="3" a="1"/>
  <c r="H1364" i="3" s="1"/>
  <c r="H1365" i="3" a="1"/>
  <c r="H1365" i="3" s="1"/>
  <c r="H1366" i="3" a="1"/>
  <c r="H1366" i="3"/>
  <c r="H1367" i="3" a="1"/>
  <c r="H1367" i="3" s="1"/>
  <c r="H1368" i="3" a="1"/>
  <c r="H1368" i="3" s="1"/>
  <c r="H1369" i="3" a="1"/>
  <c r="H1369" i="3" s="1"/>
  <c r="H1370" i="3" a="1"/>
  <c r="H1370" i="3" s="1"/>
  <c r="H1371" i="3" a="1"/>
  <c r="H1371" i="3" s="1"/>
  <c r="H1372" i="3" a="1"/>
  <c r="H1372" i="3" s="1"/>
  <c r="H1373" i="3" a="1"/>
  <c r="H1373" i="3" s="1"/>
  <c r="H1374" i="3" a="1"/>
  <c r="H1374" i="3" s="1"/>
  <c r="H1375" i="3" a="1"/>
  <c r="H1375" i="3" s="1"/>
  <c r="H1376" i="3" a="1"/>
  <c r="H1376" i="3" s="1"/>
  <c r="H1377" i="3" a="1"/>
  <c r="H1377" i="3" s="1"/>
  <c r="H1378" i="3" a="1"/>
  <c r="H1378" i="3"/>
  <c r="H1379" i="3" a="1"/>
  <c r="H1379" i="3" s="1"/>
  <c r="H1380" i="3" a="1"/>
  <c r="H1380" i="3" s="1"/>
  <c r="H1381" i="3" a="1"/>
  <c r="H1381" i="3" s="1"/>
  <c r="H1382" i="3" a="1"/>
  <c r="H1382" i="3"/>
  <c r="H1383" i="3" a="1"/>
  <c r="H1383" i="3" s="1"/>
  <c r="H1384" i="3" a="1"/>
  <c r="H1384" i="3" s="1"/>
  <c r="H1385" i="3" a="1"/>
  <c r="H1385" i="3" s="1"/>
  <c r="H1386" i="3" a="1"/>
  <c r="H1386" i="3" s="1"/>
  <c r="H1387" i="3" a="1"/>
  <c r="H1387" i="3" s="1"/>
  <c r="H1388" i="3" a="1"/>
  <c r="H1388" i="3" s="1"/>
  <c r="H1389" i="3" a="1"/>
  <c r="H1389" i="3" s="1"/>
  <c r="H1390" i="3" a="1"/>
  <c r="H1390" i="3" s="1"/>
  <c r="H1391" i="3" a="1"/>
  <c r="H1391" i="3" s="1"/>
  <c r="H1392" i="3" a="1"/>
  <c r="H1392" i="3" s="1"/>
  <c r="H1393" i="3" a="1"/>
  <c r="H1393" i="3" s="1"/>
  <c r="H1394" i="3" a="1"/>
  <c r="H1394" i="3"/>
  <c r="H1395" i="3" a="1"/>
  <c r="H1395" i="3" s="1"/>
  <c r="H1396" i="3" a="1"/>
  <c r="H1396" i="3" s="1"/>
  <c r="H1397" i="3" a="1"/>
  <c r="H1397" i="3" s="1"/>
  <c r="H1398" i="3" a="1"/>
  <c r="H1398" i="3"/>
  <c r="H1399" i="3" a="1"/>
  <c r="H1399" i="3" s="1"/>
  <c r="H1400" i="3" a="1"/>
  <c r="H1400" i="3" s="1"/>
  <c r="H1401" i="3" a="1"/>
  <c r="H1401" i="3" s="1"/>
  <c r="H1402" i="3" a="1"/>
  <c r="H1402" i="3" s="1"/>
  <c r="H1403" i="3" a="1"/>
  <c r="H1403" i="3" s="1"/>
  <c r="H1404" i="3" a="1"/>
  <c r="H1404" i="3" s="1"/>
  <c r="H1405" i="3" a="1"/>
  <c r="H1405" i="3" s="1"/>
  <c r="H1406" i="3" a="1"/>
  <c r="H1406" i="3" s="1"/>
  <c r="H1407" i="3" a="1"/>
  <c r="H1407" i="3" s="1"/>
  <c r="H1408" i="3" a="1"/>
  <c r="H1408" i="3" s="1"/>
  <c r="H1409" i="3" a="1"/>
  <c r="H1409" i="3" s="1"/>
  <c r="H1410" i="3" a="1"/>
  <c r="H1410" i="3"/>
  <c r="H1411" i="3" a="1"/>
  <c r="H1411" i="3" s="1"/>
  <c r="H1412" i="3" a="1"/>
  <c r="H1412" i="3" s="1"/>
  <c r="H1413" i="3" a="1"/>
  <c r="H1413" i="3" s="1"/>
  <c r="H1414" i="3" a="1"/>
  <c r="H1414" i="3"/>
  <c r="H1415" i="3" a="1"/>
  <c r="H1415" i="3" s="1"/>
  <c r="H1416" i="3" a="1"/>
  <c r="H1416" i="3" s="1"/>
  <c r="H1417" i="3" a="1"/>
  <c r="H1417" i="3" s="1"/>
  <c r="H1418" i="3" a="1"/>
  <c r="H1418" i="3" s="1"/>
  <c r="H1419" i="3" a="1"/>
  <c r="H1419" i="3" s="1"/>
  <c r="H1420" i="3" a="1"/>
  <c r="H1420" i="3" s="1"/>
  <c r="H1421" i="3" a="1"/>
  <c r="H1421" i="3" s="1"/>
  <c r="H1422" i="3" a="1"/>
  <c r="H1422" i="3" s="1"/>
  <c r="H1423" i="3" a="1"/>
  <c r="H1423" i="3" s="1"/>
  <c r="H1424" i="3" a="1"/>
  <c r="H1424" i="3" s="1"/>
  <c r="H1425" i="3" a="1"/>
  <c r="H1425" i="3" s="1"/>
  <c r="H1426" i="3" a="1"/>
  <c r="H1426" i="3"/>
  <c r="H1427" i="3" a="1"/>
  <c r="H1427" i="3" s="1"/>
  <c r="H1428" i="3" a="1"/>
  <c r="H1428" i="3" s="1"/>
  <c r="H1429" i="3" a="1"/>
  <c r="H1429" i="3" s="1"/>
  <c r="H1430" i="3" a="1"/>
  <c r="H1430" i="3"/>
  <c r="H1431" i="3" a="1"/>
  <c r="H1431" i="3" s="1"/>
  <c r="H1432" i="3" a="1"/>
  <c r="H1432" i="3" s="1"/>
  <c r="H1433" i="3" a="1"/>
  <c r="H1433" i="3" s="1"/>
  <c r="H1434" i="3" a="1"/>
  <c r="H1434" i="3" s="1"/>
  <c r="H1435" i="3" a="1"/>
  <c r="H1435" i="3" s="1"/>
  <c r="H1436" i="3" a="1"/>
  <c r="H1436" i="3" s="1"/>
  <c r="H1437" i="3" a="1"/>
  <c r="H1437" i="3" s="1"/>
  <c r="H1438" i="3" a="1"/>
  <c r="H1438" i="3" s="1"/>
  <c r="H1439" i="3" a="1"/>
  <c r="H1439" i="3" s="1"/>
  <c r="H1440" i="3" a="1"/>
  <c r="H1440" i="3" s="1"/>
  <c r="H1441" i="3" a="1"/>
  <c r="H1441" i="3" s="1"/>
  <c r="H1442" i="3" a="1"/>
  <c r="H1442" i="3"/>
  <c r="H1443" i="3" a="1"/>
  <c r="H1443" i="3" s="1"/>
  <c r="H1444" i="3" a="1"/>
  <c r="H1444" i="3" s="1"/>
  <c r="H1445" i="3" a="1"/>
  <c r="H1445" i="3" s="1"/>
  <c r="H1446" i="3" a="1"/>
  <c r="H1446" i="3"/>
  <c r="H1447" i="3" a="1"/>
  <c r="H1447" i="3" s="1"/>
  <c r="H1448" i="3" a="1"/>
  <c r="H1448" i="3" s="1"/>
  <c r="H1449" i="3" a="1"/>
  <c r="H1449" i="3" s="1"/>
  <c r="H1450" i="3" a="1"/>
  <c r="H1450" i="3" s="1"/>
  <c r="H1451" i="3" a="1"/>
  <c r="H1451" i="3" s="1"/>
  <c r="H1452" i="3" a="1"/>
  <c r="H1452" i="3" s="1"/>
  <c r="H1453" i="3" a="1"/>
  <c r="H1453" i="3" s="1"/>
  <c r="H1454" i="3" a="1"/>
  <c r="H1454" i="3" s="1"/>
  <c r="H1455" i="3" a="1"/>
  <c r="H1455" i="3" s="1"/>
  <c r="H1456" i="3" a="1"/>
  <c r="H1456" i="3" s="1"/>
  <c r="H1457" i="3" a="1"/>
  <c r="H1457" i="3" s="1"/>
  <c r="H1458" i="3" a="1"/>
  <c r="H1458" i="3" s="1"/>
  <c r="H1459" i="3" a="1"/>
  <c r="H1459" i="3" s="1"/>
  <c r="H1460" i="3" a="1"/>
  <c r="H1460" i="3" s="1"/>
  <c r="H1461" i="3" a="1"/>
  <c r="H1461" i="3" s="1"/>
  <c r="H1462" i="3" a="1"/>
  <c r="H1462" i="3"/>
  <c r="H1463" i="3" a="1"/>
  <c r="H1463" i="3" s="1"/>
  <c r="H1464" i="3" a="1"/>
  <c r="H1464" i="3" s="1"/>
  <c r="H1465" i="3" a="1"/>
  <c r="H1465" i="3" s="1"/>
  <c r="H1466" i="3" a="1"/>
  <c r="H1466" i="3" s="1"/>
  <c r="H1467" i="3" a="1"/>
  <c r="H1467" i="3" s="1"/>
  <c r="H1468" i="3" a="1"/>
  <c r="H1468" i="3" s="1"/>
  <c r="H1469" i="3" a="1"/>
  <c r="H1469" i="3" s="1"/>
  <c r="H1470" i="3" a="1"/>
  <c r="H1470" i="3" s="1"/>
  <c r="H1471" i="3" a="1"/>
  <c r="H1471" i="3" s="1"/>
  <c r="H1472" i="3" a="1"/>
  <c r="H1472" i="3" s="1"/>
  <c r="H1473" i="3" a="1"/>
  <c r="H1473" i="3" s="1"/>
  <c r="H1474" i="3" a="1"/>
  <c r="H1474" i="3" s="1"/>
  <c r="H1475" i="3" a="1"/>
  <c r="H1475" i="3" s="1"/>
  <c r="H1476" i="3" a="1"/>
  <c r="H1476" i="3" s="1"/>
  <c r="H1477" i="3" a="1"/>
  <c r="H1477" i="3" s="1"/>
  <c r="H1478" i="3" a="1"/>
  <c r="H1478" i="3" s="1"/>
  <c r="H1479" i="3" a="1"/>
  <c r="H1479" i="3" s="1"/>
  <c r="H1480" i="3" a="1"/>
  <c r="H1480" i="3" s="1"/>
  <c r="H1481" i="3" a="1"/>
  <c r="H1481" i="3" s="1"/>
  <c r="H1482" i="3" a="1"/>
  <c r="H1482" i="3" s="1"/>
  <c r="H1483" i="3" a="1"/>
  <c r="H1483" i="3" s="1"/>
  <c r="H1484" i="3" a="1"/>
  <c r="H1484" i="3" s="1"/>
  <c r="H1485" i="3" a="1"/>
  <c r="H1485" i="3" s="1"/>
  <c r="H1486" i="3" a="1"/>
  <c r="H1486" i="3" s="1"/>
  <c r="H1487" i="3" a="1"/>
  <c r="H1487" i="3" s="1"/>
  <c r="H1488" i="3" a="1"/>
  <c r="H1488" i="3" s="1"/>
  <c r="H1489" i="3" a="1"/>
  <c r="H1489" i="3" s="1"/>
  <c r="H1490" i="3" a="1"/>
  <c r="H1490" i="3" s="1"/>
  <c r="H1491" i="3" a="1"/>
  <c r="H1491" i="3" s="1"/>
  <c r="H1492" i="3" a="1"/>
  <c r="H1492" i="3" s="1"/>
  <c r="H1493" i="3" a="1"/>
  <c r="H1493" i="3" s="1"/>
  <c r="H1494" i="3" a="1"/>
  <c r="H1494" i="3" s="1"/>
  <c r="H1495" i="3" a="1"/>
  <c r="H1495" i="3" s="1"/>
  <c r="H1496" i="3" a="1"/>
  <c r="H1496" i="3" s="1"/>
  <c r="H1497" i="3" a="1"/>
  <c r="H1497" i="3" s="1"/>
  <c r="H1498" i="3" a="1"/>
  <c r="H1498" i="3" s="1"/>
  <c r="H1499" i="3" a="1"/>
  <c r="H1499" i="3" s="1"/>
  <c r="H1500" i="3" a="1"/>
  <c r="H1500" i="3" s="1"/>
  <c r="H1501" i="3" a="1"/>
  <c r="H1501" i="3" s="1"/>
  <c r="H1502" i="3" a="1"/>
  <c r="H1502" i="3" s="1"/>
  <c r="H1503" i="3" a="1"/>
  <c r="H1503" i="3" s="1"/>
  <c r="H1504" i="3" a="1"/>
  <c r="H1504" i="3" s="1"/>
  <c r="H1505" i="3" a="1"/>
  <c r="H1505" i="3" s="1"/>
  <c r="H1506" i="3" a="1"/>
  <c r="H1506" i="3" s="1"/>
  <c r="H1507" i="3" a="1"/>
  <c r="H1507" i="3" s="1"/>
  <c r="H1508" i="3" a="1"/>
  <c r="H1508" i="3" s="1"/>
  <c r="H1509" i="3" a="1"/>
  <c r="H1509" i="3" s="1"/>
  <c r="H1510" i="3" a="1"/>
  <c r="H1510" i="3" s="1"/>
  <c r="H1511" i="3" a="1"/>
  <c r="H1511" i="3" s="1"/>
  <c r="H1512" i="3" a="1"/>
  <c r="H1512" i="3" s="1"/>
  <c r="H1513" i="3" a="1"/>
  <c r="H1513" i="3" s="1"/>
  <c r="H1514" i="3" a="1"/>
  <c r="H1514" i="3" s="1"/>
  <c r="H1515" i="3" a="1"/>
  <c r="H1515" i="3" s="1"/>
  <c r="H1516" i="3" a="1"/>
  <c r="H1516" i="3" s="1"/>
  <c r="H1517" i="3" a="1"/>
  <c r="H1517" i="3" s="1"/>
  <c r="H1518" i="3" a="1"/>
  <c r="H1518" i="3" s="1"/>
  <c r="H1519" i="3" a="1"/>
  <c r="H1519" i="3" s="1"/>
  <c r="H1520" i="3" a="1"/>
  <c r="H1520" i="3" s="1"/>
  <c r="H1521" i="3" a="1"/>
  <c r="H1521" i="3" s="1"/>
  <c r="H1522" i="3" a="1"/>
  <c r="H1522" i="3" s="1"/>
  <c r="H1523" i="3" a="1"/>
  <c r="H1523" i="3" s="1"/>
  <c r="H1524" i="3" a="1"/>
  <c r="H1524" i="3" s="1"/>
  <c r="H1525" i="3" a="1"/>
  <c r="H1525" i="3" s="1"/>
  <c r="H1526" i="3" a="1"/>
  <c r="H1526" i="3" s="1"/>
  <c r="H1527" i="3" a="1"/>
  <c r="H1527" i="3" s="1"/>
  <c r="H1528" i="3" a="1"/>
  <c r="H1528" i="3" s="1"/>
  <c r="H1529" i="3" a="1"/>
  <c r="H1529" i="3" s="1"/>
  <c r="H1530" i="3" a="1"/>
  <c r="H1530" i="3" s="1"/>
  <c r="H1531" i="3" a="1"/>
  <c r="H1531" i="3" s="1"/>
  <c r="H1532" i="3" a="1"/>
  <c r="H1532" i="3" s="1"/>
  <c r="H1533" i="3" a="1"/>
  <c r="H1533" i="3" s="1"/>
  <c r="H1534" i="3" a="1"/>
  <c r="H1534" i="3" s="1"/>
  <c r="H1535" i="3" a="1"/>
  <c r="H1535" i="3" s="1"/>
  <c r="H1536" i="3" a="1"/>
  <c r="H1536" i="3" s="1"/>
  <c r="H1537" i="3" a="1"/>
  <c r="H1537" i="3" s="1"/>
  <c r="H1538" i="3" a="1"/>
  <c r="H1538" i="3" s="1"/>
  <c r="H1539" i="3" a="1"/>
  <c r="H1539" i="3" s="1"/>
  <c r="H1540" i="3" a="1"/>
  <c r="H1540" i="3" s="1"/>
  <c r="H1541" i="3" a="1"/>
  <c r="H1541" i="3" s="1"/>
  <c r="H1542" i="3" a="1"/>
  <c r="H1542" i="3" s="1"/>
  <c r="H1543" i="3" a="1"/>
  <c r="H1543" i="3" s="1"/>
  <c r="H1544" i="3" a="1"/>
  <c r="H1544" i="3" s="1"/>
  <c r="H1545" i="3" a="1"/>
  <c r="H1545" i="3" s="1"/>
  <c r="H1546" i="3" a="1"/>
  <c r="H1546" i="3" s="1"/>
  <c r="H1547" i="3" a="1"/>
  <c r="H1547" i="3" s="1"/>
  <c r="H1548" i="3" a="1"/>
  <c r="H1548" i="3" s="1"/>
  <c r="H1549" i="3" a="1"/>
  <c r="H1549" i="3" s="1"/>
  <c r="H1550" i="3" a="1"/>
  <c r="H1550" i="3" s="1"/>
  <c r="H1551" i="3" a="1"/>
  <c r="H1551" i="3" s="1"/>
  <c r="H1552" i="3" a="1"/>
  <c r="H1552" i="3" s="1"/>
  <c r="H1553" i="3" a="1"/>
  <c r="H1553" i="3" s="1"/>
  <c r="H1554" i="3" a="1"/>
  <c r="H1554" i="3" s="1"/>
  <c r="H1555" i="3" a="1"/>
  <c r="H1555" i="3" s="1"/>
  <c r="H1556" i="3" a="1"/>
  <c r="H1556" i="3" s="1"/>
  <c r="H1557" i="3" a="1"/>
  <c r="H1557" i="3" s="1"/>
  <c r="H1558" i="3" a="1"/>
  <c r="H1558" i="3" s="1"/>
  <c r="H1559" i="3" a="1"/>
  <c r="H1559" i="3" s="1"/>
  <c r="H1560" i="3" a="1"/>
  <c r="H1560" i="3" s="1"/>
  <c r="H1561" i="3" a="1"/>
  <c r="H1561" i="3" s="1"/>
  <c r="H1562" i="3" a="1"/>
  <c r="H1562" i="3" s="1"/>
  <c r="H1563" i="3" a="1"/>
  <c r="H1563" i="3" s="1"/>
  <c r="H1564" i="3" a="1"/>
  <c r="H1564" i="3" s="1"/>
  <c r="H1565" i="3" a="1"/>
  <c r="H1565" i="3" s="1"/>
  <c r="H1566" i="3" a="1"/>
  <c r="H1566" i="3" s="1"/>
  <c r="H1567" i="3" a="1"/>
  <c r="H1567" i="3" s="1"/>
  <c r="H1568" i="3" a="1"/>
  <c r="H1568" i="3" s="1"/>
  <c r="H1569" i="3" a="1"/>
  <c r="H1569" i="3" s="1"/>
  <c r="H1570" i="3" a="1"/>
  <c r="H1570" i="3" s="1"/>
  <c r="H1571" i="3" a="1"/>
  <c r="H1571" i="3" s="1"/>
  <c r="H1572" i="3" a="1"/>
  <c r="H1572" i="3" s="1"/>
  <c r="H1573" i="3" a="1"/>
  <c r="H1573" i="3" s="1"/>
  <c r="H1574" i="3" a="1"/>
  <c r="H1574" i="3" s="1"/>
  <c r="H1575" i="3" a="1"/>
  <c r="H1575" i="3" s="1"/>
  <c r="H1576" i="3" a="1"/>
  <c r="H1576" i="3" s="1"/>
  <c r="H1577" i="3" a="1"/>
  <c r="H1577" i="3" s="1"/>
  <c r="H1578" i="3" a="1"/>
  <c r="H1578" i="3" s="1"/>
  <c r="H1579" i="3" a="1"/>
  <c r="H1579" i="3" s="1"/>
  <c r="H1580" i="3" a="1"/>
  <c r="H1580" i="3" s="1"/>
  <c r="H1581" i="3" a="1"/>
  <c r="H1581" i="3" s="1"/>
  <c r="H1582" i="3" a="1"/>
  <c r="H1582" i="3" s="1"/>
  <c r="H1583" i="3" a="1"/>
  <c r="H1583" i="3" s="1"/>
  <c r="H1584" i="3" a="1"/>
  <c r="H1584" i="3" s="1"/>
  <c r="H1585" i="3" a="1"/>
  <c r="H1585" i="3" s="1"/>
  <c r="H1586" i="3" a="1"/>
  <c r="H1586" i="3" s="1"/>
  <c r="H1587" i="3" a="1"/>
  <c r="H1587" i="3" s="1"/>
  <c r="H1588" i="3" a="1"/>
  <c r="H1588" i="3" s="1"/>
  <c r="H1589" i="3" a="1"/>
  <c r="H1589" i="3" s="1"/>
  <c r="H1590" i="3" a="1"/>
  <c r="H1590" i="3" s="1"/>
  <c r="H1591" i="3" a="1"/>
  <c r="H1591" i="3" s="1"/>
  <c r="H1592" i="3" a="1"/>
  <c r="H1592" i="3" s="1"/>
  <c r="H1593" i="3" a="1"/>
  <c r="H1593" i="3" s="1"/>
  <c r="H1594" i="3" a="1"/>
  <c r="H1594" i="3" s="1"/>
  <c r="H1595" i="3" a="1"/>
  <c r="H1595" i="3" s="1"/>
  <c r="H1596" i="3" a="1"/>
  <c r="H1596" i="3" s="1"/>
  <c r="H1597" i="3" a="1"/>
  <c r="H1597" i="3" s="1"/>
  <c r="H1598" i="3" a="1"/>
  <c r="H1598" i="3" s="1"/>
  <c r="H1599" i="3" a="1"/>
  <c r="H1599" i="3" s="1"/>
  <c r="H1600" i="3" a="1"/>
  <c r="H1600" i="3" s="1"/>
  <c r="H1601" i="3" a="1"/>
  <c r="H1601" i="3" s="1"/>
  <c r="H1602" i="3" a="1"/>
  <c r="H1602" i="3"/>
  <c r="H1603" i="3" a="1"/>
  <c r="H1603" i="3" s="1"/>
  <c r="H1604" i="3" a="1"/>
  <c r="H1604" i="3" s="1"/>
  <c r="H1605" i="3" a="1"/>
  <c r="H1605" i="3" s="1"/>
  <c r="H1606" i="3" a="1"/>
  <c r="H1606" i="3" s="1"/>
  <c r="H1607" i="3" a="1"/>
  <c r="H1607" i="3" s="1"/>
  <c r="H1608" i="3" a="1"/>
  <c r="H1608" i="3" s="1"/>
  <c r="H1609" i="3" a="1"/>
  <c r="H1609" i="3" s="1"/>
  <c r="H1610" i="3" a="1"/>
  <c r="H1610" i="3" s="1"/>
  <c r="H1611" i="3" a="1"/>
  <c r="H1611" i="3" s="1"/>
  <c r="H1612" i="3" a="1"/>
  <c r="H1612" i="3" s="1"/>
  <c r="H1613" i="3" a="1"/>
  <c r="H1613" i="3" s="1"/>
  <c r="H1614" i="3" a="1"/>
  <c r="H1614" i="3" s="1"/>
  <c r="H1615" i="3" a="1"/>
  <c r="H1615" i="3" s="1"/>
  <c r="H1616" i="3" a="1"/>
  <c r="H1616" i="3" s="1"/>
  <c r="H1617" i="3" a="1"/>
  <c r="H1617" i="3" s="1"/>
  <c r="H1618" i="3" a="1"/>
  <c r="H1618" i="3"/>
  <c r="H1619" i="3" a="1"/>
  <c r="H1619" i="3" s="1"/>
  <c r="H1620" i="3" a="1"/>
  <c r="H1620" i="3" s="1"/>
  <c r="H1621" i="3" a="1"/>
  <c r="H1621" i="3" s="1"/>
  <c r="H1622" i="3" a="1"/>
  <c r="H1622" i="3" s="1"/>
  <c r="H1623" i="3" a="1"/>
  <c r="H1623" i="3" s="1"/>
  <c r="H1624" i="3" a="1"/>
  <c r="H1624" i="3" s="1"/>
  <c r="H1625" i="3" a="1"/>
  <c r="H1625" i="3" s="1"/>
  <c r="H1626" i="3" a="1"/>
  <c r="H1626" i="3" s="1"/>
  <c r="H1627" i="3" a="1"/>
  <c r="H1627" i="3" s="1"/>
  <c r="H1628" i="3" a="1"/>
  <c r="H1628" i="3" s="1"/>
  <c r="H1629" i="3" a="1"/>
  <c r="H1629" i="3" s="1"/>
  <c r="H1630" i="3" a="1"/>
  <c r="H1630" i="3" s="1"/>
  <c r="H1631" i="3" a="1"/>
  <c r="H1631" i="3" s="1"/>
  <c r="H1632" i="3" a="1"/>
  <c r="H1632" i="3" s="1"/>
  <c r="H1633" i="3" a="1"/>
  <c r="H1633" i="3" s="1"/>
  <c r="H1634" i="3" a="1"/>
  <c r="H1634" i="3"/>
  <c r="H1635" i="3" a="1"/>
  <c r="H1635" i="3" s="1"/>
  <c r="H1636" i="3" a="1"/>
  <c r="H1636" i="3" s="1"/>
  <c r="H1637" i="3" a="1"/>
  <c r="H1637" i="3" s="1"/>
  <c r="H1638" i="3" a="1"/>
  <c r="H1638" i="3" s="1"/>
  <c r="H1639" i="3" a="1"/>
  <c r="H1639" i="3" s="1"/>
  <c r="H1640" i="3" a="1"/>
  <c r="H1640" i="3" s="1"/>
  <c r="H1641" i="3" a="1"/>
  <c r="H1641" i="3" s="1"/>
  <c r="H1642" i="3" a="1"/>
  <c r="H1642" i="3" s="1"/>
  <c r="H1643" i="3" a="1"/>
  <c r="H1643" i="3" s="1"/>
  <c r="H1644" i="3" a="1"/>
  <c r="H1644" i="3" s="1"/>
  <c r="H1645" i="3" a="1"/>
  <c r="H1645" i="3" s="1"/>
  <c r="H1646" i="3" a="1"/>
  <c r="H1646" i="3" s="1"/>
  <c r="H1647" i="3" a="1"/>
  <c r="H1647" i="3" s="1"/>
  <c r="H1648" i="3" a="1"/>
  <c r="H1648" i="3" s="1"/>
  <c r="H1649" i="3" a="1"/>
  <c r="H1649" i="3" s="1"/>
  <c r="H1650" i="3" a="1"/>
  <c r="H1650" i="3"/>
  <c r="H1651" i="3" a="1"/>
  <c r="H1651" i="3" s="1"/>
  <c r="H1652" i="3" a="1"/>
  <c r="H1652" i="3" s="1"/>
  <c r="H1653" i="3" a="1"/>
  <c r="H1653" i="3" s="1"/>
  <c r="H1654" i="3" a="1"/>
  <c r="H1654" i="3" s="1"/>
  <c r="H1655" i="3" a="1"/>
  <c r="H1655" i="3" s="1"/>
  <c r="H1656" i="3" a="1"/>
  <c r="H1656" i="3" s="1"/>
  <c r="H1657" i="3" a="1"/>
  <c r="H1657" i="3" s="1"/>
  <c r="H1658" i="3" a="1"/>
  <c r="H1658" i="3" s="1"/>
  <c r="H1659" i="3" a="1"/>
  <c r="H1659" i="3" s="1"/>
  <c r="H1660" i="3" a="1"/>
  <c r="H1660" i="3" s="1"/>
  <c r="H1661" i="3" a="1"/>
  <c r="H1661" i="3" s="1"/>
  <c r="H1662" i="3" a="1"/>
  <c r="H1662" i="3" s="1"/>
  <c r="H1663" i="3" a="1"/>
  <c r="H1663" i="3" s="1"/>
  <c r="H1664" i="3" a="1"/>
  <c r="H1664" i="3" s="1"/>
  <c r="H1665" i="3" a="1"/>
  <c r="H1665" i="3" s="1"/>
  <c r="H1666" i="3" a="1"/>
  <c r="H1666" i="3"/>
  <c r="H1667" i="3" a="1"/>
  <c r="H1667" i="3" s="1"/>
  <c r="H1668" i="3" a="1"/>
  <c r="H1668" i="3" s="1"/>
  <c r="H1669" i="3" a="1"/>
  <c r="H1669" i="3" s="1"/>
  <c r="H1670" i="3" a="1"/>
  <c r="H1670" i="3" s="1"/>
  <c r="H1671" i="3" a="1"/>
  <c r="H1671" i="3" s="1"/>
  <c r="H1672" i="3" a="1"/>
  <c r="H1672" i="3" s="1"/>
  <c r="H1673" i="3" a="1"/>
  <c r="H1673" i="3" s="1"/>
  <c r="H1674" i="3" a="1"/>
  <c r="H1674" i="3" s="1"/>
  <c r="H1675" i="3" a="1"/>
  <c r="H1675" i="3" s="1"/>
  <c r="H1676" i="3" a="1"/>
  <c r="H1676" i="3" s="1"/>
  <c r="H1677" i="3" a="1"/>
  <c r="H1677" i="3" s="1"/>
  <c r="H1678" i="3" a="1"/>
  <c r="H1678" i="3" s="1"/>
  <c r="H1679" i="3" a="1"/>
  <c r="H1679" i="3" s="1"/>
  <c r="H1680" i="3" a="1"/>
  <c r="H1680" i="3" s="1"/>
  <c r="H1681" i="3" a="1"/>
  <c r="H1681" i="3" s="1"/>
  <c r="H1682" i="3" a="1"/>
  <c r="H1682" i="3"/>
  <c r="H1683" i="3" a="1"/>
  <c r="H1683" i="3" s="1"/>
  <c r="H1684" i="3" a="1"/>
  <c r="H1684" i="3" s="1"/>
  <c r="H1685" i="3" a="1"/>
  <c r="H1685" i="3" s="1"/>
  <c r="H1686" i="3" a="1"/>
  <c r="H1686" i="3" s="1"/>
  <c r="H1687" i="3" a="1"/>
  <c r="H1687" i="3" s="1"/>
  <c r="H1688" i="3" a="1"/>
  <c r="H1688" i="3" s="1"/>
  <c r="H1689" i="3" a="1"/>
  <c r="H1689" i="3" s="1"/>
  <c r="H1690" i="3" a="1"/>
  <c r="H1690" i="3" s="1"/>
  <c r="H1691" i="3" a="1"/>
  <c r="H1691" i="3" s="1"/>
  <c r="H1692" i="3" a="1"/>
  <c r="H1692" i="3" s="1"/>
  <c r="H1693" i="3" a="1"/>
  <c r="H1693" i="3" s="1"/>
  <c r="H1694" i="3" a="1"/>
  <c r="H1694" i="3" s="1"/>
  <c r="H1695" i="3" a="1"/>
  <c r="H1695" i="3" s="1"/>
  <c r="H1696" i="3" a="1"/>
  <c r="H1696" i="3" s="1"/>
  <c r="H1697" i="3" a="1"/>
  <c r="H1697" i="3" s="1"/>
  <c r="H1698" i="3" a="1"/>
  <c r="H1698" i="3"/>
  <c r="H1699" i="3" a="1"/>
  <c r="H1699" i="3" s="1"/>
  <c r="H1700" i="3" a="1"/>
  <c r="H1700" i="3" s="1"/>
  <c r="H1701" i="3" a="1"/>
  <c r="H1701" i="3" s="1"/>
  <c r="H1702" i="3" a="1"/>
  <c r="H1702" i="3" s="1"/>
  <c r="H1703" i="3" a="1"/>
  <c r="H1703" i="3" s="1"/>
  <c r="H1704" i="3" a="1"/>
  <c r="H1704" i="3" s="1"/>
  <c r="H1705" i="3" a="1"/>
  <c r="H1705" i="3" s="1"/>
  <c r="H1706" i="3" a="1"/>
  <c r="H1706" i="3" s="1"/>
  <c r="H1707" i="3" a="1"/>
  <c r="H1707" i="3" s="1"/>
  <c r="H1708" i="3" a="1"/>
  <c r="H1708" i="3" s="1"/>
  <c r="H1709" i="3" a="1"/>
  <c r="H1709" i="3" s="1"/>
  <c r="H1710" i="3" a="1"/>
  <c r="H1710" i="3" s="1"/>
  <c r="H1711" i="3" a="1"/>
  <c r="H1711" i="3" s="1"/>
  <c r="H1712" i="3" a="1"/>
  <c r="H1712" i="3" s="1"/>
  <c r="H1713" i="3" a="1"/>
  <c r="H1713" i="3" s="1"/>
  <c r="H1714" i="3" a="1"/>
  <c r="H1714" i="3"/>
  <c r="H1715" i="3" a="1"/>
  <c r="H1715" i="3" s="1"/>
  <c r="H1716" i="3" a="1"/>
  <c r="H1716" i="3" s="1"/>
  <c r="H1717" i="3" a="1"/>
  <c r="H1717" i="3" s="1"/>
  <c r="H1718" i="3" a="1"/>
  <c r="H1718" i="3" s="1"/>
  <c r="H1719" i="3" a="1"/>
  <c r="H1719" i="3" s="1"/>
  <c r="H1720" i="3" a="1"/>
  <c r="H1720" i="3" s="1"/>
  <c r="H1721" i="3" a="1"/>
  <c r="H1721" i="3" s="1"/>
  <c r="H1722" i="3" a="1"/>
  <c r="H1722" i="3" s="1"/>
  <c r="H1723" i="3" a="1"/>
  <c r="H1723" i="3" s="1"/>
  <c r="H1724" i="3" a="1"/>
  <c r="H1724" i="3" s="1"/>
  <c r="H1725" i="3" a="1"/>
  <c r="H1725" i="3" s="1"/>
  <c r="H1726" i="3" a="1"/>
  <c r="H1726" i="3" s="1"/>
  <c r="H1727" i="3" a="1"/>
  <c r="H1727" i="3" s="1"/>
  <c r="H1728" i="3" a="1"/>
  <c r="H1728" i="3"/>
  <c r="H1729" i="3" a="1"/>
  <c r="H1729" i="3" s="1"/>
  <c r="H1730" i="3" a="1"/>
  <c r="H1730" i="3" s="1"/>
  <c r="H1731" i="3" a="1"/>
  <c r="H1731" i="3" s="1"/>
  <c r="H1732" i="3" a="1"/>
  <c r="H1732" i="3" s="1"/>
  <c r="H1733" i="3" a="1"/>
  <c r="H1733" i="3" s="1"/>
  <c r="H1734" i="3" a="1"/>
  <c r="H1734" i="3" s="1"/>
  <c r="H1735" i="3" a="1"/>
  <c r="H1735" i="3" s="1"/>
  <c r="H1736" i="3" a="1"/>
  <c r="H1736" i="3" s="1"/>
  <c r="H1737" i="3" a="1"/>
  <c r="H1737" i="3" s="1"/>
  <c r="H1738" i="3" a="1"/>
  <c r="H1738" i="3"/>
  <c r="H1739" i="3" a="1"/>
  <c r="H1739" i="3" s="1"/>
  <c r="H1740" i="3" a="1"/>
  <c r="H1740" i="3" s="1"/>
  <c r="H1741" i="3" a="1"/>
  <c r="H1741" i="3" s="1"/>
  <c r="H1742" i="3" a="1"/>
  <c r="H1742" i="3" s="1"/>
  <c r="H1743" i="3" a="1"/>
  <c r="H1743" i="3" s="1"/>
  <c r="H1744" i="3" a="1"/>
  <c r="H1744" i="3" s="1"/>
  <c r="H1745" i="3" a="1"/>
  <c r="H1745" i="3" s="1"/>
  <c r="H1746" i="3" a="1"/>
  <c r="H1746" i="3" s="1"/>
  <c r="H1747" i="3" a="1"/>
  <c r="H1747" i="3" s="1"/>
  <c r="H1748" i="3" a="1"/>
  <c r="H1748" i="3" s="1"/>
  <c r="H1749" i="3" a="1"/>
  <c r="H1749" i="3" s="1"/>
  <c r="H1750" i="3" a="1"/>
  <c r="H1750" i="3" s="1"/>
  <c r="H1751" i="3" a="1"/>
  <c r="H1751" i="3" s="1"/>
  <c r="H1752" i="3" a="1"/>
  <c r="H1752" i="3" s="1"/>
  <c r="H1753" i="3" a="1"/>
  <c r="H1753" i="3" s="1"/>
  <c r="H1754" i="3" a="1"/>
  <c r="H1754" i="3"/>
  <c r="H1755" i="3" a="1"/>
  <c r="H1755" i="3" s="1"/>
  <c r="H1756" i="3" a="1"/>
  <c r="H1756" i="3" s="1"/>
  <c r="H1757" i="3" a="1"/>
  <c r="H1757" i="3" s="1"/>
  <c r="H1758" i="3" a="1"/>
  <c r="H1758" i="3" s="1"/>
  <c r="H1759" i="3" a="1"/>
  <c r="H1759" i="3" s="1"/>
  <c r="H1760" i="3" a="1"/>
  <c r="H1760" i="3" s="1"/>
  <c r="H1761" i="3" a="1"/>
  <c r="H1761" i="3" s="1"/>
  <c r="H1762" i="3" a="1"/>
  <c r="H1762" i="3" s="1"/>
  <c r="H1763" i="3" a="1"/>
  <c r="H1763" i="3" s="1"/>
  <c r="H1764" i="3" a="1"/>
  <c r="H1764" i="3" s="1"/>
  <c r="H1765" i="3" a="1"/>
  <c r="H1765" i="3" s="1"/>
  <c r="H1766" i="3" a="1"/>
  <c r="H1766" i="3" s="1"/>
  <c r="H1767" i="3" a="1"/>
  <c r="H1767" i="3" s="1"/>
  <c r="H1768" i="3" a="1"/>
  <c r="H1768" i="3" s="1"/>
  <c r="H1769" i="3" a="1"/>
  <c r="H1769" i="3" s="1"/>
  <c r="H1770" i="3" a="1"/>
  <c r="H1770" i="3"/>
  <c r="H1771" i="3" a="1"/>
  <c r="H1771" i="3" s="1"/>
  <c r="H1772" i="3" a="1"/>
  <c r="H1772" i="3" s="1"/>
  <c r="H1773" i="3" a="1"/>
  <c r="H1773" i="3" s="1"/>
  <c r="H1774" i="3" a="1"/>
  <c r="H1774" i="3" s="1"/>
  <c r="H1775" i="3" a="1"/>
  <c r="H1775" i="3" s="1"/>
  <c r="H1776" i="3" a="1"/>
  <c r="H1776" i="3" s="1"/>
  <c r="H1777" i="3" a="1"/>
  <c r="H1777" i="3" s="1"/>
  <c r="H1778" i="3" a="1"/>
  <c r="H1778" i="3" s="1"/>
  <c r="H1779" i="3" a="1"/>
  <c r="H1779" i="3" s="1"/>
  <c r="H1780" i="3" a="1"/>
  <c r="H1780" i="3" s="1"/>
  <c r="H1781" i="3" a="1"/>
  <c r="H1781" i="3" s="1"/>
  <c r="H1782" i="3" a="1"/>
  <c r="H1782" i="3" s="1"/>
  <c r="H1783" i="3" a="1"/>
  <c r="H1783" i="3" s="1"/>
  <c r="H1784" i="3" a="1"/>
  <c r="H1784" i="3" s="1"/>
  <c r="H1785" i="3" a="1"/>
  <c r="H1785" i="3" s="1"/>
  <c r="H1786" i="3" a="1"/>
  <c r="H1786" i="3"/>
  <c r="H1787" i="3" a="1"/>
  <c r="H1787" i="3" s="1"/>
  <c r="H1788" i="3" a="1"/>
  <c r="H1788" i="3" s="1"/>
  <c r="H1789" i="3" a="1"/>
  <c r="H1789" i="3" s="1"/>
  <c r="H1790" i="3" a="1"/>
  <c r="H1790" i="3" s="1"/>
  <c r="H1791" i="3" a="1"/>
  <c r="H1791" i="3" s="1"/>
  <c r="H1792" i="3" a="1"/>
  <c r="H1792" i="3" s="1"/>
  <c r="H1793" i="3" a="1"/>
  <c r="H1793" i="3" s="1"/>
  <c r="H1794" i="3" a="1"/>
  <c r="H1794" i="3" s="1"/>
  <c r="H1795" i="3" a="1"/>
  <c r="H1795" i="3" s="1"/>
  <c r="H1796" i="3" a="1"/>
  <c r="H1796" i="3"/>
  <c r="H1797" i="3" a="1"/>
  <c r="H1797" i="3" s="1"/>
  <c r="H1798" i="3" a="1"/>
  <c r="H1798" i="3" s="1"/>
  <c r="H1799" i="3" a="1"/>
  <c r="H1799" i="3" s="1"/>
  <c r="H1800" i="3" a="1"/>
  <c r="H1800" i="3" s="1"/>
  <c r="H1801" i="3" a="1"/>
  <c r="H1801" i="3" s="1"/>
  <c r="H1802" i="3" a="1"/>
  <c r="H1802" i="3"/>
  <c r="H1803" i="3" a="1"/>
  <c r="H1803" i="3" s="1"/>
  <c r="H1804" i="3" a="1"/>
  <c r="H1804" i="3" s="1"/>
  <c r="H1805" i="3" a="1"/>
  <c r="H1805" i="3" s="1"/>
  <c r="H1806" i="3" a="1"/>
  <c r="H1806" i="3" s="1"/>
  <c r="H1807" i="3" a="1"/>
  <c r="H1807" i="3" s="1"/>
  <c r="H1808" i="3" a="1"/>
  <c r="H1808" i="3" s="1"/>
  <c r="H1809" i="3" a="1"/>
  <c r="H1809" i="3" s="1"/>
  <c r="H1810" i="3" a="1"/>
  <c r="H1810" i="3"/>
  <c r="H1811" i="3" a="1"/>
  <c r="H1811" i="3" s="1"/>
  <c r="H1812" i="3" a="1"/>
  <c r="H1812" i="3"/>
  <c r="H1813" i="3" a="1"/>
  <c r="H1813" i="3" s="1"/>
  <c r="H1814" i="3" a="1"/>
  <c r="H1814" i="3" s="1"/>
  <c r="H1815" i="3" a="1"/>
  <c r="H1815" i="3" s="1"/>
  <c r="H1816" i="3" a="1"/>
  <c r="H1816" i="3" s="1"/>
  <c r="H1817" i="3" a="1"/>
  <c r="H1817" i="3" s="1"/>
  <c r="H1818" i="3" a="1"/>
  <c r="H1818" i="3" s="1"/>
  <c r="H1819" i="3" a="1"/>
  <c r="H1819" i="3" s="1"/>
  <c r="H1820" i="3" a="1"/>
  <c r="H1820" i="3" s="1"/>
  <c r="H1821" i="3" a="1"/>
  <c r="H1821" i="3" s="1"/>
  <c r="H1822" i="3" a="1"/>
  <c r="H1822" i="3" s="1"/>
  <c r="H1823" i="3" a="1"/>
  <c r="H1823" i="3" s="1"/>
  <c r="H1824" i="3" a="1"/>
  <c r="H1824" i="3" s="1"/>
  <c r="H1825" i="3" a="1"/>
  <c r="H1825" i="3" s="1"/>
  <c r="H1826" i="3" a="1"/>
  <c r="H1826" i="3" s="1"/>
  <c r="H1827" i="3" a="1"/>
  <c r="H1827" i="3" s="1"/>
  <c r="H1828" i="3" a="1"/>
  <c r="H1828" i="3" s="1"/>
  <c r="H1829" i="3" a="1"/>
  <c r="H1829" i="3" s="1"/>
  <c r="H1830" i="3" a="1"/>
  <c r="H1830" i="3" s="1"/>
  <c r="H1831" i="3" a="1"/>
  <c r="H1831" i="3" s="1"/>
  <c r="H1832" i="3" a="1"/>
  <c r="H1832" i="3" s="1"/>
  <c r="H1833" i="3" a="1"/>
  <c r="H1833" i="3" s="1"/>
  <c r="H1834" i="3" a="1"/>
  <c r="H1834" i="3" s="1"/>
  <c r="H1835" i="3" a="1"/>
  <c r="H1835" i="3" s="1"/>
  <c r="H1836" i="3" a="1"/>
  <c r="H1836" i="3" s="1"/>
  <c r="H1837" i="3" a="1"/>
  <c r="H1837" i="3" s="1"/>
  <c r="H1838" i="3" a="1"/>
  <c r="H1838" i="3" s="1"/>
  <c r="H1839" i="3" a="1"/>
  <c r="H1839" i="3" s="1"/>
  <c r="H1840" i="3" a="1"/>
  <c r="H1840" i="3" s="1"/>
  <c r="H1841" i="3" a="1"/>
  <c r="H1841" i="3" s="1"/>
  <c r="H1842" i="3" a="1"/>
  <c r="H1842" i="3" s="1"/>
  <c r="H1843" i="3" a="1"/>
  <c r="H1843" i="3" s="1"/>
  <c r="H1844" i="3" a="1"/>
  <c r="H1844" i="3" s="1"/>
  <c r="H1845" i="3" a="1"/>
  <c r="H1845" i="3" s="1"/>
  <c r="H1846" i="3" a="1"/>
  <c r="H1846" i="3" s="1"/>
  <c r="H1847" i="3" a="1"/>
  <c r="H1847" i="3" s="1"/>
  <c r="H1848" i="3" a="1"/>
  <c r="H1848" i="3" s="1"/>
  <c r="H1849" i="3" a="1"/>
  <c r="H1849" i="3" s="1"/>
  <c r="H1850" i="3" a="1"/>
  <c r="H1850" i="3" s="1"/>
  <c r="H1851" i="3" a="1"/>
  <c r="H1851" i="3" s="1"/>
  <c r="H1852" i="3" a="1"/>
  <c r="H1852" i="3" s="1"/>
  <c r="H1853" i="3" a="1"/>
  <c r="H1853" i="3" s="1"/>
  <c r="H1854" i="3" a="1"/>
  <c r="H1854" i="3" s="1"/>
  <c r="H1855" i="3" a="1"/>
  <c r="H1855" i="3" s="1"/>
  <c r="H1856" i="3" a="1"/>
  <c r="H1856" i="3" s="1"/>
  <c r="H1857" i="3" a="1"/>
  <c r="H1857" i="3" s="1"/>
  <c r="H1858" i="3" a="1"/>
  <c r="H1858" i="3" s="1"/>
  <c r="H1859" i="3" a="1"/>
  <c r="H1859" i="3" s="1"/>
  <c r="H1860" i="3" a="1"/>
  <c r="H1860" i="3" s="1"/>
  <c r="H1861" i="3" a="1"/>
  <c r="H1861" i="3" s="1"/>
  <c r="H1862" i="3" a="1"/>
  <c r="H1862" i="3" s="1"/>
  <c r="H1863" i="3" a="1"/>
  <c r="H1863" i="3" s="1"/>
  <c r="H1864" i="3" a="1"/>
  <c r="H1864" i="3" s="1"/>
  <c r="H1865" i="3" a="1"/>
  <c r="H1865" i="3" s="1"/>
  <c r="H1866" i="3" a="1"/>
  <c r="H1866" i="3" s="1"/>
  <c r="H1867" i="3" a="1"/>
  <c r="H1867" i="3" s="1"/>
  <c r="H1868" i="3" a="1"/>
  <c r="H1868" i="3" s="1"/>
  <c r="H1869" i="3" a="1"/>
  <c r="H1869" i="3" s="1"/>
  <c r="H1870" i="3" a="1"/>
  <c r="H1870" i="3" s="1"/>
  <c r="H1871" i="3" a="1"/>
  <c r="H1871" i="3" s="1"/>
  <c r="H1872" i="3" a="1"/>
  <c r="H1872" i="3" s="1"/>
  <c r="H1873" i="3" a="1"/>
  <c r="H1873" i="3" s="1"/>
  <c r="H1874" i="3" a="1"/>
  <c r="H1874" i="3" s="1"/>
  <c r="H1875" i="3" a="1"/>
  <c r="H1875" i="3" s="1"/>
  <c r="H1876" i="3" a="1"/>
  <c r="H1876" i="3" s="1"/>
  <c r="H1877" i="3" a="1"/>
  <c r="H1877" i="3" s="1"/>
  <c r="H1878" i="3" a="1"/>
  <c r="H1878" i="3" s="1"/>
  <c r="H1879" i="3" a="1"/>
  <c r="H1879" i="3" s="1"/>
  <c r="H1880" i="3" a="1"/>
  <c r="H1880" i="3" s="1"/>
  <c r="H1881" i="3" a="1"/>
  <c r="H1881" i="3" s="1"/>
  <c r="H1882" i="3" a="1"/>
  <c r="H1882" i="3"/>
  <c r="H1883" i="3" a="1"/>
  <c r="H1883" i="3" s="1"/>
  <c r="H1884" i="3" a="1"/>
  <c r="H1884" i="3" s="1"/>
  <c r="H1885" i="3" a="1"/>
  <c r="H1885" i="3" s="1"/>
  <c r="H1886" i="3" a="1"/>
  <c r="H1886" i="3" s="1"/>
  <c r="H1887" i="3" a="1"/>
  <c r="H1887" i="3" s="1"/>
  <c r="H1888" i="3" a="1"/>
  <c r="H1888" i="3" s="1"/>
  <c r="H1889" i="3" a="1"/>
  <c r="H1889" i="3" s="1"/>
  <c r="H1890" i="3" a="1"/>
  <c r="H1890" i="3" s="1"/>
  <c r="H1891" i="3" a="1"/>
  <c r="H1891" i="3" s="1"/>
  <c r="H1892" i="3" a="1"/>
  <c r="H1892" i="3" s="1"/>
  <c r="H1893" i="3" a="1"/>
  <c r="H1893" i="3" s="1"/>
  <c r="H1894" i="3" a="1"/>
  <c r="H1894" i="3"/>
  <c r="H1895" i="3" a="1"/>
  <c r="H1895" i="3" s="1"/>
  <c r="H1896" i="3" a="1"/>
  <c r="H1896" i="3" s="1"/>
  <c r="H1897" i="3" a="1"/>
  <c r="H1897" i="3" s="1"/>
  <c r="H1898" i="3" a="1"/>
  <c r="H1898" i="3"/>
  <c r="H1899" i="3" a="1"/>
  <c r="H1899" i="3" s="1"/>
  <c r="H1900" i="3" a="1"/>
  <c r="H1900" i="3" s="1"/>
  <c r="H1901" i="3" a="1"/>
  <c r="H1901" i="3" s="1"/>
  <c r="H1902" i="3" a="1"/>
  <c r="H1902" i="3" s="1"/>
  <c r="H1903" i="3" a="1"/>
  <c r="H1903" i="3" s="1"/>
  <c r="H1904" i="3" a="1"/>
  <c r="H1904" i="3" s="1"/>
  <c r="H1905" i="3" a="1"/>
  <c r="H1905" i="3" s="1"/>
  <c r="H1906" i="3" a="1"/>
  <c r="H1906" i="3" s="1"/>
  <c r="H1907" i="3" a="1"/>
  <c r="H1907" i="3" s="1"/>
  <c r="H1908" i="3" a="1"/>
  <c r="H1908" i="3" s="1"/>
  <c r="H1909" i="3" a="1"/>
  <c r="H1909" i="3" s="1"/>
  <c r="H1910" i="3" a="1"/>
  <c r="H1910" i="3"/>
  <c r="H1911" i="3" a="1"/>
  <c r="H1911" i="3" s="1"/>
  <c r="H1912" i="3" a="1"/>
  <c r="H1912" i="3" s="1"/>
  <c r="H1913" i="3" a="1"/>
  <c r="H1913" i="3" s="1"/>
  <c r="H1914" i="3" a="1"/>
  <c r="H1914" i="3"/>
  <c r="H1915" i="3" a="1"/>
  <c r="H1915" i="3" s="1"/>
  <c r="H1916" i="3" a="1"/>
  <c r="H1916" i="3" s="1"/>
  <c r="H1917" i="3" a="1"/>
  <c r="H1917" i="3" s="1"/>
  <c r="H1918" i="3" a="1"/>
  <c r="H1918" i="3" s="1"/>
  <c r="H1919" i="3" a="1"/>
  <c r="H1919" i="3" s="1"/>
  <c r="H1920" i="3" a="1"/>
  <c r="H1920" i="3" s="1"/>
  <c r="H1921" i="3" a="1"/>
  <c r="H1921" i="3" s="1"/>
  <c r="H1922" i="3" a="1"/>
  <c r="H1922" i="3" s="1"/>
  <c r="H1923" i="3" a="1"/>
  <c r="H1923" i="3" s="1"/>
  <c r="H1924" i="3" a="1"/>
  <c r="H1924" i="3" s="1"/>
  <c r="H1925" i="3" a="1"/>
  <c r="H1925" i="3" s="1"/>
  <c r="H1926" i="3" a="1"/>
  <c r="H1926" i="3"/>
  <c r="H1927" i="3" a="1"/>
  <c r="H1927" i="3" s="1"/>
  <c r="H1928" i="3" a="1"/>
  <c r="H1928" i="3" s="1"/>
  <c r="H1929" i="3" a="1"/>
  <c r="H1929" i="3" s="1"/>
  <c r="H1930" i="3" a="1"/>
  <c r="H1930" i="3"/>
  <c r="H1931" i="3" a="1"/>
  <c r="H1931" i="3" s="1"/>
  <c r="H1932" i="3" a="1"/>
  <c r="H1932" i="3" s="1"/>
  <c r="H1933" i="3" a="1"/>
  <c r="H1933" i="3" s="1"/>
  <c r="H1934" i="3" a="1"/>
  <c r="H1934" i="3" s="1"/>
  <c r="H1935" i="3" a="1"/>
  <c r="H1935" i="3" s="1"/>
  <c r="H1936" i="3" a="1"/>
  <c r="H1936" i="3" s="1"/>
  <c r="H1937" i="3" a="1"/>
  <c r="H1937" i="3" s="1"/>
  <c r="H1938" i="3" a="1"/>
  <c r="H1938" i="3" s="1"/>
  <c r="H1939" i="3" a="1"/>
  <c r="H1939" i="3" s="1"/>
  <c r="H1940" i="3" a="1"/>
  <c r="H1940" i="3" s="1"/>
  <c r="H1941" i="3" a="1"/>
  <c r="H1941" i="3" s="1"/>
  <c r="H1942" i="3" a="1"/>
  <c r="H1942" i="3"/>
  <c r="H1943" i="3" a="1"/>
  <c r="H1943" i="3" s="1"/>
  <c r="H1944" i="3" a="1"/>
  <c r="H1944" i="3" s="1"/>
  <c r="H1945" i="3" a="1"/>
  <c r="H1945" i="3" s="1"/>
  <c r="H1946" i="3" a="1"/>
  <c r="H1946" i="3"/>
  <c r="H1947" i="3" a="1"/>
  <c r="H1947" i="3" s="1"/>
  <c r="H1948" i="3" a="1"/>
  <c r="H1948" i="3" s="1"/>
  <c r="H1949" i="3" a="1"/>
  <c r="H1949" i="3" s="1"/>
  <c r="H1950" i="3" a="1"/>
  <c r="H1950" i="3" s="1"/>
  <c r="H1951" i="3" a="1"/>
  <c r="H1951" i="3" s="1"/>
  <c r="H1952" i="3" a="1"/>
  <c r="H1952" i="3" s="1"/>
  <c r="H1953" i="3" a="1"/>
  <c r="H1953" i="3" s="1"/>
  <c r="H1954" i="3" a="1"/>
  <c r="H1954" i="3" s="1"/>
  <c r="H1955" i="3" a="1"/>
  <c r="H1955" i="3" s="1"/>
  <c r="H1956" i="3" a="1"/>
  <c r="H1956" i="3" s="1"/>
  <c r="H1957" i="3" a="1"/>
  <c r="H1957" i="3" s="1"/>
  <c r="H1958" i="3" a="1"/>
  <c r="H1958" i="3"/>
  <c r="H1959" i="3" a="1"/>
  <c r="H1959" i="3" s="1"/>
  <c r="H1960" i="3" a="1"/>
  <c r="H1960" i="3" s="1"/>
  <c r="H1961" i="3" a="1"/>
  <c r="H1961" i="3" s="1"/>
  <c r="H1962" i="3" a="1"/>
  <c r="H1962" i="3"/>
  <c r="H1963" i="3" a="1"/>
  <c r="H1963" i="3" s="1"/>
  <c r="H1964" i="3" a="1"/>
  <c r="H1964" i="3" s="1"/>
  <c r="H1965" i="3" a="1"/>
  <c r="H1965" i="3" s="1"/>
  <c r="H1966" i="3" a="1"/>
  <c r="H1966" i="3" s="1"/>
  <c r="H1967" i="3" a="1"/>
  <c r="H1967" i="3" s="1"/>
  <c r="H1968" i="3" a="1"/>
  <c r="H1968" i="3" s="1"/>
  <c r="H1969" i="3" a="1"/>
  <c r="H1969" i="3" s="1"/>
  <c r="H1970" i="3" a="1"/>
  <c r="H1970" i="3" s="1"/>
  <c r="H1971" i="3" a="1"/>
  <c r="H1971" i="3" s="1"/>
  <c r="H1972" i="3" a="1"/>
  <c r="H1972" i="3" s="1"/>
  <c r="H1973" i="3" a="1"/>
  <c r="H1973" i="3" s="1"/>
  <c r="H1974" i="3" a="1"/>
  <c r="H1974" i="3"/>
  <c r="H1975" i="3" a="1"/>
  <c r="H1975" i="3" s="1"/>
  <c r="H1976" i="3" a="1"/>
  <c r="H1976" i="3" s="1"/>
  <c r="H1977" i="3" a="1"/>
  <c r="H1977" i="3" s="1"/>
  <c r="H1978" i="3" a="1"/>
  <c r="H1978" i="3"/>
  <c r="H1979" i="3" a="1"/>
  <c r="H1979" i="3" s="1"/>
  <c r="H1980" i="3" a="1"/>
  <c r="H1980" i="3" s="1"/>
  <c r="H1981" i="3" a="1"/>
  <c r="H1981" i="3" s="1"/>
  <c r="H1982" i="3" a="1"/>
  <c r="H1982" i="3" s="1"/>
  <c r="H1983" i="3" a="1"/>
  <c r="H1983" i="3" s="1"/>
  <c r="H1984" i="3" a="1"/>
  <c r="H1984" i="3" s="1"/>
  <c r="H1985" i="3" a="1"/>
  <c r="H1985" i="3" s="1"/>
  <c r="H1986" i="3" a="1"/>
  <c r="H1986" i="3" s="1"/>
  <c r="H1987" i="3" a="1"/>
  <c r="H1987" i="3" s="1"/>
  <c r="H1988" i="3" a="1"/>
  <c r="H1988" i="3" s="1"/>
  <c r="H1989" i="3" a="1"/>
  <c r="H1989" i="3" s="1"/>
  <c r="H1990" i="3" a="1"/>
  <c r="H1990" i="3"/>
  <c r="H1991" i="3" a="1"/>
  <c r="H1991" i="3" s="1"/>
  <c r="H1992" i="3" a="1"/>
  <c r="H1992" i="3" s="1"/>
  <c r="H1993" i="3" a="1"/>
  <c r="H1993" i="3" s="1"/>
  <c r="H1994" i="3" a="1"/>
  <c r="H1994" i="3"/>
  <c r="H1995" i="3" a="1"/>
  <c r="H1995" i="3" s="1"/>
  <c r="H1996" i="3" a="1"/>
  <c r="H1996" i="3" s="1"/>
  <c r="H1997" i="3" a="1"/>
  <c r="H1997" i="3" s="1"/>
  <c r="H1998" i="3" a="1"/>
  <c r="H1998" i="3" s="1"/>
  <c r="H1999" i="3" a="1"/>
  <c r="H1999" i="3" s="1"/>
  <c r="H2000" i="3" a="1"/>
  <c r="H2000" i="3" s="1"/>
  <c r="H2001" i="3" a="1"/>
  <c r="H2001" i="3" s="1"/>
  <c r="H2002" i="3" a="1"/>
  <c r="H2002" i="3" s="1"/>
  <c r="H2003" i="3" a="1"/>
  <c r="H2003" i="3" s="1"/>
  <c r="H2004" i="3" a="1"/>
  <c r="H2004" i="3" s="1"/>
  <c r="H2005" i="3" a="1"/>
  <c r="H2005" i="3" s="1"/>
  <c r="H2006" i="3" a="1"/>
  <c r="H2006" i="3"/>
  <c r="H2007" i="3" a="1"/>
  <c r="H2007" i="3" s="1"/>
  <c r="H2008" i="3" a="1"/>
  <c r="H2008" i="3" s="1"/>
  <c r="H2009" i="3" a="1"/>
  <c r="H2009" i="3" s="1"/>
  <c r="H2010" i="3" a="1"/>
  <c r="H2010" i="3"/>
  <c r="H2011" i="3" a="1"/>
  <c r="H2011" i="3" s="1"/>
  <c r="H2012" i="3" a="1"/>
  <c r="H2012" i="3" s="1"/>
  <c r="H2013" i="3" a="1"/>
  <c r="H2013" i="3" s="1"/>
  <c r="H2014" i="3" a="1"/>
  <c r="H2014" i="3" s="1"/>
  <c r="H2015" i="3" a="1"/>
  <c r="H2015" i="3" s="1"/>
  <c r="H2016" i="3" a="1"/>
  <c r="H2016" i="3" s="1"/>
  <c r="H2017" i="3" a="1"/>
  <c r="H2017" i="3" s="1"/>
  <c r="H2018" i="3" a="1"/>
  <c r="H2018" i="3" s="1"/>
  <c r="H2019" i="3" a="1"/>
  <c r="H2019" i="3" s="1"/>
  <c r="H2020" i="3" a="1"/>
  <c r="H2020" i="3" s="1"/>
  <c r="H2021" i="3" a="1"/>
  <c r="H2021" i="3" s="1"/>
  <c r="H2022" i="3" a="1"/>
  <c r="H2022" i="3"/>
  <c r="H2023" i="3" a="1"/>
  <c r="H2023" i="3" s="1"/>
  <c r="H2024" i="3" a="1"/>
  <c r="H2024" i="3" s="1"/>
  <c r="H2025" i="3" a="1"/>
  <c r="H2025" i="3" s="1"/>
  <c r="H2026" i="3" a="1"/>
  <c r="H2026" i="3"/>
  <c r="H2027" i="3" a="1"/>
  <c r="H2027" i="3" s="1"/>
  <c r="H2028" i="3" a="1"/>
  <c r="H2028" i="3" s="1"/>
  <c r="H2029" i="3" a="1"/>
  <c r="H2029" i="3" s="1"/>
  <c r="H2030" i="3" a="1"/>
  <c r="H2030" i="3" s="1"/>
  <c r="H2031" i="3" a="1"/>
  <c r="H2031" i="3" s="1"/>
  <c r="H2032" i="3" a="1"/>
  <c r="H2032" i="3" s="1"/>
  <c r="H2033" i="3" a="1"/>
  <c r="H2033" i="3" s="1"/>
  <c r="H2034" i="3" a="1"/>
  <c r="H2034" i="3" s="1"/>
  <c r="H2035" i="3" a="1"/>
  <c r="H2035" i="3" s="1"/>
  <c r="H2036" i="3" a="1"/>
  <c r="H2036" i="3" s="1"/>
  <c r="H2037" i="3" a="1"/>
  <c r="H2037" i="3" s="1"/>
  <c r="H2038" i="3" a="1"/>
  <c r="H2038" i="3"/>
  <c r="H2039" i="3" a="1"/>
  <c r="H2039" i="3" s="1"/>
  <c r="H2040" i="3" a="1"/>
  <c r="H2040" i="3" s="1"/>
  <c r="H2041" i="3" a="1"/>
  <c r="H2041" i="3" s="1"/>
  <c r="H2042" i="3" a="1"/>
  <c r="H2042" i="3"/>
  <c r="H2043" i="3" a="1"/>
  <c r="H2043" i="3" s="1"/>
  <c r="H2044" i="3" a="1"/>
  <c r="H2044" i="3" s="1"/>
  <c r="H2045" i="3" a="1"/>
  <c r="H2045" i="3" s="1"/>
  <c r="H2046" i="3" a="1"/>
  <c r="H2046" i="3" s="1"/>
  <c r="H2047" i="3" a="1"/>
  <c r="H2047" i="3" s="1"/>
  <c r="H2048" i="3" a="1"/>
  <c r="H2048" i="3" s="1"/>
  <c r="H2049" i="3" a="1"/>
  <c r="H2049" i="3" s="1"/>
  <c r="H2050" i="3" a="1"/>
  <c r="H2050" i="3" s="1"/>
  <c r="H2051" i="3" a="1"/>
  <c r="H2051" i="3" s="1"/>
  <c r="H2052" i="3" a="1"/>
  <c r="H2052" i="3" s="1"/>
  <c r="H2053" i="3" a="1"/>
  <c r="H2053" i="3" s="1"/>
  <c r="H2054" i="3" a="1"/>
  <c r="H2054" i="3"/>
  <c r="H2055" i="3" a="1"/>
  <c r="H2055" i="3" s="1"/>
  <c r="H2056" i="3" a="1"/>
  <c r="H2056" i="3" s="1"/>
  <c r="H2057" i="3" a="1"/>
  <c r="H2057" i="3" s="1"/>
  <c r="H2058" i="3" a="1"/>
  <c r="H2058" i="3" s="1"/>
  <c r="H2059" i="3" a="1"/>
  <c r="H2059" i="3" s="1"/>
  <c r="H2060" i="3" a="1"/>
  <c r="H2060" i="3" s="1"/>
  <c r="H2061" i="3" a="1"/>
  <c r="H2061" i="3" s="1"/>
  <c r="H2062" i="3" a="1"/>
  <c r="H2062" i="3" s="1"/>
  <c r="H2063" i="3" a="1"/>
  <c r="H2063" i="3" s="1"/>
  <c r="H2064" i="3" a="1"/>
  <c r="H2064" i="3" s="1"/>
  <c r="H2065" i="3" a="1"/>
  <c r="H2065" i="3" s="1"/>
  <c r="H2066" i="3" a="1"/>
  <c r="H2066" i="3" s="1"/>
  <c r="H2067" i="3" a="1"/>
  <c r="H2067" i="3" s="1"/>
  <c r="H2068" i="3" a="1"/>
  <c r="H2068" i="3"/>
  <c r="H2069" i="3" a="1"/>
  <c r="H2069" i="3" s="1"/>
  <c r="H2070" i="3" a="1"/>
  <c r="H2070" i="3"/>
  <c r="H2071" i="3" a="1"/>
  <c r="H2071" i="3" s="1"/>
  <c r="H2072" i="3" a="1"/>
  <c r="H2072" i="3" s="1"/>
  <c r="H2073" i="3" a="1"/>
  <c r="H2073" i="3" s="1"/>
  <c r="H2074" i="3" a="1"/>
  <c r="H2074" i="3" s="1"/>
  <c r="H2075" i="3" a="1"/>
  <c r="H2075" i="3" s="1"/>
  <c r="H2076" i="3" a="1"/>
  <c r="H2076" i="3" s="1"/>
  <c r="H2077" i="3" a="1"/>
  <c r="H2077" i="3" s="1"/>
  <c r="H2078" i="3" a="1"/>
  <c r="H2078" i="3" s="1"/>
  <c r="H2079" i="3" a="1"/>
  <c r="H2079" i="3" s="1"/>
  <c r="H2080" i="3" a="1"/>
  <c r="H2080" i="3"/>
  <c r="H2081" i="3" a="1"/>
  <c r="H2081" i="3" s="1"/>
  <c r="H2082" i="3" a="1"/>
  <c r="H2082" i="3" s="1"/>
  <c r="H2083" i="3" a="1"/>
  <c r="H2083" i="3" s="1"/>
  <c r="H2084" i="3" a="1"/>
  <c r="H2084" i="3"/>
  <c r="H2085" i="3" a="1"/>
  <c r="H2085" i="3" s="1"/>
  <c r="H2086" i="3" a="1"/>
  <c r="H2086" i="3" s="1"/>
  <c r="H2087" i="3" a="1"/>
  <c r="H2087" i="3" s="1"/>
  <c r="H2088" i="3" a="1"/>
  <c r="H2088" i="3" s="1"/>
  <c r="H2089" i="3" a="1"/>
  <c r="H2089" i="3" s="1"/>
  <c r="H2090" i="3" a="1"/>
  <c r="H2090" i="3" s="1"/>
  <c r="H2091" i="3" a="1"/>
  <c r="H2091" i="3" s="1"/>
  <c r="H2092" i="3" a="1"/>
  <c r="H2092" i="3" s="1"/>
  <c r="H2093" i="3" a="1"/>
  <c r="H2093" i="3" s="1"/>
  <c r="H2094" i="3" a="1"/>
  <c r="H2094" i="3" s="1"/>
  <c r="H2095" i="3" a="1"/>
  <c r="H2095" i="3" s="1"/>
  <c r="H2096" i="3" a="1"/>
  <c r="H2096" i="3"/>
  <c r="H2097" i="3" a="1"/>
  <c r="H2097" i="3" s="1"/>
  <c r="H2098" i="3" a="1"/>
  <c r="H2098" i="3" s="1"/>
  <c r="H2099" i="3" a="1"/>
  <c r="H2099" i="3" s="1"/>
  <c r="H2100" i="3" a="1"/>
  <c r="H2100" i="3"/>
  <c r="H2101" i="3" a="1"/>
  <c r="H2101" i="3" s="1"/>
  <c r="H2102" i="3" a="1"/>
  <c r="H2102" i="3" s="1"/>
  <c r="H2103" i="3" a="1"/>
  <c r="H2103" i="3" s="1"/>
  <c r="H2104" i="3" a="1"/>
  <c r="H2104" i="3" s="1"/>
  <c r="H2105" i="3" a="1"/>
  <c r="H2105" i="3" s="1"/>
  <c r="H2106" i="3" a="1"/>
  <c r="H2106" i="3" s="1"/>
  <c r="H2107" i="3" a="1"/>
  <c r="H2107" i="3" s="1"/>
  <c r="H2108" i="3" a="1"/>
  <c r="H2108" i="3" s="1"/>
  <c r="H2109" i="3" a="1"/>
  <c r="H2109" i="3" s="1"/>
  <c r="H2110" i="3" a="1"/>
  <c r="H2110" i="3" s="1"/>
  <c r="H2111" i="3" a="1"/>
  <c r="H2111" i="3" s="1"/>
  <c r="H2112" i="3" a="1"/>
  <c r="H2112" i="3"/>
  <c r="H2113" i="3" a="1"/>
  <c r="H2113" i="3" s="1"/>
  <c r="H2114" i="3" a="1"/>
  <c r="H2114" i="3" s="1"/>
  <c r="H2115" i="3" a="1"/>
  <c r="H2115" i="3" s="1"/>
  <c r="H2116" i="3" a="1"/>
  <c r="H2116" i="3"/>
  <c r="H2117" i="3" a="1"/>
  <c r="H2117" i="3" s="1"/>
  <c r="H2118" i="3" a="1"/>
  <c r="H2118" i="3" s="1"/>
  <c r="H2119" i="3" a="1"/>
  <c r="H2119" i="3" s="1"/>
  <c r="H2120" i="3" a="1"/>
  <c r="H2120" i="3" s="1"/>
  <c r="H2121" i="3" a="1"/>
  <c r="H2121" i="3" s="1"/>
  <c r="H2122" i="3" a="1"/>
  <c r="H2122" i="3" s="1"/>
  <c r="H2123" i="3" a="1"/>
  <c r="H2123" i="3" s="1"/>
  <c r="H2124" i="3" a="1"/>
  <c r="H2124" i="3" s="1"/>
  <c r="H2125" i="3" a="1"/>
  <c r="H2125" i="3" s="1"/>
  <c r="H2126" i="3" a="1"/>
  <c r="H2126" i="3" s="1"/>
  <c r="H2127" i="3" a="1"/>
  <c r="H2127" i="3" s="1"/>
  <c r="H2128" i="3" a="1"/>
  <c r="H2128" i="3"/>
  <c r="H2129" i="3" a="1"/>
  <c r="H2129" i="3" s="1"/>
  <c r="H2130" i="3" a="1"/>
  <c r="H2130" i="3" s="1"/>
  <c r="H2131" i="3" a="1"/>
  <c r="H2131" i="3" s="1"/>
  <c r="H2132" i="3" a="1"/>
  <c r="H2132" i="3"/>
  <c r="H2133" i="3" a="1"/>
  <c r="H2133" i="3" s="1"/>
  <c r="H2134" i="3" a="1"/>
  <c r="H2134" i="3" s="1"/>
  <c r="H2135" i="3" a="1"/>
  <c r="H2135" i="3" s="1"/>
  <c r="H2136" i="3" a="1"/>
  <c r="H2136" i="3" s="1"/>
  <c r="H2137" i="3" a="1"/>
  <c r="H2137" i="3" s="1"/>
  <c r="H2138" i="3" a="1"/>
  <c r="H2138" i="3" s="1"/>
  <c r="H2139" i="3" a="1"/>
  <c r="H2139" i="3" s="1"/>
  <c r="H2140" i="3" a="1"/>
  <c r="H2140" i="3" s="1"/>
  <c r="H2141" i="3" a="1"/>
  <c r="H2141" i="3" s="1"/>
  <c r="H2142" i="3" a="1"/>
  <c r="H2142" i="3" s="1"/>
  <c r="H2143" i="3" a="1"/>
  <c r="H2143" i="3" s="1"/>
  <c r="H2144" i="3" a="1"/>
  <c r="H2144" i="3"/>
  <c r="H2145" i="3" a="1"/>
  <c r="H2145" i="3" s="1"/>
  <c r="H2146" i="3" a="1"/>
  <c r="H2146" i="3" s="1"/>
  <c r="H2147" i="3" a="1"/>
  <c r="H2147" i="3" s="1"/>
  <c r="H2148" i="3" a="1"/>
  <c r="H2148" i="3"/>
  <c r="H2149" i="3" a="1"/>
  <c r="H2149" i="3" s="1"/>
  <c r="H2150" i="3" a="1"/>
  <c r="H2150" i="3" s="1"/>
  <c r="H2151" i="3" a="1"/>
  <c r="H2151" i="3" s="1"/>
  <c r="H2152" i="3" a="1"/>
  <c r="H2152" i="3"/>
  <c r="H2153" i="3" a="1"/>
  <c r="H2153" i="3" s="1"/>
  <c r="H2154" i="3" a="1"/>
  <c r="H2154" i="3" s="1"/>
  <c r="H2155" i="3" a="1"/>
  <c r="H2155" i="3" s="1"/>
  <c r="H2156" i="3" a="1"/>
  <c r="H2156" i="3" s="1"/>
  <c r="H2157" i="3" a="1"/>
  <c r="H2157" i="3" s="1"/>
  <c r="H2158" i="3" a="1"/>
  <c r="H2158" i="3" s="1"/>
  <c r="H2159" i="3" a="1"/>
  <c r="H2159" i="3" s="1"/>
  <c r="H2160" i="3" a="1"/>
  <c r="H2160" i="3"/>
  <c r="H2161" i="3" a="1"/>
  <c r="H2161" i="3" s="1"/>
  <c r="H2162" i="3" a="1"/>
  <c r="H2162" i="3" s="1"/>
  <c r="H2163" i="3" a="1"/>
  <c r="H2163" i="3" s="1"/>
  <c r="H2164" i="3" a="1"/>
  <c r="H2164" i="3"/>
  <c r="H2165" i="3" a="1"/>
  <c r="H2165" i="3" s="1"/>
  <c r="H2166" i="3" a="1"/>
  <c r="H2166" i="3" s="1"/>
  <c r="H2167" i="3" a="1"/>
  <c r="H2167" i="3" s="1"/>
  <c r="H2168" i="3" a="1"/>
  <c r="H2168" i="3"/>
  <c r="H2169" i="3" a="1"/>
  <c r="H2169" i="3" s="1"/>
  <c r="H2170" i="3" a="1"/>
  <c r="H2170" i="3" s="1"/>
  <c r="H2171" i="3" a="1"/>
  <c r="H2171" i="3" s="1"/>
  <c r="H2172" i="3" a="1"/>
  <c r="H2172" i="3" s="1"/>
  <c r="H2173" i="3" a="1"/>
  <c r="H2173" i="3" s="1"/>
  <c r="H2174" i="3" a="1"/>
  <c r="H2174" i="3" s="1"/>
  <c r="H2175" i="3" a="1"/>
  <c r="H2175" i="3" s="1"/>
  <c r="H2176" i="3" a="1"/>
  <c r="H2176" i="3"/>
  <c r="H2177" i="3" a="1"/>
  <c r="H2177" i="3" s="1"/>
  <c r="H2178" i="3" a="1"/>
  <c r="H2178" i="3" s="1"/>
  <c r="H2179" i="3" a="1"/>
  <c r="H2179" i="3" s="1"/>
  <c r="H2180" i="3" a="1"/>
  <c r="H2180" i="3"/>
  <c r="H2181" i="3" a="1"/>
  <c r="H2181" i="3" s="1"/>
  <c r="H2182" i="3" a="1"/>
  <c r="H2182" i="3" s="1"/>
  <c r="H2183" i="3" a="1"/>
  <c r="H2183" i="3" s="1"/>
  <c r="H2184" i="3" a="1"/>
  <c r="H2184" i="3"/>
  <c r="H2185" i="3" a="1"/>
  <c r="H2185" i="3" s="1"/>
  <c r="H2186" i="3" a="1"/>
  <c r="H2186" i="3" s="1"/>
  <c r="H2187" i="3" a="1"/>
  <c r="H2187" i="3" s="1"/>
  <c r="H2188" i="3" a="1"/>
  <c r="H2188" i="3" s="1"/>
  <c r="H2189" i="3" a="1"/>
  <c r="H2189" i="3" s="1"/>
  <c r="H2190" i="3" a="1"/>
  <c r="H2190" i="3" s="1"/>
  <c r="H2191" i="3" a="1"/>
  <c r="H2191" i="3" s="1"/>
  <c r="H2192" i="3" a="1"/>
  <c r="H2192" i="3"/>
  <c r="H2193" i="3" a="1"/>
  <c r="H2193" i="3" s="1"/>
  <c r="H2194" i="3" a="1"/>
  <c r="H2194" i="3" s="1"/>
  <c r="H2195" i="3" a="1"/>
  <c r="H2195" i="3" s="1"/>
  <c r="H2196" i="3" a="1"/>
  <c r="H2196" i="3"/>
  <c r="H2197" i="3" a="1"/>
  <c r="H2197" i="3" s="1"/>
  <c r="H2198" i="3" a="1"/>
  <c r="H2198" i="3" s="1"/>
  <c r="H2199" i="3" a="1"/>
  <c r="H2199" i="3" s="1"/>
  <c r="H2200" i="3" a="1"/>
  <c r="H2200" i="3"/>
  <c r="H2201" i="3" a="1"/>
  <c r="H2201" i="3" s="1"/>
  <c r="H2202" i="3" a="1"/>
  <c r="H2202" i="3" s="1"/>
  <c r="H2203" i="3" a="1"/>
  <c r="H2203" i="3" s="1"/>
  <c r="H2204" i="3" a="1"/>
  <c r="H2204" i="3" s="1"/>
  <c r="H2205" i="3" a="1"/>
  <c r="H2205" i="3" s="1"/>
  <c r="H2206" i="3" a="1"/>
  <c r="H2206" i="3" s="1"/>
  <c r="H2207" i="3" a="1"/>
  <c r="H2207" i="3" s="1"/>
  <c r="H2208" i="3" a="1"/>
  <c r="H2208" i="3"/>
  <c r="H2209" i="3" a="1"/>
  <c r="H2209" i="3" s="1"/>
  <c r="H2210" i="3" a="1"/>
  <c r="H2210" i="3" s="1"/>
  <c r="H2211" i="3" a="1"/>
  <c r="H2211" i="3" s="1"/>
  <c r="H2212" i="3" a="1"/>
  <c r="H2212" i="3"/>
  <c r="H2213" i="3" a="1"/>
  <c r="H2213" i="3" s="1"/>
  <c r="H2214" i="3" a="1"/>
  <c r="H2214" i="3" s="1"/>
  <c r="H2215" i="3" a="1"/>
  <c r="H2215" i="3" s="1"/>
  <c r="H2216" i="3" a="1"/>
  <c r="H2216" i="3"/>
  <c r="H2217" i="3" a="1"/>
  <c r="H2217" i="3" s="1"/>
  <c r="H2218" i="3" a="1"/>
  <c r="H2218" i="3" s="1"/>
  <c r="H2219" i="3" a="1"/>
  <c r="H2219" i="3" s="1"/>
  <c r="H2220" i="3" a="1"/>
  <c r="H2220" i="3" s="1"/>
  <c r="H2221" i="3" a="1"/>
  <c r="H2221" i="3" s="1"/>
  <c r="H2222" i="3" a="1"/>
  <c r="H2222" i="3" s="1"/>
  <c r="H2223" i="3" a="1"/>
  <c r="H2223" i="3" s="1"/>
  <c r="H2224" i="3" a="1"/>
  <c r="H2224" i="3"/>
  <c r="H2225" i="3" a="1"/>
  <c r="H2225" i="3" s="1"/>
  <c r="H2226" i="3" a="1"/>
  <c r="H2226" i="3" s="1"/>
  <c r="H2227" i="3" a="1"/>
  <c r="H2227" i="3" s="1"/>
  <c r="H2228" i="3" a="1"/>
  <c r="H2228" i="3"/>
  <c r="H2229" i="3" a="1"/>
  <c r="H2229" i="3" s="1"/>
  <c r="H2230" i="3" a="1"/>
  <c r="H2230" i="3" s="1"/>
  <c r="H2231" i="3" a="1"/>
  <c r="H2231" i="3" s="1"/>
  <c r="H2232" i="3" a="1"/>
  <c r="H2232" i="3"/>
  <c r="H2233" i="3" a="1"/>
  <c r="H2233" i="3" s="1"/>
  <c r="H2234" i="3" a="1"/>
  <c r="H2234" i="3" s="1"/>
  <c r="H2235" i="3" a="1"/>
  <c r="H2235" i="3" s="1"/>
  <c r="H2236" i="3" a="1"/>
  <c r="H2236" i="3" s="1"/>
  <c r="H2237" i="3" a="1"/>
  <c r="H2237" i="3" s="1"/>
  <c r="H2238" i="3" a="1"/>
  <c r="H2238" i="3" s="1"/>
  <c r="H2239" i="3" a="1"/>
  <c r="H2239" i="3" s="1"/>
  <c r="H2240" i="3" a="1"/>
  <c r="H2240" i="3"/>
  <c r="H2241" i="3" a="1"/>
  <c r="H2241" i="3" s="1"/>
  <c r="H2242" i="3" a="1"/>
  <c r="H2242" i="3" s="1"/>
  <c r="H2243" i="3" a="1"/>
  <c r="H2243" i="3" s="1"/>
  <c r="H2244" i="3" a="1"/>
  <c r="H2244" i="3"/>
  <c r="H2245" i="3" a="1"/>
  <c r="H2245" i="3" s="1"/>
  <c r="H2246" i="3" a="1"/>
  <c r="H2246" i="3" s="1"/>
  <c r="H2247" i="3" a="1"/>
  <c r="H2247" i="3" s="1"/>
  <c r="H2248" i="3" a="1"/>
  <c r="H2248" i="3"/>
  <c r="H2249" i="3" a="1"/>
  <c r="H2249" i="3" s="1"/>
  <c r="H2250" i="3" a="1"/>
  <c r="H2250" i="3" s="1"/>
  <c r="H2251" i="3" a="1"/>
  <c r="H2251" i="3" s="1"/>
  <c r="H2252" i="3" a="1"/>
  <c r="H2252" i="3" s="1"/>
  <c r="H2253" i="3" a="1"/>
  <c r="H2253" i="3" s="1"/>
  <c r="H2254" i="3" a="1"/>
  <c r="H2254" i="3" s="1"/>
  <c r="H2255" i="3" a="1"/>
  <c r="H2255" i="3" s="1"/>
  <c r="H2256" i="3" a="1"/>
  <c r="H2256" i="3"/>
  <c r="H2257" i="3" a="1"/>
  <c r="H2257" i="3" s="1"/>
  <c r="H2258" i="3" a="1"/>
  <c r="H2258" i="3" s="1"/>
  <c r="H2259" i="3" a="1"/>
  <c r="H2259" i="3" s="1"/>
  <c r="H2260" i="3" a="1"/>
  <c r="H2260" i="3"/>
  <c r="H2261" i="3" a="1"/>
  <c r="H2261" i="3" s="1"/>
  <c r="H2262" i="3" a="1"/>
  <c r="H2262" i="3" s="1"/>
  <c r="H2263" i="3" a="1"/>
  <c r="H2263" i="3" s="1"/>
  <c r="H2264" i="3" a="1"/>
  <c r="H2264" i="3"/>
  <c r="H2265" i="3" a="1"/>
  <c r="H2265" i="3" s="1"/>
  <c r="H2266" i="3" a="1"/>
  <c r="H2266" i="3" s="1"/>
  <c r="H2267" i="3" a="1"/>
  <c r="H2267" i="3" s="1"/>
  <c r="H2268" i="3" a="1"/>
  <c r="H2268" i="3" s="1"/>
  <c r="H2269" i="3" a="1"/>
  <c r="H2269" i="3" s="1"/>
  <c r="H2270" i="3" a="1"/>
  <c r="H2270" i="3" s="1"/>
  <c r="H2271" i="3" a="1"/>
  <c r="H2271" i="3" s="1"/>
  <c r="H2272" i="3" a="1"/>
  <c r="H2272" i="3"/>
  <c r="H2273" i="3" a="1"/>
  <c r="H2273" i="3" s="1"/>
  <c r="H2274" i="3" a="1"/>
  <c r="H2274" i="3" s="1"/>
  <c r="H2275" i="3" a="1"/>
  <c r="H2275" i="3" s="1"/>
  <c r="H2276" i="3" a="1"/>
  <c r="H2276" i="3"/>
  <c r="H2277" i="3" a="1"/>
  <c r="H2277" i="3" s="1"/>
  <c r="H2278" i="3" a="1"/>
  <c r="H2278" i="3" s="1"/>
  <c r="H2279" i="3" a="1"/>
  <c r="H2279" i="3" s="1"/>
  <c r="H2280" i="3" a="1"/>
  <c r="H2280" i="3"/>
  <c r="H2281" i="3" a="1"/>
  <c r="H2281" i="3" s="1"/>
  <c r="H2282" i="3" a="1"/>
  <c r="H2282" i="3" s="1"/>
  <c r="H2283" i="3" a="1"/>
  <c r="H2283" i="3" s="1"/>
  <c r="H2284" i="3" a="1"/>
  <c r="H2284" i="3" s="1"/>
  <c r="H2285" i="3" a="1"/>
  <c r="H2285" i="3" s="1"/>
  <c r="H2286" i="3" a="1"/>
  <c r="H2286" i="3" s="1"/>
  <c r="H2287" i="3" a="1"/>
  <c r="H2287" i="3" s="1"/>
  <c r="H2288" i="3" a="1"/>
  <c r="H2288" i="3"/>
  <c r="H2289" i="3" a="1"/>
  <c r="H2289" i="3" s="1"/>
  <c r="H2290" i="3" a="1"/>
  <c r="H2290" i="3" s="1"/>
  <c r="H2291" i="3" a="1"/>
  <c r="H2291" i="3" s="1"/>
  <c r="H2292" i="3" a="1"/>
  <c r="H2292" i="3"/>
  <c r="H2293" i="3" a="1"/>
  <c r="H2293" i="3" s="1"/>
  <c r="H2294" i="3" a="1"/>
  <c r="H2294" i="3" s="1"/>
  <c r="H2295" i="3" a="1"/>
  <c r="H2295" i="3" s="1"/>
  <c r="H2296" i="3" a="1"/>
  <c r="H2296" i="3"/>
  <c r="H2297" i="3" a="1"/>
  <c r="H2297" i="3" s="1"/>
  <c r="H2298" i="3" a="1"/>
  <c r="H2298" i="3" s="1"/>
  <c r="H2299" i="3" a="1"/>
  <c r="H2299" i="3" s="1"/>
  <c r="H2300" i="3" a="1"/>
  <c r="H2300" i="3" s="1"/>
  <c r="H2301" i="3" a="1"/>
  <c r="H2301" i="3" s="1"/>
  <c r="H2302" i="3" a="1"/>
  <c r="H2302" i="3" s="1"/>
  <c r="H2303" i="3" a="1"/>
  <c r="H2303" i="3" s="1"/>
  <c r="H2304" i="3" a="1"/>
  <c r="H2304" i="3"/>
  <c r="H2305" i="3" a="1"/>
  <c r="H2305" i="3" s="1"/>
  <c r="H2306" i="3" a="1"/>
  <c r="H2306" i="3" s="1"/>
  <c r="H2307" i="3" a="1"/>
  <c r="H2307" i="3" s="1"/>
  <c r="H2308" i="3" a="1"/>
  <c r="H2308" i="3"/>
  <c r="H2309" i="3" a="1"/>
  <c r="H2309" i="3" s="1"/>
  <c r="H2310" i="3" a="1"/>
  <c r="H2310" i="3" s="1"/>
  <c r="H2311" i="3" a="1"/>
  <c r="H2311" i="3" s="1"/>
  <c r="H2312" i="3" a="1"/>
  <c r="H2312" i="3"/>
  <c r="H2313" i="3" a="1"/>
  <c r="H2313" i="3" s="1"/>
  <c r="H2314" i="3" a="1"/>
  <c r="H2314" i="3" s="1"/>
  <c r="H2315" i="3" a="1"/>
  <c r="H2315" i="3" s="1"/>
  <c r="H2316" i="3" a="1"/>
  <c r="H2316" i="3" s="1"/>
  <c r="H2317" i="3" a="1"/>
  <c r="H2317" i="3" s="1"/>
  <c r="H2318" i="3" a="1"/>
  <c r="H2318" i="3" s="1"/>
  <c r="H2319" i="3" a="1"/>
  <c r="H2319" i="3" s="1"/>
  <c r="H2320" i="3" a="1"/>
  <c r="H2320" i="3"/>
  <c r="H2321" i="3" a="1"/>
  <c r="H2321" i="3" s="1"/>
  <c r="H2322" i="3" a="1"/>
  <c r="H2322" i="3" s="1"/>
  <c r="H2323" i="3" a="1"/>
  <c r="H2323" i="3" s="1"/>
  <c r="H2324" i="3" a="1"/>
  <c r="H2324" i="3"/>
  <c r="H2325" i="3" a="1"/>
  <c r="H2325" i="3" s="1"/>
  <c r="H2326" i="3" a="1"/>
  <c r="H2326" i="3" s="1"/>
  <c r="H2327" i="3" a="1"/>
  <c r="H2327" i="3" s="1"/>
  <c r="H2328" i="3" a="1"/>
  <c r="H2328" i="3"/>
  <c r="H2329" i="3" a="1"/>
  <c r="H2329" i="3" s="1"/>
  <c r="H2330" i="3" a="1"/>
  <c r="H2330" i="3" s="1"/>
  <c r="H2331" i="3" a="1"/>
  <c r="H2331" i="3" s="1"/>
  <c r="H2332" i="3" a="1"/>
  <c r="H2332" i="3" s="1"/>
  <c r="H2333" i="3" a="1"/>
  <c r="H2333" i="3" s="1"/>
  <c r="H2334" i="3" a="1"/>
  <c r="H2334" i="3" s="1"/>
  <c r="H2335" i="3" a="1"/>
  <c r="H2335" i="3" s="1"/>
  <c r="H2336" i="3" a="1"/>
  <c r="H2336" i="3"/>
  <c r="H2337" i="3" a="1"/>
  <c r="H2337" i="3" s="1"/>
  <c r="H2338" i="3" a="1"/>
  <c r="H2338" i="3" s="1"/>
  <c r="H2339" i="3" a="1"/>
  <c r="H2339" i="3" s="1"/>
  <c r="H2340" i="3" a="1"/>
  <c r="H2340" i="3"/>
  <c r="H2341" i="3" a="1"/>
  <c r="H2341" i="3" s="1"/>
  <c r="H2342" i="3" a="1"/>
  <c r="H2342" i="3" s="1"/>
  <c r="H2343" i="3" a="1"/>
  <c r="H2343" i="3" s="1"/>
  <c r="H2344" i="3" a="1"/>
  <c r="H2344" i="3"/>
  <c r="H2345" i="3" a="1"/>
  <c r="H2345" i="3" s="1"/>
  <c r="H2346" i="3" a="1"/>
  <c r="H2346" i="3" s="1"/>
  <c r="H2347" i="3" a="1"/>
  <c r="H2347" i="3" s="1"/>
  <c r="H2348" i="3" a="1"/>
  <c r="H2348" i="3" s="1"/>
  <c r="H2349" i="3" a="1"/>
  <c r="H2349" i="3" s="1"/>
  <c r="H2350" i="3" a="1"/>
  <c r="H2350" i="3" s="1"/>
  <c r="H2351" i="3" a="1"/>
  <c r="H2351" i="3" s="1"/>
  <c r="H2352" i="3" a="1"/>
  <c r="H2352" i="3"/>
  <c r="H2353" i="3" a="1"/>
  <c r="H2353" i="3" s="1"/>
  <c r="H2354" i="3" a="1"/>
  <c r="H2354" i="3" s="1"/>
  <c r="H2355" i="3" a="1"/>
  <c r="H2355" i="3" s="1"/>
  <c r="H2356" i="3" a="1"/>
  <c r="H2356" i="3"/>
  <c r="H2357" i="3" a="1"/>
  <c r="H2357" i="3" s="1"/>
  <c r="H2358" i="3" a="1"/>
  <c r="H2358" i="3" s="1"/>
  <c r="H2359" i="3" a="1"/>
  <c r="H2359" i="3" s="1"/>
  <c r="H2360" i="3" a="1"/>
  <c r="H2360" i="3"/>
  <c r="H2361" i="3" a="1"/>
  <c r="H2361" i="3" s="1"/>
  <c r="H2362" i="3" a="1"/>
  <c r="H2362" i="3" s="1"/>
  <c r="H2363" i="3" a="1"/>
  <c r="H2363" i="3" s="1"/>
  <c r="H2364" i="3" a="1"/>
  <c r="H2364" i="3" s="1"/>
  <c r="H2365" i="3" a="1"/>
  <c r="H2365" i="3" s="1"/>
  <c r="H2366" i="3" a="1"/>
  <c r="H2366" i="3" s="1"/>
  <c r="H2367" i="3" a="1"/>
  <c r="H2367" i="3" s="1"/>
  <c r="H2368" i="3" a="1"/>
  <c r="H2368" i="3"/>
  <c r="H2369" i="3" a="1"/>
  <c r="H2369" i="3" s="1"/>
  <c r="H2370" i="3" a="1"/>
  <c r="H2370" i="3" s="1"/>
  <c r="H2371" i="3" a="1"/>
  <c r="H2371" i="3" s="1"/>
  <c r="H2372" i="3" a="1"/>
  <c r="H2372" i="3"/>
  <c r="H2373" i="3" a="1"/>
  <c r="H2373" i="3" s="1"/>
  <c r="H2374" i="3" a="1"/>
  <c r="H2374" i="3" s="1"/>
  <c r="H2375" i="3" a="1"/>
  <c r="H2375" i="3" s="1"/>
  <c r="H2376" i="3" a="1"/>
  <c r="H2376" i="3"/>
  <c r="H2377" i="3" a="1"/>
  <c r="H2377" i="3" s="1"/>
  <c r="H2378" i="3" a="1"/>
  <c r="H2378" i="3" s="1"/>
  <c r="H2379" i="3" a="1"/>
  <c r="H2379" i="3" s="1"/>
  <c r="H2380" i="3" a="1"/>
  <c r="H2380" i="3" s="1"/>
  <c r="H2381" i="3" a="1"/>
  <c r="H2381" i="3" s="1"/>
  <c r="H2382" i="3" a="1"/>
  <c r="H2382" i="3" s="1"/>
  <c r="H2383" i="3" a="1"/>
  <c r="H2383" i="3" s="1"/>
  <c r="H2384" i="3" a="1"/>
  <c r="H2384" i="3"/>
  <c r="H2385" i="3" a="1"/>
  <c r="H2385" i="3"/>
  <c r="H2386" i="3" a="1"/>
  <c r="H2386" i="3"/>
  <c r="H2387" i="3" a="1"/>
  <c r="H2387" i="3"/>
  <c r="H2388" i="3" a="1"/>
  <c r="H2388" i="3"/>
  <c r="H2389" i="3" a="1"/>
  <c r="H2389" i="3"/>
  <c r="H2390" i="3" a="1"/>
  <c r="H2390" i="3"/>
  <c r="H2391" i="3" a="1"/>
  <c r="H2391" i="3"/>
  <c r="H2392" i="3" a="1"/>
  <c r="H2392" i="3"/>
  <c r="H2393" i="3" a="1"/>
  <c r="H2393" i="3"/>
  <c r="H2394" i="3" a="1"/>
  <c r="H2394" i="3" s="1"/>
  <c r="H2395" i="3" a="1"/>
  <c r="H2395" i="3" s="1"/>
  <c r="H2396" i="3" a="1"/>
  <c r="H2396" i="3" s="1"/>
  <c r="H2397" i="3" a="1"/>
  <c r="H2397" i="3" s="1"/>
  <c r="H2398" i="3" a="1"/>
  <c r="H2398" i="3" s="1"/>
  <c r="H2399" i="3" a="1"/>
  <c r="H2399" i="3" s="1"/>
  <c r="H2400" i="3" a="1"/>
  <c r="H2400" i="3" s="1"/>
  <c r="H2401" i="3" a="1"/>
  <c r="H2401" i="3" s="1"/>
  <c r="H2402" i="3" a="1"/>
  <c r="H2402" i="3" s="1"/>
  <c r="H2403" i="3" a="1"/>
  <c r="H2403" i="3" s="1"/>
  <c r="H2404" i="3" a="1"/>
  <c r="H2404" i="3" s="1"/>
  <c r="H2405" i="3" a="1"/>
  <c r="H2405" i="3" s="1"/>
  <c r="H2406" i="3" a="1"/>
  <c r="H2406" i="3" s="1"/>
  <c r="H2407" i="3" a="1"/>
  <c r="H2407" i="3" s="1"/>
  <c r="H2408" i="3" a="1"/>
  <c r="H2408" i="3" s="1"/>
  <c r="H2409" i="3" a="1"/>
  <c r="H2409" i="3" s="1"/>
  <c r="H2410" i="3" a="1"/>
  <c r="H2410" i="3" s="1"/>
  <c r="H2411" i="3" a="1"/>
  <c r="H2411" i="3" s="1"/>
  <c r="H2412" i="3" a="1"/>
  <c r="H2412" i="3" s="1"/>
  <c r="H2413" i="3" a="1"/>
  <c r="H2413" i="3" s="1"/>
  <c r="H2414" i="3" a="1"/>
  <c r="H2414" i="3" s="1"/>
  <c r="H2415" i="3" a="1"/>
  <c r="H2415" i="3" s="1"/>
  <c r="H2416" i="3" a="1"/>
  <c r="H2416" i="3" s="1"/>
  <c r="H2417" i="3" a="1"/>
  <c r="H2417" i="3" s="1"/>
  <c r="H2418" i="3" a="1"/>
  <c r="H2418" i="3" s="1"/>
  <c r="H2419" i="3" a="1"/>
  <c r="H2419" i="3" s="1"/>
  <c r="H2420" i="3" a="1"/>
  <c r="H2420" i="3" s="1"/>
  <c r="H2421" i="3" a="1"/>
  <c r="H2421" i="3" s="1"/>
  <c r="H2422" i="3" a="1"/>
  <c r="H2422" i="3" s="1"/>
  <c r="H2423" i="3" a="1"/>
  <c r="H2423" i="3" s="1"/>
  <c r="H2424" i="3" a="1"/>
  <c r="H2424" i="3" s="1"/>
  <c r="H2425" i="3" a="1"/>
  <c r="H2425" i="3" s="1"/>
  <c r="H2426" i="3" a="1"/>
  <c r="H2426" i="3" s="1"/>
  <c r="H2427" i="3" a="1"/>
  <c r="H2427" i="3" s="1"/>
  <c r="H2428" i="3" a="1"/>
  <c r="H2428" i="3" s="1"/>
  <c r="H2429" i="3" a="1"/>
  <c r="H2429" i="3" s="1"/>
  <c r="H2430" i="3" a="1"/>
  <c r="H2430" i="3" s="1"/>
  <c r="H2431" i="3" a="1"/>
  <c r="H2431" i="3" s="1"/>
  <c r="H2432" i="3" a="1"/>
  <c r="H2432" i="3" s="1"/>
  <c r="H2433" i="3" a="1"/>
  <c r="H2433" i="3"/>
  <c r="H2434" i="3" a="1"/>
  <c r="H2434" i="3" s="1"/>
  <c r="H2435" i="3" a="1"/>
  <c r="H2435" i="3" s="1"/>
  <c r="H2436" i="3" a="1"/>
  <c r="H2436" i="3" s="1"/>
  <c r="H2437" i="3" a="1"/>
  <c r="H2437" i="3"/>
  <c r="H2438" i="3" a="1"/>
  <c r="H2438" i="3" s="1"/>
  <c r="H2439" i="3" a="1"/>
  <c r="H2439" i="3" s="1"/>
  <c r="H2440" i="3" a="1"/>
  <c r="H2440" i="3" s="1"/>
  <c r="H2441" i="3" a="1"/>
  <c r="H2441" i="3"/>
  <c r="H2442" i="3" a="1"/>
  <c r="H2442" i="3" s="1"/>
  <c r="H2443" i="3" a="1"/>
  <c r="H2443" i="3" s="1"/>
  <c r="H2444" i="3" a="1"/>
  <c r="H2444" i="3" s="1"/>
  <c r="H2445" i="3" a="1"/>
  <c r="H2445" i="3"/>
  <c r="H2446" i="3" a="1"/>
  <c r="H2446" i="3" s="1"/>
  <c r="H2447" i="3" a="1"/>
  <c r="H2447" i="3" s="1"/>
  <c r="H2448" i="3" a="1"/>
  <c r="H2448" i="3" s="1"/>
  <c r="H2449" i="3" a="1"/>
  <c r="H2449" i="3" s="1"/>
  <c r="H2450" i="3" a="1"/>
  <c r="H2450" i="3" s="1"/>
  <c r="H2451" i="3" a="1"/>
  <c r="H2451" i="3" s="1"/>
  <c r="H2452" i="3" a="1"/>
  <c r="H2452" i="3" s="1"/>
  <c r="H2453" i="3" a="1"/>
  <c r="H2453" i="3" s="1"/>
  <c r="H2454" i="3" a="1"/>
  <c r="H2454" i="3" s="1"/>
  <c r="H2455" i="3" a="1"/>
  <c r="H2455" i="3" s="1"/>
  <c r="H2456" i="3" a="1"/>
  <c r="H2456" i="3" s="1"/>
  <c r="H2457" i="3" a="1"/>
  <c r="H2457" i="3" s="1"/>
  <c r="H2458" i="3" a="1"/>
  <c r="H2458" i="3" s="1"/>
  <c r="H2459" i="3" a="1"/>
  <c r="H2459" i="3" s="1"/>
  <c r="H2460" i="3" a="1"/>
  <c r="H2460" i="3" s="1"/>
  <c r="H2461" i="3" a="1"/>
  <c r="H2461" i="3" s="1"/>
  <c r="H2462" i="3" a="1"/>
  <c r="H2462" i="3" s="1"/>
  <c r="H2463" i="3" a="1"/>
  <c r="H2463" i="3" s="1"/>
  <c r="H2464" i="3" a="1"/>
  <c r="H2464" i="3" s="1"/>
  <c r="H2465" i="3" a="1"/>
  <c r="H2465" i="3" s="1"/>
  <c r="H2466" i="3" a="1"/>
  <c r="H2466" i="3" s="1"/>
  <c r="H2467" i="3" a="1"/>
  <c r="H2467" i="3" s="1"/>
  <c r="H2468" i="3" a="1"/>
  <c r="H2468" i="3" s="1"/>
  <c r="H2469" i="3" a="1"/>
  <c r="H2469" i="3" s="1"/>
  <c r="H2470" i="3" a="1"/>
  <c r="H2470" i="3" s="1"/>
  <c r="H2471" i="3" a="1"/>
  <c r="H2471" i="3" s="1"/>
  <c r="H2472" i="3" a="1"/>
  <c r="H2472" i="3" s="1"/>
  <c r="H2473" i="3" a="1"/>
  <c r="H2473" i="3" s="1"/>
  <c r="H2474" i="3" a="1"/>
  <c r="H2474" i="3" s="1"/>
  <c r="H2475" i="3" a="1"/>
  <c r="H2475" i="3" s="1"/>
  <c r="H2476" i="3" a="1"/>
  <c r="H2476" i="3" s="1"/>
  <c r="H2477" i="3" a="1"/>
  <c r="H2477" i="3" s="1"/>
  <c r="H2478" i="3" a="1"/>
  <c r="H2478" i="3" s="1"/>
  <c r="H2479" i="3" a="1"/>
  <c r="H2479" i="3" s="1"/>
  <c r="H2480" i="3" a="1"/>
  <c r="H2480" i="3" s="1"/>
  <c r="H2481" i="3" a="1"/>
  <c r="H2481" i="3" s="1"/>
  <c r="H2482" i="3" a="1"/>
  <c r="H2482" i="3" s="1"/>
  <c r="H2483" i="3" a="1"/>
  <c r="H2483" i="3" s="1"/>
  <c r="H2484" i="3" a="1"/>
  <c r="H2484" i="3" s="1"/>
  <c r="H2485" i="3" a="1"/>
  <c r="H2485" i="3" s="1"/>
  <c r="H2486" i="3" a="1"/>
  <c r="H2486" i="3" s="1"/>
  <c r="H2487" i="3" a="1"/>
  <c r="H2487" i="3" s="1"/>
  <c r="H2488" i="3" a="1"/>
  <c r="H2488" i="3" s="1"/>
  <c r="H2489" i="3" a="1"/>
  <c r="H2489" i="3" s="1"/>
  <c r="H2490" i="3" a="1"/>
  <c r="H2490" i="3" s="1"/>
  <c r="H2491" i="3" a="1"/>
  <c r="H2491" i="3" s="1"/>
  <c r="H2492" i="3" a="1"/>
  <c r="H2492" i="3" s="1"/>
  <c r="H2493" i="3" a="1"/>
  <c r="H2493" i="3" s="1"/>
  <c r="H2494" i="3" a="1"/>
  <c r="H2494" i="3" s="1"/>
  <c r="H2495" i="3" a="1"/>
  <c r="H2495" i="3" s="1"/>
  <c r="H2496" i="3" a="1"/>
  <c r="H2496" i="3" s="1"/>
  <c r="H2497" i="3" a="1"/>
  <c r="H2497" i="3" s="1"/>
  <c r="H2498" i="3" a="1"/>
  <c r="H2498" i="3" s="1"/>
  <c r="H2499" i="3" a="1"/>
  <c r="H2499" i="3" s="1"/>
  <c r="H2500" i="3" a="1"/>
  <c r="H2500" i="3" s="1"/>
  <c r="H2501" i="3" a="1"/>
  <c r="H2501" i="3" s="1"/>
  <c r="H2502" i="3" a="1"/>
  <c r="H2502" i="3" s="1"/>
  <c r="H2503" i="3" a="1"/>
  <c r="H2503" i="3" s="1"/>
  <c r="H2504" i="3" a="1"/>
  <c r="H2504" i="3" s="1"/>
  <c r="H2505" i="3" a="1"/>
  <c r="H2505" i="3" s="1"/>
  <c r="H2506" i="3" a="1"/>
  <c r="H2506" i="3" s="1"/>
  <c r="H2507" i="3" a="1"/>
  <c r="H2507" i="3" s="1"/>
  <c r="H2508" i="3" a="1"/>
  <c r="H2508" i="3" s="1"/>
  <c r="H2509" i="3" a="1"/>
  <c r="H2509" i="3" s="1"/>
  <c r="H2510" i="3" a="1"/>
  <c r="H2510" i="3" s="1"/>
  <c r="H2511" i="3" a="1"/>
  <c r="H2511" i="3" s="1"/>
  <c r="H2512" i="3" a="1"/>
  <c r="H2512" i="3" s="1"/>
  <c r="H2513" i="3" a="1"/>
  <c r="H2513" i="3" s="1"/>
  <c r="H2514" i="3" a="1"/>
  <c r="H2514" i="3" s="1"/>
  <c r="H2515" i="3" a="1"/>
  <c r="H2515" i="3" s="1"/>
  <c r="H2516" i="3" a="1"/>
  <c r="H2516" i="3" s="1"/>
  <c r="H2517" i="3" a="1"/>
  <c r="H2517" i="3" s="1"/>
  <c r="H2518" i="3" a="1"/>
  <c r="H2518" i="3" s="1"/>
  <c r="H2519" i="3" a="1"/>
  <c r="H2519" i="3" s="1"/>
  <c r="H2520" i="3" a="1"/>
  <c r="H2520" i="3" s="1"/>
  <c r="H2521" i="3" a="1"/>
  <c r="H2521" i="3" s="1"/>
  <c r="H2522" i="3" a="1"/>
  <c r="H2522" i="3" s="1"/>
  <c r="H2523" i="3" a="1"/>
  <c r="H2523" i="3" s="1"/>
  <c r="H2524" i="3" a="1"/>
  <c r="H2524" i="3" s="1"/>
  <c r="H2525" i="3" a="1"/>
  <c r="H2525" i="3" s="1"/>
  <c r="H2526" i="3" a="1"/>
  <c r="H2526" i="3" s="1"/>
  <c r="H2527" i="3" a="1"/>
  <c r="H2527" i="3" s="1"/>
  <c r="H2528" i="3" a="1"/>
  <c r="H2528" i="3" s="1"/>
  <c r="H2529" i="3" a="1"/>
  <c r="H2529" i="3" s="1"/>
  <c r="H2530" i="3" a="1"/>
  <c r="H2530" i="3" s="1"/>
  <c r="H2531" i="3" a="1"/>
  <c r="H2531" i="3" s="1"/>
  <c r="H2532" i="3" a="1"/>
  <c r="H2532" i="3" s="1"/>
  <c r="H2533" i="3" a="1"/>
  <c r="H2533" i="3" s="1"/>
  <c r="H2534" i="3" a="1"/>
  <c r="H2534" i="3" s="1"/>
  <c r="H2535" i="3" a="1"/>
  <c r="H2535" i="3" s="1"/>
  <c r="H2536" i="3" a="1"/>
  <c r="H2536" i="3" s="1"/>
  <c r="H2537" i="3" a="1"/>
  <c r="H2537" i="3" s="1"/>
  <c r="H2538" i="3" a="1"/>
  <c r="H2538" i="3" s="1"/>
  <c r="H2539" i="3" a="1"/>
  <c r="H2539" i="3" s="1"/>
  <c r="H2540" i="3" a="1"/>
  <c r="H2540" i="3" s="1"/>
  <c r="H2541" i="3" a="1"/>
  <c r="H2541" i="3" s="1"/>
  <c r="H2542" i="3" a="1"/>
  <c r="H2542" i="3" s="1"/>
  <c r="H2543" i="3" a="1"/>
  <c r="H2543" i="3" s="1"/>
  <c r="H2544" i="3" a="1"/>
  <c r="H2544" i="3" s="1"/>
  <c r="H2545" i="3" a="1"/>
  <c r="H2545" i="3" s="1"/>
  <c r="H2546" i="3" a="1"/>
  <c r="H2546" i="3" s="1"/>
  <c r="H2547" i="3" a="1"/>
  <c r="H2547" i="3" s="1"/>
  <c r="H2548" i="3" a="1"/>
  <c r="H2548" i="3" s="1"/>
  <c r="H2549" i="3" a="1"/>
  <c r="H2549" i="3" s="1"/>
  <c r="H2550" i="3" a="1"/>
  <c r="H2550" i="3" s="1"/>
  <c r="H2551" i="3" a="1"/>
  <c r="H2551" i="3" s="1"/>
  <c r="H2552" i="3" a="1"/>
  <c r="H2552" i="3" s="1"/>
  <c r="H2553" i="3" a="1"/>
  <c r="H2553" i="3" s="1"/>
  <c r="H2554" i="3" a="1"/>
  <c r="H2554" i="3" s="1"/>
  <c r="H2555" i="3" a="1"/>
  <c r="H2555" i="3" s="1"/>
  <c r="H2556" i="3" a="1"/>
  <c r="H2556" i="3" s="1"/>
  <c r="H2557" i="3" a="1"/>
  <c r="H2557" i="3" s="1"/>
  <c r="H2558" i="3" a="1"/>
  <c r="H2558" i="3" s="1"/>
  <c r="H2559" i="3" a="1"/>
  <c r="H2559" i="3" s="1"/>
  <c r="H2560" i="3" a="1"/>
  <c r="H2560" i="3" s="1"/>
  <c r="H2561" i="3" a="1"/>
  <c r="H2561" i="3" s="1"/>
  <c r="H2562" i="3" a="1"/>
  <c r="H2562" i="3" s="1"/>
  <c r="H2563" i="3" a="1"/>
  <c r="H2563" i="3" s="1"/>
  <c r="H2564" i="3" a="1"/>
  <c r="H2564" i="3" s="1"/>
  <c r="H2565" i="3" a="1"/>
  <c r="H2565" i="3" s="1"/>
  <c r="H2566" i="3" a="1"/>
  <c r="H2566" i="3" s="1"/>
  <c r="H2567" i="3" a="1"/>
  <c r="H2567" i="3" s="1"/>
  <c r="H2568" i="3" a="1"/>
  <c r="H2568" i="3" s="1"/>
  <c r="H2569" i="3" a="1"/>
  <c r="H2569" i="3" s="1"/>
  <c r="H2570" i="3" a="1"/>
  <c r="H2570" i="3" s="1"/>
  <c r="H2571" i="3" a="1"/>
  <c r="H2571" i="3" s="1"/>
  <c r="H2572" i="3" a="1"/>
  <c r="H2572" i="3" s="1"/>
  <c r="H2573" i="3" a="1"/>
  <c r="H2573" i="3" s="1"/>
  <c r="H2574" i="3" a="1"/>
  <c r="H2574" i="3" s="1"/>
  <c r="H2575" i="3" a="1"/>
  <c r="H2575" i="3" s="1"/>
  <c r="H2576" i="3" a="1"/>
  <c r="H2576" i="3" s="1"/>
  <c r="H2577" i="3" a="1"/>
  <c r="H2577" i="3" s="1"/>
  <c r="H2578" i="3" a="1"/>
  <c r="H2578" i="3" s="1"/>
  <c r="H2579" i="3" a="1"/>
  <c r="H2579" i="3" s="1"/>
  <c r="H2580" i="3" a="1"/>
  <c r="H2580" i="3" s="1"/>
  <c r="H2581" i="3" a="1"/>
  <c r="H2581" i="3" s="1"/>
  <c r="H2582" i="3" a="1"/>
  <c r="H2582" i="3" s="1"/>
  <c r="H2583" i="3" a="1"/>
  <c r="H2583" i="3" s="1"/>
  <c r="H2584" i="3" a="1"/>
  <c r="H2584" i="3" s="1"/>
  <c r="H2585" i="3" a="1"/>
  <c r="H2585" i="3" s="1"/>
  <c r="H2586" i="3" a="1"/>
  <c r="H2586" i="3" s="1"/>
  <c r="H2587" i="3" a="1"/>
  <c r="H2587" i="3" s="1"/>
  <c r="H2588" i="3" a="1"/>
  <c r="H2588" i="3" s="1"/>
  <c r="H2589" i="3" a="1"/>
  <c r="H2589" i="3" s="1"/>
  <c r="H2590" i="3" a="1"/>
  <c r="H2590" i="3" s="1"/>
  <c r="H2591" i="3" a="1"/>
  <c r="H2591" i="3" s="1"/>
  <c r="H2592" i="3" a="1"/>
  <c r="H2592" i="3" s="1"/>
  <c r="H2593" i="3" a="1"/>
  <c r="H2593" i="3" s="1"/>
  <c r="H2594" i="3" a="1"/>
  <c r="H2594" i="3" s="1"/>
  <c r="H2595" i="3" a="1"/>
  <c r="H2595" i="3" s="1"/>
  <c r="H2596" i="3" a="1"/>
  <c r="H2596" i="3" s="1"/>
  <c r="H2597" i="3" a="1"/>
  <c r="H2597" i="3" s="1"/>
  <c r="H2598" i="3" a="1"/>
  <c r="H2598" i="3" s="1"/>
  <c r="H2599" i="3" a="1"/>
  <c r="H2599" i="3" s="1"/>
  <c r="H2600" i="3" a="1"/>
  <c r="H2600" i="3" s="1"/>
  <c r="H2601" i="3" a="1"/>
  <c r="H2601" i="3" s="1"/>
  <c r="H2602" i="3" a="1"/>
  <c r="H2602" i="3" s="1"/>
  <c r="H2603" i="3" a="1"/>
  <c r="H2603" i="3" s="1"/>
  <c r="H2604" i="3" a="1"/>
  <c r="H2604" i="3" s="1"/>
  <c r="H2605" i="3" a="1"/>
  <c r="H2605" i="3" s="1"/>
  <c r="H2606" i="3" a="1"/>
  <c r="H2606" i="3" s="1"/>
  <c r="H2607" i="3" a="1"/>
  <c r="H2607" i="3" s="1"/>
  <c r="H2608" i="3" a="1"/>
  <c r="H2608" i="3" s="1"/>
  <c r="H2609" i="3" a="1"/>
  <c r="H2609" i="3" s="1"/>
  <c r="H2610" i="3" a="1"/>
  <c r="H2610" i="3" s="1"/>
  <c r="H2611" i="3" a="1"/>
  <c r="H2611" i="3" s="1"/>
  <c r="H2612" i="3" a="1"/>
  <c r="H2612" i="3" s="1"/>
  <c r="H2613" i="3" a="1"/>
  <c r="H2613" i="3" s="1"/>
  <c r="H2614" i="3" a="1"/>
  <c r="H2614" i="3" s="1"/>
  <c r="H2615" i="3" a="1"/>
  <c r="H2615" i="3" s="1"/>
  <c r="H2616" i="3" a="1"/>
  <c r="H2616" i="3" s="1"/>
  <c r="H2617" i="3" a="1"/>
  <c r="H2617" i="3" s="1"/>
  <c r="H2618" i="3" a="1"/>
  <c r="H2618" i="3" s="1"/>
  <c r="H2619" i="3" a="1"/>
  <c r="H2619" i="3" s="1"/>
  <c r="H2620" i="3" a="1"/>
  <c r="H2620" i="3" s="1"/>
  <c r="H2621" i="3" a="1"/>
  <c r="H2621" i="3" s="1"/>
  <c r="H2622" i="3" a="1"/>
  <c r="H2622" i="3" s="1"/>
  <c r="H2623" i="3" a="1"/>
  <c r="H2623" i="3" s="1"/>
  <c r="H2624" i="3" a="1"/>
  <c r="H2624" i="3" s="1"/>
  <c r="H2625" i="3" a="1"/>
  <c r="H2625" i="3" s="1"/>
  <c r="H2626" i="3" a="1"/>
  <c r="H2626" i="3" s="1"/>
  <c r="H2627" i="3" a="1"/>
  <c r="H2627" i="3" s="1"/>
  <c r="H2628" i="3" a="1"/>
  <c r="H2628" i="3" s="1"/>
  <c r="H2629" i="3" a="1"/>
  <c r="H2629" i="3" s="1"/>
  <c r="H2630" i="3" a="1"/>
  <c r="H2630" i="3" s="1"/>
  <c r="H2631" i="3" a="1"/>
  <c r="H2631" i="3" s="1"/>
  <c r="H2632" i="3" a="1"/>
  <c r="H2632" i="3" s="1"/>
  <c r="H2633" i="3" a="1"/>
  <c r="H2633" i="3" s="1"/>
  <c r="H2634" i="3" a="1"/>
  <c r="H2634" i="3" s="1"/>
  <c r="H2635" i="3" a="1"/>
  <c r="H2635" i="3" s="1"/>
  <c r="H2636" i="3" a="1"/>
  <c r="H2636" i="3" s="1"/>
  <c r="H2637" i="3" a="1"/>
  <c r="H2637" i="3" s="1"/>
  <c r="H2638" i="3" a="1"/>
  <c r="H2638" i="3" s="1"/>
  <c r="H2639" i="3" a="1"/>
  <c r="H2639" i="3" s="1"/>
  <c r="H2640" i="3" a="1"/>
  <c r="H2640" i="3" s="1"/>
  <c r="H2641" i="3" a="1"/>
  <c r="H2641" i="3" s="1"/>
  <c r="H2642" i="3" a="1"/>
  <c r="H2642" i="3" s="1"/>
  <c r="H2643" i="3" a="1"/>
  <c r="H2643" i="3" s="1"/>
  <c r="H2644" i="3" a="1"/>
  <c r="H2644" i="3" s="1"/>
  <c r="H2645" i="3" a="1"/>
  <c r="H2645" i="3" s="1"/>
  <c r="H2646" i="3" a="1"/>
  <c r="H2646" i="3" s="1"/>
  <c r="H2647" i="3" a="1"/>
  <c r="H2647" i="3" s="1"/>
  <c r="H2648" i="3" a="1"/>
  <c r="H2648" i="3" s="1"/>
  <c r="H2649" i="3" a="1"/>
  <c r="H2649" i="3" s="1"/>
  <c r="H2650" i="3" a="1"/>
  <c r="H2650" i="3" s="1"/>
  <c r="H2651" i="3" a="1"/>
  <c r="H2651" i="3" s="1"/>
  <c r="H2652" i="3" a="1"/>
  <c r="H2652" i="3" s="1"/>
  <c r="H2653" i="3" a="1"/>
  <c r="H2653" i="3" s="1"/>
  <c r="H2654" i="3" a="1"/>
  <c r="H2654" i="3" s="1"/>
  <c r="H2655" i="3" a="1"/>
  <c r="H2655" i="3" s="1"/>
  <c r="H2656" i="3" a="1"/>
  <c r="H2656" i="3" s="1"/>
  <c r="H2657" i="3" a="1"/>
  <c r="H2657" i="3" s="1"/>
  <c r="H2658" i="3" a="1"/>
  <c r="H2658" i="3" s="1"/>
  <c r="H2659" i="3" a="1"/>
  <c r="H2659" i="3" s="1"/>
  <c r="H2660" i="3" a="1"/>
  <c r="H2660" i="3" s="1"/>
  <c r="H2661" i="3" a="1"/>
  <c r="H2661" i="3" s="1"/>
  <c r="H2662" i="3" a="1"/>
  <c r="H2662" i="3" s="1"/>
  <c r="H2663" i="3" a="1"/>
  <c r="H2663" i="3" s="1"/>
  <c r="H2664" i="3" a="1"/>
  <c r="H2664" i="3" s="1"/>
  <c r="H2665" i="3" a="1"/>
  <c r="H2665" i="3" s="1"/>
  <c r="H2666" i="3" a="1"/>
  <c r="H2666" i="3" s="1"/>
  <c r="H2667" i="3" a="1"/>
  <c r="H2667" i="3" s="1"/>
  <c r="H2668" i="3" a="1"/>
  <c r="H2668" i="3" s="1"/>
  <c r="H2669" i="3" a="1"/>
  <c r="H2669" i="3" s="1"/>
  <c r="H2670" i="3" a="1"/>
  <c r="H2670" i="3" s="1"/>
  <c r="H2671" i="3" a="1"/>
  <c r="H2671" i="3" s="1"/>
  <c r="H2672" i="3" a="1"/>
  <c r="H2672" i="3" s="1"/>
  <c r="H2673" i="3" a="1"/>
  <c r="H2673" i="3" s="1"/>
  <c r="H2674" i="3" a="1"/>
  <c r="H2674" i="3" s="1"/>
  <c r="H2675" i="3" a="1"/>
  <c r="H2675" i="3" s="1"/>
  <c r="H2676" i="3" a="1"/>
  <c r="H2676" i="3" s="1"/>
  <c r="H2677" i="3" a="1"/>
  <c r="H2677" i="3" s="1"/>
  <c r="H2678" i="3" a="1"/>
  <c r="H2678" i="3" s="1"/>
  <c r="H2679" i="3" a="1"/>
  <c r="H2679" i="3" s="1"/>
  <c r="H2680" i="3" a="1"/>
  <c r="H2680" i="3" s="1"/>
  <c r="H2681" i="3" a="1"/>
  <c r="H2681" i="3" s="1"/>
  <c r="H2682" i="3" a="1"/>
  <c r="H2682" i="3" s="1"/>
  <c r="H2683" i="3" a="1"/>
  <c r="H2683" i="3" s="1"/>
  <c r="H2684" i="3" a="1"/>
  <c r="H2684" i="3" s="1"/>
  <c r="H2685" i="3" a="1"/>
  <c r="H2685" i="3" s="1"/>
  <c r="H2686" i="3" a="1"/>
  <c r="H2686" i="3" s="1"/>
  <c r="H2687" i="3" a="1"/>
  <c r="H2687" i="3" s="1"/>
  <c r="H2688" i="3" a="1"/>
  <c r="H2688" i="3" s="1"/>
  <c r="H2689" i="3" a="1"/>
  <c r="H2689" i="3" s="1"/>
  <c r="H2690" i="3" a="1"/>
  <c r="H2690" i="3" s="1"/>
  <c r="H2691" i="3" a="1"/>
  <c r="H2691" i="3" s="1"/>
  <c r="H2692" i="3" a="1"/>
  <c r="H2692" i="3" s="1"/>
  <c r="H2693" i="3" a="1"/>
  <c r="H2693" i="3" s="1"/>
  <c r="H2694" i="3" a="1"/>
  <c r="H2694" i="3" s="1"/>
  <c r="H2695" i="3" a="1"/>
  <c r="H2695" i="3" s="1"/>
  <c r="H2696" i="3" a="1"/>
  <c r="H2696" i="3" s="1"/>
  <c r="H2697" i="3" a="1"/>
  <c r="H2697" i="3" s="1"/>
  <c r="H2698" i="3" a="1"/>
  <c r="H2698" i="3" s="1"/>
  <c r="H2699" i="3" a="1"/>
  <c r="H2699" i="3" s="1"/>
  <c r="H2700" i="3" a="1"/>
  <c r="H2700" i="3" s="1"/>
  <c r="H2701" i="3" a="1"/>
  <c r="H2701" i="3" s="1"/>
  <c r="H2702" i="3" a="1"/>
  <c r="H2702" i="3" s="1"/>
  <c r="H2703" i="3" a="1"/>
  <c r="H2703" i="3" s="1"/>
  <c r="H2704" i="3" a="1"/>
  <c r="H2704" i="3" s="1"/>
  <c r="H2705" i="3" a="1"/>
  <c r="H2705" i="3" s="1"/>
  <c r="H2706" i="3" a="1"/>
  <c r="H2706" i="3" s="1"/>
  <c r="H2707" i="3" a="1"/>
  <c r="H2707" i="3" s="1"/>
  <c r="H2708" i="3" a="1"/>
  <c r="H2708" i="3" s="1"/>
  <c r="H2709" i="3" a="1"/>
  <c r="H2709" i="3" s="1"/>
  <c r="H2710" i="3" a="1"/>
  <c r="H2710" i="3" s="1"/>
  <c r="H2711" i="3" a="1"/>
  <c r="H2711" i="3" s="1"/>
  <c r="H2712" i="3" a="1"/>
  <c r="H2712" i="3" s="1"/>
  <c r="H2713" i="3" a="1"/>
  <c r="H2713" i="3" s="1"/>
  <c r="H2714" i="3" a="1"/>
  <c r="H2714" i="3" s="1"/>
  <c r="H2715" i="3" a="1"/>
  <c r="H2715" i="3" s="1"/>
  <c r="H2716" i="3" a="1"/>
  <c r="H2716" i="3" s="1"/>
  <c r="H2717" i="3" a="1"/>
  <c r="H2717" i="3" s="1"/>
  <c r="H2718" i="3" a="1"/>
  <c r="H2718" i="3" s="1"/>
  <c r="H2719" i="3" a="1"/>
  <c r="H2719" i="3" s="1"/>
  <c r="H2720" i="3" a="1"/>
  <c r="H2720" i="3" s="1"/>
  <c r="H2721" i="3" a="1"/>
  <c r="H2721" i="3" s="1"/>
  <c r="H2722" i="3" a="1"/>
  <c r="H2722" i="3" s="1"/>
  <c r="H2723" i="3" a="1"/>
  <c r="H2723" i="3" s="1"/>
  <c r="H2724" i="3" a="1"/>
  <c r="H2724" i="3" s="1"/>
  <c r="H2725" i="3" a="1"/>
  <c r="H2725" i="3" s="1"/>
  <c r="H2726" i="3" a="1"/>
  <c r="H2726" i="3" s="1"/>
  <c r="H2727" i="3" a="1"/>
  <c r="H2727" i="3" s="1"/>
  <c r="H2728" i="3" a="1"/>
  <c r="H2728" i="3" s="1"/>
  <c r="H2729" i="3" a="1"/>
  <c r="H2729" i="3" s="1"/>
  <c r="H2730" i="3" a="1"/>
  <c r="H2730" i="3" s="1"/>
  <c r="H2731" i="3" a="1"/>
  <c r="H2731" i="3" s="1"/>
  <c r="H2732" i="3" a="1"/>
  <c r="H2732" i="3" s="1"/>
  <c r="H2733" i="3" a="1"/>
  <c r="H2733" i="3" s="1"/>
  <c r="H2734" i="3" a="1"/>
  <c r="H2734" i="3" s="1"/>
  <c r="H2735" i="3" a="1"/>
  <c r="H2735" i="3" s="1"/>
  <c r="H2736" i="3" a="1"/>
  <c r="H2736" i="3" s="1"/>
  <c r="H2737" i="3" a="1"/>
  <c r="H2737" i="3" s="1"/>
  <c r="H2738" i="3" a="1"/>
  <c r="H2738" i="3" s="1"/>
  <c r="H2739" i="3" a="1"/>
  <c r="H2739" i="3" s="1"/>
  <c r="H2740" i="3" a="1"/>
  <c r="H2740" i="3" s="1"/>
  <c r="H2741" i="3" a="1"/>
  <c r="H2741" i="3" s="1"/>
  <c r="H2742" i="3" a="1"/>
  <c r="H2742" i="3" s="1"/>
  <c r="H2743" i="3" a="1"/>
  <c r="H2743" i="3" s="1"/>
  <c r="H2744" i="3" a="1"/>
  <c r="H2744" i="3" s="1"/>
  <c r="H2745" i="3" a="1"/>
  <c r="H2745" i="3" s="1"/>
  <c r="H2746" i="3" a="1"/>
  <c r="H2746" i="3" s="1"/>
  <c r="H2747" i="3" a="1"/>
  <c r="H2747" i="3" s="1"/>
  <c r="H2748" i="3" a="1"/>
  <c r="H2748" i="3" s="1"/>
  <c r="H2749" i="3" a="1"/>
  <c r="H2749" i="3" s="1"/>
  <c r="H2750" i="3" a="1"/>
  <c r="H2750" i="3" s="1"/>
  <c r="H2751" i="3" a="1"/>
  <c r="H2751" i="3" s="1"/>
  <c r="H2752" i="3" a="1"/>
  <c r="H2752" i="3" s="1"/>
  <c r="H2753" i="3" a="1"/>
  <c r="H2753" i="3" s="1"/>
  <c r="H2754" i="3" a="1"/>
  <c r="H2754" i="3" s="1"/>
  <c r="H2755" i="3" a="1"/>
  <c r="H2755" i="3" s="1"/>
  <c r="H2756" i="3" a="1"/>
  <c r="H2756" i="3" s="1"/>
  <c r="H2757" i="3" a="1"/>
  <c r="H2757" i="3" s="1"/>
  <c r="H2758" i="3" a="1"/>
  <c r="H2758" i="3" s="1"/>
  <c r="H2759" i="3" a="1"/>
  <c r="H2759" i="3" s="1"/>
  <c r="H2760" i="3" a="1"/>
  <c r="H2760" i="3" s="1"/>
  <c r="H2761" i="3" a="1"/>
  <c r="H2761" i="3" s="1"/>
  <c r="H2762" i="3" a="1"/>
  <c r="H2762" i="3" s="1"/>
  <c r="H2763" i="3" a="1"/>
  <c r="H2763" i="3" s="1"/>
  <c r="H2764" i="3" a="1"/>
  <c r="H2764" i="3" s="1"/>
  <c r="H2765" i="3" a="1"/>
  <c r="H2765" i="3" s="1"/>
  <c r="H2766" i="3" a="1"/>
  <c r="H2766" i="3" s="1"/>
  <c r="H2767" i="3" a="1"/>
  <c r="H2767" i="3" s="1"/>
  <c r="H2768" i="3" a="1"/>
  <c r="H2768" i="3" s="1"/>
  <c r="H2769" i="3" a="1"/>
  <c r="H2769" i="3" s="1"/>
  <c r="H2770" i="3" a="1"/>
  <c r="H2770" i="3" s="1"/>
  <c r="H2771" i="3" a="1"/>
  <c r="H2771" i="3" s="1"/>
  <c r="H2772" i="3" a="1"/>
  <c r="H2772" i="3" s="1"/>
  <c r="H2773" i="3" a="1"/>
  <c r="H2773" i="3" s="1"/>
  <c r="H2774" i="3" a="1"/>
  <c r="H2774" i="3" s="1"/>
  <c r="H2775" i="3" a="1"/>
  <c r="H2775" i="3" s="1"/>
  <c r="H2776" i="3" a="1"/>
  <c r="H2776" i="3" s="1"/>
  <c r="H2777" i="3" a="1"/>
  <c r="H2777" i="3" s="1"/>
  <c r="H2778" i="3" a="1"/>
  <c r="H2778" i="3" s="1"/>
  <c r="H2779" i="3" a="1"/>
  <c r="H2779" i="3" s="1"/>
  <c r="H2780" i="3" a="1"/>
  <c r="H2780" i="3" s="1"/>
  <c r="H2781" i="3" a="1"/>
  <c r="H2781" i="3" s="1"/>
  <c r="H2782" i="3" a="1"/>
  <c r="H2782" i="3" s="1"/>
  <c r="H2783" i="3" a="1"/>
  <c r="H2783" i="3" s="1"/>
  <c r="H2784" i="3" a="1"/>
  <c r="H2784" i="3" s="1"/>
  <c r="H2785" i="3" a="1"/>
  <c r="H2785" i="3" s="1"/>
  <c r="H2786" i="3" a="1"/>
  <c r="H2786" i="3" s="1"/>
  <c r="H2787" i="3" a="1"/>
  <c r="H2787" i="3" s="1"/>
  <c r="H2788" i="3" a="1"/>
  <c r="H2788" i="3" s="1"/>
  <c r="H2789" i="3" a="1"/>
  <c r="H2789" i="3" s="1"/>
  <c r="H2790" i="3" a="1"/>
  <c r="H2790" i="3" s="1"/>
  <c r="H2791" i="3" a="1"/>
  <c r="H2791" i="3" s="1"/>
  <c r="H2792" i="3" a="1"/>
  <c r="H2792" i="3" s="1"/>
  <c r="H2793" i="3" a="1"/>
  <c r="H2793" i="3" s="1"/>
  <c r="H2794" i="3" a="1"/>
  <c r="H2794" i="3" s="1"/>
  <c r="H2795" i="3" a="1"/>
  <c r="H2795" i="3" s="1"/>
  <c r="H2796" i="3" a="1"/>
  <c r="H2796" i="3" s="1"/>
  <c r="H2797" i="3" a="1"/>
  <c r="H2797" i="3" s="1"/>
  <c r="H2798" i="3" a="1"/>
  <c r="H2798" i="3" s="1"/>
  <c r="H2799" i="3" a="1"/>
  <c r="H2799" i="3" s="1"/>
  <c r="H2800" i="3" a="1"/>
  <c r="H2800" i="3" s="1"/>
  <c r="H2801" i="3" a="1"/>
  <c r="H2801" i="3" s="1"/>
  <c r="H2802" i="3" a="1"/>
  <c r="H2802" i="3" s="1"/>
  <c r="H2803" i="3" a="1"/>
  <c r="H2803" i="3" s="1"/>
  <c r="H2804" i="3" a="1"/>
  <c r="H2804" i="3" s="1"/>
  <c r="H2805" i="3" a="1"/>
  <c r="H2805" i="3" s="1"/>
  <c r="H2806" i="3" a="1"/>
  <c r="H2806" i="3" s="1"/>
  <c r="H2807" i="3" a="1"/>
  <c r="H2807" i="3" s="1"/>
  <c r="H2808" i="3" a="1"/>
  <c r="H2808" i="3" s="1"/>
  <c r="H2809" i="3" a="1"/>
  <c r="H2809" i="3" s="1"/>
  <c r="H2810" i="3" a="1"/>
  <c r="H2810" i="3" s="1"/>
  <c r="H2811" i="3" a="1"/>
  <c r="H2811" i="3" s="1"/>
  <c r="H2812" i="3" a="1"/>
  <c r="H2812" i="3" s="1"/>
  <c r="H2813" i="3" a="1"/>
  <c r="H2813" i="3" s="1"/>
  <c r="H2814" i="3" a="1"/>
  <c r="H2814" i="3" s="1"/>
  <c r="H2815" i="3" a="1"/>
  <c r="H2815" i="3" s="1"/>
  <c r="H2816" i="3" a="1"/>
  <c r="H2816" i="3" s="1"/>
  <c r="H2817" i="3" a="1"/>
  <c r="H2817" i="3" s="1"/>
  <c r="H2818" i="3" a="1"/>
  <c r="H2818" i="3" s="1"/>
  <c r="H2819" i="3" a="1"/>
  <c r="H2819" i="3" s="1"/>
  <c r="H2820" i="3" a="1"/>
  <c r="H2820" i="3" s="1"/>
  <c r="H2821" i="3" a="1"/>
  <c r="H2821" i="3" s="1"/>
  <c r="H2822" i="3" a="1"/>
  <c r="H2822" i="3" s="1"/>
  <c r="H2823" i="3" a="1"/>
  <c r="H2823" i="3" s="1"/>
  <c r="H2824" i="3" a="1"/>
  <c r="H2824" i="3" s="1"/>
  <c r="H2825" i="3" a="1"/>
  <c r="H2825" i="3" s="1"/>
  <c r="H2826" i="3" a="1"/>
  <c r="H2826" i="3" s="1"/>
  <c r="H2827" i="3" a="1"/>
  <c r="H2827" i="3" s="1"/>
  <c r="H2828" i="3" a="1"/>
  <c r="H2828" i="3" s="1"/>
  <c r="H2829" i="3" a="1"/>
  <c r="H2829" i="3" s="1"/>
  <c r="H2830" i="3" a="1"/>
  <c r="H2830" i="3" s="1"/>
  <c r="H2831" i="3" a="1"/>
  <c r="H2831" i="3" s="1"/>
  <c r="H2832" i="3" a="1"/>
  <c r="H2832" i="3" s="1"/>
  <c r="H2833" i="3" a="1"/>
  <c r="H2833" i="3" s="1"/>
  <c r="H2834" i="3" a="1"/>
  <c r="H2834" i="3" s="1"/>
  <c r="H2835" i="3" a="1"/>
  <c r="H2835" i="3" s="1"/>
  <c r="H2836" i="3" a="1"/>
  <c r="H2836" i="3" s="1"/>
  <c r="H2837" i="3" a="1"/>
  <c r="H2837" i="3" s="1"/>
  <c r="H2838" i="3" a="1"/>
  <c r="H2838" i="3" s="1"/>
  <c r="H2839" i="3" a="1"/>
  <c r="H2839" i="3" s="1"/>
  <c r="H2840" i="3" a="1"/>
  <c r="H2840" i="3" s="1"/>
  <c r="H2841" i="3" a="1"/>
  <c r="H2841" i="3" s="1"/>
  <c r="H2842" i="3" a="1"/>
  <c r="H2842" i="3" s="1"/>
  <c r="H2843" i="3" a="1"/>
  <c r="H2843" i="3" s="1"/>
  <c r="H2844" i="3" a="1"/>
  <c r="H2844" i="3" s="1"/>
  <c r="H2845" i="3" a="1"/>
  <c r="H2845" i="3" s="1"/>
  <c r="H2846" i="3" a="1"/>
  <c r="H2846" i="3" s="1"/>
  <c r="H2847" i="3" a="1"/>
  <c r="H2847" i="3" s="1"/>
  <c r="H2848" i="3" a="1"/>
  <c r="H2848" i="3" s="1"/>
  <c r="H2849" i="3" a="1"/>
  <c r="H2849" i="3" s="1"/>
  <c r="H2850" i="3" a="1"/>
  <c r="H2850" i="3" s="1"/>
  <c r="H2851" i="3" a="1"/>
  <c r="H2851" i="3" s="1"/>
  <c r="H2852" i="3" a="1"/>
  <c r="H2852" i="3" s="1"/>
  <c r="H2853" i="3" a="1"/>
  <c r="H2853" i="3" s="1"/>
  <c r="H2854" i="3" a="1"/>
  <c r="H2854" i="3" s="1"/>
  <c r="H2855" i="3" a="1"/>
  <c r="H2855" i="3" s="1"/>
  <c r="H2856" i="3" a="1"/>
  <c r="H2856" i="3" s="1"/>
  <c r="H2857" i="3" a="1"/>
  <c r="H2857" i="3" s="1"/>
  <c r="H2858" i="3" a="1"/>
  <c r="H2858" i="3" s="1"/>
  <c r="H2859" i="3" a="1"/>
  <c r="H2859" i="3" s="1"/>
  <c r="H2860" i="3" a="1"/>
  <c r="H2860" i="3" s="1"/>
  <c r="H2861" i="3" a="1"/>
  <c r="H2861" i="3" s="1"/>
  <c r="H2862" i="3" a="1"/>
  <c r="H2862" i="3" s="1"/>
  <c r="H2863" i="3" a="1"/>
  <c r="H2863" i="3" s="1"/>
  <c r="H2864" i="3" a="1"/>
  <c r="H2864" i="3" s="1"/>
  <c r="H2865" i="3" a="1"/>
  <c r="H2865" i="3" s="1"/>
  <c r="H2866" i="3" a="1"/>
  <c r="H2866" i="3" s="1"/>
  <c r="H2867" i="3" a="1"/>
  <c r="H2867" i="3" s="1"/>
  <c r="H2868" i="3" a="1"/>
  <c r="H2868" i="3" s="1"/>
  <c r="H2869" i="3" a="1"/>
  <c r="H2869" i="3" s="1"/>
  <c r="H2870" i="3" a="1"/>
  <c r="H2870" i="3" s="1"/>
  <c r="H2871" i="3" a="1"/>
  <c r="H2871" i="3" s="1"/>
  <c r="H2872" i="3" a="1"/>
  <c r="H2872" i="3" s="1"/>
  <c r="H2873" i="3" a="1"/>
  <c r="H2873" i="3" s="1"/>
  <c r="H2874" i="3" a="1"/>
  <c r="H2874" i="3" s="1"/>
  <c r="H2875" i="3" a="1"/>
  <c r="H2875" i="3" s="1"/>
  <c r="H2876" i="3" a="1"/>
  <c r="H2876" i="3" s="1"/>
  <c r="H2877" i="3" a="1"/>
  <c r="H2877" i="3" s="1"/>
  <c r="H2878" i="3" a="1"/>
  <c r="H2878" i="3" s="1"/>
  <c r="H2879" i="3" a="1"/>
  <c r="H2879" i="3" s="1"/>
  <c r="H2880" i="3" a="1"/>
  <c r="H2880" i="3" s="1"/>
  <c r="H2881" i="3" a="1"/>
  <c r="H2881" i="3" s="1"/>
  <c r="H2882" i="3" a="1"/>
  <c r="H2882" i="3" s="1"/>
  <c r="H2883" i="3" a="1"/>
  <c r="H2883" i="3" s="1"/>
  <c r="H2884" i="3" a="1"/>
  <c r="H2884" i="3" s="1"/>
  <c r="H2885" i="3" a="1"/>
  <c r="H2885" i="3" s="1"/>
  <c r="H2886" i="3" a="1"/>
  <c r="H2886" i="3" s="1"/>
  <c r="H2887" i="3" a="1"/>
  <c r="H2887" i="3" s="1"/>
  <c r="H2888" i="3" a="1"/>
  <c r="H2888" i="3" s="1"/>
  <c r="H2889" i="3" a="1"/>
  <c r="H2889" i="3" s="1"/>
  <c r="H2890" i="3" a="1"/>
  <c r="H2890" i="3" s="1"/>
  <c r="H2891" i="3" a="1"/>
  <c r="H2891" i="3" s="1"/>
  <c r="H2892" i="3" a="1"/>
  <c r="H2892" i="3" s="1"/>
  <c r="H2893" i="3" a="1"/>
  <c r="H2893" i="3" s="1"/>
  <c r="H2894" i="3" a="1"/>
  <c r="H2894" i="3" s="1"/>
  <c r="H2895" i="3" a="1"/>
  <c r="H2895" i="3" s="1"/>
  <c r="H2896" i="3" a="1"/>
  <c r="H2896" i="3" s="1"/>
  <c r="H2897" i="3" a="1"/>
  <c r="H2897" i="3" s="1"/>
  <c r="H2898" i="3" a="1"/>
  <c r="H2898" i="3" s="1"/>
  <c r="H2899" i="3" a="1"/>
  <c r="H2899" i="3" s="1"/>
  <c r="H2900" i="3" a="1"/>
  <c r="H2900" i="3" s="1"/>
  <c r="H2901" i="3" a="1"/>
  <c r="H2901" i="3" s="1"/>
  <c r="H2902" i="3" a="1"/>
  <c r="H2902" i="3" s="1"/>
  <c r="H2903" i="3" a="1"/>
  <c r="H2903" i="3" s="1"/>
  <c r="H2904" i="3" a="1"/>
  <c r="H2904" i="3" s="1"/>
  <c r="H2905" i="3" a="1"/>
  <c r="H2905" i="3" s="1"/>
  <c r="H2906" i="3" a="1"/>
  <c r="H2906" i="3" s="1"/>
  <c r="H2907" i="3" a="1"/>
  <c r="H2907" i="3" s="1"/>
  <c r="H2908" i="3" a="1"/>
  <c r="H2908" i="3" s="1"/>
  <c r="H2909" i="3" a="1"/>
  <c r="H2909" i="3" s="1"/>
  <c r="H2910" i="3" a="1"/>
  <c r="H2910" i="3" s="1"/>
  <c r="H2911" i="3" a="1"/>
  <c r="H2911" i="3" s="1"/>
  <c r="H2912" i="3" a="1"/>
  <c r="H2912" i="3" s="1"/>
  <c r="H2913" i="3" a="1"/>
  <c r="H2913" i="3" s="1"/>
  <c r="H2914" i="3" a="1"/>
  <c r="H2914" i="3" s="1"/>
  <c r="H2915" i="3" a="1"/>
  <c r="H2915" i="3" s="1"/>
  <c r="H2916" i="3" a="1"/>
  <c r="H2916" i="3" s="1"/>
  <c r="H2917" i="3" a="1"/>
  <c r="H2917" i="3" s="1"/>
  <c r="H2918" i="3" a="1"/>
  <c r="H2918" i="3" s="1"/>
  <c r="H2919" i="3" a="1"/>
  <c r="H2919" i="3" s="1"/>
  <c r="H2920" i="3" a="1"/>
  <c r="H2920" i="3" s="1"/>
  <c r="H2921" i="3" a="1"/>
  <c r="H2921" i="3" s="1"/>
  <c r="H2922" i="3" a="1"/>
  <c r="H2922" i="3" s="1"/>
  <c r="H2923" i="3" a="1"/>
  <c r="H2923" i="3" s="1"/>
  <c r="H2924" i="3" a="1"/>
  <c r="H2924" i="3" s="1"/>
  <c r="H2925" i="3" a="1"/>
  <c r="H2925" i="3" s="1"/>
  <c r="H2926" i="3" a="1"/>
  <c r="H2926" i="3" s="1"/>
  <c r="H2927" i="3" a="1"/>
  <c r="H2927" i="3" s="1"/>
  <c r="H2928" i="3" a="1"/>
  <c r="H2928" i="3" s="1"/>
  <c r="H2929" i="3" a="1"/>
  <c r="H2929" i="3" s="1"/>
  <c r="H2930" i="3" a="1"/>
  <c r="H2930" i="3" s="1"/>
  <c r="H2931" i="3" a="1"/>
  <c r="H2931" i="3" s="1"/>
  <c r="H2932" i="3" a="1"/>
  <c r="H2932" i="3" s="1"/>
  <c r="H2933" i="3" a="1"/>
  <c r="H2933" i="3" s="1"/>
  <c r="H2934" i="3" a="1"/>
  <c r="H2934" i="3" s="1"/>
  <c r="H2935" i="3" a="1"/>
  <c r="H2935" i="3" s="1"/>
  <c r="H2936" i="3" a="1"/>
  <c r="H2936" i="3" s="1"/>
  <c r="H2937" i="3" a="1"/>
  <c r="H2937" i="3" s="1"/>
  <c r="H2938" i="3" a="1"/>
  <c r="H2938" i="3" s="1"/>
  <c r="H2939" i="3" a="1"/>
  <c r="H2939" i="3" s="1"/>
  <c r="H2940" i="3" a="1"/>
  <c r="H2940" i="3" s="1"/>
  <c r="H2941" i="3" a="1"/>
  <c r="H2941" i="3" s="1"/>
  <c r="H2942" i="3" a="1"/>
  <c r="H2942" i="3" s="1"/>
  <c r="H2943" i="3" a="1"/>
  <c r="H2943" i="3" s="1"/>
  <c r="H2944" i="3" a="1"/>
  <c r="H2944" i="3" s="1"/>
  <c r="H2945" i="3" a="1"/>
  <c r="H2945" i="3" s="1"/>
  <c r="H2946" i="3" a="1"/>
  <c r="H2946" i="3" s="1"/>
  <c r="H2947" i="3" a="1"/>
  <c r="H2947" i="3" s="1"/>
  <c r="H2948" i="3" a="1"/>
  <c r="H2948" i="3" s="1"/>
  <c r="H2949" i="3" a="1"/>
  <c r="H2949" i="3" s="1"/>
  <c r="H2950" i="3" a="1"/>
  <c r="H2950" i="3" s="1"/>
  <c r="H2951" i="3" a="1"/>
  <c r="H2951" i="3" s="1"/>
  <c r="H2952" i="3" a="1"/>
  <c r="H2952" i="3" s="1"/>
  <c r="H2953" i="3" a="1"/>
  <c r="H2953" i="3" s="1"/>
  <c r="H2954" i="3" a="1"/>
  <c r="H2954" i="3" s="1"/>
  <c r="H2955" i="3" a="1"/>
  <c r="H2955" i="3" s="1"/>
  <c r="H2956" i="3" a="1"/>
  <c r="H2956" i="3" s="1"/>
  <c r="H2957" i="3" a="1"/>
  <c r="H2957" i="3" s="1"/>
  <c r="H2958" i="3" a="1"/>
  <c r="H2958" i="3" s="1"/>
  <c r="H2959" i="3" a="1"/>
  <c r="H2959" i="3" s="1"/>
  <c r="H2960" i="3" a="1"/>
  <c r="H2960" i="3" s="1"/>
  <c r="H2961" i="3" a="1"/>
  <c r="H2961" i="3" s="1"/>
  <c r="H2962" i="3" a="1"/>
  <c r="H2962" i="3" s="1"/>
  <c r="H2963" i="3" a="1"/>
  <c r="H2963" i="3" s="1"/>
  <c r="H2964" i="3" a="1"/>
  <c r="H2964" i="3" s="1"/>
  <c r="H2965" i="3" a="1"/>
  <c r="H2965" i="3" s="1"/>
  <c r="H2966" i="3" a="1"/>
  <c r="H2966" i="3" s="1"/>
  <c r="H2967" i="3" a="1"/>
  <c r="H2967" i="3" s="1"/>
  <c r="H2968" i="3" a="1"/>
  <c r="H2968" i="3" s="1"/>
  <c r="H2969" i="3" a="1"/>
  <c r="H2969" i="3" s="1"/>
  <c r="H2970" i="3" a="1"/>
  <c r="H2970" i="3" s="1"/>
  <c r="H2971" i="3" a="1"/>
  <c r="H2971" i="3" s="1"/>
  <c r="H2972" i="3" a="1"/>
  <c r="H2972" i="3" s="1"/>
  <c r="H2973" i="3" a="1"/>
  <c r="H2973" i="3" s="1"/>
  <c r="H2974" i="3" a="1"/>
  <c r="H2974" i="3" s="1"/>
  <c r="H2975" i="3" a="1"/>
  <c r="H2975" i="3" s="1"/>
  <c r="H2976" i="3" a="1"/>
  <c r="H2976" i="3" s="1"/>
  <c r="H2977" i="3" a="1"/>
  <c r="H2977" i="3" s="1"/>
  <c r="H2978" i="3" a="1"/>
  <c r="H2978" i="3" s="1"/>
  <c r="H2979" i="3" a="1"/>
  <c r="H2979" i="3" s="1"/>
  <c r="H2980" i="3" a="1"/>
  <c r="H2980" i="3" s="1"/>
  <c r="H2981" i="3" a="1"/>
  <c r="H2981" i="3" s="1"/>
  <c r="H2982" i="3" a="1"/>
  <c r="H2982" i="3" s="1"/>
  <c r="H2983" i="3" a="1"/>
  <c r="H2983" i="3" s="1"/>
  <c r="H2984" i="3" a="1"/>
  <c r="H2984" i="3" s="1"/>
  <c r="H2985" i="3" a="1"/>
  <c r="H2985" i="3" s="1"/>
  <c r="H2986" i="3" a="1"/>
  <c r="H2986" i="3" s="1"/>
  <c r="H2987" i="3" a="1"/>
  <c r="H2987" i="3" s="1"/>
  <c r="H2988" i="3" a="1"/>
  <c r="H2988" i="3" s="1"/>
  <c r="H2989" i="3" a="1"/>
  <c r="H2989" i="3" s="1"/>
  <c r="H2990" i="3" a="1"/>
  <c r="H2990" i="3" s="1"/>
  <c r="H2991" i="3" a="1"/>
  <c r="H2991" i="3" s="1"/>
  <c r="H2992" i="3" a="1"/>
  <c r="H2992" i="3" s="1"/>
  <c r="H2993" i="3" a="1"/>
  <c r="H2993" i="3" s="1"/>
  <c r="H2994" i="3" a="1"/>
  <c r="H2994" i="3" s="1"/>
  <c r="H2995" i="3" a="1"/>
  <c r="H2995" i="3" s="1"/>
  <c r="H2996" i="3" a="1"/>
  <c r="H2996" i="3" s="1"/>
  <c r="H2997" i="3" a="1"/>
  <c r="H2997" i="3" s="1"/>
  <c r="H2998" i="3" a="1"/>
  <c r="H2998" i="3" s="1"/>
  <c r="H2999" i="3" a="1"/>
  <c r="H2999" i="3" s="1"/>
  <c r="H3000" i="3" a="1"/>
  <c r="H3000" i="3" s="1"/>
  <c r="H3001" i="3" a="1"/>
  <c r="H3001" i="3" s="1"/>
  <c r="H2" i="3" a="1"/>
  <c r="H2" i="3" s="1"/>
  <c r="G3" i="3" a="1"/>
  <c r="G3" i="3" s="1"/>
  <c r="G4" i="3" a="1"/>
  <c r="G4" i="3" s="1"/>
  <c r="G5" i="3" a="1"/>
  <c r="G5" i="3" s="1"/>
  <c r="G6" i="3" a="1"/>
  <c r="G6" i="3" s="1"/>
  <c r="G7" i="3" a="1"/>
  <c r="G7" i="3" s="1"/>
  <c r="G8" i="3" a="1"/>
  <c r="G8" i="3" s="1"/>
  <c r="G9" i="3" a="1"/>
  <c r="G9" i="3" s="1"/>
  <c r="G10" i="3" a="1"/>
  <c r="G10" i="3" s="1"/>
  <c r="G11" i="3" a="1"/>
  <c r="G11" i="3" s="1"/>
  <c r="G12" i="3" a="1"/>
  <c r="G12" i="3"/>
  <c r="G13" i="3" a="1"/>
  <c r="G13" i="3" s="1"/>
  <c r="G14" i="3" a="1"/>
  <c r="G14" i="3" s="1"/>
  <c r="G15" i="3" a="1"/>
  <c r="G15" i="3" s="1"/>
  <c r="G16" i="3" a="1"/>
  <c r="G16" i="3" s="1"/>
  <c r="G17" i="3" a="1"/>
  <c r="G17" i="3" s="1"/>
  <c r="G18" i="3" a="1"/>
  <c r="G18" i="3"/>
  <c r="G19" i="3" a="1"/>
  <c r="G19" i="3" s="1"/>
  <c r="G20" i="3" a="1"/>
  <c r="G20" i="3" s="1"/>
  <c r="G21" i="3" a="1"/>
  <c r="G21" i="3" s="1"/>
  <c r="G22" i="3" a="1"/>
  <c r="G22" i="3"/>
  <c r="G23" i="3" a="1"/>
  <c r="G23" i="3" s="1"/>
  <c r="G24" i="3" a="1"/>
  <c r="G24" i="3" s="1"/>
  <c r="G25" i="3" a="1"/>
  <c r="G25" i="3" s="1"/>
  <c r="G26" i="3" a="1"/>
  <c r="G26" i="3" s="1"/>
  <c r="G27" i="3" a="1"/>
  <c r="G27" i="3" s="1"/>
  <c r="G28" i="3" a="1"/>
  <c r="G28" i="3" s="1"/>
  <c r="G29" i="3" a="1"/>
  <c r="G29" i="3" s="1"/>
  <c r="G30" i="3" a="1"/>
  <c r="G30" i="3" s="1"/>
  <c r="G31" i="3" a="1"/>
  <c r="G31" i="3" s="1"/>
  <c r="G32" i="3" a="1"/>
  <c r="G32" i="3" s="1"/>
  <c r="G33" i="3" a="1"/>
  <c r="G33" i="3" s="1"/>
  <c r="G34" i="3" a="1"/>
  <c r="G34" i="3" s="1"/>
  <c r="G35" i="3" a="1"/>
  <c r="G35" i="3" s="1"/>
  <c r="G36" i="3" a="1"/>
  <c r="G36" i="3" s="1"/>
  <c r="G37" i="3" a="1"/>
  <c r="G37" i="3" s="1"/>
  <c r="G38" i="3" a="1"/>
  <c r="G38" i="3"/>
  <c r="G39" i="3" a="1"/>
  <c r="G39" i="3" s="1"/>
  <c r="G40" i="3" a="1"/>
  <c r="G40" i="3" s="1"/>
  <c r="G41" i="3" a="1"/>
  <c r="G41" i="3" s="1"/>
  <c r="G42" i="3" a="1"/>
  <c r="G42" i="3" s="1"/>
  <c r="G43" i="3" a="1"/>
  <c r="G43" i="3" s="1"/>
  <c r="G44" i="3" a="1"/>
  <c r="G44" i="3"/>
  <c r="G45" i="3" a="1"/>
  <c r="G45" i="3" s="1"/>
  <c r="G46" i="3" a="1"/>
  <c r="G46" i="3"/>
  <c r="G47" i="3" a="1"/>
  <c r="G47" i="3" s="1"/>
  <c r="G48" i="3" a="1"/>
  <c r="G48" i="3" s="1"/>
  <c r="G49" i="3" a="1"/>
  <c r="G49" i="3" s="1"/>
  <c r="G50" i="3" a="1"/>
  <c r="G50" i="3"/>
  <c r="G51" i="3" a="1"/>
  <c r="G51" i="3" s="1"/>
  <c r="G52" i="3" a="1"/>
  <c r="G52" i="3"/>
  <c r="G53" i="3" a="1"/>
  <c r="G53" i="3" s="1"/>
  <c r="G54" i="3" a="1"/>
  <c r="G54" i="3" s="1"/>
  <c r="G55" i="3" a="1"/>
  <c r="G55" i="3" s="1"/>
  <c r="G56" i="3" a="1"/>
  <c r="G56" i="3" s="1"/>
  <c r="G57" i="3" a="1"/>
  <c r="G57" i="3" s="1"/>
  <c r="G58" i="3" a="1"/>
  <c r="G58" i="3" s="1"/>
  <c r="G59" i="3" a="1"/>
  <c r="G59" i="3" s="1"/>
  <c r="G60" i="3" a="1"/>
  <c r="G60" i="3"/>
  <c r="G61" i="3" a="1"/>
  <c r="G61" i="3" s="1"/>
  <c r="G62" i="3" a="1"/>
  <c r="G62" i="3"/>
  <c r="G63" i="3" a="1"/>
  <c r="G63" i="3" s="1"/>
  <c r="G64" i="3" a="1"/>
  <c r="G64" i="3" s="1"/>
  <c r="G65" i="3" a="1"/>
  <c r="G65" i="3" s="1"/>
  <c r="G66" i="3" a="1"/>
  <c r="G66" i="3"/>
  <c r="G67" i="3" a="1"/>
  <c r="G67" i="3" s="1"/>
  <c r="G68" i="3" a="1"/>
  <c r="G68" i="3"/>
  <c r="G69" i="3" a="1"/>
  <c r="G69" i="3" s="1"/>
  <c r="G70" i="3" a="1"/>
  <c r="G70" i="3"/>
  <c r="G71" i="3" a="1"/>
  <c r="G71" i="3" s="1"/>
  <c r="G72" i="3" a="1"/>
  <c r="G72" i="3" s="1"/>
  <c r="G73" i="3" a="1"/>
  <c r="G73" i="3" s="1"/>
  <c r="G74" i="3" a="1"/>
  <c r="G74" i="3"/>
  <c r="G75" i="3" a="1"/>
  <c r="G75" i="3" s="1"/>
  <c r="G76" i="3" a="1"/>
  <c r="G76" i="3"/>
  <c r="G77" i="3" a="1"/>
  <c r="G77" i="3" s="1"/>
  <c r="G78" i="3" a="1"/>
  <c r="G78" i="3" s="1"/>
  <c r="G79" i="3" a="1"/>
  <c r="G79" i="3" s="1"/>
  <c r="G80" i="3" a="1"/>
  <c r="G80" i="3" s="1"/>
  <c r="G81" i="3" a="1"/>
  <c r="G81" i="3" s="1"/>
  <c r="G82" i="3" a="1"/>
  <c r="G82" i="3"/>
  <c r="G83" i="3" a="1"/>
  <c r="G83" i="3" s="1"/>
  <c r="G84" i="3" a="1"/>
  <c r="G84" i="3" s="1"/>
  <c r="G85" i="3" a="1"/>
  <c r="G85" i="3" s="1"/>
  <c r="G86" i="3" a="1"/>
  <c r="G86" i="3" s="1"/>
  <c r="G87" i="3" a="1"/>
  <c r="G87" i="3" s="1"/>
  <c r="G88" i="3" a="1"/>
  <c r="G88" i="3" s="1"/>
  <c r="G89" i="3" a="1"/>
  <c r="G89" i="3" s="1"/>
  <c r="G90" i="3" a="1"/>
  <c r="G90" i="3" s="1"/>
  <c r="G91" i="3" a="1"/>
  <c r="G91" i="3" s="1"/>
  <c r="G92" i="3" a="1"/>
  <c r="G92" i="3"/>
  <c r="G93" i="3" a="1"/>
  <c r="G93" i="3" s="1"/>
  <c r="G94" i="3" a="1"/>
  <c r="G94" i="3" s="1"/>
  <c r="G95" i="3" a="1"/>
  <c r="G95" i="3" s="1"/>
  <c r="G96" i="3" a="1"/>
  <c r="G96" i="3" s="1"/>
  <c r="G97" i="3" a="1"/>
  <c r="G97" i="3" s="1"/>
  <c r="G98" i="3" a="1"/>
  <c r="G98" i="3"/>
  <c r="G99" i="3" a="1"/>
  <c r="G99" i="3" s="1"/>
  <c r="G100" i="3" a="1"/>
  <c r="G100" i="3" s="1"/>
  <c r="G101" i="3" a="1"/>
  <c r="G101" i="3" s="1"/>
  <c r="G102" i="3" a="1"/>
  <c r="G102" i="3" s="1"/>
  <c r="G103" i="3" a="1"/>
  <c r="G103" i="3" s="1"/>
  <c r="G104" i="3" a="1"/>
  <c r="G104" i="3" s="1"/>
  <c r="G105" i="3" a="1"/>
  <c r="G105" i="3" s="1"/>
  <c r="G106" i="3" a="1"/>
  <c r="G106" i="3" s="1"/>
  <c r="G107" i="3" a="1"/>
  <c r="G107" i="3" s="1"/>
  <c r="G108" i="3" a="1"/>
  <c r="G108" i="3"/>
  <c r="G109" i="3" a="1"/>
  <c r="G109" i="3" s="1"/>
  <c r="G110" i="3" a="1"/>
  <c r="G110" i="3" s="1"/>
  <c r="G111" i="3" a="1"/>
  <c r="G111" i="3" s="1"/>
  <c r="G112" i="3" a="1"/>
  <c r="G112" i="3" s="1"/>
  <c r="G113" i="3" a="1"/>
  <c r="G113" i="3" s="1"/>
  <c r="G114" i="3" a="1"/>
  <c r="G114" i="3" s="1"/>
  <c r="G115" i="3" a="1"/>
  <c r="G115" i="3" s="1"/>
  <c r="G116" i="3" a="1"/>
  <c r="G116" i="3" s="1"/>
  <c r="G117" i="3" a="1"/>
  <c r="G117" i="3" s="1"/>
  <c r="G118" i="3" a="1"/>
  <c r="G118" i="3" s="1"/>
  <c r="G119" i="3" a="1"/>
  <c r="G119" i="3" s="1"/>
  <c r="G120" i="3" a="1"/>
  <c r="G120" i="3" s="1"/>
  <c r="G121" i="3" a="1"/>
  <c r="G121" i="3" s="1"/>
  <c r="G122" i="3" a="1"/>
  <c r="G122" i="3" s="1"/>
  <c r="G123" i="3" a="1"/>
  <c r="G123" i="3" s="1"/>
  <c r="G124" i="3" a="1"/>
  <c r="G124" i="3" s="1"/>
  <c r="G125" i="3" a="1"/>
  <c r="G125" i="3" s="1"/>
  <c r="G126" i="3" a="1"/>
  <c r="G126" i="3" s="1"/>
  <c r="G127" i="3" a="1"/>
  <c r="G127" i="3" s="1"/>
  <c r="G128" i="3" a="1"/>
  <c r="G128" i="3" s="1"/>
  <c r="G129" i="3" a="1"/>
  <c r="G129" i="3" s="1"/>
  <c r="G130" i="3" a="1"/>
  <c r="G130" i="3"/>
  <c r="G131" i="3" a="1"/>
  <c r="G131" i="3" s="1"/>
  <c r="G132" i="3" a="1"/>
  <c r="G132" i="3" s="1"/>
  <c r="G133" i="3" a="1"/>
  <c r="G133" i="3" s="1"/>
  <c r="G134" i="3" a="1"/>
  <c r="G134" i="3" s="1"/>
  <c r="G135" i="3" a="1"/>
  <c r="G135" i="3" s="1"/>
  <c r="G136" i="3" a="1"/>
  <c r="G136" i="3" s="1"/>
  <c r="G137" i="3" a="1"/>
  <c r="G137" i="3" s="1"/>
  <c r="G138" i="3" a="1"/>
  <c r="G138" i="3" s="1"/>
  <c r="G139" i="3" a="1"/>
  <c r="G139" i="3" s="1"/>
  <c r="G140" i="3" a="1"/>
  <c r="G140" i="3"/>
  <c r="G141" i="3" a="1"/>
  <c r="G141" i="3" s="1"/>
  <c r="G142" i="3" a="1"/>
  <c r="G142" i="3" s="1"/>
  <c r="G143" i="3" a="1"/>
  <c r="G143" i="3" s="1"/>
  <c r="G144" i="3" a="1"/>
  <c r="G144" i="3" s="1"/>
  <c r="G145" i="3" a="1"/>
  <c r="G145" i="3" s="1"/>
  <c r="G146" i="3" a="1"/>
  <c r="G146" i="3" s="1"/>
  <c r="G147" i="3" a="1"/>
  <c r="G147" i="3" s="1"/>
  <c r="G148" i="3" a="1"/>
  <c r="G148" i="3"/>
  <c r="G149" i="3" a="1"/>
  <c r="G149" i="3" s="1"/>
  <c r="G150" i="3" a="1"/>
  <c r="G150" i="3" s="1"/>
  <c r="G151" i="3" a="1"/>
  <c r="G151" i="3" s="1"/>
  <c r="G152" i="3" a="1"/>
  <c r="G152" i="3" s="1"/>
  <c r="G153" i="3" a="1"/>
  <c r="G153" i="3" s="1"/>
  <c r="G154" i="3" a="1"/>
  <c r="G154" i="3" s="1"/>
  <c r="G155" i="3" a="1"/>
  <c r="G155" i="3" s="1"/>
  <c r="G156" i="3" a="1"/>
  <c r="G156" i="3" s="1"/>
  <c r="G157" i="3" a="1"/>
  <c r="G157" i="3" s="1"/>
  <c r="G158" i="3" a="1"/>
  <c r="G158" i="3" s="1"/>
  <c r="G159" i="3" a="1"/>
  <c r="G159" i="3" s="1"/>
  <c r="G160" i="3" a="1"/>
  <c r="G160" i="3" s="1"/>
  <c r="G161" i="3" a="1"/>
  <c r="G161" i="3" s="1"/>
  <c r="G162" i="3" a="1"/>
  <c r="G162" i="3"/>
  <c r="G163" i="3" a="1"/>
  <c r="G163" i="3" s="1"/>
  <c r="G164" i="3" a="1"/>
  <c r="G164" i="3" s="1"/>
  <c r="G165" i="3" a="1"/>
  <c r="G165" i="3" s="1"/>
  <c r="G166" i="3" a="1"/>
  <c r="G166" i="3" s="1"/>
  <c r="G167" i="3" a="1"/>
  <c r="G167" i="3" s="1"/>
  <c r="G168" i="3" a="1"/>
  <c r="G168" i="3" s="1"/>
  <c r="G169" i="3" a="1"/>
  <c r="G169" i="3" s="1"/>
  <c r="G170" i="3" a="1"/>
  <c r="G170" i="3" s="1"/>
  <c r="G171" i="3" a="1"/>
  <c r="G171" i="3" s="1"/>
  <c r="G172" i="3" a="1"/>
  <c r="G172" i="3"/>
  <c r="G173" i="3" a="1"/>
  <c r="G173" i="3" s="1"/>
  <c r="G174" i="3" a="1"/>
  <c r="G174" i="3" s="1"/>
  <c r="G175" i="3" a="1"/>
  <c r="G175" i="3" s="1"/>
  <c r="G176" i="3" a="1"/>
  <c r="G176" i="3" s="1"/>
  <c r="G177" i="3" a="1"/>
  <c r="G177" i="3" s="1"/>
  <c r="G178" i="3" a="1"/>
  <c r="G178" i="3"/>
  <c r="G179" i="3" a="1"/>
  <c r="G179" i="3" s="1"/>
  <c r="G180" i="3" a="1"/>
  <c r="G180" i="3"/>
  <c r="G181" i="3" a="1"/>
  <c r="G181" i="3" s="1"/>
  <c r="G182" i="3" a="1"/>
  <c r="G182" i="3" s="1"/>
  <c r="G183" i="3" a="1"/>
  <c r="G183" i="3" s="1"/>
  <c r="G184" i="3" a="1"/>
  <c r="G184" i="3"/>
  <c r="G185" i="3" a="1"/>
  <c r="G185" i="3" s="1"/>
  <c r="G186" i="3" a="1"/>
  <c r="G186" i="3"/>
  <c r="G187" i="3" a="1"/>
  <c r="G187" i="3" s="1"/>
  <c r="G188" i="3" a="1"/>
  <c r="G188" i="3"/>
  <c r="G189" i="3" a="1"/>
  <c r="G189" i="3" s="1"/>
  <c r="G190" i="3" a="1"/>
  <c r="G190" i="3" s="1"/>
  <c r="G191" i="3" a="1"/>
  <c r="G191" i="3" s="1"/>
  <c r="G192" i="3" a="1"/>
  <c r="G192" i="3"/>
  <c r="G193" i="3" a="1"/>
  <c r="G193" i="3" s="1"/>
  <c r="G194" i="3" a="1"/>
  <c r="G194" i="3" s="1"/>
  <c r="G195" i="3" a="1"/>
  <c r="G195" i="3" s="1"/>
  <c r="G196" i="3" a="1"/>
  <c r="G196" i="3"/>
  <c r="G197" i="3" a="1"/>
  <c r="G197" i="3" s="1"/>
  <c r="G198" i="3" a="1"/>
  <c r="G198" i="3" s="1"/>
  <c r="G199" i="3" a="1"/>
  <c r="G199" i="3" s="1"/>
  <c r="G200" i="3" a="1"/>
  <c r="G200" i="3" s="1"/>
  <c r="G201" i="3" a="1"/>
  <c r="G201" i="3" s="1"/>
  <c r="G202" i="3" a="1"/>
  <c r="G202" i="3" s="1"/>
  <c r="G203" i="3" a="1"/>
  <c r="G203" i="3" s="1"/>
  <c r="G204" i="3" a="1"/>
  <c r="G204" i="3"/>
  <c r="G205" i="3" a="1"/>
  <c r="G205" i="3" s="1"/>
  <c r="G206" i="3" a="1"/>
  <c r="G206" i="3" s="1"/>
  <c r="G207" i="3" a="1"/>
  <c r="G207" i="3" s="1"/>
  <c r="G208" i="3" a="1"/>
  <c r="G208" i="3" s="1"/>
  <c r="G209" i="3" a="1"/>
  <c r="G209" i="3" s="1"/>
  <c r="G210" i="3" a="1"/>
  <c r="G210" i="3" s="1"/>
  <c r="G211" i="3" a="1"/>
  <c r="G211" i="3" s="1"/>
  <c r="G212" i="3" a="1"/>
  <c r="G212" i="3" s="1"/>
  <c r="G213" i="3" a="1"/>
  <c r="G213" i="3" s="1"/>
  <c r="G214" i="3" a="1"/>
  <c r="G214" i="3"/>
  <c r="G215" i="3" a="1"/>
  <c r="G215" i="3" s="1"/>
  <c r="G216" i="3" a="1"/>
  <c r="G216" i="3"/>
  <c r="G217" i="3" a="1"/>
  <c r="G217" i="3" s="1"/>
  <c r="G218" i="3" a="1"/>
  <c r="G218" i="3" s="1"/>
  <c r="G219" i="3" a="1"/>
  <c r="G219" i="3" s="1"/>
  <c r="G220" i="3" a="1"/>
  <c r="G220" i="3"/>
  <c r="G221" i="3" a="1"/>
  <c r="G221" i="3" s="1"/>
  <c r="G222" i="3" a="1"/>
  <c r="G222" i="3"/>
  <c r="G223" i="3" a="1"/>
  <c r="G223" i="3" s="1"/>
  <c r="G224" i="3" a="1"/>
  <c r="G224" i="3"/>
  <c r="G225" i="3" a="1"/>
  <c r="G225" i="3" s="1"/>
  <c r="G226" i="3" a="1"/>
  <c r="G226" i="3" s="1"/>
  <c r="G227" i="3" a="1"/>
  <c r="G227" i="3" s="1"/>
  <c r="G228" i="3" a="1"/>
  <c r="G228" i="3" s="1"/>
  <c r="G229" i="3" a="1"/>
  <c r="G229" i="3" s="1"/>
  <c r="G230" i="3" a="1"/>
  <c r="G230" i="3" s="1"/>
  <c r="G231" i="3" a="1"/>
  <c r="G231" i="3" s="1"/>
  <c r="G232" i="3" a="1"/>
  <c r="G232" i="3"/>
  <c r="G233" i="3" a="1"/>
  <c r="G233" i="3" s="1"/>
  <c r="G234" i="3" a="1"/>
  <c r="G234" i="3" s="1"/>
  <c r="G235" i="3" a="1"/>
  <c r="G235" i="3" s="1"/>
  <c r="G236" i="3" a="1"/>
  <c r="G236" i="3" s="1"/>
  <c r="G237" i="3" a="1"/>
  <c r="G237" i="3" s="1"/>
  <c r="G238" i="3" a="1"/>
  <c r="G238" i="3" s="1"/>
  <c r="G239" i="3" a="1"/>
  <c r="G239" i="3" s="1"/>
  <c r="G240" i="3" a="1"/>
  <c r="G240" i="3"/>
  <c r="G241" i="3" a="1"/>
  <c r="G241" i="3" s="1"/>
  <c r="G242" i="3" a="1"/>
  <c r="G242" i="3" s="1"/>
  <c r="G243" i="3" a="1"/>
  <c r="G243" i="3" s="1"/>
  <c r="G244" i="3" a="1"/>
  <c r="G244" i="3" s="1"/>
  <c r="G245" i="3" a="1"/>
  <c r="G245" i="3" s="1"/>
  <c r="G246" i="3" a="1"/>
  <c r="G246" i="3" s="1"/>
  <c r="G247" i="3" a="1"/>
  <c r="G247" i="3" s="1"/>
  <c r="G248" i="3" a="1"/>
  <c r="G248" i="3"/>
  <c r="G249" i="3" a="1"/>
  <c r="G249" i="3" s="1"/>
  <c r="G250" i="3" a="1"/>
  <c r="G250" i="3" s="1"/>
  <c r="G251" i="3" a="1"/>
  <c r="G251" i="3" s="1"/>
  <c r="G252" i="3" a="1"/>
  <c r="G252" i="3" s="1"/>
  <c r="G253" i="3" a="1"/>
  <c r="G253" i="3" s="1"/>
  <c r="G254" i="3" a="1"/>
  <c r="G254" i="3"/>
  <c r="G255" i="3" a="1"/>
  <c r="G255" i="3" s="1"/>
  <c r="G256" i="3" a="1"/>
  <c r="G256" i="3" s="1"/>
  <c r="G257" i="3" a="1"/>
  <c r="G257" i="3" s="1"/>
  <c r="G258" i="3" a="1"/>
  <c r="G258" i="3" s="1"/>
  <c r="G259" i="3" a="1"/>
  <c r="G259" i="3" s="1"/>
  <c r="G260" i="3" a="1"/>
  <c r="G260" i="3" s="1"/>
  <c r="G261" i="3" a="1"/>
  <c r="G261" i="3" s="1"/>
  <c r="G262" i="3" a="1"/>
  <c r="G262" i="3" s="1"/>
  <c r="G263" i="3" a="1"/>
  <c r="G263" i="3" s="1"/>
  <c r="G264" i="3" a="1"/>
  <c r="G264" i="3"/>
  <c r="G265" i="3" a="1"/>
  <c r="G265" i="3" s="1"/>
  <c r="G266" i="3" a="1"/>
  <c r="G266" i="3" s="1"/>
  <c r="G267" i="3" a="1"/>
  <c r="G267" i="3" s="1"/>
  <c r="G268" i="3" a="1"/>
  <c r="G268" i="3" s="1"/>
  <c r="G269" i="3" a="1"/>
  <c r="G269" i="3" s="1"/>
  <c r="G270" i="3" a="1"/>
  <c r="G270" i="3"/>
  <c r="G271" i="3" a="1"/>
  <c r="G271" i="3" s="1"/>
  <c r="G272" i="3" a="1"/>
  <c r="G272" i="3"/>
  <c r="G273" i="3" a="1"/>
  <c r="G273" i="3" s="1"/>
  <c r="G274" i="3" a="1"/>
  <c r="G274" i="3" s="1"/>
  <c r="G275" i="3" a="1"/>
  <c r="G275" i="3" s="1"/>
  <c r="G276" i="3" a="1"/>
  <c r="G276" i="3"/>
  <c r="G277" i="3" a="1"/>
  <c r="G277" i="3" s="1"/>
  <c r="G278" i="3" a="1"/>
  <c r="G278" i="3"/>
  <c r="G279" i="3" a="1"/>
  <c r="G279" i="3" s="1"/>
  <c r="G280" i="3" a="1"/>
  <c r="G280" i="3" s="1"/>
  <c r="G281" i="3" a="1"/>
  <c r="G281" i="3" s="1"/>
  <c r="G282" i="3" a="1"/>
  <c r="G282" i="3" s="1"/>
  <c r="G283" i="3" a="1"/>
  <c r="G283" i="3" s="1"/>
  <c r="G284" i="3" a="1"/>
  <c r="G284" i="3"/>
  <c r="G285" i="3" a="1"/>
  <c r="G285" i="3" s="1"/>
  <c r="G286" i="3" a="1"/>
  <c r="G286" i="3" s="1"/>
  <c r="G287" i="3" a="1"/>
  <c r="G287" i="3" s="1"/>
  <c r="G288" i="3" a="1"/>
  <c r="G288" i="3"/>
  <c r="G289" i="3" a="1"/>
  <c r="G289" i="3" s="1"/>
  <c r="G290" i="3" a="1"/>
  <c r="G290" i="3" s="1"/>
  <c r="G291" i="3" a="1"/>
  <c r="G291" i="3" s="1"/>
  <c r="G292" i="3" a="1"/>
  <c r="G292" i="3" s="1"/>
  <c r="G293" i="3" a="1"/>
  <c r="G293" i="3" s="1"/>
  <c r="G294" i="3" a="1"/>
  <c r="G294" i="3" s="1"/>
  <c r="G295" i="3" a="1"/>
  <c r="G295" i="3" s="1"/>
  <c r="G296" i="3" a="1"/>
  <c r="G296" i="3"/>
  <c r="G297" i="3" a="1"/>
  <c r="G297" i="3" s="1"/>
  <c r="G298" i="3" a="1"/>
  <c r="G298" i="3" s="1"/>
  <c r="G299" i="3" a="1"/>
  <c r="G299" i="3" s="1"/>
  <c r="G300" i="3" a="1"/>
  <c r="G300" i="3" s="1"/>
  <c r="G301" i="3" a="1"/>
  <c r="G301" i="3"/>
  <c r="G302" i="3" a="1"/>
  <c r="G302" i="3" s="1"/>
  <c r="G303" i="3" a="1"/>
  <c r="G303" i="3" s="1"/>
  <c r="G304" i="3" a="1"/>
  <c r="G304" i="3"/>
  <c r="G305" i="3" a="1"/>
  <c r="G305" i="3" s="1"/>
  <c r="G306" i="3" a="1"/>
  <c r="G306" i="3" s="1"/>
  <c r="G307" i="3" a="1"/>
  <c r="G307" i="3" s="1"/>
  <c r="G308" i="3" a="1"/>
  <c r="G308" i="3" s="1"/>
  <c r="G309" i="3" a="1"/>
  <c r="G309" i="3" s="1"/>
  <c r="G310" i="3" a="1"/>
  <c r="G310" i="3"/>
  <c r="G311" i="3" a="1"/>
  <c r="G311" i="3" s="1"/>
  <c r="G312" i="3" a="1"/>
  <c r="G312" i="3" s="1"/>
  <c r="G313" i="3" a="1"/>
  <c r="G313" i="3" s="1"/>
  <c r="G314" i="3" a="1"/>
  <c r="G314" i="3"/>
  <c r="G315" i="3" a="1"/>
  <c r="G315" i="3" s="1"/>
  <c r="G316" i="3" a="1"/>
  <c r="G316" i="3" s="1"/>
  <c r="G317" i="3" a="1"/>
  <c r="G317" i="3" s="1"/>
  <c r="G318" i="3" a="1"/>
  <c r="G318" i="3" s="1"/>
  <c r="G319" i="3" a="1"/>
  <c r="G319" i="3" s="1"/>
  <c r="G320" i="3" a="1"/>
  <c r="G320" i="3"/>
  <c r="G321" i="3" a="1"/>
  <c r="G321" i="3" s="1"/>
  <c r="G322" i="3" a="1"/>
  <c r="G322" i="3" s="1"/>
  <c r="G323" i="3" a="1"/>
  <c r="G323" i="3" s="1"/>
  <c r="G324" i="3" a="1"/>
  <c r="G324" i="3" s="1"/>
  <c r="G325" i="3" a="1"/>
  <c r="G325" i="3" s="1"/>
  <c r="G326" i="3" a="1"/>
  <c r="G326" i="3"/>
  <c r="G327" i="3" a="1"/>
  <c r="G327" i="3" s="1"/>
  <c r="G328" i="3" a="1"/>
  <c r="G328" i="3" s="1"/>
  <c r="G329" i="3" a="1"/>
  <c r="G329" i="3" s="1"/>
  <c r="G330" i="3" a="1"/>
  <c r="G330" i="3" s="1"/>
  <c r="G331" i="3" a="1"/>
  <c r="G331" i="3" s="1"/>
  <c r="G332" i="3" a="1"/>
  <c r="G332" i="3" s="1"/>
  <c r="G333" i="3" a="1"/>
  <c r="G333" i="3" s="1"/>
  <c r="G334" i="3" a="1"/>
  <c r="G334" i="3" s="1"/>
  <c r="G335" i="3" a="1"/>
  <c r="G335" i="3" s="1"/>
  <c r="G336" i="3" a="1"/>
  <c r="G336" i="3"/>
  <c r="G337" i="3" a="1"/>
  <c r="G337" i="3" s="1"/>
  <c r="G338" i="3" a="1"/>
  <c r="G338" i="3"/>
  <c r="G339" i="3" a="1"/>
  <c r="G339" i="3" s="1"/>
  <c r="G340" i="3" a="1"/>
  <c r="G340" i="3" s="1"/>
  <c r="G341" i="3" a="1"/>
  <c r="G341" i="3" s="1"/>
  <c r="G342" i="3" a="1"/>
  <c r="G342" i="3" s="1"/>
  <c r="G343" i="3" a="1"/>
  <c r="G343" i="3" s="1"/>
  <c r="G344" i="3" a="1"/>
  <c r="G344" i="3" s="1"/>
  <c r="G345" i="3" a="1"/>
  <c r="G345" i="3" s="1"/>
  <c r="G346" i="3" a="1"/>
  <c r="G346" i="3"/>
  <c r="G347" i="3" a="1"/>
  <c r="G347" i="3" s="1"/>
  <c r="G348" i="3" a="1"/>
  <c r="G348" i="3" s="1"/>
  <c r="G349" i="3" a="1"/>
  <c r="G349" i="3" s="1"/>
  <c r="G350" i="3" a="1"/>
  <c r="G350" i="3" s="1"/>
  <c r="G351" i="3" a="1"/>
  <c r="G351" i="3" s="1"/>
  <c r="G352" i="3" a="1"/>
  <c r="G352" i="3"/>
  <c r="G353" i="3" a="1"/>
  <c r="G353" i="3" s="1"/>
  <c r="G354" i="3" a="1"/>
  <c r="G354" i="3" s="1"/>
  <c r="G355" i="3" a="1"/>
  <c r="G355" i="3" s="1"/>
  <c r="G356" i="3" a="1"/>
  <c r="G356" i="3" s="1"/>
  <c r="G357" i="3" a="1"/>
  <c r="G357" i="3" s="1"/>
  <c r="G358" i="3" a="1"/>
  <c r="G358" i="3"/>
  <c r="G359" i="3" a="1"/>
  <c r="G359" i="3" s="1"/>
  <c r="G360" i="3" a="1"/>
  <c r="G360" i="3" s="1"/>
  <c r="G361" i="3" a="1"/>
  <c r="G361" i="3" s="1"/>
  <c r="G362" i="3" a="1"/>
  <c r="G362" i="3"/>
  <c r="G363" i="3" a="1"/>
  <c r="G363" i="3" s="1"/>
  <c r="G364" i="3" a="1"/>
  <c r="G364" i="3" s="1"/>
  <c r="G365" i="3" a="1"/>
  <c r="G365" i="3" s="1"/>
  <c r="G366" i="3" a="1"/>
  <c r="G366" i="3" s="1"/>
  <c r="G367" i="3" a="1"/>
  <c r="G367" i="3" s="1"/>
  <c r="G368" i="3" a="1"/>
  <c r="G368" i="3" s="1"/>
  <c r="G369" i="3" a="1"/>
  <c r="G369" i="3" s="1"/>
  <c r="G370" i="3" a="1"/>
  <c r="G370" i="3" s="1"/>
  <c r="G371" i="3" a="1"/>
  <c r="G371" i="3" s="1"/>
  <c r="G372" i="3" a="1"/>
  <c r="G372" i="3" s="1"/>
  <c r="G373" i="3" a="1"/>
  <c r="G373" i="3" s="1"/>
  <c r="G374" i="3" a="1"/>
  <c r="G374" i="3" s="1"/>
  <c r="G375" i="3" a="1"/>
  <c r="G375" i="3" s="1"/>
  <c r="G376" i="3" a="1"/>
  <c r="G376" i="3"/>
  <c r="G377" i="3" a="1"/>
  <c r="G377" i="3" s="1"/>
  <c r="G378" i="3" a="1"/>
  <c r="G378" i="3" s="1"/>
  <c r="G379" i="3" a="1"/>
  <c r="G379" i="3" s="1"/>
  <c r="G380" i="3" a="1"/>
  <c r="G380" i="3" s="1"/>
  <c r="G381" i="3" a="1"/>
  <c r="G381" i="3" s="1"/>
  <c r="G382" i="3" a="1"/>
  <c r="G382" i="3"/>
  <c r="G383" i="3" a="1"/>
  <c r="G383" i="3" s="1"/>
  <c r="G384" i="3" a="1"/>
  <c r="G384" i="3" s="1"/>
  <c r="G385" i="3" a="1"/>
  <c r="G385" i="3" s="1"/>
  <c r="G386" i="3" a="1"/>
  <c r="G386" i="3"/>
  <c r="G387" i="3" a="1"/>
  <c r="G387" i="3" s="1"/>
  <c r="G388" i="3" a="1"/>
  <c r="G388" i="3" s="1"/>
  <c r="G389" i="3" a="1"/>
  <c r="G389" i="3" s="1"/>
  <c r="G390" i="3" a="1"/>
  <c r="G390" i="3" s="1"/>
  <c r="G391" i="3" a="1"/>
  <c r="G391" i="3" s="1"/>
  <c r="G392" i="3" a="1"/>
  <c r="G392" i="3"/>
  <c r="G393" i="3" a="1"/>
  <c r="G393" i="3" s="1"/>
  <c r="G394" i="3" a="1"/>
  <c r="G394" i="3" s="1"/>
  <c r="G395" i="3" a="1"/>
  <c r="G395" i="3" s="1"/>
  <c r="G396" i="3" a="1"/>
  <c r="G396" i="3" s="1"/>
  <c r="G397" i="3" a="1"/>
  <c r="G397" i="3" s="1"/>
  <c r="G398" i="3" a="1"/>
  <c r="G398" i="3" s="1"/>
  <c r="G399" i="3" a="1"/>
  <c r="G399" i="3" s="1"/>
  <c r="G400" i="3" a="1"/>
  <c r="G400" i="3" s="1"/>
  <c r="G401" i="3" a="1"/>
  <c r="G401" i="3" s="1"/>
  <c r="G402" i="3" a="1"/>
  <c r="G402" i="3"/>
  <c r="G403" i="3" a="1"/>
  <c r="G403" i="3" s="1"/>
  <c r="G404" i="3" a="1"/>
  <c r="G404" i="3" s="1"/>
  <c r="G405" i="3" a="1"/>
  <c r="G405" i="3" s="1"/>
  <c r="G406" i="3" a="1"/>
  <c r="G406" i="3" s="1"/>
  <c r="G407" i="3" a="1"/>
  <c r="G407" i="3" s="1"/>
  <c r="G408" i="3" a="1"/>
  <c r="G408" i="3"/>
  <c r="G409" i="3" a="1"/>
  <c r="G409" i="3" s="1"/>
  <c r="G410" i="3" a="1"/>
  <c r="G410" i="3"/>
  <c r="G411" i="3" a="1"/>
  <c r="G411" i="3" s="1"/>
  <c r="G412" i="3" a="1"/>
  <c r="G412" i="3" s="1"/>
  <c r="G413" i="3" a="1"/>
  <c r="G413" i="3" s="1"/>
  <c r="G414" i="3" a="1"/>
  <c r="G414" i="3"/>
  <c r="G415" i="3" a="1"/>
  <c r="G415" i="3" s="1"/>
  <c r="G416" i="3" a="1"/>
  <c r="G416" i="3"/>
  <c r="G417" i="3" a="1"/>
  <c r="G417" i="3" s="1"/>
  <c r="G418" i="3" a="1"/>
  <c r="G418" i="3" s="1"/>
  <c r="G419" i="3" a="1"/>
  <c r="G419" i="3" s="1"/>
  <c r="G420" i="3" a="1"/>
  <c r="G420" i="3" s="1"/>
  <c r="G421" i="3" a="1"/>
  <c r="G421" i="3" s="1"/>
  <c r="G422" i="3" a="1"/>
  <c r="G422" i="3" s="1"/>
  <c r="G423" i="3" a="1"/>
  <c r="G423" i="3" s="1"/>
  <c r="G424" i="3" a="1"/>
  <c r="G424" i="3"/>
  <c r="G425" i="3" a="1"/>
  <c r="G425" i="3" s="1"/>
  <c r="G426" i="3" a="1"/>
  <c r="G426" i="3" s="1"/>
  <c r="G427" i="3" a="1"/>
  <c r="G427" i="3" s="1"/>
  <c r="G428" i="3" a="1"/>
  <c r="G428" i="3" s="1"/>
  <c r="G429" i="3" a="1"/>
  <c r="G429" i="3" s="1"/>
  <c r="G430" i="3" a="1"/>
  <c r="G430" i="3"/>
  <c r="G431" i="3" a="1"/>
  <c r="G431" i="3" s="1"/>
  <c r="G432" i="3" a="1"/>
  <c r="G432" i="3" s="1"/>
  <c r="G433" i="3" a="1"/>
  <c r="G433" i="3" s="1"/>
  <c r="G434" i="3" a="1"/>
  <c r="G434" i="3" s="1"/>
  <c r="G435" i="3" a="1"/>
  <c r="G435" i="3" s="1"/>
  <c r="G436" i="3" a="1"/>
  <c r="G436" i="3" s="1"/>
  <c r="G437" i="3" a="1"/>
  <c r="G437" i="3" s="1"/>
  <c r="G438" i="3" a="1"/>
  <c r="G438" i="3" s="1"/>
  <c r="G439" i="3" a="1"/>
  <c r="G439" i="3" s="1"/>
  <c r="G440" i="3" a="1"/>
  <c r="G440" i="3"/>
  <c r="G441" i="3" a="1"/>
  <c r="G441" i="3" s="1"/>
  <c r="G442" i="3" a="1"/>
  <c r="G442" i="3" s="1"/>
  <c r="G443" i="3" a="1"/>
  <c r="G443" i="3" s="1"/>
  <c r="G444" i="3" a="1"/>
  <c r="G444" i="3" s="1"/>
  <c r="G445" i="3" a="1"/>
  <c r="G445" i="3" s="1"/>
  <c r="G446" i="3" a="1"/>
  <c r="G446" i="3" s="1"/>
  <c r="G447" i="3" a="1"/>
  <c r="G447" i="3" s="1"/>
  <c r="G448" i="3" a="1"/>
  <c r="G448" i="3" s="1"/>
  <c r="G449" i="3" a="1"/>
  <c r="G449" i="3" s="1"/>
  <c r="G450" i="3" a="1"/>
  <c r="G450" i="3" s="1"/>
  <c r="G451" i="3" a="1"/>
  <c r="G451" i="3" s="1"/>
  <c r="G452" i="3" a="1"/>
  <c r="G452" i="3" s="1"/>
  <c r="G453" i="3" a="1"/>
  <c r="G453" i="3" s="1"/>
  <c r="G454" i="3" a="1"/>
  <c r="G454" i="3" s="1"/>
  <c r="G455" i="3" a="1"/>
  <c r="G455" i="3" s="1"/>
  <c r="G456" i="3" a="1"/>
  <c r="G456" i="3" s="1"/>
  <c r="G457" i="3" a="1"/>
  <c r="G457" i="3" s="1"/>
  <c r="G458" i="3" a="1"/>
  <c r="G458" i="3" s="1"/>
  <c r="G459" i="3" a="1"/>
  <c r="G459" i="3" s="1"/>
  <c r="G460" i="3" a="1"/>
  <c r="G460" i="3" s="1"/>
  <c r="G461" i="3" a="1"/>
  <c r="G461" i="3" s="1"/>
  <c r="G462" i="3" a="1"/>
  <c r="G462" i="3" s="1"/>
  <c r="G463" i="3" a="1"/>
  <c r="G463" i="3" s="1"/>
  <c r="G464" i="3" a="1"/>
  <c r="G464" i="3"/>
  <c r="G465" i="3" a="1"/>
  <c r="G465" i="3" s="1"/>
  <c r="G466" i="3" a="1"/>
  <c r="G466" i="3" s="1"/>
  <c r="G467" i="3" a="1"/>
  <c r="G467" i="3" s="1"/>
  <c r="G468" i="3" a="1"/>
  <c r="G468" i="3" s="1"/>
  <c r="G469" i="3" a="1"/>
  <c r="G469" i="3" s="1"/>
  <c r="G470" i="3" a="1"/>
  <c r="G470" i="3" s="1"/>
  <c r="G471" i="3" a="1"/>
  <c r="G471" i="3" s="1"/>
  <c r="G472" i="3" a="1"/>
  <c r="G472" i="3" s="1"/>
  <c r="G473" i="3" a="1"/>
  <c r="G473" i="3" s="1"/>
  <c r="G474" i="3" a="1"/>
  <c r="G474" i="3" s="1"/>
  <c r="G475" i="3" a="1"/>
  <c r="G475" i="3" s="1"/>
  <c r="G476" i="3" a="1"/>
  <c r="G476" i="3" s="1"/>
  <c r="G477" i="3" a="1"/>
  <c r="G477" i="3" s="1"/>
  <c r="G478" i="3" a="1"/>
  <c r="G478" i="3"/>
  <c r="G479" i="3" a="1"/>
  <c r="G479" i="3" s="1"/>
  <c r="G480" i="3" a="1"/>
  <c r="G480" i="3"/>
  <c r="G481" i="3" a="1"/>
  <c r="G481" i="3" s="1"/>
  <c r="G482" i="3" a="1"/>
  <c r="G482" i="3" s="1"/>
  <c r="G483" i="3" a="1"/>
  <c r="G483" i="3" s="1"/>
  <c r="G484" i="3" a="1"/>
  <c r="G484" i="3" s="1"/>
  <c r="G485" i="3" a="1"/>
  <c r="G485" i="3" s="1"/>
  <c r="G486" i="3" a="1"/>
  <c r="G486" i="3" s="1"/>
  <c r="G487" i="3" a="1"/>
  <c r="G487" i="3" s="1"/>
  <c r="G488" i="3" a="1"/>
  <c r="G488" i="3"/>
  <c r="G489" i="3" a="1"/>
  <c r="G489" i="3" s="1"/>
  <c r="G490" i="3" a="1"/>
  <c r="G490" i="3" s="1"/>
  <c r="G491" i="3" a="1"/>
  <c r="G491" i="3" s="1"/>
  <c r="G492" i="3" a="1"/>
  <c r="G492" i="3" s="1"/>
  <c r="G493" i="3" a="1"/>
  <c r="G493" i="3" s="1"/>
  <c r="G494" i="3" a="1"/>
  <c r="G494" i="3"/>
  <c r="G495" i="3" a="1"/>
  <c r="G495" i="3" s="1"/>
  <c r="G496" i="3" a="1"/>
  <c r="G496" i="3" s="1"/>
  <c r="G497" i="3" a="1"/>
  <c r="G497" i="3" s="1"/>
  <c r="G498" i="3" a="1"/>
  <c r="G498" i="3"/>
  <c r="G499" i="3" a="1"/>
  <c r="G499" i="3" s="1"/>
  <c r="G500" i="3" a="1"/>
  <c r="G500" i="3" s="1"/>
  <c r="G501" i="3" a="1"/>
  <c r="G501" i="3" s="1"/>
  <c r="G502" i="3" a="1"/>
  <c r="G502" i="3" s="1"/>
  <c r="G503" i="3" a="1"/>
  <c r="G503" i="3" s="1"/>
  <c r="G504" i="3" a="1"/>
  <c r="G504" i="3"/>
  <c r="G505" i="3" a="1"/>
  <c r="G505" i="3" s="1"/>
  <c r="G506" i="3" a="1"/>
  <c r="G506" i="3" s="1"/>
  <c r="G507" i="3" a="1"/>
  <c r="G507" i="3" s="1"/>
  <c r="G508" i="3" a="1"/>
  <c r="G508" i="3" s="1"/>
  <c r="G509" i="3" a="1"/>
  <c r="G509" i="3" s="1"/>
  <c r="G510" i="3" a="1"/>
  <c r="G510" i="3" s="1"/>
  <c r="G511" i="3" a="1"/>
  <c r="G511" i="3" s="1"/>
  <c r="G512" i="3" a="1"/>
  <c r="G512" i="3"/>
  <c r="G513" i="3" a="1"/>
  <c r="G513" i="3" s="1"/>
  <c r="G514" i="3" a="1"/>
  <c r="G514" i="3" s="1"/>
  <c r="G515" i="3" a="1"/>
  <c r="G515" i="3" s="1"/>
  <c r="G516" i="3" a="1"/>
  <c r="G516" i="3" s="1"/>
  <c r="G517" i="3" a="1"/>
  <c r="G517" i="3" s="1"/>
  <c r="G518" i="3" a="1"/>
  <c r="G518" i="3" s="1"/>
  <c r="G519" i="3" a="1"/>
  <c r="G519" i="3" s="1"/>
  <c r="G520" i="3" a="1"/>
  <c r="G520" i="3" s="1"/>
  <c r="G521" i="3" a="1"/>
  <c r="G521" i="3" s="1"/>
  <c r="G522" i="3" a="1"/>
  <c r="G522" i="3" s="1"/>
  <c r="G523" i="3" a="1"/>
  <c r="G523" i="3" s="1"/>
  <c r="G524" i="3" a="1"/>
  <c r="G524" i="3" s="1"/>
  <c r="G525" i="3" a="1"/>
  <c r="G525" i="3" s="1"/>
  <c r="G526" i="3" a="1"/>
  <c r="G526" i="3" s="1"/>
  <c r="G527" i="3" a="1"/>
  <c r="G527" i="3" s="1"/>
  <c r="G528" i="3" a="1"/>
  <c r="G528" i="3"/>
  <c r="G529" i="3" a="1"/>
  <c r="G529" i="3" s="1"/>
  <c r="G530" i="3" a="1"/>
  <c r="G530" i="3" s="1"/>
  <c r="G531" i="3" a="1"/>
  <c r="G531" i="3" s="1"/>
  <c r="G532" i="3" a="1"/>
  <c r="G532" i="3" s="1"/>
  <c r="G533" i="3" a="1"/>
  <c r="G533" i="3" s="1"/>
  <c r="G534" i="3" a="1"/>
  <c r="G534" i="3" s="1"/>
  <c r="G535" i="3" a="1"/>
  <c r="G535" i="3" s="1"/>
  <c r="G536" i="3" a="1"/>
  <c r="G536" i="3" s="1"/>
  <c r="G537" i="3" a="1"/>
  <c r="G537" i="3" s="1"/>
  <c r="G538" i="3" a="1"/>
  <c r="G538" i="3" s="1"/>
  <c r="G539" i="3" a="1"/>
  <c r="G539" i="3" s="1"/>
  <c r="G540" i="3" a="1"/>
  <c r="G540" i="3" s="1"/>
  <c r="G541" i="3" a="1"/>
  <c r="G541" i="3" s="1"/>
  <c r="G542" i="3" a="1"/>
  <c r="G542" i="3"/>
  <c r="G543" i="3" a="1"/>
  <c r="G543" i="3" s="1"/>
  <c r="G544" i="3" a="1"/>
  <c r="G544" i="3"/>
  <c r="G545" i="3" a="1"/>
  <c r="G545" i="3" s="1"/>
  <c r="G546" i="3" a="1"/>
  <c r="G546" i="3" s="1"/>
  <c r="G547" i="3" a="1"/>
  <c r="G547" i="3" s="1"/>
  <c r="G548" i="3" a="1"/>
  <c r="G548" i="3" s="1"/>
  <c r="G549" i="3" a="1"/>
  <c r="G549" i="3" s="1"/>
  <c r="G550" i="3" a="1"/>
  <c r="G550" i="3" s="1"/>
  <c r="G551" i="3" a="1"/>
  <c r="G551" i="3" s="1"/>
  <c r="G552" i="3" a="1"/>
  <c r="G552" i="3"/>
  <c r="G553" i="3" a="1"/>
  <c r="G553" i="3" s="1"/>
  <c r="G554" i="3" a="1"/>
  <c r="G554" i="3" s="1"/>
  <c r="G555" i="3" a="1"/>
  <c r="G555" i="3" s="1"/>
  <c r="G556" i="3" a="1"/>
  <c r="G556" i="3" s="1"/>
  <c r="G557" i="3" a="1"/>
  <c r="G557" i="3" s="1"/>
  <c r="G558" i="3" a="1"/>
  <c r="G558" i="3"/>
  <c r="G559" i="3" a="1"/>
  <c r="G559" i="3" s="1"/>
  <c r="G560" i="3" a="1"/>
  <c r="G560" i="3"/>
  <c r="G561" i="3" a="1"/>
  <c r="G561" i="3" s="1"/>
  <c r="G562" i="3" a="1"/>
  <c r="G562" i="3" s="1"/>
  <c r="G563" i="3" a="1"/>
  <c r="G563" i="3" s="1"/>
  <c r="G564" i="3" a="1"/>
  <c r="G564" i="3" s="1"/>
  <c r="G565" i="3" a="1"/>
  <c r="G565" i="3" s="1"/>
  <c r="G566" i="3" a="1"/>
  <c r="G566" i="3" s="1"/>
  <c r="G567" i="3" a="1"/>
  <c r="G567" i="3" s="1"/>
  <c r="G568" i="3" a="1"/>
  <c r="G568" i="3"/>
  <c r="G569" i="3" a="1"/>
  <c r="G569" i="3" s="1"/>
  <c r="G570" i="3" a="1"/>
  <c r="G570" i="3" s="1"/>
  <c r="G571" i="3" a="1"/>
  <c r="G571" i="3" s="1"/>
  <c r="G572" i="3" a="1"/>
  <c r="G572" i="3" s="1"/>
  <c r="G573" i="3" a="1"/>
  <c r="G573" i="3" s="1"/>
  <c r="G574" i="3" a="1"/>
  <c r="G574" i="3" s="1"/>
  <c r="G575" i="3" a="1"/>
  <c r="G575" i="3" s="1"/>
  <c r="G576" i="3" a="1"/>
  <c r="G576" i="3"/>
  <c r="G577" i="3" a="1"/>
  <c r="G577" i="3" s="1"/>
  <c r="G578" i="3" a="1"/>
  <c r="G578" i="3" s="1"/>
  <c r="G579" i="3" a="1"/>
  <c r="G579" i="3" s="1"/>
  <c r="G580" i="3" a="1"/>
  <c r="G580" i="3" s="1"/>
  <c r="G581" i="3" a="1"/>
  <c r="G581" i="3" s="1"/>
  <c r="G582" i="3" a="1"/>
  <c r="G582" i="3" s="1"/>
  <c r="G583" i="3" a="1"/>
  <c r="G583" i="3" s="1"/>
  <c r="G584" i="3" a="1"/>
  <c r="G584" i="3" s="1"/>
  <c r="G585" i="3" a="1"/>
  <c r="G585" i="3" s="1"/>
  <c r="G586" i="3" a="1"/>
  <c r="G586" i="3" s="1"/>
  <c r="G587" i="3" a="1"/>
  <c r="G587" i="3" s="1"/>
  <c r="G588" i="3" a="1"/>
  <c r="G588" i="3" s="1"/>
  <c r="G589" i="3" a="1"/>
  <c r="G589" i="3" s="1"/>
  <c r="G590" i="3" a="1"/>
  <c r="G590" i="3" s="1"/>
  <c r="G591" i="3" a="1"/>
  <c r="G591" i="3" s="1"/>
  <c r="G592" i="3" a="1"/>
  <c r="G592" i="3"/>
  <c r="G593" i="3" a="1"/>
  <c r="G593" i="3" s="1"/>
  <c r="G594" i="3" a="1"/>
  <c r="G594" i="3" s="1"/>
  <c r="G595" i="3" a="1"/>
  <c r="G595" i="3" s="1"/>
  <c r="G596" i="3" a="1"/>
  <c r="G596" i="3" s="1"/>
  <c r="G597" i="3" a="1"/>
  <c r="G597" i="3" s="1"/>
  <c r="G598" i="3" a="1"/>
  <c r="G598" i="3" s="1"/>
  <c r="G599" i="3" a="1"/>
  <c r="G599" i="3" s="1"/>
  <c r="G600" i="3" a="1"/>
  <c r="G600" i="3" s="1"/>
  <c r="G601" i="3" a="1"/>
  <c r="G601" i="3" s="1"/>
  <c r="G602" i="3" a="1"/>
  <c r="G602" i="3" s="1"/>
  <c r="G603" i="3" a="1"/>
  <c r="G603" i="3" s="1"/>
  <c r="G604" i="3" a="1"/>
  <c r="G604" i="3" s="1"/>
  <c r="G605" i="3" a="1"/>
  <c r="G605" i="3" s="1"/>
  <c r="G606" i="3" a="1"/>
  <c r="G606" i="3"/>
  <c r="G607" i="3" a="1"/>
  <c r="G607" i="3" s="1"/>
  <c r="G608" i="3" a="1"/>
  <c r="G608" i="3"/>
  <c r="G609" i="3" a="1"/>
  <c r="G609" i="3" s="1"/>
  <c r="G610" i="3" a="1"/>
  <c r="G610" i="3" s="1"/>
  <c r="G611" i="3" a="1"/>
  <c r="G611" i="3" s="1"/>
  <c r="G612" i="3" a="1"/>
  <c r="G612" i="3" s="1"/>
  <c r="G613" i="3" a="1"/>
  <c r="G613" i="3" s="1"/>
  <c r="G614" i="3" a="1"/>
  <c r="G614" i="3" s="1"/>
  <c r="G615" i="3" a="1"/>
  <c r="G615" i="3" s="1"/>
  <c r="G616" i="3" a="1"/>
  <c r="G616" i="3"/>
  <c r="G617" i="3" a="1"/>
  <c r="G617" i="3" s="1"/>
  <c r="G618" i="3" a="1"/>
  <c r="G618" i="3" s="1"/>
  <c r="G619" i="3" a="1"/>
  <c r="G619" i="3" s="1"/>
  <c r="G620" i="3" a="1"/>
  <c r="G620" i="3" s="1"/>
  <c r="G621" i="3" a="1"/>
  <c r="G621" i="3" s="1"/>
  <c r="G622" i="3" a="1"/>
  <c r="G622" i="3"/>
  <c r="G623" i="3" a="1"/>
  <c r="G623" i="3" s="1"/>
  <c r="G624" i="3" a="1"/>
  <c r="G624" i="3"/>
  <c r="G625" i="3" a="1"/>
  <c r="G625" i="3" s="1"/>
  <c r="G626" i="3" a="1"/>
  <c r="G626" i="3" s="1"/>
  <c r="G627" i="3" a="1"/>
  <c r="G627" i="3" s="1"/>
  <c r="G628" i="3" a="1"/>
  <c r="G628" i="3" s="1"/>
  <c r="G629" i="3" a="1"/>
  <c r="G629" i="3" s="1"/>
  <c r="G630" i="3" a="1"/>
  <c r="G630" i="3" s="1"/>
  <c r="G631" i="3" a="1"/>
  <c r="G631" i="3" s="1"/>
  <c r="G632" i="3" a="1"/>
  <c r="G632" i="3"/>
  <c r="G633" i="3" a="1"/>
  <c r="G633" i="3" s="1"/>
  <c r="G634" i="3" a="1"/>
  <c r="G634" i="3" s="1"/>
  <c r="G635" i="3" a="1"/>
  <c r="G635" i="3" s="1"/>
  <c r="G636" i="3" a="1"/>
  <c r="G636" i="3" s="1"/>
  <c r="G637" i="3" a="1"/>
  <c r="G637" i="3" s="1"/>
  <c r="G638" i="3" a="1"/>
  <c r="G638" i="3" s="1"/>
  <c r="G639" i="3" a="1"/>
  <c r="G639" i="3" s="1"/>
  <c r="G640" i="3" a="1"/>
  <c r="G640" i="3"/>
  <c r="G641" i="3" a="1"/>
  <c r="G641" i="3" s="1"/>
  <c r="G642" i="3" a="1"/>
  <c r="G642" i="3" s="1"/>
  <c r="G643" i="3" a="1"/>
  <c r="G643" i="3"/>
  <c r="G644" i="3" a="1"/>
  <c r="G644" i="3" s="1"/>
  <c r="G645" i="3" a="1"/>
  <c r="G645" i="3" s="1"/>
  <c r="G646" i="3" a="1"/>
  <c r="G646" i="3" s="1"/>
  <c r="G647" i="3" a="1"/>
  <c r="G647" i="3" s="1"/>
  <c r="G648" i="3" a="1"/>
  <c r="G648" i="3" s="1"/>
  <c r="G649" i="3" a="1"/>
  <c r="G649" i="3" s="1"/>
  <c r="G650" i="3" a="1"/>
  <c r="G650" i="3" s="1"/>
  <c r="G651" i="3" a="1"/>
  <c r="G651" i="3" s="1"/>
  <c r="G652" i="3" a="1"/>
  <c r="G652" i="3" s="1"/>
  <c r="G653" i="3" a="1"/>
  <c r="G653" i="3" s="1"/>
  <c r="G654" i="3" a="1"/>
  <c r="G654" i="3" s="1"/>
  <c r="G655" i="3" a="1"/>
  <c r="G655" i="3" s="1"/>
  <c r="G656" i="3" a="1"/>
  <c r="G656" i="3" s="1"/>
  <c r="G657" i="3" a="1"/>
  <c r="G657" i="3" s="1"/>
  <c r="G658" i="3" a="1"/>
  <c r="G658" i="3" s="1"/>
  <c r="G659" i="3" a="1"/>
  <c r="G659" i="3"/>
  <c r="G660" i="3" a="1"/>
  <c r="G660" i="3" s="1"/>
  <c r="G661" i="3" a="1"/>
  <c r="G661" i="3"/>
  <c r="G662" i="3" a="1"/>
  <c r="G662" i="3" s="1"/>
  <c r="G663" i="3" a="1"/>
  <c r="G663" i="3" s="1"/>
  <c r="G664" i="3" a="1"/>
  <c r="G664" i="3" s="1"/>
  <c r="G665" i="3" a="1"/>
  <c r="G665" i="3"/>
  <c r="G666" i="3" a="1"/>
  <c r="G666" i="3" s="1"/>
  <c r="G667" i="3" a="1"/>
  <c r="G667" i="3"/>
  <c r="G668" i="3" a="1"/>
  <c r="G668" i="3" s="1"/>
  <c r="G669" i="3" a="1"/>
  <c r="G669" i="3" s="1"/>
  <c r="G670" i="3" a="1"/>
  <c r="G670" i="3" s="1"/>
  <c r="G671" i="3" a="1"/>
  <c r="G671" i="3" s="1"/>
  <c r="G672" i="3" a="1"/>
  <c r="G672" i="3" s="1"/>
  <c r="G673" i="3" a="1"/>
  <c r="G673" i="3"/>
  <c r="G674" i="3" a="1"/>
  <c r="G674" i="3" s="1"/>
  <c r="G675" i="3" a="1"/>
  <c r="G675" i="3" s="1"/>
  <c r="G676" i="3" a="1"/>
  <c r="G676" i="3" s="1"/>
  <c r="G677" i="3" a="1"/>
  <c r="G677" i="3" s="1"/>
  <c r="G678" i="3" a="1"/>
  <c r="G678" i="3" s="1"/>
  <c r="G679" i="3" a="1"/>
  <c r="G679" i="3" s="1"/>
  <c r="G680" i="3" a="1"/>
  <c r="G680" i="3" s="1"/>
  <c r="G681" i="3" a="1"/>
  <c r="G681" i="3" s="1"/>
  <c r="G682" i="3" a="1"/>
  <c r="G682" i="3" s="1"/>
  <c r="G683" i="3" a="1"/>
  <c r="G683" i="3"/>
  <c r="G684" i="3" a="1"/>
  <c r="G684" i="3" s="1"/>
  <c r="G685" i="3" a="1"/>
  <c r="G685" i="3"/>
  <c r="G686" i="3" a="1"/>
  <c r="G686" i="3" s="1"/>
  <c r="G687" i="3" a="1"/>
  <c r="G687" i="3" s="1"/>
  <c r="G688" i="3" a="1"/>
  <c r="G688" i="3" s="1"/>
  <c r="G689" i="3" a="1"/>
  <c r="G689" i="3"/>
  <c r="G690" i="3" a="1"/>
  <c r="G690" i="3" s="1"/>
  <c r="G691" i="3" a="1"/>
  <c r="G691" i="3"/>
  <c r="G692" i="3" a="1"/>
  <c r="G692" i="3" s="1"/>
  <c r="G693" i="3" a="1"/>
  <c r="G693" i="3" s="1"/>
  <c r="G694" i="3" a="1"/>
  <c r="G694" i="3" s="1"/>
  <c r="G695" i="3" a="1"/>
  <c r="G695" i="3" s="1"/>
  <c r="G696" i="3" a="1"/>
  <c r="G696" i="3" s="1"/>
  <c r="G697" i="3" a="1"/>
  <c r="G697" i="3"/>
  <c r="G698" i="3" a="1"/>
  <c r="G698" i="3" s="1"/>
  <c r="G699" i="3" a="1"/>
  <c r="G699" i="3" s="1"/>
  <c r="G700" i="3" a="1"/>
  <c r="G700" i="3" s="1"/>
  <c r="G701" i="3" a="1"/>
  <c r="G701" i="3" s="1"/>
  <c r="G702" i="3" a="1"/>
  <c r="G702" i="3" s="1"/>
  <c r="G703" i="3" a="1"/>
  <c r="G703" i="3" s="1"/>
  <c r="G704" i="3" a="1"/>
  <c r="G704" i="3" s="1"/>
  <c r="G705" i="3" a="1"/>
  <c r="G705" i="3" s="1"/>
  <c r="G706" i="3" a="1"/>
  <c r="G706" i="3" s="1"/>
  <c r="G707" i="3" a="1"/>
  <c r="G707" i="3" s="1"/>
  <c r="G708" i="3" a="1"/>
  <c r="G708" i="3" s="1"/>
  <c r="G709" i="3" a="1"/>
  <c r="G709" i="3"/>
  <c r="G710" i="3" a="1"/>
  <c r="G710" i="3" s="1"/>
  <c r="G711" i="3" a="1"/>
  <c r="G711" i="3" s="1"/>
  <c r="G712" i="3" a="1"/>
  <c r="G712" i="3" s="1"/>
  <c r="G713" i="3" a="1"/>
  <c r="G713" i="3" s="1"/>
  <c r="G714" i="3" a="1"/>
  <c r="G714" i="3" s="1"/>
  <c r="G715" i="3" a="1"/>
  <c r="G715" i="3" s="1"/>
  <c r="G716" i="3" a="1"/>
  <c r="G716" i="3" s="1"/>
  <c r="G717" i="3" a="1"/>
  <c r="G717" i="3" s="1"/>
  <c r="G718" i="3" a="1"/>
  <c r="G718" i="3" s="1"/>
  <c r="G719" i="3" a="1"/>
  <c r="G719" i="3" s="1"/>
  <c r="G720" i="3" a="1"/>
  <c r="G720" i="3" s="1"/>
  <c r="G721" i="3" a="1"/>
  <c r="G721" i="3" s="1"/>
  <c r="G722" i="3" a="1"/>
  <c r="G722" i="3" s="1"/>
  <c r="G723" i="3" a="1"/>
  <c r="G723" i="3"/>
  <c r="G724" i="3" a="1"/>
  <c r="G724" i="3" s="1"/>
  <c r="G725" i="3" a="1"/>
  <c r="G725" i="3"/>
  <c r="G726" i="3" a="1"/>
  <c r="G726" i="3" s="1"/>
  <c r="G727" i="3" a="1"/>
  <c r="G727" i="3" s="1"/>
  <c r="G728" i="3" a="1"/>
  <c r="G728" i="3" s="1"/>
  <c r="G729" i="3" a="1"/>
  <c r="G729" i="3"/>
  <c r="G730" i="3" a="1"/>
  <c r="G730" i="3" s="1"/>
  <c r="G731" i="3" a="1"/>
  <c r="G731" i="3"/>
  <c r="G732" i="3" a="1"/>
  <c r="G732" i="3" s="1"/>
  <c r="G733" i="3" a="1"/>
  <c r="G733" i="3"/>
  <c r="G734" i="3" a="1"/>
  <c r="G734" i="3" s="1"/>
  <c r="G735" i="3" a="1"/>
  <c r="G735" i="3" s="1"/>
  <c r="G736" i="3" a="1"/>
  <c r="G736" i="3" s="1"/>
  <c r="G737" i="3" a="1"/>
  <c r="G737" i="3"/>
  <c r="G738" i="3" a="1"/>
  <c r="G738" i="3" s="1"/>
  <c r="G739" i="3" a="1"/>
  <c r="G739" i="3"/>
  <c r="G740" i="3" a="1"/>
  <c r="G740" i="3" s="1"/>
  <c r="G741" i="3" a="1"/>
  <c r="G741" i="3" s="1"/>
  <c r="G742" i="3" a="1"/>
  <c r="G742" i="3" s="1"/>
  <c r="G743" i="3" a="1"/>
  <c r="G743" i="3" s="1"/>
  <c r="G744" i="3" a="1"/>
  <c r="G744" i="3" s="1"/>
  <c r="G745" i="3" a="1"/>
  <c r="G745" i="3" s="1"/>
  <c r="G746" i="3" a="1"/>
  <c r="G746" i="3" s="1"/>
  <c r="G747" i="3" a="1"/>
  <c r="G747" i="3"/>
  <c r="G748" i="3" a="1"/>
  <c r="G748" i="3" s="1"/>
  <c r="G749" i="3" a="1"/>
  <c r="G749" i="3" s="1"/>
  <c r="G750" i="3" a="1"/>
  <c r="G750" i="3" s="1"/>
  <c r="G751" i="3" a="1"/>
  <c r="G751" i="3" s="1"/>
  <c r="G752" i="3" a="1"/>
  <c r="G752" i="3" s="1"/>
  <c r="G753" i="3" a="1"/>
  <c r="G753" i="3" s="1"/>
  <c r="G754" i="3" a="1"/>
  <c r="G754" i="3" s="1"/>
  <c r="G755" i="3" a="1"/>
  <c r="G755" i="3"/>
  <c r="G756" i="3" a="1"/>
  <c r="G756" i="3" s="1"/>
  <c r="G757" i="3" a="1"/>
  <c r="G757" i="3" s="1"/>
  <c r="G758" i="3" a="1"/>
  <c r="G758" i="3" s="1"/>
  <c r="G759" i="3" a="1"/>
  <c r="G759" i="3" s="1"/>
  <c r="G760" i="3" a="1"/>
  <c r="G760" i="3" s="1"/>
  <c r="G761" i="3" a="1"/>
  <c r="G761" i="3" s="1"/>
  <c r="G762" i="3" a="1"/>
  <c r="G762" i="3" s="1"/>
  <c r="G763" i="3" a="1"/>
  <c r="G763" i="3" s="1"/>
  <c r="G764" i="3" a="1"/>
  <c r="G764" i="3" s="1"/>
  <c r="G765" i="3" a="1"/>
  <c r="G765" i="3" s="1"/>
  <c r="G766" i="3" a="1"/>
  <c r="G766" i="3" s="1"/>
  <c r="G767" i="3" a="1"/>
  <c r="G767" i="3" s="1"/>
  <c r="G768" i="3" a="1"/>
  <c r="G768" i="3" s="1"/>
  <c r="G769" i="3" a="1"/>
  <c r="G769" i="3"/>
  <c r="G770" i="3" a="1"/>
  <c r="G770" i="3" s="1"/>
  <c r="G771" i="3" a="1"/>
  <c r="G771" i="3" s="1"/>
  <c r="G772" i="3" a="1"/>
  <c r="G772" i="3" s="1"/>
  <c r="G773" i="3" a="1"/>
  <c r="G773" i="3" s="1"/>
  <c r="G774" i="3" a="1"/>
  <c r="G774" i="3" s="1"/>
  <c r="G775" i="3" a="1"/>
  <c r="G775" i="3" s="1"/>
  <c r="G776" i="3" a="1"/>
  <c r="G776" i="3" s="1"/>
  <c r="G777" i="3" a="1"/>
  <c r="G777" i="3" s="1"/>
  <c r="G778" i="3" a="1"/>
  <c r="G778" i="3" s="1"/>
  <c r="G779" i="3" a="1"/>
  <c r="G779" i="3"/>
  <c r="G780" i="3" a="1"/>
  <c r="G780" i="3" s="1"/>
  <c r="G781" i="3" a="1"/>
  <c r="G781" i="3" s="1"/>
  <c r="G782" i="3" a="1"/>
  <c r="G782" i="3" s="1"/>
  <c r="G783" i="3" a="1"/>
  <c r="G783" i="3" s="1"/>
  <c r="G784" i="3" a="1"/>
  <c r="G784" i="3" s="1"/>
  <c r="G785" i="3" a="1"/>
  <c r="G785" i="3" s="1"/>
  <c r="G786" i="3" a="1"/>
  <c r="G786" i="3" s="1"/>
  <c r="G787" i="3" a="1"/>
  <c r="G787" i="3" s="1"/>
  <c r="G788" i="3" a="1"/>
  <c r="G788" i="3" s="1"/>
  <c r="G789" i="3" a="1"/>
  <c r="G789" i="3" s="1"/>
  <c r="G790" i="3" a="1"/>
  <c r="G790" i="3" s="1"/>
  <c r="G791" i="3" a="1"/>
  <c r="G791" i="3" s="1"/>
  <c r="G792" i="3" a="1"/>
  <c r="G792" i="3" s="1"/>
  <c r="G793" i="3" a="1"/>
  <c r="G793" i="3" s="1"/>
  <c r="G794" i="3" a="1"/>
  <c r="G794" i="3" s="1"/>
  <c r="G795" i="3" a="1"/>
  <c r="G795" i="3" s="1"/>
  <c r="G796" i="3" a="1"/>
  <c r="G796" i="3" s="1"/>
  <c r="G797" i="3" a="1"/>
  <c r="G797" i="3" s="1"/>
  <c r="G798" i="3" a="1"/>
  <c r="G798" i="3" s="1"/>
  <c r="G799" i="3" a="1"/>
  <c r="G799" i="3" s="1"/>
  <c r="G800" i="3" a="1"/>
  <c r="G800" i="3" s="1"/>
  <c r="G801" i="3" a="1"/>
  <c r="G801" i="3"/>
  <c r="G802" i="3" a="1"/>
  <c r="G802" i="3" s="1"/>
  <c r="G803" i="3" a="1"/>
  <c r="G803" i="3"/>
  <c r="G804" i="3" a="1"/>
  <c r="G804" i="3" s="1"/>
  <c r="G805" i="3" a="1"/>
  <c r="G805" i="3" s="1"/>
  <c r="G806" i="3" a="1"/>
  <c r="G806" i="3" s="1"/>
  <c r="G807" i="3" a="1"/>
  <c r="G807" i="3" s="1"/>
  <c r="G808" i="3" a="1"/>
  <c r="G808" i="3" s="1"/>
  <c r="G809" i="3" a="1"/>
  <c r="G809" i="3" s="1"/>
  <c r="G810" i="3" a="1"/>
  <c r="G810" i="3" s="1"/>
  <c r="G811" i="3" a="1"/>
  <c r="G811" i="3"/>
  <c r="G812" i="3" a="1"/>
  <c r="G812" i="3" s="1"/>
  <c r="G813" i="3" a="1"/>
  <c r="G813" i="3" s="1"/>
  <c r="G814" i="3" a="1"/>
  <c r="G814" i="3" s="1"/>
  <c r="G815" i="3" a="1"/>
  <c r="G815" i="3" s="1"/>
  <c r="G816" i="3" a="1"/>
  <c r="G816" i="3" s="1"/>
  <c r="G817" i="3" a="1"/>
  <c r="G817" i="3"/>
  <c r="G818" i="3" a="1"/>
  <c r="G818" i="3" s="1"/>
  <c r="G819" i="3" a="1"/>
  <c r="G819" i="3"/>
  <c r="G820" i="3" a="1"/>
  <c r="G820" i="3" s="1"/>
  <c r="G821" i="3" a="1"/>
  <c r="G821" i="3" s="1"/>
  <c r="G822" i="3" a="1"/>
  <c r="G822" i="3" s="1"/>
  <c r="G823" i="3" a="1"/>
  <c r="G823" i="3" s="1"/>
  <c r="G824" i="3" a="1"/>
  <c r="G824" i="3" s="1"/>
  <c r="G825" i="3" a="1"/>
  <c r="G825" i="3" s="1"/>
  <c r="G826" i="3" a="1"/>
  <c r="G826" i="3" s="1"/>
  <c r="G827" i="3" a="1"/>
  <c r="G827" i="3"/>
  <c r="G828" i="3" a="1"/>
  <c r="G828" i="3" s="1"/>
  <c r="G829" i="3" a="1"/>
  <c r="G829" i="3" s="1"/>
  <c r="G830" i="3" a="1"/>
  <c r="G830" i="3" s="1"/>
  <c r="G831" i="3" a="1"/>
  <c r="G831" i="3" s="1"/>
  <c r="G832" i="3" a="1"/>
  <c r="G832" i="3" s="1"/>
  <c r="G833" i="3" a="1"/>
  <c r="G833" i="3"/>
  <c r="G834" i="3" a="1"/>
  <c r="G834" i="3" s="1"/>
  <c r="G835" i="3" a="1"/>
  <c r="G835" i="3" s="1"/>
  <c r="G836" i="3" a="1"/>
  <c r="G836" i="3" s="1"/>
  <c r="G837" i="3" a="1"/>
  <c r="G837" i="3" s="1"/>
  <c r="G838" i="3" a="1"/>
  <c r="G838" i="3" s="1"/>
  <c r="G839" i="3" a="1"/>
  <c r="G839" i="3" s="1"/>
  <c r="G840" i="3" a="1"/>
  <c r="G840" i="3" s="1"/>
  <c r="G841" i="3" a="1"/>
  <c r="G841" i="3" s="1"/>
  <c r="G842" i="3" a="1"/>
  <c r="G842" i="3" s="1"/>
  <c r="G843" i="3" a="1"/>
  <c r="G843" i="3"/>
  <c r="G844" i="3" a="1"/>
  <c r="G844" i="3" s="1"/>
  <c r="G845" i="3" a="1"/>
  <c r="G845" i="3" s="1"/>
  <c r="G846" i="3" a="1"/>
  <c r="G846" i="3" s="1"/>
  <c r="G847" i="3" a="1"/>
  <c r="G847" i="3" s="1"/>
  <c r="G848" i="3" a="1"/>
  <c r="G848" i="3" s="1"/>
  <c r="G849" i="3" a="1"/>
  <c r="G849" i="3" s="1"/>
  <c r="G850" i="3" a="1"/>
  <c r="G850" i="3" s="1"/>
  <c r="G851" i="3" a="1"/>
  <c r="G851" i="3" s="1"/>
  <c r="G852" i="3" a="1"/>
  <c r="G852" i="3" s="1"/>
  <c r="G853" i="3" a="1"/>
  <c r="G853" i="3" s="1"/>
  <c r="G854" i="3" a="1"/>
  <c r="G854" i="3" s="1"/>
  <c r="G855" i="3" a="1"/>
  <c r="G855" i="3" s="1"/>
  <c r="G856" i="3" a="1"/>
  <c r="G856" i="3" s="1"/>
  <c r="G857" i="3" a="1"/>
  <c r="G857" i="3" s="1"/>
  <c r="G858" i="3" a="1"/>
  <c r="G858" i="3" s="1"/>
  <c r="G859" i="3" a="1"/>
  <c r="G859" i="3" s="1"/>
  <c r="G860" i="3" a="1"/>
  <c r="G860" i="3" s="1"/>
  <c r="G861" i="3" a="1"/>
  <c r="G861" i="3" s="1"/>
  <c r="G862" i="3" a="1"/>
  <c r="G862" i="3" s="1"/>
  <c r="G863" i="3" a="1"/>
  <c r="G863" i="3" s="1"/>
  <c r="G864" i="3" a="1"/>
  <c r="G864" i="3" s="1"/>
  <c r="G865" i="3" a="1"/>
  <c r="G865" i="3"/>
  <c r="G866" i="3" a="1"/>
  <c r="G866" i="3" s="1"/>
  <c r="G867" i="3" a="1"/>
  <c r="G867" i="3" s="1"/>
  <c r="G868" i="3" a="1"/>
  <c r="G868" i="3" s="1"/>
  <c r="G869" i="3" a="1"/>
  <c r="G869" i="3" s="1"/>
  <c r="G870" i="3" a="1"/>
  <c r="G870" i="3" s="1"/>
  <c r="G871" i="3" a="1"/>
  <c r="G871" i="3" s="1"/>
  <c r="G872" i="3" a="1"/>
  <c r="G872" i="3" s="1"/>
  <c r="G873" i="3" a="1"/>
  <c r="G873" i="3" s="1"/>
  <c r="G874" i="3" a="1"/>
  <c r="G874" i="3" s="1"/>
  <c r="G875" i="3" a="1"/>
  <c r="G875" i="3"/>
  <c r="G876" i="3" a="1"/>
  <c r="G876" i="3" s="1"/>
  <c r="G877" i="3" a="1"/>
  <c r="G877" i="3" s="1"/>
  <c r="G878" i="3" a="1"/>
  <c r="G878" i="3" s="1"/>
  <c r="G879" i="3" a="1"/>
  <c r="G879" i="3" s="1"/>
  <c r="G880" i="3" a="1"/>
  <c r="G880" i="3" s="1"/>
  <c r="G881" i="3" a="1"/>
  <c r="G881" i="3" s="1"/>
  <c r="G882" i="3" a="1"/>
  <c r="G882" i="3" s="1"/>
  <c r="G883" i="3" a="1"/>
  <c r="G883" i="3"/>
  <c r="G884" i="3" a="1"/>
  <c r="G884" i="3" s="1"/>
  <c r="G885" i="3" a="1"/>
  <c r="G885" i="3" s="1"/>
  <c r="G886" i="3" a="1"/>
  <c r="G886" i="3" s="1"/>
  <c r="G887" i="3" a="1"/>
  <c r="G887" i="3" s="1"/>
  <c r="G888" i="3" a="1"/>
  <c r="G888" i="3" s="1"/>
  <c r="G889" i="3" a="1"/>
  <c r="G889" i="3" s="1"/>
  <c r="G890" i="3" a="1"/>
  <c r="G890" i="3" s="1"/>
  <c r="G891" i="3" a="1"/>
  <c r="G891" i="3" s="1"/>
  <c r="G892" i="3" a="1"/>
  <c r="G892" i="3" s="1"/>
  <c r="G893" i="3" a="1"/>
  <c r="G893" i="3" s="1"/>
  <c r="G894" i="3" a="1"/>
  <c r="G894" i="3" s="1"/>
  <c r="G895" i="3" a="1"/>
  <c r="G895" i="3" s="1"/>
  <c r="G896" i="3" a="1"/>
  <c r="G896" i="3" s="1"/>
  <c r="G897" i="3" a="1"/>
  <c r="G897" i="3"/>
  <c r="G898" i="3" a="1"/>
  <c r="G898" i="3" s="1"/>
  <c r="G899" i="3" a="1"/>
  <c r="G899" i="3" s="1"/>
  <c r="G900" i="3" a="1"/>
  <c r="G900" i="3" s="1"/>
  <c r="G901" i="3" a="1"/>
  <c r="G901" i="3" s="1"/>
  <c r="G902" i="3" a="1"/>
  <c r="G902" i="3" s="1"/>
  <c r="G903" i="3" a="1"/>
  <c r="G903" i="3" s="1"/>
  <c r="G904" i="3" a="1"/>
  <c r="G904" i="3" s="1"/>
  <c r="G905" i="3" a="1"/>
  <c r="G905" i="3" s="1"/>
  <c r="G906" i="3" a="1"/>
  <c r="G906" i="3" s="1"/>
  <c r="G907" i="3" a="1"/>
  <c r="G907" i="3"/>
  <c r="G908" i="3" a="1"/>
  <c r="G908" i="3" s="1"/>
  <c r="G909" i="3" a="1"/>
  <c r="G909" i="3" s="1"/>
  <c r="G910" i="3" a="1"/>
  <c r="G910" i="3" s="1"/>
  <c r="G911" i="3" a="1"/>
  <c r="G911" i="3" s="1"/>
  <c r="G912" i="3" a="1"/>
  <c r="G912" i="3" s="1"/>
  <c r="G913" i="3" a="1"/>
  <c r="G913" i="3" s="1"/>
  <c r="G914" i="3" a="1"/>
  <c r="G914" i="3" s="1"/>
  <c r="G915" i="3" a="1"/>
  <c r="G915" i="3"/>
  <c r="G916" i="3" a="1"/>
  <c r="G916" i="3" s="1"/>
  <c r="G917" i="3" a="1"/>
  <c r="G917" i="3" s="1"/>
  <c r="G918" i="3" a="1"/>
  <c r="G918" i="3" s="1"/>
  <c r="G919" i="3" a="1"/>
  <c r="G919" i="3" s="1"/>
  <c r="G920" i="3" a="1"/>
  <c r="G920" i="3" s="1"/>
  <c r="G921" i="3" a="1"/>
  <c r="G921" i="3" s="1"/>
  <c r="G922" i="3" a="1"/>
  <c r="G922" i="3" s="1"/>
  <c r="G923" i="3" a="1"/>
  <c r="G923" i="3" s="1"/>
  <c r="G924" i="3" a="1"/>
  <c r="G924" i="3" s="1"/>
  <c r="G925" i="3" a="1"/>
  <c r="G925" i="3" s="1"/>
  <c r="G926" i="3" a="1"/>
  <c r="G926" i="3" s="1"/>
  <c r="G927" i="3" a="1"/>
  <c r="G927" i="3" s="1"/>
  <c r="G928" i="3" a="1"/>
  <c r="G928" i="3" s="1"/>
  <c r="G929" i="3" a="1"/>
  <c r="G929" i="3" s="1"/>
  <c r="G930" i="3" a="1"/>
  <c r="G930" i="3" s="1"/>
  <c r="G931" i="3" a="1"/>
  <c r="G931" i="3" s="1"/>
  <c r="G932" i="3" a="1"/>
  <c r="G932" i="3" s="1"/>
  <c r="G933" i="3" a="1"/>
  <c r="G933" i="3" s="1"/>
  <c r="G934" i="3" a="1"/>
  <c r="G934" i="3" s="1"/>
  <c r="G935" i="3" a="1"/>
  <c r="G935" i="3" s="1"/>
  <c r="G936" i="3" a="1"/>
  <c r="G936" i="3" s="1"/>
  <c r="G937" i="3" a="1"/>
  <c r="G937" i="3" s="1"/>
  <c r="G938" i="3" a="1"/>
  <c r="G938" i="3" s="1"/>
  <c r="G939" i="3" a="1"/>
  <c r="G939" i="3" s="1"/>
  <c r="G940" i="3" a="1"/>
  <c r="G940" i="3" s="1"/>
  <c r="G941" i="3" a="1"/>
  <c r="G941" i="3" s="1"/>
  <c r="G942" i="3" a="1"/>
  <c r="G942" i="3" s="1"/>
  <c r="G943" i="3" a="1"/>
  <c r="G943" i="3" s="1"/>
  <c r="G944" i="3" a="1"/>
  <c r="G944" i="3" s="1"/>
  <c r="G945" i="3" a="1"/>
  <c r="G945" i="3"/>
  <c r="G946" i="3" a="1"/>
  <c r="G946" i="3" s="1"/>
  <c r="G947" i="3" a="1"/>
  <c r="G947" i="3"/>
  <c r="G948" i="3" a="1"/>
  <c r="G948" i="3" s="1"/>
  <c r="G949" i="3" a="1"/>
  <c r="G949" i="3" s="1"/>
  <c r="G950" i="3" a="1"/>
  <c r="G950" i="3" s="1"/>
  <c r="G951" i="3" a="1"/>
  <c r="G951" i="3" s="1"/>
  <c r="G952" i="3" a="1"/>
  <c r="G952" i="3" s="1"/>
  <c r="G953" i="3" a="1"/>
  <c r="G953" i="3" s="1"/>
  <c r="G954" i="3" a="1"/>
  <c r="G954" i="3" s="1"/>
  <c r="G955" i="3" a="1"/>
  <c r="G955" i="3"/>
  <c r="G956" i="3" a="1"/>
  <c r="G956" i="3" s="1"/>
  <c r="G957" i="3" a="1"/>
  <c r="G957" i="3" s="1"/>
  <c r="G958" i="3" a="1"/>
  <c r="G958" i="3" s="1"/>
  <c r="G959" i="3" a="1"/>
  <c r="G959" i="3" s="1"/>
  <c r="G960" i="3" a="1"/>
  <c r="G960" i="3" s="1"/>
  <c r="G961" i="3" a="1"/>
  <c r="G961" i="3"/>
  <c r="G962" i="3" a="1"/>
  <c r="G962" i="3" s="1"/>
  <c r="G963" i="3" a="1"/>
  <c r="G963" i="3" s="1"/>
  <c r="G964" i="3" a="1"/>
  <c r="G964" i="3" s="1"/>
  <c r="G965" i="3" a="1"/>
  <c r="G965" i="3" s="1"/>
  <c r="G966" i="3" a="1"/>
  <c r="G966" i="3" s="1"/>
  <c r="G967" i="3" a="1"/>
  <c r="G967" i="3" s="1"/>
  <c r="G968" i="3" a="1"/>
  <c r="G968" i="3" s="1"/>
  <c r="G969" i="3" a="1"/>
  <c r="G969" i="3" s="1"/>
  <c r="G970" i="3" a="1"/>
  <c r="G970" i="3" s="1"/>
  <c r="G971" i="3" a="1"/>
  <c r="G971" i="3"/>
  <c r="G972" i="3" a="1"/>
  <c r="G972" i="3" s="1"/>
  <c r="G973" i="3" a="1"/>
  <c r="G973" i="3" s="1"/>
  <c r="G974" i="3" a="1"/>
  <c r="G974" i="3" s="1"/>
  <c r="G975" i="3" a="1"/>
  <c r="G975" i="3" s="1"/>
  <c r="G976" i="3" a="1"/>
  <c r="G976" i="3" s="1"/>
  <c r="G977" i="3" a="1"/>
  <c r="G977" i="3" s="1"/>
  <c r="G978" i="3" a="1"/>
  <c r="G978" i="3" s="1"/>
  <c r="G979" i="3" a="1"/>
  <c r="G979" i="3" s="1"/>
  <c r="G980" i="3" a="1"/>
  <c r="G980" i="3" s="1"/>
  <c r="G981" i="3" a="1"/>
  <c r="G981" i="3" s="1"/>
  <c r="G982" i="3" a="1"/>
  <c r="G982" i="3" s="1"/>
  <c r="G983" i="3" a="1"/>
  <c r="G983" i="3" s="1"/>
  <c r="G984" i="3" a="1"/>
  <c r="G984" i="3" s="1"/>
  <c r="G985" i="3" a="1"/>
  <c r="G985" i="3" s="1"/>
  <c r="G986" i="3" a="1"/>
  <c r="G986" i="3" s="1"/>
  <c r="G987" i="3" a="1"/>
  <c r="G987" i="3" s="1"/>
  <c r="G988" i="3" a="1"/>
  <c r="G988" i="3" s="1"/>
  <c r="G989" i="3" a="1"/>
  <c r="G989" i="3" s="1"/>
  <c r="G990" i="3" a="1"/>
  <c r="G990" i="3" s="1"/>
  <c r="G991" i="3" a="1"/>
  <c r="G991" i="3" s="1"/>
  <c r="G992" i="3" a="1"/>
  <c r="G992" i="3" s="1"/>
  <c r="G993" i="3" a="1"/>
  <c r="G993" i="3"/>
  <c r="G994" i="3" a="1"/>
  <c r="G994" i="3" s="1"/>
  <c r="G995" i="3" a="1"/>
  <c r="G995" i="3" s="1"/>
  <c r="G996" i="3" a="1"/>
  <c r="G996" i="3" s="1"/>
  <c r="G997" i="3" a="1"/>
  <c r="G997" i="3" s="1"/>
  <c r="G998" i="3" a="1"/>
  <c r="G998" i="3" s="1"/>
  <c r="G999" i="3" a="1"/>
  <c r="G999" i="3" s="1"/>
  <c r="G1000" i="3" a="1"/>
  <c r="G1000" i="3" s="1"/>
  <c r="G1001" i="3" a="1"/>
  <c r="G1001" i="3" s="1"/>
  <c r="G1002" i="3" a="1"/>
  <c r="G1002" i="3" s="1"/>
  <c r="G1003" i="3" a="1"/>
  <c r="G1003" i="3"/>
  <c r="G1004" i="3" a="1"/>
  <c r="G1004" i="3" s="1"/>
  <c r="G1005" i="3" a="1"/>
  <c r="G1005" i="3" s="1"/>
  <c r="G1006" i="3" a="1"/>
  <c r="G1006" i="3" s="1"/>
  <c r="G1007" i="3" a="1"/>
  <c r="G1007" i="3" s="1"/>
  <c r="G1008" i="3" a="1"/>
  <c r="G1008" i="3" s="1"/>
  <c r="G1009" i="3" a="1"/>
  <c r="G1009" i="3" s="1"/>
  <c r="G1010" i="3" a="1"/>
  <c r="G1010" i="3" s="1"/>
  <c r="G1011" i="3" a="1"/>
  <c r="G1011" i="3"/>
  <c r="G1012" i="3" a="1"/>
  <c r="G1012" i="3" s="1"/>
  <c r="G1013" i="3" a="1"/>
  <c r="G1013" i="3" s="1"/>
  <c r="G1014" i="3" a="1"/>
  <c r="G1014" i="3" s="1"/>
  <c r="G1015" i="3" a="1"/>
  <c r="G1015" i="3" s="1"/>
  <c r="G1016" i="3" a="1"/>
  <c r="G1016" i="3" s="1"/>
  <c r="G1017" i="3" a="1"/>
  <c r="G1017" i="3" s="1"/>
  <c r="G1018" i="3" a="1"/>
  <c r="G1018" i="3" s="1"/>
  <c r="G1019" i="3" a="1"/>
  <c r="G1019" i="3" s="1"/>
  <c r="G1020" i="3" a="1"/>
  <c r="G1020" i="3" s="1"/>
  <c r="G1021" i="3" a="1"/>
  <c r="G1021" i="3" s="1"/>
  <c r="G1022" i="3" a="1"/>
  <c r="G1022" i="3" s="1"/>
  <c r="G1023" i="3" a="1"/>
  <c r="G1023" i="3" s="1"/>
  <c r="G1024" i="3" a="1"/>
  <c r="G1024" i="3" s="1"/>
  <c r="G1025" i="3" a="1"/>
  <c r="G1025" i="3"/>
  <c r="G1026" i="3" a="1"/>
  <c r="G1026" i="3" s="1"/>
  <c r="G1027" i="3" a="1"/>
  <c r="G1027" i="3" s="1"/>
  <c r="G1028" i="3" a="1"/>
  <c r="G1028" i="3" s="1"/>
  <c r="G1029" i="3" a="1"/>
  <c r="G1029" i="3" s="1"/>
  <c r="G1030" i="3" a="1"/>
  <c r="G1030" i="3" s="1"/>
  <c r="G1031" i="3" a="1"/>
  <c r="G1031" i="3" s="1"/>
  <c r="G1032" i="3" a="1"/>
  <c r="G1032" i="3" s="1"/>
  <c r="G1033" i="3" a="1"/>
  <c r="G1033" i="3" s="1"/>
  <c r="G1034" i="3" a="1"/>
  <c r="G1034" i="3" s="1"/>
  <c r="G1035" i="3" a="1"/>
  <c r="G1035" i="3"/>
  <c r="G1036" i="3" a="1"/>
  <c r="G1036" i="3" s="1"/>
  <c r="G1037" i="3" a="1"/>
  <c r="G1037" i="3" s="1"/>
  <c r="G1038" i="3" a="1"/>
  <c r="G1038" i="3" s="1"/>
  <c r="G1039" i="3" a="1"/>
  <c r="G1039" i="3" s="1"/>
  <c r="G1040" i="3" a="1"/>
  <c r="G1040" i="3" s="1"/>
  <c r="G1041" i="3" a="1"/>
  <c r="G1041" i="3" s="1"/>
  <c r="G1042" i="3" a="1"/>
  <c r="G1042" i="3" s="1"/>
  <c r="G1043" i="3" a="1"/>
  <c r="G1043" i="3" s="1"/>
  <c r="G1044" i="3" a="1"/>
  <c r="G1044" i="3" s="1"/>
  <c r="G1045" i="3" a="1"/>
  <c r="G1045" i="3" s="1"/>
  <c r="G1046" i="3" a="1"/>
  <c r="G1046" i="3" s="1"/>
  <c r="G1047" i="3" a="1"/>
  <c r="G1047" i="3" s="1"/>
  <c r="G1048" i="3" a="1"/>
  <c r="G1048" i="3" s="1"/>
  <c r="G1049" i="3" a="1"/>
  <c r="G1049" i="3" s="1"/>
  <c r="G1050" i="3" a="1"/>
  <c r="G1050" i="3" s="1"/>
  <c r="G1051" i="3" a="1"/>
  <c r="G1051" i="3" s="1"/>
  <c r="G1052" i="3" a="1"/>
  <c r="G1052" i="3" s="1"/>
  <c r="G1053" i="3" a="1"/>
  <c r="G1053" i="3" s="1"/>
  <c r="G1054" i="3" a="1"/>
  <c r="G1054" i="3" s="1"/>
  <c r="G1055" i="3" a="1"/>
  <c r="G1055" i="3" s="1"/>
  <c r="G1056" i="3" a="1"/>
  <c r="G1056" i="3" s="1"/>
  <c r="G1057" i="3" a="1"/>
  <c r="G1057" i="3"/>
  <c r="G1058" i="3" a="1"/>
  <c r="G1058" i="3" s="1"/>
  <c r="G1059" i="3" a="1"/>
  <c r="G1059" i="3"/>
  <c r="G1060" i="3" a="1"/>
  <c r="G1060" i="3" s="1"/>
  <c r="G1061" i="3" a="1"/>
  <c r="G1061" i="3" s="1"/>
  <c r="G1062" i="3" a="1"/>
  <c r="G1062" i="3" s="1"/>
  <c r="G1063" i="3" a="1"/>
  <c r="G1063" i="3" s="1"/>
  <c r="G1064" i="3" a="1"/>
  <c r="G1064" i="3" s="1"/>
  <c r="G1065" i="3" a="1"/>
  <c r="G1065" i="3" s="1"/>
  <c r="G1066" i="3" a="1"/>
  <c r="G1066" i="3" s="1"/>
  <c r="G1067" i="3" a="1"/>
  <c r="G1067" i="3"/>
  <c r="G1068" i="3" a="1"/>
  <c r="G1068" i="3" s="1"/>
  <c r="G1069" i="3" a="1"/>
  <c r="G1069" i="3" s="1"/>
  <c r="G1070" i="3" a="1"/>
  <c r="G1070" i="3" s="1"/>
  <c r="G1071" i="3" a="1"/>
  <c r="G1071" i="3" s="1"/>
  <c r="G1072" i="3" a="1"/>
  <c r="G1072" i="3" s="1"/>
  <c r="G1073" i="3" a="1"/>
  <c r="G1073" i="3"/>
  <c r="G1074" i="3" a="1"/>
  <c r="G1074" i="3" s="1"/>
  <c r="G1075" i="3" a="1"/>
  <c r="G1075" i="3"/>
  <c r="G1076" i="3" a="1"/>
  <c r="G1076" i="3" s="1"/>
  <c r="G1077" i="3" a="1"/>
  <c r="G1077" i="3" s="1"/>
  <c r="G1078" i="3" a="1"/>
  <c r="G1078" i="3" s="1"/>
  <c r="G1079" i="3" a="1"/>
  <c r="G1079" i="3" s="1"/>
  <c r="G1080" i="3" a="1"/>
  <c r="G1080" i="3" s="1"/>
  <c r="G1081" i="3" a="1"/>
  <c r="G1081" i="3" s="1"/>
  <c r="G1082" i="3" a="1"/>
  <c r="G1082" i="3" s="1"/>
  <c r="G1083" i="3" a="1"/>
  <c r="G1083" i="3"/>
  <c r="G1084" i="3" a="1"/>
  <c r="G1084" i="3" s="1"/>
  <c r="G1085" i="3" a="1"/>
  <c r="G1085" i="3" s="1"/>
  <c r="G1086" i="3" a="1"/>
  <c r="G1086" i="3" s="1"/>
  <c r="G1087" i="3" a="1"/>
  <c r="G1087" i="3" s="1"/>
  <c r="G1088" i="3" a="1"/>
  <c r="G1088" i="3" s="1"/>
  <c r="G1089" i="3" a="1"/>
  <c r="G1089" i="3"/>
  <c r="G1090" i="3" a="1"/>
  <c r="G1090" i="3" s="1"/>
  <c r="G1091" i="3" a="1"/>
  <c r="G1091" i="3" s="1"/>
  <c r="G1092" i="3" a="1"/>
  <c r="G1092" i="3" s="1"/>
  <c r="G1093" i="3" a="1"/>
  <c r="G1093" i="3" s="1"/>
  <c r="G1094" i="3" a="1"/>
  <c r="G1094" i="3" s="1"/>
  <c r="G1095" i="3" a="1"/>
  <c r="G1095" i="3" s="1"/>
  <c r="G1096" i="3" a="1"/>
  <c r="G1096" i="3" s="1"/>
  <c r="G1097" i="3" a="1"/>
  <c r="G1097" i="3" s="1"/>
  <c r="G1098" i="3" a="1"/>
  <c r="G1098" i="3" s="1"/>
  <c r="G1099" i="3" a="1"/>
  <c r="G1099" i="3"/>
  <c r="G1100" i="3" a="1"/>
  <c r="G1100" i="3" s="1"/>
  <c r="G1101" i="3" a="1"/>
  <c r="G1101" i="3" s="1"/>
  <c r="G1102" i="3" a="1"/>
  <c r="G1102" i="3" s="1"/>
  <c r="G1103" i="3" a="1"/>
  <c r="G1103" i="3" s="1"/>
  <c r="G1104" i="3" a="1"/>
  <c r="G1104" i="3" s="1"/>
  <c r="G1105" i="3" a="1"/>
  <c r="G1105" i="3" s="1"/>
  <c r="G1106" i="3" a="1"/>
  <c r="G1106" i="3" s="1"/>
  <c r="G1107" i="3" a="1"/>
  <c r="G1107" i="3" s="1"/>
  <c r="G1108" i="3" a="1"/>
  <c r="G1108" i="3" s="1"/>
  <c r="G1109" i="3" a="1"/>
  <c r="G1109" i="3" s="1"/>
  <c r="G1110" i="3" a="1"/>
  <c r="G1110" i="3" s="1"/>
  <c r="G1111" i="3" a="1"/>
  <c r="G1111" i="3" s="1"/>
  <c r="G1112" i="3" a="1"/>
  <c r="G1112" i="3" s="1"/>
  <c r="G1113" i="3" a="1"/>
  <c r="G1113" i="3" s="1"/>
  <c r="G1114" i="3" a="1"/>
  <c r="G1114" i="3" s="1"/>
  <c r="G1115" i="3" a="1"/>
  <c r="G1115" i="3" s="1"/>
  <c r="G1116" i="3" a="1"/>
  <c r="G1116" i="3" s="1"/>
  <c r="G1117" i="3" a="1"/>
  <c r="G1117" i="3" s="1"/>
  <c r="G1118" i="3" a="1"/>
  <c r="G1118" i="3" s="1"/>
  <c r="G1119" i="3" a="1"/>
  <c r="G1119" i="3" s="1"/>
  <c r="G1120" i="3" a="1"/>
  <c r="G1120" i="3" s="1"/>
  <c r="G1121" i="3" a="1"/>
  <c r="G1121" i="3"/>
  <c r="G1122" i="3" a="1"/>
  <c r="G1122" i="3" s="1"/>
  <c r="G1123" i="3" a="1"/>
  <c r="G1123" i="3" s="1"/>
  <c r="G1124" i="3" a="1"/>
  <c r="G1124" i="3" s="1"/>
  <c r="G1125" i="3" a="1"/>
  <c r="G1125" i="3" s="1"/>
  <c r="G1126" i="3" a="1"/>
  <c r="G1126" i="3" s="1"/>
  <c r="G1127" i="3" a="1"/>
  <c r="G1127" i="3" s="1"/>
  <c r="G1128" i="3" a="1"/>
  <c r="G1128" i="3" s="1"/>
  <c r="G1129" i="3" a="1"/>
  <c r="G1129" i="3" s="1"/>
  <c r="G1130" i="3" a="1"/>
  <c r="G1130" i="3" s="1"/>
  <c r="G1131" i="3" a="1"/>
  <c r="G1131" i="3"/>
  <c r="G1132" i="3" a="1"/>
  <c r="G1132" i="3" s="1"/>
  <c r="G1133" i="3" a="1"/>
  <c r="G1133" i="3" s="1"/>
  <c r="G1134" i="3" a="1"/>
  <c r="G1134" i="3" s="1"/>
  <c r="G1135" i="3" a="1"/>
  <c r="G1135" i="3" s="1"/>
  <c r="G1136" i="3" a="1"/>
  <c r="G1136" i="3" s="1"/>
  <c r="G1137" i="3" a="1"/>
  <c r="G1137" i="3" s="1"/>
  <c r="G1138" i="3" a="1"/>
  <c r="G1138" i="3" s="1"/>
  <c r="G1139" i="3" a="1"/>
  <c r="G1139" i="3"/>
  <c r="G1140" i="3" a="1"/>
  <c r="G1140" i="3" s="1"/>
  <c r="G1141" i="3" a="1"/>
  <c r="G1141" i="3" s="1"/>
  <c r="G1142" i="3" a="1"/>
  <c r="G1142" i="3" s="1"/>
  <c r="G1143" i="3" a="1"/>
  <c r="G1143" i="3" s="1"/>
  <c r="G1144" i="3" a="1"/>
  <c r="G1144" i="3" s="1"/>
  <c r="G1145" i="3" a="1"/>
  <c r="G1145" i="3" s="1"/>
  <c r="G1146" i="3" a="1"/>
  <c r="G1146" i="3" s="1"/>
  <c r="G1147" i="3" a="1"/>
  <c r="G1147" i="3" s="1"/>
  <c r="G1148" i="3" a="1"/>
  <c r="G1148" i="3" s="1"/>
  <c r="G1149" i="3" a="1"/>
  <c r="G1149" i="3" s="1"/>
  <c r="G1150" i="3" a="1"/>
  <c r="G1150" i="3" s="1"/>
  <c r="G1151" i="3" a="1"/>
  <c r="G1151" i="3" s="1"/>
  <c r="G1152" i="3" a="1"/>
  <c r="G1152" i="3" s="1"/>
  <c r="G1153" i="3" a="1"/>
  <c r="G1153" i="3"/>
  <c r="G1154" i="3" a="1"/>
  <c r="G1154" i="3" s="1"/>
  <c r="G1155" i="3" a="1"/>
  <c r="G1155" i="3" s="1"/>
  <c r="G1156" i="3" a="1"/>
  <c r="G1156" i="3" s="1"/>
  <c r="G1157" i="3" a="1"/>
  <c r="G1157" i="3" s="1"/>
  <c r="G1158" i="3" a="1"/>
  <c r="G1158" i="3" s="1"/>
  <c r="G1159" i="3" a="1"/>
  <c r="G1159" i="3" s="1"/>
  <c r="G1160" i="3" a="1"/>
  <c r="G1160" i="3" s="1"/>
  <c r="G1161" i="3" a="1"/>
  <c r="G1161" i="3" s="1"/>
  <c r="G1162" i="3" a="1"/>
  <c r="G1162" i="3" s="1"/>
  <c r="G1163" i="3" a="1"/>
  <c r="G1163" i="3"/>
  <c r="G1164" i="3" a="1"/>
  <c r="G1164" i="3" s="1"/>
  <c r="G1165" i="3" a="1"/>
  <c r="G1165" i="3" s="1"/>
  <c r="G1166" i="3" a="1"/>
  <c r="G1166" i="3" s="1"/>
  <c r="G1167" i="3" a="1"/>
  <c r="G1167" i="3" s="1"/>
  <c r="G1168" i="3" a="1"/>
  <c r="G1168" i="3" s="1"/>
  <c r="G1169" i="3" a="1"/>
  <c r="G1169" i="3" s="1"/>
  <c r="G1170" i="3" a="1"/>
  <c r="G1170" i="3" s="1"/>
  <c r="G1171" i="3" a="1"/>
  <c r="G1171" i="3"/>
  <c r="G1172" i="3" a="1"/>
  <c r="G1172" i="3" s="1"/>
  <c r="G1173" i="3" a="1"/>
  <c r="G1173" i="3" s="1"/>
  <c r="G1174" i="3" a="1"/>
  <c r="G1174" i="3" s="1"/>
  <c r="G1175" i="3" a="1"/>
  <c r="G1175" i="3" s="1"/>
  <c r="G1176" i="3" a="1"/>
  <c r="G1176" i="3" s="1"/>
  <c r="G1177" i="3" a="1"/>
  <c r="G1177" i="3" s="1"/>
  <c r="G1178" i="3" a="1"/>
  <c r="G1178" i="3" s="1"/>
  <c r="G1179" i="3" a="1"/>
  <c r="G1179" i="3" s="1"/>
  <c r="G1180" i="3" a="1"/>
  <c r="G1180" i="3" s="1"/>
  <c r="G1181" i="3" a="1"/>
  <c r="G1181" i="3" s="1"/>
  <c r="G1182" i="3" a="1"/>
  <c r="G1182" i="3" s="1"/>
  <c r="G1183" i="3" a="1"/>
  <c r="G1183" i="3" s="1"/>
  <c r="G1184" i="3" a="1"/>
  <c r="G1184" i="3" s="1"/>
  <c r="G1185" i="3" a="1"/>
  <c r="G1185" i="3" s="1"/>
  <c r="G1186" i="3" a="1"/>
  <c r="G1186" i="3" s="1"/>
  <c r="G1187" i="3" a="1"/>
  <c r="G1187" i="3" s="1"/>
  <c r="G1188" i="3" a="1"/>
  <c r="G1188" i="3" s="1"/>
  <c r="G1189" i="3" a="1"/>
  <c r="G1189" i="3" s="1"/>
  <c r="G1190" i="3" a="1"/>
  <c r="G1190" i="3" s="1"/>
  <c r="G1191" i="3" a="1"/>
  <c r="G1191" i="3" s="1"/>
  <c r="G1192" i="3" a="1"/>
  <c r="G1192" i="3" s="1"/>
  <c r="G1193" i="3" a="1"/>
  <c r="G1193" i="3" s="1"/>
  <c r="G1194" i="3" a="1"/>
  <c r="G1194" i="3" s="1"/>
  <c r="G1195" i="3" a="1"/>
  <c r="G1195" i="3" s="1"/>
  <c r="G1196" i="3" a="1"/>
  <c r="G1196" i="3" s="1"/>
  <c r="G1197" i="3" a="1"/>
  <c r="G1197" i="3" s="1"/>
  <c r="G1198" i="3" a="1"/>
  <c r="G1198" i="3" s="1"/>
  <c r="G1199" i="3" a="1"/>
  <c r="G1199" i="3" s="1"/>
  <c r="G1200" i="3" a="1"/>
  <c r="G1200" i="3" s="1"/>
  <c r="G1201" i="3" a="1"/>
  <c r="G1201" i="3"/>
  <c r="G1202" i="3" a="1"/>
  <c r="G1202" i="3" s="1"/>
  <c r="G1203" i="3" a="1"/>
  <c r="G1203" i="3"/>
  <c r="G1204" i="3" a="1"/>
  <c r="G1204" i="3" s="1"/>
  <c r="G1205" i="3" a="1"/>
  <c r="G1205" i="3" s="1"/>
  <c r="G1206" i="3" a="1"/>
  <c r="G1206" i="3" s="1"/>
  <c r="G1207" i="3" a="1"/>
  <c r="G1207" i="3" s="1"/>
  <c r="G1208" i="3" a="1"/>
  <c r="G1208" i="3" s="1"/>
  <c r="G1209" i="3" a="1"/>
  <c r="G1209" i="3" s="1"/>
  <c r="G1210" i="3" a="1"/>
  <c r="G1210" i="3" s="1"/>
  <c r="G1211" i="3" a="1"/>
  <c r="G1211" i="3"/>
  <c r="G1212" i="3" a="1"/>
  <c r="G1212" i="3" s="1"/>
  <c r="G1213" i="3" a="1"/>
  <c r="G1213" i="3" s="1"/>
  <c r="G1214" i="3" a="1"/>
  <c r="G1214" i="3" s="1"/>
  <c r="G1215" i="3" a="1"/>
  <c r="G1215" i="3" s="1"/>
  <c r="G1216" i="3" a="1"/>
  <c r="G1216" i="3" s="1"/>
  <c r="G1217" i="3" a="1"/>
  <c r="G1217" i="3"/>
  <c r="G1218" i="3" a="1"/>
  <c r="G1218" i="3" s="1"/>
  <c r="G1219" i="3" a="1"/>
  <c r="G1219" i="3" s="1"/>
  <c r="G1220" i="3" a="1"/>
  <c r="G1220" i="3" s="1"/>
  <c r="G1221" i="3" a="1"/>
  <c r="G1221" i="3" s="1"/>
  <c r="G1222" i="3" a="1"/>
  <c r="G1222" i="3" s="1"/>
  <c r="G1223" i="3" a="1"/>
  <c r="G1223" i="3" s="1"/>
  <c r="G1224" i="3" a="1"/>
  <c r="G1224" i="3" s="1"/>
  <c r="G1225" i="3" a="1"/>
  <c r="G1225" i="3" s="1"/>
  <c r="G1226" i="3" a="1"/>
  <c r="G1226" i="3" s="1"/>
  <c r="G1227" i="3" a="1"/>
  <c r="G1227" i="3"/>
  <c r="G1228" i="3" a="1"/>
  <c r="G1228" i="3" s="1"/>
  <c r="G1229" i="3" a="1"/>
  <c r="G1229" i="3" s="1"/>
  <c r="G1230" i="3" a="1"/>
  <c r="G1230" i="3" s="1"/>
  <c r="G1231" i="3" a="1"/>
  <c r="G1231" i="3" s="1"/>
  <c r="G1232" i="3" a="1"/>
  <c r="G1232" i="3" s="1"/>
  <c r="G1233" i="3" a="1"/>
  <c r="G1233" i="3" s="1"/>
  <c r="G1234" i="3" a="1"/>
  <c r="G1234" i="3" s="1"/>
  <c r="G1235" i="3" a="1"/>
  <c r="G1235" i="3" s="1"/>
  <c r="G1236" i="3" a="1"/>
  <c r="G1236" i="3" s="1"/>
  <c r="G1237" i="3" a="1"/>
  <c r="G1237" i="3" s="1"/>
  <c r="G1238" i="3" a="1"/>
  <c r="G1238" i="3" s="1"/>
  <c r="G1239" i="3" a="1"/>
  <c r="G1239" i="3" s="1"/>
  <c r="G1240" i="3" a="1"/>
  <c r="G1240" i="3" s="1"/>
  <c r="G1241" i="3" a="1"/>
  <c r="G1241" i="3" s="1"/>
  <c r="G1242" i="3" a="1"/>
  <c r="G1242" i="3" s="1"/>
  <c r="G1243" i="3" a="1"/>
  <c r="G1243" i="3" s="1"/>
  <c r="G1244" i="3" a="1"/>
  <c r="G1244" i="3" s="1"/>
  <c r="G1245" i="3" a="1"/>
  <c r="G1245" i="3" s="1"/>
  <c r="G1246" i="3" a="1"/>
  <c r="G1246" i="3" s="1"/>
  <c r="G1247" i="3" a="1"/>
  <c r="G1247" i="3" s="1"/>
  <c r="G1248" i="3" a="1"/>
  <c r="G1248" i="3" s="1"/>
  <c r="G1249" i="3" a="1"/>
  <c r="G1249" i="3"/>
  <c r="G1250" i="3" a="1"/>
  <c r="G1250" i="3" s="1"/>
  <c r="G1251" i="3" a="1"/>
  <c r="G1251" i="3" s="1"/>
  <c r="G1252" i="3" a="1"/>
  <c r="G1252" i="3" s="1"/>
  <c r="G1253" i="3" a="1"/>
  <c r="G1253" i="3" s="1"/>
  <c r="G1254" i="3" a="1"/>
  <c r="G1254" i="3" s="1"/>
  <c r="G1255" i="3" a="1"/>
  <c r="G1255" i="3" s="1"/>
  <c r="G1256" i="3" a="1"/>
  <c r="G1256" i="3" s="1"/>
  <c r="G1257" i="3" a="1"/>
  <c r="G1257" i="3" s="1"/>
  <c r="G1258" i="3" a="1"/>
  <c r="G1258" i="3" s="1"/>
  <c r="G1259" i="3" a="1"/>
  <c r="G1259" i="3"/>
  <c r="G1260" i="3" a="1"/>
  <c r="G1260" i="3" s="1"/>
  <c r="G1261" i="3" a="1"/>
  <c r="G1261" i="3" s="1"/>
  <c r="G1262" i="3" a="1"/>
  <c r="G1262" i="3" s="1"/>
  <c r="G1263" i="3" a="1"/>
  <c r="G1263" i="3" s="1"/>
  <c r="G1264" i="3" a="1"/>
  <c r="G1264" i="3" s="1"/>
  <c r="G1265" i="3" a="1"/>
  <c r="G1265" i="3" s="1"/>
  <c r="G1266" i="3" a="1"/>
  <c r="G1266" i="3" s="1"/>
  <c r="G1267" i="3" a="1"/>
  <c r="G1267" i="3"/>
  <c r="G1268" i="3" a="1"/>
  <c r="G1268" i="3" s="1"/>
  <c r="G1269" i="3" a="1"/>
  <c r="G1269" i="3" s="1"/>
  <c r="G1270" i="3" a="1"/>
  <c r="G1270" i="3" s="1"/>
  <c r="G1271" i="3" a="1"/>
  <c r="G1271" i="3" s="1"/>
  <c r="G1272" i="3" a="1"/>
  <c r="G1272" i="3" s="1"/>
  <c r="G1273" i="3" a="1"/>
  <c r="G1273" i="3" s="1"/>
  <c r="G1274" i="3" a="1"/>
  <c r="G1274" i="3"/>
  <c r="G1275" i="3" a="1"/>
  <c r="G1275" i="3" s="1"/>
  <c r="G1276" i="3" a="1"/>
  <c r="G1276" i="3" s="1"/>
  <c r="G1277" i="3" a="1"/>
  <c r="G1277" i="3" s="1"/>
  <c r="G1278" i="3" a="1"/>
  <c r="G1278" i="3" s="1"/>
  <c r="G1279" i="3" a="1"/>
  <c r="G1279" i="3" s="1"/>
  <c r="G1280" i="3" a="1"/>
  <c r="G1280" i="3" s="1"/>
  <c r="G1281" i="3" a="1"/>
  <c r="G1281" i="3" s="1"/>
  <c r="G1282" i="3" a="1"/>
  <c r="G1282" i="3" s="1"/>
  <c r="G1283" i="3" a="1"/>
  <c r="G1283" i="3" s="1"/>
  <c r="G1284" i="3" a="1"/>
  <c r="G1284" i="3" s="1"/>
  <c r="G1285" i="3" a="1"/>
  <c r="G1285" i="3" s="1"/>
  <c r="G1286" i="3" a="1"/>
  <c r="G1286" i="3" s="1"/>
  <c r="G1287" i="3" a="1"/>
  <c r="G1287" i="3" s="1"/>
  <c r="G1288" i="3" a="1"/>
  <c r="G1288" i="3" s="1"/>
  <c r="G1289" i="3" a="1"/>
  <c r="G1289" i="3" s="1"/>
  <c r="G1290" i="3" a="1"/>
  <c r="G1290" i="3"/>
  <c r="G1291" i="3" a="1"/>
  <c r="G1291" i="3" s="1"/>
  <c r="G1292" i="3" a="1"/>
  <c r="G1292" i="3" s="1"/>
  <c r="G1293" i="3" a="1"/>
  <c r="G1293" i="3" s="1"/>
  <c r="G1294" i="3" a="1"/>
  <c r="G1294" i="3" s="1"/>
  <c r="G1295" i="3" a="1"/>
  <c r="G1295" i="3" s="1"/>
  <c r="G1296" i="3" a="1"/>
  <c r="G1296" i="3" s="1"/>
  <c r="G1297" i="3" a="1"/>
  <c r="G1297" i="3" s="1"/>
  <c r="G1298" i="3" a="1"/>
  <c r="G1298" i="3" s="1"/>
  <c r="G1299" i="3" a="1"/>
  <c r="G1299" i="3" s="1"/>
  <c r="G1300" i="3" a="1"/>
  <c r="G1300" i="3"/>
  <c r="G1301" i="3" a="1"/>
  <c r="G1301" i="3" s="1"/>
  <c r="G1302" i="3" a="1"/>
  <c r="G1302" i="3" s="1"/>
  <c r="G1303" i="3" a="1"/>
  <c r="G1303" i="3" s="1"/>
  <c r="G1304" i="3" a="1"/>
  <c r="G1304" i="3" s="1"/>
  <c r="G1305" i="3" a="1"/>
  <c r="G1305" i="3" s="1"/>
  <c r="G1306" i="3" a="1"/>
  <c r="G1306" i="3"/>
  <c r="G1307" i="3" a="1"/>
  <c r="G1307" i="3" s="1"/>
  <c r="G1308" i="3" a="1"/>
  <c r="G1308" i="3" s="1"/>
  <c r="G1309" i="3" a="1"/>
  <c r="G1309" i="3" s="1"/>
  <c r="G1310" i="3" a="1"/>
  <c r="G1310" i="3" s="1"/>
  <c r="G1311" i="3" a="1"/>
  <c r="G1311" i="3" s="1"/>
  <c r="G1312" i="3" a="1"/>
  <c r="G1312" i="3" s="1"/>
  <c r="G1313" i="3" a="1"/>
  <c r="G1313" i="3" s="1"/>
  <c r="G1314" i="3" a="1"/>
  <c r="G1314" i="3"/>
  <c r="G1315" i="3" a="1"/>
  <c r="G1315" i="3" s="1"/>
  <c r="G1316" i="3" a="1"/>
  <c r="G1316" i="3"/>
  <c r="G1317" i="3" a="1"/>
  <c r="G1317" i="3" s="1"/>
  <c r="G1318" i="3" a="1"/>
  <c r="G1318" i="3" s="1"/>
  <c r="G1319" i="3" a="1"/>
  <c r="G1319" i="3" s="1"/>
  <c r="G1320" i="3" a="1"/>
  <c r="G1320" i="3" s="1"/>
  <c r="G1321" i="3" a="1"/>
  <c r="G1321" i="3" s="1"/>
  <c r="G1322" i="3" a="1"/>
  <c r="G1322" i="3"/>
  <c r="G1323" i="3" a="1"/>
  <c r="G1323" i="3" s="1"/>
  <c r="G1324" i="3" a="1"/>
  <c r="G1324" i="3" s="1"/>
  <c r="G1325" i="3" a="1"/>
  <c r="G1325" i="3" s="1"/>
  <c r="G1326" i="3" a="1"/>
  <c r="G1326" i="3" s="1"/>
  <c r="G1327" i="3" a="1"/>
  <c r="G1327" i="3" s="1"/>
  <c r="G1328" i="3" a="1"/>
  <c r="G1328" i="3" s="1"/>
  <c r="G1329" i="3" a="1"/>
  <c r="G1329" i="3" s="1"/>
  <c r="G1330" i="3" a="1"/>
  <c r="G1330" i="3"/>
  <c r="G1331" i="3" a="1"/>
  <c r="G1331" i="3" s="1"/>
  <c r="G1332" i="3" a="1"/>
  <c r="G1332" i="3" s="1"/>
  <c r="G1333" i="3" a="1"/>
  <c r="G1333" i="3" s="1"/>
  <c r="G1334" i="3" a="1"/>
  <c r="G1334" i="3" s="1"/>
  <c r="G1335" i="3" a="1"/>
  <c r="G1335" i="3" s="1"/>
  <c r="G1336" i="3" a="1"/>
  <c r="G1336" i="3" s="1"/>
  <c r="G1337" i="3" a="1"/>
  <c r="G1337" i="3" s="1"/>
  <c r="G1338" i="3" a="1"/>
  <c r="G1338" i="3"/>
  <c r="G1339" i="3" a="1"/>
  <c r="G1339" i="3" s="1"/>
  <c r="G1340" i="3" a="1"/>
  <c r="G1340" i="3" s="1"/>
  <c r="G1341" i="3" a="1"/>
  <c r="G1341" i="3" s="1"/>
  <c r="G1342" i="3" a="1"/>
  <c r="G1342" i="3" s="1"/>
  <c r="G1343" i="3" a="1"/>
  <c r="G1343" i="3" s="1"/>
  <c r="G1344" i="3" a="1"/>
  <c r="G1344" i="3" s="1"/>
  <c r="G1345" i="3" a="1"/>
  <c r="G1345" i="3" s="1"/>
  <c r="G1346" i="3" a="1"/>
  <c r="G1346" i="3" s="1"/>
  <c r="G1347" i="3" a="1"/>
  <c r="G1347" i="3" s="1"/>
  <c r="G1348" i="3" a="1"/>
  <c r="G1348" i="3" s="1"/>
  <c r="G1349" i="3" a="1"/>
  <c r="G1349" i="3" s="1"/>
  <c r="G1350" i="3" a="1"/>
  <c r="G1350" i="3" s="1"/>
  <c r="G1351" i="3" a="1"/>
  <c r="G1351" i="3" s="1"/>
  <c r="G1352" i="3" a="1"/>
  <c r="G1352" i="3" s="1"/>
  <c r="G1353" i="3" a="1"/>
  <c r="G1353" i="3" s="1"/>
  <c r="G1354" i="3" a="1"/>
  <c r="G1354" i="3"/>
  <c r="G1355" i="3" a="1"/>
  <c r="G1355" i="3" s="1"/>
  <c r="G1356" i="3" a="1"/>
  <c r="G1356" i="3" s="1"/>
  <c r="G1357" i="3" a="1"/>
  <c r="G1357" i="3" s="1"/>
  <c r="G1358" i="3" a="1"/>
  <c r="G1358" i="3" s="1"/>
  <c r="G1359" i="3" a="1"/>
  <c r="G1359" i="3" s="1"/>
  <c r="G1360" i="3" a="1"/>
  <c r="G1360" i="3" s="1"/>
  <c r="G1361" i="3" a="1"/>
  <c r="G1361" i="3" s="1"/>
  <c r="G1362" i="3" a="1"/>
  <c r="G1362" i="3" s="1"/>
  <c r="G1363" i="3" a="1"/>
  <c r="G1363" i="3" s="1"/>
  <c r="G1364" i="3" a="1"/>
  <c r="G1364" i="3"/>
  <c r="G1365" i="3" a="1"/>
  <c r="G1365" i="3" s="1"/>
  <c r="G1366" i="3" a="1"/>
  <c r="G1366" i="3" s="1"/>
  <c r="G1367" i="3" a="1"/>
  <c r="G1367" i="3" s="1"/>
  <c r="G1368" i="3" a="1"/>
  <c r="G1368" i="3" s="1"/>
  <c r="G1369" i="3" a="1"/>
  <c r="G1369" i="3" s="1"/>
  <c r="G1370" i="3" a="1"/>
  <c r="G1370" i="3"/>
  <c r="G1371" i="3" a="1"/>
  <c r="G1371" i="3" s="1"/>
  <c r="G1372" i="3" a="1"/>
  <c r="G1372" i="3" s="1"/>
  <c r="G1373" i="3" a="1"/>
  <c r="G1373" i="3" s="1"/>
  <c r="G1374" i="3" a="1"/>
  <c r="G1374" i="3" s="1"/>
  <c r="G1375" i="3" a="1"/>
  <c r="G1375" i="3" s="1"/>
  <c r="G1376" i="3" a="1"/>
  <c r="G1376" i="3" s="1"/>
  <c r="G1377" i="3" a="1"/>
  <c r="G1377" i="3" s="1"/>
  <c r="G1378" i="3" a="1"/>
  <c r="G1378" i="3"/>
  <c r="G1379" i="3" a="1"/>
  <c r="G1379" i="3" s="1"/>
  <c r="G1380" i="3" a="1"/>
  <c r="G1380" i="3"/>
  <c r="G1381" i="3" a="1"/>
  <c r="G1381" i="3" s="1"/>
  <c r="G1382" i="3" a="1"/>
  <c r="G1382" i="3" s="1"/>
  <c r="G1383" i="3" a="1"/>
  <c r="G1383" i="3" s="1"/>
  <c r="G1384" i="3" a="1"/>
  <c r="G1384" i="3" s="1"/>
  <c r="G1385" i="3" a="1"/>
  <c r="G1385" i="3" s="1"/>
  <c r="G1386" i="3" a="1"/>
  <c r="G1386" i="3"/>
  <c r="G1387" i="3" a="1"/>
  <c r="G1387" i="3" s="1"/>
  <c r="G1388" i="3" a="1"/>
  <c r="G1388" i="3" s="1"/>
  <c r="G1389" i="3" a="1"/>
  <c r="G1389" i="3" s="1"/>
  <c r="G1390" i="3" a="1"/>
  <c r="G1390" i="3" s="1"/>
  <c r="G1391" i="3" a="1"/>
  <c r="G1391" i="3" s="1"/>
  <c r="G1392" i="3" a="1"/>
  <c r="G1392" i="3" s="1"/>
  <c r="G1393" i="3" a="1"/>
  <c r="G1393" i="3" s="1"/>
  <c r="G1394" i="3" a="1"/>
  <c r="G1394" i="3"/>
  <c r="G1395" i="3" a="1"/>
  <c r="G1395" i="3" s="1"/>
  <c r="G1396" i="3" a="1"/>
  <c r="G1396" i="3" s="1"/>
  <c r="G1397" i="3" a="1"/>
  <c r="G1397" i="3" s="1"/>
  <c r="G1398" i="3" a="1"/>
  <c r="G1398" i="3" s="1"/>
  <c r="G1399" i="3" a="1"/>
  <c r="G1399" i="3" s="1"/>
  <c r="G1400" i="3" a="1"/>
  <c r="G1400" i="3" s="1"/>
  <c r="G1401" i="3" a="1"/>
  <c r="G1401" i="3" s="1"/>
  <c r="G1402" i="3" a="1"/>
  <c r="G1402" i="3"/>
  <c r="G1403" i="3" a="1"/>
  <c r="G1403" i="3" s="1"/>
  <c r="G1404" i="3" a="1"/>
  <c r="G1404" i="3" s="1"/>
  <c r="G1405" i="3" a="1"/>
  <c r="G1405" i="3" s="1"/>
  <c r="G1406" i="3" a="1"/>
  <c r="G1406" i="3" s="1"/>
  <c r="G1407" i="3" a="1"/>
  <c r="G1407" i="3" s="1"/>
  <c r="G1408" i="3" a="1"/>
  <c r="G1408" i="3" s="1"/>
  <c r="G1409" i="3" a="1"/>
  <c r="G1409" i="3" s="1"/>
  <c r="G1410" i="3" a="1"/>
  <c r="G1410" i="3" s="1"/>
  <c r="G1411" i="3" a="1"/>
  <c r="G1411" i="3" s="1"/>
  <c r="G1412" i="3" a="1"/>
  <c r="G1412" i="3" s="1"/>
  <c r="G1413" i="3" a="1"/>
  <c r="G1413" i="3" s="1"/>
  <c r="G1414" i="3" a="1"/>
  <c r="G1414" i="3" s="1"/>
  <c r="G1415" i="3" a="1"/>
  <c r="G1415" i="3" s="1"/>
  <c r="G1416" i="3" a="1"/>
  <c r="G1416" i="3" s="1"/>
  <c r="G1417" i="3" a="1"/>
  <c r="G1417" i="3" s="1"/>
  <c r="G1418" i="3" a="1"/>
  <c r="G1418" i="3"/>
  <c r="G1419" i="3" a="1"/>
  <c r="G1419" i="3" s="1"/>
  <c r="G1420" i="3" a="1"/>
  <c r="G1420" i="3" s="1"/>
  <c r="G1421" i="3" a="1"/>
  <c r="G1421" i="3" s="1"/>
  <c r="G1422" i="3" a="1"/>
  <c r="G1422" i="3" s="1"/>
  <c r="G1423" i="3" a="1"/>
  <c r="G1423" i="3" s="1"/>
  <c r="G1424" i="3" a="1"/>
  <c r="G1424" i="3" s="1"/>
  <c r="G1425" i="3" a="1"/>
  <c r="G1425" i="3" s="1"/>
  <c r="G1426" i="3" a="1"/>
  <c r="G1426" i="3" s="1"/>
  <c r="G1427" i="3" a="1"/>
  <c r="G1427" i="3" s="1"/>
  <c r="G1428" i="3" a="1"/>
  <c r="G1428" i="3"/>
  <c r="G1429" i="3" a="1"/>
  <c r="G1429" i="3" s="1"/>
  <c r="G1430" i="3" a="1"/>
  <c r="G1430" i="3" s="1"/>
  <c r="G1431" i="3" a="1"/>
  <c r="G1431" i="3" s="1"/>
  <c r="G1432" i="3" a="1"/>
  <c r="G1432" i="3" s="1"/>
  <c r="G1433" i="3" a="1"/>
  <c r="G1433" i="3" s="1"/>
  <c r="G1434" i="3" a="1"/>
  <c r="G1434" i="3"/>
  <c r="G1435" i="3" a="1"/>
  <c r="G1435" i="3" s="1"/>
  <c r="G1436" i="3" a="1"/>
  <c r="G1436" i="3" s="1"/>
  <c r="G1437" i="3" a="1"/>
  <c r="G1437" i="3" s="1"/>
  <c r="G1438" i="3" a="1"/>
  <c r="G1438" i="3" s="1"/>
  <c r="G1439" i="3" a="1"/>
  <c r="G1439" i="3" s="1"/>
  <c r="G1440" i="3" a="1"/>
  <c r="G1440" i="3" s="1"/>
  <c r="G1441" i="3" a="1"/>
  <c r="G1441" i="3" s="1"/>
  <c r="G1442" i="3" a="1"/>
  <c r="G1442" i="3"/>
  <c r="G1443" i="3" a="1"/>
  <c r="G1443" i="3" s="1"/>
  <c r="G1444" i="3" a="1"/>
  <c r="G1444" i="3"/>
  <c r="G1445" i="3" a="1"/>
  <c r="G1445" i="3" s="1"/>
  <c r="G1446" i="3" a="1"/>
  <c r="G1446" i="3" s="1"/>
  <c r="G1447" i="3" a="1"/>
  <c r="G1447" i="3" s="1"/>
  <c r="G1448" i="3" a="1"/>
  <c r="G1448" i="3" s="1"/>
  <c r="G1449" i="3" a="1"/>
  <c r="G1449" i="3" s="1"/>
  <c r="G1450" i="3" a="1"/>
  <c r="G1450" i="3"/>
  <c r="G1451" i="3" a="1"/>
  <c r="G1451" i="3" s="1"/>
  <c r="G1452" i="3" a="1"/>
  <c r="G1452" i="3" s="1"/>
  <c r="G1453" i="3" a="1"/>
  <c r="G1453" i="3" s="1"/>
  <c r="G1454" i="3" a="1"/>
  <c r="G1454" i="3" s="1"/>
  <c r="G1455" i="3" a="1"/>
  <c r="G1455" i="3" s="1"/>
  <c r="G1456" i="3" a="1"/>
  <c r="G1456" i="3" s="1"/>
  <c r="G1457" i="3" a="1"/>
  <c r="G1457" i="3" s="1"/>
  <c r="G1458" i="3" a="1"/>
  <c r="G1458" i="3"/>
  <c r="G1459" i="3" a="1"/>
  <c r="G1459" i="3" s="1"/>
  <c r="G1460" i="3" a="1"/>
  <c r="G1460" i="3" s="1"/>
  <c r="G1461" i="3" a="1"/>
  <c r="G1461" i="3" s="1"/>
  <c r="G1462" i="3" a="1"/>
  <c r="G1462" i="3" s="1"/>
  <c r="G1463" i="3" a="1"/>
  <c r="G1463" i="3" s="1"/>
  <c r="G1464" i="3" a="1"/>
  <c r="G1464" i="3" s="1"/>
  <c r="G1465" i="3" a="1"/>
  <c r="G1465" i="3" s="1"/>
  <c r="G1466" i="3" a="1"/>
  <c r="G1466" i="3"/>
  <c r="G1467" i="3" a="1"/>
  <c r="G1467" i="3" s="1"/>
  <c r="G1468" i="3" a="1"/>
  <c r="G1468" i="3" s="1"/>
  <c r="G1469" i="3" a="1"/>
  <c r="G1469" i="3" s="1"/>
  <c r="G1470" i="3" a="1"/>
  <c r="G1470" i="3" s="1"/>
  <c r="G1471" i="3" a="1"/>
  <c r="G1471" i="3" s="1"/>
  <c r="G1472" i="3" a="1"/>
  <c r="G1472" i="3" s="1"/>
  <c r="G1473" i="3" a="1"/>
  <c r="G1473" i="3" s="1"/>
  <c r="G1474" i="3" a="1"/>
  <c r="G1474" i="3" s="1"/>
  <c r="G1475" i="3" a="1"/>
  <c r="G1475" i="3" s="1"/>
  <c r="G1476" i="3" a="1"/>
  <c r="G1476" i="3" s="1"/>
  <c r="G1477" i="3" a="1"/>
  <c r="G1477" i="3" s="1"/>
  <c r="G1478" i="3" a="1"/>
  <c r="G1478" i="3" s="1"/>
  <c r="G1479" i="3" a="1"/>
  <c r="G1479" i="3" s="1"/>
  <c r="G1480" i="3" a="1"/>
  <c r="G1480" i="3" s="1"/>
  <c r="G1481" i="3" a="1"/>
  <c r="G1481" i="3" s="1"/>
  <c r="G1482" i="3" a="1"/>
  <c r="G1482" i="3"/>
  <c r="G1483" i="3" a="1"/>
  <c r="G1483" i="3" s="1"/>
  <c r="G1484" i="3" a="1"/>
  <c r="G1484" i="3" s="1"/>
  <c r="G1485" i="3" a="1"/>
  <c r="G1485" i="3" s="1"/>
  <c r="G1486" i="3" a="1"/>
  <c r="G1486" i="3" s="1"/>
  <c r="G1487" i="3" a="1"/>
  <c r="G1487" i="3" s="1"/>
  <c r="G1488" i="3" a="1"/>
  <c r="G1488" i="3" s="1"/>
  <c r="G1489" i="3" a="1"/>
  <c r="G1489" i="3" s="1"/>
  <c r="G1490" i="3" a="1"/>
  <c r="G1490" i="3" s="1"/>
  <c r="G1491" i="3" a="1"/>
  <c r="G1491" i="3" s="1"/>
  <c r="G1492" i="3" a="1"/>
  <c r="G1492" i="3"/>
  <c r="G1493" i="3" a="1"/>
  <c r="G1493" i="3" s="1"/>
  <c r="G1494" i="3" a="1"/>
  <c r="G1494" i="3" s="1"/>
  <c r="G1495" i="3" a="1"/>
  <c r="G1495" i="3" s="1"/>
  <c r="G1496" i="3" a="1"/>
  <c r="G1496" i="3" s="1"/>
  <c r="G1497" i="3" a="1"/>
  <c r="G1497" i="3" s="1"/>
  <c r="G1498" i="3" a="1"/>
  <c r="G1498" i="3"/>
  <c r="G1499" i="3" a="1"/>
  <c r="G1499" i="3" s="1"/>
  <c r="G1500" i="3" a="1"/>
  <c r="G1500" i="3" s="1"/>
  <c r="G1501" i="3" a="1"/>
  <c r="G1501" i="3" s="1"/>
  <c r="G1502" i="3" a="1"/>
  <c r="G1502" i="3" s="1"/>
  <c r="G1503" i="3" a="1"/>
  <c r="G1503" i="3" s="1"/>
  <c r="G1504" i="3" a="1"/>
  <c r="G1504" i="3" s="1"/>
  <c r="G1505" i="3" a="1"/>
  <c r="G1505" i="3" s="1"/>
  <c r="G1506" i="3" a="1"/>
  <c r="G1506" i="3"/>
  <c r="G1507" i="3" a="1"/>
  <c r="G1507" i="3" s="1"/>
  <c r="G1508" i="3" a="1"/>
  <c r="G1508" i="3"/>
  <c r="G1509" i="3" a="1"/>
  <c r="G1509" i="3" s="1"/>
  <c r="G1510" i="3" a="1"/>
  <c r="G1510" i="3" s="1"/>
  <c r="G1511" i="3" a="1"/>
  <c r="G1511" i="3" s="1"/>
  <c r="G1512" i="3" a="1"/>
  <c r="G1512" i="3" s="1"/>
  <c r="G1513" i="3" a="1"/>
  <c r="G1513" i="3" s="1"/>
  <c r="G1514" i="3" a="1"/>
  <c r="G1514" i="3"/>
  <c r="G1515" i="3" a="1"/>
  <c r="G1515" i="3" s="1"/>
  <c r="G1516" i="3" a="1"/>
  <c r="G1516" i="3" s="1"/>
  <c r="G1517" i="3" a="1"/>
  <c r="G1517" i="3" s="1"/>
  <c r="G1518" i="3" a="1"/>
  <c r="G1518" i="3" s="1"/>
  <c r="G1519" i="3" a="1"/>
  <c r="G1519" i="3" s="1"/>
  <c r="G1520" i="3" a="1"/>
  <c r="G1520" i="3" s="1"/>
  <c r="G1521" i="3" a="1"/>
  <c r="G1521" i="3" s="1"/>
  <c r="G1522" i="3" a="1"/>
  <c r="G1522" i="3"/>
  <c r="G1523" i="3" a="1"/>
  <c r="G1523" i="3" s="1"/>
  <c r="G1524" i="3" a="1"/>
  <c r="G1524" i="3" s="1"/>
  <c r="G1525" i="3" a="1"/>
  <c r="G1525" i="3" s="1"/>
  <c r="G1526" i="3" a="1"/>
  <c r="G1526" i="3" s="1"/>
  <c r="G1527" i="3" a="1"/>
  <c r="G1527" i="3" s="1"/>
  <c r="G1528" i="3" a="1"/>
  <c r="G1528" i="3" s="1"/>
  <c r="G1529" i="3" a="1"/>
  <c r="G1529" i="3" s="1"/>
  <c r="G1530" i="3" a="1"/>
  <c r="G1530" i="3"/>
  <c r="G1531" i="3" a="1"/>
  <c r="G1531" i="3" s="1"/>
  <c r="G1532" i="3" a="1"/>
  <c r="G1532" i="3" s="1"/>
  <c r="G1533" i="3" a="1"/>
  <c r="G1533" i="3" s="1"/>
  <c r="G1534" i="3" a="1"/>
  <c r="G1534" i="3" s="1"/>
  <c r="G1535" i="3" a="1"/>
  <c r="G1535" i="3" s="1"/>
  <c r="G1536" i="3" a="1"/>
  <c r="G1536" i="3" s="1"/>
  <c r="G1537" i="3" a="1"/>
  <c r="G1537" i="3" s="1"/>
  <c r="G1538" i="3" a="1"/>
  <c r="G1538" i="3" s="1"/>
  <c r="G1539" i="3" a="1"/>
  <c r="G1539" i="3" s="1"/>
  <c r="G1540" i="3" a="1"/>
  <c r="G1540" i="3" s="1"/>
  <c r="G1541" i="3" a="1"/>
  <c r="G1541" i="3" s="1"/>
  <c r="G1542" i="3" a="1"/>
  <c r="G1542" i="3" s="1"/>
  <c r="G1543" i="3" a="1"/>
  <c r="G1543" i="3" s="1"/>
  <c r="G1544" i="3" a="1"/>
  <c r="G1544" i="3" s="1"/>
  <c r="G1545" i="3" a="1"/>
  <c r="G1545" i="3" s="1"/>
  <c r="G1546" i="3" a="1"/>
  <c r="G1546" i="3"/>
  <c r="G1547" i="3" a="1"/>
  <c r="G1547" i="3" s="1"/>
  <c r="G1548" i="3" a="1"/>
  <c r="G1548" i="3" s="1"/>
  <c r="G1549" i="3" a="1"/>
  <c r="G1549" i="3" s="1"/>
  <c r="G1550" i="3" a="1"/>
  <c r="G1550" i="3" s="1"/>
  <c r="G1551" i="3" a="1"/>
  <c r="G1551" i="3" s="1"/>
  <c r="G1552" i="3" a="1"/>
  <c r="G1552" i="3" s="1"/>
  <c r="G1553" i="3" a="1"/>
  <c r="G1553" i="3" s="1"/>
  <c r="G1554" i="3" a="1"/>
  <c r="G1554" i="3" s="1"/>
  <c r="G1555" i="3" a="1"/>
  <c r="G1555" i="3" s="1"/>
  <c r="G1556" i="3" a="1"/>
  <c r="G1556" i="3"/>
  <c r="G1557" i="3" a="1"/>
  <c r="G1557" i="3" s="1"/>
  <c r="G1558" i="3" a="1"/>
  <c r="G1558" i="3" s="1"/>
  <c r="G1559" i="3" a="1"/>
  <c r="G1559" i="3" s="1"/>
  <c r="G1560" i="3" a="1"/>
  <c r="G1560" i="3" s="1"/>
  <c r="G1561" i="3" a="1"/>
  <c r="G1561" i="3" s="1"/>
  <c r="G1562" i="3" a="1"/>
  <c r="G1562" i="3"/>
  <c r="G1563" i="3" a="1"/>
  <c r="G1563" i="3" s="1"/>
  <c r="G1564" i="3" a="1"/>
  <c r="G1564" i="3" s="1"/>
  <c r="G1565" i="3" a="1"/>
  <c r="G1565" i="3" s="1"/>
  <c r="G1566" i="3" a="1"/>
  <c r="G1566" i="3" s="1"/>
  <c r="G1567" i="3" a="1"/>
  <c r="G1567" i="3" s="1"/>
  <c r="G1568" i="3" a="1"/>
  <c r="G1568" i="3" s="1"/>
  <c r="G1569" i="3" a="1"/>
  <c r="G1569" i="3" s="1"/>
  <c r="G1570" i="3" a="1"/>
  <c r="G1570" i="3"/>
  <c r="G1571" i="3" a="1"/>
  <c r="G1571" i="3" s="1"/>
  <c r="G1572" i="3" a="1"/>
  <c r="G1572" i="3"/>
  <c r="G1573" i="3" a="1"/>
  <c r="G1573" i="3" s="1"/>
  <c r="G1574" i="3" a="1"/>
  <c r="G1574" i="3" s="1"/>
  <c r="G1575" i="3" a="1"/>
  <c r="G1575" i="3" s="1"/>
  <c r="G1576" i="3" a="1"/>
  <c r="G1576" i="3" s="1"/>
  <c r="G1577" i="3" a="1"/>
  <c r="G1577" i="3" s="1"/>
  <c r="G1578" i="3" a="1"/>
  <c r="G1578" i="3"/>
  <c r="G1579" i="3" a="1"/>
  <c r="G1579" i="3" s="1"/>
  <c r="G1580" i="3" a="1"/>
  <c r="G1580" i="3" s="1"/>
  <c r="G1581" i="3" a="1"/>
  <c r="G1581" i="3" s="1"/>
  <c r="G1582" i="3" a="1"/>
  <c r="G1582" i="3" s="1"/>
  <c r="G1583" i="3" a="1"/>
  <c r="G1583" i="3" s="1"/>
  <c r="G1584" i="3" a="1"/>
  <c r="G1584" i="3" s="1"/>
  <c r="G1585" i="3" a="1"/>
  <c r="G1585" i="3" s="1"/>
  <c r="G1586" i="3" a="1"/>
  <c r="G1586" i="3"/>
  <c r="G1587" i="3" a="1"/>
  <c r="G1587" i="3" s="1"/>
  <c r="G1588" i="3" a="1"/>
  <c r="G1588" i="3" s="1"/>
  <c r="G1589" i="3" a="1"/>
  <c r="G1589" i="3" s="1"/>
  <c r="G1590" i="3" a="1"/>
  <c r="G1590" i="3" s="1"/>
  <c r="G1591" i="3" a="1"/>
  <c r="G1591" i="3" s="1"/>
  <c r="G1592" i="3" a="1"/>
  <c r="G1592" i="3" s="1"/>
  <c r="G1593" i="3" a="1"/>
  <c r="G1593" i="3" s="1"/>
  <c r="G1594" i="3" a="1"/>
  <c r="G1594" i="3"/>
  <c r="G1595" i="3" a="1"/>
  <c r="G1595" i="3" s="1"/>
  <c r="G1596" i="3" a="1"/>
  <c r="G1596" i="3" s="1"/>
  <c r="G1597" i="3" a="1"/>
  <c r="G1597" i="3" s="1"/>
  <c r="G1598" i="3" a="1"/>
  <c r="G1598" i="3" s="1"/>
  <c r="G1599" i="3" a="1"/>
  <c r="G1599" i="3" s="1"/>
  <c r="G1600" i="3" a="1"/>
  <c r="G1600" i="3" s="1"/>
  <c r="G1601" i="3" a="1"/>
  <c r="G1601" i="3" s="1"/>
  <c r="G1602" i="3" a="1"/>
  <c r="G1602" i="3" s="1"/>
  <c r="G1603" i="3" a="1"/>
  <c r="G1603" i="3" s="1"/>
  <c r="G1604" i="3" a="1"/>
  <c r="G1604" i="3" s="1"/>
  <c r="G1605" i="3" a="1"/>
  <c r="G1605" i="3" s="1"/>
  <c r="G1606" i="3" a="1"/>
  <c r="G1606" i="3" s="1"/>
  <c r="G1607" i="3" a="1"/>
  <c r="G1607" i="3" s="1"/>
  <c r="G1608" i="3" a="1"/>
  <c r="G1608" i="3" s="1"/>
  <c r="G1609" i="3" a="1"/>
  <c r="G1609" i="3" s="1"/>
  <c r="G1610" i="3" a="1"/>
  <c r="G1610" i="3"/>
  <c r="G1611" i="3" a="1"/>
  <c r="G1611" i="3" s="1"/>
  <c r="G1612" i="3" a="1"/>
  <c r="G1612" i="3" s="1"/>
  <c r="G1613" i="3" a="1"/>
  <c r="G1613" i="3" s="1"/>
  <c r="G1614" i="3" a="1"/>
  <c r="G1614" i="3" s="1"/>
  <c r="G1615" i="3" a="1"/>
  <c r="G1615" i="3" s="1"/>
  <c r="G1616" i="3" a="1"/>
  <c r="G1616" i="3" s="1"/>
  <c r="G1617" i="3" a="1"/>
  <c r="G1617" i="3" s="1"/>
  <c r="G1618" i="3" a="1"/>
  <c r="G1618" i="3" s="1"/>
  <c r="G1619" i="3" a="1"/>
  <c r="G1619" i="3" s="1"/>
  <c r="G1620" i="3" a="1"/>
  <c r="G1620" i="3"/>
  <c r="G1621" i="3" a="1"/>
  <c r="G1621" i="3" s="1"/>
  <c r="G1622" i="3" a="1"/>
  <c r="G1622" i="3" s="1"/>
  <c r="G1623" i="3" a="1"/>
  <c r="G1623" i="3" s="1"/>
  <c r="G1624" i="3" a="1"/>
  <c r="G1624" i="3" s="1"/>
  <c r="G1625" i="3" a="1"/>
  <c r="G1625" i="3" s="1"/>
  <c r="G1626" i="3" a="1"/>
  <c r="G1626" i="3"/>
  <c r="G1627" i="3" a="1"/>
  <c r="G1627" i="3" s="1"/>
  <c r="G1628" i="3" a="1"/>
  <c r="G1628" i="3" s="1"/>
  <c r="G1629" i="3" a="1"/>
  <c r="G1629" i="3" s="1"/>
  <c r="G1630" i="3" a="1"/>
  <c r="G1630" i="3" s="1"/>
  <c r="G1631" i="3" a="1"/>
  <c r="G1631" i="3" s="1"/>
  <c r="G1632" i="3" a="1"/>
  <c r="G1632" i="3" s="1"/>
  <c r="G1633" i="3" a="1"/>
  <c r="G1633" i="3" s="1"/>
  <c r="G1634" i="3" a="1"/>
  <c r="G1634" i="3"/>
  <c r="G1635" i="3" a="1"/>
  <c r="G1635" i="3" s="1"/>
  <c r="G1636" i="3" a="1"/>
  <c r="G1636" i="3"/>
  <c r="G1637" i="3" a="1"/>
  <c r="G1637" i="3" s="1"/>
  <c r="G1638" i="3" a="1"/>
  <c r="G1638" i="3" s="1"/>
  <c r="G1639" i="3" a="1"/>
  <c r="G1639" i="3" s="1"/>
  <c r="G1640" i="3" a="1"/>
  <c r="G1640" i="3" s="1"/>
  <c r="G1641" i="3" a="1"/>
  <c r="G1641" i="3" s="1"/>
  <c r="G1642" i="3" a="1"/>
  <c r="G1642" i="3"/>
  <c r="G1643" i="3" a="1"/>
  <c r="G1643" i="3" s="1"/>
  <c r="G1644" i="3" a="1"/>
  <c r="G1644" i="3" s="1"/>
  <c r="G1645" i="3" a="1"/>
  <c r="G1645" i="3" s="1"/>
  <c r="G1646" i="3" a="1"/>
  <c r="G1646" i="3" s="1"/>
  <c r="G1647" i="3" a="1"/>
  <c r="G1647" i="3" s="1"/>
  <c r="G1648" i="3" a="1"/>
  <c r="G1648" i="3" s="1"/>
  <c r="G1649" i="3" a="1"/>
  <c r="G1649" i="3" s="1"/>
  <c r="G1650" i="3" a="1"/>
  <c r="G1650" i="3"/>
  <c r="G1651" i="3" a="1"/>
  <c r="G1651" i="3" s="1"/>
  <c r="G1652" i="3" a="1"/>
  <c r="G1652" i="3" s="1"/>
  <c r="G1653" i="3" a="1"/>
  <c r="G1653" i="3" s="1"/>
  <c r="G1654" i="3" a="1"/>
  <c r="G1654" i="3" s="1"/>
  <c r="G1655" i="3" a="1"/>
  <c r="G1655" i="3" s="1"/>
  <c r="G1656" i="3" a="1"/>
  <c r="G1656" i="3" s="1"/>
  <c r="G1657" i="3" a="1"/>
  <c r="G1657" i="3" s="1"/>
  <c r="G1658" i="3" a="1"/>
  <c r="G1658" i="3"/>
  <c r="G1659" i="3" a="1"/>
  <c r="G1659" i="3" s="1"/>
  <c r="G1660" i="3" a="1"/>
  <c r="G1660" i="3" s="1"/>
  <c r="G1661" i="3" a="1"/>
  <c r="G1661" i="3" s="1"/>
  <c r="G1662" i="3" a="1"/>
  <c r="G1662" i="3" s="1"/>
  <c r="G1663" i="3" a="1"/>
  <c r="G1663" i="3" s="1"/>
  <c r="G1664" i="3" a="1"/>
  <c r="G1664" i="3" s="1"/>
  <c r="G1665" i="3" a="1"/>
  <c r="G1665" i="3" s="1"/>
  <c r="G1666" i="3" a="1"/>
  <c r="G1666" i="3" s="1"/>
  <c r="G1667" i="3" a="1"/>
  <c r="G1667" i="3" s="1"/>
  <c r="G1668" i="3" a="1"/>
  <c r="G1668" i="3" s="1"/>
  <c r="G1669" i="3" a="1"/>
  <c r="G1669" i="3" s="1"/>
  <c r="G1670" i="3" a="1"/>
  <c r="G1670" i="3" s="1"/>
  <c r="G1671" i="3" a="1"/>
  <c r="G1671" i="3" s="1"/>
  <c r="G1672" i="3" a="1"/>
  <c r="G1672" i="3" s="1"/>
  <c r="G1673" i="3" a="1"/>
  <c r="G1673" i="3" s="1"/>
  <c r="G1674" i="3" a="1"/>
  <c r="G1674" i="3"/>
  <c r="G1675" i="3" a="1"/>
  <c r="G1675" i="3" s="1"/>
  <c r="G1676" i="3" a="1"/>
  <c r="G1676" i="3" s="1"/>
  <c r="G1677" i="3" a="1"/>
  <c r="G1677" i="3" s="1"/>
  <c r="G1678" i="3" a="1"/>
  <c r="G1678" i="3" s="1"/>
  <c r="G1679" i="3" a="1"/>
  <c r="G1679" i="3" s="1"/>
  <c r="G1680" i="3" a="1"/>
  <c r="G1680" i="3" s="1"/>
  <c r="G1681" i="3" a="1"/>
  <c r="G1681" i="3" s="1"/>
  <c r="G1682" i="3" a="1"/>
  <c r="G1682" i="3" s="1"/>
  <c r="G1683" i="3" a="1"/>
  <c r="G1683" i="3" s="1"/>
  <c r="G1684" i="3" a="1"/>
  <c r="G1684" i="3"/>
  <c r="G1685" i="3" a="1"/>
  <c r="G1685" i="3" s="1"/>
  <c r="G1686" i="3" a="1"/>
  <c r="G1686" i="3" s="1"/>
  <c r="G1687" i="3" a="1"/>
  <c r="G1687" i="3" s="1"/>
  <c r="G1688" i="3" a="1"/>
  <c r="G1688" i="3" s="1"/>
  <c r="G1689" i="3" a="1"/>
  <c r="G1689" i="3" s="1"/>
  <c r="G1690" i="3" a="1"/>
  <c r="G1690" i="3"/>
  <c r="G1691" i="3" a="1"/>
  <c r="G1691" i="3" s="1"/>
  <c r="G1692" i="3" a="1"/>
  <c r="G1692" i="3" s="1"/>
  <c r="G1693" i="3" a="1"/>
  <c r="G1693" i="3" s="1"/>
  <c r="G1694" i="3" a="1"/>
  <c r="G1694" i="3" s="1"/>
  <c r="G1695" i="3" a="1"/>
  <c r="G1695" i="3" s="1"/>
  <c r="G1696" i="3" a="1"/>
  <c r="G1696" i="3" s="1"/>
  <c r="G1697" i="3" a="1"/>
  <c r="G1697" i="3" s="1"/>
  <c r="G1698" i="3" a="1"/>
  <c r="G1698" i="3"/>
  <c r="G1699" i="3" a="1"/>
  <c r="G1699" i="3" s="1"/>
  <c r="G1700" i="3" a="1"/>
  <c r="G1700" i="3"/>
  <c r="G1701" i="3" a="1"/>
  <c r="G1701" i="3" s="1"/>
  <c r="G1702" i="3" a="1"/>
  <c r="G1702" i="3" s="1"/>
  <c r="G1703" i="3" a="1"/>
  <c r="G1703" i="3" s="1"/>
  <c r="G1704" i="3" a="1"/>
  <c r="G1704" i="3" s="1"/>
  <c r="G1705" i="3" a="1"/>
  <c r="G1705" i="3" s="1"/>
  <c r="G1706" i="3" a="1"/>
  <c r="G1706" i="3"/>
  <c r="G1707" i="3" a="1"/>
  <c r="G1707" i="3" s="1"/>
  <c r="G1708" i="3" a="1"/>
  <c r="G1708" i="3" s="1"/>
  <c r="G1709" i="3" a="1"/>
  <c r="G1709" i="3" s="1"/>
  <c r="G1710" i="3" a="1"/>
  <c r="G1710" i="3" s="1"/>
  <c r="G1711" i="3" a="1"/>
  <c r="G1711" i="3" s="1"/>
  <c r="G1712" i="3" a="1"/>
  <c r="G1712" i="3" s="1"/>
  <c r="G1713" i="3" a="1"/>
  <c r="G1713" i="3" s="1"/>
  <c r="G1714" i="3" a="1"/>
  <c r="G1714" i="3"/>
  <c r="G1715" i="3" a="1"/>
  <c r="G1715" i="3" s="1"/>
  <c r="G1716" i="3" a="1"/>
  <c r="G1716" i="3" s="1"/>
  <c r="G1717" i="3" a="1"/>
  <c r="G1717" i="3" s="1"/>
  <c r="G1718" i="3" a="1"/>
  <c r="G1718" i="3" s="1"/>
  <c r="G1719" i="3" a="1"/>
  <c r="G1719" i="3" s="1"/>
  <c r="G1720" i="3" a="1"/>
  <c r="G1720" i="3" s="1"/>
  <c r="G1721" i="3" a="1"/>
  <c r="G1721" i="3" s="1"/>
  <c r="G1722" i="3" a="1"/>
  <c r="G1722" i="3"/>
  <c r="G1723" i="3" a="1"/>
  <c r="G1723" i="3" s="1"/>
  <c r="G1724" i="3" a="1"/>
  <c r="G1724" i="3" s="1"/>
  <c r="G1725" i="3" a="1"/>
  <c r="G1725" i="3" s="1"/>
  <c r="G1726" i="3" a="1"/>
  <c r="G1726" i="3" s="1"/>
  <c r="G1727" i="3" a="1"/>
  <c r="G1727" i="3" s="1"/>
  <c r="G1728" i="3" a="1"/>
  <c r="G1728" i="3" s="1"/>
  <c r="G1729" i="3" a="1"/>
  <c r="G1729" i="3" s="1"/>
  <c r="G1730" i="3" a="1"/>
  <c r="G1730" i="3" s="1"/>
  <c r="G1731" i="3" a="1"/>
  <c r="G1731" i="3" s="1"/>
  <c r="G1732" i="3" a="1"/>
  <c r="G1732" i="3" s="1"/>
  <c r="G1733" i="3" a="1"/>
  <c r="G1733" i="3" s="1"/>
  <c r="G1734" i="3" a="1"/>
  <c r="G1734" i="3"/>
  <c r="G1735" i="3" a="1"/>
  <c r="G1735" i="3" s="1"/>
  <c r="G1736" i="3" a="1"/>
  <c r="G1736" i="3" s="1"/>
  <c r="G1737" i="3" a="1"/>
  <c r="G1737" i="3" s="1"/>
  <c r="G1738" i="3" a="1"/>
  <c r="G1738" i="3" s="1"/>
  <c r="G1739" i="3" a="1"/>
  <c r="G1739" i="3" s="1"/>
  <c r="G1740" i="3" a="1"/>
  <c r="G1740" i="3"/>
  <c r="G1741" i="3" a="1"/>
  <c r="G1741" i="3" s="1"/>
  <c r="G1742" i="3" a="1"/>
  <c r="G1742" i="3" s="1"/>
  <c r="G1743" i="3" a="1"/>
  <c r="G1743" i="3" s="1"/>
  <c r="G1744" i="3" a="1"/>
  <c r="G1744" i="3" s="1"/>
  <c r="G1745" i="3" a="1"/>
  <c r="G1745" i="3" s="1"/>
  <c r="G1746" i="3" a="1"/>
  <c r="G1746" i="3"/>
  <c r="G1747" i="3" a="1"/>
  <c r="G1747" i="3" s="1"/>
  <c r="G1748" i="3" a="1"/>
  <c r="G1748" i="3" s="1"/>
  <c r="G1749" i="3" a="1"/>
  <c r="G1749" i="3" s="1"/>
  <c r="G1750" i="3" a="1"/>
  <c r="G1750" i="3"/>
  <c r="G1751" i="3" a="1"/>
  <c r="G1751" i="3" s="1"/>
  <c r="G1752" i="3" a="1"/>
  <c r="G1752" i="3" s="1"/>
  <c r="G1753" i="3" a="1"/>
  <c r="G1753" i="3" s="1"/>
  <c r="G1754" i="3" a="1"/>
  <c r="G1754" i="3" s="1"/>
  <c r="G1755" i="3" a="1"/>
  <c r="G1755" i="3" s="1"/>
  <c r="G1756" i="3" a="1"/>
  <c r="G1756" i="3"/>
  <c r="G1757" i="3" a="1"/>
  <c r="G1757" i="3" s="1"/>
  <c r="G1758" i="3" a="1"/>
  <c r="G1758" i="3" s="1"/>
  <c r="G1759" i="3" a="1"/>
  <c r="G1759" i="3" s="1"/>
  <c r="G1760" i="3" a="1"/>
  <c r="G1760" i="3" s="1"/>
  <c r="G1761" i="3" a="1"/>
  <c r="G1761" i="3" s="1"/>
  <c r="G1762" i="3" a="1"/>
  <c r="G1762" i="3" s="1"/>
  <c r="G1763" i="3" a="1"/>
  <c r="G1763" i="3" s="1"/>
  <c r="G1764" i="3" a="1"/>
  <c r="G1764" i="3"/>
  <c r="G1765" i="3" a="1"/>
  <c r="G1765" i="3" s="1"/>
  <c r="G1766" i="3" a="1"/>
  <c r="G1766" i="3" s="1"/>
  <c r="G1767" i="3" a="1"/>
  <c r="G1767" i="3" s="1"/>
  <c r="G1768" i="3" a="1"/>
  <c r="G1768" i="3" s="1"/>
  <c r="G1769" i="3" a="1"/>
  <c r="G1769" i="3" s="1"/>
  <c r="G1770" i="3" a="1"/>
  <c r="G1770" i="3" s="1"/>
  <c r="G1771" i="3" a="1"/>
  <c r="G1771" i="3" s="1"/>
  <c r="G1772" i="3" a="1"/>
  <c r="G1772" i="3" s="1"/>
  <c r="G1773" i="3" a="1"/>
  <c r="G1773" i="3" s="1"/>
  <c r="G1774" i="3" a="1"/>
  <c r="G1774" i="3" s="1"/>
  <c r="G1775" i="3" a="1"/>
  <c r="G1775" i="3" s="1"/>
  <c r="G1776" i="3" a="1"/>
  <c r="G1776" i="3" s="1"/>
  <c r="G1777" i="3" a="1"/>
  <c r="G1777" i="3" s="1"/>
  <c r="G1778" i="3" a="1"/>
  <c r="G1778" i="3" s="1"/>
  <c r="G1779" i="3" a="1"/>
  <c r="G1779" i="3" s="1"/>
  <c r="G1780" i="3" a="1"/>
  <c r="G1780" i="3"/>
  <c r="G1781" i="3" a="1"/>
  <c r="G1781" i="3" s="1"/>
  <c r="G1782" i="3" a="1"/>
  <c r="G1782" i="3" s="1"/>
  <c r="G1783" i="3" a="1"/>
  <c r="G1783" i="3" s="1"/>
  <c r="G1784" i="3" a="1"/>
  <c r="G1784" i="3" s="1"/>
  <c r="G1785" i="3" a="1"/>
  <c r="G1785" i="3" s="1"/>
  <c r="G1786" i="3" a="1"/>
  <c r="G1786" i="3" s="1"/>
  <c r="G1787" i="3" a="1"/>
  <c r="G1787" i="3" s="1"/>
  <c r="G1788" i="3" a="1"/>
  <c r="G1788" i="3" s="1"/>
  <c r="G1789" i="3" a="1"/>
  <c r="G1789" i="3" s="1"/>
  <c r="G1790" i="3" a="1"/>
  <c r="G1790" i="3" s="1"/>
  <c r="G1791" i="3" a="1"/>
  <c r="G1791" i="3" s="1"/>
  <c r="G1792" i="3" a="1"/>
  <c r="G1792" i="3" s="1"/>
  <c r="G1793" i="3" a="1"/>
  <c r="G1793" i="3" s="1"/>
  <c r="G1794" i="3" a="1"/>
  <c r="G1794" i="3"/>
  <c r="G1795" i="3" a="1"/>
  <c r="G1795" i="3" s="1"/>
  <c r="G1796" i="3" a="1"/>
  <c r="G1796" i="3"/>
  <c r="G1797" i="3" a="1"/>
  <c r="G1797" i="3" s="1"/>
  <c r="G1798" i="3" a="1"/>
  <c r="G1798" i="3" s="1"/>
  <c r="G1799" i="3" a="1"/>
  <c r="G1799" i="3" s="1"/>
  <c r="G1800" i="3" a="1"/>
  <c r="G1800" i="3" s="1"/>
  <c r="G1801" i="3" a="1"/>
  <c r="G1801" i="3" s="1"/>
  <c r="G1802" i="3" a="1"/>
  <c r="G1802" i="3" s="1"/>
  <c r="G1803" i="3" a="1"/>
  <c r="G1803" i="3" s="1"/>
  <c r="G1804" i="3" a="1"/>
  <c r="G1804" i="3"/>
  <c r="G1805" i="3" a="1"/>
  <c r="G1805" i="3" s="1"/>
  <c r="G1806" i="3" a="1"/>
  <c r="G1806" i="3" s="1"/>
  <c r="G1807" i="3" a="1"/>
  <c r="G1807" i="3" s="1"/>
  <c r="G1808" i="3" a="1"/>
  <c r="G1808" i="3" s="1"/>
  <c r="G1809" i="3" a="1"/>
  <c r="G1809" i="3" s="1"/>
  <c r="G1810" i="3" a="1"/>
  <c r="G1810" i="3"/>
  <c r="G1811" i="3" a="1"/>
  <c r="G1811" i="3" s="1"/>
  <c r="G1812" i="3" a="1"/>
  <c r="G1812" i="3"/>
  <c r="G1813" i="3" a="1"/>
  <c r="G1813" i="3" s="1"/>
  <c r="G1814" i="3" a="1"/>
  <c r="G1814" i="3" s="1"/>
  <c r="G1815" i="3" a="1"/>
  <c r="G1815" i="3" s="1"/>
  <c r="G1816" i="3" a="1"/>
  <c r="G1816" i="3" s="1"/>
  <c r="G1817" i="3" a="1"/>
  <c r="G1817" i="3" s="1"/>
  <c r="G1818" i="3" a="1"/>
  <c r="G1818" i="3" s="1"/>
  <c r="G1819" i="3" a="1"/>
  <c r="G1819" i="3" s="1"/>
  <c r="G1820" i="3" a="1"/>
  <c r="G1820" i="3"/>
  <c r="G1821" i="3" a="1"/>
  <c r="G1821" i="3" s="1"/>
  <c r="G1822" i="3" a="1"/>
  <c r="G1822" i="3" s="1"/>
  <c r="G1823" i="3" a="1"/>
  <c r="G1823" i="3" s="1"/>
  <c r="G1824" i="3" a="1"/>
  <c r="G1824" i="3" s="1"/>
  <c r="G1825" i="3" a="1"/>
  <c r="G1825" i="3" s="1"/>
  <c r="G1826" i="3" a="1"/>
  <c r="G1826" i="3" s="1"/>
  <c r="G1827" i="3" a="1"/>
  <c r="G1827" i="3" s="1"/>
  <c r="G1828" i="3" a="1"/>
  <c r="G1828" i="3"/>
  <c r="G1829" i="3" a="1"/>
  <c r="G1829" i="3" s="1"/>
  <c r="G1830" i="3" a="1"/>
  <c r="G1830" i="3" s="1"/>
  <c r="G1831" i="3" a="1"/>
  <c r="G1831" i="3" s="1"/>
  <c r="G1832" i="3" a="1"/>
  <c r="G1832" i="3" s="1"/>
  <c r="G1833" i="3" a="1"/>
  <c r="G1833" i="3" s="1"/>
  <c r="G1834" i="3" a="1"/>
  <c r="G1834" i="3" s="1"/>
  <c r="G1835" i="3" a="1"/>
  <c r="G1835" i="3" s="1"/>
  <c r="G1836" i="3" a="1"/>
  <c r="G1836" i="3" s="1"/>
  <c r="G1837" i="3" a="1"/>
  <c r="G1837" i="3" s="1"/>
  <c r="G1838" i="3" a="1"/>
  <c r="G1838" i="3" s="1"/>
  <c r="G1839" i="3" a="1"/>
  <c r="G1839" i="3" s="1"/>
  <c r="G1840" i="3" a="1"/>
  <c r="G1840" i="3" s="1"/>
  <c r="G1841" i="3" a="1"/>
  <c r="G1841" i="3" s="1"/>
  <c r="G1842" i="3" a="1"/>
  <c r="G1842" i="3" s="1"/>
  <c r="G1843" i="3" a="1"/>
  <c r="G1843" i="3" s="1"/>
  <c r="G1844" i="3" a="1"/>
  <c r="G1844" i="3"/>
  <c r="G1845" i="3" a="1"/>
  <c r="G1845" i="3" s="1"/>
  <c r="G1846" i="3" a="1"/>
  <c r="G1846" i="3" s="1"/>
  <c r="G1847" i="3" a="1"/>
  <c r="G1847" i="3" s="1"/>
  <c r="G1848" i="3" a="1"/>
  <c r="G1848" i="3" s="1"/>
  <c r="G1849" i="3" a="1"/>
  <c r="G1849" i="3" s="1"/>
  <c r="G1850" i="3" a="1"/>
  <c r="G1850" i="3" s="1"/>
  <c r="G1851" i="3" a="1"/>
  <c r="G1851" i="3" s="1"/>
  <c r="G1852" i="3" a="1"/>
  <c r="G1852" i="3" s="1"/>
  <c r="G1853" i="3" a="1"/>
  <c r="G1853" i="3" s="1"/>
  <c r="G1854" i="3" a="1"/>
  <c r="G1854" i="3" s="1"/>
  <c r="G1855" i="3" a="1"/>
  <c r="G1855" i="3" s="1"/>
  <c r="G1856" i="3" a="1"/>
  <c r="G1856" i="3" s="1"/>
  <c r="G1857" i="3" a="1"/>
  <c r="G1857" i="3" s="1"/>
  <c r="G1858" i="3" a="1"/>
  <c r="G1858" i="3"/>
  <c r="G1859" i="3" a="1"/>
  <c r="G1859" i="3" s="1"/>
  <c r="G1860" i="3" a="1"/>
  <c r="G1860" i="3"/>
  <c r="G1861" i="3" a="1"/>
  <c r="G1861" i="3" s="1"/>
  <c r="G1862" i="3" a="1"/>
  <c r="G1862" i="3" s="1"/>
  <c r="G1863" i="3" a="1"/>
  <c r="G1863" i="3" s="1"/>
  <c r="G1864" i="3" a="1"/>
  <c r="G1864" i="3" s="1"/>
  <c r="G1865" i="3" a="1"/>
  <c r="G1865" i="3" s="1"/>
  <c r="G1866" i="3" a="1"/>
  <c r="G1866" i="3" s="1"/>
  <c r="G1867" i="3" a="1"/>
  <c r="G1867" i="3" s="1"/>
  <c r="G1868" i="3" a="1"/>
  <c r="G1868" i="3"/>
  <c r="G1869" i="3" a="1"/>
  <c r="G1869" i="3" s="1"/>
  <c r="G1870" i="3" a="1"/>
  <c r="G1870" i="3" s="1"/>
  <c r="G1871" i="3" a="1"/>
  <c r="G1871" i="3" s="1"/>
  <c r="G1872" i="3" a="1"/>
  <c r="G1872" i="3" s="1"/>
  <c r="G1873" i="3" a="1"/>
  <c r="G1873" i="3" s="1"/>
  <c r="G1874" i="3" a="1"/>
  <c r="G1874" i="3"/>
  <c r="G1875" i="3" a="1"/>
  <c r="G1875" i="3" s="1"/>
  <c r="G1876" i="3" a="1"/>
  <c r="G1876" i="3"/>
  <c r="G1877" i="3" a="1"/>
  <c r="G1877" i="3" s="1"/>
  <c r="G1878" i="3" a="1"/>
  <c r="G1878" i="3" s="1"/>
  <c r="G1879" i="3" a="1"/>
  <c r="G1879" i="3" s="1"/>
  <c r="G1880" i="3" a="1"/>
  <c r="G1880" i="3" s="1"/>
  <c r="G1881" i="3" a="1"/>
  <c r="G1881" i="3" s="1"/>
  <c r="G1882" i="3" a="1"/>
  <c r="G1882" i="3" s="1"/>
  <c r="G1883" i="3" a="1"/>
  <c r="G1883" i="3" s="1"/>
  <c r="G1884" i="3" a="1"/>
  <c r="G1884" i="3"/>
  <c r="G1885" i="3" a="1"/>
  <c r="G1885" i="3" s="1"/>
  <c r="G1886" i="3" a="1"/>
  <c r="G1886" i="3" s="1"/>
  <c r="G1887" i="3" a="1"/>
  <c r="G1887" i="3" s="1"/>
  <c r="G1888" i="3" a="1"/>
  <c r="G1888" i="3" s="1"/>
  <c r="G1889" i="3" a="1"/>
  <c r="G1889" i="3" s="1"/>
  <c r="G1890" i="3" a="1"/>
  <c r="G1890" i="3" s="1"/>
  <c r="G1891" i="3" a="1"/>
  <c r="G1891" i="3" s="1"/>
  <c r="G1892" i="3" a="1"/>
  <c r="G1892" i="3"/>
  <c r="G1893" i="3" a="1"/>
  <c r="G1893" i="3" s="1"/>
  <c r="G1894" i="3" a="1"/>
  <c r="G1894" i="3" s="1"/>
  <c r="G1895" i="3" a="1"/>
  <c r="G1895" i="3" s="1"/>
  <c r="G1896" i="3" a="1"/>
  <c r="G1896" i="3" s="1"/>
  <c r="G1897" i="3" a="1"/>
  <c r="G1897" i="3" s="1"/>
  <c r="G1898" i="3" a="1"/>
  <c r="G1898" i="3" s="1"/>
  <c r="G1899" i="3" a="1"/>
  <c r="G1899" i="3" s="1"/>
  <c r="G1900" i="3" a="1"/>
  <c r="G1900" i="3" s="1"/>
  <c r="G1901" i="3" a="1"/>
  <c r="G1901" i="3" s="1"/>
  <c r="G1902" i="3" a="1"/>
  <c r="G1902" i="3" s="1"/>
  <c r="G1903" i="3" a="1"/>
  <c r="G1903" i="3" s="1"/>
  <c r="G1904" i="3" a="1"/>
  <c r="G1904" i="3" s="1"/>
  <c r="G1905" i="3" a="1"/>
  <c r="G1905" i="3" s="1"/>
  <c r="G1906" i="3" a="1"/>
  <c r="G1906" i="3" s="1"/>
  <c r="G1907" i="3" a="1"/>
  <c r="G1907" i="3" s="1"/>
  <c r="G1908" i="3" a="1"/>
  <c r="G1908" i="3"/>
  <c r="G1909" i="3" a="1"/>
  <c r="G1909" i="3" s="1"/>
  <c r="G1910" i="3" a="1"/>
  <c r="G1910" i="3" s="1"/>
  <c r="G1911" i="3" a="1"/>
  <c r="G1911" i="3" s="1"/>
  <c r="G1912" i="3" a="1"/>
  <c r="G1912" i="3" s="1"/>
  <c r="G1913" i="3" a="1"/>
  <c r="G1913" i="3" s="1"/>
  <c r="G1914" i="3" a="1"/>
  <c r="G1914" i="3"/>
  <c r="G1915" i="3" a="1"/>
  <c r="G1915" i="3" s="1"/>
  <c r="G1916" i="3" a="1"/>
  <c r="G1916" i="3" s="1"/>
  <c r="G1917" i="3" a="1"/>
  <c r="G1917" i="3" s="1"/>
  <c r="G1918" i="3" a="1"/>
  <c r="G1918" i="3" s="1"/>
  <c r="G1919" i="3" a="1"/>
  <c r="G1919" i="3" s="1"/>
  <c r="G1920" i="3" a="1"/>
  <c r="G1920" i="3" s="1"/>
  <c r="G1921" i="3" a="1"/>
  <c r="G1921" i="3" s="1"/>
  <c r="G1922" i="3" a="1"/>
  <c r="G1922" i="3"/>
  <c r="G1923" i="3" a="1"/>
  <c r="G1923" i="3" s="1"/>
  <c r="G1924" i="3" a="1"/>
  <c r="G1924" i="3"/>
  <c r="G1925" i="3" a="1"/>
  <c r="G1925" i="3" s="1"/>
  <c r="G1926" i="3" a="1"/>
  <c r="G1926" i="3" s="1"/>
  <c r="G1927" i="3" a="1"/>
  <c r="G1927" i="3" s="1"/>
  <c r="G1928" i="3" a="1"/>
  <c r="G1928" i="3" s="1"/>
  <c r="G1929" i="3" a="1"/>
  <c r="G1929" i="3" s="1"/>
  <c r="G1930" i="3" a="1"/>
  <c r="G1930" i="3"/>
  <c r="G1931" i="3" a="1"/>
  <c r="G1931" i="3" s="1"/>
  <c r="G1932" i="3" a="1"/>
  <c r="G1932" i="3" s="1"/>
  <c r="G1933" i="3" a="1"/>
  <c r="G1933" i="3" s="1"/>
  <c r="G1934" i="3" a="1"/>
  <c r="G1934" i="3" s="1"/>
  <c r="G1935" i="3" a="1"/>
  <c r="G1935" i="3" s="1"/>
  <c r="G1936" i="3" a="1"/>
  <c r="G1936" i="3" s="1"/>
  <c r="G1937" i="3" a="1"/>
  <c r="G1937" i="3" s="1"/>
  <c r="G1938" i="3" a="1"/>
  <c r="G1938" i="3"/>
  <c r="G1939" i="3" a="1"/>
  <c r="G1939" i="3" s="1"/>
  <c r="G1940" i="3" a="1"/>
  <c r="G1940" i="3" s="1"/>
  <c r="G1941" i="3" a="1"/>
  <c r="G1941" i="3" s="1"/>
  <c r="G1942" i="3" a="1"/>
  <c r="G1942" i="3" s="1"/>
  <c r="G1943" i="3" a="1"/>
  <c r="G1943" i="3" s="1"/>
  <c r="G1944" i="3" a="1"/>
  <c r="G1944" i="3" s="1"/>
  <c r="G1945" i="3" a="1"/>
  <c r="G1945" i="3" s="1"/>
  <c r="G1946" i="3" a="1"/>
  <c r="G1946" i="3"/>
  <c r="G1947" i="3" a="1"/>
  <c r="G1947" i="3" s="1"/>
  <c r="G1948" i="3" a="1"/>
  <c r="G1948" i="3" s="1"/>
  <c r="G1949" i="3" a="1"/>
  <c r="G1949" i="3" s="1"/>
  <c r="G1950" i="3" a="1"/>
  <c r="G1950" i="3" s="1"/>
  <c r="G1951" i="3" a="1"/>
  <c r="G1951" i="3" s="1"/>
  <c r="G1952" i="3" a="1"/>
  <c r="G1952" i="3" s="1"/>
  <c r="G1953" i="3" a="1"/>
  <c r="G1953" i="3" s="1"/>
  <c r="G1954" i="3" a="1"/>
  <c r="G1954" i="3" s="1"/>
  <c r="G1955" i="3" a="1"/>
  <c r="G1955" i="3" s="1"/>
  <c r="G1956" i="3" a="1"/>
  <c r="G1956" i="3" s="1"/>
  <c r="G1957" i="3" a="1"/>
  <c r="G1957" i="3" s="1"/>
  <c r="G1958" i="3" a="1"/>
  <c r="G1958" i="3" s="1"/>
  <c r="G1959" i="3" a="1"/>
  <c r="G1959" i="3" s="1"/>
  <c r="G1960" i="3" a="1"/>
  <c r="G1960" i="3" s="1"/>
  <c r="G1961" i="3" a="1"/>
  <c r="G1961" i="3" s="1"/>
  <c r="G1962" i="3" a="1"/>
  <c r="G1962" i="3"/>
  <c r="G1963" i="3" a="1"/>
  <c r="G1963" i="3" s="1"/>
  <c r="G1964" i="3" a="1"/>
  <c r="G1964" i="3" s="1"/>
  <c r="G1965" i="3" a="1"/>
  <c r="G1965" i="3" s="1"/>
  <c r="G1966" i="3" a="1"/>
  <c r="G1966" i="3" s="1"/>
  <c r="G1967" i="3" a="1"/>
  <c r="G1967" i="3" s="1"/>
  <c r="G1968" i="3" a="1"/>
  <c r="G1968" i="3" s="1"/>
  <c r="G1969" i="3" a="1"/>
  <c r="G1969" i="3" s="1"/>
  <c r="G1970" i="3" a="1"/>
  <c r="G1970" i="3" s="1"/>
  <c r="G1971" i="3" a="1"/>
  <c r="G1971" i="3" s="1"/>
  <c r="G1972" i="3" a="1"/>
  <c r="G1972" i="3"/>
  <c r="G1973" i="3" a="1"/>
  <c r="G1973" i="3" s="1"/>
  <c r="G1974" i="3" a="1"/>
  <c r="G1974" i="3" s="1"/>
  <c r="G1975" i="3" a="1"/>
  <c r="G1975" i="3" s="1"/>
  <c r="G1976" i="3" a="1"/>
  <c r="G1976" i="3" s="1"/>
  <c r="G1977" i="3" a="1"/>
  <c r="G1977" i="3" s="1"/>
  <c r="G1978" i="3" a="1"/>
  <c r="G1978" i="3"/>
  <c r="G1979" i="3" a="1"/>
  <c r="G1979" i="3" s="1"/>
  <c r="G1980" i="3" a="1"/>
  <c r="G1980" i="3" s="1"/>
  <c r="G1981" i="3" a="1"/>
  <c r="G1981" i="3" s="1"/>
  <c r="G1982" i="3" a="1"/>
  <c r="G1982" i="3" s="1"/>
  <c r="G1983" i="3" a="1"/>
  <c r="G1983" i="3" s="1"/>
  <c r="G1984" i="3" a="1"/>
  <c r="G1984" i="3" s="1"/>
  <c r="G1985" i="3" a="1"/>
  <c r="G1985" i="3" s="1"/>
  <c r="G1986" i="3" a="1"/>
  <c r="G1986" i="3"/>
  <c r="G1987" i="3" a="1"/>
  <c r="G1987" i="3" s="1"/>
  <c r="G1988" i="3" a="1"/>
  <c r="G1988" i="3"/>
  <c r="G1989" i="3" a="1"/>
  <c r="G1989" i="3" s="1"/>
  <c r="G1990" i="3" a="1"/>
  <c r="G1990" i="3" s="1"/>
  <c r="G1991" i="3" a="1"/>
  <c r="G1991" i="3" s="1"/>
  <c r="G1992" i="3" a="1"/>
  <c r="G1992" i="3" s="1"/>
  <c r="G1993" i="3" a="1"/>
  <c r="G1993" i="3" s="1"/>
  <c r="G1994" i="3" a="1"/>
  <c r="G1994" i="3"/>
  <c r="G1995" i="3" a="1"/>
  <c r="G1995" i="3" s="1"/>
  <c r="G1996" i="3" a="1"/>
  <c r="G1996" i="3" s="1"/>
  <c r="G1997" i="3" a="1"/>
  <c r="G1997" i="3" s="1"/>
  <c r="G1998" i="3" a="1"/>
  <c r="G1998" i="3" s="1"/>
  <c r="G1999" i="3" a="1"/>
  <c r="G1999" i="3" s="1"/>
  <c r="G2000" i="3" a="1"/>
  <c r="G2000" i="3" s="1"/>
  <c r="G2001" i="3" a="1"/>
  <c r="G2001" i="3" s="1"/>
  <c r="G2002" i="3" a="1"/>
  <c r="G2002" i="3"/>
  <c r="G2003" i="3" a="1"/>
  <c r="G2003" i="3" s="1"/>
  <c r="G2004" i="3" a="1"/>
  <c r="G2004" i="3" s="1"/>
  <c r="G2005" i="3" a="1"/>
  <c r="G2005" i="3" s="1"/>
  <c r="G2006" i="3" a="1"/>
  <c r="G2006" i="3" s="1"/>
  <c r="G2007" i="3" a="1"/>
  <c r="G2007" i="3" s="1"/>
  <c r="G2008" i="3" a="1"/>
  <c r="G2008" i="3" s="1"/>
  <c r="G2009" i="3" a="1"/>
  <c r="G2009" i="3" s="1"/>
  <c r="G2010" i="3" a="1"/>
  <c r="G2010" i="3"/>
  <c r="G2011" i="3" a="1"/>
  <c r="G2011" i="3" s="1"/>
  <c r="G2012" i="3" a="1"/>
  <c r="G2012" i="3" s="1"/>
  <c r="G2013" i="3" a="1"/>
  <c r="G2013" i="3" s="1"/>
  <c r="G2014" i="3" a="1"/>
  <c r="G2014" i="3" s="1"/>
  <c r="G2015" i="3" a="1"/>
  <c r="G2015" i="3" s="1"/>
  <c r="G2016" i="3" a="1"/>
  <c r="G2016" i="3" s="1"/>
  <c r="G2017" i="3" a="1"/>
  <c r="G2017" i="3" s="1"/>
  <c r="G2018" i="3" a="1"/>
  <c r="G2018" i="3" s="1"/>
  <c r="G2019" i="3" a="1"/>
  <c r="G2019" i="3" s="1"/>
  <c r="G2020" i="3" a="1"/>
  <c r="G2020" i="3" s="1"/>
  <c r="G2021" i="3" a="1"/>
  <c r="G2021" i="3" s="1"/>
  <c r="G2022" i="3" a="1"/>
  <c r="G2022" i="3" s="1"/>
  <c r="G2023" i="3" a="1"/>
  <c r="G2023" i="3" s="1"/>
  <c r="G2024" i="3" a="1"/>
  <c r="G2024" i="3" s="1"/>
  <c r="G2025" i="3" a="1"/>
  <c r="G2025" i="3" s="1"/>
  <c r="G2026" i="3" a="1"/>
  <c r="G2026" i="3"/>
  <c r="G2027" i="3" a="1"/>
  <c r="G2027" i="3" s="1"/>
  <c r="G2028" i="3" a="1"/>
  <c r="G2028" i="3" s="1"/>
  <c r="G2029" i="3" a="1"/>
  <c r="G2029" i="3" s="1"/>
  <c r="G2030" i="3" a="1"/>
  <c r="G2030" i="3" s="1"/>
  <c r="G2031" i="3" a="1"/>
  <c r="G2031" i="3" s="1"/>
  <c r="G2032" i="3" a="1"/>
  <c r="G2032" i="3" s="1"/>
  <c r="G2033" i="3" a="1"/>
  <c r="G2033" i="3" s="1"/>
  <c r="G2034" i="3" a="1"/>
  <c r="G2034" i="3" s="1"/>
  <c r="G2035" i="3" a="1"/>
  <c r="G2035" i="3" s="1"/>
  <c r="G2036" i="3" a="1"/>
  <c r="G2036" i="3"/>
  <c r="G2037" i="3" a="1"/>
  <c r="G2037" i="3" s="1"/>
  <c r="G2038" i="3" a="1"/>
  <c r="G2038" i="3" s="1"/>
  <c r="G2039" i="3" a="1"/>
  <c r="G2039" i="3" s="1"/>
  <c r="G2040" i="3" a="1"/>
  <c r="G2040" i="3" s="1"/>
  <c r="G2041" i="3" a="1"/>
  <c r="G2041" i="3" s="1"/>
  <c r="G2042" i="3" a="1"/>
  <c r="G2042" i="3"/>
  <c r="G2043" i="3" a="1"/>
  <c r="G2043" i="3" s="1"/>
  <c r="G2044" i="3" a="1"/>
  <c r="G2044" i="3" s="1"/>
  <c r="G2045" i="3" a="1"/>
  <c r="G2045" i="3" s="1"/>
  <c r="G2046" i="3" a="1"/>
  <c r="G2046" i="3" s="1"/>
  <c r="G2047" i="3" a="1"/>
  <c r="G2047" i="3" s="1"/>
  <c r="G2048" i="3" a="1"/>
  <c r="G2048" i="3" s="1"/>
  <c r="G2049" i="3" a="1"/>
  <c r="G2049" i="3" s="1"/>
  <c r="G2050" i="3" a="1"/>
  <c r="G2050" i="3"/>
  <c r="G2051" i="3" a="1"/>
  <c r="G2051" i="3" s="1"/>
  <c r="G2052" i="3" a="1"/>
  <c r="G2052" i="3"/>
  <c r="G2053" i="3" a="1"/>
  <c r="G2053" i="3" s="1"/>
  <c r="G2054" i="3" a="1"/>
  <c r="G2054" i="3" s="1"/>
  <c r="G2055" i="3" a="1"/>
  <c r="G2055" i="3" s="1"/>
  <c r="G2056" i="3" a="1"/>
  <c r="G2056" i="3" s="1"/>
  <c r="G2057" i="3" a="1"/>
  <c r="G2057" i="3" s="1"/>
  <c r="G2058" i="3" a="1"/>
  <c r="G2058" i="3"/>
  <c r="G2059" i="3" a="1"/>
  <c r="G2059" i="3" s="1"/>
  <c r="G2060" i="3" a="1"/>
  <c r="G2060" i="3" s="1"/>
  <c r="G2061" i="3" a="1"/>
  <c r="G2061" i="3" s="1"/>
  <c r="G2062" i="3" a="1"/>
  <c r="G2062" i="3" s="1"/>
  <c r="G2063" i="3" a="1"/>
  <c r="G2063" i="3" s="1"/>
  <c r="G2064" i="3" a="1"/>
  <c r="G2064" i="3" s="1"/>
  <c r="G2065" i="3" a="1"/>
  <c r="G2065" i="3" s="1"/>
  <c r="G2066" i="3" a="1"/>
  <c r="G2066" i="3"/>
  <c r="G2067" i="3" a="1"/>
  <c r="G2067" i="3" s="1"/>
  <c r="G2068" i="3" a="1"/>
  <c r="G2068" i="3" s="1"/>
  <c r="G2069" i="3" a="1"/>
  <c r="G2069" i="3" s="1"/>
  <c r="G2070" i="3" a="1"/>
  <c r="G2070" i="3" s="1"/>
  <c r="G2071" i="3" a="1"/>
  <c r="G2071" i="3" s="1"/>
  <c r="G2072" i="3" a="1"/>
  <c r="G2072" i="3" s="1"/>
  <c r="G2073" i="3" a="1"/>
  <c r="G2073" i="3" s="1"/>
  <c r="G2074" i="3" a="1"/>
  <c r="G2074" i="3"/>
  <c r="G2075" i="3" a="1"/>
  <c r="G2075" i="3" s="1"/>
  <c r="G2076" i="3" a="1"/>
  <c r="G2076" i="3" s="1"/>
  <c r="G2077" i="3" a="1"/>
  <c r="G2077" i="3" s="1"/>
  <c r="G2078" i="3" a="1"/>
  <c r="G2078" i="3" s="1"/>
  <c r="G2079" i="3" a="1"/>
  <c r="G2079" i="3" s="1"/>
  <c r="G2080" i="3" a="1"/>
  <c r="G2080" i="3" s="1"/>
  <c r="G2081" i="3" a="1"/>
  <c r="G2081" i="3" s="1"/>
  <c r="G2082" i="3" a="1"/>
  <c r="G2082" i="3" s="1"/>
  <c r="G2083" i="3" a="1"/>
  <c r="G2083" i="3" s="1"/>
  <c r="G2084" i="3" a="1"/>
  <c r="G2084" i="3" s="1"/>
  <c r="G2085" i="3" a="1"/>
  <c r="G2085" i="3" s="1"/>
  <c r="G2086" i="3" a="1"/>
  <c r="G2086" i="3" s="1"/>
  <c r="G2087" i="3" a="1"/>
  <c r="G2087" i="3" s="1"/>
  <c r="G2088" i="3" a="1"/>
  <c r="G2088" i="3" s="1"/>
  <c r="G2089" i="3" a="1"/>
  <c r="G2089" i="3" s="1"/>
  <c r="G2090" i="3" a="1"/>
  <c r="G2090" i="3"/>
  <c r="G2091" i="3" a="1"/>
  <c r="G2091" i="3" s="1"/>
  <c r="G2092" i="3" a="1"/>
  <c r="G2092" i="3" s="1"/>
  <c r="G2093" i="3" a="1"/>
  <c r="G2093" i="3" s="1"/>
  <c r="G2094" i="3" a="1"/>
  <c r="G2094" i="3" s="1"/>
  <c r="G2095" i="3" a="1"/>
  <c r="G2095" i="3" s="1"/>
  <c r="G2096" i="3" a="1"/>
  <c r="G2096" i="3" s="1"/>
  <c r="G2097" i="3" a="1"/>
  <c r="G2097" i="3" s="1"/>
  <c r="G2098" i="3" a="1"/>
  <c r="G2098" i="3" s="1"/>
  <c r="G2099" i="3" a="1"/>
  <c r="G2099" i="3" s="1"/>
  <c r="G2100" i="3" a="1"/>
  <c r="G2100" i="3"/>
  <c r="G2101" i="3" a="1"/>
  <c r="G2101" i="3" s="1"/>
  <c r="G2102" i="3" a="1"/>
  <c r="G2102" i="3" s="1"/>
  <c r="G2103" i="3" a="1"/>
  <c r="G2103" i="3" s="1"/>
  <c r="G2104" i="3" a="1"/>
  <c r="G2104" i="3" s="1"/>
  <c r="G2105" i="3" a="1"/>
  <c r="G2105" i="3" s="1"/>
  <c r="G2106" i="3" a="1"/>
  <c r="G2106" i="3"/>
  <c r="G2107" i="3" a="1"/>
  <c r="G2107" i="3" s="1"/>
  <c r="G2108" i="3" a="1"/>
  <c r="G2108" i="3" s="1"/>
  <c r="G2109" i="3" a="1"/>
  <c r="G2109" i="3" s="1"/>
  <c r="G2110" i="3" a="1"/>
  <c r="G2110" i="3" s="1"/>
  <c r="G2111" i="3" a="1"/>
  <c r="G2111" i="3" s="1"/>
  <c r="G2112" i="3" a="1"/>
  <c r="G2112" i="3" s="1"/>
  <c r="G2113" i="3" a="1"/>
  <c r="G2113" i="3" s="1"/>
  <c r="G2114" i="3" a="1"/>
  <c r="G2114" i="3"/>
  <c r="G2115" i="3" a="1"/>
  <c r="G2115" i="3" s="1"/>
  <c r="G2116" i="3" a="1"/>
  <c r="G2116" i="3"/>
  <c r="G2117" i="3" a="1"/>
  <c r="G2117" i="3" s="1"/>
  <c r="G2118" i="3" a="1"/>
  <c r="G2118" i="3" s="1"/>
  <c r="G2119" i="3" a="1"/>
  <c r="G2119" i="3" s="1"/>
  <c r="G2120" i="3" a="1"/>
  <c r="G2120" i="3" s="1"/>
  <c r="G2121" i="3" a="1"/>
  <c r="G2121" i="3" s="1"/>
  <c r="G2122" i="3" a="1"/>
  <c r="G2122" i="3"/>
  <c r="G2123" i="3" a="1"/>
  <c r="G2123" i="3" s="1"/>
  <c r="G2124" i="3" a="1"/>
  <c r="G2124" i="3" s="1"/>
  <c r="G2125" i="3" a="1"/>
  <c r="G2125" i="3" s="1"/>
  <c r="G2126" i="3" a="1"/>
  <c r="G2126" i="3" s="1"/>
  <c r="G2127" i="3" a="1"/>
  <c r="G2127" i="3" s="1"/>
  <c r="G2128" i="3" a="1"/>
  <c r="G2128" i="3" s="1"/>
  <c r="G2129" i="3" a="1"/>
  <c r="G2129" i="3" s="1"/>
  <c r="G2130" i="3" a="1"/>
  <c r="G2130" i="3"/>
  <c r="G2131" i="3" a="1"/>
  <c r="G2131" i="3" s="1"/>
  <c r="G2132" i="3" a="1"/>
  <c r="G2132" i="3" s="1"/>
  <c r="G2133" i="3" a="1"/>
  <c r="G2133" i="3" s="1"/>
  <c r="G2134" i="3" a="1"/>
  <c r="G2134" i="3" s="1"/>
  <c r="G2135" i="3" a="1"/>
  <c r="G2135" i="3" s="1"/>
  <c r="G2136" i="3" a="1"/>
  <c r="G2136" i="3" s="1"/>
  <c r="G2137" i="3" a="1"/>
  <c r="G2137" i="3" s="1"/>
  <c r="G2138" i="3" a="1"/>
  <c r="G2138" i="3"/>
  <c r="G2139" i="3" a="1"/>
  <c r="G2139" i="3" s="1"/>
  <c r="G2140" i="3" a="1"/>
  <c r="G2140" i="3" s="1"/>
  <c r="G2141" i="3" a="1"/>
  <c r="G2141" i="3" s="1"/>
  <c r="G2142" i="3" a="1"/>
  <c r="G2142" i="3" s="1"/>
  <c r="G2143" i="3" a="1"/>
  <c r="G2143" i="3" s="1"/>
  <c r="G2144" i="3" a="1"/>
  <c r="G2144" i="3" s="1"/>
  <c r="G2145" i="3" a="1"/>
  <c r="G2145" i="3" s="1"/>
  <c r="G2146" i="3" a="1"/>
  <c r="G2146" i="3" s="1"/>
  <c r="G2147" i="3" a="1"/>
  <c r="G2147" i="3" s="1"/>
  <c r="G2148" i="3" a="1"/>
  <c r="G2148" i="3" s="1"/>
  <c r="G2149" i="3" a="1"/>
  <c r="G2149" i="3" s="1"/>
  <c r="G2150" i="3" a="1"/>
  <c r="G2150" i="3" s="1"/>
  <c r="G2151" i="3" a="1"/>
  <c r="G2151" i="3" s="1"/>
  <c r="G2152" i="3" a="1"/>
  <c r="G2152" i="3" s="1"/>
  <c r="G2153" i="3" a="1"/>
  <c r="G2153" i="3" s="1"/>
  <c r="G2154" i="3" a="1"/>
  <c r="G2154" i="3"/>
  <c r="G2155" i="3" a="1"/>
  <c r="G2155" i="3" s="1"/>
  <c r="G2156" i="3" a="1"/>
  <c r="G2156" i="3" s="1"/>
  <c r="G2157" i="3" a="1"/>
  <c r="G2157" i="3" s="1"/>
  <c r="G2158" i="3" a="1"/>
  <c r="G2158" i="3" s="1"/>
  <c r="G2159" i="3" a="1"/>
  <c r="G2159" i="3" s="1"/>
  <c r="G2160" i="3" a="1"/>
  <c r="G2160" i="3" s="1"/>
  <c r="G2161" i="3" a="1"/>
  <c r="G2161" i="3" s="1"/>
  <c r="G2162" i="3" a="1"/>
  <c r="G2162" i="3" s="1"/>
  <c r="G2163" i="3" a="1"/>
  <c r="G2163" i="3" s="1"/>
  <c r="G2164" i="3" a="1"/>
  <c r="G2164" i="3"/>
  <c r="G2165" i="3" a="1"/>
  <c r="G2165" i="3" s="1"/>
  <c r="G2166" i="3" a="1"/>
  <c r="G2166" i="3" s="1"/>
  <c r="G2167" i="3" a="1"/>
  <c r="G2167" i="3" s="1"/>
  <c r="G2168" i="3" a="1"/>
  <c r="G2168" i="3" s="1"/>
  <c r="G2169" i="3" a="1"/>
  <c r="G2169" i="3" s="1"/>
  <c r="G2170" i="3" a="1"/>
  <c r="G2170" i="3"/>
  <c r="G2171" i="3" a="1"/>
  <c r="G2171" i="3" s="1"/>
  <c r="G2172" i="3" a="1"/>
  <c r="G2172" i="3" s="1"/>
  <c r="G2173" i="3" a="1"/>
  <c r="G2173" i="3" s="1"/>
  <c r="G2174" i="3" a="1"/>
  <c r="G2174" i="3" s="1"/>
  <c r="G2175" i="3" a="1"/>
  <c r="G2175" i="3" s="1"/>
  <c r="G2176" i="3" a="1"/>
  <c r="G2176" i="3" s="1"/>
  <c r="G2177" i="3" a="1"/>
  <c r="G2177" i="3" s="1"/>
  <c r="G2178" i="3" a="1"/>
  <c r="G2178" i="3"/>
  <c r="G2179" i="3" a="1"/>
  <c r="G2179" i="3" s="1"/>
  <c r="G2180" i="3" a="1"/>
  <c r="G2180" i="3"/>
  <c r="G2181" i="3" a="1"/>
  <c r="G2181" i="3" s="1"/>
  <c r="G2182" i="3" a="1"/>
  <c r="G2182" i="3" s="1"/>
  <c r="G2183" i="3" a="1"/>
  <c r="G2183" i="3" s="1"/>
  <c r="G2184" i="3" a="1"/>
  <c r="G2184" i="3" s="1"/>
  <c r="G2185" i="3" a="1"/>
  <c r="G2185" i="3" s="1"/>
  <c r="G2186" i="3" a="1"/>
  <c r="G2186" i="3"/>
  <c r="G2187" i="3" a="1"/>
  <c r="G2187" i="3" s="1"/>
  <c r="G2188" i="3" a="1"/>
  <c r="G2188" i="3" s="1"/>
  <c r="G2189" i="3" a="1"/>
  <c r="G2189" i="3" s="1"/>
  <c r="G2190" i="3" a="1"/>
  <c r="G2190" i="3" s="1"/>
  <c r="G2191" i="3" a="1"/>
  <c r="G2191" i="3" s="1"/>
  <c r="G2192" i="3" a="1"/>
  <c r="G2192" i="3" s="1"/>
  <c r="G2193" i="3" a="1"/>
  <c r="G2193" i="3" s="1"/>
  <c r="G2194" i="3" a="1"/>
  <c r="G2194" i="3"/>
  <c r="G2195" i="3" a="1"/>
  <c r="G2195" i="3" s="1"/>
  <c r="G2196" i="3" a="1"/>
  <c r="G2196" i="3" s="1"/>
  <c r="G2197" i="3" a="1"/>
  <c r="G2197" i="3" s="1"/>
  <c r="G2198" i="3" a="1"/>
  <c r="G2198" i="3" s="1"/>
  <c r="G2199" i="3" a="1"/>
  <c r="G2199" i="3" s="1"/>
  <c r="G2200" i="3" a="1"/>
  <c r="G2200" i="3" s="1"/>
  <c r="G2201" i="3" a="1"/>
  <c r="G2201" i="3" s="1"/>
  <c r="G2202" i="3" a="1"/>
  <c r="G2202" i="3"/>
  <c r="G2203" i="3" a="1"/>
  <c r="G2203" i="3" s="1"/>
  <c r="G2204" i="3" a="1"/>
  <c r="G2204" i="3" s="1"/>
  <c r="G2205" i="3" a="1"/>
  <c r="G2205" i="3" s="1"/>
  <c r="G2206" i="3" a="1"/>
  <c r="G2206" i="3" s="1"/>
  <c r="G2207" i="3" a="1"/>
  <c r="G2207" i="3" s="1"/>
  <c r="G2208" i="3" a="1"/>
  <c r="G2208" i="3" s="1"/>
  <c r="G2209" i="3" a="1"/>
  <c r="G2209" i="3" s="1"/>
  <c r="G2210" i="3" a="1"/>
  <c r="G2210" i="3" s="1"/>
  <c r="G2211" i="3" a="1"/>
  <c r="G2211" i="3" s="1"/>
  <c r="G2212" i="3" a="1"/>
  <c r="G2212" i="3" s="1"/>
  <c r="G2213" i="3" a="1"/>
  <c r="G2213" i="3" s="1"/>
  <c r="G2214" i="3" a="1"/>
  <c r="G2214" i="3" s="1"/>
  <c r="G2215" i="3" a="1"/>
  <c r="G2215" i="3" s="1"/>
  <c r="G2216" i="3" a="1"/>
  <c r="G2216" i="3" s="1"/>
  <c r="G2217" i="3" a="1"/>
  <c r="G2217" i="3" s="1"/>
  <c r="G2218" i="3" a="1"/>
  <c r="G2218" i="3"/>
  <c r="G2219" i="3" a="1"/>
  <c r="G2219" i="3" s="1"/>
  <c r="G2220" i="3" a="1"/>
  <c r="G2220" i="3" s="1"/>
  <c r="G2221" i="3" a="1"/>
  <c r="G2221" i="3" s="1"/>
  <c r="G2222" i="3" a="1"/>
  <c r="G2222" i="3" s="1"/>
  <c r="G2223" i="3" a="1"/>
  <c r="G2223" i="3" s="1"/>
  <c r="G2224" i="3" a="1"/>
  <c r="G2224" i="3" s="1"/>
  <c r="G2225" i="3" a="1"/>
  <c r="G2225" i="3" s="1"/>
  <c r="G2226" i="3" a="1"/>
  <c r="G2226" i="3" s="1"/>
  <c r="G2227" i="3" a="1"/>
  <c r="G2227" i="3" s="1"/>
  <c r="G2228" i="3" a="1"/>
  <c r="G2228" i="3"/>
  <c r="G2229" i="3" a="1"/>
  <c r="G2229" i="3" s="1"/>
  <c r="G2230" i="3" a="1"/>
  <c r="G2230" i="3" s="1"/>
  <c r="G2231" i="3" a="1"/>
  <c r="G2231" i="3" s="1"/>
  <c r="G2232" i="3" a="1"/>
  <c r="G2232" i="3" s="1"/>
  <c r="G2233" i="3" a="1"/>
  <c r="G2233" i="3" s="1"/>
  <c r="G2234" i="3" a="1"/>
  <c r="G2234" i="3"/>
  <c r="G2235" i="3" a="1"/>
  <c r="G2235" i="3" s="1"/>
  <c r="G2236" i="3" a="1"/>
  <c r="G2236" i="3" s="1"/>
  <c r="G2237" i="3" a="1"/>
  <c r="G2237" i="3" s="1"/>
  <c r="G2238" i="3" a="1"/>
  <c r="G2238" i="3" s="1"/>
  <c r="G2239" i="3" a="1"/>
  <c r="G2239" i="3" s="1"/>
  <c r="G2240" i="3" a="1"/>
  <c r="G2240" i="3" s="1"/>
  <c r="G2241" i="3" a="1"/>
  <c r="G2241" i="3" s="1"/>
  <c r="G2242" i="3" a="1"/>
  <c r="G2242" i="3"/>
  <c r="G2243" i="3" a="1"/>
  <c r="G2243" i="3" s="1"/>
  <c r="G2244" i="3" a="1"/>
  <c r="G2244" i="3"/>
  <c r="G2245" i="3" a="1"/>
  <c r="G2245" i="3" s="1"/>
  <c r="G2246" i="3" a="1"/>
  <c r="G2246" i="3" s="1"/>
  <c r="G2247" i="3" a="1"/>
  <c r="G2247" i="3" s="1"/>
  <c r="G2248" i="3" a="1"/>
  <c r="G2248" i="3" s="1"/>
  <c r="G2249" i="3" a="1"/>
  <c r="G2249" i="3" s="1"/>
  <c r="G2250" i="3" a="1"/>
  <c r="G2250" i="3"/>
  <c r="G2251" i="3" a="1"/>
  <c r="G2251" i="3" s="1"/>
  <c r="G2252" i="3" a="1"/>
  <c r="G2252" i="3" s="1"/>
  <c r="G2253" i="3" a="1"/>
  <c r="G2253" i="3" s="1"/>
  <c r="G2254" i="3" a="1"/>
  <c r="G2254" i="3" s="1"/>
  <c r="G2255" i="3" a="1"/>
  <c r="G2255" i="3" s="1"/>
  <c r="G2256" i="3" a="1"/>
  <c r="G2256" i="3" s="1"/>
  <c r="G2257" i="3" a="1"/>
  <c r="G2257" i="3" s="1"/>
  <c r="G2258" i="3" a="1"/>
  <c r="G2258" i="3"/>
  <c r="G2259" i="3" a="1"/>
  <c r="G2259" i="3" s="1"/>
  <c r="G2260" i="3" a="1"/>
  <c r="G2260" i="3" s="1"/>
  <c r="G2261" i="3" a="1"/>
  <c r="G2261" i="3" s="1"/>
  <c r="G2262" i="3" a="1"/>
  <c r="G2262" i="3" s="1"/>
  <c r="G2263" i="3" a="1"/>
  <c r="G2263" i="3" s="1"/>
  <c r="G2264" i="3" a="1"/>
  <c r="G2264" i="3" s="1"/>
  <c r="G2265" i="3" a="1"/>
  <c r="G2265" i="3" s="1"/>
  <c r="G2266" i="3" a="1"/>
  <c r="G2266" i="3"/>
  <c r="G2267" i="3" a="1"/>
  <c r="G2267" i="3" s="1"/>
  <c r="G2268" i="3" a="1"/>
  <c r="G2268" i="3" s="1"/>
  <c r="G2269" i="3" a="1"/>
  <c r="G2269" i="3" s="1"/>
  <c r="G2270" i="3" a="1"/>
  <c r="G2270" i="3" s="1"/>
  <c r="G2271" i="3" a="1"/>
  <c r="G2271" i="3" s="1"/>
  <c r="G2272" i="3" a="1"/>
  <c r="G2272" i="3" s="1"/>
  <c r="G2273" i="3" a="1"/>
  <c r="G2273" i="3" s="1"/>
  <c r="G2274" i="3" a="1"/>
  <c r="G2274" i="3" s="1"/>
  <c r="G2275" i="3" a="1"/>
  <c r="G2275" i="3" s="1"/>
  <c r="G2276" i="3" a="1"/>
  <c r="G2276" i="3" s="1"/>
  <c r="G2277" i="3" a="1"/>
  <c r="G2277" i="3" s="1"/>
  <c r="G2278" i="3" a="1"/>
  <c r="G2278" i="3" s="1"/>
  <c r="G2279" i="3" a="1"/>
  <c r="G2279" i="3" s="1"/>
  <c r="G2280" i="3" a="1"/>
  <c r="G2280" i="3" s="1"/>
  <c r="G2281" i="3" a="1"/>
  <c r="G2281" i="3" s="1"/>
  <c r="G2282" i="3" a="1"/>
  <c r="G2282" i="3"/>
  <c r="G2283" i="3" a="1"/>
  <c r="G2283" i="3" s="1"/>
  <c r="G2284" i="3" a="1"/>
  <c r="G2284" i="3" s="1"/>
  <c r="G2285" i="3" a="1"/>
  <c r="G2285" i="3" s="1"/>
  <c r="G2286" i="3" a="1"/>
  <c r="G2286" i="3" s="1"/>
  <c r="G2287" i="3" a="1"/>
  <c r="G2287" i="3" s="1"/>
  <c r="G2288" i="3" a="1"/>
  <c r="G2288" i="3" s="1"/>
  <c r="G2289" i="3" a="1"/>
  <c r="G2289" i="3" s="1"/>
  <c r="G2290" i="3" a="1"/>
  <c r="G2290" i="3" s="1"/>
  <c r="G2291" i="3" a="1"/>
  <c r="G2291" i="3" s="1"/>
  <c r="G2292" i="3" a="1"/>
  <c r="G2292" i="3"/>
  <c r="G2293" i="3" a="1"/>
  <c r="G2293" i="3" s="1"/>
  <c r="G2294" i="3" a="1"/>
  <c r="G2294" i="3" s="1"/>
  <c r="G2295" i="3" a="1"/>
  <c r="G2295" i="3" s="1"/>
  <c r="G2296" i="3" a="1"/>
  <c r="G2296" i="3" s="1"/>
  <c r="G2297" i="3" a="1"/>
  <c r="G2297" i="3" s="1"/>
  <c r="G2298" i="3" a="1"/>
  <c r="G2298" i="3"/>
  <c r="G2299" i="3" a="1"/>
  <c r="G2299" i="3" s="1"/>
  <c r="G2300" i="3" a="1"/>
  <c r="G2300" i="3" s="1"/>
  <c r="G2301" i="3" a="1"/>
  <c r="G2301" i="3" s="1"/>
  <c r="G2302" i="3" a="1"/>
  <c r="G2302" i="3" s="1"/>
  <c r="G2303" i="3" a="1"/>
  <c r="G2303" i="3" s="1"/>
  <c r="G2304" i="3" a="1"/>
  <c r="G2304" i="3" s="1"/>
  <c r="G2305" i="3" a="1"/>
  <c r="G2305" i="3" s="1"/>
  <c r="G2306" i="3" a="1"/>
  <c r="G2306" i="3"/>
  <c r="G2307" i="3" a="1"/>
  <c r="G2307" i="3" s="1"/>
  <c r="G2308" i="3" a="1"/>
  <c r="G2308" i="3"/>
  <c r="G2309" i="3" a="1"/>
  <c r="G2309" i="3" s="1"/>
  <c r="G2310" i="3" a="1"/>
  <c r="G2310" i="3" s="1"/>
  <c r="G2311" i="3" a="1"/>
  <c r="G2311" i="3" s="1"/>
  <c r="G2312" i="3" a="1"/>
  <c r="G2312" i="3" s="1"/>
  <c r="G2313" i="3" a="1"/>
  <c r="G2313" i="3" s="1"/>
  <c r="G2314" i="3" a="1"/>
  <c r="G2314" i="3"/>
  <c r="G2315" i="3" a="1"/>
  <c r="G2315" i="3" s="1"/>
  <c r="G2316" i="3" a="1"/>
  <c r="G2316" i="3" s="1"/>
  <c r="G2317" i="3" a="1"/>
  <c r="G2317" i="3" s="1"/>
  <c r="G2318" i="3" a="1"/>
  <c r="G2318" i="3" s="1"/>
  <c r="G2319" i="3" a="1"/>
  <c r="G2319" i="3" s="1"/>
  <c r="G2320" i="3" a="1"/>
  <c r="G2320" i="3" s="1"/>
  <c r="G2321" i="3" a="1"/>
  <c r="G2321" i="3" s="1"/>
  <c r="G2322" i="3" a="1"/>
  <c r="G2322" i="3"/>
  <c r="G2323" i="3" a="1"/>
  <c r="G2323" i="3" s="1"/>
  <c r="G2324" i="3" a="1"/>
  <c r="G2324" i="3" s="1"/>
  <c r="G2325" i="3" a="1"/>
  <c r="G2325" i="3" s="1"/>
  <c r="G2326" i="3" a="1"/>
  <c r="G2326" i="3" s="1"/>
  <c r="G2327" i="3" a="1"/>
  <c r="G2327" i="3" s="1"/>
  <c r="G2328" i="3" a="1"/>
  <c r="G2328" i="3" s="1"/>
  <c r="G2329" i="3" a="1"/>
  <c r="G2329" i="3" s="1"/>
  <c r="G2330" i="3" a="1"/>
  <c r="G2330" i="3"/>
  <c r="G2331" i="3" a="1"/>
  <c r="G2331" i="3" s="1"/>
  <c r="G2332" i="3" a="1"/>
  <c r="G2332" i="3" s="1"/>
  <c r="G2333" i="3" a="1"/>
  <c r="G2333" i="3" s="1"/>
  <c r="G2334" i="3" a="1"/>
  <c r="G2334" i="3" s="1"/>
  <c r="G2335" i="3" a="1"/>
  <c r="G2335" i="3" s="1"/>
  <c r="G2336" i="3" a="1"/>
  <c r="G2336" i="3"/>
  <c r="G2337" i="3" a="1"/>
  <c r="G2337" i="3" s="1"/>
  <c r="G2338" i="3" a="1"/>
  <c r="G2338" i="3" s="1"/>
  <c r="G2339" i="3" a="1"/>
  <c r="G2339" i="3" s="1"/>
  <c r="G2340" i="3" a="1"/>
  <c r="G2340" i="3"/>
  <c r="G2341" i="3" a="1"/>
  <c r="G2341" i="3" s="1"/>
  <c r="G2342" i="3" a="1"/>
  <c r="G2342" i="3" s="1"/>
  <c r="G2343" i="3" a="1"/>
  <c r="G2343" i="3" s="1"/>
  <c r="G2344" i="3" a="1"/>
  <c r="G2344" i="3" s="1"/>
  <c r="G2345" i="3" a="1"/>
  <c r="G2345" i="3" s="1"/>
  <c r="G2346" i="3" a="1"/>
  <c r="G2346" i="3" s="1"/>
  <c r="G2347" i="3" a="1"/>
  <c r="G2347" i="3" s="1"/>
  <c r="G2348" i="3" a="1"/>
  <c r="G2348" i="3"/>
  <c r="G2349" i="3" a="1"/>
  <c r="G2349" i="3" s="1"/>
  <c r="G2350" i="3" a="1"/>
  <c r="G2350" i="3" s="1"/>
  <c r="G2351" i="3" a="1"/>
  <c r="G2351" i="3" s="1"/>
  <c r="G2352" i="3" a="1"/>
  <c r="G2352" i="3" s="1"/>
  <c r="G2353" i="3" a="1"/>
  <c r="G2353" i="3" s="1"/>
  <c r="G2354" i="3" a="1"/>
  <c r="G2354" i="3"/>
  <c r="G2355" i="3" a="1"/>
  <c r="G2355" i="3" s="1"/>
  <c r="G2356" i="3" a="1"/>
  <c r="G2356" i="3" s="1"/>
  <c r="G2357" i="3" a="1"/>
  <c r="G2357" i="3" s="1"/>
  <c r="G2358" i="3" a="1"/>
  <c r="G2358" i="3" s="1"/>
  <c r="G2359" i="3" a="1"/>
  <c r="G2359" i="3" s="1"/>
  <c r="G2360" i="3" a="1"/>
  <c r="G2360" i="3" s="1"/>
  <c r="G2361" i="3" a="1"/>
  <c r="G2361" i="3" s="1"/>
  <c r="G2362" i="3" a="1"/>
  <c r="G2362" i="3"/>
  <c r="G2363" i="3" a="1"/>
  <c r="G2363" i="3" s="1"/>
  <c r="G2364" i="3" a="1"/>
  <c r="G2364" i="3" s="1"/>
  <c r="G2365" i="3" a="1"/>
  <c r="G2365" i="3" s="1"/>
  <c r="G2366" i="3" a="1"/>
  <c r="G2366" i="3" s="1"/>
  <c r="G2367" i="3" a="1"/>
  <c r="G2367" i="3" s="1"/>
  <c r="G2368" i="3" a="1"/>
  <c r="G2368" i="3"/>
  <c r="G2369" i="3" a="1"/>
  <c r="G2369" i="3" s="1"/>
  <c r="G2370" i="3" a="1"/>
  <c r="G2370" i="3" s="1"/>
  <c r="G2371" i="3" a="1"/>
  <c r="G2371" i="3" s="1"/>
  <c r="G2372" i="3" a="1"/>
  <c r="G2372" i="3"/>
  <c r="G2373" i="3" a="1"/>
  <c r="G2373" i="3" s="1"/>
  <c r="G2374" i="3" a="1"/>
  <c r="G2374" i="3" s="1"/>
  <c r="G2375" i="3" a="1"/>
  <c r="G2375" i="3" s="1"/>
  <c r="G2376" i="3" a="1"/>
  <c r="G2376" i="3" s="1"/>
  <c r="G2377" i="3" a="1"/>
  <c r="G2377" i="3" s="1"/>
  <c r="G2378" i="3" a="1"/>
  <c r="G2378" i="3"/>
  <c r="G2379" i="3" a="1"/>
  <c r="G2379" i="3" s="1"/>
  <c r="G2380" i="3" a="1"/>
  <c r="G2380" i="3" s="1"/>
  <c r="G2381" i="3" a="1"/>
  <c r="G2381" i="3" s="1"/>
  <c r="G2382" i="3" a="1"/>
  <c r="G2382" i="3" s="1"/>
  <c r="G2383" i="3" a="1"/>
  <c r="G2383" i="3" s="1"/>
  <c r="G2384" i="3" a="1"/>
  <c r="G2384" i="3" s="1"/>
  <c r="G2385" i="3" a="1"/>
  <c r="G2385" i="3" s="1"/>
  <c r="G2386" i="3" a="1"/>
  <c r="G2386" i="3" s="1"/>
  <c r="G2387" i="3" a="1"/>
  <c r="G2387" i="3" s="1"/>
  <c r="G2388" i="3" a="1"/>
  <c r="G2388" i="3"/>
  <c r="G2389" i="3" a="1"/>
  <c r="G2389" i="3" s="1"/>
  <c r="G2390" i="3" a="1"/>
  <c r="G2390" i="3" s="1"/>
  <c r="G2391" i="3" a="1"/>
  <c r="G2391" i="3" s="1"/>
  <c r="G2392" i="3" a="1"/>
  <c r="G2392" i="3" s="1"/>
  <c r="G2393" i="3" a="1"/>
  <c r="G2393" i="3" s="1"/>
  <c r="G2394" i="3" a="1"/>
  <c r="G2394" i="3"/>
  <c r="G2395" i="3" a="1"/>
  <c r="G2395" i="3" s="1"/>
  <c r="G2396" i="3" a="1"/>
  <c r="G2396" i="3" s="1"/>
  <c r="G2397" i="3" a="1"/>
  <c r="G2397" i="3" s="1"/>
  <c r="G2398" i="3" a="1"/>
  <c r="G2398" i="3" s="1"/>
  <c r="G2399" i="3" a="1"/>
  <c r="G2399" i="3" s="1"/>
  <c r="G2400" i="3" a="1"/>
  <c r="G2400" i="3"/>
  <c r="G2401" i="3" a="1"/>
  <c r="G2401" i="3" s="1"/>
  <c r="G2402" i="3" a="1"/>
  <c r="G2402" i="3" s="1"/>
  <c r="G2403" i="3" a="1"/>
  <c r="G2403" i="3" s="1"/>
  <c r="G2404" i="3" a="1"/>
  <c r="G2404" i="3" s="1"/>
  <c r="G2405" i="3" a="1"/>
  <c r="G2405" i="3" s="1"/>
  <c r="G2406" i="3" a="1"/>
  <c r="G2406" i="3" s="1"/>
  <c r="G2407" i="3" a="1"/>
  <c r="G2407" i="3" s="1"/>
  <c r="G2408" i="3" a="1"/>
  <c r="G2408" i="3"/>
  <c r="G2409" i="3" a="1"/>
  <c r="G2409" i="3" s="1"/>
  <c r="G2410" i="3" a="1"/>
  <c r="G2410" i="3" s="1"/>
  <c r="G2411" i="3" a="1"/>
  <c r="G2411" i="3" s="1"/>
  <c r="G2412" i="3" a="1"/>
  <c r="G2412" i="3"/>
  <c r="G2413" i="3" a="1"/>
  <c r="G2413" i="3" s="1"/>
  <c r="G2414" i="3" a="1"/>
  <c r="G2414" i="3" s="1"/>
  <c r="G2415" i="3" a="1"/>
  <c r="G2415" i="3" s="1"/>
  <c r="G2416" i="3" a="1"/>
  <c r="G2416" i="3" s="1"/>
  <c r="G2417" i="3" a="1"/>
  <c r="G2417" i="3" s="1"/>
  <c r="G2418" i="3" a="1"/>
  <c r="G2418" i="3" s="1"/>
  <c r="G2419" i="3" a="1"/>
  <c r="G2419" i="3" s="1"/>
  <c r="G2420" i="3" a="1"/>
  <c r="G2420" i="3" s="1"/>
  <c r="G2421" i="3" a="1"/>
  <c r="G2421" i="3" s="1"/>
  <c r="G2422" i="3" a="1"/>
  <c r="G2422" i="3" s="1"/>
  <c r="G2423" i="3" a="1"/>
  <c r="G2423" i="3" s="1"/>
  <c r="G2424" i="3" a="1"/>
  <c r="G2424" i="3" s="1"/>
  <c r="G2425" i="3" a="1"/>
  <c r="G2425" i="3" s="1"/>
  <c r="G2426" i="3" a="1"/>
  <c r="G2426" i="3"/>
  <c r="G2427" i="3" a="1"/>
  <c r="G2427" i="3" s="1"/>
  <c r="G2428" i="3" a="1"/>
  <c r="G2428" i="3"/>
  <c r="G2429" i="3" a="1"/>
  <c r="G2429" i="3" s="1"/>
  <c r="G2430" i="3" a="1"/>
  <c r="G2430" i="3" s="1"/>
  <c r="G2431" i="3" a="1"/>
  <c r="G2431" i="3" s="1"/>
  <c r="G2432" i="3" a="1"/>
  <c r="G2432" i="3"/>
  <c r="G2433" i="3" a="1"/>
  <c r="G2433" i="3" s="1"/>
  <c r="G2434" i="3" a="1"/>
  <c r="G2434" i="3"/>
  <c r="G2435" i="3" a="1"/>
  <c r="G2435" i="3" s="1"/>
  <c r="G2436" i="3" a="1"/>
  <c r="G2436" i="3" s="1"/>
  <c r="G2437" i="3" a="1"/>
  <c r="G2437" i="3" s="1"/>
  <c r="G2438" i="3" a="1"/>
  <c r="G2438" i="3" s="1"/>
  <c r="G2439" i="3" a="1"/>
  <c r="G2439" i="3" s="1"/>
  <c r="G2440" i="3" a="1"/>
  <c r="G2440" i="3"/>
  <c r="G2441" i="3" a="1"/>
  <c r="G2441" i="3" s="1"/>
  <c r="G2442" i="3" a="1"/>
  <c r="G2442" i="3" s="1"/>
  <c r="G2443" i="3" a="1"/>
  <c r="G2443" i="3" s="1"/>
  <c r="G2444" i="3" a="1"/>
  <c r="G2444" i="3" s="1"/>
  <c r="G2445" i="3" a="1"/>
  <c r="G2445" i="3" s="1"/>
  <c r="G2446" i="3" a="1"/>
  <c r="G2446" i="3" s="1"/>
  <c r="G2447" i="3" a="1"/>
  <c r="G2447" i="3" s="1"/>
  <c r="G2448" i="3" a="1"/>
  <c r="G2448" i="3" s="1"/>
  <c r="G2449" i="3" a="1"/>
  <c r="G2449" i="3" s="1"/>
  <c r="G2450" i="3" a="1"/>
  <c r="G2450" i="3"/>
  <c r="G2451" i="3" a="1"/>
  <c r="G2451" i="3" s="1"/>
  <c r="G2452" i="3" a="1"/>
  <c r="G2452" i="3"/>
  <c r="G2453" i="3" a="1"/>
  <c r="G2453" i="3" s="1"/>
  <c r="G2454" i="3" a="1"/>
  <c r="G2454" i="3" s="1"/>
  <c r="G2455" i="3" a="1"/>
  <c r="G2455" i="3" s="1"/>
  <c r="G2456" i="3" a="1"/>
  <c r="G2456" i="3" s="1"/>
  <c r="G2457" i="3" a="1"/>
  <c r="G2457" i="3" s="1"/>
  <c r="G2458" i="3" a="1"/>
  <c r="G2458" i="3" s="1"/>
  <c r="G2459" i="3" a="1"/>
  <c r="G2459" i="3" s="1"/>
  <c r="G2460" i="3" a="1"/>
  <c r="G2460" i="3"/>
  <c r="G2461" i="3" a="1"/>
  <c r="G2461" i="3" s="1"/>
  <c r="G2462" i="3" a="1"/>
  <c r="G2462" i="3" s="1"/>
  <c r="G2463" i="3" a="1"/>
  <c r="G2463" i="3" s="1"/>
  <c r="G2464" i="3" a="1"/>
  <c r="G2464" i="3" s="1"/>
  <c r="G2465" i="3" a="1"/>
  <c r="G2465" i="3" s="1"/>
  <c r="G2466" i="3" a="1"/>
  <c r="G2466" i="3" s="1"/>
  <c r="G2467" i="3" a="1"/>
  <c r="G2467" i="3" s="1"/>
  <c r="G2468" i="3" a="1"/>
  <c r="G2468" i="3"/>
  <c r="G2469" i="3" a="1"/>
  <c r="G2469" i="3" s="1"/>
  <c r="G2470" i="3" a="1"/>
  <c r="G2470" i="3" s="1"/>
  <c r="G2471" i="3" a="1"/>
  <c r="G2471" i="3" s="1"/>
  <c r="G2472" i="3" a="1"/>
  <c r="G2472" i="3" s="1"/>
  <c r="G2473" i="3" a="1"/>
  <c r="G2473" i="3" s="1"/>
  <c r="G2474" i="3" a="1"/>
  <c r="G2474" i="3"/>
  <c r="G2475" i="3" a="1"/>
  <c r="G2475" i="3" s="1"/>
  <c r="G2476" i="3" a="1"/>
  <c r="G2476" i="3"/>
  <c r="G2477" i="3" a="1"/>
  <c r="G2477" i="3" s="1"/>
  <c r="G2478" i="3" a="1"/>
  <c r="G2478" i="3" s="1"/>
  <c r="G2479" i="3" a="1"/>
  <c r="G2479" i="3" s="1"/>
  <c r="G2480" i="3" a="1"/>
  <c r="G2480" i="3" s="1"/>
  <c r="G2481" i="3" a="1"/>
  <c r="G2481" i="3" s="1"/>
  <c r="G2482" i="3" a="1"/>
  <c r="G2482" i="3" s="1"/>
  <c r="G2483" i="3" a="1"/>
  <c r="G2483" i="3" s="1"/>
  <c r="G2484" i="3" a="1"/>
  <c r="G2484" i="3"/>
  <c r="G2485" i="3" a="1"/>
  <c r="G2485" i="3" s="1"/>
  <c r="G2486" i="3" a="1"/>
  <c r="G2486" i="3" s="1"/>
  <c r="G2487" i="3" a="1"/>
  <c r="G2487" i="3" s="1"/>
  <c r="G2488" i="3" a="1"/>
  <c r="G2488" i="3" s="1"/>
  <c r="G2489" i="3" a="1"/>
  <c r="G2489" i="3" s="1"/>
  <c r="G2490" i="3" a="1"/>
  <c r="G2490" i="3" s="1"/>
  <c r="G2491" i="3" a="1"/>
  <c r="G2491" i="3" s="1"/>
  <c r="G2492" i="3" a="1"/>
  <c r="G2492" i="3"/>
  <c r="G2493" i="3" a="1"/>
  <c r="G2493" i="3" s="1"/>
  <c r="G2494" i="3" a="1"/>
  <c r="G2494" i="3" s="1"/>
  <c r="G2495" i="3" a="1"/>
  <c r="G2495" i="3" s="1"/>
  <c r="G2496" i="3" a="1"/>
  <c r="G2496" i="3" s="1"/>
  <c r="G2497" i="3" a="1"/>
  <c r="G2497" i="3" s="1"/>
  <c r="G2498" i="3" a="1"/>
  <c r="G2498" i="3"/>
  <c r="G2499" i="3" a="1"/>
  <c r="G2499" i="3" s="1"/>
  <c r="G2500" i="3" a="1"/>
  <c r="G2500" i="3" s="1"/>
  <c r="G2501" i="3" a="1"/>
  <c r="G2501" i="3" s="1"/>
  <c r="G2502" i="3" a="1"/>
  <c r="G2502" i="3" s="1"/>
  <c r="G2503" i="3" a="1"/>
  <c r="G2503" i="3"/>
  <c r="G2504" i="3" a="1"/>
  <c r="G2504" i="3" s="1"/>
  <c r="G2505" i="3" a="1"/>
  <c r="G2505" i="3" s="1"/>
  <c r="G2506" i="3" a="1"/>
  <c r="G2506" i="3" s="1"/>
  <c r="G2507" i="3" a="1"/>
  <c r="G2507" i="3"/>
  <c r="G2508" i="3" a="1"/>
  <c r="G2508" i="3" s="1"/>
  <c r="G2509" i="3" a="1"/>
  <c r="G2509" i="3" s="1"/>
  <c r="G2510" i="3" a="1"/>
  <c r="G2510" i="3" s="1"/>
  <c r="G2511" i="3" a="1"/>
  <c r="G2511" i="3"/>
  <c r="G2512" i="3" a="1"/>
  <c r="G2512" i="3" s="1"/>
  <c r="G2513" i="3" a="1"/>
  <c r="G2513" i="3" s="1"/>
  <c r="G2514" i="3" a="1"/>
  <c r="G2514" i="3" s="1"/>
  <c r="G2515" i="3" a="1"/>
  <c r="G2515" i="3"/>
  <c r="G2516" i="3" a="1"/>
  <c r="G2516" i="3" s="1"/>
  <c r="G2517" i="3" a="1"/>
  <c r="G2517" i="3" s="1"/>
  <c r="G2518" i="3" a="1"/>
  <c r="G2518" i="3" s="1"/>
  <c r="G2519" i="3" a="1"/>
  <c r="G2519" i="3"/>
  <c r="G2520" i="3" a="1"/>
  <c r="G2520" i="3" s="1"/>
  <c r="G2521" i="3" a="1"/>
  <c r="G2521" i="3" s="1"/>
  <c r="G2522" i="3" a="1"/>
  <c r="G2522" i="3" s="1"/>
  <c r="G2523" i="3" a="1"/>
  <c r="G2523" i="3"/>
  <c r="G2524" i="3" a="1"/>
  <c r="G2524" i="3" s="1"/>
  <c r="G2525" i="3" a="1"/>
  <c r="G2525" i="3" s="1"/>
  <c r="G2526" i="3" a="1"/>
  <c r="G2526" i="3" s="1"/>
  <c r="G2527" i="3" a="1"/>
  <c r="G2527" i="3"/>
  <c r="G2528" i="3" a="1"/>
  <c r="G2528" i="3" s="1"/>
  <c r="G2529" i="3" a="1"/>
  <c r="G2529" i="3" s="1"/>
  <c r="G2530" i="3" a="1"/>
  <c r="G2530" i="3" s="1"/>
  <c r="G2531" i="3" a="1"/>
  <c r="G2531" i="3"/>
  <c r="G2532" i="3" a="1"/>
  <c r="G2532" i="3" s="1"/>
  <c r="G2533" i="3" a="1"/>
  <c r="G2533" i="3" s="1"/>
  <c r="G2534" i="3" a="1"/>
  <c r="G2534" i="3" s="1"/>
  <c r="G2535" i="3" a="1"/>
  <c r="G2535" i="3"/>
  <c r="G2536" i="3" a="1"/>
  <c r="G2536" i="3" s="1"/>
  <c r="G2537" i="3" a="1"/>
  <c r="G2537" i="3" s="1"/>
  <c r="G2538" i="3" a="1"/>
  <c r="G2538" i="3" s="1"/>
  <c r="G2539" i="3" a="1"/>
  <c r="G2539" i="3"/>
  <c r="G2540" i="3" a="1"/>
  <c r="G2540" i="3" s="1"/>
  <c r="G2541" i="3" a="1"/>
  <c r="G2541" i="3" s="1"/>
  <c r="G2542" i="3" a="1"/>
  <c r="G2542" i="3" s="1"/>
  <c r="G2543" i="3" a="1"/>
  <c r="G2543" i="3"/>
  <c r="G2544" i="3" a="1"/>
  <c r="G2544" i="3" s="1"/>
  <c r="G2545" i="3" a="1"/>
  <c r="G2545" i="3" s="1"/>
  <c r="G2546" i="3" a="1"/>
  <c r="G2546" i="3" s="1"/>
  <c r="G2547" i="3" a="1"/>
  <c r="G2547" i="3"/>
  <c r="G2548" i="3" a="1"/>
  <c r="G2548" i="3" s="1"/>
  <c r="G2549" i="3" a="1"/>
  <c r="G2549" i="3" s="1"/>
  <c r="G2550" i="3" a="1"/>
  <c r="G2550" i="3" s="1"/>
  <c r="G2551" i="3" a="1"/>
  <c r="G2551" i="3"/>
  <c r="G2552" i="3" a="1"/>
  <c r="G2552" i="3" s="1"/>
  <c r="G2553" i="3" a="1"/>
  <c r="G2553" i="3" s="1"/>
  <c r="G2554" i="3" a="1"/>
  <c r="G2554" i="3" s="1"/>
  <c r="G2555" i="3" a="1"/>
  <c r="G2555" i="3"/>
  <c r="G2556" i="3" a="1"/>
  <c r="G2556" i="3" s="1"/>
  <c r="G2557" i="3" a="1"/>
  <c r="G2557" i="3" s="1"/>
  <c r="G2558" i="3" a="1"/>
  <c r="G2558" i="3" s="1"/>
  <c r="G2559" i="3" a="1"/>
  <c r="G2559" i="3"/>
  <c r="G2560" i="3" a="1"/>
  <c r="G2560" i="3" s="1"/>
  <c r="G2561" i="3" a="1"/>
  <c r="G2561" i="3" s="1"/>
  <c r="G2562" i="3" a="1"/>
  <c r="G2562" i="3" s="1"/>
  <c r="G2563" i="3" a="1"/>
  <c r="G2563" i="3"/>
  <c r="G2564" i="3" a="1"/>
  <c r="G2564" i="3" s="1"/>
  <c r="G2565" i="3" a="1"/>
  <c r="G2565" i="3" s="1"/>
  <c r="G2566" i="3" a="1"/>
  <c r="G2566" i="3" s="1"/>
  <c r="G2567" i="3" a="1"/>
  <c r="G2567" i="3"/>
  <c r="G2568" i="3" a="1"/>
  <c r="G2568" i="3" s="1"/>
  <c r="G2569" i="3" a="1"/>
  <c r="G2569" i="3" s="1"/>
  <c r="G2570" i="3" a="1"/>
  <c r="G2570" i="3" s="1"/>
  <c r="G2571" i="3" a="1"/>
  <c r="G2571" i="3"/>
  <c r="G2572" i="3" a="1"/>
  <c r="G2572" i="3" s="1"/>
  <c r="G2573" i="3" a="1"/>
  <c r="G2573" i="3" s="1"/>
  <c r="G2574" i="3" a="1"/>
  <c r="G2574" i="3" s="1"/>
  <c r="G2575" i="3" a="1"/>
  <c r="G2575" i="3"/>
  <c r="G2576" i="3" a="1"/>
  <c r="G2576" i="3" s="1"/>
  <c r="G2577" i="3" a="1"/>
  <c r="G2577" i="3" s="1"/>
  <c r="G2578" i="3" a="1"/>
  <c r="G2578" i="3" s="1"/>
  <c r="G2579" i="3" a="1"/>
  <c r="G2579" i="3"/>
  <c r="G2580" i="3" a="1"/>
  <c r="G2580" i="3" s="1"/>
  <c r="G2581" i="3" a="1"/>
  <c r="G2581" i="3" s="1"/>
  <c r="G2582" i="3" a="1"/>
  <c r="G2582" i="3" s="1"/>
  <c r="G2583" i="3" a="1"/>
  <c r="G2583" i="3"/>
  <c r="G2584" i="3" a="1"/>
  <c r="G2584" i="3" s="1"/>
  <c r="G2585" i="3" a="1"/>
  <c r="G2585" i="3" s="1"/>
  <c r="G2586" i="3" a="1"/>
  <c r="G2586" i="3" s="1"/>
  <c r="G2587" i="3" a="1"/>
  <c r="G2587" i="3"/>
  <c r="G2588" i="3" a="1"/>
  <c r="G2588" i="3" s="1"/>
  <c r="G2589" i="3" a="1"/>
  <c r="G2589" i="3" s="1"/>
  <c r="G2590" i="3" a="1"/>
  <c r="G2590" i="3" s="1"/>
  <c r="G2591" i="3" a="1"/>
  <c r="G2591" i="3"/>
  <c r="G2592" i="3" a="1"/>
  <c r="G2592" i="3" s="1"/>
  <c r="G2593" i="3" a="1"/>
  <c r="G2593" i="3" s="1"/>
  <c r="G2594" i="3" a="1"/>
  <c r="G2594" i="3" s="1"/>
  <c r="G2595" i="3" a="1"/>
  <c r="G2595" i="3"/>
  <c r="G2596" i="3" a="1"/>
  <c r="G2596" i="3" s="1"/>
  <c r="G2597" i="3" a="1"/>
  <c r="G2597" i="3" s="1"/>
  <c r="G2598" i="3" a="1"/>
  <c r="G2598" i="3" s="1"/>
  <c r="G2599" i="3" a="1"/>
  <c r="G2599" i="3"/>
  <c r="G2600" i="3" a="1"/>
  <c r="G2600" i="3" s="1"/>
  <c r="G2601" i="3" a="1"/>
  <c r="G2601" i="3" s="1"/>
  <c r="G2602" i="3" a="1"/>
  <c r="G2602" i="3" s="1"/>
  <c r="G2603" i="3" a="1"/>
  <c r="G2603" i="3"/>
  <c r="G2604" i="3" a="1"/>
  <c r="G2604" i="3" s="1"/>
  <c r="G2605" i="3" a="1"/>
  <c r="G2605" i="3" s="1"/>
  <c r="G2606" i="3" a="1"/>
  <c r="G2606" i="3" s="1"/>
  <c r="G2607" i="3" a="1"/>
  <c r="G2607" i="3"/>
  <c r="G2608" i="3" a="1"/>
  <c r="G2608" i="3" s="1"/>
  <c r="G2609" i="3" a="1"/>
  <c r="G2609" i="3" s="1"/>
  <c r="G2610" i="3" a="1"/>
  <c r="G2610" i="3" s="1"/>
  <c r="G2611" i="3" a="1"/>
  <c r="G2611" i="3"/>
  <c r="G2612" i="3" a="1"/>
  <c r="G2612" i="3" s="1"/>
  <c r="G2613" i="3" a="1"/>
  <c r="G2613" i="3" s="1"/>
  <c r="G2614" i="3" a="1"/>
  <c r="G2614" i="3" s="1"/>
  <c r="G2615" i="3" a="1"/>
  <c r="G2615" i="3"/>
  <c r="G2616" i="3" a="1"/>
  <c r="G2616" i="3" s="1"/>
  <c r="G2617" i="3" a="1"/>
  <c r="G2617" i="3" s="1"/>
  <c r="G2618" i="3" a="1"/>
  <c r="G2618" i="3" s="1"/>
  <c r="G2619" i="3" a="1"/>
  <c r="G2619" i="3"/>
  <c r="G2620" i="3" a="1"/>
  <c r="G2620" i="3" s="1"/>
  <c r="G2621" i="3" a="1"/>
  <c r="G2621" i="3" s="1"/>
  <c r="G2622" i="3" a="1"/>
  <c r="G2622" i="3" s="1"/>
  <c r="G2623" i="3" a="1"/>
  <c r="G2623" i="3"/>
  <c r="G2624" i="3" a="1"/>
  <c r="G2624" i="3" s="1"/>
  <c r="G2625" i="3" a="1"/>
  <c r="G2625" i="3" s="1"/>
  <c r="G2626" i="3" a="1"/>
  <c r="G2626" i="3" s="1"/>
  <c r="G2627" i="3" a="1"/>
  <c r="G2627" i="3"/>
  <c r="G2628" i="3" a="1"/>
  <c r="G2628" i="3" s="1"/>
  <c r="G2629" i="3" a="1"/>
  <c r="G2629" i="3" s="1"/>
  <c r="G2630" i="3" a="1"/>
  <c r="G2630" i="3" s="1"/>
  <c r="G2631" i="3" a="1"/>
  <c r="G2631" i="3"/>
  <c r="G2632" i="3" a="1"/>
  <c r="G2632" i="3" s="1"/>
  <c r="G2633" i="3" a="1"/>
  <c r="G2633" i="3" s="1"/>
  <c r="G2634" i="3" a="1"/>
  <c r="G2634" i="3" s="1"/>
  <c r="G2635" i="3" a="1"/>
  <c r="G2635" i="3"/>
  <c r="G2636" i="3" a="1"/>
  <c r="G2636" i="3" s="1"/>
  <c r="G2637" i="3" a="1"/>
  <c r="G2637" i="3" s="1"/>
  <c r="G2638" i="3" a="1"/>
  <c r="G2638" i="3" s="1"/>
  <c r="G2639" i="3" a="1"/>
  <c r="G2639" i="3"/>
  <c r="G2640" i="3" a="1"/>
  <c r="G2640" i="3" s="1"/>
  <c r="G2641" i="3" a="1"/>
  <c r="G2641" i="3" s="1"/>
  <c r="G2642" i="3" a="1"/>
  <c r="G2642" i="3" s="1"/>
  <c r="G2643" i="3" a="1"/>
  <c r="G2643" i="3"/>
  <c r="G2644" i="3" a="1"/>
  <c r="G2644" i="3" s="1"/>
  <c r="G2645" i="3" a="1"/>
  <c r="G2645" i="3" s="1"/>
  <c r="G2646" i="3" a="1"/>
  <c r="G2646" i="3" s="1"/>
  <c r="G2647" i="3" a="1"/>
  <c r="G2647" i="3"/>
  <c r="G2648" i="3" a="1"/>
  <c r="G2648" i="3" s="1"/>
  <c r="G2649" i="3" a="1"/>
  <c r="G2649" i="3" s="1"/>
  <c r="G2650" i="3" a="1"/>
  <c r="G2650" i="3" s="1"/>
  <c r="G2651" i="3" a="1"/>
  <c r="G2651" i="3"/>
  <c r="G2652" i="3" a="1"/>
  <c r="G2652" i="3" s="1"/>
  <c r="G2653" i="3" a="1"/>
  <c r="G2653" i="3" s="1"/>
  <c r="G2654" i="3" a="1"/>
  <c r="G2654" i="3" s="1"/>
  <c r="G2655" i="3" a="1"/>
  <c r="G2655" i="3"/>
  <c r="G2656" i="3" a="1"/>
  <c r="G2656" i="3" s="1"/>
  <c r="G2657" i="3" a="1"/>
  <c r="G2657" i="3" s="1"/>
  <c r="G2658" i="3" a="1"/>
  <c r="G2658" i="3" s="1"/>
  <c r="G2659" i="3" a="1"/>
  <c r="G2659" i="3"/>
  <c r="G2660" i="3" a="1"/>
  <c r="G2660" i="3" s="1"/>
  <c r="G2661" i="3" a="1"/>
  <c r="G2661" i="3" s="1"/>
  <c r="G2662" i="3" a="1"/>
  <c r="G2662" i="3" s="1"/>
  <c r="G2663" i="3" a="1"/>
  <c r="G2663" i="3"/>
  <c r="G2664" i="3" a="1"/>
  <c r="G2664" i="3" s="1"/>
  <c r="G2665" i="3" a="1"/>
  <c r="G2665" i="3" s="1"/>
  <c r="G2666" i="3" a="1"/>
  <c r="G2666" i="3" s="1"/>
  <c r="G2667" i="3" a="1"/>
  <c r="G2667" i="3"/>
  <c r="G2668" i="3" a="1"/>
  <c r="G2668" i="3" s="1"/>
  <c r="G2669" i="3" a="1"/>
  <c r="G2669" i="3" s="1"/>
  <c r="G2670" i="3" a="1"/>
  <c r="G2670" i="3" s="1"/>
  <c r="G2671" i="3" a="1"/>
  <c r="G2671" i="3"/>
  <c r="G2672" i="3" a="1"/>
  <c r="G2672" i="3" s="1"/>
  <c r="G2673" i="3" a="1"/>
  <c r="G2673" i="3" s="1"/>
  <c r="G2674" i="3" a="1"/>
  <c r="G2674" i="3" s="1"/>
  <c r="G2675" i="3" a="1"/>
  <c r="G2675" i="3"/>
  <c r="G2676" i="3" a="1"/>
  <c r="G2676" i="3" s="1"/>
  <c r="G2677" i="3" a="1"/>
  <c r="G2677" i="3" s="1"/>
  <c r="G2678" i="3" a="1"/>
  <c r="G2678" i="3" s="1"/>
  <c r="G2679" i="3" a="1"/>
  <c r="G2679" i="3"/>
  <c r="G2680" i="3" a="1"/>
  <c r="G2680" i="3" s="1"/>
  <c r="G2681" i="3" a="1"/>
  <c r="G2681" i="3" s="1"/>
  <c r="G2682" i="3" a="1"/>
  <c r="G2682" i="3" s="1"/>
  <c r="G2683" i="3" a="1"/>
  <c r="G2683" i="3"/>
  <c r="G2684" i="3" a="1"/>
  <c r="G2684" i="3" s="1"/>
  <c r="G2685" i="3" a="1"/>
  <c r="G2685" i="3" s="1"/>
  <c r="G2686" i="3" a="1"/>
  <c r="G2686" i="3" s="1"/>
  <c r="G2687" i="3" a="1"/>
  <c r="G2687" i="3"/>
  <c r="G2688" i="3" a="1"/>
  <c r="G2688" i="3" s="1"/>
  <c r="G2689" i="3" a="1"/>
  <c r="G2689" i="3" s="1"/>
  <c r="G2690" i="3" a="1"/>
  <c r="G2690" i="3" s="1"/>
  <c r="G2691" i="3" a="1"/>
  <c r="G2691" i="3"/>
  <c r="G2692" i="3" a="1"/>
  <c r="G2692" i="3" s="1"/>
  <c r="G2693" i="3" a="1"/>
  <c r="G2693" i="3" s="1"/>
  <c r="G2694" i="3" a="1"/>
  <c r="G2694" i="3" s="1"/>
  <c r="G2695" i="3" a="1"/>
  <c r="G2695" i="3"/>
  <c r="G2696" i="3" a="1"/>
  <c r="G2696" i="3" s="1"/>
  <c r="G2697" i="3" a="1"/>
  <c r="G2697" i="3" s="1"/>
  <c r="G2698" i="3" a="1"/>
  <c r="G2698" i="3" s="1"/>
  <c r="G2699" i="3" a="1"/>
  <c r="G2699" i="3"/>
  <c r="G2700" i="3" a="1"/>
  <c r="G2700" i="3" s="1"/>
  <c r="G2701" i="3" a="1"/>
  <c r="G2701" i="3" s="1"/>
  <c r="G2702" i="3" a="1"/>
  <c r="G2702" i="3" s="1"/>
  <c r="G2703" i="3" a="1"/>
  <c r="G2703" i="3"/>
  <c r="G2704" i="3" a="1"/>
  <c r="G2704" i="3" s="1"/>
  <c r="G2705" i="3" a="1"/>
  <c r="G2705" i="3" s="1"/>
  <c r="G2706" i="3" a="1"/>
  <c r="G2706" i="3" s="1"/>
  <c r="G2707" i="3" a="1"/>
  <c r="G2707" i="3"/>
  <c r="G2708" i="3" a="1"/>
  <c r="G2708" i="3" s="1"/>
  <c r="G2709" i="3" a="1"/>
  <c r="G2709" i="3" s="1"/>
  <c r="G2710" i="3" a="1"/>
  <c r="G2710" i="3" s="1"/>
  <c r="G2711" i="3" a="1"/>
  <c r="G2711" i="3"/>
  <c r="G2712" i="3" a="1"/>
  <c r="G2712" i="3" s="1"/>
  <c r="G2713" i="3" a="1"/>
  <c r="G2713" i="3" s="1"/>
  <c r="G2714" i="3" a="1"/>
  <c r="G2714" i="3" s="1"/>
  <c r="G2715" i="3" a="1"/>
  <c r="G2715" i="3"/>
  <c r="G2716" i="3" a="1"/>
  <c r="G2716" i="3" s="1"/>
  <c r="G2717" i="3" a="1"/>
  <c r="G2717" i="3" s="1"/>
  <c r="G2718" i="3" a="1"/>
  <c r="G2718" i="3" s="1"/>
  <c r="G2719" i="3" a="1"/>
  <c r="G2719" i="3"/>
  <c r="G2720" i="3" a="1"/>
  <c r="G2720" i="3" s="1"/>
  <c r="G2721" i="3" a="1"/>
  <c r="G2721" i="3" s="1"/>
  <c r="G2722" i="3" a="1"/>
  <c r="G2722" i="3" s="1"/>
  <c r="G2723" i="3" a="1"/>
  <c r="G2723" i="3"/>
  <c r="G2724" i="3" a="1"/>
  <c r="G2724" i="3" s="1"/>
  <c r="G2725" i="3" a="1"/>
  <c r="G2725" i="3" s="1"/>
  <c r="G2726" i="3" a="1"/>
  <c r="G2726" i="3" s="1"/>
  <c r="G2727" i="3" a="1"/>
  <c r="G2727" i="3"/>
  <c r="G2728" i="3" a="1"/>
  <c r="G2728" i="3" s="1"/>
  <c r="G2729" i="3" a="1"/>
  <c r="G2729" i="3" s="1"/>
  <c r="G2730" i="3" a="1"/>
  <c r="G2730" i="3" s="1"/>
  <c r="G2731" i="3" a="1"/>
  <c r="G2731" i="3"/>
  <c r="G2732" i="3" a="1"/>
  <c r="G2732" i="3" s="1"/>
  <c r="G2733" i="3" a="1"/>
  <c r="G2733" i="3" s="1"/>
  <c r="G2734" i="3" a="1"/>
  <c r="G2734" i="3" s="1"/>
  <c r="G2735" i="3" a="1"/>
  <c r="G2735" i="3"/>
  <c r="G2736" i="3" a="1"/>
  <c r="G2736" i="3" s="1"/>
  <c r="G2737" i="3" a="1"/>
  <c r="G2737" i="3" s="1"/>
  <c r="G2738" i="3" a="1"/>
  <c r="G2738" i="3" s="1"/>
  <c r="G2739" i="3" a="1"/>
  <c r="G2739" i="3"/>
  <c r="G2740" i="3" a="1"/>
  <c r="G2740" i="3" s="1"/>
  <c r="G2741" i="3" a="1"/>
  <c r="G2741" i="3" s="1"/>
  <c r="G2742" i="3" a="1"/>
  <c r="G2742" i="3" s="1"/>
  <c r="G2743" i="3" a="1"/>
  <c r="G2743" i="3"/>
  <c r="G2744" i="3" a="1"/>
  <c r="G2744" i="3" s="1"/>
  <c r="G2745" i="3" a="1"/>
  <c r="G2745" i="3" s="1"/>
  <c r="G2746" i="3" a="1"/>
  <c r="G2746" i="3" s="1"/>
  <c r="G2747" i="3" a="1"/>
  <c r="G2747" i="3"/>
  <c r="G2748" i="3" a="1"/>
  <c r="G2748" i="3" s="1"/>
  <c r="G2749" i="3" a="1"/>
  <c r="G2749" i="3" s="1"/>
  <c r="G2750" i="3" a="1"/>
  <c r="G2750" i="3" s="1"/>
  <c r="G2751" i="3" a="1"/>
  <c r="G2751" i="3"/>
  <c r="G2752" i="3" a="1"/>
  <c r="G2752" i="3" s="1"/>
  <c r="G2753" i="3" a="1"/>
  <c r="G2753" i="3" s="1"/>
  <c r="G2754" i="3" a="1"/>
  <c r="G2754" i="3" s="1"/>
  <c r="G2755" i="3" a="1"/>
  <c r="G2755" i="3"/>
  <c r="G2756" i="3" a="1"/>
  <c r="G2756" i="3" s="1"/>
  <c r="G2757" i="3" a="1"/>
  <c r="G2757" i="3" s="1"/>
  <c r="G2758" i="3" a="1"/>
  <c r="G2758" i="3" s="1"/>
  <c r="G2759" i="3" a="1"/>
  <c r="G2759" i="3"/>
  <c r="G2760" i="3" a="1"/>
  <c r="G2760" i="3" s="1"/>
  <c r="G2761" i="3" a="1"/>
  <c r="G2761" i="3" s="1"/>
  <c r="G2762" i="3" a="1"/>
  <c r="G2762" i="3" s="1"/>
  <c r="G2763" i="3" a="1"/>
  <c r="G2763" i="3"/>
  <c r="G2764" i="3" a="1"/>
  <c r="G2764" i="3" s="1"/>
  <c r="G2765" i="3" a="1"/>
  <c r="G2765" i="3" s="1"/>
  <c r="G2766" i="3" a="1"/>
  <c r="G2766" i="3" s="1"/>
  <c r="G2767" i="3" a="1"/>
  <c r="G2767" i="3"/>
  <c r="G2768" i="3" a="1"/>
  <c r="G2768" i="3" s="1"/>
  <c r="G2769" i="3" a="1"/>
  <c r="G2769" i="3" s="1"/>
  <c r="G2770" i="3" a="1"/>
  <c r="G2770" i="3" s="1"/>
  <c r="G2771" i="3" a="1"/>
  <c r="G2771" i="3"/>
  <c r="G2772" i="3" a="1"/>
  <c r="G2772" i="3" s="1"/>
  <c r="G2773" i="3" a="1"/>
  <c r="G2773" i="3" s="1"/>
  <c r="G2774" i="3" a="1"/>
  <c r="G2774" i="3" s="1"/>
  <c r="G2775" i="3" a="1"/>
  <c r="G2775" i="3"/>
  <c r="G2776" i="3" a="1"/>
  <c r="G2776" i="3" s="1"/>
  <c r="G2777" i="3" a="1"/>
  <c r="G2777" i="3" s="1"/>
  <c r="G2778" i="3" a="1"/>
  <c r="G2778" i="3" s="1"/>
  <c r="G2779" i="3" a="1"/>
  <c r="G2779" i="3"/>
  <c r="G2780" i="3" a="1"/>
  <c r="G2780" i="3" s="1"/>
  <c r="G2781" i="3" a="1"/>
  <c r="G2781" i="3" s="1"/>
  <c r="G2782" i="3" a="1"/>
  <c r="G2782" i="3" s="1"/>
  <c r="G2783" i="3" a="1"/>
  <c r="G2783" i="3"/>
  <c r="G2784" i="3" a="1"/>
  <c r="G2784" i="3" s="1"/>
  <c r="G2785" i="3" a="1"/>
  <c r="G2785" i="3" s="1"/>
  <c r="G2786" i="3" a="1"/>
  <c r="G2786" i="3" s="1"/>
  <c r="G2787" i="3" a="1"/>
  <c r="G2787" i="3"/>
  <c r="G2788" i="3" a="1"/>
  <c r="G2788" i="3" s="1"/>
  <c r="G2789" i="3" a="1"/>
  <c r="G2789" i="3" s="1"/>
  <c r="G2790" i="3" a="1"/>
  <c r="G2790" i="3" s="1"/>
  <c r="G2791" i="3" a="1"/>
  <c r="G2791" i="3"/>
  <c r="G2792" i="3" a="1"/>
  <c r="G2792" i="3" s="1"/>
  <c r="G2793" i="3" a="1"/>
  <c r="G2793" i="3" s="1"/>
  <c r="G2794" i="3" a="1"/>
  <c r="G2794" i="3" s="1"/>
  <c r="G2795" i="3" a="1"/>
  <c r="G2795" i="3"/>
  <c r="G2796" i="3" a="1"/>
  <c r="G2796" i="3" s="1"/>
  <c r="G2797" i="3" a="1"/>
  <c r="G2797" i="3" s="1"/>
  <c r="G2798" i="3" a="1"/>
  <c r="G2798" i="3" s="1"/>
  <c r="G2799" i="3" a="1"/>
  <c r="G2799" i="3"/>
  <c r="G2800" i="3" a="1"/>
  <c r="G2800" i="3" s="1"/>
  <c r="G2801" i="3" a="1"/>
  <c r="G2801" i="3" s="1"/>
  <c r="G2802" i="3" a="1"/>
  <c r="G2802" i="3" s="1"/>
  <c r="G2803" i="3" a="1"/>
  <c r="G2803" i="3"/>
  <c r="G2804" i="3" a="1"/>
  <c r="G2804" i="3" s="1"/>
  <c r="G2805" i="3" a="1"/>
  <c r="G2805" i="3" s="1"/>
  <c r="G2806" i="3" a="1"/>
  <c r="G2806" i="3" s="1"/>
  <c r="G2807" i="3" a="1"/>
  <c r="G2807" i="3"/>
  <c r="G2808" i="3" a="1"/>
  <c r="G2808" i="3" s="1"/>
  <c r="G2809" i="3" a="1"/>
  <c r="G2809" i="3" s="1"/>
  <c r="G2810" i="3" a="1"/>
  <c r="G2810" i="3" s="1"/>
  <c r="G2811" i="3" a="1"/>
  <c r="G2811" i="3"/>
  <c r="G2812" i="3" a="1"/>
  <c r="G2812" i="3" s="1"/>
  <c r="G2813" i="3" a="1"/>
  <c r="G2813" i="3" s="1"/>
  <c r="G2814" i="3" a="1"/>
  <c r="G2814" i="3" s="1"/>
  <c r="G2815" i="3" a="1"/>
  <c r="G2815" i="3"/>
  <c r="G2816" i="3" a="1"/>
  <c r="G2816" i="3" s="1"/>
  <c r="G2817" i="3" a="1"/>
  <c r="G2817" i="3" s="1"/>
  <c r="G2818" i="3" a="1"/>
  <c r="G2818" i="3" s="1"/>
  <c r="G2819" i="3" a="1"/>
  <c r="G2819" i="3"/>
  <c r="G2820" i="3" a="1"/>
  <c r="G2820" i="3" s="1"/>
  <c r="G2821" i="3" a="1"/>
  <c r="G2821" i="3" s="1"/>
  <c r="G2822" i="3" a="1"/>
  <c r="G2822" i="3" s="1"/>
  <c r="G2823" i="3" a="1"/>
  <c r="G2823" i="3"/>
  <c r="G2824" i="3" a="1"/>
  <c r="G2824" i="3" s="1"/>
  <c r="G2825" i="3" a="1"/>
  <c r="G2825" i="3" s="1"/>
  <c r="G2826" i="3" a="1"/>
  <c r="G2826" i="3" s="1"/>
  <c r="G2827" i="3" a="1"/>
  <c r="G2827" i="3"/>
  <c r="G2828" i="3" a="1"/>
  <c r="G2828" i="3" s="1"/>
  <c r="G2829" i="3" a="1"/>
  <c r="G2829" i="3" s="1"/>
  <c r="G2830" i="3" a="1"/>
  <c r="G2830" i="3" s="1"/>
  <c r="G2831" i="3" a="1"/>
  <c r="G2831" i="3"/>
  <c r="G2832" i="3" a="1"/>
  <c r="G2832" i="3" s="1"/>
  <c r="G2833" i="3" a="1"/>
  <c r="G2833" i="3" s="1"/>
  <c r="G2834" i="3" a="1"/>
  <c r="G2834" i="3" s="1"/>
  <c r="G2835" i="3" a="1"/>
  <c r="G2835" i="3"/>
  <c r="G2836" i="3" a="1"/>
  <c r="G2836" i="3" s="1"/>
  <c r="G2837" i="3" a="1"/>
  <c r="G2837" i="3" s="1"/>
  <c r="G2838" i="3" a="1"/>
  <c r="G2838" i="3" s="1"/>
  <c r="G2839" i="3" a="1"/>
  <c r="G2839" i="3"/>
  <c r="G2840" i="3" a="1"/>
  <c r="G2840" i="3" s="1"/>
  <c r="G2841" i="3" a="1"/>
  <c r="G2841" i="3" s="1"/>
  <c r="G2842" i="3" a="1"/>
  <c r="G2842" i="3" s="1"/>
  <c r="G2843" i="3" a="1"/>
  <c r="G2843" i="3"/>
  <c r="G2844" i="3" a="1"/>
  <c r="G2844" i="3" s="1"/>
  <c r="G2845" i="3" a="1"/>
  <c r="G2845" i="3" s="1"/>
  <c r="G2846" i="3" a="1"/>
  <c r="G2846" i="3" s="1"/>
  <c r="G2847" i="3" a="1"/>
  <c r="G2847" i="3"/>
  <c r="G2848" i="3" a="1"/>
  <c r="G2848" i="3" s="1"/>
  <c r="G2849" i="3" a="1"/>
  <c r="G2849" i="3" s="1"/>
  <c r="G2850" i="3" a="1"/>
  <c r="G2850" i="3" s="1"/>
  <c r="G2851" i="3" a="1"/>
  <c r="G2851" i="3"/>
  <c r="G2852" i="3" a="1"/>
  <c r="G2852" i="3" s="1"/>
  <c r="G2853" i="3" a="1"/>
  <c r="G2853" i="3" s="1"/>
  <c r="G2854" i="3" a="1"/>
  <c r="G2854" i="3" s="1"/>
  <c r="G2855" i="3" a="1"/>
  <c r="G2855" i="3"/>
  <c r="G2856" i="3" a="1"/>
  <c r="G2856" i="3" s="1"/>
  <c r="G2857" i="3" a="1"/>
  <c r="G2857" i="3" s="1"/>
  <c r="G2858" i="3" a="1"/>
  <c r="G2858" i="3" s="1"/>
  <c r="G2859" i="3" a="1"/>
  <c r="G2859" i="3"/>
  <c r="G2860" i="3" a="1"/>
  <c r="G2860" i="3" s="1"/>
  <c r="G2861" i="3" a="1"/>
  <c r="G2861" i="3" s="1"/>
  <c r="G2862" i="3" a="1"/>
  <c r="G2862" i="3" s="1"/>
  <c r="G2863" i="3" a="1"/>
  <c r="G2863" i="3"/>
  <c r="G2864" i="3" a="1"/>
  <c r="G2864" i="3" s="1"/>
  <c r="G2865" i="3" a="1"/>
  <c r="G2865" i="3" s="1"/>
  <c r="G2866" i="3" a="1"/>
  <c r="G2866" i="3" s="1"/>
  <c r="G2867" i="3" a="1"/>
  <c r="G2867" i="3"/>
  <c r="G2868" i="3" a="1"/>
  <c r="G2868" i="3" s="1"/>
  <c r="G2869" i="3" a="1"/>
  <c r="G2869" i="3" s="1"/>
  <c r="G2870" i="3" a="1"/>
  <c r="G2870" i="3" s="1"/>
  <c r="G2871" i="3" a="1"/>
  <c r="G2871" i="3"/>
  <c r="G2872" i="3" a="1"/>
  <c r="G2872" i="3" s="1"/>
  <c r="G2873" i="3" a="1"/>
  <c r="G2873" i="3" s="1"/>
  <c r="G2874" i="3" a="1"/>
  <c r="G2874" i="3" s="1"/>
  <c r="G2875" i="3" a="1"/>
  <c r="G2875" i="3"/>
  <c r="G2876" i="3" a="1"/>
  <c r="G2876" i="3" s="1"/>
  <c r="G2877" i="3" a="1"/>
  <c r="G2877" i="3" s="1"/>
  <c r="G2878" i="3" a="1"/>
  <c r="G2878" i="3" s="1"/>
  <c r="G2879" i="3" a="1"/>
  <c r="G2879" i="3"/>
  <c r="G2880" i="3" a="1"/>
  <c r="G2880" i="3" s="1"/>
  <c r="G2881" i="3" a="1"/>
  <c r="G2881" i="3" s="1"/>
  <c r="G2882" i="3" a="1"/>
  <c r="G2882" i="3" s="1"/>
  <c r="G2883" i="3" a="1"/>
  <c r="G2883" i="3"/>
  <c r="G2884" i="3" a="1"/>
  <c r="G2884" i="3" s="1"/>
  <c r="G2885" i="3" a="1"/>
  <c r="G2885" i="3" s="1"/>
  <c r="G2886" i="3" a="1"/>
  <c r="G2886" i="3" s="1"/>
  <c r="G2887" i="3" a="1"/>
  <c r="G2887" i="3"/>
  <c r="G2888" i="3" a="1"/>
  <c r="G2888" i="3" s="1"/>
  <c r="G2889" i="3" a="1"/>
  <c r="G2889" i="3" s="1"/>
  <c r="G2890" i="3" a="1"/>
  <c r="G2890" i="3" s="1"/>
  <c r="G2891" i="3" a="1"/>
  <c r="G2891" i="3"/>
  <c r="G2892" i="3" a="1"/>
  <c r="G2892" i="3" s="1"/>
  <c r="G2893" i="3" a="1"/>
  <c r="G2893" i="3" s="1"/>
  <c r="G2894" i="3" a="1"/>
  <c r="G2894" i="3" s="1"/>
  <c r="G2895" i="3" a="1"/>
  <c r="G2895" i="3"/>
  <c r="G2896" i="3" a="1"/>
  <c r="G2896" i="3" s="1"/>
  <c r="G2897" i="3" a="1"/>
  <c r="G2897" i="3" s="1"/>
  <c r="G2898" i="3" a="1"/>
  <c r="G2898" i="3" s="1"/>
  <c r="G2899" i="3" a="1"/>
  <c r="G2899" i="3"/>
  <c r="G2900" i="3" a="1"/>
  <c r="G2900" i="3" s="1"/>
  <c r="G2901" i="3" a="1"/>
  <c r="G2901" i="3" s="1"/>
  <c r="G2902" i="3" a="1"/>
  <c r="G2902" i="3" s="1"/>
  <c r="G2903" i="3" a="1"/>
  <c r="G2903" i="3"/>
  <c r="G2904" i="3" a="1"/>
  <c r="G2904" i="3" s="1"/>
  <c r="G2905" i="3" a="1"/>
  <c r="G2905" i="3" s="1"/>
  <c r="G2906" i="3" a="1"/>
  <c r="G2906" i="3" s="1"/>
  <c r="G2907" i="3" a="1"/>
  <c r="G2907" i="3"/>
  <c r="G2908" i="3" a="1"/>
  <c r="G2908" i="3" s="1"/>
  <c r="G2909" i="3" a="1"/>
  <c r="G2909" i="3" s="1"/>
  <c r="G2910" i="3" a="1"/>
  <c r="G2910" i="3" s="1"/>
  <c r="G2911" i="3" a="1"/>
  <c r="G2911" i="3"/>
  <c r="G2912" i="3" a="1"/>
  <c r="G2912" i="3" s="1"/>
  <c r="G2913" i="3" a="1"/>
  <c r="G2913" i="3" s="1"/>
  <c r="G2914" i="3" a="1"/>
  <c r="G2914" i="3" s="1"/>
  <c r="G2915" i="3" a="1"/>
  <c r="G2915" i="3"/>
  <c r="G2916" i="3" a="1"/>
  <c r="G2916" i="3" s="1"/>
  <c r="G2917" i="3" a="1"/>
  <c r="G2917" i="3" s="1"/>
  <c r="G2918" i="3" a="1"/>
  <c r="G2918" i="3" s="1"/>
  <c r="G2919" i="3" a="1"/>
  <c r="G2919" i="3"/>
  <c r="G2920" i="3" a="1"/>
  <c r="G2920" i="3" s="1"/>
  <c r="G2921" i="3" a="1"/>
  <c r="G2921" i="3" s="1"/>
  <c r="G2922" i="3" a="1"/>
  <c r="G2922" i="3" s="1"/>
  <c r="G2923" i="3" a="1"/>
  <c r="G2923" i="3"/>
  <c r="G2924" i="3" a="1"/>
  <c r="G2924" i="3" s="1"/>
  <c r="G2925" i="3" a="1"/>
  <c r="G2925" i="3" s="1"/>
  <c r="G2926" i="3" a="1"/>
  <c r="G2926" i="3" s="1"/>
  <c r="G2927" i="3" a="1"/>
  <c r="G2927" i="3"/>
  <c r="G2928" i="3" a="1"/>
  <c r="G2928" i="3" s="1"/>
  <c r="G2929" i="3" a="1"/>
  <c r="G2929" i="3" s="1"/>
  <c r="G2930" i="3" a="1"/>
  <c r="G2930" i="3" s="1"/>
  <c r="G2931" i="3" a="1"/>
  <c r="G2931" i="3"/>
  <c r="G2932" i="3" a="1"/>
  <c r="G2932" i="3" s="1"/>
  <c r="G2933" i="3" a="1"/>
  <c r="G2933" i="3" s="1"/>
  <c r="G2934" i="3" a="1"/>
  <c r="G2934" i="3" s="1"/>
  <c r="G2935" i="3" a="1"/>
  <c r="G2935" i="3"/>
  <c r="G2936" i="3" a="1"/>
  <c r="G2936" i="3" s="1"/>
  <c r="G2937" i="3" a="1"/>
  <c r="G2937" i="3" s="1"/>
  <c r="G2938" i="3" a="1"/>
  <c r="G2938" i="3" s="1"/>
  <c r="G2939" i="3" a="1"/>
  <c r="G2939" i="3"/>
  <c r="G2940" i="3" a="1"/>
  <c r="G2940" i="3" s="1"/>
  <c r="G2941" i="3" a="1"/>
  <c r="G2941" i="3" s="1"/>
  <c r="G2942" i="3" a="1"/>
  <c r="G2942" i="3" s="1"/>
  <c r="G2943" i="3" a="1"/>
  <c r="G2943" i="3"/>
  <c r="G2944" i="3" a="1"/>
  <c r="G2944" i="3" s="1"/>
  <c r="G2945" i="3" a="1"/>
  <c r="G2945" i="3" s="1"/>
  <c r="G2946" i="3" a="1"/>
  <c r="G2946" i="3" s="1"/>
  <c r="G2947" i="3" a="1"/>
  <c r="G2947" i="3"/>
  <c r="G2948" i="3" a="1"/>
  <c r="G2948" i="3" s="1"/>
  <c r="G2949" i="3" a="1"/>
  <c r="G2949" i="3" s="1"/>
  <c r="G2950" i="3" a="1"/>
  <c r="G2950" i="3" s="1"/>
  <c r="G2951" i="3" a="1"/>
  <c r="G2951" i="3"/>
  <c r="G2952" i="3" a="1"/>
  <c r="G2952" i="3" s="1"/>
  <c r="G2953" i="3" a="1"/>
  <c r="G2953" i="3" s="1"/>
  <c r="G2954" i="3" a="1"/>
  <c r="G2954" i="3" s="1"/>
  <c r="G2955" i="3" a="1"/>
  <c r="G2955" i="3"/>
  <c r="G2956" i="3" a="1"/>
  <c r="G2956" i="3" s="1"/>
  <c r="G2957" i="3" a="1"/>
  <c r="G2957" i="3" s="1"/>
  <c r="G2958" i="3" a="1"/>
  <c r="G2958" i="3" s="1"/>
  <c r="G2959" i="3" a="1"/>
  <c r="G2959" i="3"/>
  <c r="G2960" i="3" a="1"/>
  <c r="G2960" i="3" s="1"/>
  <c r="G2961" i="3" a="1"/>
  <c r="G2961" i="3" s="1"/>
  <c r="G2962" i="3" a="1"/>
  <c r="G2962" i="3" s="1"/>
  <c r="G2963" i="3" a="1"/>
  <c r="G2963" i="3"/>
  <c r="G2964" i="3" a="1"/>
  <c r="G2964" i="3" s="1"/>
  <c r="G2965" i="3" a="1"/>
  <c r="G2965" i="3" s="1"/>
  <c r="G2966" i="3" a="1"/>
  <c r="G2966" i="3" s="1"/>
  <c r="G2967" i="3" a="1"/>
  <c r="G2967" i="3"/>
  <c r="G2968" i="3" a="1"/>
  <c r="G2968" i="3" s="1"/>
  <c r="G2969" i="3" a="1"/>
  <c r="G2969" i="3" s="1"/>
  <c r="G2970" i="3" a="1"/>
  <c r="G2970" i="3" s="1"/>
  <c r="G2971" i="3" a="1"/>
  <c r="G2971" i="3"/>
  <c r="G2972" i="3" a="1"/>
  <c r="G2972" i="3" s="1"/>
  <c r="G2973" i="3" a="1"/>
  <c r="G2973" i="3" s="1"/>
  <c r="G2974" i="3" a="1"/>
  <c r="G2974" i="3" s="1"/>
  <c r="G2975" i="3" a="1"/>
  <c r="G2975" i="3"/>
  <c r="G2976" i="3" a="1"/>
  <c r="G2976" i="3" s="1"/>
  <c r="G2977" i="3" a="1"/>
  <c r="G2977" i="3" s="1"/>
  <c r="G2978" i="3" a="1"/>
  <c r="G2978" i="3" s="1"/>
  <c r="G2979" i="3" a="1"/>
  <c r="G2979" i="3"/>
  <c r="G2980" i="3" a="1"/>
  <c r="G2980" i="3" s="1"/>
  <c r="G2981" i="3" a="1"/>
  <c r="G2981" i="3" s="1"/>
  <c r="G2982" i="3" a="1"/>
  <c r="G2982" i="3" s="1"/>
  <c r="G2983" i="3" a="1"/>
  <c r="G2983" i="3"/>
  <c r="G2984" i="3" a="1"/>
  <c r="G2984" i="3" s="1"/>
  <c r="G2985" i="3" a="1"/>
  <c r="G2985" i="3" s="1"/>
  <c r="G2986" i="3" a="1"/>
  <c r="G2986" i="3" s="1"/>
  <c r="G2987" i="3" a="1"/>
  <c r="G2987" i="3"/>
  <c r="G2988" i="3" a="1"/>
  <c r="G2988" i="3" s="1"/>
  <c r="G2989" i="3" a="1"/>
  <c r="G2989" i="3" s="1"/>
  <c r="G2990" i="3" a="1"/>
  <c r="G2990" i="3" s="1"/>
  <c r="G2991" i="3" a="1"/>
  <c r="G2991" i="3"/>
  <c r="G2992" i="3" a="1"/>
  <c r="G2992" i="3" s="1"/>
  <c r="G2993" i="3" a="1"/>
  <c r="G2993" i="3" s="1"/>
  <c r="G2994" i="3" a="1"/>
  <c r="G2994" i="3" s="1"/>
  <c r="G2995" i="3" a="1"/>
  <c r="G2995" i="3"/>
  <c r="G2996" i="3" a="1"/>
  <c r="G2996" i="3" s="1"/>
  <c r="G2997" i="3" a="1"/>
  <c r="G2997" i="3" s="1"/>
  <c r="G2998" i="3" a="1"/>
  <c r="G2998" i="3" s="1"/>
  <c r="G2999" i="3" a="1"/>
  <c r="G2999" i="3"/>
  <c r="G3000" i="3" a="1"/>
  <c r="G3000" i="3" s="1"/>
  <c r="G3001" i="3" a="1"/>
  <c r="G3001" i="3" s="1"/>
  <c r="G2" i="3" a="1"/>
  <c r="G2" i="3" s="1"/>
  <c r="I2" i="2"/>
  <c r="M2767" i="3" l="1"/>
  <c r="M2735" i="3"/>
  <c r="M2699" i="3"/>
  <c r="M2687" i="3"/>
  <c r="M2675" i="3"/>
  <c r="M2663" i="3"/>
  <c r="M2651" i="3"/>
  <c r="M2639" i="3"/>
  <c r="M2627" i="3"/>
  <c r="M2615" i="3"/>
  <c r="M2603" i="3"/>
  <c r="M2591" i="3"/>
  <c r="M2991" i="3"/>
  <c r="M2831" i="3"/>
  <c r="M2783" i="3"/>
  <c r="M2719" i="3"/>
  <c r="M2695" i="3"/>
  <c r="M2679" i="3"/>
  <c r="M2667" i="3"/>
  <c r="M2655" i="3"/>
  <c r="M2647" i="3"/>
  <c r="M2631" i="3"/>
  <c r="M2619" i="3"/>
  <c r="M2607" i="3"/>
  <c r="M2595" i="3"/>
  <c r="M2583" i="3"/>
  <c r="M2996" i="3"/>
  <c r="M2993" i="3"/>
  <c r="M2990" i="3"/>
  <c r="M2987" i="3"/>
  <c r="M2980" i="3"/>
  <c r="M2977" i="3"/>
  <c r="M2974" i="3"/>
  <c r="M2959" i="3"/>
  <c r="M2953" i="3"/>
  <c r="M2950" i="3"/>
  <c r="M2947" i="3"/>
  <c r="M2944" i="3"/>
  <c r="M2941" i="3"/>
  <c r="M2927" i="3"/>
  <c r="M2921" i="3"/>
  <c r="M2918" i="3"/>
  <c r="M2915" i="3"/>
  <c r="M2912" i="3"/>
  <c r="M2909" i="3"/>
  <c r="M2886" i="3"/>
  <c r="M2883" i="3"/>
  <c r="M2863" i="3"/>
  <c r="M2859" i="3"/>
  <c r="M2843" i="3"/>
  <c r="M2827" i="3"/>
  <c r="M2811" i="3"/>
  <c r="M2795" i="3"/>
  <c r="M2779" i="3"/>
  <c r="M2763" i="3"/>
  <c r="M2747" i="3"/>
  <c r="M2731" i="3"/>
  <c r="M2715" i="3"/>
  <c r="M2558" i="3"/>
  <c r="M2550" i="3"/>
  <c r="M2542" i="3"/>
  <c r="M2534" i="3"/>
  <c r="M2528" i="3"/>
  <c r="M2875" i="3"/>
  <c r="M2847" i="3"/>
  <c r="M2815" i="3"/>
  <c r="M2799" i="3"/>
  <c r="M2751" i="3"/>
  <c r="M2703" i="3"/>
  <c r="M2691" i="3"/>
  <c r="M2683" i="3"/>
  <c r="M2671" i="3"/>
  <c r="M2659" i="3"/>
  <c r="M2643" i="3"/>
  <c r="M2635" i="3"/>
  <c r="M2623" i="3"/>
  <c r="M2611" i="3"/>
  <c r="M2599" i="3"/>
  <c r="M2587" i="3"/>
  <c r="M2973" i="3"/>
  <c r="M2967" i="3"/>
  <c r="M2946" i="3"/>
  <c r="M2940" i="3"/>
  <c r="M2914" i="3"/>
  <c r="M2871" i="3"/>
  <c r="M2839" i="3"/>
  <c r="M2823" i="3"/>
  <c r="M2807" i="3"/>
  <c r="M2791" i="3"/>
  <c r="M2775" i="3"/>
  <c r="M2759" i="3"/>
  <c r="M2743" i="3"/>
  <c r="M2727" i="3"/>
  <c r="M2711" i="3"/>
  <c r="M2561" i="3"/>
  <c r="M2553" i="3"/>
  <c r="M2545" i="3"/>
  <c r="M2537" i="3"/>
  <c r="M3000" i="3"/>
  <c r="M2997" i="3"/>
  <c r="M2994" i="3"/>
  <c r="M2984" i="3"/>
  <c r="M2981" i="3"/>
  <c r="M2978" i="3"/>
  <c r="M2968" i="3"/>
  <c r="M2965" i="3"/>
  <c r="M2962" i="3"/>
  <c r="M2956" i="3"/>
  <c r="M2942" i="3"/>
  <c r="M2936" i="3"/>
  <c r="M2930" i="3"/>
  <c r="M2924" i="3"/>
  <c r="M2910" i="3"/>
  <c r="M2904" i="3"/>
  <c r="M2898" i="3"/>
  <c r="M2892" i="3"/>
  <c r="M2872" i="3"/>
  <c r="M2860" i="3"/>
  <c r="M2" i="3"/>
  <c r="M2992" i="3"/>
  <c r="M2986" i="3"/>
  <c r="M2976" i="3"/>
  <c r="M2970" i="3"/>
</calcChain>
</file>

<file path=xl/sharedStrings.xml><?xml version="1.0" encoding="utf-8"?>
<sst xmlns="http://schemas.openxmlformats.org/spreadsheetml/2006/main" count="27077" uniqueCount="53">
  <si>
    <t>CustomerID</t>
  </si>
  <si>
    <t>OrderDate</t>
  </si>
  <si>
    <t>City</t>
  </si>
  <si>
    <t>ProductCategory</t>
  </si>
  <si>
    <t>Channel</t>
  </si>
  <si>
    <t>OrderValue</t>
  </si>
  <si>
    <t>Kakamega</t>
  </si>
  <si>
    <t>Nyeri</t>
  </si>
  <si>
    <t>Meru</t>
  </si>
  <si>
    <t>Thika</t>
  </si>
  <si>
    <t>Nakuru</t>
  </si>
  <si>
    <t>Mombasa</t>
  </si>
  <si>
    <t>Nairobi</t>
  </si>
  <si>
    <t>Kisumu</t>
  </si>
  <si>
    <t>Eldoret</t>
  </si>
  <si>
    <t>Machakos</t>
  </si>
  <si>
    <t>Fashion</t>
  </si>
  <si>
    <t>Sports</t>
  </si>
  <si>
    <t>Electronics</t>
  </si>
  <si>
    <t>Automotive</t>
  </si>
  <si>
    <t>Beauty</t>
  </si>
  <si>
    <t>Groceries</t>
  </si>
  <si>
    <t>Home &amp; Living</t>
  </si>
  <si>
    <t>Retail Store</t>
  </si>
  <si>
    <t>Online</t>
  </si>
  <si>
    <t>Mobile App</t>
  </si>
  <si>
    <t>Snapshot date</t>
  </si>
  <si>
    <t>R</t>
  </si>
  <si>
    <t>F</t>
  </si>
  <si>
    <t>M</t>
  </si>
  <si>
    <t>Combine_scores</t>
  </si>
  <si>
    <t>Recency</t>
  </si>
  <si>
    <t>Frequency</t>
  </si>
  <si>
    <t>Monetary</t>
  </si>
  <si>
    <t>Segments</t>
  </si>
  <si>
    <t>Row Labels</t>
  </si>
  <si>
    <t>At Risk</t>
  </si>
  <si>
    <t>Can't Lose Them</t>
  </si>
  <si>
    <t>Lost</t>
  </si>
  <si>
    <t>New Customers</t>
  </si>
  <si>
    <t>Others</t>
  </si>
  <si>
    <t>Grand Total</t>
  </si>
  <si>
    <t>Sum of OrderValue</t>
  </si>
  <si>
    <t>Total Sales</t>
  </si>
  <si>
    <t>Count of CustomerID</t>
  </si>
  <si>
    <t>Customer Segmentation Dashboard (RFM) Analysis</t>
  </si>
  <si>
    <t>Total Orders</t>
  </si>
  <si>
    <t>Avg Order Value</t>
  </si>
  <si>
    <t>Insights</t>
  </si>
  <si>
    <t>Tota Orders</t>
  </si>
  <si>
    <t>Retails Channel contribute the most to the  Sales</t>
  </si>
  <si>
    <t>Others Segment contribute the most to sales</t>
  </si>
  <si>
    <t>At Risk segment shows declining engagement within last 180 days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</si>
</sst>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64" formatCode="yyyy\-mm\-dd\ hh:mm:ss"/>
    <numFmt numFmtId="165" formatCode="_-* #,##0_-;\-* #,##0_-;_-* &quot;-&quot;??_-;_-@_-"/>
    <numFmt numFmtId="166" formatCode="&quot;Kshs &quot;\ #,##0"/>
  </numFmts>
  <fonts count="5" x14ac:knownFonts="1">
    <font>
      <sz val="11"/>
      <color theme="1"/>
      <name val="Calibri"/>
      <family val="2"/>
      <scheme val="minor"/>
    </font>
    <font>
      <b/>
      <sz val="11"/>
      <color theme="1"/>
      <name val="Calibri"/>
      <family val="2"/>
      <scheme val="minor"/>
    </font>
    <font>
      <b/>
      <sz val="20"/>
      <color theme="0"/>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43" fontId="3"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1" fillId="0" borderId="2" xfId="0" applyFont="1" applyFill="1" applyBorder="1" applyAlignment="1">
      <alignment horizontal="center" vertical="top"/>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0" fontId="2" fillId="2" borderId="0" xfId="0" applyFont="1" applyFill="1" applyAlignment="1">
      <alignment horizontal="center"/>
    </xf>
    <xf numFmtId="0" fontId="0" fillId="2" borderId="0" xfId="0" applyFill="1" applyAlignment="1">
      <alignment horizontal="center"/>
    </xf>
    <xf numFmtId="166" fontId="0" fillId="0" borderId="0" xfId="1" applyNumberFormat="1" applyFont="1"/>
    <xf numFmtId="0" fontId="4" fillId="3" borderId="0" xfId="0" applyFont="1" applyFill="1"/>
  </cellXfs>
  <cellStyles count="2">
    <cellStyle name="Comma" xfId="1" builtinId="3"/>
    <cellStyle name="Normal" xfId="0" builtinId="0"/>
  </cellStyles>
  <dxfs count="5">
    <dxf>
      <numFmt numFmtId="166" formatCode="&quot;Kshs &quot;\ #,##0"/>
    </dxf>
    <dxf>
      <numFmt numFmtId="165" formatCode="_-* #,##0_-;\-* #,##0_-;_-* &quot;-&quot;??_-;_-@_-"/>
    </dxf>
    <dxf>
      <alignment horizontal="general" vertical="bottom" textRotation="0" wrapText="1" indent="0" justifyLastLine="0" shrinkToFit="0" readingOrder="0"/>
    </dxf>
    <dxf>
      <numFmt numFmtId="19" formatCode="dd/mm/yyyy"/>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[customer-segmentation-rfm-analysis.xlsx]Pivot Analysis!PivotTable1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Segmentation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Analysis'!$B$1</c:f>
              <c:strCache>
                <c:ptCount val="1"/>
                <c:pt idx="0">
                  <c:v>Count of CustomerID</c:v>
                </c:pt>
              </c:strCache>
            </c:strRef>
          </c:tx>
          <c:spPr>
            <a:solidFill>
              <a:schemeClr val="accent1"/>
            </a:solidFill>
            <a:ln>
              <a:noFill/>
            </a:ln>
            <a:effectLst/>
          </c:spPr>
          <c:invertIfNegative val="0"/>
          <c:cat>
            <c:strRef>
              <c:f>'Pivot Analysis'!$A$2:$A$7</c:f>
              <c:strCache>
                <c:ptCount val="5"/>
                <c:pt idx="0">
                  <c:v>Can't Lose Them</c:v>
                </c:pt>
                <c:pt idx="1">
                  <c:v>Lost</c:v>
                </c:pt>
                <c:pt idx="2">
                  <c:v>At Risk</c:v>
                </c:pt>
                <c:pt idx="3">
                  <c:v>New Customers</c:v>
                </c:pt>
                <c:pt idx="4">
                  <c:v>Others</c:v>
                </c:pt>
              </c:strCache>
            </c:strRef>
          </c:cat>
          <c:val>
            <c:numRef>
              <c:f>'Pivot Analysis'!$B$2:$B$7</c:f>
              <c:numCache>
                <c:formatCode>_-* #,##0_-;\-* #,##0_-;_-* "-"??_-;_-@_-</c:formatCode>
                <c:ptCount val="5"/>
                <c:pt idx="0">
                  <c:v>179</c:v>
                </c:pt>
                <c:pt idx="1">
                  <c:v>420</c:v>
                </c:pt>
                <c:pt idx="2">
                  <c:v>539</c:v>
                </c:pt>
                <c:pt idx="3">
                  <c:v>615</c:v>
                </c:pt>
                <c:pt idx="4">
                  <c:v>1247</c:v>
                </c:pt>
              </c:numCache>
            </c:numRef>
          </c:val>
        </c:ser>
        <c:dLbls>
          <c:showLegendKey val="0"/>
          <c:showVal val="0"/>
          <c:showCatName val="0"/>
          <c:showSerName val="0"/>
          <c:showPercent val="0"/>
          <c:showBubbleSize val="0"/>
        </c:dLbls>
        <c:gapWidth val="182"/>
        <c:axId val="417872408"/>
        <c:axId val="417877504"/>
      </c:barChart>
      <c:lineChart>
        <c:grouping val="standard"/>
        <c:varyColors val="0"/>
        <c:ser>
          <c:idx val="1"/>
          <c:order val="1"/>
          <c:tx>
            <c:strRef>
              <c:f>'Pivot Analysis'!$C$1</c:f>
              <c:strCache>
                <c:ptCount val="1"/>
                <c:pt idx="0">
                  <c:v>Total Sales</c:v>
                </c:pt>
              </c:strCache>
            </c:strRef>
          </c:tx>
          <c:spPr>
            <a:ln w="28575" cap="rnd">
              <a:solidFill>
                <a:schemeClr val="accent2"/>
              </a:solidFill>
              <a:round/>
            </a:ln>
            <a:effectLst/>
          </c:spPr>
          <c:marker>
            <c:symbol val="none"/>
          </c:marker>
          <c:cat>
            <c:strRef>
              <c:f>'Pivot Analysis'!$A$2:$A$7</c:f>
              <c:strCache>
                <c:ptCount val="5"/>
                <c:pt idx="0">
                  <c:v>Can't Lose Them</c:v>
                </c:pt>
                <c:pt idx="1">
                  <c:v>Lost</c:v>
                </c:pt>
                <c:pt idx="2">
                  <c:v>At Risk</c:v>
                </c:pt>
                <c:pt idx="3">
                  <c:v>New Customers</c:v>
                </c:pt>
                <c:pt idx="4">
                  <c:v>Others</c:v>
                </c:pt>
              </c:strCache>
            </c:strRef>
          </c:cat>
          <c:val>
            <c:numRef>
              <c:f>'Pivot Analysis'!$C$2:$C$7</c:f>
              <c:numCache>
                <c:formatCode>_-* #,##0_-;\-* #,##0_-;_-* "-"??_-;_-@_-</c:formatCode>
                <c:ptCount val="5"/>
                <c:pt idx="0">
                  <c:v>604550.87000000023</c:v>
                </c:pt>
                <c:pt idx="1">
                  <c:v>1793348.9</c:v>
                </c:pt>
                <c:pt idx="2">
                  <c:v>2014410.7000000002</c:v>
                </c:pt>
                <c:pt idx="3">
                  <c:v>2512608.4700000007</c:v>
                </c:pt>
                <c:pt idx="4">
                  <c:v>4998506.0200000079</c:v>
                </c:pt>
              </c:numCache>
            </c:numRef>
          </c:val>
          <c:smooth val="0"/>
        </c:ser>
        <c:dLbls>
          <c:showLegendKey val="0"/>
          <c:showVal val="0"/>
          <c:showCatName val="0"/>
          <c:showSerName val="0"/>
          <c:showPercent val="0"/>
          <c:showBubbleSize val="0"/>
        </c:dLbls>
        <c:marker val="1"/>
        <c:smooth val="0"/>
        <c:axId val="417877112"/>
        <c:axId val="417871624"/>
      </c:lineChart>
      <c:catAx>
        <c:axId val="417872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77504"/>
        <c:crosses val="autoZero"/>
        <c:auto val="1"/>
        <c:lblAlgn val="ctr"/>
        <c:lblOffset val="100"/>
        <c:noMultiLvlLbl val="0"/>
      </c:catAx>
      <c:valAx>
        <c:axId val="417877504"/>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72408"/>
        <c:crosses val="autoZero"/>
        <c:crossBetween val="between"/>
      </c:valAx>
      <c:valAx>
        <c:axId val="417871624"/>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77112"/>
        <c:crosses val="max"/>
        <c:crossBetween val="between"/>
      </c:valAx>
      <c:catAx>
        <c:axId val="417877112"/>
        <c:scaling>
          <c:orientation val="minMax"/>
        </c:scaling>
        <c:delete val="1"/>
        <c:axPos val="b"/>
        <c:numFmt formatCode="General" sourceLinked="1"/>
        <c:majorTickMark val="out"/>
        <c:minorTickMark val="none"/>
        <c:tickLblPos val="nextTo"/>
        <c:crossAx val="417871624"/>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[customer-segmentation-rfm-analysis.xlsx]Pivot Analysis!Customers Per City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per city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Analysis'!$B$37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Analysis'!$A$38:$A$48</c:f>
              <c:strCache>
                <c:ptCount val="10"/>
                <c:pt idx="0">
                  <c:v>Eldoret</c:v>
                </c:pt>
                <c:pt idx="1">
                  <c:v>Kakamega</c:v>
                </c:pt>
                <c:pt idx="2">
                  <c:v>Kisumu</c:v>
                </c:pt>
                <c:pt idx="3">
                  <c:v>Machakos</c:v>
                </c:pt>
                <c:pt idx="4">
                  <c:v>Meru</c:v>
                </c:pt>
                <c:pt idx="5">
                  <c:v>Mombasa</c:v>
                </c:pt>
                <c:pt idx="6">
                  <c:v>Nairobi</c:v>
                </c:pt>
                <c:pt idx="7">
                  <c:v>Nakuru</c:v>
                </c:pt>
                <c:pt idx="8">
                  <c:v>Nyeri</c:v>
                </c:pt>
                <c:pt idx="9">
                  <c:v>Thika</c:v>
                </c:pt>
              </c:strCache>
            </c:strRef>
          </c:cat>
          <c:val>
            <c:numRef>
              <c:f>'Pivot Analysis'!$B$38:$B$48</c:f>
              <c:numCache>
                <c:formatCode>General</c:formatCode>
                <c:ptCount val="10"/>
                <c:pt idx="0">
                  <c:v>294</c:v>
                </c:pt>
                <c:pt idx="1">
                  <c:v>307</c:v>
                </c:pt>
                <c:pt idx="2">
                  <c:v>296</c:v>
                </c:pt>
                <c:pt idx="3">
                  <c:v>304</c:v>
                </c:pt>
                <c:pt idx="4">
                  <c:v>267</c:v>
                </c:pt>
                <c:pt idx="5">
                  <c:v>303</c:v>
                </c:pt>
                <c:pt idx="6">
                  <c:v>315</c:v>
                </c:pt>
                <c:pt idx="7">
                  <c:v>315</c:v>
                </c:pt>
                <c:pt idx="8">
                  <c:v>305</c:v>
                </c:pt>
                <c:pt idx="9">
                  <c:v>294</c:v>
                </c:pt>
              </c:numCache>
            </c:numRef>
          </c:val>
        </c:ser>
        <c:dLbls>
          <c:dLblPos val="outEnd"/>
          <c:showLegendKey val="0"/>
          <c:showVal val="1"/>
          <c:showCatName val="0"/>
          <c:showSerName val="0"/>
          <c:showPercent val="0"/>
          <c:showBubbleSize val="0"/>
        </c:dLbls>
        <c:gapWidth val="219"/>
        <c:overlap val="-27"/>
        <c:axId val="429640808"/>
        <c:axId val="429637280"/>
      </c:barChart>
      <c:catAx>
        <c:axId val="429640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37280"/>
        <c:crosses val="autoZero"/>
        <c:auto val="1"/>
        <c:lblAlgn val="ctr"/>
        <c:lblOffset val="100"/>
        <c:noMultiLvlLbl val="0"/>
      </c:catAx>
      <c:valAx>
        <c:axId val="429637280"/>
        <c:scaling>
          <c:orientation val="minMax"/>
          <c:min val="24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40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[customer-segmentation-rfm-analysis.xlsx]Pivot Analysis!PivotTable5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Count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s>
    <c:plotArea>
      <c:layout/>
      <c:pieChart>
        <c:varyColors val="1"/>
        <c:ser>
          <c:idx val="0"/>
          <c:order val="0"/>
          <c:tx>
            <c:strRef>
              <c:f>'Pivot Analysis'!$B$66</c:f>
              <c:strCache>
                <c:ptCount val="1"/>
                <c:pt idx="0">
                  <c:v>Count of CustomerID</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Analysis'!$A$67:$A$72</c:f>
              <c:strCache>
                <c:ptCount val="5"/>
                <c:pt idx="0">
                  <c:v>At Risk</c:v>
                </c:pt>
                <c:pt idx="1">
                  <c:v>Can't Lose Them</c:v>
                </c:pt>
                <c:pt idx="2">
                  <c:v>Lost</c:v>
                </c:pt>
                <c:pt idx="3">
                  <c:v>New Customers</c:v>
                </c:pt>
                <c:pt idx="4">
                  <c:v>Others</c:v>
                </c:pt>
              </c:strCache>
            </c:strRef>
          </c:cat>
          <c:val>
            <c:numRef>
              <c:f>'Pivot Analysis'!$B$67:$B$72</c:f>
              <c:numCache>
                <c:formatCode>General</c:formatCode>
                <c:ptCount val="5"/>
                <c:pt idx="0">
                  <c:v>539</c:v>
                </c:pt>
                <c:pt idx="1">
                  <c:v>179</c:v>
                </c:pt>
                <c:pt idx="2">
                  <c:v>420</c:v>
                </c:pt>
                <c:pt idx="3">
                  <c:v>615</c:v>
                </c:pt>
                <c:pt idx="4">
                  <c:v>1247</c:v>
                </c:pt>
              </c:numCache>
            </c:numRef>
          </c:val>
        </c:ser>
        <c:ser>
          <c:idx val="1"/>
          <c:order val="1"/>
          <c:tx>
            <c:strRef>
              <c:f>'Pivot Analysis'!$C$66</c:f>
              <c:strCache>
                <c:ptCount val="1"/>
                <c:pt idx="0">
                  <c:v>Sum of OrderValue</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Analysis'!$A$67:$A$72</c:f>
              <c:strCache>
                <c:ptCount val="5"/>
                <c:pt idx="0">
                  <c:v>At Risk</c:v>
                </c:pt>
                <c:pt idx="1">
                  <c:v>Can't Lose Them</c:v>
                </c:pt>
                <c:pt idx="2">
                  <c:v>Lost</c:v>
                </c:pt>
                <c:pt idx="3">
                  <c:v>New Customers</c:v>
                </c:pt>
                <c:pt idx="4">
                  <c:v>Others</c:v>
                </c:pt>
              </c:strCache>
            </c:strRef>
          </c:cat>
          <c:val>
            <c:numRef>
              <c:f>'Pivot Analysis'!$C$67:$C$72</c:f>
              <c:numCache>
                <c:formatCode>General</c:formatCode>
                <c:ptCount val="5"/>
                <c:pt idx="0">
                  <c:v>2014410.7000000002</c:v>
                </c:pt>
                <c:pt idx="1">
                  <c:v>604550.87000000023</c:v>
                </c:pt>
                <c:pt idx="2">
                  <c:v>1793348.9</c:v>
                </c:pt>
                <c:pt idx="3">
                  <c:v>2512608.4700000007</c:v>
                </c:pt>
                <c:pt idx="4">
                  <c:v>4998506.0200000079</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[customer-segmentation-rfm-analysis.xlsx]Pivot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Channel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Analysis'!$B$53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Analysis'!$A$54:$A$57</c:f>
              <c:strCache>
                <c:ptCount val="3"/>
                <c:pt idx="0">
                  <c:v>Mobile App</c:v>
                </c:pt>
                <c:pt idx="1">
                  <c:v>Online</c:v>
                </c:pt>
                <c:pt idx="2">
                  <c:v>Retail Store</c:v>
                </c:pt>
              </c:strCache>
            </c:strRef>
          </c:cat>
          <c:val>
            <c:numRef>
              <c:f>'Pivot Analysis'!$B$54:$B$57</c:f>
              <c:numCache>
                <c:formatCode>"Kshs "\ #,##0</c:formatCode>
                <c:ptCount val="3"/>
                <c:pt idx="0">
                  <c:v>3891306.069999997</c:v>
                </c:pt>
                <c:pt idx="1">
                  <c:v>3894899.95</c:v>
                </c:pt>
                <c:pt idx="2">
                  <c:v>4137218.9400000018</c:v>
                </c:pt>
              </c:numCache>
            </c:numRef>
          </c:val>
        </c:ser>
        <c:dLbls>
          <c:dLblPos val="outEnd"/>
          <c:showLegendKey val="0"/>
          <c:showVal val="1"/>
          <c:showCatName val="0"/>
          <c:showSerName val="0"/>
          <c:showPercent val="0"/>
          <c:showBubbleSize val="0"/>
        </c:dLbls>
        <c:gapWidth val="219"/>
        <c:overlap val="-27"/>
        <c:axId val="599971984"/>
        <c:axId val="599973944"/>
      </c:barChart>
      <c:catAx>
        <c:axId val="59997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73944"/>
        <c:crosses val="autoZero"/>
        <c:auto val="1"/>
        <c:lblAlgn val="ctr"/>
        <c:lblOffset val="100"/>
        <c:noMultiLvlLbl val="0"/>
      </c:catAx>
      <c:valAx>
        <c:axId val="599973944"/>
        <c:scaling>
          <c:orientation val="minMax"/>
        </c:scaling>
        <c:delete val="1"/>
        <c:axPos val="l"/>
        <c:numFmt formatCode="&quot;Kshs &quot;\ #,##0" sourceLinked="1"/>
        <c:majorTickMark val="none"/>
        <c:minorTickMark val="none"/>
        <c:tickLblPos val="nextTo"/>
        <c:crossAx val="599971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29534</xdr:colOff>
      <xdr:row>3</xdr:row>
      <xdr:rowOff>14768</xdr:rowOff>
    </xdr:from>
    <xdr:to>
      <xdr:col>2</xdr:col>
      <xdr:colOff>590697</xdr:colOff>
      <xdr:row>10</xdr:row>
      <xdr:rowOff>125523</xdr:rowOff>
    </xdr:to>
    <mc:AlternateContent xmlns:mc="http://schemas.openxmlformats.org/markup-compatibility/2006">
      <mc:Choice xmlns:a14="http://schemas.microsoft.com/office/drawing/2010/main" Requires="a14">
        <xdr:graphicFrame macro="">
          <xdr:nvGraphicFramePr>
            <xdr:cNvPr id="2" name="Channel"/>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29534" y="553138"/>
              <a:ext cx="1775946" cy="136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30795</xdr:colOff>
      <xdr:row>11</xdr:row>
      <xdr:rowOff>7384</xdr:rowOff>
    </xdr:from>
    <xdr:to>
      <xdr:col>2</xdr:col>
      <xdr:colOff>590697</xdr:colOff>
      <xdr:row>24</xdr:row>
      <xdr:rowOff>131799</xdr:rowOff>
    </xdr:to>
    <mc:AlternateContent xmlns:mc="http://schemas.openxmlformats.org/markup-compatibility/2006">
      <mc:Choice xmlns:a14="http://schemas.microsoft.com/office/drawing/2010/main" Requires="a14">
        <xdr:graphicFrame macro="">
          <xdr:nvGraphicFramePr>
            <xdr:cNvPr id="3" name="ProductCategory"/>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30795" y="1981406"/>
              <a:ext cx="1774685" cy="24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30795</xdr:colOff>
      <xdr:row>25</xdr:row>
      <xdr:rowOff>36919</xdr:rowOff>
    </xdr:from>
    <xdr:to>
      <xdr:col>2</xdr:col>
      <xdr:colOff>590697</xdr:colOff>
      <xdr:row>38</xdr:row>
      <xdr:rowOff>161335</xdr:rowOff>
    </xdr:to>
    <mc:AlternateContent xmlns:mc="http://schemas.openxmlformats.org/markup-compatibility/2006">
      <mc:Choice xmlns:a14="http://schemas.microsoft.com/office/drawing/2010/main" Requires="a14">
        <xdr:graphicFrame macro="">
          <xdr:nvGraphicFramePr>
            <xdr:cNvPr id="4" name="City"/>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0795" y="4523332"/>
              <a:ext cx="1774685" cy="2457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11010</xdr:colOff>
      <xdr:row>3</xdr:row>
      <xdr:rowOff>48189</xdr:rowOff>
    </xdr:from>
    <xdr:to>
      <xdr:col>8</xdr:col>
      <xdr:colOff>447333</xdr:colOff>
      <xdr:row>7</xdr:row>
      <xdr:rowOff>69417</xdr:rowOff>
    </xdr:to>
    <xdr:sp macro="" textlink="">
      <xdr:nvSpPr>
        <xdr:cNvPr id="5" name="Rectangle 4"/>
        <xdr:cNvSpPr/>
      </xdr:nvSpPr>
      <xdr:spPr>
        <a:xfrm>
          <a:off x="2461887" y="616347"/>
          <a:ext cx="2887200" cy="778772"/>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Total Revenue</a:t>
          </a:r>
        </a:p>
      </xdr:txBody>
    </xdr:sp>
    <xdr:clientData/>
  </xdr:twoCellAnchor>
  <xdr:twoCellAnchor>
    <xdr:from>
      <xdr:col>10</xdr:col>
      <xdr:colOff>332914</xdr:colOff>
      <xdr:row>3</xdr:row>
      <xdr:rowOff>48189</xdr:rowOff>
    </xdr:from>
    <xdr:to>
      <xdr:col>15</xdr:col>
      <xdr:colOff>156518</xdr:colOff>
      <xdr:row>7</xdr:row>
      <xdr:rowOff>69417</xdr:rowOff>
    </xdr:to>
    <xdr:sp macro="" textlink="">
      <xdr:nvSpPr>
        <xdr:cNvPr id="9" name="Rectangle 8"/>
        <xdr:cNvSpPr/>
      </xdr:nvSpPr>
      <xdr:spPr>
        <a:xfrm>
          <a:off x="6460107" y="616347"/>
          <a:ext cx="2887200" cy="778772"/>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Total Orders</a:t>
          </a:r>
        </a:p>
      </xdr:txBody>
    </xdr:sp>
    <xdr:clientData/>
  </xdr:twoCellAnchor>
  <xdr:twoCellAnchor>
    <xdr:from>
      <xdr:col>16</xdr:col>
      <xdr:colOff>158143</xdr:colOff>
      <xdr:row>3</xdr:row>
      <xdr:rowOff>48189</xdr:rowOff>
    </xdr:from>
    <xdr:to>
      <xdr:col>20</xdr:col>
      <xdr:colOff>594466</xdr:colOff>
      <xdr:row>7</xdr:row>
      <xdr:rowOff>69417</xdr:rowOff>
    </xdr:to>
    <xdr:sp macro="" textlink="">
      <xdr:nvSpPr>
        <xdr:cNvPr id="10" name="Rectangle 9"/>
        <xdr:cNvSpPr/>
      </xdr:nvSpPr>
      <xdr:spPr>
        <a:xfrm>
          <a:off x="9882714" y="592475"/>
          <a:ext cx="2867466" cy="746942"/>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Order Value</a:t>
          </a:r>
        </a:p>
      </xdr:txBody>
    </xdr:sp>
    <xdr:clientData/>
  </xdr:twoCellAnchor>
  <xdr:twoCellAnchor>
    <xdr:from>
      <xdr:col>4</xdr:col>
      <xdr:colOff>441338</xdr:colOff>
      <xdr:row>5</xdr:row>
      <xdr:rowOff>51815</xdr:rowOff>
    </xdr:from>
    <xdr:to>
      <xdr:col>7</xdr:col>
      <xdr:colOff>603779</xdr:colOff>
      <xdr:row>7</xdr:row>
      <xdr:rowOff>2720</xdr:rowOff>
    </xdr:to>
    <xdr:sp macro="" textlink="'Pivot Analysis'!I2">
      <xdr:nvSpPr>
        <xdr:cNvPr id="12" name="TextBox 11"/>
        <xdr:cNvSpPr txBox="1"/>
      </xdr:nvSpPr>
      <xdr:spPr>
        <a:xfrm>
          <a:off x="2892215" y="998745"/>
          <a:ext cx="2000599" cy="32967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796B7D-1FD4-4C55-8754-B3A0A1007438}" type="TxLink">
            <a:rPr lang="en-US" sz="1800" b="1" i="0" u="none" strike="noStrike">
              <a:solidFill>
                <a:schemeClr val="bg1"/>
              </a:solidFill>
              <a:latin typeface="Calibri"/>
              <a:cs typeface="Calibri"/>
            </a:rPr>
            <a:pPr algn="ctr"/>
            <a:t>Kshs  11,923,425</a:t>
          </a:fld>
          <a:endParaRPr lang="en-US" sz="1800" b="1">
            <a:solidFill>
              <a:schemeClr val="bg1"/>
            </a:solidFill>
          </a:endParaRPr>
        </a:p>
      </xdr:txBody>
    </xdr:sp>
    <xdr:clientData/>
  </xdr:twoCellAnchor>
  <xdr:twoCellAnchor>
    <xdr:from>
      <xdr:col>7</xdr:col>
      <xdr:colOff>199360</xdr:colOff>
      <xdr:row>15</xdr:row>
      <xdr:rowOff>59069</xdr:rowOff>
    </xdr:from>
    <xdr:to>
      <xdr:col>10</xdr:col>
      <xdr:colOff>361802</xdr:colOff>
      <xdr:row>17</xdr:row>
      <xdr:rowOff>14767</xdr:rowOff>
    </xdr:to>
    <xdr:sp macro="" textlink="">
      <xdr:nvSpPr>
        <xdr:cNvPr id="14" name="TextBox 13"/>
        <xdr:cNvSpPr txBox="1"/>
      </xdr:nvSpPr>
      <xdr:spPr>
        <a:xfrm>
          <a:off x="4489302" y="2827964"/>
          <a:ext cx="2000988" cy="3248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102074</xdr:colOff>
      <xdr:row>5</xdr:row>
      <xdr:rowOff>38080</xdr:rowOff>
    </xdr:from>
    <xdr:to>
      <xdr:col>14</xdr:col>
      <xdr:colOff>264516</xdr:colOff>
      <xdr:row>6</xdr:row>
      <xdr:rowOff>184721</xdr:rowOff>
    </xdr:to>
    <xdr:sp macro="" textlink="'Pivot Analysis'!B11">
      <xdr:nvSpPr>
        <xdr:cNvPr id="15" name="TextBox 14"/>
        <xdr:cNvSpPr txBox="1"/>
      </xdr:nvSpPr>
      <xdr:spPr>
        <a:xfrm>
          <a:off x="6841986" y="985010"/>
          <a:ext cx="2000600" cy="33602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840CB0-587F-4174-8193-93ACD23CDB13}" type="TxLink">
            <a:rPr lang="en-US" sz="2000" b="1" i="0" u="none" strike="noStrike">
              <a:solidFill>
                <a:schemeClr val="bg1"/>
              </a:solidFill>
              <a:latin typeface="Calibri"/>
              <a:cs typeface="Calibri"/>
            </a:rPr>
            <a:pPr algn="ctr"/>
            <a:t>3000</a:t>
          </a:fld>
          <a:endParaRPr lang="en-US" sz="2000" b="1">
            <a:solidFill>
              <a:schemeClr val="bg1"/>
            </a:solidFill>
          </a:endParaRPr>
        </a:p>
      </xdr:txBody>
    </xdr:sp>
    <xdr:clientData/>
  </xdr:twoCellAnchor>
  <xdr:twoCellAnchor>
    <xdr:from>
      <xdr:col>16</xdr:col>
      <xdr:colOff>589789</xdr:colOff>
      <xdr:row>5</xdr:row>
      <xdr:rowOff>48057</xdr:rowOff>
    </xdr:from>
    <xdr:to>
      <xdr:col>20</xdr:col>
      <xdr:colOff>139512</xdr:colOff>
      <xdr:row>6</xdr:row>
      <xdr:rowOff>188348</xdr:rowOff>
    </xdr:to>
    <xdr:sp macro="" textlink="'Pivot Analysis'!B12">
      <xdr:nvSpPr>
        <xdr:cNvPr id="16" name="TextBox 15"/>
        <xdr:cNvSpPr txBox="1"/>
      </xdr:nvSpPr>
      <xdr:spPr>
        <a:xfrm>
          <a:off x="10393298" y="994987"/>
          <a:ext cx="2000600" cy="32967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1A6CBB-3A9A-40F0-A909-86E687882B7F}" type="TxLink">
            <a:rPr lang="en-US" sz="2000" b="1" i="0" u="none" strike="noStrike">
              <a:solidFill>
                <a:schemeClr val="bg1"/>
              </a:solidFill>
              <a:latin typeface="Calibri"/>
              <a:cs typeface="Calibri"/>
            </a:rPr>
            <a:pPr algn="ctr"/>
            <a:t>Kshs  3,974</a:t>
          </a:fld>
          <a:endParaRPr lang="en-US" sz="2000" b="1">
            <a:solidFill>
              <a:schemeClr val="bg1"/>
            </a:solidFill>
          </a:endParaRPr>
        </a:p>
      </xdr:txBody>
    </xdr:sp>
    <xdr:clientData/>
  </xdr:twoCellAnchor>
  <xdr:twoCellAnchor>
    <xdr:from>
      <xdr:col>4</xdr:col>
      <xdr:colOff>14769</xdr:colOff>
      <xdr:row>8</xdr:row>
      <xdr:rowOff>7384</xdr:rowOff>
    </xdr:from>
    <xdr:to>
      <xdr:col>11</xdr:col>
      <xdr:colOff>296827</xdr:colOff>
      <xdr:row>22</xdr:row>
      <xdr:rowOff>166281</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572185</xdr:colOff>
      <xdr:row>8</xdr:row>
      <xdr:rowOff>79956</xdr:rowOff>
    </xdr:from>
    <xdr:to>
      <xdr:col>20</xdr:col>
      <xdr:colOff>594466</xdr:colOff>
      <xdr:row>22</xdr:row>
      <xdr:rowOff>149730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33420</xdr:colOff>
      <xdr:row>24</xdr:row>
      <xdr:rowOff>178246</xdr:rowOff>
    </xdr:from>
    <xdr:to>
      <xdr:col>11</xdr:col>
      <xdr:colOff>316385</xdr:colOff>
      <xdr:row>39</xdr:row>
      <xdr:rowOff>66842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36223</xdr:colOff>
      <xdr:row>24</xdr:row>
      <xdr:rowOff>178246</xdr:rowOff>
    </xdr:from>
    <xdr:to>
      <xdr:col>20</xdr:col>
      <xdr:colOff>594466</xdr:colOff>
      <xdr:row>39</xdr:row>
      <xdr:rowOff>66256</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36.559587731484" createdVersion="5" refreshedVersion="5" minRefreshableVersion="3" recordCount="3000">
  <cacheSource type="worksheet">
    <worksheetSource name="Table1"/>
  </cacheSource>
  <cacheFields count="14">
    <cacheField name="CustomerID" numFmtId="0">
      <sharedItems containsSemiMixedTypes="0" containsString="0" containsNumber="1" containsInteger="1" minValue="1000" maxValue="1399" count="400">
        <n v="1194"/>
        <n v="1214"/>
        <n v="1050"/>
        <n v="1292"/>
        <n v="1245"/>
        <n v="1377"/>
        <n v="1381"/>
        <n v="1156"/>
        <n v="1033"/>
        <n v="1260"/>
        <n v="1199"/>
        <n v="1358"/>
        <n v="1061"/>
        <n v="1178"/>
        <n v="1288"/>
        <n v="1320"/>
        <n v="1123"/>
        <n v="1342"/>
        <n v="1168"/>
        <n v="1155"/>
        <n v="1129"/>
        <n v="1086"/>
        <n v="1273"/>
        <n v="1143"/>
        <n v="1270"/>
        <n v="1080"/>
        <n v="1022"/>
        <n v="1284"/>
        <n v="1304"/>
        <n v="1082"/>
        <n v="1361"/>
        <n v="1345"/>
        <n v="1359"/>
        <n v="1150"/>
        <n v="1088"/>
        <n v="1221"/>
        <n v="1301"/>
        <n v="1224"/>
        <n v="1054"/>
        <n v="1146"/>
        <n v="1334"/>
        <n v="1118"/>
        <n v="1369"/>
        <n v="1364"/>
        <n v="1071"/>
        <n v="1085"/>
        <n v="1387"/>
        <n v="1378"/>
        <n v="1019"/>
        <n v="1186"/>
        <n v="1172"/>
        <n v="1386"/>
        <n v="1134"/>
        <n v="1074"/>
        <n v="1079"/>
        <n v="1225"/>
        <n v="1112"/>
        <n v="1011"/>
        <n v="1007"/>
        <n v="1269"/>
        <n v="1078"/>
        <n v="1132"/>
        <n v="1257"/>
        <n v="1072"/>
        <n v="1289"/>
        <n v="1370"/>
        <n v="1175"/>
        <n v="1352"/>
        <n v="1266"/>
        <n v="1176"/>
        <n v="1159"/>
        <n v="1281"/>
        <n v="1239"/>
        <n v="1099"/>
        <n v="1077"/>
        <n v="1290"/>
        <n v="1091"/>
        <n v="1139"/>
        <n v="1327"/>
        <n v="1365"/>
        <n v="1216"/>
        <n v="1348"/>
        <n v="1102"/>
        <n v="1190"/>
        <n v="1233"/>
        <n v="1092"/>
        <n v="1351"/>
        <n v="1110"/>
        <n v="1000"/>
        <n v="1100"/>
        <n v="1280"/>
        <n v="1391"/>
        <n v="1291"/>
        <n v="1125"/>
        <n v="1160"/>
        <n v="1330"/>
        <n v="1144"/>
        <n v="1347"/>
        <n v="1001"/>
        <n v="1117"/>
        <n v="1336"/>
        <n v="1124"/>
        <n v="1286"/>
        <n v="1263"/>
        <n v="1037"/>
        <n v="1044"/>
        <n v="1217"/>
        <n v="1122"/>
        <n v="1318"/>
        <n v="1227"/>
        <n v="1343"/>
        <n v="1253"/>
        <n v="1018"/>
        <n v="1094"/>
        <n v="1340"/>
        <n v="1398"/>
        <n v="1038"/>
        <n v="1041"/>
        <n v="1192"/>
        <n v="1230"/>
        <n v="1203"/>
        <n v="1164"/>
        <n v="1142"/>
        <n v="1197"/>
        <n v="1309"/>
        <n v="1212"/>
        <n v="1373"/>
        <n v="1170"/>
        <n v="1205"/>
        <n v="1127"/>
        <n v="1389"/>
        <n v="1254"/>
        <n v="1244"/>
        <n v="1276"/>
        <n v="1262"/>
        <n v="1152"/>
        <n v="1010"/>
        <n v="1196"/>
        <n v="1268"/>
        <n v="1095"/>
        <n v="1023"/>
        <n v="1188"/>
        <n v="1228"/>
        <n v="1187"/>
        <n v="1383"/>
        <n v="1200"/>
        <n v="1315"/>
        <n v="1039"/>
        <n v="1183"/>
        <n v="1069"/>
        <n v="1265"/>
        <n v="1173"/>
        <n v="1323"/>
        <n v="1113"/>
        <n v="1109"/>
        <n v="1306"/>
        <n v="1005"/>
        <n v="1026"/>
        <n v="1250"/>
        <n v="1325"/>
        <n v="1375"/>
        <n v="1008"/>
        <n v="1182"/>
        <n v="1009"/>
        <n v="1374"/>
        <n v="1363"/>
        <n v="1174"/>
        <n v="1243"/>
        <n v="1368"/>
        <n v="1121"/>
        <n v="1307"/>
        <n v="1208"/>
        <n v="1097"/>
        <n v="1195"/>
        <n v="1335"/>
        <n v="1394"/>
        <n v="1003"/>
        <n v="1341"/>
        <n v="1278"/>
        <n v="1084"/>
        <n v="1242"/>
        <n v="1065"/>
        <n v="1151"/>
        <n v="1004"/>
        <n v="1140"/>
        <n v="1246"/>
        <n v="1282"/>
        <n v="1147"/>
        <n v="1255"/>
        <n v="1157"/>
        <n v="1302"/>
        <n v="1396"/>
        <n v="1222"/>
        <n v="1272"/>
        <n v="1107"/>
        <n v="1028"/>
        <n v="1103"/>
        <n v="1248"/>
        <n v="1235"/>
        <n v="1232"/>
        <n v="1316"/>
        <n v="1006"/>
        <n v="1021"/>
        <n v="1105"/>
        <n v="1145"/>
        <n v="1349"/>
        <n v="1274"/>
        <n v="1319"/>
        <n v="1075"/>
        <n v="1163"/>
        <n v="1016"/>
        <n v="1252"/>
        <n v="1329"/>
        <n v="1098"/>
        <n v="1206"/>
        <n v="1115"/>
        <n v="1114"/>
        <n v="1042"/>
        <n v="1024"/>
        <n v="1052"/>
        <n v="1154"/>
        <n v="1057"/>
        <n v="1300"/>
        <n v="1215"/>
        <n v="1279"/>
        <n v="1135"/>
        <n v="1346"/>
        <n v="1331"/>
        <n v="1397"/>
        <n v="1083"/>
        <n v="1096"/>
        <n v="1380"/>
        <n v="1153"/>
        <n v="1362"/>
        <n v="1249"/>
        <n v="1058"/>
        <n v="1025"/>
        <n v="1180"/>
        <n v="1066"/>
        <n v="1141"/>
        <n v="1392"/>
        <n v="1317"/>
        <n v="1040"/>
        <n v="1015"/>
        <n v="1119"/>
        <n v="1161"/>
        <n v="1201"/>
        <n v="1202"/>
        <n v="1133"/>
        <n v="1036"/>
        <n v="1101"/>
        <n v="1271"/>
        <n v="1128"/>
        <n v="1012"/>
        <n v="1314"/>
        <n v="1360"/>
        <n v="1258"/>
        <n v="1031"/>
        <n v="1136"/>
        <n v="1379"/>
        <n v="1120"/>
        <n v="1326"/>
        <n v="1043"/>
        <n v="1223"/>
        <n v="1283"/>
        <n v="1390"/>
        <n v="1002"/>
        <n v="1311"/>
        <n v="1149"/>
        <n v="1372"/>
        <n v="1218"/>
        <n v="1376"/>
        <n v="1226"/>
        <n v="1219"/>
        <n v="1385"/>
        <n v="1130"/>
        <n v="1337"/>
        <n v="1236"/>
        <n v="1241"/>
        <n v="1353"/>
        <n v="1287"/>
        <n v="1229"/>
        <n v="1179"/>
        <n v="1131"/>
        <n v="1207"/>
        <n v="1106"/>
        <n v="1013"/>
        <n v="1313"/>
        <n v="1277"/>
        <n v="1220"/>
        <n v="1355"/>
        <n v="1303"/>
        <n v="1017"/>
        <n v="1185"/>
        <n v="1322"/>
        <n v="1046"/>
        <n v="1204"/>
        <n v="1032"/>
        <n v="1171"/>
        <n v="1047"/>
        <n v="1333"/>
        <n v="1166"/>
        <n v="1068"/>
        <n v="1366"/>
        <n v="1285"/>
        <n v="1027"/>
        <n v="1060"/>
        <n v="1384"/>
        <n v="1048"/>
        <n v="1275"/>
        <n v="1162"/>
        <n v="1167"/>
        <n v="1213"/>
        <n v="1126"/>
        <n v="1020"/>
        <n v="1294"/>
        <n v="1051"/>
        <n v="1169"/>
        <n v="1191"/>
        <n v="1251"/>
        <n v="1350"/>
        <n v="1116"/>
        <n v="1089"/>
        <n v="1067"/>
        <n v="1312"/>
        <n v="1324"/>
        <n v="1087"/>
        <n v="1108"/>
        <n v="1344"/>
        <n v="1256"/>
        <n v="1267"/>
        <n v="1310"/>
        <n v="1177"/>
        <n v="1238"/>
        <n v="1198"/>
        <n v="1305"/>
        <n v="1399"/>
        <n v="1237"/>
        <n v="1231"/>
        <n v="1076"/>
        <n v="1395"/>
        <n v="1062"/>
        <n v="1295"/>
        <n v="1332"/>
        <n v="1081"/>
        <n v="1298"/>
        <n v="1339"/>
        <n v="1055"/>
        <n v="1014"/>
        <n v="1034"/>
        <n v="1247"/>
        <n v="1111"/>
        <n v="1293"/>
        <n v="1064"/>
        <n v="1356"/>
        <n v="1321"/>
        <n v="1059"/>
        <n v="1367"/>
        <n v="1259"/>
        <n v="1382"/>
        <n v="1030"/>
        <n v="1308"/>
        <n v="1049"/>
        <n v="1189"/>
        <n v="1338"/>
        <n v="1165"/>
        <n v="1264"/>
        <n v="1328"/>
        <n v="1053"/>
        <n v="1184"/>
        <n v="1148"/>
        <n v="1137"/>
        <n v="1209"/>
        <n v="1393"/>
        <n v="1029"/>
        <n v="1210"/>
        <n v="1261"/>
        <n v="1234"/>
        <n v="1138"/>
        <n v="1073"/>
        <n v="1299"/>
        <n v="1388"/>
        <n v="1357"/>
        <n v="1371"/>
        <n v="1104"/>
        <n v="1297"/>
        <n v="1070"/>
        <n v="1056"/>
        <n v="1093"/>
        <n v="1211"/>
        <n v="1181"/>
        <n v="1158"/>
        <n v="1035"/>
        <n v="1063"/>
        <n v="1193"/>
        <n v="1296"/>
        <n v="1045"/>
        <n v="1090"/>
        <n v="1240"/>
        <n v="1354"/>
      </sharedItems>
    </cacheField>
    <cacheField name="OrderDate" numFmtId="14">
      <sharedItems containsSemiMixedTypes="0" containsNonDate="0" containsDate="1" containsString="0" minDate="2024-04-24T09:00:07" maxDate="2026-04-23T09:00:07"/>
    </cacheField>
    <cacheField name="City" numFmtId="0">
      <sharedItems count="10">
        <s v="Kakamega"/>
        <s v="Nyeri"/>
        <s v="Meru"/>
        <s v="Thika"/>
        <s v="Nakuru"/>
        <s v="Mombasa"/>
        <s v="Nairobi"/>
        <s v="Kisumu"/>
        <s v="Eldoret"/>
        <s v="Machakos"/>
      </sharedItems>
    </cacheField>
    <cacheField name="ProductCategory" numFmtId="0">
      <sharedItems count="7">
        <s v="Fashion"/>
        <s v="Sports"/>
        <s v="Electronics"/>
        <s v="Automotive"/>
        <s v="Beauty"/>
        <s v="Groceries"/>
        <s v="Home &amp; Living"/>
      </sharedItems>
    </cacheField>
    <cacheField name="Channel" numFmtId="0">
      <sharedItems count="3">
        <s v="Retail Store"/>
        <s v="Online"/>
        <s v="Mobile App"/>
      </sharedItems>
    </cacheField>
    <cacheField name="OrderValue" numFmtId="0">
      <sharedItems containsSemiMixedTypes="0" containsString="0" containsNumber="1" minValue="53.58" maxValue="28564.55"/>
    </cacheField>
    <cacheField name="Recency" numFmtId="0">
      <sharedItems containsSemiMixedTypes="0" containsString="0" containsNumber="1" containsInteger="1" minValue="1" maxValue="730"/>
    </cacheField>
    <cacheField name="Frequency" numFmtId="0">
      <sharedItems containsSemiMixedTypes="0" containsString="0" containsNumber="1" containsInteger="1" minValue="1" maxValue="16"/>
    </cacheField>
    <cacheField name="Monetary" numFmtId="0">
      <sharedItems containsSemiMixedTypes="0" containsString="0" containsNumber="1" minValue="1022.58" maxValue="83986.299999999988"/>
    </cacheField>
    <cacheField name="R" numFmtId="0">
      <sharedItems containsSemiMixedTypes="0" containsString="0" containsNumber="1" containsInteger="1" minValue="1" maxValue="5"/>
    </cacheField>
    <cacheField name="F" numFmtId="0">
      <sharedItems containsSemiMixedTypes="0" containsString="0" containsNumber="1" containsInteger="1" minValue="1" maxValue="5"/>
    </cacheField>
    <cacheField name="M" numFmtId="0">
      <sharedItems containsSemiMixedTypes="0" containsString="0" containsNumber="1" containsInteger="1" minValue="1" maxValue="5"/>
    </cacheField>
    <cacheField name="Combine_scores" numFmtId="0">
      <sharedItems/>
    </cacheField>
    <cacheField name="Segments" numFmtId="0">
      <sharedItems count="5">
        <s v="Others"/>
        <s v="Lost"/>
        <s v="Can't Lose Them"/>
        <s v="At Risk"/>
        <s v="New Customer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x v="0"/>
    <d v="2024-04-24T09:00:07"/>
    <x v="0"/>
    <x v="0"/>
    <x v="0"/>
    <n v="10942.56"/>
    <n v="730"/>
    <n v="7"/>
    <n v="37031.050000000003"/>
    <n v="1"/>
    <n v="4"/>
    <n v="2"/>
    <s v="142"/>
    <x v="0"/>
  </r>
  <r>
    <x v="1"/>
    <d v="2024-04-24T09:00:07"/>
    <x v="1"/>
    <x v="1"/>
    <x v="0"/>
    <n v="4652.84"/>
    <n v="730"/>
    <n v="12"/>
    <n v="49382.650000000009"/>
    <n v="1"/>
    <n v="1"/>
    <n v="1"/>
    <s v="111"/>
    <x v="1"/>
  </r>
  <r>
    <x v="2"/>
    <d v="2024-04-24T09:00:07"/>
    <x v="2"/>
    <x v="2"/>
    <x v="1"/>
    <n v="5521.47"/>
    <n v="730"/>
    <n v="10"/>
    <n v="32732.979999999996"/>
    <n v="1"/>
    <n v="2"/>
    <n v="3"/>
    <s v="123"/>
    <x v="2"/>
  </r>
  <r>
    <x v="3"/>
    <d v="2024-04-24T09:00:07"/>
    <x v="3"/>
    <x v="3"/>
    <x v="0"/>
    <n v="13925.76"/>
    <n v="730"/>
    <n v="15"/>
    <n v="49637.999999999993"/>
    <n v="1"/>
    <n v="1"/>
    <n v="1"/>
    <s v="111"/>
    <x v="1"/>
  </r>
  <r>
    <x v="4"/>
    <d v="2024-04-24T09:00:07"/>
    <x v="4"/>
    <x v="0"/>
    <x v="2"/>
    <n v="3502.98"/>
    <n v="730"/>
    <n v="6"/>
    <n v="17570.61"/>
    <n v="1"/>
    <n v="4"/>
    <n v="5"/>
    <s v="145"/>
    <x v="3"/>
  </r>
  <r>
    <x v="5"/>
    <d v="2024-04-25T09:00:07"/>
    <x v="3"/>
    <x v="1"/>
    <x v="1"/>
    <n v="9424.15"/>
    <n v="729"/>
    <n v="6"/>
    <n v="39626.31"/>
    <n v="1"/>
    <n v="4"/>
    <n v="2"/>
    <s v="142"/>
    <x v="0"/>
  </r>
  <r>
    <x v="6"/>
    <d v="2024-04-26T09:00:07"/>
    <x v="4"/>
    <x v="0"/>
    <x v="1"/>
    <n v="2804.96"/>
    <n v="728"/>
    <n v="7"/>
    <n v="32953.599999999999"/>
    <n v="1"/>
    <n v="4"/>
    <n v="3"/>
    <s v="143"/>
    <x v="3"/>
  </r>
  <r>
    <x v="7"/>
    <d v="2024-04-26T09:00:07"/>
    <x v="5"/>
    <x v="3"/>
    <x v="1"/>
    <n v="676.55"/>
    <n v="728"/>
    <n v="8"/>
    <n v="43799.990000000005"/>
    <n v="1"/>
    <n v="3"/>
    <n v="2"/>
    <s v="132"/>
    <x v="0"/>
  </r>
  <r>
    <x v="8"/>
    <d v="2024-04-26T09:00:07"/>
    <x v="1"/>
    <x v="0"/>
    <x v="1"/>
    <n v="1221.2"/>
    <n v="728"/>
    <n v="7"/>
    <n v="18694.46"/>
    <n v="1"/>
    <n v="4"/>
    <n v="5"/>
    <s v="145"/>
    <x v="3"/>
  </r>
  <r>
    <x v="9"/>
    <d v="2024-04-26T09:00:07"/>
    <x v="6"/>
    <x v="3"/>
    <x v="0"/>
    <n v="4306.28"/>
    <n v="728"/>
    <n v="10"/>
    <n v="67378.48000000001"/>
    <n v="1"/>
    <n v="2"/>
    <n v="1"/>
    <s v="121"/>
    <x v="1"/>
  </r>
  <r>
    <x v="10"/>
    <d v="2024-04-27T09:00:07"/>
    <x v="3"/>
    <x v="4"/>
    <x v="2"/>
    <n v="6020.75"/>
    <n v="727"/>
    <n v="5"/>
    <n v="17477.019999999997"/>
    <n v="1"/>
    <n v="5"/>
    <n v="5"/>
    <s v="155"/>
    <x v="3"/>
  </r>
  <r>
    <x v="11"/>
    <d v="2024-04-27T09:00:07"/>
    <x v="5"/>
    <x v="3"/>
    <x v="1"/>
    <n v="1958.78"/>
    <n v="727"/>
    <n v="9"/>
    <n v="29151.88"/>
    <n v="1"/>
    <n v="2"/>
    <n v="4"/>
    <s v="124"/>
    <x v="2"/>
  </r>
  <r>
    <x v="11"/>
    <d v="2024-04-27T09:00:07"/>
    <x v="5"/>
    <x v="5"/>
    <x v="2"/>
    <n v="1557.18"/>
    <n v="727"/>
    <n v="9"/>
    <n v="29151.88"/>
    <n v="1"/>
    <n v="2"/>
    <n v="4"/>
    <s v="124"/>
    <x v="2"/>
  </r>
  <r>
    <x v="12"/>
    <d v="2024-04-28T09:00:07"/>
    <x v="1"/>
    <x v="4"/>
    <x v="0"/>
    <n v="6085.25"/>
    <n v="726"/>
    <n v="9"/>
    <n v="24509.48"/>
    <n v="1"/>
    <n v="2"/>
    <n v="4"/>
    <s v="124"/>
    <x v="2"/>
  </r>
  <r>
    <x v="13"/>
    <d v="2024-04-28T09:00:07"/>
    <x v="7"/>
    <x v="5"/>
    <x v="1"/>
    <n v="4042.32"/>
    <n v="726"/>
    <n v="7"/>
    <n v="26651.280000000002"/>
    <n v="1"/>
    <n v="4"/>
    <n v="4"/>
    <s v="144"/>
    <x v="3"/>
  </r>
  <r>
    <x v="14"/>
    <d v="2024-04-28T09:00:07"/>
    <x v="0"/>
    <x v="6"/>
    <x v="1"/>
    <n v="4648.1499999999996"/>
    <n v="726"/>
    <n v="13"/>
    <n v="40219.18"/>
    <n v="1"/>
    <n v="1"/>
    <n v="2"/>
    <s v="112"/>
    <x v="1"/>
  </r>
  <r>
    <x v="15"/>
    <d v="2024-04-28T09:00:07"/>
    <x v="8"/>
    <x v="1"/>
    <x v="1"/>
    <n v="3462.18"/>
    <n v="726"/>
    <n v="6"/>
    <n v="32825.340000000004"/>
    <n v="1"/>
    <n v="4"/>
    <n v="3"/>
    <s v="143"/>
    <x v="3"/>
  </r>
  <r>
    <x v="16"/>
    <d v="2024-04-29T09:00:07"/>
    <x v="3"/>
    <x v="4"/>
    <x v="1"/>
    <n v="3798.4"/>
    <n v="725"/>
    <n v="6"/>
    <n v="26817.25"/>
    <n v="1"/>
    <n v="4"/>
    <n v="4"/>
    <s v="144"/>
    <x v="3"/>
  </r>
  <r>
    <x v="17"/>
    <d v="2024-04-29T09:00:07"/>
    <x v="4"/>
    <x v="3"/>
    <x v="0"/>
    <n v="3965.52"/>
    <n v="725"/>
    <n v="3"/>
    <n v="11200.41"/>
    <n v="1"/>
    <n v="5"/>
    <n v="5"/>
    <s v="155"/>
    <x v="3"/>
  </r>
  <r>
    <x v="18"/>
    <d v="2024-04-29T09:00:07"/>
    <x v="6"/>
    <x v="2"/>
    <x v="1"/>
    <n v="1274.6199999999999"/>
    <n v="725"/>
    <n v="4"/>
    <n v="6987.52"/>
    <n v="1"/>
    <n v="5"/>
    <n v="5"/>
    <s v="155"/>
    <x v="3"/>
  </r>
  <r>
    <x v="19"/>
    <d v="2024-04-29T09:00:07"/>
    <x v="5"/>
    <x v="5"/>
    <x v="1"/>
    <n v="4308.95"/>
    <n v="725"/>
    <n v="5"/>
    <n v="15744.06"/>
    <n v="1"/>
    <n v="5"/>
    <n v="5"/>
    <s v="155"/>
    <x v="3"/>
  </r>
  <r>
    <x v="20"/>
    <d v="2024-04-29T09:00:07"/>
    <x v="5"/>
    <x v="6"/>
    <x v="0"/>
    <n v="5063.2299999999996"/>
    <n v="725"/>
    <n v="14"/>
    <n v="53433.220000000008"/>
    <n v="1"/>
    <n v="1"/>
    <n v="1"/>
    <s v="111"/>
    <x v="1"/>
  </r>
  <r>
    <x v="21"/>
    <d v="2024-04-29T09:00:07"/>
    <x v="4"/>
    <x v="4"/>
    <x v="2"/>
    <n v="4207.42"/>
    <n v="725"/>
    <n v="6"/>
    <n v="18163.55"/>
    <n v="1"/>
    <n v="4"/>
    <n v="5"/>
    <s v="145"/>
    <x v="3"/>
  </r>
  <r>
    <x v="22"/>
    <d v="2024-04-30T09:00:07"/>
    <x v="4"/>
    <x v="3"/>
    <x v="1"/>
    <n v="3220.63"/>
    <n v="724"/>
    <n v="5"/>
    <n v="20536.82"/>
    <n v="1"/>
    <n v="5"/>
    <n v="5"/>
    <s v="155"/>
    <x v="3"/>
  </r>
  <r>
    <x v="23"/>
    <d v="2024-04-30T09:00:07"/>
    <x v="9"/>
    <x v="3"/>
    <x v="0"/>
    <n v="3998.91"/>
    <n v="724"/>
    <n v="11"/>
    <n v="44004.459999999992"/>
    <n v="1"/>
    <n v="1"/>
    <n v="2"/>
    <s v="112"/>
    <x v="1"/>
  </r>
  <r>
    <x v="24"/>
    <d v="2024-04-30T09:00:07"/>
    <x v="5"/>
    <x v="0"/>
    <x v="1"/>
    <n v="6274.7"/>
    <n v="724"/>
    <n v="10"/>
    <n v="34623.81"/>
    <n v="1"/>
    <n v="2"/>
    <n v="3"/>
    <s v="123"/>
    <x v="2"/>
  </r>
  <r>
    <x v="25"/>
    <d v="2024-05-01T09:00:07"/>
    <x v="3"/>
    <x v="5"/>
    <x v="0"/>
    <n v="1502.61"/>
    <n v="723"/>
    <n v="7"/>
    <n v="28511.58"/>
    <n v="1"/>
    <n v="4"/>
    <n v="4"/>
    <s v="144"/>
    <x v="3"/>
  </r>
  <r>
    <x v="26"/>
    <d v="2024-05-01T09:00:07"/>
    <x v="0"/>
    <x v="6"/>
    <x v="1"/>
    <n v="6875.66"/>
    <n v="723"/>
    <n v="6"/>
    <n v="22201.78"/>
    <n v="1"/>
    <n v="4"/>
    <n v="4"/>
    <s v="144"/>
    <x v="3"/>
  </r>
  <r>
    <x v="27"/>
    <d v="2024-05-01T09:00:07"/>
    <x v="8"/>
    <x v="3"/>
    <x v="1"/>
    <n v="3284.86"/>
    <n v="723"/>
    <n v="12"/>
    <n v="49930.359999999993"/>
    <n v="1"/>
    <n v="1"/>
    <n v="1"/>
    <s v="111"/>
    <x v="1"/>
  </r>
  <r>
    <x v="28"/>
    <d v="2024-05-01T09:00:07"/>
    <x v="0"/>
    <x v="0"/>
    <x v="0"/>
    <n v="2919.46"/>
    <n v="723"/>
    <n v="10"/>
    <n v="39472.789999999994"/>
    <n v="1"/>
    <n v="2"/>
    <n v="2"/>
    <s v="122"/>
    <x v="1"/>
  </r>
  <r>
    <x v="29"/>
    <d v="2024-05-01T09:00:07"/>
    <x v="2"/>
    <x v="1"/>
    <x v="1"/>
    <n v="11954.68"/>
    <n v="723"/>
    <n v="3"/>
    <n v="16434.620000000003"/>
    <n v="1"/>
    <n v="5"/>
    <n v="5"/>
    <s v="155"/>
    <x v="3"/>
  </r>
  <r>
    <x v="30"/>
    <d v="2024-05-02T09:00:07"/>
    <x v="9"/>
    <x v="6"/>
    <x v="1"/>
    <n v="8151.42"/>
    <n v="722"/>
    <n v="5"/>
    <n v="27766.260000000002"/>
    <n v="1"/>
    <n v="5"/>
    <n v="4"/>
    <s v="154"/>
    <x v="3"/>
  </r>
  <r>
    <x v="0"/>
    <d v="2024-05-03T09:00:07"/>
    <x v="6"/>
    <x v="0"/>
    <x v="2"/>
    <n v="1197.45"/>
    <n v="721"/>
    <n v="7"/>
    <n v="37031.050000000003"/>
    <n v="1"/>
    <n v="4"/>
    <n v="2"/>
    <s v="142"/>
    <x v="0"/>
  </r>
  <r>
    <x v="31"/>
    <d v="2024-05-03T09:00:07"/>
    <x v="8"/>
    <x v="0"/>
    <x v="1"/>
    <n v="4298.17"/>
    <n v="721"/>
    <n v="9"/>
    <n v="35330.950000000004"/>
    <n v="1"/>
    <n v="2"/>
    <n v="3"/>
    <s v="123"/>
    <x v="2"/>
  </r>
  <r>
    <x v="32"/>
    <d v="2024-05-03T09:00:07"/>
    <x v="6"/>
    <x v="2"/>
    <x v="1"/>
    <n v="1292.8499999999999"/>
    <n v="721"/>
    <n v="13"/>
    <n v="40402.14"/>
    <n v="1"/>
    <n v="1"/>
    <n v="2"/>
    <s v="112"/>
    <x v="1"/>
  </r>
  <r>
    <x v="33"/>
    <d v="2024-05-03T09:00:07"/>
    <x v="4"/>
    <x v="6"/>
    <x v="2"/>
    <n v="3260.52"/>
    <n v="721"/>
    <n v="10"/>
    <n v="34643.039999999994"/>
    <n v="1"/>
    <n v="2"/>
    <n v="3"/>
    <s v="123"/>
    <x v="2"/>
  </r>
  <r>
    <x v="34"/>
    <d v="2024-05-04T09:00:07"/>
    <x v="8"/>
    <x v="4"/>
    <x v="1"/>
    <n v="10928.04"/>
    <n v="720"/>
    <n v="8"/>
    <n v="40213.310000000005"/>
    <n v="1"/>
    <n v="3"/>
    <n v="2"/>
    <s v="132"/>
    <x v="0"/>
  </r>
  <r>
    <x v="35"/>
    <d v="2024-05-04T09:00:07"/>
    <x v="3"/>
    <x v="3"/>
    <x v="1"/>
    <n v="3123.49"/>
    <n v="720"/>
    <n v="8"/>
    <n v="38894.44"/>
    <n v="1"/>
    <n v="3"/>
    <n v="2"/>
    <s v="132"/>
    <x v="0"/>
  </r>
  <r>
    <x v="36"/>
    <d v="2024-05-05T09:00:07"/>
    <x v="3"/>
    <x v="5"/>
    <x v="0"/>
    <n v="3436.72"/>
    <n v="719"/>
    <n v="12"/>
    <n v="44897.450000000004"/>
    <n v="1"/>
    <n v="1"/>
    <n v="1"/>
    <s v="111"/>
    <x v="1"/>
  </r>
  <r>
    <x v="37"/>
    <d v="2024-05-05T09:00:07"/>
    <x v="4"/>
    <x v="5"/>
    <x v="1"/>
    <n v="993.45"/>
    <n v="719"/>
    <n v="7"/>
    <n v="24825.78"/>
    <n v="1"/>
    <n v="4"/>
    <n v="4"/>
    <s v="144"/>
    <x v="3"/>
  </r>
  <r>
    <x v="2"/>
    <d v="2024-05-05T09:00:07"/>
    <x v="8"/>
    <x v="3"/>
    <x v="0"/>
    <n v="1890.21"/>
    <n v="719"/>
    <n v="10"/>
    <n v="32732.979999999996"/>
    <n v="1"/>
    <n v="2"/>
    <n v="3"/>
    <s v="123"/>
    <x v="2"/>
  </r>
  <r>
    <x v="38"/>
    <d v="2024-05-05T09:00:07"/>
    <x v="2"/>
    <x v="3"/>
    <x v="1"/>
    <n v="2457.88"/>
    <n v="719"/>
    <n v="7"/>
    <n v="21298.79"/>
    <n v="1"/>
    <n v="4"/>
    <n v="5"/>
    <s v="145"/>
    <x v="3"/>
  </r>
  <r>
    <x v="12"/>
    <d v="2024-05-06T09:00:07"/>
    <x v="0"/>
    <x v="6"/>
    <x v="1"/>
    <n v="695.99"/>
    <n v="718"/>
    <n v="9"/>
    <n v="24509.48"/>
    <n v="1"/>
    <n v="2"/>
    <n v="4"/>
    <s v="124"/>
    <x v="2"/>
  </r>
  <r>
    <x v="39"/>
    <d v="2024-05-06T09:00:07"/>
    <x v="0"/>
    <x v="5"/>
    <x v="1"/>
    <n v="4347.7"/>
    <n v="718"/>
    <n v="11"/>
    <n v="43110.84"/>
    <n v="1"/>
    <n v="1"/>
    <n v="2"/>
    <s v="112"/>
    <x v="1"/>
  </r>
  <r>
    <x v="40"/>
    <d v="2024-05-06T09:00:07"/>
    <x v="2"/>
    <x v="1"/>
    <x v="1"/>
    <n v="2056.62"/>
    <n v="718"/>
    <n v="7"/>
    <n v="17825.52"/>
    <n v="1"/>
    <n v="4"/>
    <n v="5"/>
    <s v="145"/>
    <x v="3"/>
  </r>
  <r>
    <x v="41"/>
    <d v="2024-05-06T09:00:07"/>
    <x v="0"/>
    <x v="2"/>
    <x v="2"/>
    <n v="1665.04"/>
    <n v="718"/>
    <n v="10"/>
    <n v="40587.47"/>
    <n v="1"/>
    <n v="2"/>
    <n v="2"/>
    <s v="122"/>
    <x v="1"/>
  </r>
  <r>
    <x v="42"/>
    <d v="2024-05-06T09:00:07"/>
    <x v="2"/>
    <x v="3"/>
    <x v="1"/>
    <n v="2279.6"/>
    <n v="718"/>
    <n v="6"/>
    <n v="32030.929999999997"/>
    <n v="1"/>
    <n v="4"/>
    <n v="3"/>
    <s v="143"/>
    <x v="3"/>
  </r>
  <r>
    <x v="43"/>
    <d v="2024-05-06T09:00:07"/>
    <x v="0"/>
    <x v="0"/>
    <x v="1"/>
    <n v="4524.59"/>
    <n v="718"/>
    <n v="11"/>
    <n v="39674.43"/>
    <n v="1"/>
    <n v="1"/>
    <n v="2"/>
    <s v="112"/>
    <x v="1"/>
  </r>
  <r>
    <x v="44"/>
    <d v="2024-05-06T09:00:07"/>
    <x v="1"/>
    <x v="3"/>
    <x v="2"/>
    <n v="1238.23"/>
    <n v="718"/>
    <n v="8"/>
    <n v="28879.600000000002"/>
    <n v="1"/>
    <n v="3"/>
    <n v="4"/>
    <s v="134"/>
    <x v="3"/>
  </r>
  <r>
    <x v="45"/>
    <d v="2024-05-06T09:00:07"/>
    <x v="2"/>
    <x v="1"/>
    <x v="0"/>
    <n v="12242.87"/>
    <n v="718"/>
    <n v="10"/>
    <n v="50122.659999999996"/>
    <n v="1"/>
    <n v="2"/>
    <n v="1"/>
    <s v="121"/>
    <x v="1"/>
  </r>
  <r>
    <x v="46"/>
    <d v="2024-05-07T09:00:07"/>
    <x v="7"/>
    <x v="6"/>
    <x v="1"/>
    <n v="385.77"/>
    <n v="717"/>
    <n v="8"/>
    <n v="30848.15"/>
    <n v="1"/>
    <n v="3"/>
    <n v="3"/>
    <s v="133"/>
    <x v="3"/>
  </r>
  <r>
    <x v="47"/>
    <d v="2024-05-07T09:00:07"/>
    <x v="6"/>
    <x v="1"/>
    <x v="2"/>
    <n v="6206.88"/>
    <n v="717"/>
    <n v="11"/>
    <n v="58842.799999999996"/>
    <n v="1"/>
    <n v="1"/>
    <n v="1"/>
    <s v="111"/>
    <x v="1"/>
  </r>
  <r>
    <x v="37"/>
    <d v="2024-05-08T09:00:07"/>
    <x v="4"/>
    <x v="6"/>
    <x v="1"/>
    <n v="7313.38"/>
    <n v="716"/>
    <n v="7"/>
    <n v="24825.78"/>
    <n v="1"/>
    <n v="4"/>
    <n v="4"/>
    <s v="144"/>
    <x v="3"/>
  </r>
  <r>
    <x v="48"/>
    <d v="2024-05-09T09:00:07"/>
    <x v="4"/>
    <x v="3"/>
    <x v="2"/>
    <n v="1179.18"/>
    <n v="715"/>
    <n v="11"/>
    <n v="37863.899999999994"/>
    <n v="1"/>
    <n v="1"/>
    <n v="2"/>
    <s v="112"/>
    <x v="1"/>
  </r>
  <r>
    <x v="49"/>
    <d v="2024-05-09T09:00:07"/>
    <x v="5"/>
    <x v="0"/>
    <x v="2"/>
    <n v="1679.46"/>
    <n v="715"/>
    <n v="7"/>
    <n v="18132.900000000001"/>
    <n v="1"/>
    <n v="4"/>
    <n v="5"/>
    <s v="145"/>
    <x v="3"/>
  </r>
  <r>
    <x v="50"/>
    <d v="2024-05-09T09:00:07"/>
    <x v="6"/>
    <x v="0"/>
    <x v="1"/>
    <n v="8273.7199999999993"/>
    <n v="715"/>
    <n v="13"/>
    <n v="64175.24"/>
    <n v="1"/>
    <n v="1"/>
    <n v="1"/>
    <s v="111"/>
    <x v="1"/>
  </r>
  <r>
    <x v="51"/>
    <d v="2024-05-10T09:00:07"/>
    <x v="9"/>
    <x v="0"/>
    <x v="0"/>
    <n v="9890.69"/>
    <n v="714"/>
    <n v="8"/>
    <n v="32019.260000000006"/>
    <n v="1"/>
    <n v="3"/>
    <n v="3"/>
    <s v="133"/>
    <x v="3"/>
  </r>
  <r>
    <x v="52"/>
    <d v="2024-05-10T09:00:07"/>
    <x v="7"/>
    <x v="0"/>
    <x v="0"/>
    <n v="2360.89"/>
    <n v="714"/>
    <n v="4"/>
    <n v="11791.11"/>
    <n v="1"/>
    <n v="5"/>
    <n v="5"/>
    <s v="155"/>
    <x v="3"/>
  </r>
  <r>
    <x v="53"/>
    <d v="2024-05-10T09:00:07"/>
    <x v="3"/>
    <x v="5"/>
    <x v="2"/>
    <n v="2902.37"/>
    <n v="714"/>
    <n v="8"/>
    <n v="23394.15"/>
    <n v="1"/>
    <n v="3"/>
    <n v="4"/>
    <s v="134"/>
    <x v="3"/>
  </r>
  <r>
    <x v="54"/>
    <d v="2024-05-10T09:00:07"/>
    <x v="7"/>
    <x v="4"/>
    <x v="1"/>
    <n v="9858.5499999999993"/>
    <n v="714"/>
    <n v="5"/>
    <n v="20723.400000000001"/>
    <n v="1"/>
    <n v="5"/>
    <n v="5"/>
    <s v="155"/>
    <x v="3"/>
  </r>
  <r>
    <x v="55"/>
    <d v="2024-05-10T09:00:07"/>
    <x v="5"/>
    <x v="6"/>
    <x v="2"/>
    <n v="4402.2700000000004"/>
    <n v="714"/>
    <n v="12"/>
    <n v="42930.969999999994"/>
    <n v="1"/>
    <n v="1"/>
    <n v="2"/>
    <s v="112"/>
    <x v="1"/>
  </r>
  <r>
    <x v="56"/>
    <d v="2024-05-11T09:00:07"/>
    <x v="4"/>
    <x v="4"/>
    <x v="0"/>
    <n v="1249.8699999999999"/>
    <n v="713"/>
    <n v="12"/>
    <n v="38950.210000000006"/>
    <n v="1"/>
    <n v="1"/>
    <n v="2"/>
    <s v="112"/>
    <x v="1"/>
  </r>
  <r>
    <x v="57"/>
    <d v="2024-05-11T09:00:07"/>
    <x v="6"/>
    <x v="2"/>
    <x v="2"/>
    <n v="1477.77"/>
    <n v="713"/>
    <n v="16"/>
    <n v="58237.360000000008"/>
    <n v="1"/>
    <n v="1"/>
    <n v="1"/>
    <s v="111"/>
    <x v="1"/>
  </r>
  <r>
    <x v="58"/>
    <d v="2024-05-12T09:00:07"/>
    <x v="5"/>
    <x v="2"/>
    <x v="0"/>
    <n v="3729.51"/>
    <n v="712"/>
    <n v="9"/>
    <n v="47571.369999999995"/>
    <n v="1"/>
    <n v="2"/>
    <n v="1"/>
    <s v="121"/>
    <x v="1"/>
  </r>
  <r>
    <x v="59"/>
    <d v="2024-05-12T09:00:07"/>
    <x v="1"/>
    <x v="3"/>
    <x v="0"/>
    <n v="4031.39"/>
    <n v="712"/>
    <n v="6"/>
    <n v="25651.410000000003"/>
    <n v="1"/>
    <n v="4"/>
    <n v="4"/>
    <s v="144"/>
    <x v="3"/>
  </r>
  <r>
    <x v="60"/>
    <d v="2024-05-12T09:00:07"/>
    <x v="4"/>
    <x v="1"/>
    <x v="2"/>
    <n v="2910.88"/>
    <n v="712"/>
    <n v="5"/>
    <n v="16253.25"/>
    <n v="1"/>
    <n v="5"/>
    <n v="5"/>
    <s v="155"/>
    <x v="3"/>
  </r>
  <r>
    <x v="61"/>
    <d v="2024-05-12T09:00:07"/>
    <x v="6"/>
    <x v="3"/>
    <x v="2"/>
    <n v="1875.57"/>
    <n v="712"/>
    <n v="11"/>
    <n v="52771.959999999992"/>
    <n v="1"/>
    <n v="1"/>
    <n v="1"/>
    <s v="111"/>
    <x v="1"/>
  </r>
  <r>
    <x v="62"/>
    <d v="2024-05-12T09:00:07"/>
    <x v="1"/>
    <x v="6"/>
    <x v="0"/>
    <n v="4234.41"/>
    <n v="712"/>
    <n v="8"/>
    <n v="17550.599999999999"/>
    <n v="1"/>
    <n v="3"/>
    <n v="5"/>
    <s v="135"/>
    <x v="3"/>
  </r>
  <r>
    <x v="63"/>
    <d v="2024-05-12T09:00:07"/>
    <x v="9"/>
    <x v="5"/>
    <x v="2"/>
    <n v="5645.29"/>
    <n v="712"/>
    <n v="8"/>
    <n v="30568.039999999997"/>
    <n v="1"/>
    <n v="3"/>
    <n v="3"/>
    <s v="133"/>
    <x v="3"/>
  </r>
  <r>
    <x v="20"/>
    <d v="2024-05-12T09:00:07"/>
    <x v="3"/>
    <x v="3"/>
    <x v="1"/>
    <n v="1872.72"/>
    <n v="712"/>
    <n v="14"/>
    <n v="53433.220000000008"/>
    <n v="1"/>
    <n v="1"/>
    <n v="1"/>
    <s v="111"/>
    <x v="1"/>
  </r>
  <r>
    <x v="64"/>
    <d v="2024-05-12T09:00:07"/>
    <x v="3"/>
    <x v="2"/>
    <x v="1"/>
    <n v="3284.02"/>
    <n v="712"/>
    <n v="5"/>
    <n v="21964.689999999995"/>
    <n v="1"/>
    <n v="5"/>
    <n v="4"/>
    <s v="154"/>
    <x v="3"/>
  </r>
  <r>
    <x v="65"/>
    <d v="2024-05-13T09:00:07"/>
    <x v="8"/>
    <x v="3"/>
    <x v="2"/>
    <n v="4571.95"/>
    <n v="711"/>
    <n v="12"/>
    <n v="46195.360000000001"/>
    <n v="1"/>
    <n v="1"/>
    <n v="1"/>
    <s v="111"/>
    <x v="1"/>
  </r>
  <r>
    <x v="58"/>
    <d v="2024-05-13T09:00:07"/>
    <x v="9"/>
    <x v="0"/>
    <x v="2"/>
    <n v="7682.58"/>
    <n v="711"/>
    <n v="9"/>
    <n v="47571.369999999995"/>
    <n v="1"/>
    <n v="2"/>
    <n v="1"/>
    <s v="121"/>
    <x v="1"/>
  </r>
  <r>
    <x v="66"/>
    <d v="2024-05-14T09:00:07"/>
    <x v="9"/>
    <x v="2"/>
    <x v="0"/>
    <n v="3661.72"/>
    <n v="710"/>
    <n v="6"/>
    <n v="26179.75"/>
    <n v="1"/>
    <n v="4"/>
    <n v="4"/>
    <s v="144"/>
    <x v="3"/>
  </r>
  <r>
    <x v="67"/>
    <d v="2024-05-14T09:00:07"/>
    <x v="4"/>
    <x v="6"/>
    <x v="1"/>
    <n v="1297.73"/>
    <n v="710"/>
    <n v="8"/>
    <n v="35204.92"/>
    <n v="1"/>
    <n v="3"/>
    <n v="3"/>
    <s v="133"/>
    <x v="3"/>
  </r>
  <r>
    <x v="3"/>
    <d v="2024-05-14T09:00:07"/>
    <x v="5"/>
    <x v="0"/>
    <x v="1"/>
    <n v="5638.33"/>
    <n v="710"/>
    <n v="15"/>
    <n v="49637.999999999993"/>
    <n v="1"/>
    <n v="1"/>
    <n v="1"/>
    <s v="111"/>
    <x v="1"/>
  </r>
  <r>
    <x v="68"/>
    <d v="2024-05-15T09:00:07"/>
    <x v="1"/>
    <x v="4"/>
    <x v="2"/>
    <n v="13167.57"/>
    <n v="709"/>
    <n v="9"/>
    <n v="44679.94"/>
    <n v="1"/>
    <n v="2"/>
    <n v="2"/>
    <s v="122"/>
    <x v="1"/>
  </r>
  <r>
    <x v="69"/>
    <d v="2024-05-15T09:00:07"/>
    <x v="0"/>
    <x v="2"/>
    <x v="0"/>
    <n v="3528.15"/>
    <n v="709"/>
    <n v="9"/>
    <n v="30242.800000000003"/>
    <n v="1"/>
    <n v="2"/>
    <n v="3"/>
    <s v="123"/>
    <x v="2"/>
  </r>
  <r>
    <x v="70"/>
    <d v="2024-05-15T09:00:07"/>
    <x v="0"/>
    <x v="1"/>
    <x v="0"/>
    <n v="1730.6"/>
    <n v="709"/>
    <n v="15"/>
    <n v="57217.139999999992"/>
    <n v="1"/>
    <n v="1"/>
    <n v="1"/>
    <s v="111"/>
    <x v="1"/>
  </r>
  <r>
    <x v="39"/>
    <d v="2024-05-15T09:00:07"/>
    <x v="6"/>
    <x v="0"/>
    <x v="0"/>
    <n v="3458.94"/>
    <n v="709"/>
    <n v="11"/>
    <n v="43110.84"/>
    <n v="1"/>
    <n v="1"/>
    <n v="2"/>
    <s v="112"/>
    <x v="1"/>
  </r>
  <r>
    <x v="71"/>
    <d v="2024-05-15T09:00:07"/>
    <x v="6"/>
    <x v="6"/>
    <x v="1"/>
    <n v="2795.89"/>
    <n v="709"/>
    <n v="10"/>
    <n v="49420.710000000006"/>
    <n v="1"/>
    <n v="2"/>
    <n v="1"/>
    <s v="121"/>
    <x v="1"/>
  </r>
  <r>
    <x v="0"/>
    <d v="2024-05-15T09:00:07"/>
    <x v="8"/>
    <x v="5"/>
    <x v="2"/>
    <n v="2183.9299999999998"/>
    <n v="709"/>
    <n v="7"/>
    <n v="37031.050000000003"/>
    <n v="1"/>
    <n v="4"/>
    <n v="2"/>
    <s v="142"/>
    <x v="0"/>
  </r>
  <r>
    <x v="45"/>
    <d v="2024-05-15T09:00:07"/>
    <x v="5"/>
    <x v="5"/>
    <x v="2"/>
    <n v="854.56"/>
    <n v="709"/>
    <n v="10"/>
    <n v="50122.659999999996"/>
    <n v="1"/>
    <n v="2"/>
    <n v="1"/>
    <s v="121"/>
    <x v="1"/>
  </r>
  <r>
    <x v="72"/>
    <d v="2024-05-16T09:00:07"/>
    <x v="8"/>
    <x v="0"/>
    <x v="0"/>
    <n v="28564.55"/>
    <n v="708"/>
    <n v="4"/>
    <n v="47975.93"/>
    <n v="1"/>
    <n v="5"/>
    <n v="1"/>
    <s v="151"/>
    <x v="0"/>
  </r>
  <r>
    <x v="73"/>
    <d v="2024-05-16T09:00:07"/>
    <x v="4"/>
    <x v="4"/>
    <x v="1"/>
    <n v="3852.61"/>
    <n v="708"/>
    <n v="6"/>
    <n v="20804.55"/>
    <n v="1"/>
    <n v="4"/>
    <n v="5"/>
    <s v="145"/>
    <x v="3"/>
  </r>
  <r>
    <x v="74"/>
    <d v="2024-05-16T09:00:07"/>
    <x v="1"/>
    <x v="5"/>
    <x v="2"/>
    <n v="1818.08"/>
    <n v="708"/>
    <n v="8"/>
    <n v="28309.71"/>
    <n v="1"/>
    <n v="3"/>
    <n v="4"/>
    <s v="134"/>
    <x v="3"/>
  </r>
  <r>
    <x v="75"/>
    <d v="2024-05-18T09:00:07"/>
    <x v="9"/>
    <x v="0"/>
    <x v="2"/>
    <n v="6053.16"/>
    <n v="706"/>
    <n v="9"/>
    <n v="37864.199999999997"/>
    <n v="1"/>
    <n v="2"/>
    <n v="2"/>
    <s v="122"/>
    <x v="1"/>
  </r>
  <r>
    <x v="76"/>
    <d v="2024-05-18T09:00:07"/>
    <x v="2"/>
    <x v="1"/>
    <x v="1"/>
    <n v="6656.72"/>
    <n v="706"/>
    <n v="11"/>
    <n v="39808.47"/>
    <n v="1"/>
    <n v="1"/>
    <n v="2"/>
    <s v="112"/>
    <x v="1"/>
  </r>
  <r>
    <x v="8"/>
    <d v="2024-05-18T09:00:07"/>
    <x v="9"/>
    <x v="2"/>
    <x v="1"/>
    <n v="797.21"/>
    <n v="706"/>
    <n v="7"/>
    <n v="18694.46"/>
    <n v="1"/>
    <n v="4"/>
    <n v="5"/>
    <s v="145"/>
    <x v="3"/>
  </r>
  <r>
    <x v="77"/>
    <d v="2024-05-18T09:00:07"/>
    <x v="1"/>
    <x v="5"/>
    <x v="2"/>
    <n v="2825.85"/>
    <n v="706"/>
    <n v="4"/>
    <n v="13576.4"/>
    <n v="1"/>
    <n v="5"/>
    <n v="5"/>
    <s v="155"/>
    <x v="3"/>
  </r>
  <r>
    <x v="78"/>
    <d v="2024-05-18T09:00:07"/>
    <x v="9"/>
    <x v="0"/>
    <x v="2"/>
    <n v="53.58"/>
    <n v="706"/>
    <n v="10"/>
    <n v="34265.79"/>
    <n v="1"/>
    <n v="2"/>
    <n v="3"/>
    <s v="123"/>
    <x v="2"/>
  </r>
  <r>
    <x v="79"/>
    <d v="2024-05-18T09:00:07"/>
    <x v="5"/>
    <x v="2"/>
    <x v="1"/>
    <n v="2028.6"/>
    <n v="706"/>
    <n v="6"/>
    <n v="28898.239999999998"/>
    <n v="1"/>
    <n v="4"/>
    <n v="4"/>
    <s v="144"/>
    <x v="3"/>
  </r>
  <r>
    <x v="80"/>
    <d v="2024-05-18T09:00:07"/>
    <x v="8"/>
    <x v="6"/>
    <x v="1"/>
    <n v="1127.81"/>
    <n v="706"/>
    <n v="10"/>
    <n v="38608.230000000003"/>
    <n v="1"/>
    <n v="2"/>
    <n v="2"/>
    <s v="122"/>
    <x v="1"/>
  </r>
  <r>
    <x v="81"/>
    <d v="2024-05-19T09:00:07"/>
    <x v="1"/>
    <x v="2"/>
    <x v="0"/>
    <n v="1634.98"/>
    <n v="705"/>
    <n v="12"/>
    <n v="27185.14"/>
    <n v="1"/>
    <n v="1"/>
    <n v="4"/>
    <s v="114"/>
    <x v="2"/>
  </r>
  <r>
    <x v="82"/>
    <d v="2024-05-19T09:00:07"/>
    <x v="0"/>
    <x v="4"/>
    <x v="0"/>
    <n v="6084.42"/>
    <n v="705"/>
    <n v="7"/>
    <n v="29725.939999999995"/>
    <n v="1"/>
    <n v="4"/>
    <n v="3"/>
    <s v="143"/>
    <x v="3"/>
  </r>
  <r>
    <x v="83"/>
    <d v="2024-05-19T09:00:07"/>
    <x v="2"/>
    <x v="6"/>
    <x v="0"/>
    <n v="1974.1"/>
    <n v="705"/>
    <n v="7"/>
    <n v="21031.63"/>
    <n v="1"/>
    <n v="4"/>
    <n v="5"/>
    <s v="145"/>
    <x v="3"/>
  </r>
  <r>
    <x v="84"/>
    <d v="2024-05-19T09:00:07"/>
    <x v="1"/>
    <x v="4"/>
    <x v="2"/>
    <n v="9827.3700000000008"/>
    <n v="705"/>
    <n v="4"/>
    <n v="25850.79"/>
    <n v="1"/>
    <n v="5"/>
    <n v="4"/>
    <s v="154"/>
    <x v="3"/>
  </r>
  <r>
    <x v="85"/>
    <d v="2024-05-20T09:00:07"/>
    <x v="7"/>
    <x v="5"/>
    <x v="1"/>
    <n v="4222.49"/>
    <n v="704"/>
    <n v="6"/>
    <n v="21226.689999999995"/>
    <n v="1"/>
    <n v="4"/>
    <n v="5"/>
    <s v="145"/>
    <x v="3"/>
  </r>
  <r>
    <x v="25"/>
    <d v="2024-05-20T09:00:07"/>
    <x v="4"/>
    <x v="2"/>
    <x v="2"/>
    <n v="3141"/>
    <n v="704"/>
    <n v="7"/>
    <n v="28511.58"/>
    <n v="1"/>
    <n v="4"/>
    <n v="4"/>
    <s v="144"/>
    <x v="3"/>
  </r>
  <r>
    <x v="83"/>
    <d v="2024-05-20T09:00:07"/>
    <x v="8"/>
    <x v="3"/>
    <x v="0"/>
    <n v="3665.5"/>
    <n v="704"/>
    <n v="7"/>
    <n v="21031.63"/>
    <n v="1"/>
    <n v="4"/>
    <n v="5"/>
    <s v="145"/>
    <x v="3"/>
  </r>
  <r>
    <x v="86"/>
    <d v="2024-05-21T09:00:07"/>
    <x v="6"/>
    <x v="1"/>
    <x v="2"/>
    <n v="2365.39"/>
    <n v="703"/>
    <n v="7"/>
    <n v="18845.82"/>
    <n v="1"/>
    <n v="4"/>
    <n v="5"/>
    <s v="145"/>
    <x v="3"/>
  </r>
  <r>
    <x v="87"/>
    <d v="2024-05-21T09:00:07"/>
    <x v="0"/>
    <x v="6"/>
    <x v="2"/>
    <n v="1214.3499999999999"/>
    <n v="703"/>
    <n v="13"/>
    <n v="72511.88"/>
    <n v="1"/>
    <n v="1"/>
    <n v="1"/>
    <s v="111"/>
    <x v="1"/>
  </r>
  <r>
    <x v="70"/>
    <d v="2024-05-21T09:00:07"/>
    <x v="4"/>
    <x v="6"/>
    <x v="1"/>
    <n v="6303.45"/>
    <n v="703"/>
    <n v="15"/>
    <n v="57217.139999999992"/>
    <n v="1"/>
    <n v="1"/>
    <n v="1"/>
    <s v="111"/>
    <x v="1"/>
  </r>
  <r>
    <x v="88"/>
    <d v="2024-05-22T09:00:07"/>
    <x v="4"/>
    <x v="2"/>
    <x v="0"/>
    <n v="15024.97"/>
    <n v="702"/>
    <n v="11"/>
    <n v="62566.770000000004"/>
    <n v="1"/>
    <n v="1"/>
    <n v="1"/>
    <s v="111"/>
    <x v="1"/>
  </r>
  <r>
    <x v="89"/>
    <d v="2024-05-22T09:00:07"/>
    <x v="2"/>
    <x v="3"/>
    <x v="0"/>
    <n v="10524.71"/>
    <n v="702"/>
    <n v="12"/>
    <n v="54905.279999999992"/>
    <n v="1"/>
    <n v="1"/>
    <n v="1"/>
    <s v="111"/>
    <x v="1"/>
  </r>
  <r>
    <x v="12"/>
    <d v="2024-05-23T09:00:07"/>
    <x v="5"/>
    <x v="2"/>
    <x v="1"/>
    <n v="486.74"/>
    <n v="701"/>
    <n v="9"/>
    <n v="24509.48"/>
    <n v="1"/>
    <n v="2"/>
    <n v="4"/>
    <s v="124"/>
    <x v="2"/>
  </r>
  <r>
    <x v="90"/>
    <d v="2024-05-23T09:00:07"/>
    <x v="1"/>
    <x v="4"/>
    <x v="0"/>
    <n v="6320.2"/>
    <n v="701"/>
    <n v="7"/>
    <n v="34546.720000000001"/>
    <n v="1"/>
    <n v="4"/>
    <n v="3"/>
    <s v="143"/>
    <x v="3"/>
  </r>
  <r>
    <x v="91"/>
    <d v="2024-05-23T09:00:07"/>
    <x v="9"/>
    <x v="4"/>
    <x v="0"/>
    <n v="392.84"/>
    <n v="701"/>
    <n v="7"/>
    <n v="21209.440000000002"/>
    <n v="1"/>
    <n v="4"/>
    <n v="5"/>
    <s v="145"/>
    <x v="3"/>
  </r>
  <r>
    <x v="92"/>
    <d v="2024-05-23T09:00:07"/>
    <x v="6"/>
    <x v="2"/>
    <x v="1"/>
    <n v="6867.61"/>
    <n v="701"/>
    <n v="7"/>
    <n v="33778.21"/>
    <n v="1"/>
    <n v="4"/>
    <n v="3"/>
    <s v="143"/>
    <x v="3"/>
  </r>
  <r>
    <x v="86"/>
    <d v="2024-05-23T09:00:07"/>
    <x v="3"/>
    <x v="0"/>
    <x v="0"/>
    <n v="1129.3599999999999"/>
    <n v="701"/>
    <n v="7"/>
    <n v="18845.82"/>
    <n v="1"/>
    <n v="4"/>
    <n v="5"/>
    <s v="145"/>
    <x v="3"/>
  </r>
  <r>
    <x v="93"/>
    <d v="2024-05-24T09:00:07"/>
    <x v="8"/>
    <x v="5"/>
    <x v="0"/>
    <n v="3832.89"/>
    <n v="700"/>
    <n v="9"/>
    <n v="32520.350000000002"/>
    <n v="1"/>
    <n v="2"/>
    <n v="3"/>
    <s v="123"/>
    <x v="2"/>
  </r>
  <r>
    <x v="94"/>
    <d v="2024-05-24T09:00:07"/>
    <x v="3"/>
    <x v="4"/>
    <x v="0"/>
    <n v="4273.7"/>
    <n v="700"/>
    <n v="13"/>
    <n v="56128.799999999996"/>
    <n v="1"/>
    <n v="1"/>
    <n v="1"/>
    <s v="111"/>
    <x v="1"/>
  </r>
  <r>
    <x v="95"/>
    <d v="2024-05-24T09:00:07"/>
    <x v="0"/>
    <x v="1"/>
    <x v="1"/>
    <n v="5559.11"/>
    <n v="700"/>
    <n v="6"/>
    <n v="16595.620000000003"/>
    <n v="1"/>
    <n v="4"/>
    <n v="5"/>
    <s v="145"/>
    <x v="3"/>
  </r>
  <r>
    <x v="96"/>
    <d v="2024-05-24T09:00:07"/>
    <x v="4"/>
    <x v="2"/>
    <x v="0"/>
    <n v="2814.91"/>
    <n v="700"/>
    <n v="11"/>
    <n v="62038.55"/>
    <n v="1"/>
    <n v="1"/>
    <n v="1"/>
    <s v="111"/>
    <x v="1"/>
  </r>
  <r>
    <x v="75"/>
    <d v="2024-05-25T09:00:07"/>
    <x v="7"/>
    <x v="1"/>
    <x v="2"/>
    <n v="1138"/>
    <n v="699"/>
    <n v="9"/>
    <n v="37864.199999999997"/>
    <n v="1"/>
    <n v="2"/>
    <n v="2"/>
    <s v="122"/>
    <x v="1"/>
  </r>
  <r>
    <x v="97"/>
    <d v="2024-05-25T09:00:07"/>
    <x v="8"/>
    <x v="3"/>
    <x v="2"/>
    <n v="3435.46"/>
    <n v="699"/>
    <n v="7"/>
    <n v="20951.28"/>
    <n v="1"/>
    <n v="4"/>
    <n v="5"/>
    <s v="145"/>
    <x v="3"/>
  </r>
  <r>
    <x v="98"/>
    <d v="2024-05-25T09:00:07"/>
    <x v="8"/>
    <x v="6"/>
    <x v="1"/>
    <n v="7241.84"/>
    <n v="699"/>
    <n v="7"/>
    <n v="33081.189999999995"/>
    <n v="1"/>
    <n v="4"/>
    <n v="3"/>
    <s v="143"/>
    <x v="3"/>
  </r>
  <r>
    <x v="99"/>
    <d v="2024-05-26T09:00:07"/>
    <x v="4"/>
    <x v="6"/>
    <x v="2"/>
    <n v="4032.32"/>
    <n v="698"/>
    <n v="10"/>
    <n v="47973.33"/>
    <n v="1"/>
    <n v="2"/>
    <n v="1"/>
    <s v="121"/>
    <x v="1"/>
  </r>
  <r>
    <x v="100"/>
    <d v="2024-05-26T09:00:07"/>
    <x v="7"/>
    <x v="0"/>
    <x v="1"/>
    <n v="7972.8"/>
    <n v="698"/>
    <n v="6"/>
    <n v="27182.68"/>
    <n v="1"/>
    <n v="4"/>
    <n v="4"/>
    <s v="144"/>
    <x v="3"/>
  </r>
  <r>
    <x v="87"/>
    <d v="2024-05-27T09:00:07"/>
    <x v="2"/>
    <x v="0"/>
    <x v="1"/>
    <n v="12599.54"/>
    <n v="697"/>
    <n v="13"/>
    <n v="72511.88"/>
    <n v="1"/>
    <n v="1"/>
    <n v="1"/>
    <s v="111"/>
    <x v="1"/>
  </r>
  <r>
    <x v="80"/>
    <d v="2024-05-28T09:00:07"/>
    <x v="2"/>
    <x v="0"/>
    <x v="1"/>
    <n v="2206.52"/>
    <n v="696"/>
    <n v="10"/>
    <n v="38608.230000000003"/>
    <n v="1"/>
    <n v="2"/>
    <n v="2"/>
    <s v="122"/>
    <x v="1"/>
  </r>
  <r>
    <x v="65"/>
    <d v="2024-05-28T09:00:07"/>
    <x v="9"/>
    <x v="2"/>
    <x v="0"/>
    <n v="1897.84"/>
    <n v="696"/>
    <n v="12"/>
    <n v="46195.360000000001"/>
    <n v="1"/>
    <n v="1"/>
    <n v="1"/>
    <s v="111"/>
    <x v="1"/>
  </r>
  <r>
    <x v="101"/>
    <d v="2024-05-28T09:00:07"/>
    <x v="6"/>
    <x v="1"/>
    <x v="0"/>
    <n v="8891"/>
    <n v="696"/>
    <n v="5"/>
    <n v="29381.64"/>
    <n v="1"/>
    <n v="5"/>
    <n v="4"/>
    <s v="154"/>
    <x v="3"/>
  </r>
  <r>
    <x v="102"/>
    <d v="2024-05-29T09:00:07"/>
    <x v="2"/>
    <x v="0"/>
    <x v="0"/>
    <n v="5758.48"/>
    <n v="695"/>
    <n v="6"/>
    <n v="40190.459999999992"/>
    <n v="1"/>
    <n v="4"/>
    <n v="2"/>
    <s v="142"/>
    <x v="0"/>
  </r>
  <r>
    <x v="103"/>
    <d v="2024-05-31T09:00:07"/>
    <x v="8"/>
    <x v="3"/>
    <x v="2"/>
    <n v="1230.45"/>
    <n v="693"/>
    <n v="15"/>
    <n v="55867.080000000016"/>
    <n v="1"/>
    <n v="1"/>
    <n v="1"/>
    <s v="111"/>
    <x v="1"/>
  </r>
  <r>
    <x v="104"/>
    <d v="2024-05-31T09:00:07"/>
    <x v="2"/>
    <x v="2"/>
    <x v="2"/>
    <n v="10927.78"/>
    <n v="693"/>
    <n v="9"/>
    <n v="42109.760000000002"/>
    <n v="1"/>
    <n v="2"/>
    <n v="2"/>
    <s v="122"/>
    <x v="1"/>
  </r>
  <r>
    <x v="78"/>
    <d v="2024-05-31T09:00:07"/>
    <x v="6"/>
    <x v="0"/>
    <x v="0"/>
    <n v="11499.81"/>
    <n v="693"/>
    <n v="10"/>
    <n v="34265.79"/>
    <n v="1"/>
    <n v="2"/>
    <n v="3"/>
    <s v="123"/>
    <x v="2"/>
  </r>
  <r>
    <x v="105"/>
    <d v="2024-06-01T09:00:07"/>
    <x v="6"/>
    <x v="1"/>
    <x v="2"/>
    <n v="2231.15"/>
    <n v="692"/>
    <n v="3"/>
    <n v="7775.1900000000005"/>
    <n v="1"/>
    <n v="5"/>
    <n v="5"/>
    <s v="155"/>
    <x v="3"/>
  </r>
  <r>
    <x v="49"/>
    <d v="2024-06-01T09:00:07"/>
    <x v="3"/>
    <x v="5"/>
    <x v="0"/>
    <n v="2515.79"/>
    <n v="692"/>
    <n v="7"/>
    <n v="18132.900000000001"/>
    <n v="1"/>
    <n v="4"/>
    <n v="5"/>
    <s v="145"/>
    <x v="3"/>
  </r>
  <r>
    <x v="106"/>
    <d v="2024-06-01T09:00:07"/>
    <x v="3"/>
    <x v="2"/>
    <x v="1"/>
    <n v="5946.52"/>
    <n v="692"/>
    <n v="9"/>
    <n v="33349.999999999993"/>
    <n v="1"/>
    <n v="2"/>
    <n v="3"/>
    <s v="123"/>
    <x v="2"/>
  </r>
  <r>
    <x v="78"/>
    <d v="2024-06-01T09:00:07"/>
    <x v="3"/>
    <x v="3"/>
    <x v="1"/>
    <n v="995.45"/>
    <n v="692"/>
    <n v="10"/>
    <n v="34265.79"/>
    <n v="1"/>
    <n v="2"/>
    <n v="3"/>
    <s v="123"/>
    <x v="2"/>
  </r>
  <r>
    <x v="107"/>
    <d v="2024-06-02T09:00:07"/>
    <x v="3"/>
    <x v="1"/>
    <x v="0"/>
    <n v="3059.18"/>
    <n v="691"/>
    <n v="4"/>
    <n v="10594.94"/>
    <n v="1"/>
    <n v="5"/>
    <n v="5"/>
    <s v="155"/>
    <x v="3"/>
  </r>
  <r>
    <x v="108"/>
    <d v="2024-06-02T09:00:07"/>
    <x v="0"/>
    <x v="3"/>
    <x v="1"/>
    <n v="3446.54"/>
    <n v="691"/>
    <n v="8"/>
    <n v="45571.029999999992"/>
    <n v="1"/>
    <n v="3"/>
    <n v="1"/>
    <s v="131"/>
    <x v="0"/>
  </r>
  <r>
    <x v="109"/>
    <d v="2024-06-02T09:00:07"/>
    <x v="0"/>
    <x v="6"/>
    <x v="2"/>
    <n v="6166.78"/>
    <n v="691"/>
    <n v="7"/>
    <n v="39486.589999999997"/>
    <n v="1"/>
    <n v="4"/>
    <n v="2"/>
    <s v="142"/>
    <x v="0"/>
  </r>
  <r>
    <x v="28"/>
    <d v="2024-06-02T09:00:07"/>
    <x v="6"/>
    <x v="5"/>
    <x v="1"/>
    <n v="1825.58"/>
    <n v="691"/>
    <n v="10"/>
    <n v="39472.789999999994"/>
    <n v="1"/>
    <n v="2"/>
    <n v="2"/>
    <s v="122"/>
    <x v="1"/>
  </r>
  <r>
    <x v="68"/>
    <d v="2024-06-02T09:00:07"/>
    <x v="6"/>
    <x v="2"/>
    <x v="2"/>
    <n v="2909.8"/>
    <n v="691"/>
    <n v="9"/>
    <n v="44679.94"/>
    <n v="1"/>
    <n v="2"/>
    <n v="2"/>
    <s v="122"/>
    <x v="1"/>
  </r>
  <r>
    <x v="110"/>
    <d v="2024-06-03T09:00:07"/>
    <x v="1"/>
    <x v="2"/>
    <x v="0"/>
    <n v="1907.43"/>
    <n v="690"/>
    <n v="9"/>
    <n v="40117.730000000003"/>
    <n v="1"/>
    <n v="2"/>
    <n v="2"/>
    <s v="122"/>
    <x v="1"/>
  </r>
  <r>
    <x v="111"/>
    <d v="2024-06-03T09:00:07"/>
    <x v="6"/>
    <x v="4"/>
    <x v="1"/>
    <n v="7166.5"/>
    <n v="690"/>
    <n v="7"/>
    <n v="47955.99"/>
    <n v="1"/>
    <n v="4"/>
    <n v="1"/>
    <s v="141"/>
    <x v="0"/>
  </r>
  <r>
    <x v="112"/>
    <d v="2024-06-03T09:00:07"/>
    <x v="1"/>
    <x v="1"/>
    <x v="1"/>
    <n v="443.07"/>
    <n v="690"/>
    <n v="7"/>
    <n v="25356.28"/>
    <n v="1"/>
    <n v="4"/>
    <n v="4"/>
    <s v="144"/>
    <x v="3"/>
  </r>
  <r>
    <x v="113"/>
    <d v="2024-06-03T09:00:07"/>
    <x v="3"/>
    <x v="4"/>
    <x v="2"/>
    <n v="6162.83"/>
    <n v="690"/>
    <n v="10"/>
    <n v="41704.25"/>
    <n v="1"/>
    <n v="2"/>
    <n v="2"/>
    <s v="122"/>
    <x v="1"/>
  </r>
  <r>
    <x v="114"/>
    <d v="2024-06-03T09:00:07"/>
    <x v="8"/>
    <x v="6"/>
    <x v="0"/>
    <n v="389.12"/>
    <n v="690"/>
    <n v="6"/>
    <n v="22984.870000000003"/>
    <n v="1"/>
    <n v="4"/>
    <n v="4"/>
    <s v="144"/>
    <x v="3"/>
  </r>
  <r>
    <x v="115"/>
    <d v="2024-06-03T09:00:07"/>
    <x v="8"/>
    <x v="3"/>
    <x v="0"/>
    <n v="5843.07"/>
    <n v="690"/>
    <n v="7"/>
    <n v="28040.249999999996"/>
    <n v="1"/>
    <n v="4"/>
    <n v="4"/>
    <s v="144"/>
    <x v="3"/>
  </r>
  <r>
    <x v="116"/>
    <d v="2024-06-03T09:00:07"/>
    <x v="3"/>
    <x v="3"/>
    <x v="2"/>
    <n v="5942.58"/>
    <n v="690"/>
    <n v="16"/>
    <n v="76962.720000000001"/>
    <n v="1"/>
    <n v="1"/>
    <n v="1"/>
    <s v="111"/>
    <x v="1"/>
  </r>
  <r>
    <x v="117"/>
    <d v="2024-06-04T09:00:07"/>
    <x v="8"/>
    <x v="2"/>
    <x v="1"/>
    <n v="1503.57"/>
    <n v="689"/>
    <n v="12"/>
    <n v="44894.799999999996"/>
    <n v="1"/>
    <n v="1"/>
    <n v="1"/>
    <s v="111"/>
    <x v="1"/>
  </r>
  <r>
    <x v="118"/>
    <d v="2024-06-05T09:00:07"/>
    <x v="1"/>
    <x v="4"/>
    <x v="2"/>
    <n v="6685.87"/>
    <n v="688"/>
    <n v="4"/>
    <n v="11604.15"/>
    <n v="1"/>
    <n v="5"/>
    <n v="5"/>
    <s v="155"/>
    <x v="3"/>
  </r>
  <r>
    <x v="119"/>
    <d v="2024-06-05T09:00:07"/>
    <x v="3"/>
    <x v="5"/>
    <x v="1"/>
    <n v="6447.82"/>
    <n v="688"/>
    <n v="11"/>
    <n v="29238.53"/>
    <n v="1"/>
    <n v="1"/>
    <n v="4"/>
    <s v="114"/>
    <x v="2"/>
  </r>
  <r>
    <x v="120"/>
    <d v="2024-06-05T09:00:07"/>
    <x v="3"/>
    <x v="1"/>
    <x v="2"/>
    <n v="1201.46"/>
    <n v="688"/>
    <n v="4"/>
    <n v="18725.21"/>
    <n v="1"/>
    <n v="5"/>
    <n v="5"/>
    <s v="155"/>
    <x v="3"/>
  </r>
  <r>
    <x v="121"/>
    <d v="2024-06-05T09:00:07"/>
    <x v="8"/>
    <x v="4"/>
    <x v="2"/>
    <n v="6979.66"/>
    <n v="688"/>
    <n v="7"/>
    <n v="29497.360000000001"/>
    <n v="1"/>
    <n v="4"/>
    <n v="3"/>
    <s v="143"/>
    <x v="3"/>
  </r>
  <r>
    <x v="122"/>
    <d v="2024-06-06T09:00:07"/>
    <x v="3"/>
    <x v="6"/>
    <x v="0"/>
    <n v="3862.76"/>
    <n v="687"/>
    <n v="10"/>
    <n v="45537.319999999992"/>
    <n v="1"/>
    <n v="2"/>
    <n v="1"/>
    <s v="121"/>
    <x v="1"/>
  </r>
  <r>
    <x v="123"/>
    <d v="2024-06-06T09:00:07"/>
    <x v="9"/>
    <x v="0"/>
    <x v="2"/>
    <n v="3260.65"/>
    <n v="687"/>
    <n v="9"/>
    <n v="28813.449999999997"/>
    <n v="1"/>
    <n v="2"/>
    <n v="4"/>
    <s v="124"/>
    <x v="2"/>
  </r>
  <r>
    <x v="124"/>
    <d v="2024-06-06T09:00:07"/>
    <x v="9"/>
    <x v="4"/>
    <x v="2"/>
    <n v="5996.76"/>
    <n v="687"/>
    <n v="11"/>
    <n v="43078.749999999993"/>
    <n v="1"/>
    <n v="1"/>
    <n v="2"/>
    <s v="112"/>
    <x v="1"/>
  </r>
  <r>
    <x v="125"/>
    <d v="2024-06-06T09:00:07"/>
    <x v="8"/>
    <x v="3"/>
    <x v="2"/>
    <n v="410.07"/>
    <n v="687"/>
    <n v="9"/>
    <n v="33311.4"/>
    <n v="1"/>
    <n v="2"/>
    <n v="3"/>
    <s v="123"/>
    <x v="2"/>
  </r>
  <r>
    <x v="126"/>
    <d v="2024-06-06T09:00:07"/>
    <x v="4"/>
    <x v="4"/>
    <x v="2"/>
    <n v="3441.29"/>
    <n v="687"/>
    <n v="11"/>
    <n v="46795.570000000007"/>
    <n v="1"/>
    <n v="1"/>
    <n v="1"/>
    <s v="111"/>
    <x v="1"/>
  </r>
  <r>
    <x v="127"/>
    <d v="2024-06-06T09:00:07"/>
    <x v="0"/>
    <x v="3"/>
    <x v="1"/>
    <n v="4475.55"/>
    <n v="687"/>
    <n v="5"/>
    <n v="28709.97"/>
    <n v="1"/>
    <n v="5"/>
    <n v="4"/>
    <s v="154"/>
    <x v="3"/>
  </r>
  <r>
    <x v="128"/>
    <d v="2024-06-07T09:00:07"/>
    <x v="4"/>
    <x v="3"/>
    <x v="0"/>
    <n v="8411.81"/>
    <n v="686"/>
    <n v="6"/>
    <n v="24977.25"/>
    <n v="1"/>
    <n v="4"/>
    <n v="4"/>
    <s v="144"/>
    <x v="3"/>
  </r>
  <r>
    <x v="129"/>
    <d v="2024-06-07T09:00:07"/>
    <x v="2"/>
    <x v="4"/>
    <x v="1"/>
    <n v="7614.89"/>
    <n v="686"/>
    <n v="9"/>
    <n v="30288.86"/>
    <n v="1"/>
    <n v="2"/>
    <n v="3"/>
    <s v="123"/>
    <x v="2"/>
  </r>
  <r>
    <x v="62"/>
    <d v="2024-06-07T09:00:07"/>
    <x v="2"/>
    <x v="4"/>
    <x v="0"/>
    <n v="55.04"/>
    <n v="686"/>
    <n v="8"/>
    <n v="17550.599999999999"/>
    <n v="1"/>
    <n v="3"/>
    <n v="5"/>
    <s v="135"/>
    <x v="3"/>
  </r>
  <r>
    <x v="130"/>
    <d v="2024-06-07T09:00:07"/>
    <x v="2"/>
    <x v="4"/>
    <x v="1"/>
    <n v="8002.28"/>
    <n v="686"/>
    <n v="8"/>
    <n v="35723.81"/>
    <n v="1"/>
    <n v="3"/>
    <n v="3"/>
    <s v="133"/>
    <x v="3"/>
  </r>
  <r>
    <x v="131"/>
    <d v="2024-06-07T09:00:07"/>
    <x v="3"/>
    <x v="2"/>
    <x v="2"/>
    <n v="3100.95"/>
    <n v="686"/>
    <n v="5"/>
    <n v="26657.089999999997"/>
    <n v="1"/>
    <n v="5"/>
    <n v="4"/>
    <s v="154"/>
    <x v="3"/>
  </r>
  <r>
    <x v="132"/>
    <d v="2024-06-08T09:00:07"/>
    <x v="0"/>
    <x v="0"/>
    <x v="1"/>
    <n v="1873.14"/>
    <n v="685"/>
    <n v="3"/>
    <n v="9190.25"/>
    <n v="1"/>
    <n v="5"/>
    <n v="5"/>
    <s v="155"/>
    <x v="3"/>
  </r>
  <r>
    <x v="108"/>
    <d v="2024-06-09T09:00:07"/>
    <x v="1"/>
    <x v="6"/>
    <x v="1"/>
    <n v="2171.9"/>
    <n v="684"/>
    <n v="8"/>
    <n v="45571.029999999992"/>
    <n v="1"/>
    <n v="3"/>
    <n v="1"/>
    <s v="131"/>
    <x v="0"/>
  </r>
  <r>
    <x v="2"/>
    <d v="2024-06-09T09:00:07"/>
    <x v="3"/>
    <x v="3"/>
    <x v="0"/>
    <n v="437.69"/>
    <n v="684"/>
    <n v="10"/>
    <n v="32732.979999999996"/>
    <n v="1"/>
    <n v="2"/>
    <n v="3"/>
    <s v="123"/>
    <x v="2"/>
  </r>
  <r>
    <x v="133"/>
    <d v="2024-06-09T09:00:07"/>
    <x v="7"/>
    <x v="2"/>
    <x v="1"/>
    <n v="1971.22"/>
    <n v="684"/>
    <n v="11"/>
    <n v="38337.789999999994"/>
    <n v="1"/>
    <n v="1"/>
    <n v="2"/>
    <s v="112"/>
    <x v="1"/>
  </r>
  <r>
    <x v="134"/>
    <d v="2024-06-09T09:00:07"/>
    <x v="2"/>
    <x v="5"/>
    <x v="0"/>
    <n v="1366.83"/>
    <n v="684"/>
    <n v="6"/>
    <n v="15936.029999999999"/>
    <n v="1"/>
    <n v="4"/>
    <n v="5"/>
    <s v="145"/>
    <x v="3"/>
  </r>
  <r>
    <x v="32"/>
    <d v="2024-06-09T09:00:07"/>
    <x v="6"/>
    <x v="5"/>
    <x v="0"/>
    <n v="1046.7"/>
    <n v="684"/>
    <n v="13"/>
    <n v="40402.14"/>
    <n v="1"/>
    <n v="1"/>
    <n v="2"/>
    <s v="112"/>
    <x v="1"/>
  </r>
  <r>
    <x v="135"/>
    <d v="2024-06-10T09:00:07"/>
    <x v="1"/>
    <x v="1"/>
    <x v="2"/>
    <n v="2179.54"/>
    <n v="683"/>
    <n v="9"/>
    <n v="34982.139999999992"/>
    <n v="1"/>
    <n v="2"/>
    <n v="3"/>
    <s v="123"/>
    <x v="2"/>
  </r>
  <r>
    <x v="136"/>
    <d v="2024-06-10T09:00:07"/>
    <x v="2"/>
    <x v="2"/>
    <x v="1"/>
    <n v="4735.92"/>
    <n v="683"/>
    <n v="7"/>
    <n v="26629.329999999998"/>
    <n v="1"/>
    <n v="4"/>
    <n v="4"/>
    <s v="144"/>
    <x v="3"/>
  </r>
  <r>
    <x v="137"/>
    <d v="2024-06-10T09:00:07"/>
    <x v="9"/>
    <x v="6"/>
    <x v="2"/>
    <n v="6094.64"/>
    <n v="683"/>
    <n v="3"/>
    <n v="17686.849999999999"/>
    <n v="1"/>
    <n v="5"/>
    <n v="5"/>
    <s v="155"/>
    <x v="3"/>
  </r>
  <r>
    <x v="98"/>
    <d v="2024-06-10T09:00:07"/>
    <x v="7"/>
    <x v="3"/>
    <x v="1"/>
    <n v="7329.48"/>
    <n v="683"/>
    <n v="7"/>
    <n v="33081.189999999995"/>
    <n v="1"/>
    <n v="4"/>
    <n v="3"/>
    <s v="143"/>
    <x v="3"/>
  </r>
  <r>
    <x v="138"/>
    <d v="2024-06-10T09:00:07"/>
    <x v="1"/>
    <x v="2"/>
    <x v="0"/>
    <n v="4684.7299999999996"/>
    <n v="683"/>
    <n v="8"/>
    <n v="48110.42"/>
    <n v="1"/>
    <n v="3"/>
    <n v="1"/>
    <s v="131"/>
    <x v="0"/>
  </r>
  <r>
    <x v="139"/>
    <d v="2024-06-11T09:00:07"/>
    <x v="5"/>
    <x v="0"/>
    <x v="0"/>
    <n v="1903.07"/>
    <n v="682"/>
    <n v="9"/>
    <n v="48530.240000000005"/>
    <n v="1"/>
    <n v="2"/>
    <n v="1"/>
    <s v="121"/>
    <x v="1"/>
  </r>
  <r>
    <x v="36"/>
    <d v="2024-06-11T09:00:07"/>
    <x v="1"/>
    <x v="1"/>
    <x v="0"/>
    <n v="3279.15"/>
    <n v="682"/>
    <n v="12"/>
    <n v="44897.450000000004"/>
    <n v="1"/>
    <n v="1"/>
    <n v="1"/>
    <s v="111"/>
    <x v="1"/>
  </r>
  <r>
    <x v="140"/>
    <d v="2024-06-11T09:00:07"/>
    <x v="8"/>
    <x v="1"/>
    <x v="1"/>
    <n v="4175.9399999999996"/>
    <n v="682"/>
    <n v="3"/>
    <n v="14886.69"/>
    <n v="1"/>
    <n v="5"/>
    <n v="5"/>
    <s v="155"/>
    <x v="3"/>
  </r>
  <r>
    <x v="128"/>
    <d v="2024-06-11T09:00:07"/>
    <x v="9"/>
    <x v="1"/>
    <x v="0"/>
    <n v="2890.76"/>
    <n v="682"/>
    <n v="6"/>
    <n v="24977.25"/>
    <n v="1"/>
    <n v="4"/>
    <n v="4"/>
    <s v="144"/>
    <x v="3"/>
  </r>
  <r>
    <x v="141"/>
    <d v="2024-06-11T09:00:07"/>
    <x v="6"/>
    <x v="0"/>
    <x v="1"/>
    <n v="5260.45"/>
    <n v="682"/>
    <n v="4"/>
    <n v="21498.129999999997"/>
    <n v="1"/>
    <n v="5"/>
    <n v="5"/>
    <s v="155"/>
    <x v="3"/>
  </r>
  <r>
    <x v="142"/>
    <d v="2024-06-11T09:00:07"/>
    <x v="9"/>
    <x v="6"/>
    <x v="1"/>
    <n v="6021.4"/>
    <n v="682"/>
    <n v="13"/>
    <n v="47658.630000000005"/>
    <n v="1"/>
    <n v="1"/>
    <n v="1"/>
    <s v="111"/>
    <x v="1"/>
  </r>
  <r>
    <x v="74"/>
    <d v="2024-06-11T09:00:07"/>
    <x v="0"/>
    <x v="4"/>
    <x v="0"/>
    <n v="4427.26"/>
    <n v="682"/>
    <n v="8"/>
    <n v="28309.71"/>
    <n v="1"/>
    <n v="3"/>
    <n v="4"/>
    <s v="134"/>
    <x v="3"/>
  </r>
  <r>
    <x v="86"/>
    <d v="2024-06-12T09:00:07"/>
    <x v="4"/>
    <x v="0"/>
    <x v="2"/>
    <n v="7983.15"/>
    <n v="681"/>
    <n v="7"/>
    <n v="18845.82"/>
    <n v="1"/>
    <n v="4"/>
    <n v="5"/>
    <s v="145"/>
    <x v="3"/>
  </r>
  <r>
    <x v="143"/>
    <d v="2024-06-12T09:00:07"/>
    <x v="1"/>
    <x v="4"/>
    <x v="2"/>
    <n v="6304.55"/>
    <n v="681"/>
    <n v="11"/>
    <n v="43247.159999999996"/>
    <n v="1"/>
    <n v="1"/>
    <n v="2"/>
    <s v="112"/>
    <x v="1"/>
  </r>
  <r>
    <x v="67"/>
    <d v="2024-06-12T09:00:07"/>
    <x v="1"/>
    <x v="5"/>
    <x v="1"/>
    <n v="8482.3700000000008"/>
    <n v="681"/>
    <n v="8"/>
    <n v="35204.92"/>
    <n v="1"/>
    <n v="3"/>
    <n v="3"/>
    <s v="133"/>
    <x v="3"/>
  </r>
  <r>
    <x v="144"/>
    <d v="2024-06-12T09:00:07"/>
    <x v="1"/>
    <x v="0"/>
    <x v="0"/>
    <n v="5043.3999999999996"/>
    <n v="681"/>
    <n v="6"/>
    <n v="27159.870000000003"/>
    <n v="1"/>
    <n v="4"/>
    <n v="4"/>
    <s v="144"/>
    <x v="3"/>
  </r>
  <r>
    <x v="145"/>
    <d v="2024-06-12T09:00:07"/>
    <x v="9"/>
    <x v="4"/>
    <x v="0"/>
    <n v="4248.8999999999996"/>
    <n v="681"/>
    <n v="6"/>
    <n v="24862.18"/>
    <n v="1"/>
    <n v="4"/>
    <n v="4"/>
    <s v="144"/>
    <x v="3"/>
  </r>
  <r>
    <x v="146"/>
    <d v="2024-06-12T09:00:07"/>
    <x v="3"/>
    <x v="2"/>
    <x v="1"/>
    <n v="4703.8100000000004"/>
    <n v="681"/>
    <n v="12"/>
    <n v="42776.80999999999"/>
    <n v="1"/>
    <n v="1"/>
    <n v="2"/>
    <s v="112"/>
    <x v="1"/>
  </r>
  <r>
    <x v="147"/>
    <d v="2024-06-14T09:00:07"/>
    <x v="7"/>
    <x v="4"/>
    <x v="2"/>
    <n v="3211.08"/>
    <n v="679"/>
    <n v="8"/>
    <n v="21286.739999999998"/>
    <n v="1"/>
    <n v="3"/>
    <n v="5"/>
    <s v="135"/>
    <x v="3"/>
  </r>
  <r>
    <x v="8"/>
    <d v="2024-06-15T09:00:07"/>
    <x v="5"/>
    <x v="2"/>
    <x v="1"/>
    <n v="4203.72"/>
    <n v="678"/>
    <n v="7"/>
    <n v="18694.46"/>
    <n v="1"/>
    <n v="4"/>
    <n v="5"/>
    <s v="145"/>
    <x v="3"/>
  </r>
  <r>
    <x v="148"/>
    <d v="2024-06-15T09:00:07"/>
    <x v="9"/>
    <x v="0"/>
    <x v="0"/>
    <n v="5398.96"/>
    <n v="678"/>
    <n v="6"/>
    <n v="27493.600000000002"/>
    <n v="1"/>
    <n v="4"/>
    <n v="4"/>
    <s v="144"/>
    <x v="3"/>
  </r>
  <r>
    <x v="149"/>
    <d v="2024-06-15T09:00:07"/>
    <x v="7"/>
    <x v="1"/>
    <x v="0"/>
    <n v="3793.51"/>
    <n v="678"/>
    <n v="4"/>
    <n v="26120.1"/>
    <n v="1"/>
    <n v="5"/>
    <n v="4"/>
    <s v="154"/>
    <x v="3"/>
  </r>
  <r>
    <x v="24"/>
    <d v="2024-06-15T09:00:07"/>
    <x v="6"/>
    <x v="2"/>
    <x v="0"/>
    <n v="1619.62"/>
    <n v="678"/>
    <n v="10"/>
    <n v="34623.81"/>
    <n v="1"/>
    <n v="2"/>
    <n v="3"/>
    <s v="123"/>
    <x v="2"/>
  </r>
  <r>
    <x v="150"/>
    <d v="2024-06-16T09:00:07"/>
    <x v="0"/>
    <x v="4"/>
    <x v="0"/>
    <n v="1668.24"/>
    <n v="677"/>
    <n v="7"/>
    <n v="24998.240000000005"/>
    <n v="1"/>
    <n v="4"/>
    <n v="4"/>
    <s v="144"/>
    <x v="3"/>
  </r>
  <r>
    <x v="151"/>
    <d v="2024-06-16T09:00:07"/>
    <x v="4"/>
    <x v="3"/>
    <x v="2"/>
    <n v="4757.49"/>
    <n v="677"/>
    <n v="5"/>
    <n v="17550.75"/>
    <n v="1"/>
    <n v="5"/>
    <n v="5"/>
    <s v="155"/>
    <x v="3"/>
  </r>
  <r>
    <x v="135"/>
    <d v="2024-06-16T09:00:07"/>
    <x v="7"/>
    <x v="1"/>
    <x v="2"/>
    <n v="3621.72"/>
    <n v="677"/>
    <n v="9"/>
    <n v="34982.139999999992"/>
    <n v="1"/>
    <n v="2"/>
    <n v="3"/>
    <s v="123"/>
    <x v="2"/>
  </r>
  <r>
    <x v="14"/>
    <d v="2024-06-16T09:00:07"/>
    <x v="6"/>
    <x v="2"/>
    <x v="2"/>
    <n v="4471.75"/>
    <n v="677"/>
    <n v="13"/>
    <n v="40219.18"/>
    <n v="1"/>
    <n v="1"/>
    <n v="2"/>
    <s v="112"/>
    <x v="1"/>
  </r>
  <r>
    <x v="82"/>
    <d v="2024-06-17T09:00:07"/>
    <x v="0"/>
    <x v="2"/>
    <x v="0"/>
    <n v="2162.16"/>
    <n v="676"/>
    <n v="7"/>
    <n v="29725.939999999995"/>
    <n v="1"/>
    <n v="4"/>
    <n v="3"/>
    <s v="143"/>
    <x v="3"/>
  </r>
  <r>
    <x v="152"/>
    <d v="2024-06-17T09:00:07"/>
    <x v="0"/>
    <x v="1"/>
    <x v="1"/>
    <n v="423.83"/>
    <n v="676"/>
    <n v="9"/>
    <n v="39366.480000000003"/>
    <n v="1"/>
    <n v="2"/>
    <n v="2"/>
    <s v="122"/>
    <x v="1"/>
  </r>
  <r>
    <x v="153"/>
    <d v="2024-06-18T09:00:07"/>
    <x v="6"/>
    <x v="0"/>
    <x v="2"/>
    <n v="1877.81"/>
    <n v="675"/>
    <n v="7"/>
    <n v="17672.689999999999"/>
    <n v="1"/>
    <n v="4"/>
    <n v="5"/>
    <s v="145"/>
    <x v="3"/>
  </r>
  <r>
    <x v="154"/>
    <d v="2024-06-18T09:00:07"/>
    <x v="3"/>
    <x v="6"/>
    <x v="1"/>
    <n v="1321.69"/>
    <n v="675"/>
    <n v="3"/>
    <n v="8165.32"/>
    <n v="1"/>
    <n v="5"/>
    <n v="5"/>
    <s v="155"/>
    <x v="3"/>
  </r>
  <r>
    <x v="155"/>
    <d v="2024-06-18T09:00:07"/>
    <x v="6"/>
    <x v="1"/>
    <x v="2"/>
    <n v="3058.73"/>
    <n v="675"/>
    <n v="4"/>
    <n v="21062.23"/>
    <n v="1"/>
    <n v="5"/>
    <n v="5"/>
    <s v="155"/>
    <x v="3"/>
  </r>
  <r>
    <x v="49"/>
    <d v="2024-06-19T09:00:07"/>
    <x v="0"/>
    <x v="4"/>
    <x v="2"/>
    <n v="4187.8500000000004"/>
    <n v="674"/>
    <n v="7"/>
    <n v="18132.900000000001"/>
    <n v="1"/>
    <n v="4"/>
    <n v="5"/>
    <s v="145"/>
    <x v="3"/>
  </r>
  <r>
    <x v="156"/>
    <d v="2024-06-19T09:00:07"/>
    <x v="2"/>
    <x v="4"/>
    <x v="2"/>
    <n v="7192.84"/>
    <n v="674"/>
    <n v="4"/>
    <n v="30283.82"/>
    <n v="1"/>
    <n v="5"/>
    <n v="3"/>
    <s v="153"/>
    <x v="3"/>
  </r>
  <r>
    <x v="157"/>
    <d v="2024-06-19T09:00:07"/>
    <x v="8"/>
    <x v="0"/>
    <x v="0"/>
    <n v="3385.73"/>
    <n v="674"/>
    <n v="7"/>
    <n v="24873.88"/>
    <n v="1"/>
    <n v="4"/>
    <n v="4"/>
    <s v="144"/>
    <x v="3"/>
  </r>
  <r>
    <x v="158"/>
    <d v="2024-06-20T09:00:07"/>
    <x v="7"/>
    <x v="3"/>
    <x v="1"/>
    <n v="1134.49"/>
    <n v="673"/>
    <n v="9"/>
    <n v="36713.85"/>
    <n v="1"/>
    <n v="2"/>
    <n v="3"/>
    <s v="123"/>
    <x v="2"/>
  </r>
  <r>
    <x v="159"/>
    <d v="2024-06-20T09:00:07"/>
    <x v="4"/>
    <x v="2"/>
    <x v="2"/>
    <n v="4014.39"/>
    <n v="673"/>
    <n v="9"/>
    <n v="38753.799999999988"/>
    <n v="1"/>
    <n v="2"/>
    <n v="2"/>
    <s v="122"/>
    <x v="1"/>
  </r>
  <r>
    <x v="155"/>
    <d v="2024-06-20T09:00:07"/>
    <x v="1"/>
    <x v="1"/>
    <x v="1"/>
    <n v="9416.25"/>
    <n v="673"/>
    <n v="4"/>
    <n v="21062.23"/>
    <n v="1"/>
    <n v="5"/>
    <n v="5"/>
    <s v="155"/>
    <x v="3"/>
  </r>
  <r>
    <x v="160"/>
    <d v="2024-06-20T09:00:07"/>
    <x v="0"/>
    <x v="1"/>
    <x v="0"/>
    <n v="4111.53"/>
    <n v="673"/>
    <n v="9"/>
    <n v="37215.54"/>
    <n v="1"/>
    <n v="2"/>
    <n v="2"/>
    <s v="122"/>
    <x v="1"/>
  </r>
  <r>
    <x v="161"/>
    <d v="2024-06-21T09:00:07"/>
    <x v="8"/>
    <x v="3"/>
    <x v="2"/>
    <n v="3754.65"/>
    <n v="672"/>
    <n v="9"/>
    <n v="32548.37"/>
    <n v="1"/>
    <n v="2"/>
    <n v="3"/>
    <s v="123"/>
    <x v="2"/>
  </r>
  <r>
    <x v="162"/>
    <d v="2024-06-21T09:00:07"/>
    <x v="2"/>
    <x v="5"/>
    <x v="0"/>
    <n v="160.81"/>
    <n v="672"/>
    <n v="7"/>
    <n v="20657.780000000002"/>
    <n v="1"/>
    <n v="4"/>
    <n v="5"/>
    <s v="145"/>
    <x v="3"/>
  </r>
  <r>
    <x v="70"/>
    <d v="2024-06-21T09:00:07"/>
    <x v="6"/>
    <x v="5"/>
    <x v="1"/>
    <n v="3396.12"/>
    <n v="672"/>
    <n v="15"/>
    <n v="57217.139999999992"/>
    <n v="1"/>
    <n v="1"/>
    <n v="1"/>
    <s v="111"/>
    <x v="1"/>
  </r>
  <r>
    <x v="163"/>
    <d v="2024-06-21T09:00:07"/>
    <x v="8"/>
    <x v="0"/>
    <x v="2"/>
    <n v="1738.61"/>
    <n v="672"/>
    <n v="9"/>
    <n v="30047.29"/>
    <n v="1"/>
    <n v="2"/>
    <n v="3"/>
    <s v="123"/>
    <x v="2"/>
  </r>
  <r>
    <x v="164"/>
    <d v="2024-06-21T09:00:07"/>
    <x v="7"/>
    <x v="2"/>
    <x v="1"/>
    <n v="2873.04"/>
    <n v="672"/>
    <n v="6"/>
    <n v="17843.009999999998"/>
    <n v="1"/>
    <n v="4"/>
    <n v="5"/>
    <s v="145"/>
    <x v="3"/>
  </r>
  <r>
    <x v="165"/>
    <d v="2024-06-21T09:00:07"/>
    <x v="7"/>
    <x v="0"/>
    <x v="2"/>
    <n v="3297.01"/>
    <n v="672"/>
    <n v="9"/>
    <n v="33344.57"/>
    <n v="1"/>
    <n v="2"/>
    <n v="3"/>
    <s v="123"/>
    <x v="2"/>
  </r>
  <r>
    <x v="166"/>
    <d v="2024-06-21T09:00:07"/>
    <x v="1"/>
    <x v="6"/>
    <x v="2"/>
    <n v="2903.17"/>
    <n v="672"/>
    <n v="7"/>
    <n v="28777.9"/>
    <n v="1"/>
    <n v="4"/>
    <n v="4"/>
    <s v="144"/>
    <x v="3"/>
  </r>
  <r>
    <x v="167"/>
    <d v="2024-06-21T09:00:07"/>
    <x v="9"/>
    <x v="3"/>
    <x v="0"/>
    <n v="1298.53"/>
    <n v="672"/>
    <n v="4"/>
    <n v="7830.67"/>
    <n v="1"/>
    <n v="5"/>
    <n v="5"/>
    <s v="155"/>
    <x v="3"/>
  </r>
  <r>
    <x v="168"/>
    <d v="2024-06-22T09:00:07"/>
    <x v="6"/>
    <x v="1"/>
    <x v="1"/>
    <n v="6215.76"/>
    <n v="671"/>
    <n v="8"/>
    <n v="26119.000000000004"/>
    <n v="1"/>
    <n v="3"/>
    <n v="4"/>
    <s v="134"/>
    <x v="3"/>
  </r>
  <r>
    <x v="169"/>
    <d v="2024-06-22T09:00:07"/>
    <x v="3"/>
    <x v="0"/>
    <x v="0"/>
    <n v="1908.19"/>
    <n v="671"/>
    <n v="10"/>
    <n v="28216.130000000005"/>
    <n v="1"/>
    <n v="2"/>
    <n v="4"/>
    <s v="124"/>
    <x v="2"/>
  </r>
  <r>
    <x v="170"/>
    <d v="2024-06-22T09:00:07"/>
    <x v="6"/>
    <x v="1"/>
    <x v="1"/>
    <n v="2295.9"/>
    <n v="671"/>
    <n v="7"/>
    <n v="33514.49"/>
    <n v="1"/>
    <n v="4"/>
    <n v="3"/>
    <s v="143"/>
    <x v="3"/>
  </r>
  <r>
    <x v="135"/>
    <d v="2024-06-23T09:00:07"/>
    <x v="1"/>
    <x v="5"/>
    <x v="0"/>
    <n v="6778.61"/>
    <n v="670"/>
    <n v="9"/>
    <n v="34982.139999999992"/>
    <n v="1"/>
    <n v="2"/>
    <n v="3"/>
    <s v="123"/>
    <x v="2"/>
  </r>
  <r>
    <x v="147"/>
    <d v="2024-06-23T09:00:07"/>
    <x v="8"/>
    <x v="3"/>
    <x v="0"/>
    <n v="2794.55"/>
    <n v="670"/>
    <n v="8"/>
    <n v="21286.739999999998"/>
    <n v="1"/>
    <n v="3"/>
    <n v="5"/>
    <s v="135"/>
    <x v="3"/>
  </r>
  <r>
    <x v="46"/>
    <d v="2024-06-23T09:00:07"/>
    <x v="7"/>
    <x v="6"/>
    <x v="2"/>
    <n v="7009.89"/>
    <n v="670"/>
    <n v="8"/>
    <n v="30848.15"/>
    <n v="1"/>
    <n v="3"/>
    <n v="3"/>
    <s v="133"/>
    <x v="3"/>
  </r>
  <r>
    <x v="171"/>
    <d v="2024-06-24T09:00:07"/>
    <x v="0"/>
    <x v="3"/>
    <x v="0"/>
    <n v="5376.2"/>
    <n v="669"/>
    <n v="5"/>
    <n v="25493.58"/>
    <n v="1"/>
    <n v="5"/>
    <n v="4"/>
    <s v="154"/>
    <x v="3"/>
  </r>
  <r>
    <x v="87"/>
    <d v="2024-06-24T09:00:07"/>
    <x v="2"/>
    <x v="4"/>
    <x v="2"/>
    <n v="6488.12"/>
    <n v="669"/>
    <n v="13"/>
    <n v="72511.88"/>
    <n v="1"/>
    <n v="1"/>
    <n v="1"/>
    <s v="111"/>
    <x v="1"/>
  </r>
  <r>
    <x v="15"/>
    <d v="2024-06-24T09:00:07"/>
    <x v="7"/>
    <x v="6"/>
    <x v="1"/>
    <n v="6687.91"/>
    <n v="669"/>
    <n v="6"/>
    <n v="32825.340000000004"/>
    <n v="1"/>
    <n v="4"/>
    <n v="3"/>
    <s v="143"/>
    <x v="3"/>
  </r>
  <r>
    <x v="33"/>
    <d v="2024-06-25T09:00:07"/>
    <x v="9"/>
    <x v="4"/>
    <x v="1"/>
    <n v="2230.63"/>
    <n v="668"/>
    <n v="10"/>
    <n v="34643.039999999994"/>
    <n v="1"/>
    <n v="2"/>
    <n v="3"/>
    <s v="123"/>
    <x v="2"/>
  </r>
  <r>
    <x v="172"/>
    <d v="2024-06-25T09:00:07"/>
    <x v="1"/>
    <x v="1"/>
    <x v="2"/>
    <n v="7460.13"/>
    <n v="668"/>
    <n v="9"/>
    <n v="51674.6"/>
    <n v="1"/>
    <n v="2"/>
    <n v="1"/>
    <s v="121"/>
    <x v="1"/>
  </r>
  <r>
    <x v="173"/>
    <d v="2024-06-25T09:00:07"/>
    <x v="2"/>
    <x v="0"/>
    <x v="2"/>
    <n v="1416.23"/>
    <n v="668"/>
    <n v="7"/>
    <n v="22005.660000000003"/>
    <n v="1"/>
    <n v="4"/>
    <n v="4"/>
    <s v="144"/>
    <x v="3"/>
  </r>
  <r>
    <x v="90"/>
    <d v="2024-06-25T09:00:07"/>
    <x v="2"/>
    <x v="6"/>
    <x v="0"/>
    <n v="3294.42"/>
    <n v="668"/>
    <n v="7"/>
    <n v="34546.720000000001"/>
    <n v="1"/>
    <n v="4"/>
    <n v="3"/>
    <s v="143"/>
    <x v="3"/>
  </r>
  <r>
    <x v="69"/>
    <d v="2024-06-25T09:00:07"/>
    <x v="1"/>
    <x v="0"/>
    <x v="2"/>
    <n v="3313.79"/>
    <n v="668"/>
    <n v="9"/>
    <n v="30242.800000000003"/>
    <n v="1"/>
    <n v="2"/>
    <n v="3"/>
    <s v="123"/>
    <x v="2"/>
  </r>
  <r>
    <x v="148"/>
    <d v="2024-06-26T09:00:07"/>
    <x v="8"/>
    <x v="5"/>
    <x v="1"/>
    <n v="6596.74"/>
    <n v="667"/>
    <n v="6"/>
    <n v="27493.600000000002"/>
    <n v="1"/>
    <n v="4"/>
    <n v="4"/>
    <s v="144"/>
    <x v="3"/>
  </r>
  <r>
    <x v="174"/>
    <d v="2024-06-26T09:00:07"/>
    <x v="1"/>
    <x v="6"/>
    <x v="2"/>
    <n v="1526.34"/>
    <n v="667"/>
    <n v="8"/>
    <n v="31568.060000000005"/>
    <n v="1"/>
    <n v="3"/>
    <n v="3"/>
    <s v="133"/>
    <x v="3"/>
  </r>
  <r>
    <x v="122"/>
    <d v="2024-06-26T09:00:07"/>
    <x v="7"/>
    <x v="3"/>
    <x v="2"/>
    <n v="3433.45"/>
    <n v="667"/>
    <n v="10"/>
    <n v="45537.319999999992"/>
    <n v="1"/>
    <n v="2"/>
    <n v="1"/>
    <s v="121"/>
    <x v="1"/>
  </r>
  <r>
    <x v="150"/>
    <d v="2024-06-26T09:00:07"/>
    <x v="9"/>
    <x v="2"/>
    <x v="0"/>
    <n v="2746.84"/>
    <n v="667"/>
    <n v="7"/>
    <n v="24998.240000000005"/>
    <n v="1"/>
    <n v="4"/>
    <n v="4"/>
    <s v="144"/>
    <x v="3"/>
  </r>
  <r>
    <x v="89"/>
    <d v="2024-06-27T09:00:07"/>
    <x v="0"/>
    <x v="4"/>
    <x v="2"/>
    <n v="5503.84"/>
    <n v="666"/>
    <n v="12"/>
    <n v="54905.279999999992"/>
    <n v="1"/>
    <n v="1"/>
    <n v="1"/>
    <s v="111"/>
    <x v="1"/>
  </r>
  <r>
    <x v="175"/>
    <d v="2024-06-27T09:00:07"/>
    <x v="7"/>
    <x v="3"/>
    <x v="0"/>
    <n v="2337.29"/>
    <n v="666"/>
    <n v="6"/>
    <n v="15872.329999999998"/>
    <n v="1"/>
    <n v="4"/>
    <n v="5"/>
    <s v="145"/>
    <x v="3"/>
  </r>
  <r>
    <x v="176"/>
    <d v="2024-06-27T09:00:07"/>
    <x v="0"/>
    <x v="0"/>
    <x v="1"/>
    <n v="5651.68"/>
    <n v="666"/>
    <n v="9"/>
    <n v="48978.57"/>
    <n v="1"/>
    <n v="2"/>
    <n v="1"/>
    <s v="121"/>
    <x v="1"/>
  </r>
  <r>
    <x v="129"/>
    <d v="2024-06-27T09:00:07"/>
    <x v="1"/>
    <x v="1"/>
    <x v="1"/>
    <n v="4833.3100000000004"/>
    <n v="666"/>
    <n v="9"/>
    <n v="30288.86"/>
    <n v="1"/>
    <n v="2"/>
    <n v="3"/>
    <s v="123"/>
    <x v="2"/>
  </r>
  <r>
    <x v="177"/>
    <d v="2024-06-27T09:00:07"/>
    <x v="3"/>
    <x v="1"/>
    <x v="0"/>
    <n v="8645.77"/>
    <n v="666"/>
    <n v="11"/>
    <n v="45526.78"/>
    <n v="1"/>
    <n v="1"/>
    <n v="1"/>
    <s v="111"/>
    <x v="1"/>
  </r>
  <r>
    <x v="178"/>
    <d v="2024-06-27T09:00:07"/>
    <x v="1"/>
    <x v="2"/>
    <x v="0"/>
    <n v="5124.1000000000004"/>
    <n v="666"/>
    <n v="4"/>
    <n v="12855.77"/>
    <n v="1"/>
    <n v="5"/>
    <n v="5"/>
    <s v="155"/>
    <x v="3"/>
  </r>
  <r>
    <x v="179"/>
    <d v="2024-06-27T09:00:07"/>
    <x v="2"/>
    <x v="5"/>
    <x v="2"/>
    <n v="3413.51"/>
    <n v="666"/>
    <n v="4"/>
    <n v="12531.98"/>
    <n v="1"/>
    <n v="5"/>
    <n v="5"/>
    <s v="155"/>
    <x v="3"/>
  </r>
  <r>
    <x v="94"/>
    <d v="2024-06-28T09:00:07"/>
    <x v="7"/>
    <x v="6"/>
    <x v="1"/>
    <n v="7734.05"/>
    <n v="665"/>
    <n v="13"/>
    <n v="56128.799999999996"/>
    <n v="1"/>
    <n v="1"/>
    <n v="1"/>
    <s v="111"/>
    <x v="1"/>
  </r>
  <r>
    <x v="180"/>
    <d v="2024-06-28T09:00:07"/>
    <x v="3"/>
    <x v="3"/>
    <x v="0"/>
    <n v="5796.15"/>
    <n v="665"/>
    <n v="8"/>
    <n v="26424.119999999995"/>
    <n v="1"/>
    <n v="3"/>
    <n v="4"/>
    <s v="134"/>
    <x v="3"/>
  </r>
  <r>
    <x v="181"/>
    <d v="2024-06-28T09:00:07"/>
    <x v="9"/>
    <x v="4"/>
    <x v="1"/>
    <n v="1572.5"/>
    <n v="665"/>
    <n v="7"/>
    <n v="25155.31"/>
    <n v="1"/>
    <n v="4"/>
    <n v="4"/>
    <s v="144"/>
    <x v="3"/>
  </r>
  <r>
    <x v="182"/>
    <d v="2024-06-28T09:00:07"/>
    <x v="0"/>
    <x v="3"/>
    <x v="0"/>
    <n v="1648.21"/>
    <n v="665"/>
    <n v="13"/>
    <n v="49208.94"/>
    <n v="1"/>
    <n v="1"/>
    <n v="1"/>
    <s v="111"/>
    <x v="1"/>
  </r>
  <r>
    <x v="183"/>
    <d v="2024-06-30T09:00:07"/>
    <x v="0"/>
    <x v="1"/>
    <x v="2"/>
    <n v="1193.79"/>
    <n v="663"/>
    <n v="12"/>
    <n v="34222.5"/>
    <n v="1"/>
    <n v="1"/>
    <n v="3"/>
    <s v="113"/>
    <x v="2"/>
  </r>
  <r>
    <x v="184"/>
    <d v="2024-06-30T09:00:07"/>
    <x v="5"/>
    <x v="1"/>
    <x v="2"/>
    <n v="10213.35"/>
    <n v="663"/>
    <n v="9"/>
    <n v="45498.270000000004"/>
    <n v="1"/>
    <n v="2"/>
    <n v="1"/>
    <s v="121"/>
    <x v="1"/>
  </r>
  <r>
    <x v="112"/>
    <d v="2024-06-30T09:00:07"/>
    <x v="6"/>
    <x v="0"/>
    <x v="0"/>
    <n v="5082.2"/>
    <n v="663"/>
    <n v="7"/>
    <n v="25356.28"/>
    <n v="1"/>
    <n v="4"/>
    <n v="4"/>
    <s v="144"/>
    <x v="3"/>
  </r>
  <r>
    <x v="115"/>
    <d v="2024-06-30T09:00:07"/>
    <x v="0"/>
    <x v="6"/>
    <x v="2"/>
    <n v="1174.6500000000001"/>
    <n v="663"/>
    <n v="7"/>
    <n v="28040.249999999996"/>
    <n v="1"/>
    <n v="4"/>
    <n v="4"/>
    <s v="144"/>
    <x v="3"/>
  </r>
  <r>
    <x v="185"/>
    <d v="2024-06-30T09:00:07"/>
    <x v="7"/>
    <x v="5"/>
    <x v="2"/>
    <n v="3750.61"/>
    <n v="663"/>
    <n v="9"/>
    <n v="38767.17"/>
    <n v="1"/>
    <n v="2"/>
    <n v="2"/>
    <s v="122"/>
    <x v="1"/>
  </r>
  <r>
    <x v="186"/>
    <d v="2024-06-30T09:00:07"/>
    <x v="7"/>
    <x v="2"/>
    <x v="1"/>
    <n v="3633.55"/>
    <n v="663"/>
    <n v="7"/>
    <n v="37438.960000000006"/>
    <n v="1"/>
    <n v="4"/>
    <n v="2"/>
    <s v="142"/>
    <x v="0"/>
  </r>
  <r>
    <x v="116"/>
    <d v="2024-07-01T09:00:07"/>
    <x v="9"/>
    <x v="5"/>
    <x v="2"/>
    <n v="5985.58"/>
    <n v="662"/>
    <n v="16"/>
    <n v="76962.720000000001"/>
    <n v="1"/>
    <n v="1"/>
    <n v="1"/>
    <s v="111"/>
    <x v="1"/>
  </r>
  <r>
    <x v="187"/>
    <d v="2024-07-01T09:00:07"/>
    <x v="5"/>
    <x v="0"/>
    <x v="2"/>
    <n v="2017.22"/>
    <n v="662"/>
    <n v="9"/>
    <n v="31221.600000000002"/>
    <n v="1"/>
    <n v="2"/>
    <n v="3"/>
    <s v="123"/>
    <x v="2"/>
  </r>
  <r>
    <x v="188"/>
    <d v="2024-07-01T09:00:07"/>
    <x v="6"/>
    <x v="5"/>
    <x v="0"/>
    <n v="2045.97"/>
    <n v="662"/>
    <n v="8"/>
    <n v="33838.019999999997"/>
    <n v="1"/>
    <n v="3"/>
    <n v="3"/>
    <s v="133"/>
    <x v="3"/>
  </r>
  <r>
    <x v="153"/>
    <d v="2024-07-01T09:00:07"/>
    <x v="6"/>
    <x v="3"/>
    <x v="2"/>
    <n v="1883.98"/>
    <n v="662"/>
    <n v="7"/>
    <n v="17672.689999999999"/>
    <n v="1"/>
    <n v="4"/>
    <n v="5"/>
    <s v="145"/>
    <x v="3"/>
  </r>
  <r>
    <x v="136"/>
    <d v="2024-07-01T09:00:07"/>
    <x v="7"/>
    <x v="3"/>
    <x v="0"/>
    <n v="5028.38"/>
    <n v="662"/>
    <n v="7"/>
    <n v="26629.329999999998"/>
    <n v="1"/>
    <n v="4"/>
    <n v="4"/>
    <s v="144"/>
    <x v="3"/>
  </r>
  <r>
    <x v="38"/>
    <d v="2024-07-02T09:00:07"/>
    <x v="9"/>
    <x v="0"/>
    <x v="2"/>
    <n v="2787.68"/>
    <n v="661"/>
    <n v="7"/>
    <n v="21298.79"/>
    <n v="1"/>
    <n v="4"/>
    <n v="5"/>
    <s v="145"/>
    <x v="3"/>
  </r>
  <r>
    <x v="189"/>
    <d v="2024-07-02T09:00:07"/>
    <x v="2"/>
    <x v="1"/>
    <x v="1"/>
    <n v="9170.14"/>
    <n v="661"/>
    <n v="11"/>
    <n v="45651.77"/>
    <n v="1"/>
    <n v="1"/>
    <n v="1"/>
    <s v="111"/>
    <x v="1"/>
  </r>
  <r>
    <x v="91"/>
    <d v="2024-07-02T09:00:07"/>
    <x v="9"/>
    <x v="0"/>
    <x v="1"/>
    <n v="6123.01"/>
    <n v="661"/>
    <n v="7"/>
    <n v="21209.440000000002"/>
    <n v="1"/>
    <n v="4"/>
    <n v="5"/>
    <s v="145"/>
    <x v="3"/>
  </r>
  <r>
    <x v="114"/>
    <d v="2024-07-03T09:00:07"/>
    <x v="3"/>
    <x v="3"/>
    <x v="1"/>
    <n v="3546.46"/>
    <n v="660"/>
    <n v="6"/>
    <n v="22984.870000000003"/>
    <n v="1"/>
    <n v="4"/>
    <n v="4"/>
    <s v="144"/>
    <x v="3"/>
  </r>
  <r>
    <x v="62"/>
    <d v="2024-07-03T09:00:07"/>
    <x v="0"/>
    <x v="1"/>
    <x v="1"/>
    <n v="3270.31"/>
    <n v="660"/>
    <n v="8"/>
    <n v="17550.599999999999"/>
    <n v="1"/>
    <n v="3"/>
    <n v="5"/>
    <s v="135"/>
    <x v="3"/>
  </r>
  <r>
    <x v="27"/>
    <d v="2024-07-03T09:00:07"/>
    <x v="5"/>
    <x v="1"/>
    <x v="0"/>
    <n v="3898.72"/>
    <n v="660"/>
    <n v="12"/>
    <n v="49930.359999999993"/>
    <n v="1"/>
    <n v="1"/>
    <n v="1"/>
    <s v="111"/>
    <x v="1"/>
  </r>
  <r>
    <x v="17"/>
    <d v="2024-07-04T09:00:07"/>
    <x v="9"/>
    <x v="1"/>
    <x v="1"/>
    <n v="4746.53"/>
    <n v="659"/>
    <n v="3"/>
    <n v="11200.41"/>
    <n v="1"/>
    <n v="5"/>
    <n v="5"/>
    <s v="155"/>
    <x v="3"/>
  </r>
  <r>
    <x v="7"/>
    <d v="2024-07-04T09:00:07"/>
    <x v="2"/>
    <x v="1"/>
    <x v="1"/>
    <n v="5595"/>
    <n v="659"/>
    <n v="8"/>
    <n v="43799.990000000005"/>
    <n v="1"/>
    <n v="3"/>
    <n v="2"/>
    <s v="132"/>
    <x v="0"/>
  </r>
  <r>
    <x v="62"/>
    <d v="2024-07-04T09:00:07"/>
    <x v="0"/>
    <x v="5"/>
    <x v="0"/>
    <n v="3800.31"/>
    <n v="659"/>
    <n v="8"/>
    <n v="17550.599999999999"/>
    <n v="1"/>
    <n v="3"/>
    <n v="5"/>
    <s v="135"/>
    <x v="3"/>
  </r>
  <r>
    <x v="82"/>
    <d v="2024-07-04T09:00:07"/>
    <x v="6"/>
    <x v="5"/>
    <x v="1"/>
    <n v="7149.85"/>
    <n v="659"/>
    <n v="7"/>
    <n v="29725.939999999995"/>
    <n v="1"/>
    <n v="4"/>
    <n v="3"/>
    <s v="143"/>
    <x v="3"/>
  </r>
  <r>
    <x v="190"/>
    <d v="2024-07-04T09:00:07"/>
    <x v="9"/>
    <x v="1"/>
    <x v="2"/>
    <n v="2104.67"/>
    <n v="659"/>
    <n v="13"/>
    <n v="51409.87"/>
    <n v="1"/>
    <n v="1"/>
    <n v="1"/>
    <s v="111"/>
    <x v="1"/>
  </r>
  <r>
    <x v="191"/>
    <d v="2024-07-04T09:00:07"/>
    <x v="9"/>
    <x v="5"/>
    <x v="1"/>
    <n v="4742.8500000000004"/>
    <n v="659"/>
    <n v="11"/>
    <n v="54143.32"/>
    <n v="1"/>
    <n v="1"/>
    <n v="1"/>
    <s v="111"/>
    <x v="1"/>
  </r>
  <r>
    <x v="192"/>
    <d v="2024-07-05T09:00:07"/>
    <x v="5"/>
    <x v="1"/>
    <x v="2"/>
    <n v="196.8"/>
    <n v="658"/>
    <n v="12"/>
    <n v="45191.609999999993"/>
    <n v="1"/>
    <n v="1"/>
    <n v="1"/>
    <s v="111"/>
    <x v="1"/>
  </r>
  <r>
    <x v="193"/>
    <d v="2024-07-05T09:00:07"/>
    <x v="1"/>
    <x v="1"/>
    <x v="1"/>
    <n v="3745.11"/>
    <n v="658"/>
    <n v="10"/>
    <n v="54972.43"/>
    <n v="1"/>
    <n v="2"/>
    <n v="1"/>
    <s v="121"/>
    <x v="1"/>
  </r>
  <r>
    <x v="3"/>
    <d v="2024-07-05T09:00:07"/>
    <x v="4"/>
    <x v="5"/>
    <x v="0"/>
    <n v="1062.68"/>
    <n v="658"/>
    <n v="15"/>
    <n v="49637.999999999993"/>
    <n v="1"/>
    <n v="1"/>
    <n v="1"/>
    <s v="111"/>
    <x v="1"/>
  </r>
  <r>
    <x v="194"/>
    <d v="2024-07-05T09:00:07"/>
    <x v="4"/>
    <x v="4"/>
    <x v="2"/>
    <n v="10144.81"/>
    <n v="658"/>
    <n v="9"/>
    <n v="56095.37999999999"/>
    <n v="1"/>
    <n v="2"/>
    <n v="1"/>
    <s v="121"/>
    <x v="1"/>
  </r>
  <r>
    <x v="195"/>
    <d v="2024-07-05T09:00:07"/>
    <x v="9"/>
    <x v="6"/>
    <x v="2"/>
    <n v="3964.84"/>
    <n v="658"/>
    <n v="10"/>
    <n v="37984.589999999997"/>
    <n v="1"/>
    <n v="2"/>
    <n v="2"/>
    <s v="122"/>
    <x v="1"/>
  </r>
  <r>
    <x v="93"/>
    <d v="2024-07-05T09:00:07"/>
    <x v="4"/>
    <x v="6"/>
    <x v="0"/>
    <n v="81.7"/>
    <n v="658"/>
    <n v="9"/>
    <n v="32520.350000000002"/>
    <n v="1"/>
    <n v="2"/>
    <n v="3"/>
    <s v="123"/>
    <x v="2"/>
  </r>
  <r>
    <x v="1"/>
    <d v="2024-07-05T09:00:07"/>
    <x v="0"/>
    <x v="5"/>
    <x v="2"/>
    <n v="4784.0200000000004"/>
    <n v="658"/>
    <n v="12"/>
    <n v="49382.650000000009"/>
    <n v="1"/>
    <n v="1"/>
    <n v="1"/>
    <s v="111"/>
    <x v="1"/>
  </r>
  <r>
    <x v="90"/>
    <d v="2024-07-05T09:00:07"/>
    <x v="3"/>
    <x v="5"/>
    <x v="2"/>
    <n v="3477.44"/>
    <n v="658"/>
    <n v="7"/>
    <n v="34546.720000000001"/>
    <n v="1"/>
    <n v="4"/>
    <n v="3"/>
    <s v="143"/>
    <x v="3"/>
  </r>
  <r>
    <x v="196"/>
    <d v="2024-07-05T09:00:07"/>
    <x v="0"/>
    <x v="5"/>
    <x v="1"/>
    <n v="5529.17"/>
    <n v="658"/>
    <n v="10"/>
    <n v="44305.600000000006"/>
    <n v="1"/>
    <n v="2"/>
    <n v="2"/>
    <s v="122"/>
    <x v="1"/>
  </r>
  <r>
    <x v="190"/>
    <d v="2024-07-05T09:00:07"/>
    <x v="1"/>
    <x v="5"/>
    <x v="1"/>
    <n v="1217.26"/>
    <n v="658"/>
    <n v="13"/>
    <n v="51409.87"/>
    <n v="1"/>
    <n v="1"/>
    <n v="1"/>
    <s v="111"/>
    <x v="1"/>
  </r>
  <r>
    <x v="21"/>
    <d v="2024-07-06T09:00:07"/>
    <x v="4"/>
    <x v="3"/>
    <x v="2"/>
    <n v="1159.24"/>
    <n v="657"/>
    <n v="6"/>
    <n v="18163.55"/>
    <n v="1"/>
    <n v="4"/>
    <n v="5"/>
    <s v="145"/>
    <x v="3"/>
  </r>
  <r>
    <x v="25"/>
    <d v="2024-07-06T09:00:07"/>
    <x v="8"/>
    <x v="6"/>
    <x v="1"/>
    <n v="9267.98"/>
    <n v="657"/>
    <n v="7"/>
    <n v="28511.58"/>
    <n v="1"/>
    <n v="4"/>
    <n v="4"/>
    <s v="144"/>
    <x v="3"/>
  </r>
  <r>
    <x v="61"/>
    <d v="2024-07-06T09:00:07"/>
    <x v="9"/>
    <x v="5"/>
    <x v="2"/>
    <n v="10499.29"/>
    <n v="657"/>
    <n v="11"/>
    <n v="52771.959999999992"/>
    <n v="1"/>
    <n v="1"/>
    <n v="1"/>
    <s v="111"/>
    <x v="1"/>
  </r>
  <r>
    <x v="197"/>
    <d v="2024-07-06T09:00:07"/>
    <x v="5"/>
    <x v="2"/>
    <x v="2"/>
    <n v="3278.32"/>
    <n v="657"/>
    <n v="7"/>
    <n v="27796.990000000005"/>
    <n v="1"/>
    <n v="4"/>
    <n v="4"/>
    <s v="144"/>
    <x v="3"/>
  </r>
  <r>
    <x v="135"/>
    <d v="2024-07-07T09:00:07"/>
    <x v="1"/>
    <x v="2"/>
    <x v="0"/>
    <n v="3100.55"/>
    <n v="656"/>
    <n v="9"/>
    <n v="34982.139999999992"/>
    <n v="1"/>
    <n v="2"/>
    <n v="3"/>
    <s v="123"/>
    <x v="2"/>
  </r>
  <r>
    <x v="190"/>
    <d v="2024-07-07T09:00:07"/>
    <x v="2"/>
    <x v="5"/>
    <x v="2"/>
    <n v="2445.5300000000002"/>
    <n v="656"/>
    <n v="13"/>
    <n v="51409.87"/>
    <n v="1"/>
    <n v="1"/>
    <n v="1"/>
    <s v="111"/>
    <x v="1"/>
  </r>
  <r>
    <x v="155"/>
    <d v="2024-07-07T09:00:07"/>
    <x v="9"/>
    <x v="3"/>
    <x v="2"/>
    <n v="2880.82"/>
    <n v="656"/>
    <n v="4"/>
    <n v="21062.23"/>
    <n v="1"/>
    <n v="5"/>
    <n v="5"/>
    <s v="155"/>
    <x v="3"/>
  </r>
  <r>
    <x v="198"/>
    <d v="2024-07-07T09:00:07"/>
    <x v="4"/>
    <x v="6"/>
    <x v="0"/>
    <n v="2216.9699999999998"/>
    <n v="656"/>
    <n v="9"/>
    <n v="30846.7"/>
    <n v="1"/>
    <n v="2"/>
    <n v="3"/>
    <s v="123"/>
    <x v="2"/>
  </r>
  <r>
    <x v="199"/>
    <d v="2024-07-07T09:00:07"/>
    <x v="8"/>
    <x v="6"/>
    <x v="2"/>
    <n v="1079.98"/>
    <n v="656"/>
    <n v="13"/>
    <n v="40298.450000000004"/>
    <n v="1"/>
    <n v="1"/>
    <n v="2"/>
    <s v="112"/>
    <x v="1"/>
  </r>
  <r>
    <x v="200"/>
    <d v="2024-07-07T09:00:07"/>
    <x v="6"/>
    <x v="4"/>
    <x v="2"/>
    <n v="1555.7"/>
    <n v="656"/>
    <n v="5"/>
    <n v="20246.7"/>
    <n v="1"/>
    <n v="5"/>
    <n v="5"/>
    <s v="155"/>
    <x v="3"/>
  </r>
  <r>
    <x v="201"/>
    <d v="2024-07-07T09:00:07"/>
    <x v="4"/>
    <x v="2"/>
    <x v="0"/>
    <n v="1410.36"/>
    <n v="656"/>
    <n v="9"/>
    <n v="44812.989999999991"/>
    <n v="1"/>
    <n v="2"/>
    <n v="2"/>
    <s v="122"/>
    <x v="1"/>
  </r>
  <r>
    <x v="202"/>
    <d v="2024-07-08T09:00:07"/>
    <x v="1"/>
    <x v="3"/>
    <x v="0"/>
    <n v="490.15"/>
    <n v="655"/>
    <n v="7"/>
    <n v="13087.390000000001"/>
    <n v="1"/>
    <n v="4"/>
    <n v="5"/>
    <s v="145"/>
    <x v="3"/>
  </r>
  <r>
    <x v="1"/>
    <d v="2024-07-08T09:00:07"/>
    <x v="2"/>
    <x v="6"/>
    <x v="0"/>
    <n v="953.51"/>
    <n v="655"/>
    <n v="12"/>
    <n v="49382.650000000009"/>
    <n v="1"/>
    <n v="1"/>
    <n v="1"/>
    <s v="111"/>
    <x v="1"/>
  </r>
  <r>
    <x v="35"/>
    <d v="2024-07-08T09:00:07"/>
    <x v="3"/>
    <x v="2"/>
    <x v="1"/>
    <n v="3093.32"/>
    <n v="655"/>
    <n v="8"/>
    <n v="38894.44"/>
    <n v="1"/>
    <n v="3"/>
    <n v="2"/>
    <s v="132"/>
    <x v="0"/>
  </r>
  <r>
    <x v="32"/>
    <d v="2024-07-08T09:00:07"/>
    <x v="1"/>
    <x v="6"/>
    <x v="1"/>
    <n v="5449.02"/>
    <n v="655"/>
    <n v="13"/>
    <n v="40402.14"/>
    <n v="1"/>
    <n v="1"/>
    <n v="2"/>
    <s v="112"/>
    <x v="1"/>
  </r>
  <r>
    <x v="201"/>
    <d v="2024-07-08T09:00:07"/>
    <x v="4"/>
    <x v="4"/>
    <x v="2"/>
    <n v="3275.42"/>
    <n v="655"/>
    <n v="9"/>
    <n v="44812.989999999991"/>
    <n v="1"/>
    <n v="2"/>
    <n v="2"/>
    <s v="122"/>
    <x v="1"/>
  </r>
  <r>
    <x v="203"/>
    <d v="2024-07-08T09:00:07"/>
    <x v="0"/>
    <x v="6"/>
    <x v="1"/>
    <n v="1567.2"/>
    <n v="655"/>
    <n v="7"/>
    <n v="24539.160000000003"/>
    <n v="1"/>
    <n v="4"/>
    <n v="4"/>
    <s v="144"/>
    <x v="3"/>
  </r>
  <r>
    <x v="204"/>
    <d v="2024-07-08T09:00:07"/>
    <x v="9"/>
    <x v="6"/>
    <x v="1"/>
    <n v="5298.95"/>
    <n v="655"/>
    <n v="9"/>
    <n v="36233.340000000004"/>
    <n v="1"/>
    <n v="2"/>
    <n v="3"/>
    <s v="123"/>
    <x v="2"/>
  </r>
  <r>
    <x v="205"/>
    <d v="2024-07-08T09:00:07"/>
    <x v="1"/>
    <x v="3"/>
    <x v="2"/>
    <n v="1897.88"/>
    <n v="655"/>
    <n v="8"/>
    <n v="24691.75"/>
    <n v="1"/>
    <n v="3"/>
    <n v="4"/>
    <s v="134"/>
    <x v="3"/>
  </r>
  <r>
    <x v="86"/>
    <d v="2024-07-09T09:00:07"/>
    <x v="0"/>
    <x v="1"/>
    <x v="1"/>
    <n v="4209.6899999999996"/>
    <n v="654"/>
    <n v="7"/>
    <n v="18845.82"/>
    <n v="1"/>
    <n v="4"/>
    <n v="5"/>
    <s v="145"/>
    <x v="3"/>
  </r>
  <r>
    <x v="206"/>
    <d v="2024-07-09T09:00:07"/>
    <x v="0"/>
    <x v="5"/>
    <x v="0"/>
    <n v="6167.02"/>
    <n v="654"/>
    <n v="5"/>
    <n v="19562.71"/>
    <n v="1"/>
    <n v="5"/>
    <n v="5"/>
    <s v="155"/>
    <x v="3"/>
  </r>
  <r>
    <x v="207"/>
    <d v="2024-07-10T09:00:07"/>
    <x v="0"/>
    <x v="3"/>
    <x v="1"/>
    <n v="180.45"/>
    <n v="653"/>
    <n v="10"/>
    <n v="39681.960000000006"/>
    <n v="1"/>
    <n v="2"/>
    <n v="2"/>
    <s v="122"/>
    <x v="1"/>
  </r>
  <r>
    <x v="208"/>
    <d v="2024-07-10T09:00:07"/>
    <x v="6"/>
    <x v="6"/>
    <x v="1"/>
    <n v="641.19000000000005"/>
    <n v="653"/>
    <n v="8"/>
    <n v="27084.66"/>
    <n v="1"/>
    <n v="3"/>
    <n v="4"/>
    <s v="134"/>
    <x v="3"/>
  </r>
  <r>
    <x v="108"/>
    <d v="2024-07-11T09:00:07"/>
    <x v="1"/>
    <x v="5"/>
    <x v="2"/>
    <n v="15258.77"/>
    <n v="652"/>
    <n v="8"/>
    <n v="45571.029999999992"/>
    <n v="1"/>
    <n v="3"/>
    <n v="1"/>
    <s v="131"/>
    <x v="0"/>
  </r>
  <r>
    <x v="11"/>
    <d v="2024-07-11T09:00:07"/>
    <x v="6"/>
    <x v="1"/>
    <x v="1"/>
    <n v="6719.77"/>
    <n v="652"/>
    <n v="9"/>
    <n v="29151.88"/>
    <n v="1"/>
    <n v="2"/>
    <n v="4"/>
    <s v="124"/>
    <x v="2"/>
  </r>
  <r>
    <x v="94"/>
    <d v="2024-07-11T09:00:07"/>
    <x v="7"/>
    <x v="5"/>
    <x v="2"/>
    <n v="6466.79"/>
    <n v="652"/>
    <n v="13"/>
    <n v="56128.799999999996"/>
    <n v="1"/>
    <n v="1"/>
    <n v="1"/>
    <s v="111"/>
    <x v="1"/>
  </r>
  <r>
    <x v="177"/>
    <d v="2024-07-13T09:00:07"/>
    <x v="8"/>
    <x v="2"/>
    <x v="1"/>
    <n v="4512.8900000000003"/>
    <n v="650"/>
    <n v="11"/>
    <n v="45526.78"/>
    <n v="1"/>
    <n v="1"/>
    <n v="1"/>
    <s v="111"/>
    <x v="1"/>
  </r>
  <r>
    <x v="209"/>
    <d v="2024-07-13T09:00:07"/>
    <x v="1"/>
    <x v="2"/>
    <x v="1"/>
    <n v="2745.29"/>
    <n v="650"/>
    <n v="11"/>
    <n v="43753.86"/>
    <n v="1"/>
    <n v="1"/>
    <n v="2"/>
    <s v="112"/>
    <x v="1"/>
  </r>
  <r>
    <x v="123"/>
    <d v="2024-07-14T09:00:07"/>
    <x v="4"/>
    <x v="5"/>
    <x v="0"/>
    <n v="1445.49"/>
    <n v="649"/>
    <n v="9"/>
    <n v="28813.449999999997"/>
    <n v="1"/>
    <n v="2"/>
    <n v="4"/>
    <s v="124"/>
    <x v="2"/>
  </r>
  <r>
    <x v="210"/>
    <d v="2024-07-14T09:00:07"/>
    <x v="7"/>
    <x v="3"/>
    <x v="0"/>
    <n v="9558.11"/>
    <n v="649"/>
    <n v="9"/>
    <n v="37239.53"/>
    <n v="1"/>
    <n v="2"/>
    <n v="2"/>
    <s v="122"/>
    <x v="1"/>
  </r>
  <r>
    <x v="211"/>
    <d v="2024-07-14T09:00:07"/>
    <x v="6"/>
    <x v="6"/>
    <x v="2"/>
    <n v="2074.21"/>
    <n v="649"/>
    <n v="8"/>
    <n v="29088.159999999996"/>
    <n v="1"/>
    <n v="3"/>
    <n v="4"/>
    <s v="134"/>
    <x v="3"/>
  </r>
  <r>
    <x v="5"/>
    <d v="2024-07-14T09:00:07"/>
    <x v="2"/>
    <x v="1"/>
    <x v="0"/>
    <n v="4414.51"/>
    <n v="649"/>
    <n v="6"/>
    <n v="39626.31"/>
    <n v="1"/>
    <n v="4"/>
    <n v="2"/>
    <s v="142"/>
    <x v="0"/>
  </r>
  <r>
    <x v="212"/>
    <d v="2024-07-14T09:00:07"/>
    <x v="4"/>
    <x v="3"/>
    <x v="2"/>
    <n v="392.21"/>
    <n v="649"/>
    <n v="9"/>
    <n v="27881.53"/>
    <n v="1"/>
    <n v="2"/>
    <n v="4"/>
    <s v="124"/>
    <x v="2"/>
  </r>
  <r>
    <x v="213"/>
    <d v="2024-07-14T09:00:07"/>
    <x v="6"/>
    <x v="1"/>
    <x v="0"/>
    <n v="4574.99"/>
    <n v="649"/>
    <n v="12"/>
    <n v="36909.899999999994"/>
    <n v="1"/>
    <n v="1"/>
    <n v="2"/>
    <s v="112"/>
    <x v="1"/>
  </r>
  <r>
    <x v="92"/>
    <d v="2024-07-15T09:00:07"/>
    <x v="1"/>
    <x v="2"/>
    <x v="2"/>
    <n v="7226.64"/>
    <n v="648"/>
    <n v="7"/>
    <n v="33778.21"/>
    <n v="1"/>
    <n v="4"/>
    <n v="3"/>
    <s v="143"/>
    <x v="3"/>
  </r>
  <r>
    <x v="143"/>
    <d v="2024-07-15T09:00:07"/>
    <x v="4"/>
    <x v="6"/>
    <x v="0"/>
    <n v="4657.91"/>
    <n v="648"/>
    <n v="11"/>
    <n v="43247.159999999996"/>
    <n v="1"/>
    <n v="1"/>
    <n v="2"/>
    <s v="112"/>
    <x v="1"/>
  </r>
  <r>
    <x v="47"/>
    <d v="2024-07-15T09:00:07"/>
    <x v="8"/>
    <x v="6"/>
    <x v="2"/>
    <n v="3898.24"/>
    <n v="648"/>
    <n v="11"/>
    <n v="58842.799999999996"/>
    <n v="1"/>
    <n v="1"/>
    <n v="1"/>
    <s v="111"/>
    <x v="1"/>
  </r>
  <r>
    <x v="214"/>
    <d v="2024-07-15T09:00:07"/>
    <x v="1"/>
    <x v="1"/>
    <x v="1"/>
    <n v="5812.49"/>
    <n v="648"/>
    <n v="5"/>
    <n v="18720.68"/>
    <n v="1"/>
    <n v="5"/>
    <n v="5"/>
    <s v="155"/>
    <x v="3"/>
  </r>
  <r>
    <x v="100"/>
    <d v="2024-07-15T09:00:07"/>
    <x v="5"/>
    <x v="3"/>
    <x v="1"/>
    <n v="2449.85"/>
    <n v="648"/>
    <n v="6"/>
    <n v="27182.68"/>
    <n v="1"/>
    <n v="4"/>
    <n v="4"/>
    <s v="144"/>
    <x v="3"/>
  </r>
  <r>
    <x v="215"/>
    <d v="2024-07-15T09:00:07"/>
    <x v="9"/>
    <x v="6"/>
    <x v="2"/>
    <n v="1709.76"/>
    <n v="648"/>
    <n v="6"/>
    <n v="19413.5"/>
    <n v="1"/>
    <n v="4"/>
    <n v="5"/>
    <s v="145"/>
    <x v="3"/>
  </r>
  <r>
    <x v="47"/>
    <d v="2024-07-16T09:00:07"/>
    <x v="7"/>
    <x v="1"/>
    <x v="0"/>
    <n v="11973.75"/>
    <n v="647"/>
    <n v="11"/>
    <n v="58842.799999999996"/>
    <n v="1"/>
    <n v="1"/>
    <n v="1"/>
    <s v="111"/>
    <x v="1"/>
  </r>
  <r>
    <x v="216"/>
    <d v="2024-07-16T09:00:07"/>
    <x v="4"/>
    <x v="1"/>
    <x v="1"/>
    <n v="3132.18"/>
    <n v="647"/>
    <n v="5"/>
    <n v="26334.340000000004"/>
    <n v="1"/>
    <n v="5"/>
    <n v="4"/>
    <s v="154"/>
    <x v="3"/>
  </r>
  <r>
    <x v="217"/>
    <d v="2024-07-16T09:00:07"/>
    <x v="6"/>
    <x v="4"/>
    <x v="1"/>
    <n v="3103.22"/>
    <n v="647"/>
    <n v="5"/>
    <n v="18557.84"/>
    <n v="1"/>
    <n v="5"/>
    <n v="5"/>
    <s v="155"/>
    <x v="3"/>
  </r>
  <r>
    <x v="64"/>
    <d v="2024-07-16T09:00:07"/>
    <x v="7"/>
    <x v="2"/>
    <x v="2"/>
    <n v="4877.7"/>
    <n v="647"/>
    <n v="5"/>
    <n v="21964.689999999995"/>
    <n v="1"/>
    <n v="5"/>
    <n v="4"/>
    <s v="154"/>
    <x v="3"/>
  </r>
  <r>
    <x v="218"/>
    <d v="2024-07-16T09:00:07"/>
    <x v="2"/>
    <x v="2"/>
    <x v="2"/>
    <n v="2974.35"/>
    <n v="647"/>
    <n v="12"/>
    <n v="48008.159999999996"/>
    <n v="1"/>
    <n v="1"/>
    <n v="1"/>
    <s v="111"/>
    <x v="1"/>
  </r>
  <r>
    <x v="197"/>
    <d v="2024-07-17T09:00:07"/>
    <x v="0"/>
    <x v="0"/>
    <x v="2"/>
    <n v="2088"/>
    <n v="646"/>
    <n v="7"/>
    <n v="27796.990000000005"/>
    <n v="1"/>
    <n v="4"/>
    <n v="4"/>
    <s v="144"/>
    <x v="3"/>
  </r>
  <r>
    <x v="12"/>
    <d v="2024-07-18T09:00:07"/>
    <x v="5"/>
    <x v="4"/>
    <x v="1"/>
    <n v="1356.07"/>
    <n v="645"/>
    <n v="9"/>
    <n v="24509.48"/>
    <n v="1"/>
    <n v="2"/>
    <n v="4"/>
    <s v="124"/>
    <x v="2"/>
  </r>
  <r>
    <x v="219"/>
    <d v="2024-07-18T09:00:07"/>
    <x v="9"/>
    <x v="5"/>
    <x v="1"/>
    <n v="8422.39"/>
    <n v="645"/>
    <n v="9"/>
    <n v="35283.15"/>
    <n v="1"/>
    <n v="2"/>
    <n v="3"/>
    <s v="123"/>
    <x v="2"/>
  </r>
  <r>
    <x v="146"/>
    <d v="2024-07-18T09:00:07"/>
    <x v="1"/>
    <x v="0"/>
    <x v="1"/>
    <n v="6559.63"/>
    <n v="645"/>
    <n v="12"/>
    <n v="42776.80999999999"/>
    <n v="1"/>
    <n v="1"/>
    <n v="2"/>
    <s v="112"/>
    <x v="1"/>
  </r>
  <r>
    <x v="220"/>
    <d v="2024-07-19T09:00:07"/>
    <x v="5"/>
    <x v="4"/>
    <x v="1"/>
    <n v="6216.99"/>
    <n v="644"/>
    <n v="5"/>
    <n v="20686.43"/>
    <n v="1"/>
    <n v="5"/>
    <n v="5"/>
    <s v="155"/>
    <x v="3"/>
  </r>
  <r>
    <x v="62"/>
    <d v="2024-07-19T09:00:07"/>
    <x v="8"/>
    <x v="0"/>
    <x v="0"/>
    <n v="1072.6199999999999"/>
    <n v="644"/>
    <n v="8"/>
    <n v="17550.599999999999"/>
    <n v="1"/>
    <n v="3"/>
    <n v="5"/>
    <s v="135"/>
    <x v="3"/>
  </r>
  <r>
    <x v="221"/>
    <d v="2024-07-19T09:00:07"/>
    <x v="4"/>
    <x v="0"/>
    <x v="2"/>
    <n v="4471.58"/>
    <n v="644"/>
    <n v="9"/>
    <n v="32930.549999999996"/>
    <n v="1"/>
    <n v="2"/>
    <n v="3"/>
    <s v="123"/>
    <x v="2"/>
  </r>
  <r>
    <x v="222"/>
    <d v="2024-07-19T09:00:07"/>
    <x v="7"/>
    <x v="0"/>
    <x v="2"/>
    <n v="3690"/>
    <n v="644"/>
    <n v="9"/>
    <n v="34007.68"/>
    <n v="1"/>
    <n v="2"/>
    <n v="3"/>
    <s v="123"/>
    <x v="2"/>
  </r>
  <r>
    <x v="222"/>
    <d v="2024-07-20T09:00:07"/>
    <x v="2"/>
    <x v="2"/>
    <x v="1"/>
    <n v="9389.9699999999993"/>
    <n v="643"/>
    <n v="9"/>
    <n v="34007.68"/>
    <n v="1"/>
    <n v="2"/>
    <n v="3"/>
    <s v="123"/>
    <x v="2"/>
  </r>
  <r>
    <x v="223"/>
    <d v="2024-07-20T09:00:07"/>
    <x v="4"/>
    <x v="2"/>
    <x v="0"/>
    <n v="7551.75"/>
    <n v="643"/>
    <n v="9"/>
    <n v="26752.640000000003"/>
    <n v="1"/>
    <n v="2"/>
    <n v="4"/>
    <s v="124"/>
    <x v="2"/>
  </r>
  <r>
    <x v="3"/>
    <d v="2024-07-20T09:00:07"/>
    <x v="5"/>
    <x v="1"/>
    <x v="1"/>
    <n v="2583.4299999999998"/>
    <n v="643"/>
    <n v="15"/>
    <n v="49637.999999999993"/>
    <n v="1"/>
    <n v="1"/>
    <n v="1"/>
    <s v="111"/>
    <x v="1"/>
  </r>
  <r>
    <x v="161"/>
    <d v="2024-07-20T09:00:07"/>
    <x v="4"/>
    <x v="2"/>
    <x v="0"/>
    <n v="542.91"/>
    <n v="643"/>
    <n v="9"/>
    <n v="32548.37"/>
    <n v="1"/>
    <n v="2"/>
    <n v="3"/>
    <s v="123"/>
    <x v="2"/>
  </r>
  <r>
    <x v="224"/>
    <d v="2024-07-20T09:00:07"/>
    <x v="1"/>
    <x v="4"/>
    <x v="2"/>
    <n v="5294.88"/>
    <n v="643"/>
    <n v="8"/>
    <n v="28833.759999999998"/>
    <n v="1"/>
    <n v="3"/>
    <n v="4"/>
    <s v="134"/>
    <x v="3"/>
  </r>
  <r>
    <x v="125"/>
    <d v="2024-07-21T09:00:07"/>
    <x v="3"/>
    <x v="5"/>
    <x v="0"/>
    <n v="3632.2"/>
    <n v="642"/>
    <n v="9"/>
    <n v="33311.4"/>
    <n v="1"/>
    <n v="2"/>
    <n v="3"/>
    <s v="123"/>
    <x v="2"/>
  </r>
  <r>
    <x v="196"/>
    <d v="2024-07-21T09:00:07"/>
    <x v="5"/>
    <x v="5"/>
    <x v="1"/>
    <n v="6745.87"/>
    <n v="642"/>
    <n v="10"/>
    <n v="44305.600000000006"/>
    <n v="1"/>
    <n v="2"/>
    <n v="2"/>
    <s v="122"/>
    <x v="1"/>
  </r>
  <r>
    <x v="20"/>
    <d v="2024-07-21T09:00:07"/>
    <x v="8"/>
    <x v="5"/>
    <x v="2"/>
    <n v="4037.88"/>
    <n v="642"/>
    <n v="14"/>
    <n v="53433.220000000008"/>
    <n v="1"/>
    <n v="1"/>
    <n v="1"/>
    <s v="111"/>
    <x v="1"/>
  </r>
  <r>
    <x v="88"/>
    <d v="2024-07-22T09:00:07"/>
    <x v="4"/>
    <x v="1"/>
    <x v="1"/>
    <n v="7698.96"/>
    <n v="641"/>
    <n v="11"/>
    <n v="62566.770000000004"/>
    <n v="1"/>
    <n v="1"/>
    <n v="1"/>
    <s v="111"/>
    <x v="1"/>
  </r>
  <r>
    <x v="45"/>
    <d v="2024-07-22T09:00:07"/>
    <x v="2"/>
    <x v="2"/>
    <x v="0"/>
    <n v="4433.66"/>
    <n v="641"/>
    <n v="10"/>
    <n v="50122.659999999996"/>
    <n v="1"/>
    <n v="2"/>
    <n v="1"/>
    <s v="121"/>
    <x v="1"/>
  </r>
  <r>
    <x v="225"/>
    <d v="2024-07-22T09:00:07"/>
    <x v="4"/>
    <x v="6"/>
    <x v="0"/>
    <n v="2778.16"/>
    <n v="641"/>
    <n v="10"/>
    <n v="31217.780000000002"/>
    <n v="1"/>
    <n v="2"/>
    <n v="3"/>
    <s v="123"/>
    <x v="2"/>
  </r>
  <r>
    <x v="194"/>
    <d v="2024-07-22T09:00:07"/>
    <x v="4"/>
    <x v="4"/>
    <x v="1"/>
    <n v="316.27999999999997"/>
    <n v="641"/>
    <n v="9"/>
    <n v="56095.37999999999"/>
    <n v="1"/>
    <n v="2"/>
    <n v="1"/>
    <s v="121"/>
    <x v="1"/>
  </r>
  <r>
    <x v="88"/>
    <d v="2024-07-23T09:00:07"/>
    <x v="8"/>
    <x v="6"/>
    <x v="0"/>
    <n v="1241.18"/>
    <n v="640"/>
    <n v="11"/>
    <n v="62566.770000000004"/>
    <n v="1"/>
    <n v="1"/>
    <n v="1"/>
    <s v="111"/>
    <x v="1"/>
  </r>
  <r>
    <x v="226"/>
    <d v="2024-07-23T09:00:07"/>
    <x v="5"/>
    <x v="5"/>
    <x v="0"/>
    <n v="3880.86"/>
    <n v="640"/>
    <n v="6"/>
    <n v="23326.76"/>
    <n v="1"/>
    <n v="4"/>
    <n v="4"/>
    <s v="144"/>
    <x v="3"/>
  </r>
  <r>
    <x v="227"/>
    <d v="2024-07-23T09:00:07"/>
    <x v="4"/>
    <x v="1"/>
    <x v="0"/>
    <n v="4155.68"/>
    <n v="640"/>
    <n v="4"/>
    <n v="21830.14"/>
    <n v="1"/>
    <n v="5"/>
    <n v="4"/>
    <s v="154"/>
    <x v="3"/>
  </r>
  <r>
    <x v="201"/>
    <d v="2024-07-23T09:00:07"/>
    <x v="8"/>
    <x v="6"/>
    <x v="0"/>
    <n v="7055.43"/>
    <n v="640"/>
    <n v="9"/>
    <n v="44812.989999999991"/>
    <n v="1"/>
    <n v="2"/>
    <n v="2"/>
    <s v="122"/>
    <x v="1"/>
  </r>
  <r>
    <x v="228"/>
    <d v="2024-07-24T09:00:07"/>
    <x v="6"/>
    <x v="3"/>
    <x v="1"/>
    <n v="4151.67"/>
    <n v="639"/>
    <n v="6"/>
    <n v="17195.870000000003"/>
    <n v="1"/>
    <n v="4"/>
    <n v="5"/>
    <s v="145"/>
    <x v="3"/>
  </r>
  <r>
    <x v="94"/>
    <d v="2024-07-24T09:00:07"/>
    <x v="0"/>
    <x v="1"/>
    <x v="1"/>
    <n v="6854.64"/>
    <n v="639"/>
    <n v="13"/>
    <n v="56128.799999999996"/>
    <n v="1"/>
    <n v="1"/>
    <n v="1"/>
    <s v="111"/>
    <x v="1"/>
  </r>
  <r>
    <x v="60"/>
    <d v="2024-07-25T09:00:07"/>
    <x v="1"/>
    <x v="1"/>
    <x v="1"/>
    <n v="1571.55"/>
    <n v="638"/>
    <n v="5"/>
    <n v="16253.25"/>
    <n v="1"/>
    <n v="5"/>
    <n v="5"/>
    <s v="155"/>
    <x v="3"/>
  </r>
  <r>
    <x v="229"/>
    <d v="2024-07-25T09:00:07"/>
    <x v="8"/>
    <x v="0"/>
    <x v="1"/>
    <n v="2328.5100000000002"/>
    <n v="638"/>
    <n v="10"/>
    <n v="27359.329999999998"/>
    <n v="1"/>
    <n v="2"/>
    <n v="4"/>
    <s v="124"/>
    <x v="2"/>
  </r>
  <r>
    <x v="127"/>
    <d v="2024-07-25T09:00:07"/>
    <x v="5"/>
    <x v="1"/>
    <x v="2"/>
    <n v="4250.49"/>
    <n v="638"/>
    <n v="5"/>
    <n v="28709.97"/>
    <n v="1"/>
    <n v="5"/>
    <n v="4"/>
    <s v="154"/>
    <x v="3"/>
  </r>
  <r>
    <x v="139"/>
    <d v="2024-07-25T09:00:07"/>
    <x v="1"/>
    <x v="5"/>
    <x v="2"/>
    <n v="8074.14"/>
    <n v="638"/>
    <n v="9"/>
    <n v="48530.240000000005"/>
    <n v="1"/>
    <n v="2"/>
    <n v="1"/>
    <s v="121"/>
    <x v="1"/>
  </r>
  <r>
    <x v="230"/>
    <d v="2024-07-25T09:00:07"/>
    <x v="4"/>
    <x v="1"/>
    <x v="0"/>
    <n v="636.16"/>
    <n v="638"/>
    <n v="6"/>
    <n v="11900.869999999999"/>
    <n v="1"/>
    <n v="4"/>
    <n v="5"/>
    <s v="145"/>
    <x v="3"/>
  </r>
  <r>
    <x v="231"/>
    <d v="2024-07-25T09:00:07"/>
    <x v="1"/>
    <x v="5"/>
    <x v="0"/>
    <n v="1820.46"/>
    <n v="638"/>
    <n v="9"/>
    <n v="40711.57"/>
    <n v="1"/>
    <n v="2"/>
    <n v="2"/>
    <s v="122"/>
    <x v="1"/>
  </r>
  <r>
    <x v="190"/>
    <d v="2024-07-25T09:00:07"/>
    <x v="8"/>
    <x v="0"/>
    <x v="2"/>
    <n v="758.86"/>
    <n v="638"/>
    <n v="13"/>
    <n v="51409.87"/>
    <n v="1"/>
    <n v="1"/>
    <n v="1"/>
    <s v="111"/>
    <x v="1"/>
  </r>
  <r>
    <x v="196"/>
    <d v="2024-07-25T09:00:07"/>
    <x v="2"/>
    <x v="2"/>
    <x v="1"/>
    <n v="2826.13"/>
    <n v="638"/>
    <n v="10"/>
    <n v="44305.600000000006"/>
    <n v="1"/>
    <n v="2"/>
    <n v="2"/>
    <s v="122"/>
    <x v="1"/>
  </r>
  <r>
    <x v="158"/>
    <d v="2024-07-26T09:00:07"/>
    <x v="6"/>
    <x v="4"/>
    <x v="0"/>
    <n v="4750.09"/>
    <n v="637"/>
    <n v="9"/>
    <n v="36713.85"/>
    <n v="1"/>
    <n v="2"/>
    <n v="3"/>
    <s v="123"/>
    <x v="2"/>
  </r>
  <r>
    <x v="232"/>
    <d v="2024-07-26T09:00:07"/>
    <x v="4"/>
    <x v="6"/>
    <x v="2"/>
    <n v="3219.89"/>
    <n v="637"/>
    <n v="12"/>
    <n v="42146.06"/>
    <n v="1"/>
    <n v="1"/>
    <n v="2"/>
    <s v="112"/>
    <x v="1"/>
  </r>
  <r>
    <x v="233"/>
    <d v="2024-07-27T09:00:07"/>
    <x v="9"/>
    <x v="0"/>
    <x v="2"/>
    <n v="6884.27"/>
    <n v="636"/>
    <n v="5"/>
    <n v="30121.440000000002"/>
    <n v="1"/>
    <n v="5"/>
    <n v="3"/>
    <s v="153"/>
    <x v="3"/>
  </r>
  <r>
    <x v="31"/>
    <d v="2024-07-28T09:00:07"/>
    <x v="1"/>
    <x v="4"/>
    <x v="0"/>
    <n v="2434.04"/>
    <n v="635"/>
    <n v="9"/>
    <n v="35330.950000000004"/>
    <n v="1"/>
    <n v="2"/>
    <n v="3"/>
    <s v="123"/>
    <x v="2"/>
  </r>
  <r>
    <x v="138"/>
    <d v="2024-07-28T09:00:07"/>
    <x v="5"/>
    <x v="3"/>
    <x v="0"/>
    <n v="5135.6499999999996"/>
    <n v="635"/>
    <n v="8"/>
    <n v="48110.42"/>
    <n v="1"/>
    <n v="3"/>
    <n v="1"/>
    <s v="131"/>
    <x v="0"/>
  </r>
  <r>
    <x v="189"/>
    <d v="2024-07-28T09:00:07"/>
    <x v="9"/>
    <x v="3"/>
    <x v="1"/>
    <n v="2686.74"/>
    <n v="635"/>
    <n v="11"/>
    <n v="45651.77"/>
    <n v="1"/>
    <n v="1"/>
    <n v="1"/>
    <s v="111"/>
    <x v="1"/>
  </r>
  <r>
    <x v="187"/>
    <d v="2024-07-28T09:00:07"/>
    <x v="9"/>
    <x v="5"/>
    <x v="0"/>
    <n v="3857.23"/>
    <n v="635"/>
    <n v="9"/>
    <n v="31221.600000000002"/>
    <n v="1"/>
    <n v="2"/>
    <n v="3"/>
    <s v="123"/>
    <x v="2"/>
  </r>
  <r>
    <x v="175"/>
    <d v="2024-07-28T09:00:07"/>
    <x v="7"/>
    <x v="4"/>
    <x v="1"/>
    <n v="4473.55"/>
    <n v="635"/>
    <n v="6"/>
    <n v="15872.329999999998"/>
    <n v="1"/>
    <n v="4"/>
    <n v="5"/>
    <s v="145"/>
    <x v="3"/>
  </r>
  <r>
    <x v="234"/>
    <d v="2024-07-29T09:00:07"/>
    <x v="3"/>
    <x v="0"/>
    <x v="2"/>
    <n v="6417.38"/>
    <n v="634"/>
    <n v="6"/>
    <n v="29261.35"/>
    <n v="1"/>
    <n v="4"/>
    <n v="4"/>
    <s v="144"/>
    <x v="3"/>
  </r>
  <r>
    <x v="235"/>
    <d v="2024-07-29T09:00:07"/>
    <x v="2"/>
    <x v="4"/>
    <x v="1"/>
    <n v="2460.7199999999998"/>
    <n v="634"/>
    <n v="8"/>
    <n v="29892.99"/>
    <n v="1"/>
    <n v="3"/>
    <n v="3"/>
    <s v="133"/>
    <x v="3"/>
  </r>
  <r>
    <x v="70"/>
    <d v="2024-07-29T09:00:07"/>
    <x v="3"/>
    <x v="3"/>
    <x v="1"/>
    <n v="6632.92"/>
    <n v="634"/>
    <n v="15"/>
    <n v="57217.139999999992"/>
    <n v="1"/>
    <n v="1"/>
    <n v="1"/>
    <s v="111"/>
    <x v="1"/>
  </r>
  <r>
    <x v="58"/>
    <d v="2024-07-30T09:00:07"/>
    <x v="0"/>
    <x v="2"/>
    <x v="1"/>
    <n v="4982.91"/>
    <n v="633"/>
    <n v="9"/>
    <n v="47571.369999999995"/>
    <n v="1"/>
    <n v="2"/>
    <n v="1"/>
    <s v="121"/>
    <x v="1"/>
  </r>
  <r>
    <x v="70"/>
    <d v="2024-07-30T09:00:07"/>
    <x v="8"/>
    <x v="3"/>
    <x v="0"/>
    <n v="964.48"/>
    <n v="633"/>
    <n v="15"/>
    <n v="57217.139999999992"/>
    <n v="1"/>
    <n v="1"/>
    <n v="1"/>
    <s v="111"/>
    <x v="1"/>
  </r>
  <r>
    <x v="236"/>
    <d v="2024-07-30T09:00:07"/>
    <x v="1"/>
    <x v="5"/>
    <x v="0"/>
    <n v="4373.87"/>
    <n v="633"/>
    <n v="7"/>
    <n v="16120.029999999999"/>
    <n v="1"/>
    <n v="4"/>
    <n v="5"/>
    <s v="145"/>
    <x v="3"/>
  </r>
  <r>
    <x v="45"/>
    <d v="2024-07-30T09:00:07"/>
    <x v="1"/>
    <x v="6"/>
    <x v="0"/>
    <n v="7222.74"/>
    <n v="633"/>
    <n v="10"/>
    <n v="50122.659999999996"/>
    <n v="1"/>
    <n v="2"/>
    <n v="1"/>
    <s v="121"/>
    <x v="1"/>
  </r>
  <r>
    <x v="237"/>
    <d v="2024-07-31T09:00:07"/>
    <x v="3"/>
    <x v="1"/>
    <x v="1"/>
    <n v="5988.3"/>
    <n v="632"/>
    <n v="8"/>
    <n v="35247.5"/>
    <n v="1"/>
    <n v="3"/>
    <n v="3"/>
    <s v="133"/>
    <x v="3"/>
  </r>
  <r>
    <x v="125"/>
    <d v="2024-07-31T09:00:07"/>
    <x v="6"/>
    <x v="6"/>
    <x v="2"/>
    <n v="7890.35"/>
    <n v="632"/>
    <n v="9"/>
    <n v="33311.4"/>
    <n v="1"/>
    <n v="2"/>
    <n v="3"/>
    <s v="123"/>
    <x v="2"/>
  </r>
  <r>
    <x v="229"/>
    <d v="2024-07-31T09:00:07"/>
    <x v="4"/>
    <x v="1"/>
    <x v="1"/>
    <n v="3573.84"/>
    <n v="632"/>
    <n v="10"/>
    <n v="27359.329999999998"/>
    <n v="1"/>
    <n v="2"/>
    <n v="4"/>
    <s v="124"/>
    <x v="2"/>
  </r>
  <r>
    <x v="117"/>
    <d v="2024-08-01T09:00:07"/>
    <x v="9"/>
    <x v="5"/>
    <x v="2"/>
    <n v="3245.23"/>
    <n v="631"/>
    <n v="12"/>
    <n v="44894.799999999996"/>
    <n v="1"/>
    <n v="1"/>
    <n v="1"/>
    <s v="111"/>
    <x v="1"/>
  </r>
  <r>
    <x v="127"/>
    <d v="2024-08-01T09:00:07"/>
    <x v="3"/>
    <x v="5"/>
    <x v="2"/>
    <n v="5184.45"/>
    <n v="631"/>
    <n v="5"/>
    <n v="28709.97"/>
    <n v="1"/>
    <n v="5"/>
    <n v="4"/>
    <s v="154"/>
    <x v="3"/>
  </r>
  <r>
    <x v="238"/>
    <d v="2024-08-01T09:00:07"/>
    <x v="8"/>
    <x v="2"/>
    <x v="0"/>
    <n v="2169.4699999999998"/>
    <n v="631"/>
    <n v="5"/>
    <n v="17833.57"/>
    <n v="1"/>
    <n v="5"/>
    <n v="5"/>
    <s v="155"/>
    <x v="3"/>
  </r>
  <r>
    <x v="218"/>
    <d v="2024-08-01T09:00:07"/>
    <x v="4"/>
    <x v="4"/>
    <x v="2"/>
    <n v="2715.35"/>
    <n v="631"/>
    <n v="12"/>
    <n v="48008.159999999996"/>
    <n v="1"/>
    <n v="1"/>
    <n v="1"/>
    <s v="111"/>
    <x v="1"/>
  </r>
  <r>
    <x v="22"/>
    <d v="2024-08-02T09:00:07"/>
    <x v="9"/>
    <x v="6"/>
    <x v="0"/>
    <n v="1484.7"/>
    <n v="630"/>
    <n v="5"/>
    <n v="20536.82"/>
    <n v="1"/>
    <n v="5"/>
    <n v="5"/>
    <s v="155"/>
    <x v="3"/>
  </r>
  <r>
    <x v="232"/>
    <d v="2024-08-02T09:00:07"/>
    <x v="5"/>
    <x v="5"/>
    <x v="2"/>
    <n v="2146.2399999999998"/>
    <n v="630"/>
    <n v="12"/>
    <n v="42146.06"/>
    <n v="1"/>
    <n v="1"/>
    <n v="2"/>
    <s v="112"/>
    <x v="1"/>
  </r>
  <r>
    <x v="239"/>
    <d v="2024-08-02T09:00:07"/>
    <x v="6"/>
    <x v="3"/>
    <x v="2"/>
    <n v="2764.68"/>
    <n v="630"/>
    <n v="5"/>
    <n v="18049.21"/>
    <n v="1"/>
    <n v="5"/>
    <n v="5"/>
    <s v="155"/>
    <x v="3"/>
  </r>
  <r>
    <x v="34"/>
    <d v="2024-08-03T09:00:07"/>
    <x v="8"/>
    <x v="0"/>
    <x v="2"/>
    <n v="1339.48"/>
    <n v="629"/>
    <n v="8"/>
    <n v="40213.310000000005"/>
    <n v="1"/>
    <n v="3"/>
    <n v="2"/>
    <s v="132"/>
    <x v="0"/>
  </r>
  <r>
    <x v="86"/>
    <d v="2024-08-03T09:00:07"/>
    <x v="9"/>
    <x v="6"/>
    <x v="2"/>
    <n v="2180.73"/>
    <n v="629"/>
    <n v="7"/>
    <n v="18845.82"/>
    <n v="1"/>
    <n v="4"/>
    <n v="5"/>
    <s v="145"/>
    <x v="3"/>
  </r>
  <r>
    <x v="240"/>
    <d v="2024-08-03T09:00:07"/>
    <x v="2"/>
    <x v="6"/>
    <x v="1"/>
    <n v="4507.1400000000003"/>
    <n v="629"/>
    <n v="10"/>
    <n v="27910.07"/>
    <n v="1"/>
    <n v="2"/>
    <n v="4"/>
    <s v="124"/>
    <x v="2"/>
  </r>
  <r>
    <x v="241"/>
    <d v="2024-08-03T09:00:07"/>
    <x v="9"/>
    <x v="1"/>
    <x v="1"/>
    <n v="3408.36"/>
    <n v="629"/>
    <n v="12"/>
    <n v="43413.4"/>
    <n v="1"/>
    <n v="1"/>
    <n v="2"/>
    <s v="112"/>
    <x v="1"/>
  </r>
  <r>
    <x v="242"/>
    <d v="2024-08-03T09:00:07"/>
    <x v="5"/>
    <x v="0"/>
    <x v="2"/>
    <n v="11048.72"/>
    <n v="629"/>
    <n v="7"/>
    <n v="32869.479999999996"/>
    <n v="1"/>
    <n v="4"/>
    <n v="3"/>
    <s v="143"/>
    <x v="3"/>
  </r>
  <r>
    <x v="243"/>
    <d v="2024-08-04T09:00:07"/>
    <x v="1"/>
    <x v="4"/>
    <x v="0"/>
    <n v="1663.8"/>
    <n v="628"/>
    <n v="3"/>
    <n v="4922.93"/>
    <n v="1"/>
    <n v="5"/>
    <n v="5"/>
    <s v="155"/>
    <x v="3"/>
  </r>
  <r>
    <x v="244"/>
    <d v="2024-08-04T09:00:07"/>
    <x v="6"/>
    <x v="3"/>
    <x v="0"/>
    <n v="1423.72"/>
    <n v="628"/>
    <n v="8"/>
    <n v="33012.819999999992"/>
    <n v="1"/>
    <n v="3"/>
    <n v="3"/>
    <s v="133"/>
    <x v="3"/>
  </r>
  <r>
    <x v="27"/>
    <d v="2024-08-04T09:00:07"/>
    <x v="4"/>
    <x v="3"/>
    <x v="0"/>
    <n v="6403.89"/>
    <n v="628"/>
    <n v="12"/>
    <n v="49930.359999999993"/>
    <n v="1"/>
    <n v="1"/>
    <n v="1"/>
    <s v="111"/>
    <x v="1"/>
  </r>
  <r>
    <x v="245"/>
    <d v="2024-08-05T09:00:07"/>
    <x v="9"/>
    <x v="3"/>
    <x v="0"/>
    <n v="3921.31"/>
    <n v="627"/>
    <n v="4"/>
    <n v="13595.329999999998"/>
    <n v="1"/>
    <n v="5"/>
    <n v="5"/>
    <s v="155"/>
    <x v="3"/>
  </r>
  <r>
    <x v="246"/>
    <d v="2024-08-05T09:00:07"/>
    <x v="3"/>
    <x v="3"/>
    <x v="0"/>
    <n v="2669.55"/>
    <n v="627"/>
    <n v="10"/>
    <n v="30897.65"/>
    <n v="1"/>
    <n v="2"/>
    <n v="3"/>
    <s v="123"/>
    <x v="2"/>
  </r>
  <r>
    <x v="247"/>
    <d v="2024-08-05T09:00:07"/>
    <x v="3"/>
    <x v="6"/>
    <x v="0"/>
    <n v="3527.05"/>
    <n v="627"/>
    <n v="6"/>
    <n v="14707.359999999999"/>
    <n v="1"/>
    <n v="4"/>
    <n v="5"/>
    <s v="145"/>
    <x v="3"/>
  </r>
  <r>
    <x v="248"/>
    <d v="2024-08-05T09:00:07"/>
    <x v="0"/>
    <x v="6"/>
    <x v="1"/>
    <n v="5710.57"/>
    <n v="627"/>
    <n v="8"/>
    <n v="34167.589999999997"/>
    <n v="1"/>
    <n v="3"/>
    <n v="3"/>
    <s v="133"/>
    <x v="3"/>
  </r>
  <r>
    <x v="138"/>
    <d v="2024-08-05T09:00:07"/>
    <x v="3"/>
    <x v="5"/>
    <x v="1"/>
    <n v="2043.25"/>
    <n v="627"/>
    <n v="8"/>
    <n v="48110.42"/>
    <n v="1"/>
    <n v="3"/>
    <n v="1"/>
    <s v="131"/>
    <x v="0"/>
  </r>
  <r>
    <x v="104"/>
    <d v="2024-08-05T09:00:07"/>
    <x v="8"/>
    <x v="1"/>
    <x v="0"/>
    <n v="5349.19"/>
    <n v="627"/>
    <n v="9"/>
    <n v="42109.760000000002"/>
    <n v="1"/>
    <n v="2"/>
    <n v="2"/>
    <s v="122"/>
    <x v="1"/>
  </r>
  <r>
    <x v="93"/>
    <d v="2024-08-05T09:00:07"/>
    <x v="8"/>
    <x v="3"/>
    <x v="1"/>
    <n v="3748.33"/>
    <n v="627"/>
    <n v="9"/>
    <n v="32520.350000000002"/>
    <n v="1"/>
    <n v="2"/>
    <n v="3"/>
    <s v="123"/>
    <x v="2"/>
  </r>
  <r>
    <x v="249"/>
    <d v="2024-08-05T09:00:07"/>
    <x v="9"/>
    <x v="4"/>
    <x v="2"/>
    <n v="368.86"/>
    <n v="627"/>
    <n v="6"/>
    <n v="18264"/>
    <n v="1"/>
    <n v="4"/>
    <n v="5"/>
    <s v="145"/>
    <x v="3"/>
  </r>
  <r>
    <x v="94"/>
    <d v="2024-08-06T09:00:07"/>
    <x v="6"/>
    <x v="2"/>
    <x v="0"/>
    <n v="4296.01"/>
    <n v="626"/>
    <n v="13"/>
    <n v="56128.799999999996"/>
    <n v="1"/>
    <n v="1"/>
    <n v="1"/>
    <s v="111"/>
    <x v="1"/>
  </r>
  <r>
    <x v="250"/>
    <d v="2024-08-06T09:00:07"/>
    <x v="5"/>
    <x v="3"/>
    <x v="1"/>
    <n v="4075.55"/>
    <n v="626"/>
    <n v="7"/>
    <n v="27512.969999999998"/>
    <n v="1"/>
    <n v="4"/>
    <n v="4"/>
    <s v="144"/>
    <x v="3"/>
  </r>
  <r>
    <x v="36"/>
    <d v="2024-08-06T09:00:07"/>
    <x v="0"/>
    <x v="6"/>
    <x v="1"/>
    <n v="4785.3"/>
    <n v="626"/>
    <n v="12"/>
    <n v="44897.450000000004"/>
    <n v="1"/>
    <n v="1"/>
    <n v="1"/>
    <s v="111"/>
    <x v="1"/>
  </r>
  <r>
    <x v="251"/>
    <d v="2024-08-06T09:00:07"/>
    <x v="7"/>
    <x v="3"/>
    <x v="0"/>
    <n v="2762.08"/>
    <n v="626"/>
    <n v="4"/>
    <n v="18876.47"/>
    <n v="1"/>
    <n v="5"/>
    <n v="5"/>
    <s v="155"/>
    <x v="3"/>
  </r>
  <r>
    <x v="122"/>
    <d v="2024-08-07T09:00:07"/>
    <x v="3"/>
    <x v="4"/>
    <x v="1"/>
    <n v="11961.39"/>
    <n v="625"/>
    <n v="10"/>
    <n v="45537.319999999992"/>
    <n v="1"/>
    <n v="2"/>
    <n v="1"/>
    <s v="121"/>
    <x v="1"/>
  </r>
  <r>
    <x v="182"/>
    <d v="2024-08-07T09:00:07"/>
    <x v="5"/>
    <x v="2"/>
    <x v="1"/>
    <n v="1073.77"/>
    <n v="625"/>
    <n v="13"/>
    <n v="49208.94"/>
    <n v="1"/>
    <n v="1"/>
    <n v="1"/>
    <s v="111"/>
    <x v="1"/>
  </r>
  <r>
    <x v="252"/>
    <d v="2024-08-07T09:00:07"/>
    <x v="0"/>
    <x v="2"/>
    <x v="2"/>
    <n v="5173.16"/>
    <n v="625"/>
    <n v="8"/>
    <n v="36475.079999999994"/>
    <n v="1"/>
    <n v="3"/>
    <n v="3"/>
    <s v="133"/>
    <x v="3"/>
  </r>
  <r>
    <x v="253"/>
    <d v="2024-08-08T09:00:07"/>
    <x v="0"/>
    <x v="1"/>
    <x v="1"/>
    <n v="3681.81"/>
    <n v="624"/>
    <n v="8"/>
    <n v="35967.03"/>
    <n v="1"/>
    <n v="3"/>
    <n v="3"/>
    <s v="133"/>
    <x v="3"/>
  </r>
  <r>
    <x v="204"/>
    <d v="2024-08-08T09:00:07"/>
    <x v="8"/>
    <x v="3"/>
    <x v="0"/>
    <n v="5012.57"/>
    <n v="624"/>
    <n v="9"/>
    <n v="36233.340000000004"/>
    <n v="1"/>
    <n v="2"/>
    <n v="3"/>
    <s v="123"/>
    <x v="2"/>
  </r>
  <r>
    <x v="232"/>
    <d v="2024-08-08T09:00:07"/>
    <x v="9"/>
    <x v="3"/>
    <x v="0"/>
    <n v="619.78"/>
    <n v="624"/>
    <n v="12"/>
    <n v="42146.06"/>
    <n v="1"/>
    <n v="1"/>
    <n v="2"/>
    <s v="112"/>
    <x v="1"/>
  </r>
  <r>
    <x v="142"/>
    <d v="2024-08-09T09:00:07"/>
    <x v="9"/>
    <x v="1"/>
    <x v="0"/>
    <n v="3641.84"/>
    <n v="623"/>
    <n v="13"/>
    <n v="47658.630000000005"/>
    <n v="1"/>
    <n v="1"/>
    <n v="1"/>
    <s v="111"/>
    <x v="1"/>
  </r>
  <r>
    <x v="218"/>
    <d v="2024-08-09T09:00:07"/>
    <x v="7"/>
    <x v="1"/>
    <x v="1"/>
    <n v="4677.72"/>
    <n v="623"/>
    <n v="12"/>
    <n v="48008.159999999996"/>
    <n v="1"/>
    <n v="1"/>
    <n v="1"/>
    <s v="111"/>
    <x v="1"/>
  </r>
  <r>
    <x v="254"/>
    <d v="2024-08-09T09:00:07"/>
    <x v="9"/>
    <x v="1"/>
    <x v="0"/>
    <n v="8381.77"/>
    <n v="623"/>
    <n v="5"/>
    <n v="24865.420000000002"/>
    <n v="1"/>
    <n v="5"/>
    <n v="4"/>
    <s v="154"/>
    <x v="3"/>
  </r>
  <r>
    <x v="234"/>
    <d v="2024-08-10T09:00:07"/>
    <x v="1"/>
    <x v="0"/>
    <x v="1"/>
    <n v="5443.63"/>
    <n v="622"/>
    <n v="6"/>
    <n v="29261.35"/>
    <n v="1"/>
    <n v="4"/>
    <n v="4"/>
    <s v="144"/>
    <x v="3"/>
  </r>
  <r>
    <x v="255"/>
    <d v="2024-08-10T09:00:07"/>
    <x v="0"/>
    <x v="3"/>
    <x v="2"/>
    <n v="1539.64"/>
    <n v="622"/>
    <n v="8"/>
    <n v="31675.43"/>
    <n v="1"/>
    <n v="3"/>
    <n v="3"/>
    <s v="133"/>
    <x v="3"/>
  </r>
  <r>
    <x v="73"/>
    <d v="2024-08-10T09:00:07"/>
    <x v="8"/>
    <x v="5"/>
    <x v="1"/>
    <n v="4726.7700000000004"/>
    <n v="622"/>
    <n v="6"/>
    <n v="20804.55"/>
    <n v="1"/>
    <n v="4"/>
    <n v="5"/>
    <s v="145"/>
    <x v="3"/>
  </r>
  <r>
    <x v="138"/>
    <d v="2024-08-10T09:00:07"/>
    <x v="0"/>
    <x v="3"/>
    <x v="0"/>
    <n v="8398.9500000000007"/>
    <n v="622"/>
    <n v="8"/>
    <n v="48110.42"/>
    <n v="1"/>
    <n v="3"/>
    <n v="1"/>
    <s v="131"/>
    <x v="0"/>
  </r>
  <r>
    <x v="99"/>
    <d v="2024-08-10T09:00:07"/>
    <x v="2"/>
    <x v="4"/>
    <x v="2"/>
    <n v="5573.49"/>
    <n v="622"/>
    <n v="10"/>
    <n v="47973.33"/>
    <n v="1"/>
    <n v="2"/>
    <n v="1"/>
    <s v="121"/>
    <x v="1"/>
  </r>
  <r>
    <x v="30"/>
    <d v="2024-08-10T09:00:07"/>
    <x v="0"/>
    <x v="4"/>
    <x v="0"/>
    <n v="6107.4"/>
    <n v="622"/>
    <n v="5"/>
    <n v="27766.260000000002"/>
    <n v="1"/>
    <n v="5"/>
    <n v="4"/>
    <s v="154"/>
    <x v="3"/>
  </r>
  <r>
    <x v="256"/>
    <d v="2024-08-10T09:00:07"/>
    <x v="6"/>
    <x v="3"/>
    <x v="0"/>
    <n v="2436.41"/>
    <n v="622"/>
    <n v="8"/>
    <n v="28559.850000000002"/>
    <n v="1"/>
    <n v="3"/>
    <n v="4"/>
    <s v="134"/>
    <x v="3"/>
  </r>
  <r>
    <x v="246"/>
    <d v="2024-08-10T09:00:07"/>
    <x v="0"/>
    <x v="5"/>
    <x v="0"/>
    <n v="1016.95"/>
    <n v="622"/>
    <n v="10"/>
    <n v="30897.65"/>
    <n v="1"/>
    <n v="2"/>
    <n v="3"/>
    <s v="123"/>
    <x v="2"/>
  </r>
  <r>
    <x v="53"/>
    <d v="2024-08-10T09:00:07"/>
    <x v="7"/>
    <x v="1"/>
    <x v="2"/>
    <n v="4951.24"/>
    <n v="622"/>
    <n v="8"/>
    <n v="23394.15"/>
    <n v="1"/>
    <n v="3"/>
    <n v="4"/>
    <s v="134"/>
    <x v="3"/>
  </r>
  <r>
    <x v="257"/>
    <d v="2024-08-10T09:00:07"/>
    <x v="8"/>
    <x v="5"/>
    <x v="0"/>
    <n v="2634.61"/>
    <n v="622"/>
    <n v="3"/>
    <n v="11609.24"/>
    <n v="1"/>
    <n v="5"/>
    <n v="5"/>
    <s v="155"/>
    <x v="3"/>
  </r>
  <r>
    <x v="236"/>
    <d v="2024-08-11T09:00:07"/>
    <x v="8"/>
    <x v="2"/>
    <x v="2"/>
    <n v="4952.5200000000004"/>
    <n v="621"/>
    <n v="7"/>
    <n v="16120.029999999999"/>
    <n v="1"/>
    <n v="4"/>
    <n v="5"/>
    <s v="145"/>
    <x v="3"/>
  </r>
  <r>
    <x v="133"/>
    <d v="2024-08-12T09:00:07"/>
    <x v="0"/>
    <x v="1"/>
    <x v="0"/>
    <n v="1493.69"/>
    <n v="620"/>
    <n v="11"/>
    <n v="38337.789999999994"/>
    <n v="1"/>
    <n v="1"/>
    <n v="2"/>
    <s v="112"/>
    <x v="1"/>
  </r>
  <r>
    <x v="3"/>
    <d v="2024-08-12T09:00:07"/>
    <x v="6"/>
    <x v="5"/>
    <x v="1"/>
    <n v="409.85"/>
    <n v="620"/>
    <n v="15"/>
    <n v="49637.999999999993"/>
    <n v="1"/>
    <n v="1"/>
    <n v="1"/>
    <s v="111"/>
    <x v="1"/>
  </r>
  <r>
    <x v="20"/>
    <d v="2024-08-12T09:00:07"/>
    <x v="0"/>
    <x v="4"/>
    <x v="2"/>
    <n v="8060.33"/>
    <n v="620"/>
    <n v="14"/>
    <n v="53433.220000000008"/>
    <n v="1"/>
    <n v="1"/>
    <n v="1"/>
    <s v="111"/>
    <x v="1"/>
  </r>
  <r>
    <x v="200"/>
    <d v="2024-08-12T09:00:07"/>
    <x v="8"/>
    <x v="3"/>
    <x v="1"/>
    <n v="5925.93"/>
    <n v="620"/>
    <n v="5"/>
    <n v="20246.7"/>
    <n v="1"/>
    <n v="5"/>
    <n v="5"/>
    <s v="155"/>
    <x v="3"/>
  </r>
  <r>
    <x v="170"/>
    <d v="2024-08-12T09:00:07"/>
    <x v="5"/>
    <x v="3"/>
    <x v="0"/>
    <n v="4124.4799999999996"/>
    <n v="620"/>
    <n v="7"/>
    <n v="33514.49"/>
    <n v="1"/>
    <n v="4"/>
    <n v="3"/>
    <s v="143"/>
    <x v="3"/>
  </r>
  <r>
    <x v="258"/>
    <d v="2024-08-12T09:00:07"/>
    <x v="9"/>
    <x v="4"/>
    <x v="0"/>
    <n v="4368.8999999999996"/>
    <n v="620"/>
    <n v="6"/>
    <n v="16588.13"/>
    <n v="1"/>
    <n v="4"/>
    <n v="5"/>
    <s v="145"/>
    <x v="3"/>
  </r>
  <r>
    <x v="259"/>
    <d v="2024-08-12T09:00:07"/>
    <x v="7"/>
    <x v="3"/>
    <x v="1"/>
    <n v="5972.47"/>
    <n v="620"/>
    <n v="10"/>
    <n v="33545.49"/>
    <n v="1"/>
    <n v="2"/>
    <n v="3"/>
    <s v="123"/>
    <x v="2"/>
  </r>
  <r>
    <x v="121"/>
    <d v="2024-08-13T09:00:07"/>
    <x v="7"/>
    <x v="1"/>
    <x v="0"/>
    <n v="1539.58"/>
    <n v="619"/>
    <n v="7"/>
    <n v="29497.360000000001"/>
    <n v="1"/>
    <n v="4"/>
    <n v="3"/>
    <s v="143"/>
    <x v="3"/>
  </r>
  <r>
    <x v="23"/>
    <d v="2024-08-13T09:00:07"/>
    <x v="3"/>
    <x v="5"/>
    <x v="1"/>
    <n v="4907.6499999999996"/>
    <n v="619"/>
    <n v="11"/>
    <n v="44004.459999999992"/>
    <n v="1"/>
    <n v="1"/>
    <n v="2"/>
    <s v="112"/>
    <x v="1"/>
  </r>
  <r>
    <x v="189"/>
    <d v="2024-08-13T09:00:07"/>
    <x v="8"/>
    <x v="2"/>
    <x v="2"/>
    <n v="4339.04"/>
    <n v="619"/>
    <n v="11"/>
    <n v="45651.77"/>
    <n v="1"/>
    <n v="1"/>
    <n v="1"/>
    <s v="111"/>
    <x v="1"/>
  </r>
  <r>
    <x v="260"/>
    <d v="2024-08-13T09:00:07"/>
    <x v="8"/>
    <x v="1"/>
    <x v="2"/>
    <n v="4448.51"/>
    <n v="619"/>
    <n v="7"/>
    <n v="12366.910000000002"/>
    <n v="1"/>
    <n v="4"/>
    <n v="5"/>
    <s v="145"/>
    <x v="3"/>
  </r>
  <r>
    <x v="261"/>
    <d v="2024-08-13T09:00:07"/>
    <x v="1"/>
    <x v="5"/>
    <x v="2"/>
    <n v="3433.75"/>
    <n v="619"/>
    <n v="4"/>
    <n v="10665.94"/>
    <n v="1"/>
    <n v="5"/>
    <n v="5"/>
    <s v="155"/>
    <x v="3"/>
  </r>
  <r>
    <x v="250"/>
    <d v="2024-08-13T09:00:07"/>
    <x v="6"/>
    <x v="1"/>
    <x v="2"/>
    <n v="8880.68"/>
    <n v="619"/>
    <n v="7"/>
    <n v="27512.969999999998"/>
    <n v="1"/>
    <n v="4"/>
    <n v="4"/>
    <s v="144"/>
    <x v="3"/>
  </r>
  <r>
    <x v="26"/>
    <d v="2024-08-14T09:00:07"/>
    <x v="3"/>
    <x v="3"/>
    <x v="1"/>
    <n v="5226.6099999999997"/>
    <n v="618"/>
    <n v="6"/>
    <n v="22201.78"/>
    <n v="1"/>
    <n v="4"/>
    <n v="4"/>
    <s v="144"/>
    <x v="3"/>
  </r>
  <r>
    <x v="133"/>
    <d v="2024-08-14T09:00:07"/>
    <x v="8"/>
    <x v="0"/>
    <x v="2"/>
    <n v="6136.23"/>
    <n v="618"/>
    <n v="11"/>
    <n v="38337.789999999994"/>
    <n v="1"/>
    <n v="1"/>
    <n v="2"/>
    <s v="112"/>
    <x v="1"/>
  </r>
  <r>
    <x v="198"/>
    <d v="2024-08-14T09:00:07"/>
    <x v="2"/>
    <x v="2"/>
    <x v="2"/>
    <n v="2455.02"/>
    <n v="618"/>
    <n v="9"/>
    <n v="30846.7"/>
    <n v="1"/>
    <n v="2"/>
    <n v="3"/>
    <s v="123"/>
    <x v="2"/>
  </r>
  <r>
    <x v="20"/>
    <d v="2024-08-14T09:00:07"/>
    <x v="1"/>
    <x v="5"/>
    <x v="2"/>
    <n v="902.5"/>
    <n v="618"/>
    <n v="14"/>
    <n v="53433.220000000008"/>
    <n v="1"/>
    <n v="1"/>
    <n v="1"/>
    <s v="111"/>
    <x v="1"/>
  </r>
  <r>
    <x v="172"/>
    <d v="2024-08-14T09:00:07"/>
    <x v="9"/>
    <x v="5"/>
    <x v="0"/>
    <n v="3632.11"/>
    <n v="618"/>
    <n v="9"/>
    <n v="51674.6"/>
    <n v="1"/>
    <n v="2"/>
    <n v="1"/>
    <s v="121"/>
    <x v="1"/>
  </r>
  <r>
    <x v="104"/>
    <d v="2024-08-14T09:00:07"/>
    <x v="0"/>
    <x v="6"/>
    <x v="0"/>
    <n v="252.24"/>
    <n v="618"/>
    <n v="9"/>
    <n v="42109.760000000002"/>
    <n v="1"/>
    <n v="2"/>
    <n v="2"/>
    <s v="122"/>
    <x v="1"/>
  </r>
  <r>
    <x v="262"/>
    <d v="2024-08-14T09:00:07"/>
    <x v="8"/>
    <x v="3"/>
    <x v="0"/>
    <n v="2419.09"/>
    <n v="618"/>
    <n v="7"/>
    <n v="20627.900000000001"/>
    <n v="1"/>
    <n v="4"/>
    <n v="5"/>
    <s v="145"/>
    <x v="3"/>
  </r>
  <r>
    <x v="229"/>
    <d v="2024-08-14T09:00:07"/>
    <x v="6"/>
    <x v="1"/>
    <x v="0"/>
    <n v="6118.5"/>
    <n v="618"/>
    <n v="10"/>
    <n v="27359.329999999998"/>
    <n v="1"/>
    <n v="2"/>
    <n v="4"/>
    <s v="124"/>
    <x v="2"/>
  </r>
  <r>
    <x v="263"/>
    <d v="2024-08-15T09:00:07"/>
    <x v="5"/>
    <x v="3"/>
    <x v="0"/>
    <n v="1529.63"/>
    <n v="617"/>
    <n v="12"/>
    <n v="40797.409999999996"/>
    <n v="1"/>
    <n v="1"/>
    <n v="2"/>
    <s v="112"/>
    <x v="1"/>
  </r>
  <r>
    <x v="181"/>
    <d v="2024-08-15T09:00:07"/>
    <x v="3"/>
    <x v="0"/>
    <x v="2"/>
    <n v="781.69"/>
    <n v="617"/>
    <n v="7"/>
    <n v="25155.31"/>
    <n v="1"/>
    <n v="4"/>
    <n v="4"/>
    <s v="144"/>
    <x v="3"/>
  </r>
  <r>
    <x v="165"/>
    <d v="2024-08-15T09:00:07"/>
    <x v="7"/>
    <x v="4"/>
    <x v="0"/>
    <n v="1217.6500000000001"/>
    <n v="617"/>
    <n v="9"/>
    <n v="33344.57"/>
    <n v="1"/>
    <n v="2"/>
    <n v="3"/>
    <s v="123"/>
    <x v="2"/>
  </r>
  <r>
    <x v="199"/>
    <d v="2024-08-16T09:00:07"/>
    <x v="7"/>
    <x v="1"/>
    <x v="1"/>
    <n v="2383.35"/>
    <n v="616"/>
    <n v="13"/>
    <n v="40298.450000000004"/>
    <n v="1"/>
    <n v="1"/>
    <n v="2"/>
    <s v="112"/>
    <x v="1"/>
  </r>
  <r>
    <x v="264"/>
    <d v="2024-08-16T09:00:07"/>
    <x v="2"/>
    <x v="5"/>
    <x v="2"/>
    <n v="962.19"/>
    <n v="616"/>
    <n v="7"/>
    <n v="30708.170000000002"/>
    <n v="1"/>
    <n v="4"/>
    <n v="3"/>
    <s v="143"/>
    <x v="3"/>
  </r>
  <r>
    <x v="47"/>
    <d v="2024-08-16T09:00:07"/>
    <x v="3"/>
    <x v="6"/>
    <x v="1"/>
    <n v="8351.84"/>
    <n v="616"/>
    <n v="11"/>
    <n v="58842.799999999996"/>
    <n v="1"/>
    <n v="1"/>
    <n v="1"/>
    <s v="111"/>
    <x v="1"/>
  </r>
  <r>
    <x v="237"/>
    <d v="2024-08-17T09:00:07"/>
    <x v="0"/>
    <x v="4"/>
    <x v="1"/>
    <n v="2489.35"/>
    <n v="615"/>
    <n v="8"/>
    <n v="35247.5"/>
    <n v="1"/>
    <n v="3"/>
    <n v="3"/>
    <s v="133"/>
    <x v="3"/>
  </r>
  <r>
    <x v="126"/>
    <d v="2024-08-17T09:00:07"/>
    <x v="3"/>
    <x v="2"/>
    <x v="0"/>
    <n v="9944.57"/>
    <n v="615"/>
    <n v="11"/>
    <n v="46795.570000000007"/>
    <n v="1"/>
    <n v="1"/>
    <n v="1"/>
    <s v="111"/>
    <x v="1"/>
  </r>
  <r>
    <x v="265"/>
    <d v="2024-08-17T09:00:07"/>
    <x v="8"/>
    <x v="0"/>
    <x v="2"/>
    <n v="2478.02"/>
    <n v="615"/>
    <n v="8"/>
    <n v="37946.1"/>
    <n v="1"/>
    <n v="3"/>
    <n v="2"/>
    <s v="132"/>
    <x v="0"/>
  </r>
  <r>
    <x v="266"/>
    <d v="2024-08-17T09:00:07"/>
    <x v="3"/>
    <x v="3"/>
    <x v="0"/>
    <n v="7309.47"/>
    <n v="615"/>
    <n v="9"/>
    <n v="35145.360000000001"/>
    <n v="1"/>
    <n v="2"/>
    <n v="3"/>
    <s v="123"/>
    <x v="2"/>
  </r>
  <r>
    <x v="267"/>
    <d v="2024-08-17T09:00:07"/>
    <x v="1"/>
    <x v="1"/>
    <x v="2"/>
    <n v="1544.69"/>
    <n v="615"/>
    <n v="8"/>
    <n v="37668.22"/>
    <n v="1"/>
    <n v="3"/>
    <n v="2"/>
    <s v="132"/>
    <x v="0"/>
  </r>
  <r>
    <x v="268"/>
    <d v="2024-08-18T09:00:07"/>
    <x v="1"/>
    <x v="4"/>
    <x v="1"/>
    <n v="4829.63"/>
    <n v="614"/>
    <n v="8"/>
    <n v="22978.19"/>
    <n v="1"/>
    <n v="3"/>
    <n v="4"/>
    <s v="134"/>
    <x v="3"/>
  </r>
  <r>
    <x v="269"/>
    <d v="2024-08-18T09:00:07"/>
    <x v="7"/>
    <x v="1"/>
    <x v="0"/>
    <n v="3333.59"/>
    <n v="614"/>
    <n v="9"/>
    <n v="32843.11"/>
    <n v="1"/>
    <n v="2"/>
    <n v="3"/>
    <s v="123"/>
    <x v="2"/>
  </r>
  <r>
    <x v="270"/>
    <d v="2024-08-19T09:00:07"/>
    <x v="2"/>
    <x v="5"/>
    <x v="0"/>
    <n v="10978.19"/>
    <n v="613"/>
    <n v="4"/>
    <n v="29501.85"/>
    <n v="1"/>
    <n v="5"/>
    <n v="3"/>
    <s v="153"/>
    <x v="3"/>
  </r>
  <r>
    <x v="264"/>
    <d v="2024-08-19T09:00:07"/>
    <x v="4"/>
    <x v="3"/>
    <x v="2"/>
    <n v="2044.55"/>
    <n v="613"/>
    <n v="7"/>
    <n v="30708.170000000002"/>
    <n v="1"/>
    <n v="4"/>
    <n v="3"/>
    <s v="143"/>
    <x v="3"/>
  </r>
  <r>
    <x v="235"/>
    <d v="2024-08-19T09:00:07"/>
    <x v="1"/>
    <x v="6"/>
    <x v="2"/>
    <n v="3883.4"/>
    <n v="613"/>
    <n v="8"/>
    <n v="29892.99"/>
    <n v="1"/>
    <n v="3"/>
    <n v="3"/>
    <s v="133"/>
    <x v="3"/>
  </r>
  <r>
    <x v="244"/>
    <d v="2024-08-19T09:00:07"/>
    <x v="6"/>
    <x v="0"/>
    <x v="0"/>
    <n v="4964.6099999999997"/>
    <n v="613"/>
    <n v="8"/>
    <n v="33012.819999999992"/>
    <n v="1"/>
    <n v="3"/>
    <n v="3"/>
    <s v="133"/>
    <x v="3"/>
  </r>
  <r>
    <x v="271"/>
    <d v="2024-08-19T09:00:07"/>
    <x v="0"/>
    <x v="0"/>
    <x v="1"/>
    <n v="6340.02"/>
    <n v="613"/>
    <n v="6"/>
    <n v="21816.019999999997"/>
    <n v="1"/>
    <n v="4"/>
    <n v="4"/>
    <s v="144"/>
    <x v="3"/>
  </r>
  <r>
    <x v="272"/>
    <d v="2024-08-19T09:00:07"/>
    <x v="6"/>
    <x v="5"/>
    <x v="1"/>
    <n v="3217.8"/>
    <n v="613"/>
    <n v="13"/>
    <n v="49471.75"/>
    <n v="1"/>
    <n v="1"/>
    <n v="1"/>
    <s v="111"/>
    <x v="1"/>
  </r>
  <r>
    <x v="100"/>
    <d v="2024-08-19T09:00:07"/>
    <x v="9"/>
    <x v="3"/>
    <x v="0"/>
    <n v="3784.4"/>
    <n v="613"/>
    <n v="6"/>
    <n v="27182.68"/>
    <n v="1"/>
    <n v="4"/>
    <n v="4"/>
    <s v="144"/>
    <x v="3"/>
  </r>
  <r>
    <x v="103"/>
    <d v="2024-08-20T09:00:07"/>
    <x v="0"/>
    <x v="1"/>
    <x v="2"/>
    <n v="2812.54"/>
    <n v="612"/>
    <n v="15"/>
    <n v="55867.080000000016"/>
    <n v="1"/>
    <n v="1"/>
    <n v="1"/>
    <s v="111"/>
    <x v="1"/>
  </r>
  <r>
    <x v="273"/>
    <d v="2024-08-20T09:00:07"/>
    <x v="9"/>
    <x v="4"/>
    <x v="0"/>
    <n v="3331.98"/>
    <n v="612"/>
    <n v="11"/>
    <n v="38976.650000000009"/>
    <n v="1"/>
    <n v="1"/>
    <n v="2"/>
    <s v="112"/>
    <x v="1"/>
  </r>
  <r>
    <x v="224"/>
    <d v="2024-08-21T09:00:07"/>
    <x v="3"/>
    <x v="5"/>
    <x v="2"/>
    <n v="885.86"/>
    <n v="611"/>
    <n v="8"/>
    <n v="28833.759999999998"/>
    <n v="1"/>
    <n v="3"/>
    <n v="4"/>
    <s v="134"/>
    <x v="3"/>
  </r>
  <r>
    <x v="41"/>
    <d v="2024-08-21T09:00:07"/>
    <x v="0"/>
    <x v="5"/>
    <x v="2"/>
    <n v="4506.1400000000003"/>
    <n v="611"/>
    <n v="10"/>
    <n v="40587.47"/>
    <n v="1"/>
    <n v="2"/>
    <n v="2"/>
    <s v="122"/>
    <x v="1"/>
  </r>
  <r>
    <x v="247"/>
    <d v="2024-08-21T09:00:07"/>
    <x v="2"/>
    <x v="1"/>
    <x v="2"/>
    <n v="279.93"/>
    <n v="611"/>
    <n v="6"/>
    <n v="14707.359999999999"/>
    <n v="1"/>
    <n v="4"/>
    <n v="5"/>
    <s v="145"/>
    <x v="3"/>
  </r>
  <r>
    <x v="175"/>
    <d v="2024-08-22T09:00:07"/>
    <x v="0"/>
    <x v="4"/>
    <x v="1"/>
    <n v="970.98"/>
    <n v="610"/>
    <n v="6"/>
    <n v="15872.329999999998"/>
    <n v="1"/>
    <n v="4"/>
    <n v="5"/>
    <s v="145"/>
    <x v="3"/>
  </r>
  <r>
    <x v="162"/>
    <d v="2024-08-22T09:00:07"/>
    <x v="3"/>
    <x v="0"/>
    <x v="0"/>
    <n v="10737.68"/>
    <n v="610"/>
    <n v="7"/>
    <n v="20657.780000000002"/>
    <n v="1"/>
    <n v="4"/>
    <n v="5"/>
    <s v="145"/>
    <x v="3"/>
  </r>
  <r>
    <x v="43"/>
    <d v="2024-08-23T09:00:07"/>
    <x v="8"/>
    <x v="3"/>
    <x v="2"/>
    <n v="4977.1099999999997"/>
    <n v="609"/>
    <n v="11"/>
    <n v="39674.43"/>
    <n v="1"/>
    <n v="1"/>
    <n v="2"/>
    <s v="112"/>
    <x v="1"/>
  </r>
  <r>
    <x v="125"/>
    <d v="2024-08-23T09:00:07"/>
    <x v="0"/>
    <x v="2"/>
    <x v="2"/>
    <n v="3699.91"/>
    <n v="609"/>
    <n v="9"/>
    <n v="33311.4"/>
    <n v="1"/>
    <n v="2"/>
    <n v="3"/>
    <s v="123"/>
    <x v="2"/>
  </r>
  <r>
    <x v="274"/>
    <d v="2024-08-23T09:00:07"/>
    <x v="1"/>
    <x v="5"/>
    <x v="0"/>
    <n v="4599.0600000000004"/>
    <n v="609"/>
    <n v="11"/>
    <n v="73437.08"/>
    <n v="1"/>
    <n v="1"/>
    <n v="1"/>
    <s v="111"/>
    <x v="1"/>
  </r>
  <r>
    <x v="196"/>
    <d v="2024-08-23T09:00:07"/>
    <x v="8"/>
    <x v="3"/>
    <x v="2"/>
    <n v="4878.2700000000004"/>
    <n v="609"/>
    <n v="10"/>
    <n v="44305.600000000006"/>
    <n v="1"/>
    <n v="2"/>
    <n v="2"/>
    <s v="122"/>
    <x v="1"/>
  </r>
  <r>
    <x v="142"/>
    <d v="2024-08-24T09:00:07"/>
    <x v="5"/>
    <x v="3"/>
    <x v="0"/>
    <n v="1406.84"/>
    <n v="608"/>
    <n v="13"/>
    <n v="47658.630000000005"/>
    <n v="1"/>
    <n v="1"/>
    <n v="1"/>
    <s v="111"/>
    <x v="1"/>
  </r>
  <r>
    <x v="266"/>
    <d v="2024-08-24T09:00:07"/>
    <x v="7"/>
    <x v="5"/>
    <x v="1"/>
    <n v="1711.29"/>
    <n v="608"/>
    <n v="9"/>
    <n v="35145.360000000001"/>
    <n v="1"/>
    <n v="2"/>
    <n v="3"/>
    <s v="123"/>
    <x v="2"/>
  </r>
  <r>
    <x v="124"/>
    <d v="2024-08-25T09:00:07"/>
    <x v="7"/>
    <x v="2"/>
    <x v="1"/>
    <n v="2536.9299999999998"/>
    <n v="607"/>
    <n v="11"/>
    <n v="43078.749999999993"/>
    <n v="1"/>
    <n v="1"/>
    <n v="2"/>
    <s v="112"/>
    <x v="1"/>
  </r>
  <r>
    <x v="52"/>
    <d v="2024-08-25T09:00:07"/>
    <x v="0"/>
    <x v="4"/>
    <x v="1"/>
    <n v="3421.17"/>
    <n v="607"/>
    <n v="4"/>
    <n v="11791.11"/>
    <n v="1"/>
    <n v="5"/>
    <n v="5"/>
    <s v="155"/>
    <x v="3"/>
  </r>
  <r>
    <x v="89"/>
    <d v="2024-08-25T09:00:07"/>
    <x v="7"/>
    <x v="3"/>
    <x v="0"/>
    <n v="4588.13"/>
    <n v="607"/>
    <n v="12"/>
    <n v="54905.279999999992"/>
    <n v="1"/>
    <n v="1"/>
    <n v="1"/>
    <s v="111"/>
    <x v="1"/>
  </r>
  <r>
    <x v="275"/>
    <d v="2024-08-25T09:00:07"/>
    <x v="4"/>
    <x v="3"/>
    <x v="2"/>
    <n v="1672.05"/>
    <n v="607"/>
    <n v="9"/>
    <n v="36963.729999999996"/>
    <n v="1"/>
    <n v="2"/>
    <n v="2"/>
    <s v="122"/>
    <x v="1"/>
  </r>
  <r>
    <x v="276"/>
    <d v="2024-08-25T09:00:07"/>
    <x v="2"/>
    <x v="3"/>
    <x v="1"/>
    <n v="1275.23"/>
    <n v="607"/>
    <n v="7"/>
    <n v="33899.22"/>
    <n v="1"/>
    <n v="4"/>
    <n v="3"/>
    <s v="143"/>
    <x v="3"/>
  </r>
  <r>
    <x v="125"/>
    <d v="2024-08-25T09:00:07"/>
    <x v="2"/>
    <x v="6"/>
    <x v="1"/>
    <n v="1081.3"/>
    <n v="607"/>
    <n v="9"/>
    <n v="33311.4"/>
    <n v="1"/>
    <n v="2"/>
    <n v="3"/>
    <s v="123"/>
    <x v="2"/>
  </r>
  <r>
    <x v="261"/>
    <d v="2024-08-25T09:00:07"/>
    <x v="2"/>
    <x v="6"/>
    <x v="0"/>
    <n v="1950.61"/>
    <n v="607"/>
    <n v="4"/>
    <n v="10665.94"/>
    <n v="1"/>
    <n v="5"/>
    <n v="5"/>
    <s v="155"/>
    <x v="3"/>
  </r>
  <r>
    <x v="195"/>
    <d v="2024-08-26T09:00:07"/>
    <x v="1"/>
    <x v="4"/>
    <x v="1"/>
    <n v="1634.72"/>
    <n v="606"/>
    <n v="10"/>
    <n v="37984.589999999997"/>
    <n v="1"/>
    <n v="2"/>
    <n v="2"/>
    <s v="122"/>
    <x v="1"/>
  </r>
  <r>
    <x v="15"/>
    <d v="2024-08-26T09:00:07"/>
    <x v="4"/>
    <x v="4"/>
    <x v="1"/>
    <n v="3086.28"/>
    <n v="606"/>
    <n v="6"/>
    <n v="32825.340000000004"/>
    <n v="1"/>
    <n v="4"/>
    <n v="3"/>
    <s v="143"/>
    <x v="3"/>
  </r>
  <r>
    <x v="277"/>
    <d v="2024-08-26T09:00:07"/>
    <x v="3"/>
    <x v="4"/>
    <x v="2"/>
    <n v="2129.77"/>
    <n v="606"/>
    <n v="10"/>
    <n v="40760.559999999998"/>
    <n v="1"/>
    <n v="2"/>
    <n v="2"/>
    <s v="122"/>
    <x v="1"/>
  </r>
  <r>
    <x v="192"/>
    <d v="2024-08-26T09:00:07"/>
    <x v="9"/>
    <x v="1"/>
    <x v="0"/>
    <n v="587.76"/>
    <n v="606"/>
    <n v="12"/>
    <n v="45191.609999999993"/>
    <n v="1"/>
    <n v="1"/>
    <n v="1"/>
    <s v="111"/>
    <x v="1"/>
  </r>
  <r>
    <x v="186"/>
    <d v="2024-08-26T09:00:07"/>
    <x v="4"/>
    <x v="0"/>
    <x v="2"/>
    <n v="11716.62"/>
    <n v="606"/>
    <n v="7"/>
    <n v="37438.960000000006"/>
    <n v="1"/>
    <n v="4"/>
    <n v="2"/>
    <s v="142"/>
    <x v="0"/>
  </r>
  <r>
    <x v="240"/>
    <d v="2024-08-26T09:00:07"/>
    <x v="2"/>
    <x v="3"/>
    <x v="2"/>
    <n v="2337.41"/>
    <n v="606"/>
    <n v="10"/>
    <n v="27910.07"/>
    <n v="1"/>
    <n v="2"/>
    <n v="4"/>
    <s v="124"/>
    <x v="2"/>
  </r>
  <r>
    <x v="87"/>
    <d v="2024-08-27T09:00:07"/>
    <x v="0"/>
    <x v="6"/>
    <x v="1"/>
    <n v="1954.87"/>
    <n v="605"/>
    <n v="13"/>
    <n v="72511.88"/>
    <n v="1"/>
    <n v="1"/>
    <n v="1"/>
    <s v="111"/>
    <x v="1"/>
  </r>
  <r>
    <x v="177"/>
    <d v="2024-08-27T09:00:07"/>
    <x v="0"/>
    <x v="5"/>
    <x v="2"/>
    <n v="3961.86"/>
    <n v="605"/>
    <n v="11"/>
    <n v="45526.78"/>
    <n v="1"/>
    <n v="1"/>
    <n v="1"/>
    <s v="111"/>
    <x v="1"/>
  </r>
  <r>
    <x v="117"/>
    <d v="2024-08-27T09:00:07"/>
    <x v="5"/>
    <x v="0"/>
    <x v="2"/>
    <n v="5044.1000000000004"/>
    <n v="605"/>
    <n v="12"/>
    <n v="44894.799999999996"/>
    <n v="1"/>
    <n v="1"/>
    <n v="1"/>
    <s v="111"/>
    <x v="1"/>
  </r>
  <r>
    <x v="265"/>
    <d v="2024-08-28T09:00:07"/>
    <x v="8"/>
    <x v="4"/>
    <x v="0"/>
    <n v="8008.67"/>
    <n v="604"/>
    <n v="8"/>
    <n v="37946.1"/>
    <n v="1"/>
    <n v="3"/>
    <n v="2"/>
    <s v="132"/>
    <x v="0"/>
  </r>
  <r>
    <x v="278"/>
    <d v="2024-08-28T09:00:07"/>
    <x v="4"/>
    <x v="6"/>
    <x v="2"/>
    <n v="6074.49"/>
    <n v="604"/>
    <n v="10"/>
    <n v="38069.94"/>
    <n v="1"/>
    <n v="2"/>
    <n v="2"/>
    <s v="122"/>
    <x v="1"/>
  </r>
  <r>
    <x v="134"/>
    <d v="2024-08-28T09:00:07"/>
    <x v="3"/>
    <x v="0"/>
    <x v="0"/>
    <n v="3008.56"/>
    <n v="604"/>
    <n v="6"/>
    <n v="15936.029999999999"/>
    <n v="1"/>
    <n v="4"/>
    <n v="5"/>
    <s v="145"/>
    <x v="3"/>
  </r>
  <r>
    <x v="26"/>
    <d v="2024-08-28T09:00:07"/>
    <x v="6"/>
    <x v="1"/>
    <x v="1"/>
    <n v="3002.45"/>
    <n v="604"/>
    <n v="6"/>
    <n v="22201.78"/>
    <n v="1"/>
    <n v="4"/>
    <n v="4"/>
    <s v="144"/>
    <x v="3"/>
  </r>
  <r>
    <x v="69"/>
    <d v="2024-08-28T09:00:07"/>
    <x v="9"/>
    <x v="1"/>
    <x v="0"/>
    <n v="1628.32"/>
    <n v="604"/>
    <n v="9"/>
    <n v="30242.800000000003"/>
    <n v="1"/>
    <n v="2"/>
    <n v="3"/>
    <s v="123"/>
    <x v="2"/>
  </r>
  <r>
    <x v="182"/>
    <d v="2024-08-28T09:00:07"/>
    <x v="3"/>
    <x v="0"/>
    <x v="2"/>
    <n v="1833.82"/>
    <n v="604"/>
    <n v="13"/>
    <n v="49208.94"/>
    <n v="1"/>
    <n v="1"/>
    <n v="1"/>
    <s v="111"/>
    <x v="1"/>
  </r>
  <r>
    <x v="97"/>
    <d v="2024-08-28T09:00:07"/>
    <x v="2"/>
    <x v="5"/>
    <x v="0"/>
    <n v="923.45"/>
    <n v="604"/>
    <n v="7"/>
    <n v="20951.28"/>
    <n v="1"/>
    <n v="4"/>
    <n v="5"/>
    <s v="145"/>
    <x v="3"/>
  </r>
  <r>
    <x v="162"/>
    <d v="2024-08-29T09:00:07"/>
    <x v="3"/>
    <x v="6"/>
    <x v="0"/>
    <n v="2318.11"/>
    <n v="603"/>
    <n v="7"/>
    <n v="20657.780000000002"/>
    <n v="1"/>
    <n v="4"/>
    <n v="5"/>
    <s v="145"/>
    <x v="3"/>
  </r>
  <r>
    <x v="279"/>
    <d v="2024-08-29T09:00:07"/>
    <x v="1"/>
    <x v="3"/>
    <x v="0"/>
    <n v="1268.03"/>
    <n v="603"/>
    <n v="7"/>
    <n v="29446.02"/>
    <n v="1"/>
    <n v="4"/>
    <n v="4"/>
    <s v="144"/>
    <x v="3"/>
  </r>
  <r>
    <x v="280"/>
    <d v="2024-08-29T09:00:07"/>
    <x v="0"/>
    <x v="5"/>
    <x v="2"/>
    <n v="3731.89"/>
    <n v="603"/>
    <n v="16"/>
    <n v="64716.249999999985"/>
    <n v="1"/>
    <n v="1"/>
    <n v="1"/>
    <s v="111"/>
    <x v="1"/>
  </r>
  <r>
    <x v="242"/>
    <d v="2024-08-29T09:00:07"/>
    <x v="8"/>
    <x v="6"/>
    <x v="1"/>
    <n v="312.45"/>
    <n v="603"/>
    <n v="7"/>
    <n v="32869.479999999996"/>
    <n v="1"/>
    <n v="4"/>
    <n v="3"/>
    <s v="143"/>
    <x v="3"/>
  </r>
  <r>
    <x v="231"/>
    <d v="2024-08-29T09:00:07"/>
    <x v="1"/>
    <x v="3"/>
    <x v="0"/>
    <n v="17398.810000000001"/>
    <n v="603"/>
    <n v="9"/>
    <n v="40711.57"/>
    <n v="1"/>
    <n v="2"/>
    <n v="2"/>
    <s v="122"/>
    <x v="1"/>
  </r>
  <r>
    <x v="65"/>
    <d v="2024-08-30T09:00:07"/>
    <x v="0"/>
    <x v="6"/>
    <x v="0"/>
    <n v="2372.88"/>
    <n v="602"/>
    <n v="12"/>
    <n v="46195.360000000001"/>
    <n v="1"/>
    <n v="1"/>
    <n v="1"/>
    <s v="111"/>
    <x v="1"/>
  </r>
  <r>
    <x v="281"/>
    <d v="2024-08-30T09:00:07"/>
    <x v="0"/>
    <x v="5"/>
    <x v="2"/>
    <n v="1154.17"/>
    <n v="602"/>
    <n v="5"/>
    <n v="23857.670000000002"/>
    <n v="1"/>
    <n v="5"/>
    <n v="4"/>
    <s v="154"/>
    <x v="3"/>
  </r>
  <r>
    <x v="159"/>
    <d v="2024-08-30T09:00:07"/>
    <x v="9"/>
    <x v="4"/>
    <x v="2"/>
    <n v="1250.83"/>
    <n v="602"/>
    <n v="9"/>
    <n v="38753.799999999988"/>
    <n v="1"/>
    <n v="2"/>
    <n v="2"/>
    <s v="122"/>
    <x v="1"/>
  </r>
  <r>
    <x v="282"/>
    <d v="2024-08-30T09:00:07"/>
    <x v="3"/>
    <x v="5"/>
    <x v="0"/>
    <n v="2923.61"/>
    <n v="602"/>
    <n v="7"/>
    <n v="25906.9"/>
    <n v="1"/>
    <n v="4"/>
    <n v="4"/>
    <s v="144"/>
    <x v="3"/>
  </r>
  <r>
    <x v="224"/>
    <d v="2024-08-30T09:00:07"/>
    <x v="3"/>
    <x v="5"/>
    <x v="0"/>
    <n v="1730.61"/>
    <n v="602"/>
    <n v="8"/>
    <n v="28833.759999999998"/>
    <n v="1"/>
    <n v="3"/>
    <n v="4"/>
    <s v="134"/>
    <x v="3"/>
  </r>
  <r>
    <x v="147"/>
    <d v="2024-08-30T09:00:07"/>
    <x v="5"/>
    <x v="6"/>
    <x v="2"/>
    <n v="1144.32"/>
    <n v="602"/>
    <n v="8"/>
    <n v="21286.739999999998"/>
    <n v="1"/>
    <n v="3"/>
    <n v="5"/>
    <s v="135"/>
    <x v="3"/>
  </r>
  <r>
    <x v="130"/>
    <d v="2024-08-30T09:00:07"/>
    <x v="4"/>
    <x v="2"/>
    <x v="2"/>
    <n v="6381.2"/>
    <n v="602"/>
    <n v="8"/>
    <n v="35723.81"/>
    <n v="1"/>
    <n v="3"/>
    <n v="3"/>
    <s v="133"/>
    <x v="3"/>
  </r>
  <r>
    <x v="218"/>
    <d v="2024-08-30T09:00:07"/>
    <x v="9"/>
    <x v="3"/>
    <x v="0"/>
    <n v="1943.02"/>
    <n v="602"/>
    <n v="12"/>
    <n v="48008.159999999996"/>
    <n v="1"/>
    <n v="1"/>
    <n v="1"/>
    <s v="111"/>
    <x v="1"/>
  </r>
  <r>
    <x v="283"/>
    <d v="2024-08-31T09:00:07"/>
    <x v="8"/>
    <x v="0"/>
    <x v="1"/>
    <n v="10288.950000000001"/>
    <n v="601"/>
    <n v="7"/>
    <n v="38080.880000000005"/>
    <n v="1"/>
    <n v="4"/>
    <n v="2"/>
    <s v="142"/>
    <x v="0"/>
  </r>
  <r>
    <x v="32"/>
    <d v="2024-09-01T09:00:07"/>
    <x v="6"/>
    <x v="0"/>
    <x v="2"/>
    <n v="6763.74"/>
    <n v="600"/>
    <n v="13"/>
    <n v="40402.14"/>
    <n v="1"/>
    <n v="1"/>
    <n v="2"/>
    <s v="112"/>
    <x v="1"/>
  </r>
  <r>
    <x v="32"/>
    <d v="2024-09-01T09:00:07"/>
    <x v="1"/>
    <x v="6"/>
    <x v="1"/>
    <n v="4576.05"/>
    <n v="600"/>
    <n v="13"/>
    <n v="40402.14"/>
    <n v="1"/>
    <n v="1"/>
    <n v="2"/>
    <s v="112"/>
    <x v="1"/>
  </r>
  <r>
    <x v="284"/>
    <d v="2024-09-01T09:00:07"/>
    <x v="9"/>
    <x v="1"/>
    <x v="1"/>
    <n v="468.91"/>
    <n v="600"/>
    <n v="7"/>
    <n v="24204.07"/>
    <n v="1"/>
    <n v="4"/>
    <n v="4"/>
    <s v="144"/>
    <x v="3"/>
  </r>
  <r>
    <x v="114"/>
    <d v="2024-09-02T09:00:07"/>
    <x v="9"/>
    <x v="6"/>
    <x v="2"/>
    <n v="9441"/>
    <n v="599"/>
    <n v="6"/>
    <n v="22984.870000000003"/>
    <n v="1"/>
    <n v="4"/>
    <n v="4"/>
    <s v="144"/>
    <x v="3"/>
  </r>
  <r>
    <x v="285"/>
    <d v="2024-09-02T09:00:07"/>
    <x v="9"/>
    <x v="3"/>
    <x v="2"/>
    <n v="3683.3"/>
    <n v="599"/>
    <n v="5"/>
    <n v="15143.41"/>
    <n v="1"/>
    <n v="5"/>
    <n v="5"/>
    <s v="155"/>
    <x v="3"/>
  </r>
  <r>
    <x v="1"/>
    <d v="2024-09-02T09:00:07"/>
    <x v="5"/>
    <x v="0"/>
    <x v="0"/>
    <n v="2026.19"/>
    <n v="599"/>
    <n v="12"/>
    <n v="49382.650000000009"/>
    <n v="1"/>
    <n v="1"/>
    <n v="1"/>
    <s v="111"/>
    <x v="1"/>
  </r>
  <r>
    <x v="170"/>
    <d v="2024-09-02T09:00:07"/>
    <x v="2"/>
    <x v="4"/>
    <x v="0"/>
    <n v="6915.83"/>
    <n v="599"/>
    <n v="7"/>
    <n v="33514.49"/>
    <n v="1"/>
    <n v="4"/>
    <n v="3"/>
    <s v="143"/>
    <x v="3"/>
  </r>
  <r>
    <x v="50"/>
    <d v="2024-09-04T09:00:07"/>
    <x v="6"/>
    <x v="0"/>
    <x v="1"/>
    <n v="11824.72"/>
    <n v="597"/>
    <n v="13"/>
    <n v="64175.24"/>
    <n v="1"/>
    <n v="1"/>
    <n v="1"/>
    <s v="111"/>
    <x v="1"/>
  </r>
  <r>
    <x v="286"/>
    <d v="2024-09-04T09:00:07"/>
    <x v="7"/>
    <x v="5"/>
    <x v="1"/>
    <n v="3851.32"/>
    <n v="597"/>
    <n v="14"/>
    <n v="60099.840000000004"/>
    <n v="1"/>
    <n v="1"/>
    <n v="1"/>
    <s v="111"/>
    <x v="1"/>
  </r>
  <r>
    <x v="227"/>
    <d v="2024-09-05T09:00:07"/>
    <x v="6"/>
    <x v="2"/>
    <x v="2"/>
    <n v="9078.66"/>
    <n v="596"/>
    <n v="4"/>
    <n v="21830.14"/>
    <n v="1"/>
    <n v="5"/>
    <n v="4"/>
    <s v="154"/>
    <x v="3"/>
  </r>
  <r>
    <x v="287"/>
    <d v="2024-09-05T09:00:07"/>
    <x v="8"/>
    <x v="1"/>
    <x v="1"/>
    <n v="7600.75"/>
    <n v="596"/>
    <n v="9"/>
    <n v="35759.83"/>
    <n v="1"/>
    <n v="2"/>
    <n v="3"/>
    <s v="123"/>
    <x v="2"/>
  </r>
  <r>
    <x v="80"/>
    <d v="2024-09-06T09:00:07"/>
    <x v="7"/>
    <x v="0"/>
    <x v="2"/>
    <n v="3512.07"/>
    <n v="595"/>
    <n v="10"/>
    <n v="38608.230000000003"/>
    <n v="1"/>
    <n v="2"/>
    <n v="2"/>
    <s v="122"/>
    <x v="1"/>
  </r>
  <r>
    <x v="288"/>
    <d v="2024-09-06T09:00:07"/>
    <x v="1"/>
    <x v="5"/>
    <x v="1"/>
    <n v="2486.08"/>
    <n v="595"/>
    <n v="5"/>
    <n v="22112.27"/>
    <n v="1"/>
    <n v="5"/>
    <n v="4"/>
    <s v="154"/>
    <x v="3"/>
  </r>
  <r>
    <x v="289"/>
    <d v="2024-09-06T09:00:07"/>
    <x v="8"/>
    <x v="3"/>
    <x v="2"/>
    <n v="12491.92"/>
    <n v="595"/>
    <n v="6"/>
    <n v="29693.030000000002"/>
    <n v="1"/>
    <n v="4"/>
    <n v="3"/>
    <s v="143"/>
    <x v="3"/>
  </r>
  <r>
    <x v="139"/>
    <d v="2024-09-07T09:00:07"/>
    <x v="2"/>
    <x v="5"/>
    <x v="1"/>
    <n v="16168.88"/>
    <n v="594"/>
    <n v="9"/>
    <n v="48530.240000000005"/>
    <n v="1"/>
    <n v="2"/>
    <n v="1"/>
    <s v="121"/>
    <x v="1"/>
  </r>
  <r>
    <x v="290"/>
    <d v="2024-09-07T09:00:07"/>
    <x v="5"/>
    <x v="6"/>
    <x v="0"/>
    <n v="750.56"/>
    <n v="594"/>
    <n v="6"/>
    <n v="21250.21"/>
    <n v="1"/>
    <n v="4"/>
    <n v="5"/>
    <s v="145"/>
    <x v="3"/>
  </r>
  <r>
    <x v="38"/>
    <d v="2024-09-07T09:00:07"/>
    <x v="2"/>
    <x v="3"/>
    <x v="2"/>
    <n v="1808"/>
    <n v="594"/>
    <n v="7"/>
    <n v="21298.79"/>
    <n v="1"/>
    <n v="4"/>
    <n v="5"/>
    <s v="145"/>
    <x v="3"/>
  </r>
  <r>
    <x v="285"/>
    <d v="2024-09-07T09:00:07"/>
    <x v="0"/>
    <x v="6"/>
    <x v="2"/>
    <n v="3275.87"/>
    <n v="594"/>
    <n v="5"/>
    <n v="15143.41"/>
    <n v="1"/>
    <n v="5"/>
    <n v="5"/>
    <s v="155"/>
    <x v="3"/>
  </r>
  <r>
    <x v="52"/>
    <d v="2024-09-07T09:00:07"/>
    <x v="2"/>
    <x v="6"/>
    <x v="0"/>
    <n v="399.97"/>
    <n v="594"/>
    <n v="4"/>
    <n v="11791.11"/>
    <n v="1"/>
    <n v="5"/>
    <n v="5"/>
    <s v="155"/>
    <x v="3"/>
  </r>
  <r>
    <x v="202"/>
    <d v="2024-09-07T09:00:07"/>
    <x v="2"/>
    <x v="1"/>
    <x v="0"/>
    <n v="1584.15"/>
    <n v="594"/>
    <n v="7"/>
    <n v="13087.390000000001"/>
    <n v="1"/>
    <n v="4"/>
    <n v="5"/>
    <s v="145"/>
    <x v="3"/>
  </r>
  <r>
    <x v="291"/>
    <d v="2024-09-07T09:00:07"/>
    <x v="3"/>
    <x v="0"/>
    <x v="2"/>
    <n v="1011.58"/>
    <n v="594"/>
    <n v="9"/>
    <n v="27888.809999999998"/>
    <n v="1"/>
    <n v="2"/>
    <n v="4"/>
    <s v="124"/>
    <x v="2"/>
  </r>
  <r>
    <x v="34"/>
    <d v="2024-09-08T09:00:07"/>
    <x v="6"/>
    <x v="6"/>
    <x v="2"/>
    <n v="693.82"/>
    <n v="593"/>
    <n v="8"/>
    <n v="40213.310000000005"/>
    <n v="1"/>
    <n v="3"/>
    <n v="2"/>
    <s v="132"/>
    <x v="0"/>
  </r>
  <r>
    <x v="292"/>
    <d v="2024-09-08T09:00:07"/>
    <x v="3"/>
    <x v="1"/>
    <x v="1"/>
    <n v="7665.01"/>
    <n v="593"/>
    <n v="4"/>
    <n v="13232.439999999999"/>
    <n v="1"/>
    <n v="5"/>
    <n v="5"/>
    <s v="155"/>
    <x v="3"/>
  </r>
  <r>
    <x v="113"/>
    <d v="2024-09-08T09:00:07"/>
    <x v="4"/>
    <x v="3"/>
    <x v="1"/>
    <n v="6431.11"/>
    <n v="593"/>
    <n v="10"/>
    <n v="41704.25"/>
    <n v="1"/>
    <n v="2"/>
    <n v="2"/>
    <s v="122"/>
    <x v="1"/>
  </r>
  <r>
    <x v="293"/>
    <d v="2024-09-08T09:00:07"/>
    <x v="5"/>
    <x v="1"/>
    <x v="1"/>
    <n v="1606.59"/>
    <n v="593"/>
    <n v="8"/>
    <n v="27805.74"/>
    <n v="1"/>
    <n v="3"/>
    <n v="4"/>
    <s v="134"/>
    <x v="3"/>
  </r>
  <r>
    <x v="128"/>
    <d v="2024-09-08T09:00:07"/>
    <x v="4"/>
    <x v="3"/>
    <x v="1"/>
    <n v="4682.34"/>
    <n v="593"/>
    <n v="6"/>
    <n v="24977.25"/>
    <n v="1"/>
    <n v="4"/>
    <n v="4"/>
    <s v="144"/>
    <x v="3"/>
  </r>
  <r>
    <x v="225"/>
    <d v="2024-09-09T09:00:07"/>
    <x v="4"/>
    <x v="4"/>
    <x v="0"/>
    <n v="3307.85"/>
    <n v="592"/>
    <n v="10"/>
    <n v="31217.780000000002"/>
    <n v="1"/>
    <n v="2"/>
    <n v="3"/>
    <s v="123"/>
    <x v="2"/>
  </r>
  <r>
    <x v="22"/>
    <d v="2024-09-09T09:00:07"/>
    <x v="1"/>
    <x v="4"/>
    <x v="0"/>
    <n v="4424.04"/>
    <n v="592"/>
    <n v="5"/>
    <n v="20536.82"/>
    <n v="1"/>
    <n v="5"/>
    <n v="5"/>
    <s v="155"/>
    <x v="3"/>
  </r>
  <r>
    <x v="294"/>
    <d v="2024-09-09T09:00:07"/>
    <x v="2"/>
    <x v="0"/>
    <x v="2"/>
    <n v="1748.66"/>
    <n v="592"/>
    <n v="8"/>
    <n v="30924.840000000004"/>
    <n v="1"/>
    <n v="3"/>
    <n v="3"/>
    <s v="133"/>
    <x v="3"/>
  </r>
  <r>
    <x v="190"/>
    <d v="2024-09-09T09:00:07"/>
    <x v="4"/>
    <x v="3"/>
    <x v="0"/>
    <n v="3758.04"/>
    <n v="592"/>
    <n v="13"/>
    <n v="51409.87"/>
    <n v="1"/>
    <n v="1"/>
    <n v="1"/>
    <s v="111"/>
    <x v="1"/>
  </r>
  <r>
    <x v="267"/>
    <d v="2024-09-09T09:00:07"/>
    <x v="4"/>
    <x v="2"/>
    <x v="0"/>
    <n v="3694.87"/>
    <n v="592"/>
    <n v="8"/>
    <n v="37668.22"/>
    <n v="1"/>
    <n v="3"/>
    <n v="2"/>
    <s v="132"/>
    <x v="0"/>
  </r>
  <r>
    <x v="101"/>
    <d v="2024-09-09T09:00:07"/>
    <x v="4"/>
    <x v="1"/>
    <x v="1"/>
    <n v="1972.19"/>
    <n v="592"/>
    <n v="5"/>
    <n v="29381.64"/>
    <n v="1"/>
    <n v="5"/>
    <n v="4"/>
    <s v="154"/>
    <x v="3"/>
  </r>
  <r>
    <x v="295"/>
    <d v="2024-09-09T09:00:07"/>
    <x v="5"/>
    <x v="3"/>
    <x v="1"/>
    <n v="3838.32"/>
    <n v="592"/>
    <n v="9"/>
    <n v="26580.030000000002"/>
    <n v="1"/>
    <n v="2"/>
    <n v="4"/>
    <s v="124"/>
    <x v="2"/>
  </r>
  <r>
    <x v="263"/>
    <d v="2024-09-10T09:00:07"/>
    <x v="4"/>
    <x v="6"/>
    <x v="2"/>
    <n v="1235.68"/>
    <n v="591"/>
    <n v="12"/>
    <n v="40797.409999999996"/>
    <n v="1"/>
    <n v="1"/>
    <n v="2"/>
    <s v="112"/>
    <x v="1"/>
  </r>
  <r>
    <x v="181"/>
    <d v="2024-09-10T09:00:07"/>
    <x v="2"/>
    <x v="0"/>
    <x v="1"/>
    <n v="4652.12"/>
    <n v="591"/>
    <n v="7"/>
    <n v="25155.31"/>
    <n v="1"/>
    <n v="4"/>
    <n v="4"/>
    <s v="144"/>
    <x v="3"/>
  </r>
  <r>
    <x v="23"/>
    <d v="2024-09-10T09:00:07"/>
    <x v="2"/>
    <x v="1"/>
    <x v="2"/>
    <n v="2736.81"/>
    <n v="591"/>
    <n v="11"/>
    <n v="44004.459999999992"/>
    <n v="1"/>
    <n v="1"/>
    <n v="2"/>
    <s v="112"/>
    <x v="1"/>
  </r>
  <r>
    <x v="267"/>
    <d v="2024-09-10T09:00:07"/>
    <x v="6"/>
    <x v="1"/>
    <x v="1"/>
    <n v="3846.03"/>
    <n v="591"/>
    <n v="8"/>
    <n v="37668.22"/>
    <n v="1"/>
    <n v="3"/>
    <n v="2"/>
    <s v="132"/>
    <x v="0"/>
  </r>
  <r>
    <x v="74"/>
    <d v="2024-09-10T09:00:07"/>
    <x v="0"/>
    <x v="3"/>
    <x v="1"/>
    <n v="932.71"/>
    <n v="591"/>
    <n v="8"/>
    <n v="28309.71"/>
    <n v="1"/>
    <n v="3"/>
    <n v="4"/>
    <s v="134"/>
    <x v="3"/>
  </r>
  <r>
    <x v="236"/>
    <d v="2024-09-11T09:00:07"/>
    <x v="3"/>
    <x v="3"/>
    <x v="2"/>
    <n v="1483.9"/>
    <n v="590"/>
    <n v="7"/>
    <n v="16120.029999999999"/>
    <n v="1"/>
    <n v="4"/>
    <n v="5"/>
    <s v="145"/>
    <x v="3"/>
  </r>
  <r>
    <x v="272"/>
    <d v="2024-09-11T09:00:07"/>
    <x v="9"/>
    <x v="1"/>
    <x v="1"/>
    <n v="2273.85"/>
    <n v="590"/>
    <n v="13"/>
    <n v="49471.75"/>
    <n v="1"/>
    <n v="1"/>
    <n v="1"/>
    <s v="111"/>
    <x v="1"/>
  </r>
  <r>
    <x v="117"/>
    <d v="2024-09-11T09:00:07"/>
    <x v="3"/>
    <x v="4"/>
    <x v="0"/>
    <n v="4068.3"/>
    <n v="590"/>
    <n v="12"/>
    <n v="44894.799999999996"/>
    <n v="1"/>
    <n v="1"/>
    <n v="1"/>
    <s v="111"/>
    <x v="1"/>
  </r>
  <r>
    <x v="248"/>
    <d v="2024-09-11T09:00:07"/>
    <x v="2"/>
    <x v="0"/>
    <x v="1"/>
    <n v="3144.87"/>
    <n v="590"/>
    <n v="8"/>
    <n v="34167.589999999997"/>
    <n v="1"/>
    <n v="3"/>
    <n v="3"/>
    <s v="133"/>
    <x v="3"/>
  </r>
  <r>
    <x v="296"/>
    <d v="2024-09-11T09:00:07"/>
    <x v="8"/>
    <x v="0"/>
    <x v="0"/>
    <n v="1348.25"/>
    <n v="590"/>
    <n v="3"/>
    <n v="7274.86"/>
    <n v="1"/>
    <n v="5"/>
    <n v="5"/>
    <s v="155"/>
    <x v="3"/>
  </r>
  <r>
    <x v="188"/>
    <d v="2024-09-11T09:00:07"/>
    <x v="9"/>
    <x v="1"/>
    <x v="2"/>
    <n v="3300.37"/>
    <n v="590"/>
    <n v="8"/>
    <n v="33838.019999999997"/>
    <n v="1"/>
    <n v="3"/>
    <n v="3"/>
    <s v="133"/>
    <x v="3"/>
  </r>
  <r>
    <x v="11"/>
    <d v="2024-09-11T09:00:07"/>
    <x v="8"/>
    <x v="4"/>
    <x v="0"/>
    <n v="2573.79"/>
    <n v="590"/>
    <n v="9"/>
    <n v="29151.88"/>
    <n v="1"/>
    <n v="2"/>
    <n v="4"/>
    <s v="124"/>
    <x v="2"/>
  </r>
  <r>
    <x v="32"/>
    <d v="2024-09-11T09:00:07"/>
    <x v="5"/>
    <x v="5"/>
    <x v="0"/>
    <n v="4354.3999999999996"/>
    <n v="590"/>
    <n v="13"/>
    <n v="40402.14"/>
    <n v="1"/>
    <n v="1"/>
    <n v="2"/>
    <s v="112"/>
    <x v="1"/>
  </r>
  <r>
    <x v="297"/>
    <d v="2024-09-12T09:00:07"/>
    <x v="7"/>
    <x v="1"/>
    <x v="1"/>
    <n v="2541.35"/>
    <n v="589"/>
    <n v="4"/>
    <n v="24173.510000000002"/>
    <n v="1"/>
    <n v="5"/>
    <n v="4"/>
    <s v="154"/>
    <x v="3"/>
  </r>
  <r>
    <x v="298"/>
    <d v="2024-09-12T09:00:07"/>
    <x v="4"/>
    <x v="1"/>
    <x v="0"/>
    <n v="5226.6899999999996"/>
    <n v="589"/>
    <n v="9"/>
    <n v="40942.560000000005"/>
    <n v="1"/>
    <n v="2"/>
    <n v="2"/>
    <s v="122"/>
    <x v="1"/>
  </r>
  <r>
    <x v="299"/>
    <d v="2024-09-12T09:00:07"/>
    <x v="0"/>
    <x v="3"/>
    <x v="1"/>
    <n v="1206.8"/>
    <n v="589"/>
    <n v="4"/>
    <n v="16102.51"/>
    <n v="1"/>
    <n v="5"/>
    <n v="5"/>
    <s v="155"/>
    <x v="3"/>
  </r>
  <r>
    <x v="300"/>
    <d v="2024-09-13T09:00:07"/>
    <x v="1"/>
    <x v="1"/>
    <x v="1"/>
    <n v="181.25"/>
    <n v="588"/>
    <n v="6"/>
    <n v="12410.619999999999"/>
    <n v="1"/>
    <n v="4"/>
    <n v="5"/>
    <s v="145"/>
    <x v="3"/>
  </r>
  <r>
    <x v="117"/>
    <d v="2024-09-13T09:00:07"/>
    <x v="3"/>
    <x v="6"/>
    <x v="2"/>
    <n v="2431.41"/>
    <n v="588"/>
    <n v="12"/>
    <n v="44894.799999999996"/>
    <n v="1"/>
    <n v="1"/>
    <n v="1"/>
    <s v="111"/>
    <x v="1"/>
  </r>
  <r>
    <x v="202"/>
    <d v="2024-09-13T09:00:07"/>
    <x v="3"/>
    <x v="0"/>
    <x v="2"/>
    <n v="4938.75"/>
    <n v="588"/>
    <n v="7"/>
    <n v="13087.390000000001"/>
    <n v="1"/>
    <n v="4"/>
    <n v="5"/>
    <s v="145"/>
    <x v="3"/>
  </r>
  <r>
    <x v="301"/>
    <d v="2024-09-13T09:00:07"/>
    <x v="8"/>
    <x v="0"/>
    <x v="1"/>
    <n v="4051.83"/>
    <n v="588"/>
    <n v="5"/>
    <n v="23179.78"/>
    <n v="1"/>
    <n v="5"/>
    <n v="4"/>
    <s v="154"/>
    <x v="3"/>
  </r>
  <r>
    <x v="94"/>
    <d v="2024-09-14T09:00:07"/>
    <x v="9"/>
    <x v="5"/>
    <x v="0"/>
    <n v="4593.45"/>
    <n v="587"/>
    <n v="13"/>
    <n v="56128.799999999996"/>
    <n v="1"/>
    <n v="1"/>
    <n v="1"/>
    <s v="111"/>
    <x v="1"/>
  </r>
  <r>
    <x v="198"/>
    <d v="2024-09-14T09:00:07"/>
    <x v="8"/>
    <x v="1"/>
    <x v="0"/>
    <n v="3020.23"/>
    <n v="587"/>
    <n v="9"/>
    <n v="30846.7"/>
    <n v="1"/>
    <n v="2"/>
    <n v="3"/>
    <s v="123"/>
    <x v="2"/>
  </r>
  <r>
    <x v="264"/>
    <d v="2024-09-14T09:00:07"/>
    <x v="6"/>
    <x v="2"/>
    <x v="1"/>
    <n v="11447.31"/>
    <n v="587"/>
    <n v="7"/>
    <n v="30708.170000000002"/>
    <n v="1"/>
    <n v="4"/>
    <n v="3"/>
    <s v="143"/>
    <x v="3"/>
  </r>
  <r>
    <x v="283"/>
    <d v="2024-09-14T09:00:07"/>
    <x v="2"/>
    <x v="4"/>
    <x v="1"/>
    <n v="1702.85"/>
    <n v="587"/>
    <n v="7"/>
    <n v="38080.880000000005"/>
    <n v="1"/>
    <n v="4"/>
    <n v="2"/>
    <s v="142"/>
    <x v="0"/>
  </r>
  <r>
    <x v="191"/>
    <d v="2024-09-15T09:00:07"/>
    <x v="3"/>
    <x v="2"/>
    <x v="1"/>
    <n v="9604.99"/>
    <n v="586"/>
    <n v="11"/>
    <n v="54143.32"/>
    <n v="1"/>
    <n v="1"/>
    <n v="1"/>
    <s v="111"/>
    <x v="1"/>
  </r>
  <r>
    <x v="50"/>
    <d v="2024-09-15T09:00:07"/>
    <x v="5"/>
    <x v="4"/>
    <x v="1"/>
    <n v="2723.46"/>
    <n v="586"/>
    <n v="13"/>
    <n v="64175.24"/>
    <n v="1"/>
    <n v="1"/>
    <n v="1"/>
    <s v="111"/>
    <x v="1"/>
  </r>
  <r>
    <x v="142"/>
    <d v="2024-09-16T09:00:07"/>
    <x v="6"/>
    <x v="3"/>
    <x v="2"/>
    <n v="3613.33"/>
    <n v="585"/>
    <n v="13"/>
    <n v="47658.630000000005"/>
    <n v="1"/>
    <n v="1"/>
    <n v="1"/>
    <s v="111"/>
    <x v="1"/>
  </r>
  <r>
    <x v="302"/>
    <d v="2024-09-16T09:00:07"/>
    <x v="2"/>
    <x v="6"/>
    <x v="0"/>
    <n v="9285.91"/>
    <n v="585"/>
    <n v="10"/>
    <n v="47284.22"/>
    <n v="1"/>
    <n v="2"/>
    <n v="1"/>
    <s v="121"/>
    <x v="1"/>
  </r>
  <r>
    <x v="303"/>
    <d v="2024-09-16T09:00:07"/>
    <x v="2"/>
    <x v="3"/>
    <x v="1"/>
    <n v="4750.78"/>
    <n v="585"/>
    <n v="7"/>
    <n v="19730.549999999996"/>
    <n v="1"/>
    <n v="4"/>
    <n v="5"/>
    <s v="145"/>
    <x v="3"/>
  </r>
  <r>
    <x v="202"/>
    <d v="2024-09-16T09:00:07"/>
    <x v="4"/>
    <x v="3"/>
    <x v="0"/>
    <n v="1649.98"/>
    <n v="585"/>
    <n v="7"/>
    <n v="13087.390000000001"/>
    <n v="1"/>
    <n v="4"/>
    <n v="5"/>
    <s v="145"/>
    <x v="3"/>
  </r>
  <r>
    <x v="225"/>
    <d v="2024-09-17T09:00:07"/>
    <x v="0"/>
    <x v="1"/>
    <x v="0"/>
    <n v="1151.97"/>
    <n v="584"/>
    <n v="10"/>
    <n v="31217.780000000002"/>
    <n v="1"/>
    <n v="2"/>
    <n v="3"/>
    <s v="123"/>
    <x v="2"/>
  </r>
  <r>
    <x v="183"/>
    <d v="2024-09-17T09:00:07"/>
    <x v="2"/>
    <x v="2"/>
    <x v="0"/>
    <n v="4906.71"/>
    <n v="584"/>
    <n v="12"/>
    <n v="34222.5"/>
    <n v="1"/>
    <n v="1"/>
    <n v="3"/>
    <s v="113"/>
    <x v="2"/>
  </r>
  <r>
    <x v="278"/>
    <d v="2024-09-17T09:00:07"/>
    <x v="4"/>
    <x v="2"/>
    <x v="1"/>
    <n v="888.11"/>
    <n v="584"/>
    <n v="10"/>
    <n v="38069.94"/>
    <n v="1"/>
    <n v="2"/>
    <n v="2"/>
    <s v="122"/>
    <x v="1"/>
  </r>
  <r>
    <x v="152"/>
    <d v="2024-09-17T09:00:07"/>
    <x v="1"/>
    <x v="0"/>
    <x v="0"/>
    <n v="562.58000000000004"/>
    <n v="584"/>
    <n v="9"/>
    <n v="39366.480000000003"/>
    <n v="1"/>
    <n v="2"/>
    <n v="2"/>
    <s v="122"/>
    <x v="1"/>
  </r>
  <r>
    <x v="304"/>
    <d v="2024-09-17T09:00:07"/>
    <x v="2"/>
    <x v="1"/>
    <x v="2"/>
    <n v="2558.9699999999998"/>
    <n v="584"/>
    <n v="9"/>
    <n v="27990.980000000003"/>
    <n v="1"/>
    <n v="2"/>
    <n v="4"/>
    <s v="124"/>
    <x v="2"/>
  </r>
  <r>
    <x v="57"/>
    <d v="2024-09-17T09:00:07"/>
    <x v="2"/>
    <x v="1"/>
    <x v="2"/>
    <n v="3291.71"/>
    <n v="584"/>
    <n v="16"/>
    <n v="58237.360000000008"/>
    <n v="1"/>
    <n v="1"/>
    <n v="1"/>
    <s v="111"/>
    <x v="1"/>
  </r>
  <r>
    <x v="119"/>
    <d v="2024-09-18T09:00:07"/>
    <x v="4"/>
    <x v="4"/>
    <x v="1"/>
    <n v="3401.25"/>
    <n v="583"/>
    <n v="11"/>
    <n v="29238.53"/>
    <n v="1"/>
    <n v="1"/>
    <n v="4"/>
    <s v="114"/>
    <x v="2"/>
  </r>
  <r>
    <x v="47"/>
    <d v="2024-09-18T09:00:07"/>
    <x v="4"/>
    <x v="0"/>
    <x v="2"/>
    <n v="5989.13"/>
    <n v="583"/>
    <n v="11"/>
    <n v="58842.799999999996"/>
    <n v="1"/>
    <n v="1"/>
    <n v="1"/>
    <s v="111"/>
    <x v="1"/>
  </r>
  <r>
    <x v="78"/>
    <d v="2024-09-18T09:00:07"/>
    <x v="3"/>
    <x v="3"/>
    <x v="0"/>
    <n v="2811.16"/>
    <n v="583"/>
    <n v="10"/>
    <n v="34265.79"/>
    <n v="1"/>
    <n v="2"/>
    <n v="3"/>
    <s v="123"/>
    <x v="2"/>
  </r>
  <r>
    <x v="207"/>
    <d v="2024-09-18T09:00:07"/>
    <x v="5"/>
    <x v="4"/>
    <x v="2"/>
    <n v="318.44"/>
    <n v="583"/>
    <n v="10"/>
    <n v="39681.960000000006"/>
    <n v="1"/>
    <n v="2"/>
    <n v="2"/>
    <s v="122"/>
    <x v="1"/>
  </r>
  <r>
    <x v="67"/>
    <d v="2024-09-19T09:00:07"/>
    <x v="1"/>
    <x v="3"/>
    <x v="1"/>
    <n v="447.42"/>
    <n v="582"/>
    <n v="8"/>
    <n v="35204.92"/>
    <n v="1"/>
    <n v="3"/>
    <n v="3"/>
    <s v="133"/>
    <x v="3"/>
  </r>
  <r>
    <x v="122"/>
    <d v="2024-09-19T09:00:07"/>
    <x v="3"/>
    <x v="0"/>
    <x v="2"/>
    <n v="6881.74"/>
    <n v="582"/>
    <n v="10"/>
    <n v="45537.319999999992"/>
    <n v="1"/>
    <n v="2"/>
    <n v="1"/>
    <s v="121"/>
    <x v="1"/>
  </r>
  <r>
    <x v="168"/>
    <d v="2024-09-19T09:00:07"/>
    <x v="0"/>
    <x v="5"/>
    <x v="1"/>
    <n v="3330.94"/>
    <n v="582"/>
    <n v="8"/>
    <n v="26119.000000000004"/>
    <n v="1"/>
    <n v="3"/>
    <n v="4"/>
    <s v="134"/>
    <x v="3"/>
  </r>
  <r>
    <x v="305"/>
    <d v="2024-09-20T09:00:07"/>
    <x v="9"/>
    <x v="6"/>
    <x v="2"/>
    <n v="13924"/>
    <n v="581"/>
    <n v="7"/>
    <n v="31771.820000000003"/>
    <n v="1"/>
    <n v="4"/>
    <n v="3"/>
    <s v="143"/>
    <x v="3"/>
  </r>
  <r>
    <x v="48"/>
    <d v="2024-09-20T09:00:07"/>
    <x v="1"/>
    <x v="3"/>
    <x v="1"/>
    <n v="2354.46"/>
    <n v="581"/>
    <n v="11"/>
    <n v="37863.899999999994"/>
    <n v="1"/>
    <n v="1"/>
    <n v="2"/>
    <s v="112"/>
    <x v="1"/>
  </r>
  <r>
    <x v="237"/>
    <d v="2024-09-21T09:00:07"/>
    <x v="8"/>
    <x v="2"/>
    <x v="1"/>
    <n v="8488.6299999999992"/>
    <n v="580"/>
    <n v="8"/>
    <n v="35247.5"/>
    <n v="1"/>
    <n v="3"/>
    <n v="3"/>
    <s v="133"/>
    <x v="3"/>
  </r>
  <r>
    <x v="306"/>
    <d v="2024-09-21T09:00:07"/>
    <x v="1"/>
    <x v="1"/>
    <x v="1"/>
    <n v="5382.43"/>
    <n v="580"/>
    <n v="5"/>
    <n v="21260"/>
    <n v="1"/>
    <n v="5"/>
    <n v="5"/>
    <s v="155"/>
    <x v="3"/>
  </r>
  <r>
    <x v="165"/>
    <d v="2024-09-22T09:00:07"/>
    <x v="0"/>
    <x v="5"/>
    <x v="1"/>
    <n v="3407.44"/>
    <n v="579"/>
    <n v="9"/>
    <n v="33344.57"/>
    <n v="1"/>
    <n v="2"/>
    <n v="3"/>
    <s v="123"/>
    <x v="2"/>
  </r>
  <r>
    <x v="226"/>
    <d v="2024-09-23T09:00:07"/>
    <x v="4"/>
    <x v="6"/>
    <x v="2"/>
    <n v="5347.59"/>
    <n v="578"/>
    <n v="6"/>
    <n v="23326.76"/>
    <n v="1"/>
    <n v="4"/>
    <n v="4"/>
    <s v="144"/>
    <x v="3"/>
  </r>
  <r>
    <x v="62"/>
    <d v="2024-09-23T09:00:07"/>
    <x v="5"/>
    <x v="2"/>
    <x v="1"/>
    <n v="3413.82"/>
    <n v="578"/>
    <n v="8"/>
    <n v="17550.599999999999"/>
    <n v="1"/>
    <n v="3"/>
    <n v="5"/>
    <s v="135"/>
    <x v="3"/>
  </r>
  <r>
    <x v="188"/>
    <d v="2024-09-23T09:00:07"/>
    <x v="9"/>
    <x v="5"/>
    <x v="0"/>
    <n v="1516.65"/>
    <n v="578"/>
    <n v="8"/>
    <n v="33838.019999999997"/>
    <n v="1"/>
    <n v="3"/>
    <n v="3"/>
    <s v="133"/>
    <x v="3"/>
  </r>
  <r>
    <x v="307"/>
    <d v="2024-09-24T09:00:07"/>
    <x v="4"/>
    <x v="1"/>
    <x v="2"/>
    <n v="4229.37"/>
    <n v="577"/>
    <n v="9"/>
    <n v="39434.269999999997"/>
    <n v="2"/>
    <n v="2"/>
    <n v="2"/>
    <s v="222"/>
    <x v="1"/>
  </r>
  <r>
    <x v="234"/>
    <d v="2024-09-24T09:00:07"/>
    <x v="6"/>
    <x v="1"/>
    <x v="0"/>
    <n v="6176.16"/>
    <n v="577"/>
    <n v="6"/>
    <n v="29261.35"/>
    <n v="2"/>
    <n v="4"/>
    <n v="4"/>
    <s v="244"/>
    <x v="3"/>
  </r>
  <r>
    <x v="36"/>
    <d v="2024-09-24T09:00:07"/>
    <x v="2"/>
    <x v="5"/>
    <x v="0"/>
    <n v="503.18"/>
    <n v="577"/>
    <n v="12"/>
    <n v="44897.450000000004"/>
    <n v="2"/>
    <n v="1"/>
    <n v="1"/>
    <s v="211"/>
    <x v="1"/>
  </r>
  <r>
    <x v="13"/>
    <d v="2024-09-24T09:00:07"/>
    <x v="6"/>
    <x v="3"/>
    <x v="2"/>
    <n v="2967.77"/>
    <n v="577"/>
    <n v="7"/>
    <n v="26651.280000000002"/>
    <n v="2"/>
    <n v="4"/>
    <n v="4"/>
    <s v="244"/>
    <x v="3"/>
  </r>
  <r>
    <x v="308"/>
    <d v="2024-09-24T09:00:07"/>
    <x v="1"/>
    <x v="1"/>
    <x v="0"/>
    <n v="3280.91"/>
    <n v="577"/>
    <n v="9"/>
    <n v="34800.239999999998"/>
    <n v="2"/>
    <n v="2"/>
    <n v="3"/>
    <s v="223"/>
    <x v="2"/>
  </r>
  <r>
    <x v="57"/>
    <d v="2024-09-24T09:00:07"/>
    <x v="4"/>
    <x v="4"/>
    <x v="0"/>
    <n v="102.79"/>
    <n v="577"/>
    <n v="16"/>
    <n v="58237.360000000008"/>
    <n v="2"/>
    <n v="1"/>
    <n v="1"/>
    <s v="211"/>
    <x v="1"/>
  </r>
  <r>
    <x v="191"/>
    <d v="2024-09-24T09:00:07"/>
    <x v="0"/>
    <x v="4"/>
    <x v="0"/>
    <n v="1264.28"/>
    <n v="577"/>
    <n v="11"/>
    <n v="54143.32"/>
    <n v="2"/>
    <n v="1"/>
    <n v="1"/>
    <s v="211"/>
    <x v="1"/>
  </r>
  <r>
    <x v="216"/>
    <d v="2024-09-24T09:00:07"/>
    <x v="1"/>
    <x v="6"/>
    <x v="1"/>
    <n v="5817.52"/>
    <n v="577"/>
    <n v="5"/>
    <n v="26334.340000000004"/>
    <n v="2"/>
    <n v="5"/>
    <n v="4"/>
    <s v="254"/>
    <x v="3"/>
  </r>
  <r>
    <x v="309"/>
    <d v="2024-09-25T09:00:07"/>
    <x v="8"/>
    <x v="3"/>
    <x v="2"/>
    <n v="618.37"/>
    <n v="576"/>
    <n v="3"/>
    <n v="16365.279999999999"/>
    <n v="2"/>
    <n v="5"/>
    <n v="5"/>
    <s v="255"/>
    <x v="3"/>
  </r>
  <r>
    <x v="310"/>
    <d v="2024-09-25T09:00:07"/>
    <x v="2"/>
    <x v="6"/>
    <x v="0"/>
    <n v="558.12"/>
    <n v="576"/>
    <n v="8"/>
    <n v="43723.900000000009"/>
    <n v="2"/>
    <n v="3"/>
    <n v="2"/>
    <s v="232"/>
    <x v="0"/>
  </r>
  <r>
    <x v="311"/>
    <d v="2024-09-25T09:00:07"/>
    <x v="6"/>
    <x v="2"/>
    <x v="1"/>
    <n v="646.37"/>
    <n v="576"/>
    <n v="5"/>
    <n v="19417.830000000002"/>
    <n v="2"/>
    <n v="5"/>
    <n v="5"/>
    <s v="255"/>
    <x v="3"/>
  </r>
  <r>
    <x v="312"/>
    <d v="2024-09-25T09:00:07"/>
    <x v="7"/>
    <x v="5"/>
    <x v="0"/>
    <n v="1164.3699999999999"/>
    <n v="576"/>
    <n v="8"/>
    <n v="27291.54"/>
    <n v="2"/>
    <n v="3"/>
    <n v="4"/>
    <s v="234"/>
    <x v="3"/>
  </r>
  <r>
    <x v="313"/>
    <d v="2024-09-26T09:00:07"/>
    <x v="7"/>
    <x v="2"/>
    <x v="0"/>
    <n v="6606.7"/>
    <n v="575"/>
    <n v="5"/>
    <n v="16350.6"/>
    <n v="2"/>
    <n v="5"/>
    <n v="5"/>
    <s v="255"/>
    <x v="3"/>
  </r>
  <r>
    <x v="191"/>
    <d v="2024-09-26T09:00:07"/>
    <x v="4"/>
    <x v="5"/>
    <x v="0"/>
    <n v="5884.93"/>
    <n v="575"/>
    <n v="11"/>
    <n v="54143.32"/>
    <n v="2"/>
    <n v="1"/>
    <n v="1"/>
    <s v="211"/>
    <x v="1"/>
  </r>
  <r>
    <x v="202"/>
    <d v="2024-09-26T09:00:07"/>
    <x v="4"/>
    <x v="4"/>
    <x v="2"/>
    <n v="1281.7"/>
    <n v="575"/>
    <n v="7"/>
    <n v="13087.390000000001"/>
    <n v="2"/>
    <n v="4"/>
    <n v="5"/>
    <s v="245"/>
    <x v="3"/>
  </r>
  <r>
    <x v="53"/>
    <d v="2024-09-26T09:00:07"/>
    <x v="1"/>
    <x v="4"/>
    <x v="1"/>
    <n v="3483.18"/>
    <n v="575"/>
    <n v="8"/>
    <n v="23394.15"/>
    <n v="2"/>
    <n v="3"/>
    <n v="4"/>
    <s v="234"/>
    <x v="3"/>
  </r>
  <r>
    <x v="236"/>
    <d v="2024-09-26T09:00:07"/>
    <x v="7"/>
    <x v="3"/>
    <x v="2"/>
    <n v="2969.22"/>
    <n v="575"/>
    <n v="7"/>
    <n v="16120.029999999999"/>
    <n v="2"/>
    <n v="4"/>
    <n v="5"/>
    <s v="245"/>
    <x v="3"/>
  </r>
  <r>
    <x v="244"/>
    <d v="2024-09-26T09:00:07"/>
    <x v="6"/>
    <x v="4"/>
    <x v="1"/>
    <n v="3625.59"/>
    <n v="575"/>
    <n v="8"/>
    <n v="33012.819999999992"/>
    <n v="2"/>
    <n v="3"/>
    <n v="3"/>
    <s v="233"/>
    <x v="3"/>
  </r>
  <r>
    <x v="214"/>
    <d v="2024-09-26T09:00:07"/>
    <x v="1"/>
    <x v="0"/>
    <x v="0"/>
    <n v="1193.5899999999999"/>
    <n v="575"/>
    <n v="5"/>
    <n v="18720.68"/>
    <n v="2"/>
    <n v="5"/>
    <n v="5"/>
    <s v="255"/>
    <x v="3"/>
  </r>
  <r>
    <x v="228"/>
    <d v="2024-09-26T09:00:07"/>
    <x v="5"/>
    <x v="6"/>
    <x v="0"/>
    <n v="4287.6400000000003"/>
    <n v="575"/>
    <n v="6"/>
    <n v="17195.870000000003"/>
    <n v="2"/>
    <n v="4"/>
    <n v="5"/>
    <s v="245"/>
    <x v="3"/>
  </r>
  <r>
    <x v="253"/>
    <d v="2024-09-27T09:00:07"/>
    <x v="0"/>
    <x v="0"/>
    <x v="2"/>
    <n v="1606.09"/>
    <n v="574"/>
    <n v="8"/>
    <n v="35967.03"/>
    <n v="2"/>
    <n v="3"/>
    <n v="3"/>
    <s v="233"/>
    <x v="3"/>
  </r>
  <r>
    <x v="197"/>
    <d v="2024-09-27T09:00:07"/>
    <x v="5"/>
    <x v="4"/>
    <x v="1"/>
    <n v="1197.17"/>
    <n v="574"/>
    <n v="7"/>
    <n v="27796.990000000005"/>
    <n v="2"/>
    <n v="4"/>
    <n v="4"/>
    <s v="244"/>
    <x v="3"/>
  </r>
  <r>
    <x v="260"/>
    <d v="2024-09-29T09:00:07"/>
    <x v="2"/>
    <x v="0"/>
    <x v="0"/>
    <n v="1600.07"/>
    <n v="572"/>
    <n v="7"/>
    <n v="12366.910000000002"/>
    <n v="2"/>
    <n v="4"/>
    <n v="5"/>
    <s v="245"/>
    <x v="3"/>
  </r>
  <r>
    <x v="314"/>
    <d v="2024-09-29T09:00:07"/>
    <x v="4"/>
    <x v="4"/>
    <x v="0"/>
    <n v="5711.15"/>
    <n v="572"/>
    <n v="6"/>
    <n v="22687.77"/>
    <n v="2"/>
    <n v="4"/>
    <n v="4"/>
    <s v="244"/>
    <x v="3"/>
  </r>
  <r>
    <x v="315"/>
    <d v="2024-09-29T09:00:07"/>
    <x v="9"/>
    <x v="4"/>
    <x v="1"/>
    <n v="1360.08"/>
    <n v="572"/>
    <n v="7"/>
    <n v="18314.88"/>
    <n v="2"/>
    <n v="4"/>
    <n v="5"/>
    <s v="245"/>
    <x v="3"/>
  </r>
  <r>
    <x v="314"/>
    <d v="2024-09-29T09:00:07"/>
    <x v="3"/>
    <x v="4"/>
    <x v="1"/>
    <n v="5340.42"/>
    <n v="572"/>
    <n v="6"/>
    <n v="22687.77"/>
    <n v="2"/>
    <n v="4"/>
    <n v="4"/>
    <s v="244"/>
    <x v="3"/>
  </r>
  <r>
    <x v="6"/>
    <d v="2024-09-30T09:00:07"/>
    <x v="5"/>
    <x v="4"/>
    <x v="2"/>
    <n v="10589.6"/>
    <n v="571"/>
    <n v="7"/>
    <n v="32953.599999999999"/>
    <n v="2"/>
    <n v="4"/>
    <n v="3"/>
    <s v="243"/>
    <x v="3"/>
  </r>
  <r>
    <x v="58"/>
    <d v="2024-09-30T09:00:07"/>
    <x v="3"/>
    <x v="4"/>
    <x v="0"/>
    <n v="3754.92"/>
    <n v="571"/>
    <n v="9"/>
    <n v="47571.369999999995"/>
    <n v="2"/>
    <n v="2"/>
    <n v="1"/>
    <s v="221"/>
    <x v="1"/>
  </r>
  <r>
    <x v="106"/>
    <d v="2024-10-01T09:00:07"/>
    <x v="9"/>
    <x v="5"/>
    <x v="1"/>
    <n v="5163.78"/>
    <n v="570"/>
    <n v="9"/>
    <n v="33349.999999999993"/>
    <n v="2"/>
    <n v="2"/>
    <n v="3"/>
    <s v="223"/>
    <x v="2"/>
  </r>
  <r>
    <x v="191"/>
    <d v="2024-10-01T09:00:07"/>
    <x v="0"/>
    <x v="1"/>
    <x v="2"/>
    <n v="3660.36"/>
    <n v="570"/>
    <n v="11"/>
    <n v="54143.32"/>
    <n v="2"/>
    <n v="1"/>
    <n v="1"/>
    <s v="211"/>
    <x v="1"/>
  </r>
  <r>
    <x v="163"/>
    <d v="2024-10-01T09:00:07"/>
    <x v="8"/>
    <x v="0"/>
    <x v="0"/>
    <n v="1118.29"/>
    <n v="570"/>
    <n v="9"/>
    <n v="30047.29"/>
    <n v="2"/>
    <n v="2"/>
    <n v="3"/>
    <s v="223"/>
    <x v="2"/>
  </r>
  <r>
    <x v="316"/>
    <d v="2024-10-01T09:00:07"/>
    <x v="6"/>
    <x v="2"/>
    <x v="0"/>
    <n v="1923.21"/>
    <n v="570"/>
    <n v="6"/>
    <n v="12660.78"/>
    <n v="2"/>
    <n v="4"/>
    <n v="5"/>
    <s v="245"/>
    <x v="3"/>
  </r>
  <r>
    <x v="317"/>
    <d v="2024-10-01T09:00:07"/>
    <x v="7"/>
    <x v="5"/>
    <x v="1"/>
    <n v="2748.53"/>
    <n v="570"/>
    <n v="10"/>
    <n v="45640.06"/>
    <n v="2"/>
    <n v="2"/>
    <n v="1"/>
    <s v="221"/>
    <x v="1"/>
  </r>
  <r>
    <x v="190"/>
    <d v="2024-10-02T09:00:07"/>
    <x v="0"/>
    <x v="6"/>
    <x v="2"/>
    <n v="7317.73"/>
    <n v="569"/>
    <n v="13"/>
    <n v="51409.87"/>
    <n v="2"/>
    <n v="1"/>
    <n v="1"/>
    <s v="211"/>
    <x v="1"/>
  </r>
  <r>
    <x v="33"/>
    <d v="2024-10-02T09:00:07"/>
    <x v="4"/>
    <x v="4"/>
    <x v="1"/>
    <n v="1754.76"/>
    <n v="569"/>
    <n v="10"/>
    <n v="34643.039999999994"/>
    <n v="2"/>
    <n v="2"/>
    <n v="3"/>
    <s v="223"/>
    <x v="2"/>
  </r>
  <r>
    <x v="244"/>
    <d v="2024-10-02T09:00:07"/>
    <x v="1"/>
    <x v="1"/>
    <x v="0"/>
    <n v="801.53"/>
    <n v="569"/>
    <n v="8"/>
    <n v="33012.819999999992"/>
    <n v="2"/>
    <n v="3"/>
    <n v="3"/>
    <s v="233"/>
    <x v="3"/>
  </r>
  <r>
    <x v="204"/>
    <d v="2024-10-02T09:00:07"/>
    <x v="1"/>
    <x v="0"/>
    <x v="0"/>
    <n v="9129.56"/>
    <n v="569"/>
    <n v="9"/>
    <n v="36233.340000000004"/>
    <n v="2"/>
    <n v="2"/>
    <n v="3"/>
    <s v="223"/>
    <x v="2"/>
  </r>
  <r>
    <x v="285"/>
    <d v="2024-10-02T09:00:07"/>
    <x v="7"/>
    <x v="1"/>
    <x v="2"/>
    <n v="2521.7399999999998"/>
    <n v="569"/>
    <n v="5"/>
    <n v="15143.41"/>
    <n v="2"/>
    <n v="5"/>
    <n v="5"/>
    <s v="255"/>
    <x v="3"/>
  </r>
  <r>
    <x v="39"/>
    <d v="2024-10-02T09:00:07"/>
    <x v="1"/>
    <x v="6"/>
    <x v="2"/>
    <n v="3845.09"/>
    <n v="569"/>
    <n v="11"/>
    <n v="43110.84"/>
    <n v="2"/>
    <n v="1"/>
    <n v="2"/>
    <s v="212"/>
    <x v="1"/>
  </r>
  <r>
    <x v="318"/>
    <d v="2024-10-02T09:00:07"/>
    <x v="5"/>
    <x v="5"/>
    <x v="2"/>
    <n v="1539.12"/>
    <n v="569"/>
    <n v="11"/>
    <n v="30527.53"/>
    <n v="2"/>
    <n v="1"/>
    <n v="3"/>
    <s v="213"/>
    <x v="2"/>
  </r>
  <r>
    <x v="319"/>
    <d v="2024-10-03T09:00:07"/>
    <x v="9"/>
    <x v="1"/>
    <x v="2"/>
    <n v="1844.37"/>
    <n v="568"/>
    <n v="9"/>
    <n v="39183.29"/>
    <n v="2"/>
    <n v="2"/>
    <n v="2"/>
    <s v="222"/>
    <x v="1"/>
  </r>
  <r>
    <x v="188"/>
    <d v="2024-10-03T09:00:07"/>
    <x v="9"/>
    <x v="1"/>
    <x v="1"/>
    <n v="8480.83"/>
    <n v="568"/>
    <n v="8"/>
    <n v="33838.019999999997"/>
    <n v="2"/>
    <n v="3"/>
    <n v="3"/>
    <s v="233"/>
    <x v="3"/>
  </r>
  <r>
    <x v="320"/>
    <d v="2024-10-03T09:00:07"/>
    <x v="2"/>
    <x v="2"/>
    <x v="1"/>
    <n v="3969.58"/>
    <n v="568"/>
    <n v="4"/>
    <n v="18485.12"/>
    <n v="2"/>
    <n v="5"/>
    <n v="5"/>
    <s v="255"/>
    <x v="3"/>
  </r>
  <r>
    <x v="48"/>
    <d v="2024-10-03T09:00:07"/>
    <x v="9"/>
    <x v="6"/>
    <x v="0"/>
    <n v="2555.23"/>
    <n v="568"/>
    <n v="11"/>
    <n v="37863.899999999994"/>
    <n v="2"/>
    <n v="1"/>
    <n v="2"/>
    <s v="212"/>
    <x v="1"/>
  </r>
  <r>
    <x v="303"/>
    <d v="2024-10-03T09:00:07"/>
    <x v="7"/>
    <x v="4"/>
    <x v="2"/>
    <n v="2366.69"/>
    <n v="568"/>
    <n v="7"/>
    <n v="19730.549999999996"/>
    <n v="2"/>
    <n v="4"/>
    <n v="5"/>
    <s v="245"/>
    <x v="3"/>
  </r>
  <r>
    <x v="280"/>
    <d v="2024-10-03T09:00:07"/>
    <x v="1"/>
    <x v="2"/>
    <x v="2"/>
    <n v="4847.68"/>
    <n v="568"/>
    <n v="16"/>
    <n v="64716.249999999985"/>
    <n v="2"/>
    <n v="1"/>
    <n v="1"/>
    <s v="211"/>
    <x v="1"/>
  </r>
  <r>
    <x v="272"/>
    <d v="2024-10-04T09:00:07"/>
    <x v="4"/>
    <x v="1"/>
    <x v="1"/>
    <n v="1858.01"/>
    <n v="567"/>
    <n v="13"/>
    <n v="49471.75"/>
    <n v="2"/>
    <n v="1"/>
    <n v="1"/>
    <s v="211"/>
    <x v="1"/>
  </r>
  <r>
    <x v="20"/>
    <d v="2024-10-04T09:00:07"/>
    <x v="0"/>
    <x v="4"/>
    <x v="2"/>
    <n v="2455.89"/>
    <n v="567"/>
    <n v="14"/>
    <n v="53433.220000000008"/>
    <n v="2"/>
    <n v="1"/>
    <n v="1"/>
    <s v="211"/>
    <x v="1"/>
  </r>
  <r>
    <x v="307"/>
    <d v="2024-10-04T09:00:07"/>
    <x v="4"/>
    <x v="0"/>
    <x v="0"/>
    <n v="8828.5400000000009"/>
    <n v="567"/>
    <n v="9"/>
    <n v="39434.269999999997"/>
    <n v="2"/>
    <n v="2"/>
    <n v="2"/>
    <s v="222"/>
    <x v="1"/>
  </r>
  <r>
    <x v="28"/>
    <d v="2024-10-04T09:00:07"/>
    <x v="7"/>
    <x v="1"/>
    <x v="1"/>
    <n v="1277.83"/>
    <n v="567"/>
    <n v="10"/>
    <n v="39472.789999999994"/>
    <n v="2"/>
    <n v="2"/>
    <n v="2"/>
    <s v="222"/>
    <x v="1"/>
  </r>
  <r>
    <x v="285"/>
    <d v="2024-10-04T09:00:07"/>
    <x v="3"/>
    <x v="3"/>
    <x v="2"/>
    <n v="711.66"/>
    <n v="567"/>
    <n v="5"/>
    <n v="15143.41"/>
    <n v="2"/>
    <n v="5"/>
    <n v="5"/>
    <s v="255"/>
    <x v="3"/>
  </r>
  <r>
    <x v="170"/>
    <d v="2024-10-04T09:00:07"/>
    <x v="2"/>
    <x v="1"/>
    <x v="2"/>
    <n v="8344.2000000000007"/>
    <n v="567"/>
    <n v="7"/>
    <n v="33514.49"/>
    <n v="2"/>
    <n v="4"/>
    <n v="3"/>
    <s v="243"/>
    <x v="3"/>
  </r>
  <r>
    <x v="315"/>
    <d v="2024-10-04T09:00:07"/>
    <x v="7"/>
    <x v="1"/>
    <x v="0"/>
    <n v="892.64"/>
    <n v="567"/>
    <n v="7"/>
    <n v="18314.88"/>
    <n v="2"/>
    <n v="4"/>
    <n v="5"/>
    <s v="245"/>
    <x v="3"/>
  </r>
  <r>
    <x v="266"/>
    <d v="2024-10-05T09:00:07"/>
    <x v="8"/>
    <x v="5"/>
    <x v="0"/>
    <n v="8228.99"/>
    <n v="566"/>
    <n v="9"/>
    <n v="35145.360000000001"/>
    <n v="2"/>
    <n v="2"/>
    <n v="3"/>
    <s v="223"/>
    <x v="2"/>
  </r>
  <r>
    <x v="93"/>
    <d v="2024-10-05T09:00:07"/>
    <x v="7"/>
    <x v="5"/>
    <x v="2"/>
    <n v="483.15"/>
    <n v="566"/>
    <n v="9"/>
    <n v="32520.350000000002"/>
    <n v="2"/>
    <n v="2"/>
    <n v="3"/>
    <s v="223"/>
    <x v="2"/>
  </r>
  <r>
    <x v="12"/>
    <d v="2024-10-05T09:00:07"/>
    <x v="7"/>
    <x v="3"/>
    <x v="2"/>
    <n v="5010.1000000000004"/>
    <n v="566"/>
    <n v="9"/>
    <n v="24509.48"/>
    <n v="2"/>
    <n v="2"/>
    <n v="4"/>
    <s v="224"/>
    <x v="2"/>
  </r>
  <r>
    <x v="209"/>
    <d v="2024-10-05T09:00:07"/>
    <x v="9"/>
    <x v="0"/>
    <x v="1"/>
    <n v="5198.68"/>
    <n v="566"/>
    <n v="11"/>
    <n v="43753.86"/>
    <n v="2"/>
    <n v="1"/>
    <n v="2"/>
    <s v="212"/>
    <x v="1"/>
  </r>
  <r>
    <x v="19"/>
    <d v="2024-10-06T09:00:07"/>
    <x v="9"/>
    <x v="5"/>
    <x v="0"/>
    <n v="1910.86"/>
    <n v="565"/>
    <n v="5"/>
    <n v="15744.06"/>
    <n v="2"/>
    <n v="5"/>
    <n v="5"/>
    <s v="255"/>
    <x v="3"/>
  </r>
  <r>
    <x v="198"/>
    <d v="2024-10-06T09:00:07"/>
    <x v="8"/>
    <x v="1"/>
    <x v="0"/>
    <n v="6143.59"/>
    <n v="565"/>
    <n v="9"/>
    <n v="30846.7"/>
    <n v="2"/>
    <n v="2"/>
    <n v="3"/>
    <s v="223"/>
    <x v="2"/>
  </r>
  <r>
    <x v="321"/>
    <d v="2024-10-06T09:00:07"/>
    <x v="4"/>
    <x v="6"/>
    <x v="0"/>
    <n v="5131.9799999999996"/>
    <n v="565"/>
    <n v="11"/>
    <n v="40714.880000000005"/>
    <n v="2"/>
    <n v="1"/>
    <n v="2"/>
    <s v="212"/>
    <x v="1"/>
  </r>
  <r>
    <x v="322"/>
    <d v="2024-10-06T09:00:07"/>
    <x v="9"/>
    <x v="3"/>
    <x v="2"/>
    <n v="214.17"/>
    <n v="565"/>
    <n v="10"/>
    <n v="36855.5"/>
    <n v="2"/>
    <n v="2"/>
    <n v="2"/>
    <s v="222"/>
    <x v="1"/>
  </r>
  <r>
    <x v="71"/>
    <d v="2024-10-06T09:00:07"/>
    <x v="5"/>
    <x v="0"/>
    <x v="2"/>
    <n v="5495.02"/>
    <n v="565"/>
    <n v="10"/>
    <n v="49420.710000000006"/>
    <n v="2"/>
    <n v="2"/>
    <n v="1"/>
    <s v="221"/>
    <x v="1"/>
  </r>
  <r>
    <x v="65"/>
    <d v="2024-10-06T09:00:07"/>
    <x v="1"/>
    <x v="4"/>
    <x v="0"/>
    <n v="4869.3"/>
    <n v="565"/>
    <n v="12"/>
    <n v="46195.360000000001"/>
    <n v="2"/>
    <n v="1"/>
    <n v="1"/>
    <s v="211"/>
    <x v="1"/>
  </r>
  <r>
    <x v="323"/>
    <d v="2024-10-06T09:00:07"/>
    <x v="1"/>
    <x v="3"/>
    <x v="0"/>
    <n v="540.57000000000005"/>
    <n v="565"/>
    <n v="6"/>
    <n v="15612.87"/>
    <n v="2"/>
    <n v="4"/>
    <n v="5"/>
    <s v="245"/>
    <x v="3"/>
  </r>
  <r>
    <x v="171"/>
    <d v="2024-10-07T09:00:07"/>
    <x v="5"/>
    <x v="3"/>
    <x v="1"/>
    <n v="3251.97"/>
    <n v="564"/>
    <n v="5"/>
    <n v="25493.58"/>
    <n v="2"/>
    <n v="5"/>
    <n v="4"/>
    <s v="254"/>
    <x v="3"/>
  </r>
  <r>
    <x v="324"/>
    <d v="2024-10-08T09:00:07"/>
    <x v="1"/>
    <x v="5"/>
    <x v="0"/>
    <n v="4245.67"/>
    <n v="563"/>
    <n v="8"/>
    <n v="31330.839999999997"/>
    <n v="2"/>
    <n v="3"/>
    <n v="3"/>
    <s v="233"/>
    <x v="3"/>
  </r>
  <r>
    <x v="325"/>
    <d v="2024-10-08T09:00:07"/>
    <x v="3"/>
    <x v="0"/>
    <x v="0"/>
    <n v="615.82000000000005"/>
    <n v="563"/>
    <n v="5"/>
    <n v="14663.54"/>
    <n v="2"/>
    <n v="5"/>
    <n v="5"/>
    <s v="255"/>
    <x v="3"/>
  </r>
  <r>
    <x v="326"/>
    <d v="2024-10-09T09:00:07"/>
    <x v="1"/>
    <x v="2"/>
    <x v="0"/>
    <n v="4059.6"/>
    <n v="562"/>
    <n v="4"/>
    <n v="19178.5"/>
    <n v="2"/>
    <n v="5"/>
    <n v="5"/>
    <s v="255"/>
    <x v="3"/>
  </r>
  <r>
    <x v="28"/>
    <d v="2024-10-10T09:00:07"/>
    <x v="1"/>
    <x v="3"/>
    <x v="1"/>
    <n v="1706.79"/>
    <n v="561"/>
    <n v="10"/>
    <n v="39472.789999999994"/>
    <n v="2"/>
    <n v="2"/>
    <n v="2"/>
    <s v="222"/>
    <x v="1"/>
  </r>
  <r>
    <x v="119"/>
    <d v="2024-10-10T09:00:07"/>
    <x v="0"/>
    <x v="0"/>
    <x v="2"/>
    <n v="5373.89"/>
    <n v="561"/>
    <n v="11"/>
    <n v="29238.53"/>
    <n v="2"/>
    <n v="1"/>
    <n v="4"/>
    <s v="214"/>
    <x v="2"/>
  </r>
  <r>
    <x v="5"/>
    <d v="2024-10-10T09:00:07"/>
    <x v="5"/>
    <x v="1"/>
    <x v="0"/>
    <n v="10578.27"/>
    <n v="561"/>
    <n v="6"/>
    <n v="39626.31"/>
    <n v="2"/>
    <n v="4"/>
    <n v="2"/>
    <s v="242"/>
    <x v="0"/>
  </r>
  <r>
    <x v="96"/>
    <d v="2024-10-10T09:00:07"/>
    <x v="8"/>
    <x v="2"/>
    <x v="0"/>
    <n v="5242.34"/>
    <n v="561"/>
    <n v="11"/>
    <n v="62038.55"/>
    <n v="2"/>
    <n v="1"/>
    <n v="1"/>
    <s v="211"/>
    <x v="1"/>
  </r>
  <r>
    <x v="280"/>
    <d v="2024-10-11T09:00:07"/>
    <x v="8"/>
    <x v="5"/>
    <x v="1"/>
    <n v="547.9"/>
    <n v="560"/>
    <n v="16"/>
    <n v="64716.249999999985"/>
    <n v="2"/>
    <n v="1"/>
    <n v="1"/>
    <s v="211"/>
    <x v="1"/>
  </r>
  <r>
    <x v="117"/>
    <d v="2024-10-11T09:00:07"/>
    <x v="3"/>
    <x v="5"/>
    <x v="0"/>
    <n v="1680.93"/>
    <n v="560"/>
    <n v="12"/>
    <n v="44894.799999999996"/>
    <n v="2"/>
    <n v="1"/>
    <n v="1"/>
    <s v="211"/>
    <x v="1"/>
  </r>
  <r>
    <x v="76"/>
    <d v="2024-10-11T09:00:07"/>
    <x v="3"/>
    <x v="6"/>
    <x v="0"/>
    <n v="1571.62"/>
    <n v="560"/>
    <n v="11"/>
    <n v="39808.47"/>
    <n v="2"/>
    <n v="1"/>
    <n v="2"/>
    <s v="212"/>
    <x v="1"/>
  </r>
  <r>
    <x v="142"/>
    <d v="2024-10-11T09:00:07"/>
    <x v="5"/>
    <x v="5"/>
    <x v="2"/>
    <n v="2532.69"/>
    <n v="560"/>
    <n v="13"/>
    <n v="47658.630000000005"/>
    <n v="2"/>
    <n v="1"/>
    <n v="1"/>
    <s v="211"/>
    <x v="1"/>
  </r>
  <r>
    <x v="287"/>
    <d v="2024-10-11T09:00:07"/>
    <x v="6"/>
    <x v="6"/>
    <x v="1"/>
    <n v="3372.88"/>
    <n v="560"/>
    <n v="9"/>
    <n v="35759.83"/>
    <n v="2"/>
    <n v="2"/>
    <n v="3"/>
    <s v="223"/>
    <x v="2"/>
  </r>
  <r>
    <x v="3"/>
    <d v="2024-10-11T09:00:07"/>
    <x v="9"/>
    <x v="0"/>
    <x v="1"/>
    <n v="4205.08"/>
    <n v="560"/>
    <n v="15"/>
    <n v="49637.999999999993"/>
    <n v="2"/>
    <n v="1"/>
    <n v="1"/>
    <s v="211"/>
    <x v="1"/>
  </r>
  <r>
    <x v="49"/>
    <d v="2024-10-12T09:00:07"/>
    <x v="7"/>
    <x v="2"/>
    <x v="0"/>
    <n v="1979.73"/>
    <n v="559"/>
    <n v="7"/>
    <n v="18132.900000000001"/>
    <n v="2"/>
    <n v="4"/>
    <n v="5"/>
    <s v="245"/>
    <x v="3"/>
  </r>
  <r>
    <x v="294"/>
    <d v="2024-10-13T09:00:07"/>
    <x v="5"/>
    <x v="3"/>
    <x v="2"/>
    <n v="1169.5999999999999"/>
    <n v="558"/>
    <n v="8"/>
    <n v="30924.840000000004"/>
    <n v="2"/>
    <n v="3"/>
    <n v="3"/>
    <s v="233"/>
    <x v="3"/>
  </r>
  <r>
    <x v="327"/>
    <d v="2024-10-13T09:00:07"/>
    <x v="9"/>
    <x v="2"/>
    <x v="1"/>
    <n v="6043.34"/>
    <n v="558"/>
    <n v="5"/>
    <n v="22595.8"/>
    <n v="2"/>
    <n v="5"/>
    <n v="4"/>
    <s v="254"/>
    <x v="3"/>
  </r>
  <r>
    <x v="133"/>
    <d v="2024-10-13T09:00:07"/>
    <x v="3"/>
    <x v="4"/>
    <x v="2"/>
    <n v="3107.87"/>
    <n v="558"/>
    <n v="11"/>
    <n v="38337.789999999994"/>
    <n v="2"/>
    <n v="1"/>
    <n v="2"/>
    <s v="212"/>
    <x v="1"/>
  </r>
  <r>
    <x v="89"/>
    <d v="2024-10-13T09:00:07"/>
    <x v="5"/>
    <x v="4"/>
    <x v="2"/>
    <n v="2759.92"/>
    <n v="558"/>
    <n v="12"/>
    <n v="54905.279999999992"/>
    <n v="2"/>
    <n v="1"/>
    <n v="1"/>
    <s v="211"/>
    <x v="1"/>
  </r>
  <r>
    <x v="219"/>
    <d v="2024-10-14T09:00:07"/>
    <x v="5"/>
    <x v="3"/>
    <x v="1"/>
    <n v="4085.51"/>
    <n v="557"/>
    <n v="9"/>
    <n v="35283.15"/>
    <n v="2"/>
    <n v="2"/>
    <n v="3"/>
    <s v="223"/>
    <x v="2"/>
  </r>
  <r>
    <x v="144"/>
    <d v="2024-10-14T09:00:07"/>
    <x v="0"/>
    <x v="2"/>
    <x v="1"/>
    <n v="2339.44"/>
    <n v="557"/>
    <n v="6"/>
    <n v="27159.870000000003"/>
    <n v="2"/>
    <n v="4"/>
    <n v="4"/>
    <s v="244"/>
    <x v="3"/>
  </r>
  <r>
    <x v="27"/>
    <d v="2024-10-15T09:00:07"/>
    <x v="5"/>
    <x v="3"/>
    <x v="0"/>
    <n v="5610.62"/>
    <n v="556"/>
    <n v="12"/>
    <n v="49930.359999999993"/>
    <n v="2"/>
    <n v="1"/>
    <n v="1"/>
    <s v="211"/>
    <x v="1"/>
  </r>
  <r>
    <x v="247"/>
    <d v="2024-10-15T09:00:07"/>
    <x v="2"/>
    <x v="5"/>
    <x v="0"/>
    <n v="4253.58"/>
    <n v="556"/>
    <n v="6"/>
    <n v="14707.359999999999"/>
    <n v="2"/>
    <n v="4"/>
    <n v="5"/>
    <s v="245"/>
    <x v="3"/>
  </r>
  <r>
    <x v="305"/>
    <d v="2024-10-15T09:00:07"/>
    <x v="7"/>
    <x v="4"/>
    <x v="1"/>
    <n v="4195.79"/>
    <n v="556"/>
    <n v="7"/>
    <n v="31771.820000000003"/>
    <n v="2"/>
    <n v="4"/>
    <n v="3"/>
    <s v="243"/>
    <x v="3"/>
  </r>
  <r>
    <x v="225"/>
    <d v="2024-10-15T09:00:07"/>
    <x v="9"/>
    <x v="5"/>
    <x v="1"/>
    <n v="1563.09"/>
    <n v="556"/>
    <n v="10"/>
    <n v="31217.780000000002"/>
    <n v="2"/>
    <n v="2"/>
    <n v="3"/>
    <s v="223"/>
    <x v="2"/>
  </r>
  <r>
    <x v="328"/>
    <d v="2024-10-15T09:00:07"/>
    <x v="1"/>
    <x v="2"/>
    <x v="2"/>
    <n v="3303.64"/>
    <n v="556"/>
    <n v="9"/>
    <n v="23905.670000000002"/>
    <n v="2"/>
    <n v="2"/>
    <n v="4"/>
    <s v="224"/>
    <x v="2"/>
  </r>
  <r>
    <x v="3"/>
    <d v="2024-10-15T09:00:07"/>
    <x v="0"/>
    <x v="5"/>
    <x v="1"/>
    <n v="3045.72"/>
    <n v="556"/>
    <n v="15"/>
    <n v="49637.999999999993"/>
    <n v="2"/>
    <n v="1"/>
    <n v="1"/>
    <s v="211"/>
    <x v="1"/>
  </r>
  <r>
    <x v="244"/>
    <d v="2024-10-15T09:00:07"/>
    <x v="3"/>
    <x v="4"/>
    <x v="0"/>
    <n v="6086.33"/>
    <n v="556"/>
    <n v="8"/>
    <n v="33012.819999999992"/>
    <n v="2"/>
    <n v="3"/>
    <n v="3"/>
    <s v="233"/>
    <x v="3"/>
  </r>
  <r>
    <x v="144"/>
    <d v="2024-10-16T09:00:07"/>
    <x v="3"/>
    <x v="1"/>
    <x v="0"/>
    <n v="1674.91"/>
    <n v="555"/>
    <n v="6"/>
    <n v="27159.870000000003"/>
    <n v="2"/>
    <n v="4"/>
    <n v="4"/>
    <s v="244"/>
    <x v="3"/>
  </r>
  <r>
    <x v="251"/>
    <d v="2024-10-16T09:00:07"/>
    <x v="8"/>
    <x v="6"/>
    <x v="2"/>
    <n v="7503.85"/>
    <n v="555"/>
    <n v="4"/>
    <n v="18876.47"/>
    <n v="2"/>
    <n v="5"/>
    <n v="5"/>
    <s v="255"/>
    <x v="3"/>
  </r>
  <r>
    <x v="46"/>
    <d v="2024-10-17T09:00:07"/>
    <x v="0"/>
    <x v="3"/>
    <x v="1"/>
    <n v="4822.37"/>
    <n v="554"/>
    <n v="8"/>
    <n v="30848.15"/>
    <n v="2"/>
    <n v="3"/>
    <n v="3"/>
    <s v="233"/>
    <x v="3"/>
  </r>
  <r>
    <x v="311"/>
    <d v="2024-10-17T09:00:07"/>
    <x v="5"/>
    <x v="6"/>
    <x v="1"/>
    <n v="4110.18"/>
    <n v="554"/>
    <n v="5"/>
    <n v="19417.830000000002"/>
    <n v="2"/>
    <n v="5"/>
    <n v="5"/>
    <s v="255"/>
    <x v="3"/>
  </r>
  <r>
    <x v="221"/>
    <d v="2024-10-17T09:00:07"/>
    <x v="7"/>
    <x v="1"/>
    <x v="0"/>
    <n v="4157.47"/>
    <n v="554"/>
    <n v="9"/>
    <n v="32930.549999999996"/>
    <n v="2"/>
    <n v="2"/>
    <n v="3"/>
    <s v="223"/>
    <x v="2"/>
  </r>
  <r>
    <x v="329"/>
    <d v="2024-10-17T09:00:07"/>
    <x v="2"/>
    <x v="3"/>
    <x v="0"/>
    <n v="483.4"/>
    <n v="554"/>
    <n v="8"/>
    <n v="29767.75"/>
    <n v="2"/>
    <n v="3"/>
    <n v="3"/>
    <s v="233"/>
    <x v="3"/>
  </r>
  <r>
    <x v="98"/>
    <d v="2024-10-17T09:00:07"/>
    <x v="7"/>
    <x v="5"/>
    <x v="0"/>
    <n v="1341.05"/>
    <n v="554"/>
    <n v="7"/>
    <n v="33081.189999999995"/>
    <n v="2"/>
    <n v="4"/>
    <n v="3"/>
    <s v="243"/>
    <x v="3"/>
  </r>
  <r>
    <x v="330"/>
    <d v="2024-10-18T09:00:07"/>
    <x v="3"/>
    <x v="0"/>
    <x v="0"/>
    <n v="2582.66"/>
    <n v="553"/>
    <n v="9"/>
    <n v="39538.21"/>
    <n v="2"/>
    <n v="2"/>
    <n v="2"/>
    <s v="222"/>
    <x v="1"/>
  </r>
  <r>
    <x v="131"/>
    <d v="2024-10-18T09:00:07"/>
    <x v="4"/>
    <x v="4"/>
    <x v="2"/>
    <n v="4878.6899999999996"/>
    <n v="553"/>
    <n v="5"/>
    <n v="26657.089999999997"/>
    <n v="2"/>
    <n v="5"/>
    <n v="4"/>
    <s v="254"/>
    <x v="3"/>
  </r>
  <r>
    <x v="103"/>
    <d v="2024-10-18T09:00:07"/>
    <x v="9"/>
    <x v="3"/>
    <x v="2"/>
    <n v="1689.52"/>
    <n v="553"/>
    <n v="15"/>
    <n v="55867.080000000016"/>
    <n v="2"/>
    <n v="1"/>
    <n v="1"/>
    <s v="211"/>
    <x v="1"/>
  </r>
  <r>
    <x v="32"/>
    <d v="2024-10-18T09:00:07"/>
    <x v="4"/>
    <x v="0"/>
    <x v="1"/>
    <n v="2900.25"/>
    <n v="553"/>
    <n v="13"/>
    <n v="40402.14"/>
    <n v="2"/>
    <n v="1"/>
    <n v="2"/>
    <s v="212"/>
    <x v="1"/>
  </r>
  <r>
    <x v="331"/>
    <d v="2024-10-19T09:00:07"/>
    <x v="4"/>
    <x v="4"/>
    <x v="2"/>
    <n v="4475.3599999999997"/>
    <n v="552"/>
    <n v="9"/>
    <n v="45883.96"/>
    <n v="2"/>
    <n v="2"/>
    <n v="1"/>
    <s v="221"/>
    <x v="1"/>
  </r>
  <r>
    <x v="80"/>
    <d v="2024-10-19T09:00:07"/>
    <x v="6"/>
    <x v="6"/>
    <x v="2"/>
    <n v="7092.94"/>
    <n v="552"/>
    <n v="10"/>
    <n v="38608.230000000003"/>
    <n v="2"/>
    <n v="2"/>
    <n v="2"/>
    <s v="222"/>
    <x v="1"/>
  </r>
  <r>
    <x v="49"/>
    <d v="2024-10-19T09:00:07"/>
    <x v="1"/>
    <x v="3"/>
    <x v="0"/>
    <n v="2720.66"/>
    <n v="552"/>
    <n v="7"/>
    <n v="18132.900000000001"/>
    <n v="2"/>
    <n v="4"/>
    <n v="5"/>
    <s v="245"/>
    <x v="3"/>
  </r>
  <r>
    <x v="188"/>
    <d v="2024-10-20T09:00:07"/>
    <x v="5"/>
    <x v="5"/>
    <x v="1"/>
    <n v="565.72"/>
    <n v="551"/>
    <n v="8"/>
    <n v="33838.019999999997"/>
    <n v="2"/>
    <n v="3"/>
    <n v="3"/>
    <s v="233"/>
    <x v="3"/>
  </r>
  <r>
    <x v="328"/>
    <d v="2024-10-20T09:00:07"/>
    <x v="0"/>
    <x v="6"/>
    <x v="1"/>
    <n v="3333.15"/>
    <n v="551"/>
    <n v="9"/>
    <n v="23905.670000000002"/>
    <n v="2"/>
    <n v="2"/>
    <n v="4"/>
    <s v="224"/>
    <x v="2"/>
  </r>
  <r>
    <x v="195"/>
    <d v="2024-10-20T09:00:07"/>
    <x v="2"/>
    <x v="3"/>
    <x v="0"/>
    <n v="6179.71"/>
    <n v="551"/>
    <n v="10"/>
    <n v="37984.589999999997"/>
    <n v="2"/>
    <n v="2"/>
    <n v="2"/>
    <s v="222"/>
    <x v="1"/>
  </r>
  <r>
    <x v="267"/>
    <d v="2024-10-21T09:00:07"/>
    <x v="6"/>
    <x v="3"/>
    <x v="1"/>
    <n v="3305.42"/>
    <n v="550"/>
    <n v="8"/>
    <n v="37668.22"/>
    <n v="2"/>
    <n v="3"/>
    <n v="2"/>
    <s v="232"/>
    <x v="0"/>
  </r>
  <r>
    <x v="110"/>
    <d v="2024-10-21T09:00:07"/>
    <x v="3"/>
    <x v="5"/>
    <x v="1"/>
    <n v="2701.32"/>
    <n v="550"/>
    <n v="9"/>
    <n v="40117.730000000003"/>
    <n v="2"/>
    <n v="2"/>
    <n v="2"/>
    <s v="222"/>
    <x v="1"/>
  </r>
  <r>
    <x v="79"/>
    <d v="2024-10-21T09:00:07"/>
    <x v="5"/>
    <x v="0"/>
    <x v="1"/>
    <n v="16763.490000000002"/>
    <n v="550"/>
    <n v="6"/>
    <n v="28898.239999999998"/>
    <n v="2"/>
    <n v="4"/>
    <n v="4"/>
    <s v="244"/>
    <x v="3"/>
  </r>
  <r>
    <x v="237"/>
    <d v="2024-10-21T09:00:07"/>
    <x v="8"/>
    <x v="6"/>
    <x v="0"/>
    <n v="6173.43"/>
    <n v="550"/>
    <n v="8"/>
    <n v="35247.5"/>
    <n v="2"/>
    <n v="3"/>
    <n v="3"/>
    <s v="233"/>
    <x v="3"/>
  </r>
  <r>
    <x v="332"/>
    <d v="2024-10-21T09:00:07"/>
    <x v="8"/>
    <x v="4"/>
    <x v="1"/>
    <n v="2109"/>
    <n v="550"/>
    <n v="9"/>
    <n v="27857.719999999998"/>
    <n v="2"/>
    <n v="2"/>
    <n v="4"/>
    <s v="224"/>
    <x v="2"/>
  </r>
  <r>
    <x v="176"/>
    <d v="2024-10-21T09:00:07"/>
    <x v="4"/>
    <x v="0"/>
    <x v="2"/>
    <n v="4109.4399999999996"/>
    <n v="550"/>
    <n v="9"/>
    <n v="48978.57"/>
    <n v="2"/>
    <n v="2"/>
    <n v="1"/>
    <s v="221"/>
    <x v="1"/>
  </r>
  <r>
    <x v="54"/>
    <d v="2024-10-22T09:00:07"/>
    <x v="0"/>
    <x v="5"/>
    <x v="2"/>
    <n v="3632.67"/>
    <n v="549"/>
    <n v="5"/>
    <n v="20723.400000000001"/>
    <n v="2"/>
    <n v="5"/>
    <n v="5"/>
    <s v="255"/>
    <x v="3"/>
  </r>
  <r>
    <x v="143"/>
    <d v="2024-10-22T09:00:07"/>
    <x v="2"/>
    <x v="0"/>
    <x v="1"/>
    <n v="1235.22"/>
    <n v="549"/>
    <n v="11"/>
    <n v="43247.159999999996"/>
    <n v="2"/>
    <n v="1"/>
    <n v="2"/>
    <s v="212"/>
    <x v="1"/>
  </r>
  <r>
    <x v="262"/>
    <d v="2024-10-22T09:00:07"/>
    <x v="8"/>
    <x v="4"/>
    <x v="1"/>
    <n v="491.47"/>
    <n v="549"/>
    <n v="7"/>
    <n v="20627.900000000001"/>
    <n v="2"/>
    <n v="4"/>
    <n v="5"/>
    <s v="245"/>
    <x v="3"/>
  </r>
  <r>
    <x v="246"/>
    <d v="2024-10-22T09:00:07"/>
    <x v="6"/>
    <x v="3"/>
    <x v="1"/>
    <n v="2731.89"/>
    <n v="549"/>
    <n v="10"/>
    <n v="30897.65"/>
    <n v="2"/>
    <n v="2"/>
    <n v="3"/>
    <s v="223"/>
    <x v="2"/>
  </r>
  <r>
    <x v="180"/>
    <d v="2024-10-22T09:00:07"/>
    <x v="2"/>
    <x v="3"/>
    <x v="2"/>
    <n v="4064.16"/>
    <n v="549"/>
    <n v="8"/>
    <n v="26424.119999999995"/>
    <n v="2"/>
    <n v="3"/>
    <n v="4"/>
    <s v="234"/>
    <x v="3"/>
  </r>
  <r>
    <x v="106"/>
    <d v="2024-10-23T09:00:07"/>
    <x v="4"/>
    <x v="0"/>
    <x v="2"/>
    <n v="1883.39"/>
    <n v="548"/>
    <n v="9"/>
    <n v="33349.999999999993"/>
    <n v="2"/>
    <n v="2"/>
    <n v="3"/>
    <s v="223"/>
    <x v="2"/>
  </r>
  <r>
    <x v="318"/>
    <d v="2024-10-23T09:00:07"/>
    <x v="7"/>
    <x v="0"/>
    <x v="0"/>
    <n v="5493.83"/>
    <n v="548"/>
    <n v="11"/>
    <n v="30527.53"/>
    <n v="2"/>
    <n v="1"/>
    <n v="3"/>
    <s v="213"/>
    <x v="2"/>
  </r>
  <r>
    <x v="95"/>
    <d v="2024-10-23T09:00:07"/>
    <x v="2"/>
    <x v="3"/>
    <x v="0"/>
    <n v="3580.54"/>
    <n v="548"/>
    <n v="6"/>
    <n v="16595.620000000003"/>
    <n v="2"/>
    <n v="4"/>
    <n v="5"/>
    <s v="245"/>
    <x v="3"/>
  </r>
  <r>
    <x v="94"/>
    <d v="2024-10-23T09:00:07"/>
    <x v="8"/>
    <x v="3"/>
    <x v="1"/>
    <n v="2207.1999999999998"/>
    <n v="548"/>
    <n v="13"/>
    <n v="56128.799999999996"/>
    <n v="2"/>
    <n v="1"/>
    <n v="1"/>
    <s v="211"/>
    <x v="1"/>
  </r>
  <r>
    <x v="217"/>
    <d v="2024-10-23T09:00:07"/>
    <x v="5"/>
    <x v="5"/>
    <x v="1"/>
    <n v="2269.17"/>
    <n v="548"/>
    <n v="5"/>
    <n v="18557.84"/>
    <n v="2"/>
    <n v="5"/>
    <n v="5"/>
    <s v="255"/>
    <x v="3"/>
  </r>
  <r>
    <x v="159"/>
    <d v="2024-10-23T09:00:07"/>
    <x v="0"/>
    <x v="3"/>
    <x v="1"/>
    <n v="6155.47"/>
    <n v="548"/>
    <n v="9"/>
    <n v="38753.799999999988"/>
    <n v="2"/>
    <n v="2"/>
    <n v="2"/>
    <s v="222"/>
    <x v="1"/>
  </r>
  <r>
    <x v="157"/>
    <d v="2024-10-24T09:00:07"/>
    <x v="2"/>
    <x v="6"/>
    <x v="1"/>
    <n v="3497.39"/>
    <n v="547"/>
    <n v="7"/>
    <n v="24873.88"/>
    <n v="2"/>
    <n v="4"/>
    <n v="4"/>
    <s v="244"/>
    <x v="3"/>
  </r>
  <r>
    <x v="130"/>
    <d v="2024-10-24T09:00:07"/>
    <x v="3"/>
    <x v="1"/>
    <x v="0"/>
    <n v="1894.01"/>
    <n v="547"/>
    <n v="8"/>
    <n v="35723.81"/>
    <n v="2"/>
    <n v="3"/>
    <n v="3"/>
    <s v="233"/>
    <x v="3"/>
  </r>
  <r>
    <x v="57"/>
    <d v="2024-10-24T09:00:07"/>
    <x v="7"/>
    <x v="0"/>
    <x v="0"/>
    <n v="7901.06"/>
    <n v="547"/>
    <n v="16"/>
    <n v="58237.360000000008"/>
    <n v="2"/>
    <n v="1"/>
    <n v="1"/>
    <s v="211"/>
    <x v="1"/>
  </r>
  <r>
    <x v="124"/>
    <d v="2024-10-24T09:00:07"/>
    <x v="5"/>
    <x v="0"/>
    <x v="2"/>
    <n v="3034.64"/>
    <n v="547"/>
    <n v="11"/>
    <n v="43078.749999999993"/>
    <n v="2"/>
    <n v="1"/>
    <n v="2"/>
    <s v="212"/>
    <x v="1"/>
  </r>
  <r>
    <x v="269"/>
    <d v="2024-10-24T09:00:07"/>
    <x v="1"/>
    <x v="5"/>
    <x v="1"/>
    <n v="6395.83"/>
    <n v="547"/>
    <n v="9"/>
    <n v="32843.11"/>
    <n v="2"/>
    <n v="2"/>
    <n v="3"/>
    <s v="223"/>
    <x v="2"/>
  </r>
  <r>
    <x v="226"/>
    <d v="2024-10-24T09:00:07"/>
    <x v="1"/>
    <x v="6"/>
    <x v="2"/>
    <n v="4291.9399999999996"/>
    <n v="547"/>
    <n v="6"/>
    <n v="23326.76"/>
    <n v="2"/>
    <n v="4"/>
    <n v="4"/>
    <s v="244"/>
    <x v="3"/>
  </r>
  <r>
    <x v="333"/>
    <d v="2024-10-25T09:00:07"/>
    <x v="2"/>
    <x v="3"/>
    <x v="2"/>
    <n v="991.23"/>
    <n v="546"/>
    <n v="10"/>
    <n v="42023.55"/>
    <n v="2"/>
    <n v="2"/>
    <n v="2"/>
    <s v="222"/>
    <x v="1"/>
  </r>
  <r>
    <x v="195"/>
    <d v="2024-10-25T09:00:07"/>
    <x v="5"/>
    <x v="5"/>
    <x v="0"/>
    <n v="3390.82"/>
    <n v="546"/>
    <n v="10"/>
    <n v="37984.589999999997"/>
    <n v="2"/>
    <n v="2"/>
    <n v="2"/>
    <s v="222"/>
    <x v="1"/>
  </r>
  <r>
    <x v="192"/>
    <d v="2024-10-25T09:00:07"/>
    <x v="9"/>
    <x v="2"/>
    <x v="2"/>
    <n v="9047.32"/>
    <n v="546"/>
    <n v="12"/>
    <n v="45191.609999999993"/>
    <n v="2"/>
    <n v="1"/>
    <n v="1"/>
    <s v="211"/>
    <x v="1"/>
  </r>
  <r>
    <x v="334"/>
    <d v="2024-10-25T09:00:07"/>
    <x v="3"/>
    <x v="2"/>
    <x v="0"/>
    <n v="1004.72"/>
    <n v="546"/>
    <n v="5"/>
    <n v="25162.19"/>
    <n v="2"/>
    <n v="5"/>
    <n v="4"/>
    <s v="254"/>
    <x v="3"/>
  </r>
  <r>
    <x v="103"/>
    <d v="2024-10-26T09:00:07"/>
    <x v="0"/>
    <x v="1"/>
    <x v="0"/>
    <n v="4110.53"/>
    <n v="545"/>
    <n v="15"/>
    <n v="55867.080000000016"/>
    <n v="2"/>
    <n v="1"/>
    <n v="1"/>
    <s v="211"/>
    <x v="1"/>
  </r>
  <r>
    <x v="16"/>
    <d v="2024-10-27T09:00:07"/>
    <x v="8"/>
    <x v="3"/>
    <x v="0"/>
    <n v="6060.27"/>
    <n v="544"/>
    <n v="6"/>
    <n v="26817.25"/>
    <n v="2"/>
    <n v="4"/>
    <n v="4"/>
    <s v="244"/>
    <x v="3"/>
  </r>
  <r>
    <x v="3"/>
    <d v="2024-10-27T09:00:07"/>
    <x v="3"/>
    <x v="0"/>
    <x v="0"/>
    <n v="1456.42"/>
    <n v="544"/>
    <n v="15"/>
    <n v="49637.999999999993"/>
    <n v="2"/>
    <n v="1"/>
    <n v="1"/>
    <s v="211"/>
    <x v="1"/>
  </r>
  <r>
    <x v="89"/>
    <d v="2024-10-27T09:00:07"/>
    <x v="5"/>
    <x v="1"/>
    <x v="1"/>
    <n v="1737.35"/>
    <n v="544"/>
    <n v="12"/>
    <n v="54905.279999999992"/>
    <n v="2"/>
    <n v="1"/>
    <n v="1"/>
    <s v="211"/>
    <x v="1"/>
  </r>
  <r>
    <x v="196"/>
    <d v="2024-10-27T09:00:07"/>
    <x v="5"/>
    <x v="2"/>
    <x v="1"/>
    <n v="10148.09"/>
    <n v="544"/>
    <n v="10"/>
    <n v="44305.600000000006"/>
    <n v="2"/>
    <n v="2"/>
    <n v="2"/>
    <s v="222"/>
    <x v="1"/>
  </r>
  <r>
    <x v="173"/>
    <d v="2024-10-27T09:00:07"/>
    <x v="7"/>
    <x v="6"/>
    <x v="1"/>
    <n v="9808.41"/>
    <n v="544"/>
    <n v="7"/>
    <n v="22005.660000000003"/>
    <n v="2"/>
    <n v="4"/>
    <n v="4"/>
    <s v="244"/>
    <x v="3"/>
  </r>
  <r>
    <x v="276"/>
    <d v="2024-10-27T09:00:07"/>
    <x v="2"/>
    <x v="3"/>
    <x v="0"/>
    <n v="7651.6"/>
    <n v="544"/>
    <n v="7"/>
    <n v="33899.22"/>
    <n v="2"/>
    <n v="4"/>
    <n v="3"/>
    <s v="243"/>
    <x v="3"/>
  </r>
  <r>
    <x v="288"/>
    <d v="2024-10-27T09:00:07"/>
    <x v="9"/>
    <x v="2"/>
    <x v="0"/>
    <n v="2401.81"/>
    <n v="544"/>
    <n v="5"/>
    <n v="22112.27"/>
    <n v="2"/>
    <n v="5"/>
    <n v="4"/>
    <s v="254"/>
    <x v="3"/>
  </r>
  <r>
    <x v="70"/>
    <d v="2024-10-28T09:00:07"/>
    <x v="8"/>
    <x v="3"/>
    <x v="0"/>
    <n v="1250.46"/>
    <n v="543"/>
    <n v="15"/>
    <n v="57217.139999999992"/>
    <n v="2"/>
    <n v="1"/>
    <n v="1"/>
    <s v="211"/>
    <x v="1"/>
  </r>
  <r>
    <x v="82"/>
    <d v="2024-10-28T09:00:07"/>
    <x v="0"/>
    <x v="2"/>
    <x v="1"/>
    <n v="1023.67"/>
    <n v="543"/>
    <n v="7"/>
    <n v="29725.939999999995"/>
    <n v="2"/>
    <n v="4"/>
    <n v="3"/>
    <s v="243"/>
    <x v="3"/>
  </r>
  <r>
    <x v="59"/>
    <d v="2024-10-28T09:00:07"/>
    <x v="3"/>
    <x v="5"/>
    <x v="1"/>
    <n v="1794.95"/>
    <n v="543"/>
    <n v="6"/>
    <n v="25651.410000000003"/>
    <n v="2"/>
    <n v="4"/>
    <n v="4"/>
    <s v="244"/>
    <x v="3"/>
  </r>
  <r>
    <x v="168"/>
    <d v="2024-10-28T09:00:07"/>
    <x v="3"/>
    <x v="6"/>
    <x v="1"/>
    <n v="1715.33"/>
    <n v="543"/>
    <n v="8"/>
    <n v="26119.000000000004"/>
    <n v="2"/>
    <n v="3"/>
    <n v="4"/>
    <s v="234"/>
    <x v="3"/>
  </r>
  <r>
    <x v="158"/>
    <d v="2024-10-28T09:00:07"/>
    <x v="7"/>
    <x v="1"/>
    <x v="1"/>
    <n v="2544.6999999999998"/>
    <n v="543"/>
    <n v="9"/>
    <n v="36713.85"/>
    <n v="2"/>
    <n v="2"/>
    <n v="3"/>
    <s v="223"/>
    <x v="2"/>
  </r>
  <r>
    <x v="36"/>
    <d v="2024-10-28T09:00:07"/>
    <x v="8"/>
    <x v="4"/>
    <x v="0"/>
    <n v="1840.76"/>
    <n v="543"/>
    <n v="12"/>
    <n v="44897.450000000004"/>
    <n v="2"/>
    <n v="1"/>
    <n v="1"/>
    <s v="211"/>
    <x v="1"/>
  </r>
  <r>
    <x v="335"/>
    <d v="2024-10-28T09:00:07"/>
    <x v="6"/>
    <x v="5"/>
    <x v="2"/>
    <n v="3918.51"/>
    <n v="543"/>
    <n v="5"/>
    <n v="21192.55"/>
    <n v="2"/>
    <n v="5"/>
    <n v="5"/>
    <s v="255"/>
    <x v="3"/>
  </r>
  <r>
    <x v="229"/>
    <d v="2024-10-28T09:00:07"/>
    <x v="5"/>
    <x v="4"/>
    <x v="2"/>
    <n v="772.19"/>
    <n v="543"/>
    <n v="10"/>
    <n v="27359.329999999998"/>
    <n v="2"/>
    <n v="2"/>
    <n v="4"/>
    <s v="224"/>
    <x v="2"/>
  </r>
  <r>
    <x v="156"/>
    <d v="2024-10-28T09:00:07"/>
    <x v="9"/>
    <x v="1"/>
    <x v="2"/>
    <n v="2634.62"/>
    <n v="543"/>
    <n v="4"/>
    <n v="30283.82"/>
    <n v="2"/>
    <n v="5"/>
    <n v="3"/>
    <s v="253"/>
    <x v="3"/>
  </r>
  <r>
    <x v="181"/>
    <d v="2024-10-29T09:00:07"/>
    <x v="0"/>
    <x v="5"/>
    <x v="0"/>
    <n v="3620.1"/>
    <n v="542"/>
    <n v="7"/>
    <n v="25155.31"/>
    <n v="2"/>
    <n v="4"/>
    <n v="4"/>
    <s v="244"/>
    <x v="3"/>
  </r>
  <r>
    <x v="283"/>
    <d v="2024-10-29T09:00:07"/>
    <x v="6"/>
    <x v="6"/>
    <x v="2"/>
    <n v="13009.97"/>
    <n v="542"/>
    <n v="7"/>
    <n v="38080.880000000005"/>
    <n v="2"/>
    <n v="4"/>
    <n v="2"/>
    <s v="242"/>
    <x v="0"/>
  </r>
  <r>
    <x v="336"/>
    <d v="2024-10-29T09:00:07"/>
    <x v="9"/>
    <x v="5"/>
    <x v="0"/>
    <n v="1331.23"/>
    <n v="542"/>
    <n v="9"/>
    <n v="34808.1"/>
    <n v="2"/>
    <n v="2"/>
    <n v="3"/>
    <s v="223"/>
    <x v="2"/>
  </r>
  <r>
    <x v="316"/>
    <d v="2024-10-30T09:00:07"/>
    <x v="8"/>
    <x v="3"/>
    <x v="0"/>
    <n v="2108.48"/>
    <n v="541"/>
    <n v="6"/>
    <n v="12660.78"/>
    <n v="2"/>
    <n v="4"/>
    <n v="5"/>
    <s v="245"/>
    <x v="3"/>
  </r>
  <r>
    <x v="63"/>
    <d v="2024-10-30T09:00:07"/>
    <x v="1"/>
    <x v="3"/>
    <x v="2"/>
    <n v="2943.81"/>
    <n v="541"/>
    <n v="8"/>
    <n v="30568.039999999997"/>
    <n v="2"/>
    <n v="3"/>
    <n v="3"/>
    <s v="233"/>
    <x v="3"/>
  </r>
  <r>
    <x v="215"/>
    <d v="2024-10-30T09:00:07"/>
    <x v="2"/>
    <x v="2"/>
    <x v="1"/>
    <n v="1201.8599999999999"/>
    <n v="541"/>
    <n v="6"/>
    <n v="19413.5"/>
    <n v="2"/>
    <n v="4"/>
    <n v="5"/>
    <s v="245"/>
    <x v="3"/>
  </r>
  <r>
    <x v="75"/>
    <d v="2024-10-30T09:00:07"/>
    <x v="4"/>
    <x v="3"/>
    <x v="1"/>
    <n v="6052.22"/>
    <n v="541"/>
    <n v="9"/>
    <n v="37864.199999999997"/>
    <n v="2"/>
    <n v="2"/>
    <n v="2"/>
    <s v="222"/>
    <x v="1"/>
  </r>
  <r>
    <x v="302"/>
    <d v="2024-10-30T09:00:07"/>
    <x v="9"/>
    <x v="0"/>
    <x v="1"/>
    <n v="4141.79"/>
    <n v="541"/>
    <n v="10"/>
    <n v="47284.22"/>
    <n v="2"/>
    <n v="2"/>
    <n v="1"/>
    <s v="221"/>
    <x v="1"/>
  </r>
  <r>
    <x v="33"/>
    <d v="2024-10-31T09:00:07"/>
    <x v="2"/>
    <x v="0"/>
    <x v="1"/>
    <n v="4617.8599999999997"/>
    <n v="540"/>
    <n v="10"/>
    <n v="34643.039999999994"/>
    <n v="2"/>
    <n v="2"/>
    <n v="3"/>
    <s v="223"/>
    <x v="2"/>
  </r>
  <r>
    <x v="90"/>
    <d v="2024-10-31T09:00:07"/>
    <x v="1"/>
    <x v="0"/>
    <x v="1"/>
    <n v="3306"/>
    <n v="540"/>
    <n v="7"/>
    <n v="34546.720000000001"/>
    <n v="2"/>
    <n v="4"/>
    <n v="3"/>
    <s v="243"/>
    <x v="3"/>
  </r>
  <r>
    <x v="55"/>
    <d v="2024-10-31T09:00:07"/>
    <x v="3"/>
    <x v="2"/>
    <x v="1"/>
    <n v="4086.92"/>
    <n v="540"/>
    <n v="12"/>
    <n v="42930.969999999994"/>
    <n v="2"/>
    <n v="1"/>
    <n v="2"/>
    <s v="212"/>
    <x v="1"/>
  </r>
  <r>
    <x v="231"/>
    <d v="2024-10-31T09:00:07"/>
    <x v="7"/>
    <x v="6"/>
    <x v="0"/>
    <n v="3006.79"/>
    <n v="540"/>
    <n v="9"/>
    <n v="40711.57"/>
    <n v="2"/>
    <n v="2"/>
    <n v="2"/>
    <s v="222"/>
    <x v="1"/>
  </r>
  <r>
    <x v="337"/>
    <d v="2024-10-31T09:00:07"/>
    <x v="7"/>
    <x v="3"/>
    <x v="2"/>
    <n v="4014.99"/>
    <n v="540"/>
    <n v="6"/>
    <n v="33607.29"/>
    <n v="2"/>
    <n v="4"/>
    <n v="3"/>
    <s v="243"/>
    <x v="3"/>
  </r>
  <r>
    <x v="297"/>
    <d v="2024-10-31T09:00:07"/>
    <x v="4"/>
    <x v="5"/>
    <x v="0"/>
    <n v="13719.32"/>
    <n v="540"/>
    <n v="4"/>
    <n v="24173.510000000002"/>
    <n v="2"/>
    <n v="5"/>
    <n v="4"/>
    <s v="254"/>
    <x v="3"/>
  </r>
  <r>
    <x v="338"/>
    <d v="2024-11-01T09:00:07"/>
    <x v="2"/>
    <x v="1"/>
    <x v="2"/>
    <n v="3505.26"/>
    <n v="539"/>
    <n v="6"/>
    <n v="19997.589999999997"/>
    <n v="2"/>
    <n v="4"/>
    <n v="5"/>
    <s v="245"/>
    <x v="3"/>
  </r>
  <r>
    <x v="225"/>
    <d v="2024-11-01T09:00:07"/>
    <x v="3"/>
    <x v="5"/>
    <x v="0"/>
    <n v="1904.32"/>
    <n v="539"/>
    <n v="10"/>
    <n v="31217.780000000002"/>
    <n v="2"/>
    <n v="2"/>
    <n v="3"/>
    <s v="223"/>
    <x v="2"/>
  </r>
  <r>
    <x v="204"/>
    <d v="2024-11-01T09:00:07"/>
    <x v="1"/>
    <x v="5"/>
    <x v="0"/>
    <n v="1881.2"/>
    <n v="539"/>
    <n v="9"/>
    <n v="36233.340000000004"/>
    <n v="2"/>
    <n v="2"/>
    <n v="3"/>
    <s v="223"/>
    <x v="2"/>
  </r>
  <r>
    <x v="124"/>
    <d v="2024-11-01T09:00:07"/>
    <x v="1"/>
    <x v="4"/>
    <x v="1"/>
    <n v="554.97"/>
    <n v="539"/>
    <n v="11"/>
    <n v="43078.749999999993"/>
    <n v="2"/>
    <n v="1"/>
    <n v="2"/>
    <s v="212"/>
    <x v="1"/>
  </r>
  <r>
    <x v="181"/>
    <d v="2024-11-01T09:00:07"/>
    <x v="9"/>
    <x v="3"/>
    <x v="1"/>
    <n v="3776.88"/>
    <n v="539"/>
    <n v="7"/>
    <n v="25155.31"/>
    <n v="2"/>
    <n v="4"/>
    <n v="4"/>
    <s v="244"/>
    <x v="3"/>
  </r>
  <r>
    <x v="339"/>
    <d v="2024-11-01T09:00:07"/>
    <x v="6"/>
    <x v="1"/>
    <x v="0"/>
    <n v="2013.02"/>
    <n v="539"/>
    <n v="5"/>
    <n v="19731.25"/>
    <n v="2"/>
    <n v="5"/>
    <n v="5"/>
    <s v="255"/>
    <x v="3"/>
  </r>
  <r>
    <x v="205"/>
    <d v="2024-11-02T09:00:07"/>
    <x v="7"/>
    <x v="1"/>
    <x v="2"/>
    <n v="8233.58"/>
    <n v="538"/>
    <n v="8"/>
    <n v="24691.75"/>
    <n v="2"/>
    <n v="3"/>
    <n v="4"/>
    <s v="234"/>
    <x v="3"/>
  </r>
  <r>
    <x v="248"/>
    <d v="2024-11-02T09:00:07"/>
    <x v="2"/>
    <x v="2"/>
    <x v="2"/>
    <n v="3208.36"/>
    <n v="538"/>
    <n v="8"/>
    <n v="34167.589999999997"/>
    <n v="2"/>
    <n v="3"/>
    <n v="3"/>
    <s v="233"/>
    <x v="3"/>
  </r>
  <r>
    <x v="69"/>
    <d v="2024-11-02T09:00:07"/>
    <x v="3"/>
    <x v="3"/>
    <x v="1"/>
    <n v="4506.33"/>
    <n v="538"/>
    <n v="9"/>
    <n v="30242.800000000003"/>
    <n v="2"/>
    <n v="2"/>
    <n v="3"/>
    <s v="223"/>
    <x v="2"/>
  </r>
  <r>
    <x v="265"/>
    <d v="2024-11-02T09:00:07"/>
    <x v="4"/>
    <x v="0"/>
    <x v="1"/>
    <n v="3072.22"/>
    <n v="538"/>
    <n v="8"/>
    <n v="37946.1"/>
    <n v="2"/>
    <n v="3"/>
    <n v="2"/>
    <s v="232"/>
    <x v="0"/>
  </r>
  <r>
    <x v="7"/>
    <d v="2024-11-02T09:00:07"/>
    <x v="2"/>
    <x v="1"/>
    <x v="0"/>
    <n v="7387.06"/>
    <n v="538"/>
    <n v="8"/>
    <n v="43799.990000000005"/>
    <n v="2"/>
    <n v="3"/>
    <n v="2"/>
    <s v="232"/>
    <x v="0"/>
  </r>
  <r>
    <x v="340"/>
    <d v="2024-11-02T09:00:07"/>
    <x v="6"/>
    <x v="3"/>
    <x v="0"/>
    <n v="5677.59"/>
    <n v="538"/>
    <n v="7"/>
    <n v="36778.530000000006"/>
    <n v="2"/>
    <n v="4"/>
    <n v="3"/>
    <s v="243"/>
    <x v="3"/>
  </r>
  <r>
    <x v="25"/>
    <d v="2024-11-03T09:00:07"/>
    <x v="1"/>
    <x v="4"/>
    <x v="0"/>
    <n v="7869.43"/>
    <n v="537"/>
    <n v="7"/>
    <n v="28511.58"/>
    <n v="2"/>
    <n v="4"/>
    <n v="4"/>
    <s v="244"/>
    <x v="3"/>
  </r>
  <r>
    <x v="232"/>
    <d v="2024-11-03T09:00:07"/>
    <x v="8"/>
    <x v="0"/>
    <x v="0"/>
    <n v="1905.17"/>
    <n v="537"/>
    <n v="12"/>
    <n v="42146.06"/>
    <n v="2"/>
    <n v="1"/>
    <n v="2"/>
    <s v="212"/>
    <x v="1"/>
  </r>
  <r>
    <x v="87"/>
    <d v="2024-11-03T09:00:07"/>
    <x v="4"/>
    <x v="1"/>
    <x v="1"/>
    <n v="6906.03"/>
    <n v="537"/>
    <n v="13"/>
    <n v="72511.88"/>
    <n v="2"/>
    <n v="1"/>
    <n v="1"/>
    <s v="211"/>
    <x v="1"/>
  </r>
  <r>
    <x v="69"/>
    <d v="2024-11-03T09:00:07"/>
    <x v="4"/>
    <x v="0"/>
    <x v="2"/>
    <n v="1297.0899999999999"/>
    <n v="537"/>
    <n v="9"/>
    <n v="30242.800000000003"/>
    <n v="2"/>
    <n v="2"/>
    <n v="3"/>
    <s v="223"/>
    <x v="2"/>
  </r>
  <r>
    <x v="272"/>
    <d v="2024-11-03T09:00:07"/>
    <x v="9"/>
    <x v="4"/>
    <x v="0"/>
    <n v="914.2"/>
    <n v="537"/>
    <n v="13"/>
    <n v="49471.75"/>
    <n v="2"/>
    <n v="1"/>
    <n v="1"/>
    <s v="211"/>
    <x v="1"/>
  </r>
  <r>
    <x v="96"/>
    <d v="2024-11-03T09:00:07"/>
    <x v="4"/>
    <x v="6"/>
    <x v="2"/>
    <n v="6277.5"/>
    <n v="537"/>
    <n v="11"/>
    <n v="62038.55"/>
    <n v="2"/>
    <n v="1"/>
    <n v="1"/>
    <s v="211"/>
    <x v="1"/>
  </r>
  <r>
    <x v="58"/>
    <d v="2024-11-03T09:00:07"/>
    <x v="9"/>
    <x v="5"/>
    <x v="2"/>
    <n v="385.8"/>
    <n v="537"/>
    <n v="9"/>
    <n v="47571.369999999995"/>
    <n v="2"/>
    <n v="2"/>
    <n v="1"/>
    <s v="221"/>
    <x v="1"/>
  </r>
  <r>
    <x v="113"/>
    <d v="2024-11-04T09:00:07"/>
    <x v="3"/>
    <x v="4"/>
    <x v="2"/>
    <n v="864.76"/>
    <n v="536"/>
    <n v="10"/>
    <n v="41704.25"/>
    <n v="2"/>
    <n v="2"/>
    <n v="2"/>
    <s v="222"/>
    <x v="1"/>
  </r>
  <r>
    <x v="201"/>
    <d v="2024-11-04T09:00:07"/>
    <x v="2"/>
    <x v="5"/>
    <x v="1"/>
    <n v="3610.47"/>
    <n v="536"/>
    <n v="9"/>
    <n v="44812.989999999991"/>
    <n v="2"/>
    <n v="2"/>
    <n v="2"/>
    <s v="222"/>
    <x v="1"/>
  </r>
  <r>
    <x v="298"/>
    <d v="2024-11-04T09:00:07"/>
    <x v="4"/>
    <x v="1"/>
    <x v="1"/>
    <n v="2094.5500000000002"/>
    <n v="536"/>
    <n v="9"/>
    <n v="40942.560000000005"/>
    <n v="2"/>
    <n v="2"/>
    <n v="2"/>
    <s v="222"/>
    <x v="1"/>
  </r>
  <r>
    <x v="177"/>
    <d v="2024-11-04T09:00:07"/>
    <x v="7"/>
    <x v="1"/>
    <x v="1"/>
    <n v="3154.06"/>
    <n v="536"/>
    <n v="11"/>
    <n v="45526.78"/>
    <n v="2"/>
    <n v="1"/>
    <n v="1"/>
    <s v="211"/>
    <x v="1"/>
  </r>
  <r>
    <x v="318"/>
    <d v="2024-11-04T09:00:07"/>
    <x v="3"/>
    <x v="5"/>
    <x v="1"/>
    <n v="3344.35"/>
    <n v="536"/>
    <n v="11"/>
    <n v="30527.53"/>
    <n v="2"/>
    <n v="1"/>
    <n v="3"/>
    <s v="213"/>
    <x v="2"/>
  </r>
  <r>
    <x v="260"/>
    <d v="2024-11-04T09:00:07"/>
    <x v="6"/>
    <x v="4"/>
    <x v="1"/>
    <n v="752.62"/>
    <n v="536"/>
    <n v="7"/>
    <n v="12366.910000000002"/>
    <n v="2"/>
    <n v="4"/>
    <n v="5"/>
    <s v="245"/>
    <x v="3"/>
  </r>
  <r>
    <x v="68"/>
    <d v="2024-11-05T09:00:07"/>
    <x v="6"/>
    <x v="6"/>
    <x v="1"/>
    <n v="7578.52"/>
    <n v="535"/>
    <n v="9"/>
    <n v="44679.94"/>
    <n v="2"/>
    <n v="2"/>
    <n v="2"/>
    <s v="222"/>
    <x v="1"/>
  </r>
  <r>
    <x v="269"/>
    <d v="2024-11-05T09:00:07"/>
    <x v="9"/>
    <x v="4"/>
    <x v="2"/>
    <n v="4695.47"/>
    <n v="535"/>
    <n v="9"/>
    <n v="32843.11"/>
    <n v="2"/>
    <n v="2"/>
    <n v="3"/>
    <s v="223"/>
    <x v="2"/>
  </r>
  <r>
    <x v="222"/>
    <d v="2024-11-05T09:00:07"/>
    <x v="5"/>
    <x v="3"/>
    <x v="1"/>
    <n v="1993.03"/>
    <n v="535"/>
    <n v="9"/>
    <n v="34007.68"/>
    <n v="2"/>
    <n v="2"/>
    <n v="3"/>
    <s v="223"/>
    <x v="2"/>
  </r>
  <r>
    <x v="341"/>
    <d v="2024-11-05T09:00:07"/>
    <x v="2"/>
    <x v="2"/>
    <x v="2"/>
    <n v="4892.6499999999996"/>
    <n v="535"/>
    <n v="11"/>
    <n v="59377.640000000014"/>
    <n v="2"/>
    <n v="1"/>
    <n v="1"/>
    <s v="211"/>
    <x v="1"/>
  </r>
  <r>
    <x v="337"/>
    <d v="2024-11-06T09:00:07"/>
    <x v="1"/>
    <x v="0"/>
    <x v="1"/>
    <n v="6439.28"/>
    <n v="534"/>
    <n v="6"/>
    <n v="33607.29"/>
    <n v="2"/>
    <n v="4"/>
    <n v="3"/>
    <s v="243"/>
    <x v="3"/>
  </r>
  <r>
    <x v="195"/>
    <d v="2024-11-06T09:00:07"/>
    <x v="7"/>
    <x v="6"/>
    <x v="2"/>
    <n v="1339.8"/>
    <n v="534"/>
    <n v="10"/>
    <n v="37984.589999999997"/>
    <n v="2"/>
    <n v="2"/>
    <n v="2"/>
    <s v="222"/>
    <x v="1"/>
  </r>
  <r>
    <x v="342"/>
    <d v="2024-11-06T09:00:07"/>
    <x v="2"/>
    <x v="6"/>
    <x v="2"/>
    <n v="3106.78"/>
    <n v="534"/>
    <n v="6"/>
    <n v="19844.169999999998"/>
    <n v="2"/>
    <n v="4"/>
    <n v="5"/>
    <s v="245"/>
    <x v="3"/>
  </r>
  <r>
    <x v="24"/>
    <d v="2024-11-07T09:00:07"/>
    <x v="1"/>
    <x v="0"/>
    <x v="0"/>
    <n v="1346.41"/>
    <n v="533"/>
    <n v="10"/>
    <n v="34623.81"/>
    <n v="2"/>
    <n v="2"/>
    <n v="3"/>
    <s v="223"/>
    <x v="2"/>
  </r>
  <r>
    <x v="235"/>
    <d v="2024-11-07T09:00:07"/>
    <x v="5"/>
    <x v="6"/>
    <x v="0"/>
    <n v="5042.59"/>
    <n v="533"/>
    <n v="8"/>
    <n v="29892.99"/>
    <n v="2"/>
    <n v="3"/>
    <n v="3"/>
    <s v="233"/>
    <x v="3"/>
  </r>
  <r>
    <x v="58"/>
    <d v="2024-11-07T09:00:07"/>
    <x v="6"/>
    <x v="0"/>
    <x v="2"/>
    <n v="5183.55"/>
    <n v="533"/>
    <n v="9"/>
    <n v="47571.369999999995"/>
    <n v="2"/>
    <n v="2"/>
    <n v="1"/>
    <s v="221"/>
    <x v="1"/>
  </r>
  <r>
    <x v="122"/>
    <d v="2024-11-07T09:00:07"/>
    <x v="8"/>
    <x v="6"/>
    <x v="1"/>
    <n v="4554.72"/>
    <n v="533"/>
    <n v="10"/>
    <n v="45537.319999999992"/>
    <n v="2"/>
    <n v="2"/>
    <n v="1"/>
    <s v="221"/>
    <x v="1"/>
  </r>
  <r>
    <x v="52"/>
    <d v="2024-11-08T09:00:07"/>
    <x v="3"/>
    <x v="0"/>
    <x v="2"/>
    <n v="5609.08"/>
    <n v="532"/>
    <n v="4"/>
    <n v="11791.11"/>
    <n v="2"/>
    <n v="5"/>
    <n v="5"/>
    <s v="255"/>
    <x v="3"/>
  </r>
  <r>
    <x v="207"/>
    <d v="2024-11-08T09:00:07"/>
    <x v="6"/>
    <x v="1"/>
    <x v="0"/>
    <n v="2238.34"/>
    <n v="532"/>
    <n v="10"/>
    <n v="39681.960000000006"/>
    <n v="2"/>
    <n v="2"/>
    <n v="2"/>
    <s v="222"/>
    <x v="1"/>
  </r>
  <r>
    <x v="341"/>
    <d v="2024-11-08T09:00:07"/>
    <x v="3"/>
    <x v="1"/>
    <x v="1"/>
    <n v="15932.29"/>
    <n v="532"/>
    <n v="11"/>
    <n v="59377.640000000014"/>
    <n v="2"/>
    <n v="1"/>
    <n v="1"/>
    <s v="211"/>
    <x v="1"/>
  </r>
  <r>
    <x v="245"/>
    <d v="2024-11-08T09:00:07"/>
    <x v="7"/>
    <x v="0"/>
    <x v="0"/>
    <n v="2546.7600000000002"/>
    <n v="532"/>
    <n v="4"/>
    <n v="13595.329999999998"/>
    <n v="2"/>
    <n v="5"/>
    <n v="5"/>
    <s v="255"/>
    <x v="3"/>
  </r>
  <r>
    <x v="293"/>
    <d v="2024-11-10T09:00:07"/>
    <x v="6"/>
    <x v="5"/>
    <x v="1"/>
    <n v="3789.01"/>
    <n v="530"/>
    <n v="8"/>
    <n v="27805.74"/>
    <n v="2"/>
    <n v="3"/>
    <n v="4"/>
    <s v="234"/>
    <x v="3"/>
  </r>
  <r>
    <x v="8"/>
    <d v="2024-11-10T09:00:07"/>
    <x v="2"/>
    <x v="5"/>
    <x v="0"/>
    <n v="894.29"/>
    <n v="530"/>
    <n v="7"/>
    <n v="18694.46"/>
    <n v="2"/>
    <n v="4"/>
    <n v="5"/>
    <s v="245"/>
    <x v="3"/>
  </r>
  <r>
    <x v="144"/>
    <d v="2024-11-10T09:00:07"/>
    <x v="3"/>
    <x v="1"/>
    <x v="2"/>
    <n v="6245.04"/>
    <n v="530"/>
    <n v="6"/>
    <n v="27159.870000000003"/>
    <n v="2"/>
    <n v="4"/>
    <n v="4"/>
    <s v="244"/>
    <x v="3"/>
  </r>
  <r>
    <x v="117"/>
    <d v="2024-11-10T09:00:07"/>
    <x v="6"/>
    <x v="2"/>
    <x v="0"/>
    <n v="5321.98"/>
    <n v="530"/>
    <n v="12"/>
    <n v="44894.799999999996"/>
    <n v="2"/>
    <n v="1"/>
    <n v="1"/>
    <s v="211"/>
    <x v="1"/>
  </r>
  <r>
    <x v="246"/>
    <d v="2024-11-10T09:00:07"/>
    <x v="3"/>
    <x v="2"/>
    <x v="1"/>
    <n v="1157.58"/>
    <n v="530"/>
    <n v="10"/>
    <n v="30897.65"/>
    <n v="2"/>
    <n v="2"/>
    <n v="3"/>
    <s v="223"/>
    <x v="2"/>
  </r>
  <r>
    <x v="14"/>
    <d v="2024-11-10T09:00:07"/>
    <x v="0"/>
    <x v="6"/>
    <x v="2"/>
    <n v="742.57"/>
    <n v="530"/>
    <n v="13"/>
    <n v="40219.18"/>
    <n v="2"/>
    <n v="1"/>
    <n v="2"/>
    <s v="212"/>
    <x v="1"/>
  </r>
  <r>
    <x v="149"/>
    <d v="2024-11-10T09:00:07"/>
    <x v="3"/>
    <x v="2"/>
    <x v="0"/>
    <n v="3797.13"/>
    <n v="530"/>
    <n v="4"/>
    <n v="26120.1"/>
    <n v="2"/>
    <n v="5"/>
    <n v="4"/>
    <s v="254"/>
    <x v="3"/>
  </r>
  <r>
    <x v="266"/>
    <d v="2024-11-10T09:00:07"/>
    <x v="9"/>
    <x v="3"/>
    <x v="0"/>
    <n v="2122.46"/>
    <n v="530"/>
    <n v="9"/>
    <n v="35145.360000000001"/>
    <n v="2"/>
    <n v="2"/>
    <n v="3"/>
    <s v="223"/>
    <x v="2"/>
  </r>
  <r>
    <x v="241"/>
    <d v="2024-11-11T09:00:07"/>
    <x v="2"/>
    <x v="4"/>
    <x v="1"/>
    <n v="2512.14"/>
    <n v="529"/>
    <n v="12"/>
    <n v="43413.4"/>
    <n v="2"/>
    <n v="1"/>
    <n v="2"/>
    <s v="212"/>
    <x v="1"/>
  </r>
  <r>
    <x v="33"/>
    <d v="2024-11-11T09:00:07"/>
    <x v="9"/>
    <x v="6"/>
    <x v="1"/>
    <n v="2926.64"/>
    <n v="529"/>
    <n v="10"/>
    <n v="34643.039999999994"/>
    <n v="2"/>
    <n v="2"/>
    <n v="3"/>
    <s v="223"/>
    <x v="2"/>
  </r>
  <r>
    <x v="343"/>
    <d v="2024-11-11T09:00:07"/>
    <x v="5"/>
    <x v="2"/>
    <x v="1"/>
    <n v="1799.63"/>
    <n v="529"/>
    <n v="4"/>
    <n v="11144.500000000002"/>
    <n v="2"/>
    <n v="5"/>
    <n v="5"/>
    <s v="255"/>
    <x v="3"/>
  </r>
  <r>
    <x v="274"/>
    <d v="2024-11-11T09:00:07"/>
    <x v="4"/>
    <x v="2"/>
    <x v="0"/>
    <n v="2535.3200000000002"/>
    <n v="529"/>
    <n v="11"/>
    <n v="73437.08"/>
    <n v="2"/>
    <n v="1"/>
    <n v="1"/>
    <s v="211"/>
    <x v="1"/>
  </r>
  <r>
    <x v="344"/>
    <d v="2024-11-11T09:00:07"/>
    <x v="2"/>
    <x v="3"/>
    <x v="1"/>
    <n v="7253.78"/>
    <n v="529"/>
    <n v="8"/>
    <n v="29788.7"/>
    <n v="2"/>
    <n v="3"/>
    <n v="3"/>
    <s v="233"/>
    <x v="3"/>
  </r>
  <r>
    <x v="90"/>
    <d v="2024-11-12T09:00:07"/>
    <x v="9"/>
    <x v="2"/>
    <x v="1"/>
    <n v="11425.45"/>
    <n v="528"/>
    <n v="7"/>
    <n v="34546.720000000001"/>
    <n v="2"/>
    <n v="4"/>
    <n v="3"/>
    <s v="243"/>
    <x v="3"/>
  </r>
  <r>
    <x v="9"/>
    <d v="2024-11-12T09:00:07"/>
    <x v="7"/>
    <x v="2"/>
    <x v="1"/>
    <n v="4703.68"/>
    <n v="528"/>
    <n v="10"/>
    <n v="67378.48000000001"/>
    <n v="2"/>
    <n v="2"/>
    <n v="1"/>
    <s v="221"/>
    <x v="1"/>
  </r>
  <r>
    <x v="345"/>
    <d v="2024-11-12T09:00:07"/>
    <x v="0"/>
    <x v="2"/>
    <x v="2"/>
    <n v="4437.08"/>
    <n v="528"/>
    <n v="3"/>
    <n v="10896.380000000001"/>
    <n v="2"/>
    <n v="5"/>
    <n v="5"/>
    <s v="255"/>
    <x v="3"/>
  </r>
  <r>
    <x v="55"/>
    <d v="2024-11-12T09:00:07"/>
    <x v="8"/>
    <x v="3"/>
    <x v="2"/>
    <n v="4492.7700000000004"/>
    <n v="528"/>
    <n v="12"/>
    <n v="42930.969999999994"/>
    <n v="2"/>
    <n v="1"/>
    <n v="2"/>
    <s v="212"/>
    <x v="1"/>
  </r>
  <r>
    <x v="122"/>
    <d v="2024-11-13T09:00:07"/>
    <x v="8"/>
    <x v="2"/>
    <x v="2"/>
    <n v="2628.67"/>
    <n v="527"/>
    <n v="10"/>
    <n v="45537.319999999992"/>
    <n v="2"/>
    <n v="2"/>
    <n v="1"/>
    <s v="221"/>
    <x v="1"/>
  </r>
  <r>
    <x v="289"/>
    <d v="2024-11-13T09:00:07"/>
    <x v="4"/>
    <x v="3"/>
    <x v="2"/>
    <n v="1773.66"/>
    <n v="527"/>
    <n v="6"/>
    <n v="29693.030000000002"/>
    <n v="2"/>
    <n v="4"/>
    <n v="3"/>
    <s v="243"/>
    <x v="3"/>
  </r>
  <r>
    <x v="57"/>
    <d v="2024-11-13T09:00:07"/>
    <x v="9"/>
    <x v="3"/>
    <x v="2"/>
    <n v="3815.39"/>
    <n v="527"/>
    <n v="16"/>
    <n v="58237.360000000008"/>
    <n v="2"/>
    <n v="1"/>
    <n v="1"/>
    <s v="211"/>
    <x v="1"/>
  </r>
  <r>
    <x v="186"/>
    <d v="2024-11-13T09:00:07"/>
    <x v="7"/>
    <x v="2"/>
    <x v="1"/>
    <n v="6118.54"/>
    <n v="527"/>
    <n v="7"/>
    <n v="37438.960000000006"/>
    <n v="2"/>
    <n v="4"/>
    <n v="2"/>
    <s v="242"/>
    <x v="0"/>
  </r>
  <r>
    <x v="85"/>
    <d v="2024-11-14T09:00:07"/>
    <x v="1"/>
    <x v="1"/>
    <x v="2"/>
    <n v="257.26"/>
    <n v="526"/>
    <n v="6"/>
    <n v="21226.689999999995"/>
    <n v="2"/>
    <n v="4"/>
    <n v="5"/>
    <s v="245"/>
    <x v="3"/>
  </r>
  <r>
    <x v="7"/>
    <d v="2024-11-14T09:00:07"/>
    <x v="4"/>
    <x v="2"/>
    <x v="1"/>
    <n v="3784.84"/>
    <n v="526"/>
    <n v="8"/>
    <n v="43799.990000000005"/>
    <n v="2"/>
    <n v="3"/>
    <n v="2"/>
    <s v="232"/>
    <x v="0"/>
  </r>
  <r>
    <x v="15"/>
    <d v="2024-11-14T09:00:07"/>
    <x v="0"/>
    <x v="1"/>
    <x v="2"/>
    <n v="5249.26"/>
    <n v="526"/>
    <n v="6"/>
    <n v="32825.340000000004"/>
    <n v="2"/>
    <n v="4"/>
    <n v="3"/>
    <s v="243"/>
    <x v="3"/>
  </r>
  <r>
    <x v="258"/>
    <d v="2024-11-14T09:00:07"/>
    <x v="9"/>
    <x v="5"/>
    <x v="2"/>
    <n v="2176.58"/>
    <n v="526"/>
    <n v="6"/>
    <n v="16588.13"/>
    <n v="2"/>
    <n v="4"/>
    <n v="5"/>
    <s v="245"/>
    <x v="3"/>
  </r>
  <r>
    <x v="195"/>
    <d v="2024-11-14T09:00:07"/>
    <x v="7"/>
    <x v="3"/>
    <x v="2"/>
    <n v="3279.74"/>
    <n v="526"/>
    <n v="10"/>
    <n v="37984.589999999997"/>
    <n v="2"/>
    <n v="2"/>
    <n v="2"/>
    <s v="222"/>
    <x v="1"/>
  </r>
  <r>
    <x v="249"/>
    <d v="2024-11-15T09:00:07"/>
    <x v="6"/>
    <x v="5"/>
    <x v="0"/>
    <n v="5896.51"/>
    <n v="525"/>
    <n v="6"/>
    <n v="18264"/>
    <n v="2"/>
    <n v="4"/>
    <n v="5"/>
    <s v="245"/>
    <x v="3"/>
  </r>
  <r>
    <x v="228"/>
    <d v="2024-11-15T09:00:07"/>
    <x v="9"/>
    <x v="3"/>
    <x v="2"/>
    <n v="3425.9"/>
    <n v="525"/>
    <n v="6"/>
    <n v="17195.870000000003"/>
    <n v="2"/>
    <n v="4"/>
    <n v="5"/>
    <s v="245"/>
    <x v="3"/>
  </r>
  <r>
    <x v="346"/>
    <d v="2024-11-15T09:00:07"/>
    <x v="3"/>
    <x v="1"/>
    <x v="2"/>
    <n v="1316.52"/>
    <n v="525"/>
    <n v="8"/>
    <n v="30873.260000000002"/>
    <n v="2"/>
    <n v="3"/>
    <n v="3"/>
    <s v="233"/>
    <x v="3"/>
  </r>
  <r>
    <x v="68"/>
    <d v="2024-11-15T09:00:07"/>
    <x v="2"/>
    <x v="1"/>
    <x v="0"/>
    <n v="3628.34"/>
    <n v="525"/>
    <n v="9"/>
    <n v="44679.94"/>
    <n v="2"/>
    <n v="2"/>
    <n v="2"/>
    <s v="222"/>
    <x v="1"/>
  </r>
  <r>
    <x v="75"/>
    <d v="2024-11-15T09:00:07"/>
    <x v="6"/>
    <x v="3"/>
    <x v="2"/>
    <n v="4049.3"/>
    <n v="525"/>
    <n v="9"/>
    <n v="37864.199999999997"/>
    <n v="2"/>
    <n v="2"/>
    <n v="2"/>
    <s v="222"/>
    <x v="1"/>
  </r>
  <r>
    <x v="147"/>
    <d v="2024-11-16T09:00:07"/>
    <x v="4"/>
    <x v="5"/>
    <x v="0"/>
    <n v="739.92"/>
    <n v="524"/>
    <n v="8"/>
    <n v="21286.739999999998"/>
    <n v="2"/>
    <n v="3"/>
    <n v="5"/>
    <s v="235"/>
    <x v="3"/>
  </r>
  <r>
    <x v="121"/>
    <d v="2024-11-16T09:00:07"/>
    <x v="6"/>
    <x v="2"/>
    <x v="0"/>
    <n v="10769.62"/>
    <n v="524"/>
    <n v="7"/>
    <n v="29497.360000000001"/>
    <n v="2"/>
    <n v="4"/>
    <n v="3"/>
    <s v="243"/>
    <x v="3"/>
  </r>
  <r>
    <x v="143"/>
    <d v="2024-11-16T09:00:07"/>
    <x v="8"/>
    <x v="0"/>
    <x v="2"/>
    <n v="1977.58"/>
    <n v="524"/>
    <n v="11"/>
    <n v="43247.159999999996"/>
    <n v="2"/>
    <n v="1"/>
    <n v="2"/>
    <s v="212"/>
    <x v="1"/>
  </r>
  <r>
    <x v="11"/>
    <d v="2024-11-16T09:00:07"/>
    <x v="9"/>
    <x v="2"/>
    <x v="0"/>
    <n v="2061.9899999999998"/>
    <n v="524"/>
    <n v="9"/>
    <n v="29151.88"/>
    <n v="2"/>
    <n v="2"/>
    <n v="4"/>
    <s v="224"/>
    <x v="2"/>
  </r>
  <r>
    <x v="304"/>
    <d v="2024-11-16T09:00:07"/>
    <x v="6"/>
    <x v="3"/>
    <x v="0"/>
    <n v="2165.4499999999998"/>
    <n v="524"/>
    <n v="9"/>
    <n v="27990.980000000003"/>
    <n v="2"/>
    <n v="2"/>
    <n v="4"/>
    <s v="224"/>
    <x v="2"/>
  </r>
  <r>
    <x v="202"/>
    <d v="2024-11-16T09:00:07"/>
    <x v="3"/>
    <x v="4"/>
    <x v="0"/>
    <n v="1404.58"/>
    <n v="524"/>
    <n v="7"/>
    <n v="13087.390000000001"/>
    <n v="2"/>
    <n v="4"/>
    <n v="5"/>
    <s v="245"/>
    <x v="3"/>
  </r>
  <r>
    <x v="332"/>
    <d v="2024-11-16T09:00:07"/>
    <x v="3"/>
    <x v="2"/>
    <x v="1"/>
    <n v="1170.99"/>
    <n v="524"/>
    <n v="9"/>
    <n v="27857.719999999998"/>
    <n v="2"/>
    <n v="2"/>
    <n v="4"/>
    <s v="224"/>
    <x v="2"/>
  </r>
  <r>
    <x v="180"/>
    <d v="2024-11-16T09:00:07"/>
    <x v="8"/>
    <x v="5"/>
    <x v="2"/>
    <n v="5742.32"/>
    <n v="524"/>
    <n v="8"/>
    <n v="26424.119999999995"/>
    <n v="2"/>
    <n v="3"/>
    <n v="4"/>
    <s v="234"/>
    <x v="3"/>
  </r>
  <r>
    <x v="280"/>
    <d v="2024-11-17T09:00:07"/>
    <x v="4"/>
    <x v="2"/>
    <x v="2"/>
    <n v="7621.23"/>
    <n v="523"/>
    <n v="16"/>
    <n v="64716.249999999985"/>
    <n v="2"/>
    <n v="1"/>
    <n v="1"/>
    <s v="211"/>
    <x v="1"/>
  </r>
  <r>
    <x v="330"/>
    <d v="2024-11-17T09:00:07"/>
    <x v="6"/>
    <x v="4"/>
    <x v="0"/>
    <n v="11942.57"/>
    <n v="523"/>
    <n v="9"/>
    <n v="39538.21"/>
    <n v="2"/>
    <n v="2"/>
    <n v="2"/>
    <s v="222"/>
    <x v="1"/>
  </r>
  <r>
    <x v="347"/>
    <d v="2024-11-17T09:00:07"/>
    <x v="5"/>
    <x v="6"/>
    <x v="2"/>
    <n v="1882.44"/>
    <n v="523"/>
    <n v="4"/>
    <n v="14706.1"/>
    <n v="2"/>
    <n v="5"/>
    <n v="5"/>
    <s v="255"/>
    <x v="3"/>
  </r>
  <r>
    <x v="6"/>
    <d v="2024-11-18T09:00:07"/>
    <x v="1"/>
    <x v="6"/>
    <x v="2"/>
    <n v="2272.9899999999998"/>
    <n v="522"/>
    <n v="7"/>
    <n v="32953.599999999999"/>
    <n v="2"/>
    <n v="4"/>
    <n v="3"/>
    <s v="243"/>
    <x v="3"/>
  </r>
  <r>
    <x v="74"/>
    <d v="2024-11-18T09:00:07"/>
    <x v="9"/>
    <x v="5"/>
    <x v="2"/>
    <n v="7690.7"/>
    <n v="522"/>
    <n v="8"/>
    <n v="28309.71"/>
    <n v="2"/>
    <n v="3"/>
    <n v="4"/>
    <s v="234"/>
    <x v="3"/>
  </r>
  <r>
    <x v="315"/>
    <d v="2024-11-19T09:00:07"/>
    <x v="0"/>
    <x v="6"/>
    <x v="2"/>
    <n v="4540.47"/>
    <n v="521"/>
    <n v="7"/>
    <n v="18314.88"/>
    <n v="2"/>
    <n v="4"/>
    <n v="5"/>
    <s v="245"/>
    <x v="3"/>
  </r>
  <r>
    <x v="230"/>
    <d v="2024-11-19T09:00:07"/>
    <x v="1"/>
    <x v="6"/>
    <x v="1"/>
    <n v="2439.38"/>
    <n v="521"/>
    <n v="6"/>
    <n v="11900.869999999999"/>
    <n v="2"/>
    <n v="4"/>
    <n v="5"/>
    <s v="245"/>
    <x v="3"/>
  </r>
  <r>
    <x v="93"/>
    <d v="2024-11-19T09:00:07"/>
    <x v="8"/>
    <x v="2"/>
    <x v="1"/>
    <n v="6811.5"/>
    <n v="521"/>
    <n v="9"/>
    <n v="32520.350000000002"/>
    <n v="2"/>
    <n v="2"/>
    <n v="3"/>
    <s v="223"/>
    <x v="2"/>
  </r>
  <r>
    <x v="348"/>
    <d v="2024-11-19T09:00:07"/>
    <x v="8"/>
    <x v="3"/>
    <x v="0"/>
    <n v="1268.07"/>
    <n v="521"/>
    <n v="8"/>
    <n v="27090.329999999998"/>
    <n v="2"/>
    <n v="3"/>
    <n v="4"/>
    <s v="234"/>
    <x v="3"/>
  </r>
  <r>
    <x v="349"/>
    <d v="2024-11-19T09:00:07"/>
    <x v="0"/>
    <x v="1"/>
    <x v="2"/>
    <n v="2740.63"/>
    <n v="521"/>
    <n v="8"/>
    <n v="22493.960000000003"/>
    <n v="2"/>
    <n v="3"/>
    <n v="4"/>
    <s v="234"/>
    <x v="3"/>
  </r>
  <r>
    <x v="20"/>
    <d v="2024-11-19T09:00:07"/>
    <x v="8"/>
    <x v="6"/>
    <x v="0"/>
    <n v="3626.37"/>
    <n v="521"/>
    <n v="14"/>
    <n v="53433.220000000008"/>
    <n v="2"/>
    <n v="1"/>
    <n v="1"/>
    <s v="211"/>
    <x v="1"/>
  </r>
  <r>
    <x v="343"/>
    <d v="2024-11-19T09:00:07"/>
    <x v="2"/>
    <x v="0"/>
    <x v="0"/>
    <n v="2884.81"/>
    <n v="521"/>
    <n v="4"/>
    <n v="11144.500000000002"/>
    <n v="2"/>
    <n v="5"/>
    <n v="5"/>
    <s v="255"/>
    <x v="3"/>
  </r>
  <r>
    <x v="291"/>
    <d v="2024-11-20T09:00:07"/>
    <x v="7"/>
    <x v="3"/>
    <x v="2"/>
    <n v="1632"/>
    <n v="520"/>
    <n v="9"/>
    <n v="27888.809999999998"/>
    <n v="2"/>
    <n v="2"/>
    <n v="4"/>
    <s v="224"/>
    <x v="2"/>
  </r>
  <r>
    <x v="164"/>
    <d v="2024-11-20T09:00:07"/>
    <x v="2"/>
    <x v="0"/>
    <x v="2"/>
    <n v="1422.11"/>
    <n v="520"/>
    <n v="6"/>
    <n v="17843.009999999998"/>
    <n v="2"/>
    <n v="4"/>
    <n v="5"/>
    <s v="245"/>
    <x v="3"/>
  </r>
  <r>
    <x v="70"/>
    <d v="2024-11-20T09:00:07"/>
    <x v="9"/>
    <x v="1"/>
    <x v="2"/>
    <n v="7412.08"/>
    <n v="520"/>
    <n v="15"/>
    <n v="57217.139999999992"/>
    <n v="2"/>
    <n v="1"/>
    <n v="1"/>
    <s v="211"/>
    <x v="1"/>
  </r>
  <r>
    <x v="350"/>
    <d v="2024-11-20T09:00:07"/>
    <x v="1"/>
    <x v="1"/>
    <x v="0"/>
    <n v="1022.58"/>
    <n v="520"/>
    <n v="1"/>
    <n v="1022.58"/>
    <n v="2"/>
    <n v="5"/>
    <n v="5"/>
    <s v="255"/>
    <x v="3"/>
  </r>
  <r>
    <x v="291"/>
    <d v="2024-11-20T09:00:07"/>
    <x v="1"/>
    <x v="2"/>
    <x v="1"/>
    <n v="6156.72"/>
    <n v="520"/>
    <n v="9"/>
    <n v="27888.809999999998"/>
    <n v="2"/>
    <n v="2"/>
    <n v="4"/>
    <s v="224"/>
    <x v="2"/>
  </r>
  <r>
    <x v="95"/>
    <d v="2024-11-20T09:00:07"/>
    <x v="2"/>
    <x v="0"/>
    <x v="1"/>
    <n v="678.86"/>
    <n v="520"/>
    <n v="6"/>
    <n v="16595.620000000003"/>
    <n v="2"/>
    <n v="4"/>
    <n v="5"/>
    <s v="245"/>
    <x v="3"/>
  </r>
  <r>
    <x v="142"/>
    <d v="2024-11-21T09:00:07"/>
    <x v="9"/>
    <x v="4"/>
    <x v="2"/>
    <n v="7981.94"/>
    <n v="519"/>
    <n v="13"/>
    <n v="47658.630000000005"/>
    <n v="2"/>
    <n v="1"/>
    <n v="1"/>
    <s v="211"/>
    <x v="1"/>
  </r>
  <r>
    <x v="271"/>
    <d v="2024-11-21T09:00:07"/>
    <x v="6"/>
    <x v="2"/>
    <x v="2"/>
    <n v="6194.19"/>
    <n v="519"/>
    <n v="6"/>
    <n v="21816.019999999997"/>
    <n v="2"/>
    <n v="4"/>
    <n v="4"/>
    <s v="244"/>
    <x v="3"/>
  </r>
  <r>
    <x v="335"/>
    <d v="2024-11-21T09:00:07"/>
    <x v="1"/>
    <x v="4"/>
    <x v="0"/>
    <n v="3976.72"/>
    <n v="519"/>
    <n v="5"/>
    <n v="21192.55"/>
    <n v="2"/>
    <n v="5"/>
    <n v="5"/>
    <s v="255"/>
    <x v="3"/>
  </r>
  <r>
    <x v="10"/>
    <d v="2024-11-21T09:00:07"/>
    <x v="5"/>
    <x v="5"/>
    <x v="0"/>
    <n v="3470.15"/>
    <n v="519"/>
    <n v="5"/>
    <n v="17477.019999999997"/>
    <n v="2"/>
    <n v="5"/>
    <n v="5"/>
    <s v="255"/>
    <x v="3"/>
  </r>
  <r>
    <x v="351"/>
    <d v="2024-11-22T09:00:07"/>
    <x v="3"/>
    <x v="1"/>
    <x v="2"/>
    <n v="7336.48"/>
    <n v="518"/>
    <n v="7"/>
    <n v="17082.88"/>
    <n v="2"/>
    <n v="4"/>
    <n v="5"/>
    <s v="245"/>
    <x v="3"/>
  </r>
  <r>
    <x v="256"/>
    <d v="2024-11-22T09:00:07"/>
    <x v="3"/>
    <x v="3"/>
    <x v="1"/>
    <n v="519.32000000000005"/>
    <n v="518"/>
    <n v="8"/>
    <n v="28559.850000000002"/>
    <n v="2"/>
    <n v="3"/>
    <n v="4"/>
    <s v="234"/>
    <x v="3"/>
  </r>
  <r>
    <x v="235"/>
    <d v="2024-11-22T09:00:07"/>
    <x v="9"/>
    <x v="5"/>
    <x v="2"/>
    <n v="7424.7"/>
    <n v="518"/>
    <n v="8"/>
    <n v="29892.99"/>
    <n v="2"/>
    <n v="3"/>
    <n v="3"/>
    <s v="233"/>
    <x v="3"/>
  </r>
  <r>
    <x v="213"/>
    <d v="2024-11-22T09:00:07"/>
    <x v="7"/>
    <x v="0"/>
    <x v="2"/>
    <n v="2466.12"/>
    <n v="518"/>
    <n v="12"/>
    <n v="36909.899999999994"/>
    <n v="2"/>
    <n v="1"/>
    <n v="2"/>
    <s v="212"/>
    <x v="1"/>
  </r>
  <r>
    <x v="280"/>
    <d v="2024-11-23T09:00:07"/>
    <x v="9"/>
    <x v="0"/>
    <x v="0"/>
    <n v="534.17999999999995"/>
    <n v="517"/>
    <n v="16"/>
    <n v="64716.249999999985"/>
    <n v="2"/>
    <n v="1"/>
    <n v="1"/>
    <s v="211"/>
    <x v="1"/>
  </r>
  <r>
    <x v="0"/>
    <d v="2024-11-23T09:00:07"/>
    <x v="9"/>
    <x v="6"/>
    <x v="0"/>
    <n v="8717.9699999999993"/>
    <n v="517"/>
    <n v="7"/>
    <n v="37031.050000000003"/>
    <n v="2"/>
    <n v="4"/>
    <n v="2"/>
    <s v="242"/>
    <x v="0"/>
  </r>
  <r>
    <x v="260"/>
    <d v="2024-11-23T09:00:07"/>
    <x v="0"/>
    <x v="6"/>
    <x v="1"/>
    <n v="1523.82"/>
    <n v="517"/>
    <n v="7"/>
    <n v="12366.910000000002"/>
    <n v="2"/>
    <n v="4"/>
    <n v="5"/>
    <s v="245"/>
    <x v="3"/>
  </r>
  <r>
    <x v="319"/>
    <d v="2024-11-23T09:00:07"/>
    <x v="1"/>
    <x v="1"/>
    <x v="1"/>
    <n v="2990.37"/>
    <n v="517"/>
    <n v="9"/>
    <n v="39183.29"/>
    <n v="2"/>
    <n v="2"/>
    <n v="2"/>
    <s v="222"/>
    <x v="1"/>
  </r>
  <r>
    <x v="332"/>
    <d v="2024-11-23T09:00:07"/>
    <x v="6"/>
    <x v="3"/>
    <x v="2"/>
    <n v="3139.82"/>
    <n v="517"/>
    <n v="9"/>
    <n v="27857.719999999998"/>
    <n v="2"/>
    <n v="2"/>
    <n v="4"/>
    <s v="224"/>
    <x v="2"/>
  </r>
  <r>
    <x v="142"/>
    <d v="2024-11-23T09:00:07"/>
    <x v="2"/>
    <x v="1"/>
    <x v="0"/>
    <n v="754.86"/>
    <n v="517"/>
    <n v="13"/>
    <n v="47658.630000000005"/>
    <n v="2"/>
    <n v="1"/>
    <n v="1"/>
    <s v="211"/>
    <x v="1"/>
  </r>
  <r>
    <x v="298"/>
    <d v="2024-11-24T09:00:07"/>
    <x v="4"/>
    <x v="2"/>
    <x v="0"/>
    <n v="4566.4399999999996"/>
    <n v="516"/>
    <n v="9"/>
    <n v="40942.560000000005"/>
    <n v="2"/>
    <n v="2"/>
    <n v="2"/>
    <s v="222"/>
    <x v="1"/>
  </r>
  <r>
    <x v="278"/>
    <d v="2024-11-24T09:00:07"/>
    <x v="8"/>
    <x v="0"/>
    <x v="1"/>
    <n v="5009.4799999999996"/>
    <n v="516"/>
    <n v="10"/>
    <n v="38069.94"/>
    <n v="2"/>
    <n v="2"/>
    <n v="2"/>
    <s v="222"/>
    <x v="1"/>
  </r>
  <r>
    <x v="185"/>
    <d v="2024-11-24T09:00:07"/>
    <x v="0"/>
    <x v="6"/>
    <x v="0"/>
    <n v="7422.04"/>
    <n v="516"/>
    <n v="9"/>
    <n v="38767.17"/>
    <n v="2"/>
    <n v="2"/>
    <n v="2"/>
    <s v="222"/>
    <x v="1"/>
  </r>
  <r>
    <x v="142"/>
    <d v="2024-11-24T09:00:07"/>
    <x v="5"/>
    <x v="0"/>
    <x v="2"/>
    <n v="1206.4100000000001"/>
    <n v="516"/>
    <n v="13"/>
    <n v="47658.630000000005"/>
    <n v="2"/>
    <n v="1"/>
    <n v="1"/>
    <s v="211"/>
    <x v="1"/>
  </r>
  <r>
    <x v="277"/>
    <d v="2024-11-25T09:00:07"/>
    <x v="4"/>
    <x v="0"/>
    <x v="0"/>
    <n v="1791.33"/>
    <n v="515"/>
    <n v="10"/>
    <n v="40760.559999999998"/>
    <n v="2"/>
    <n v="2"/>
    <n v="2"/>
    <s v="222"/>
    <x v="1"/>
  </r>
  <r>
    <x v="96"/>
    <d v="2024-11-25T09:00:07"/>
    <x v="1"/>
    <x v="6"/>
    <x v="2"/>
    <n v="9306.23"/>
    <n v="515"/>
    <n v="11"/>
    <n v="62038.55"/>
    <n v="2"/>
    <n v="1"/>
    <n v="1"/>
    <s v="211"/>
    <x v="1"/>
  </r>
  <r>
    <x v="215"/>
    <d v="2024-11-26T09:00:07"/>
    <x v="0"/>
    <x v="1"/>
    <x v="1"/>
    <n v="3742.49"/>
    <n v="514"/>
    <n v="6"/>
    <n v="19413.5"/>
    <n v="2"/>
    <n v="4"/>
    <n v="5"/>
    <s v="245"/>
    <x v="3"/>
  </r>
  <r>
    <x v="280"/>
    <d v="2024-11-26T09:00:07"/>
    <x v="9"/>
    <x v="2"/>
    <x v="0"/>
    <n v="6038.03"/>
    <n v="514"/>
    <n v="16"/>
    <n v="64716.249999999985"/>
    <n v="2"/>
    <n v="1"/>
    <n v="1"/>
    <s v="211"/>
    <x v="1"/>
  </r>
  <r>
    <x v="193"/>
    <d v="2024-11-27T09:00:07"/>
    <x v="7"/>
    <x v="0"/>
    <x v="0"/>
    <n v="7783.95"/>
    <n v="513"/>
    <n v="10"/>
    <n v="54972.43"/>
    <n v="2"/>
    <n v="2"/>
    <n v="1"/>
    <s v="221"/>
    <x v="1"/>
  </r>
  <r>
    <x v="331"/>
    <d v="2024-11-27T09:00:07"/>
    <x v="6"/>
    <x v="2"/>
    <x v="0"/>
    <n v="1675.96"/>
    <n v="513"/>
    <n v="9"/>
    <n v="45883.96"/>
    <n v="2"/>
    <n v="2"/>
    <n v="1"/>
    <s v="221"/>
    <x v="1"/>
  </r>
  <r>
    <x v="347"/>
    <d v="2024-11-27T09:00:07"/>
    <x v="6"/>
    <x v="6"/>
    <x v="1"/>
    <n v="675.76"/>
    <n v="513"/>
    <n v="4"/>
    <n v="14706.1"/>
    <n v="2"/>
    <n v="5"/>
    <n v="5"/>
    <s v="255"/>
    <x v="3"/>
  </r>
  <r>
    <x v="231"/>
    <d v="2024-11-27T09:00:07"/>
    <x v="5"/>
    <x v="0"/>
    <x v="0"/>
    <n v="1074.49"/>
    <n v="513"/>
    <n v="9"/>
    <n v="40711.57"/>
    <n v="2"/>
    <n v="2"/>
    <n v="2"/>
    <s v="222"/>
    <x v="1"/>
  </r>
  <r>
    <x v="154"/>
    <d v="2024-11-27T09:00:07"/>
    <x v="2"/>
    <x v="0"/>
    <x v="1"/>
    <n v="2265.7399999999998"/>
    <n v="513"/>
    <n v="3"/>
    <n v="8165.32"/>
    <n v="2"/>
    <n v="5"/>
    <n v="5"/>
    <s v="255"/>
    <x v="3"/>
  </r>
  <r>
    <x v="94"/>
    <d v="2024-11-27T09:00:07"/>
    <x v="2"/>
    <x v="3"/>
    <x v="1"/>
    <n v="3640.8"/>
    <n v="513"/>
    <n v="13"/>
    <n v="56128.799999999996"/>
    <n v="2"/>
    <n v="1"/>
    <n v="1"/>
    <s v="211"/>
    <x v="1"/>
  </r>
  <r>
    <x v="40"/>
    <d v="2024-11-28T09:00:07"/>
    <x v="3"/>
    <x v="4"/>
    <x v="1"/>
    <n v="1410.09"/>
    <n v="512"/>
    <n v="7"/>
    <n v="17825.52"/>
    <n v="2"/>
    <n v="4"/>
    <n v="5"/>
    <s v="245"/>
    <x v="3"/>
  </r>
  <r>
    <x v="291"/>
    <d v="2024-11-28T09:00:07"/>
    <x v="5"/>
    <x v="5"/>
    <x v="1"/>
    <n v="3919.55"/>
    <n v="512"/>
    <n v="9"/>
    <n v="27888.809999999998"/>
    <n v="2"/>
    <n v="2"/>
    <n v="4"/>
    <s v="224"/>
    <x v="2"/>
  </r>
  <r>
    <x v="278"/>
    <d v="2024-11-29T09:00:07"/>
    <x v="0"/>
    <x v="4"/>
    <x v="0"/>
    <n v="7056.82"/>
    <n v="511"/>
    <n v="10"/>
    <n v="38069.94"/>
    <n v="2"/>
    <n v="2"/>
    <n v="2"/>
    <s v="222"/>
    <x v="1"/>
  </r>
  <r>
    <x v="352"/>
    <d v="2024-11-29T09:00:07"/>
    <x v="2"/>
    <x v="3"/>
    <x v="0"/>
    <n v="1825.44"/>
    <n v="511"/>
    <n v="7"/>
    <n v="27438.3"/>
    <n v="2"/>
    <n v="4"/>
    <n v="4"/>
    <s v="244"/>
    <x v="3"/>
  </r>
  <r>
    <x v="276"/>
    <d v="2024-11-29T09:00:07"/>
    <x v="4"/>
    <x v="0"/>
    <x v="1"/>
    <n v="3621.46"/>
    <n v="511"/>
    <n v="7"/>
    <n v="33899.22"/>
    <n v="2"/>
    <n v="4"/>
    <n v="3"/>
    <s v="243"/>
    <x v="3"/>
  </r>
  <r>
    <x v="219"/>
    <d v="2024-11-29T09:00:07"/>
    <x v="2"/>
    <x v="0"/>
    <x v="1"/>
    <n v="3029.78"/>
    <n v="511"/>
    <n v="9"/>
    <n v="35283.15"/>
    <n v="2"/>
    <n v="2"/>
    <n v="3"/>
    <s v="223"/>
    <x v="2"/>
  </r>
  <r>
    <x v="2"/>
    <d v="2024-11-29T09:00:07"/>
    <x v="6"/>
    <x v="0"/>
    <x v="2"/>
    <n v="8096.75"/>
    <n v="511"/>
    <n v="10"/>
    <n v="32732.979999999996"/>
    <n v="2"/>
    <n v="2"/>
    <n v="3"/>
    <s v="223"/>
    <x v="2"/>
  </r>
  <r>
    <x v="293"/>
    <d v="2024-11-30T09:00:07"/>
    <x v="2"/>
    <x v="2"/>
    <x v="2"/>
    <n v="385.78"/>
    <n v="510"/>
    <n v="8"/>
    <n v="27805.74"/>
    <n v="2"/>
    <n v="3"/>
    <n v="4"/>
    <s v="234"/>
    <x v="3"/>
  </r>
  <r>
    <x v="189"/>
    <d v="2024-11-30T09:00:07"/>
    <x v="8"/>
    <x v="2"/>
    <x v="2"/>
    <n v="2691.03"/>
    <n v="510"/>
    <n v="11"/>
    <n v="45651.77"/>
    <n v="2"/>
    <n v="1"/>
    <n v="1"/>
    <s v="211"/>
    <x v="1"/>
  </r>
  <r>
    <x v="35"/>
    <d v="2024-11-30T09:00:07"/>
    <x v="2"/>
    <x v="4"/>
    <x v="0"/>
    <n v="9673.9500000000007"/>
    <n v="510"/>
    <n v="8"/>
    <n v="38894.44"/>
    <n v="2"/>
    <n v="3"/>
    <n v="2"/>
    <s v="232"/>
    <x v="0"/>
  </r>
  <r>
    <x v="284"/>
    <d v="2024-12-01T09:00:07"/>
    <x v="9"/>
    <x v="5"/>
    <x v="0"/>
    <n v="1696.78"/>
    <n v="509"/>
    <n v="7"/>
    <n v="24204.07"/>
    <n v="2"/>
    <n v="4"/>
    <n v="4"/>
    <s v="244"/>
    <x v="3"/>
  </r>
  <r>
    <x v="66"/>
    <d v="2024-12-01T09:00:07"/>
    <x v="9"/>
    <x v="4"/>
    <x v="0"/>
    <n v="1227.7"/>
    <n v="509"/>
    <n v="6"/>
    <n v="26179.75"/>
    <n v="2"/>
    <n v="4"/>
    <n v="4"/>
    <s v="244"/>
    <x v="3"/>
  </r>
  <r>
    <x v="267"/>
    <d v="2024-12-01T09:00:07"/>
    <x v="0"/>
    <x v="0"/>
    <x v="2"/>
    <n v="7059.31"/>
    <n v="509"/>
    <n v="8"/>
    <n v="37668.22"/>
    <n v="2"/>
    <n v="3"/>
    <n v="2"/>
    <s v="232"/>
    <x v="0"/>
  </r>
  <r>
    <x v="33"/>
    <d v="2024-12-02T09:00:07"/>
    <x v="8"/>
    <x v="2"/>
    <x v="2"/>
    <n v="5517.94"/>
    <n v="508"/>
    <n v="10"/>
    <n v="34643.039999999994"/>
    <n v="2"/>
    <n v="2"/>
    <n v="3"/>
    <s v="223"/>
    <x v="2"/>
  </r>
  <r>
    <x v="119"/>
    <d v="2024-12-02T09:00:07"/>
    <x v="5"/>
    <x v="1"/>
    <x v="1"/>
    <n v="998.18"/>
    <n v="508"/>
    <n v="11"/>
    <n v="29238.53"/>
    <n v="2"/>
    <n v="1"/>
    <n v="4"/>
    <s v="214"/>
    <x v="2"/>
  </r>
  <r>
    <x v="302"/>
    <d v="2024-12-02T09:00:07"/>
    <x v="8"/>
    <x v="5"/>
    <x v="1"/>
    <n v="1304.8599999999999"/>
    <n v="508"/>
    <n v="10"/>
    <n v="47284.22"/>
    <n v="2"/>
    <n v="2"/>
    <n v="1"/>
    <s v="221"/>
    <x v="1"/>
  </r>
  <r>
    <x v="116"/>
    <d v="2024-12-02T09:00:07"/>
    <x v="1"/>
    <x v="0"/>
    <x v="2"/>
    <n v="4459.17"/>
    <n v="508"/>
    <n v="16"/>
    <n v="76962.720000000001"/>
    <n v="2"/>
    <n v="1"/>
    <n v="1"/>
    <s v="211"/>
    <x v="1"/>
  </r>
  <r>
    <x v="109"/>
    <d v="2024-12-03T09:00:07"/>
    <x v="6"/>
    <x v="1"/>
    <x v="2"/>
    <n v="13304.08"/>
    <n v="507"/>
    <n v="7"/>
    <n v="39486.589999999997"/>
    <n v="2"/>
    <n v="4"/>
    <n v="2"/>
    <s v="242"/>
    <x v="0"/>
  </r>
  <r>
    <x v="194"/>
    <d v="2024-12-03T09:00:07"/>
    <x v="5"/>
    <x v="5"/>
    <x v="1"/>
    <n v="3726.17"/>
    <n v="507"/>
    <n v="9"/>
    <n v="56095.37999999999"/>
    <n v="2"/>
    <n v="2"/>
    <n v="1"/>
    <s v="221"/>
    <x v="1"/>
  </r>
  <r>
    <x v="48"/>
    <d v="2024-12-04T09:00:07"/>
    <x v="0"/>
    <x v="4"/>
    <x v="1"/>
    <n v="5583.04"/>
    <n v="506"/>
    <n v="11"/>
    <n v="37863.899999999994"/>
    <n v="2"/>
    <n v="1"/>
    <n v="2"/>
    <s v="212"/>
    <x v="1"/>
  </r>
  <r>
    <x v="290"/>
    <d v="2024-12-04T09:00:07"/>
    <x v="9"/>
    <x v="6"/>
    <x v="2"/>
    <n v="4308.3900000000003"/>
    <n v="506"/>
    <n v="6"/>
    <n v="21250.21"/>
    <n v="2"/>
    <n v="4"/>
    <n v="5"/>
    <s v="245"/>
    <x v="3"/>
  </r>
  <r>
    <x v="207"/>
    <d v="2024-12-04T09:00:07"/>
    <x v="8"/>
    <x v="4"/>
    <x v="2"/>
    <n v="3421.4"/>
    <n v="506"/>
    <n v="10"/>
    <n v="39681.960000000006"/>
    <n v="2"/>
    <n v="2"/>
    <n v="2"/>
    <s v="222"/>
    <x v="1"/>
  </r>
  <r>
    <x v="291"/>
    <d v="2024-12-05T09:00:07"/>
    <x v="6"/>
    <x v="2"/>
    <x v="1"/>
    <n v="5299.43"/>
    <n v="505"/>
    <n v="9"/>
    <n v="27888.809999999998"/>
    <n v="2"/>
    <n v="2"/>
    <n v="4"/>
    <s v="224"/>
    <x v="2"/>
  </r>
  <r>
    <x v="20"/>
    <d v="2024-12-05T09:00:07"/>
    <x v="0"/>
    <x v="2"/>
    <x v="2"/>
    <n v="2662.28"/>
    <n v="505"/>
    <n v="14"/>
    <n v="53433.220000000008"/>
    <n v="2"/>
    <n v="1"/>
    <n v="1"/>
    <s v="211"/>
    <x v="1"/>
  </r>
  <r>
    <x v="34"/>
    <d v="2024-12-05T09:00:07"/>
    <x v="4"/>
    <x v="6"/>
    <x v="1"/>
    <n v="2729.97"/>
    <n v="505"/>
    <n v="8"/>
    <n v="40213.310000000005"/>
    <n v="2"/>
    <n v="3"/>
    <n v="2"/>
    <s v="232"/>
    <x v="0"/>
  </r>
  <r>
    <x v="104"/>
    <d v="2024-12-06T09:00:07"/>
    <x v="8"/>
    <x v="1"/>
    <x v="1"/>
    <n v="7225.53"/>
    <n v="504"/>
    <n v="9"/>
    <n v="42109.760000000002"/>
    <n v="2"/>
    <n v="2"/>
    <n v="2"/>
    <s v="222"/>
    <x v="1"/>
  </r>
  <r>
    <x v="116"/>
    <d v="2024-12-06T09:00:07"/>
    <x v="1"/>
    <x v="3"/>
    <x v="2"/>
    <n v="8456.2900000000009"/>
    <n v="504"/>
    <n v="16"/>
    <n v="76962.720000000001"/>
    <n v="2"/>
    <n v="1"/>
    <n v="1"/>
    <s v="211"/>
    <x v="1"/>
  </r>
  <r>
    <x v="51"/>
    <d v="2024-12-06T09:00:07"/>
    <x v="5"/>
    <x v="0"/>
    <x v="2"/>
    <n v="965.17"/>
    <n v="504"/>
    <n v="8"/>
    <n v="32019.260000000006"/>
    <n v="2"/>
    <n v="3"/>
    <n v="3"/>
    <s v="233"/>
    <x v="3"/>
  </r>
  <r>
    <x v="232"/>
    <d v="2024-12-06T09:00:07"/>
    <x v="6"/>
    <x v="6"/>
    <x v="2"/>
    <n v="6279.67"/>
    <n v="504"/>
    <n v="12"/>
    <n v="42146.06"/>
    <n v="2"/>
    <n v="1"/>
    <n v="2"/>
    <s v="212"/>
    <x v="1"/>
  </r>
  <r>
    <x v="134"/>
    <d v="2024-12-06T09:00:07"/>
    <x v="7"/>
    <x v="3"/>
    <x v="1"/>
    <n v="3677.45"/>
    <n v="504"/>
    <n v="6"/>
    <n v="15936.029999999999"/>
    <n v="2"/>
    <n v="4"/>
    <n v="5"/>
    <s v="245"/>
    <x v="3"/>
  </r>
  <r>
    <x v="199"/>
    <d v="2024-12-06T09:00:07"/>
    <x v="7"/>
    <x v="6"/>
    <x v="0"/>
    <n v="1562.03"/>
    <n v="504"/>
    <n v="13"/>
    <n v="40298.450000000004"/>
    <n v="2"/>
    <n v="1"/>
    <n v="2"/>
    <s v="212"/>
    <x v="1"/>
  </r>
  <r>
    <x v="55"/>
    <d v="2024-12-06T09:00:07"/>
    <x v="5"/>
    <x v="1"/>
    <x v="1"/>
    <n v="790.41"/>
    <n v="504"/>
    <n v="12"/>
    <n v="42930.969999999994"/>
    <n v="2"/>
    <n v="1"/>
    <n v="2"/>
    <s v="212"/>
    <x v="1"/>
  </r>
  <r>
    <x v="353"/>
    <d v="2024-12-07T09:00:07"/>
    <x v="7"/>
    <x v="2"/>
    <x v="2"/>
    <n v="1968.59"/>
    <n v="503"/>
    <n v="6"/>
    <n v="30683.43"/>
    <n v="2"/>
    <n v="4"/>
    <n v="3"/>
    <s v="243"/>
    <x v="3"/>
  </r>
  <r>
    <x v="326"/>
    <d v="2024-12-07T09:00:07"/>
    <x v="6"/>
    <x v="5"/>
    <x v="2"/>
    <n v="4295.3100000000004"/>
    <n v="503"/>
    <n v="4"/>
    <n v="19178.5"/>
    <n v="2"/>
    <n v="5"/>
    <n v="5"/>
    <s v="255"/>
    <x v="3"/>
  </r>
  <r>
    <x v="239"/>
    <d v="2024-12-07T09:00:07"/>
    <x v="4"/>
    <x v="3"/>
    <x v="1"/>
    <n v="5087.13"/>
    <n v="503"/>
    <n v="5"/>
    <n v="18049.21"/>
    <n v="2"/>
    <n v="5"/>
    <n v="5"/>
    <s v="255"/>
    <x v="3"/>
  </r>
  <r>
    <x v="171"/>
    <d v="2024-12-07T09:00:07"/>
    <x v="7"/>
    <x v="3"/>
    <x v="2"/>
    <n v="5242.17"/>
    <n v="503"/>
    <n v="5"/>
    <n v="25493.58"/>
    <n v="2"/>
    <n v="5"/>
    <n v="4"/>
    <s v="254"/>
    <x v="3"/>
  </r>
  <r>
    <x v="354"/>
    <d v="2024-12-07T09:00:07"/>
    <x v="4"/>
    <x v="4"/>
    <x v="1"/>
    <n v="3516.13"/>
    <n v="503"/>
    <n v="5"/>
    <n v="19401.64"/>
    <n v="2"/>
    <n v="5"/>
    <n v="5"/>
    <s v="255"/>
    <x v="3"/>
  </r>
  <r>
    <x v="273"/>
    <d v="2024-12-08T09:00:07"/>
    <x v="2"/>
    <x v="0"/>
    <x v="1"/>
    <n v="11051.73"/>
    <n v="502"/>
    <n v="11"/>
    <n v="38976.650000000009"/>
    <n v="2"/>
    <n v="1"/>
    <n v="2"/>
    <s v="212"/>
    <x v="1"/>
  </r>
  <r>
    <x v="217"/>
    <d v="2024-12-08T09:00:07"/>
    <x v="5"/>
    <x v="4"/>
    <x v="2"/>
    <n v="4355.17"/>
    <n v="502"/>
    <n v="5"/>
    <n v="18557.84"/>
    <n v="2"/>
    <n v="5"/>
    <n v="5"/>
    <s v="255"/>
    <x v="3"/>
  </r>
  <r>
    <x v="355"/>
    <d v="2024-12-09T09:00:07"/>
    <x v="4"/>
    <x v="2"/>
    <x v="1"/>
    <n v="1792.37"/>
    <n v="501"/>
    <n v="3"/>
    <n v="5573.4400000000005"/>
    <n v="2"/>
    <n v="5"/>
    <n v="5"/>
    <s v="255"/>
    <x v="3"/>
  </r>
  <r>
    <x v="258"/>
    <d v="2024-12-09T09:00:07"/>
    <x v="2"/>
    <x v="6"/>
    <x v="1"/>
    <n v="3754.69"/>
    <n v="501"/>
    <n v="6"/>
    <n v="16588.13"/>
    <n v="2"/>
    <n v="4"/>
    <n v="5"/>
    <s v="245"/>
    <x v="3"/>
  </r>
  <r>
    <x v="356"/>
    <d v="2024-12-09T09:00:07"/>
    <x v="6"/>
    <x v="1"/>
    <x v="1"/>
    <n v="707.3"/>
    <n v="501"/>
    <n v="8"/>
    <n v="38016.57"/>
    <n v="2"/>
    <n v="3"/>
    <n v="2"/>
    <s v="232"/>
    <x v="0"/>
  </r>
  <r>
    <x v="267"/>
    <d v="2024-12-09T09:00:07"/>
    <x v="2"/>
    <x v="3"/>
    <x v="2"/>
    <n v="3257.06"/>
    <n v="501"/>
    <n v="8"/>
    <n v="37668.22"/>
    <n v="2"/>
    <n v="3"/>
    <n v="2"/>
    <s v="232"/>
    <x v="0"/>
  </r>
  <r>
    <x v="27"/>
    <d v="2024-12-10T09:00:07"/>
    <x v="4"/>
    <x v="6"/>
    <x v="2"/>
    <n v="1399.73"/>
    <n v="500"/>
    <n v="12"/>
    <n v="49930.359999999993"/>
    <n v="2"/>
    <n v="1"/>
    <n v="1"/>
    <s v="211"/>
    <x v="1"/>
  </r>
  <r>
    <x v="43"/>
    <d v="2024-12-11T09:00:07"/>
    <x v="7"/>
    <x v="5"/>
    <x v="1"/>
    <n v="1052.31"/>
    <n v="499"/>
    <n v="11"/>
    <n v="39674.43"/>
    <n v="2"/>
    <n v="1"/>
    <n v="2"/>
    <s v="212"/>
    <x v="1"/>
  </r>
  <r>
    <x v="44"/>
    <d v="2024-12-11T09:00:07"/>
    <x v="2"/>
    <x v="3"/>
    <x v="0"/>
    <n v="3757.85"/>
    <n v="499"/>
    <n v="8"/>
    <n v="28879.600000000002"/>
    <n v="2"/>
    <n v="3"/>
    <n v="4"/>
    <s v="234"/>
    <x v="3"/>
  </r>
  <r>
    <x v="294"/>
    <d v="2024-12-11T09:00:07"/>
    <x v="9"/>
    <x v="3"/>
    <x v="1"/>
    <n v="1389.92"/>
    <n v="499"/>
    <n v="8"/>
    <n v="30924.840000000004"/>
    <n v="2"/>
    <n v="3"/>
    <n v="3"/>
    <s v="233"/>
    <x v="3"/>
  </r>
  <r>
    <x v="357"/>
    <d v="2024-12-12T09:00:07"/>
    <x v="2"/>
    <x v="1"/>
    <x v="0"/>
    <n v="2147.6999999999998"/>
    <n v="498"/>
    <n v="2"/>
    <n v="8438.130000000001"/>
    <n v="2"/>
    <n v="5"/>
    <n v="5"/>
    <s v="255"/>
    <x v="3"/>
  </r>
  <r>
    <x v="302"/>
    <d v="2024-12-12T09:00:07"/>
    <x v="3"/>
    <x v="3"/>
    <x v="2"/>
    <n v="4411.46"/>
    <n v="498"/>
    <n v="10"/>
    <n v="47284.22"/>
    <n v="2"/>
    <n v="2"/>
    <n v="1"/>
    <s v="221"/>
    <x v="1"/>
  </r>
  <r>
    <x v="258"/>
    <d v="2024-12-12T09:00:07"/>
    <x v="1"/>
    <x v="4"/>
    <x v="2"/>
    <n v="2027.41"/>
    <n v="498"/>
    <n v="6"/>
    <n v="16588.13"/>
    <n v="2"/>
    <n v="4"/>
    <n v="5"/>
    <s v="245"/>
    <x v="3"/>
  </r>
  <r>
    <x v="148"/>
    <d v="2024-12-12T09:00:07"/>
    <x v="8"/>
    <x v="0"/>
    <x v="1"/>
    <n v="5222.54"/>
    <n v="498"/>
    <n v="6"/>
    <n v="27493.600000000002"/>
    <n v="2"/>
    <n v="4"/>
    <n v="4"/>
    <s v="244"/>
    <x v="3"/>
  </r>
  <r>
    <x v="209"/>
    <d v="2024-12-12T09:00:07"/>
    <x v="6"/>
    <x v="3"/>
    <x v="1"/>
    <n v="6101.69"/>
    <n v="498"/>
    <n v="11"/>
    <n v="43753.86"/>
    <n v="2"/>
    <n v="1"/>
    <n v="2"/>
    <s v="212"/>
    <x v="1"/>
  </r>
  <r>
    <x v="356"/>
    <d v="2024-12-13T09:00:07"/>
    <x v="3"/>
    <x v="5"/>
    <x v="0"/>
    <n v="8057.56"/>
    <n v="497"/>
    <n v="8"/>
    <n v="38016.57"/>
    <n v="2"/>
    <n v="3"/>
    <n v="2"/>
    <s v="232"/>
    <x v="0"/>
  </r>
  <r>
    <x v="169"/>
    <d v="2024-12-13T09:00:07"/>
    <x v="1"/>
    <x v="0"/>
    <x v="0"/>
    <n v="1228.21"/>
    <n v="497"/>
    <n v="10"/>
    <n v="28216.130000000005"/>
    <n v="2"/>
    <n v="2"/>
    <n v="4"/>
    <s v="224"/>
    <x v="2"/>
  </r>
  <r>
    <x v="27"/>
    <d v="2024-12-13T09:00:07"/>
    <x v="6"/>
    <x v="3"/>
    <x v="2"/>
    <n v="2474.96"/>
    <n v="497"/>
    <n v="12"/>
    <n v="49930.359999999993"/>
    <n v="2"/>
    <n v="1"/>
    <n v="1"/>
    <s v="211"/>
    <x v="1"/>
  </r>
  <r>
    <x v="318"/>
    <d v="2024-12-14T09:00:07"/>
    <x v="8"/>
    <x v="5"/>
    <x v="2"/>
    <n v="1527.05"/>
    <n v="496"/>
    <n v="11"/>
    <n v="30527.53"/>
    <n v="2"/>
    <n v="1"/>
    <n v="3"/>
    <s v="213"/>
    <x v="2"/>
  </r>
  <r>
    <x v="110"/>
    <d v="2024-12-14T09:00:07"/>
    <x v="5"/>
    <x v="3"/>
    <x v="0"/>
    <n v="5197.47"/>
    <n v="496"/>
    <n v="9"/>
    <n v="40117.730000000003"/>
    <n v="2"/>
    <n v="2"/>
    <n v="2"/>
    <s v="222"/>
    <x v="1"/>
  </r>
  <r>
    <x v="207"/>
    <d v="2024-12-14T09:00:07"/>
    <x v="6"/>
    <x v="5"/>
    <x v="2"/>
    <n v="2688"/>
    <n v="496"/>
    <n v="10"/>
    <n v="39681.960000000006"/>
    <n v="2"/>
    <n v="2"/>
    <n v="2"/>
    <s v="222"/>
    <x v="1"/>
  </r>
  <r>
    <x v="274"/>
    <d v="2024-12-14T09:00:07"/>
    <x v="6"/>
    <x v="5"/>
    <x v="0"/>
    <n v="3807.56"/>
    <n v="496"/>
    <n v="11"/>
    <n v="73437.08"/>
    <n v="2"/>
    <n v="1"/>
    <n v="1"/>
    <s v="211"/>
    <x v="1"/>
  </r>
  <r>
    <x v="45"/>
    <d v="2024-12-14T09:00:07"/>
    <x v="3"/>
    <x v="3"/>
    <x v="2"/>
    <n v="398.99"/>
    <n v="496"/>
    <n v="10"/>
    <n v="50122.659999999996"/>
    <n v="2"/>
    <n v="2"/>
    <n v="1"/>
    <s v="221"/>
    <x v="1"/>
  </r>
  <r>
    <x v="65"/>
    <d v="2024-12-14T09:00:07"/>
    <x v="0"/>
    <x v="3"/>
    <x v="2"/>
    <n v="5598.18"/>
    <n v="496"/>
    <n v="12"/>
    <n v="46195.360000000001"/>
    <n v="2"/>
    <n v="1"/>
    <n v="1"/>
    <s v="211"/>
    <x v="1"/>
  </r>
  <r>
    <x v="296"/>
    <d v="2024-12-14T09:00:07"/>
    <x v="4"/>
    <x v="1"/>
    <x v="0"/>
    <n v="3352.2"/>
    <n v="496"/>
    <n v="3"/>
    <n v="7274.86"/>
    <n v="2"/>
    <n v="5"/>
    <n v="5"/>
    <s v="255"/>
    <x v="3"/>
  </r>
  <r>
    <x v="193"/>
    <d v="2024-12-15T09:00:07"/>
    <x v="5"/>
    <x v="4"/>
    <x v="0"/>
    <n v="3968.97"/>
    <n v="495"/>
    <n v="10"/>
    <n v="54972.43"/>
    <n v="2"/>
    <n v="2"/>
    <n v="1"/>
    <s v="221"/>
    <x v="1"/>
  </r>
  <r>
    <x v="106"/>
    <d v="2024-12-15T09:00:07"/>
    <x v="3"/>
    <x v="5"/>
    <x v="1"/>
    <n v="2486.9299999999998"/>
    <n v="495"/>
    <n v="9"/>
    <n v="33349.999999999993"/>
    <n v="2"/>
    <n v="2"/>
    <n v="3"/>
    <s v="223"/>
    <x v="2"/>
  </r>
  <r>
    <x v="241"/>
    <d v="2024-12-16T09:00:07"/>
    <x v="3"/>
    <x v="0"/>
    <x v="2"/>
    <n v="7000.92"/>
    <n v="494"/>
    <n v="12"/>
    <n v="43413.4"/>
    <n v="2"/>
    <n v="1"/>
    <n v="2"/>
    <s v="212"/>
    <x v="1"/>
  </r>
  <r>
    <x v="152"/>
    <d v="2024-12-16T09:00:07"/>
    <x v="7"/>
    <x v="2"/>
    <x v="2"/>
    <n v="13218.86"/>
    <n v="494"/>
    <n v="9"/>
    <n v="39366.480000000003"/>
    <n v="2"/>
    <n v="2"/>
    <n v="2"/>
    <s v="222"/>
    <x v="1"/>
  </r>
  <r>
    <x v="124"/>
    <d v="2024-12-16T09:00:07"/>
    <x v="6"/>
    <x v="0"/>
    <x v="1"/>
    <n v="4859.99"/>
    <n v="494"/>
    <n v="11"/>
    <n v="43078.749999999993"/>
    <n v="2"/>
    <n v="1"/>
    <n v="2"/>
    <s v="212"/>
    <x v="1"/>
  </r>
  <r>
    <x v="111"/>
    <d v="2024-12-16T09:00:07"/>
    <x v="6"/>
    <x v="4"/>
    <x v="2"/>
    <n v="4940.2"/>
    <n v="494"/>
    <n v="7"/>
    <n v="47955.99"/>
    <n v="2"/>
    <n v="4"/>
    <n v="1"/>
    <s v="241"/>
    <x v="0"/>
  </r>
  <r>
    <x v="32"/>
    <d v="2024-12-16T09:00:07"/>
    <x v="6"/>
    <x v="4"/>
    <x v="1"/>
    <n v="3730.44"/>
    <n v="494"/>
    <n v="13"/>
    <n v="40402.14"/>
    <n v="2"/>
    <n v="1"/>
    <n v="2"/>
    <s v="212"/>
    <x v="1"/>
  </r>
  <r>
    <x v="338"/>
    <d v="2024-12-16T09:00:07"/>
    <x v="6"/>
    <x v="4"/>
    <x v="1"/>
    <n v="3987.39"/>
    <n v="494"/>
    <n v="6"/>
    <n v="19997.589999999997"/>
    <n v="2"/>
    <n v="4"/>
    <n v="5"/>
    <s v="245"/>
    <x v="3"/>
  </r>
  <r>
    <x v="209"/>
    <d v="2024-12-16T09:00:07"/>
    <x v="7"/>
    <x v="6"/>
    <x v="0"/>
    <n v="5881.66"/>
    <n v="494"/>
    <n v="11"/>
    <n v="43753.86"/>
    <n v="2"/>
    <n v="1"/>
    <n v="2"/>
    <s v="212"/>
    <x v="1"/>
  </r>
  <r>
    <x v="206"/>
    <d v="2024-12-16T09:00:07"/>
    <x v="4"/>
    <x v="0"/>
    <x v="0"/>
    <n v="9640.73"/>
    <n v="494"/>
    <n v="5"/>
    <n v="19562.71"/>
    <n v="2"/>
    <n v="5"/>
    <n v="5"/>
    <s v="255"/>
    <x v="3"/>
  </r>
  <r>
    <x v="308"/>
    <d v="2024-12-17T09:00:07"/>
    <x v="9"/>
    <x v="6"/>
    <x v="1"/>
    <n v="2676.32"/>
    <n v="493"/>
    <n v="9"/>
    <n v="34800.239999999998"/>
    <n v="2"/>
    <n v="2"/>
    <n v="3"/>
    <s v="223"/>
    <x v="2"/>
  </r>
  <r>
    <x v="250"/>
    <d v="2024-12-17T09:00:07"/>
    <x v="8"/>
    <x v="1"/>
    <x v="2"/>
    <n v="2596.81"/>
    <n v="493"/>
    <n v="7"/>
    <n v="27512.969999999998"/>
    <n v="2"/>
    <n v="4"/>
    <n v="4"/>
    <s v="244"/>
    <x v="3"/>
  </r>
  <r>
    <x v="307"/>
    <d v="2024-12-17T09:00:07"/>
    <x v="4"/>
    <x v="1"/>
    <x v="2"/>
    <n v="1490.78"/>
    <n v="493"/>
    <n v="9"/>
    <n v="39434.269999999997"/>
    <n v="2"/>
    <n v="2"/>
    <n v="2"/>
    <s v="222"/>
    <x v="1"/>
  </r>
  <r>
    <x v="57"/>
    <d v="2024-12-18T09:00:07"/>
    <x v="7"/>
    <x v="6"/>
    <x v="2"/>
    <n v="4048.75"/>
    <n v="492"/>
    <n v="16"/>
    <n v="58237.360000000008"/>
    <n v="2"/>
    <n v="1"/>
    <n v="1"/>
    <s v="211"/>
    <x v="1"/>
  </r>
  <r>
    <x v="358"/>
    <d v="2024-12-18T09:00:07"/>
    <x v="8"/>
    <x v="6"/>
    <x v="0"/>
    <n v="3864.77"/>
    <n v="492"/>
    <n v="6"/>
    <n v="21369.009999999995"/>
    <n v="2"/>
    <n v="4"/>
    <n v="5"/>
    <s v="245"/>
    <x v="3"/>
  </r>
  <r>
    <x v="160"/>
    <d v="2024-12-18T09:00:07"/>
    <x v="0"/>
    <x v="6"/>
    <x v="0"/>
    <n v="5289.78"/>
    <n v="492"/>
    <n v="9"/>
    <n v="37215.54"/>
    <n v="2"/>
    <n v="2"/>
    <n v="2"/>
    <s v="222"/>
    <x v="1"/>
  </r>
  <r>
    <x v="359"/>
    <d v="2024-12-18T09:00:07"/>
    <x v="0"/>
    <x v="1"/>
    <x v="2"/>
    <n v="1461.76"/>
    <n v="492"/>
    <n v="3"/>
    <n v="6049.44"/>
    <n v="2"/>
    <n v="5"/>
    <n v="5"/>
    <s v="255"/>
    <x v="3"/>
  </r>
  <r>
    <x v="360"/>
    <d v="2024-12-18T09:00:07"/>
    <x v="9"/>
    <x v="4"/>
    <x v="0"/>
    <n v="6015.21"/>
    <n v="492"/>
    <n v="3"/>
    <n v="11089.06"/>
    <n v="2"/>
    <n v="5"/>
    <n v="5"/>
    <s v="255"/>
    <x v="3"/>
  </r>
  <r>
    <x v="46"/>
    <d v="2024-12-18T09:00:07"/>
    <x v="7"/>
    <x v="6"/>
    <x v="2"/>
    <n v="3277.08"/>
    <n v="492"/>
    <n v="8"/>
    <n v="30848.15"/>
    <n v="2"/>
    <n v="3"/>
    <n v="3"/>
    <s v="233"/>
    <x v="3"/>
  </r>
  <r>
    <x v="201"/>
    <d v="2024-12-18T09:00:07"/>
    <x v="5"/>
    <x v="3"/>
    <x v="1"/>
    <n v="6102.35"/>
    <n v="492"/>
    <n v="9"/>
    <n v="44812.989999999991"/>
    <n v="2"/>
    <n v="2"/>
    <n v="2"/>
    <s v="222"/>
    <x v="1"/>
  </r>
  <r>
    <x v="329"/>
    <d v="2024-12-19T09:00:07"/>
    <x v="9"/>
    <x v="0"/>
    <x v="1"/>
    <n v="2434.0100000000002"/>
    <n v="491"/>
    <n v="8"/>
    <n v="29767.75"/>
    <n v="2"/>
    <n v="3"/>
    <n v="3"/>
    <s v="233"/>
    <x v="3"/>
  </r>
  <r>
    <x v="361"/>
    <d v="2024-12-19T09:00:07"/>
    <x v="3"/>
    <x v="2"/>
    <x v="2"/>
    <n v="720.34"/>
    <n v="491"/>
    <n v="6"/>
    <n v="16743.59"/>
    <n v="2"/>
    <n v="4"/>
    <n v="5"/>
    <s v="245"/>
    <x v="3"/>
  </r>
  <r>
    <x v="199"/>
    <d v="2024-12-20T09:00:07"/>
    <x v="2"/>
    <x v="4"/>
    <x v="0"/>
    <n v="11256.17"/>
    <n v="490"/>
    <n v="13"/>
    <n v="40298.450000000004"/>
    <n v="2"/>
    <n v="1"/>
    <n v="2"/>
    <s v="212"/>
    <x v="1"/>
  </r>
  <r>
    <x v="300"/>
    <d v="2024-12-20T09:00:07"/>
    <x v="7"/>
    <x v="0"/>
    <x v="1"/>
    <n v="3045.13"/>
    <n v="490"/>
    <n v="6"/>
    <n v="12410.619999999999"/>
    <n v="2"/>
    <n v="4"/>
    <n v="5"/>
    <s v="245"/>
    <x v="3"/>
  </r>
  <r>
    <x v="280"/>
    <d v="2024-12-21T09:00:07"/>
    <x v="5"/>
    <x v="1"/>
    <x v="2"/>
    <n v="1283.67"/>
    <n v="489"/>
    <n v="16"/>
    <n v="64716.249999999985"/>
    <n v="2"/>
    <n v="1"/>
    <n v="1"/>
    <s v="211"/>
    <x v="1"/>
  </r>
  <r>
    <x v="322"/>
    <d v="2024-12-21T09:00:07"/>
    <x v="6"/>
    <x v="1"/>
    <x v="1"/>
    <n v="3026.25"/>
    <n v="489"/>
    <n v="10"/>
    <n v="36855.5"/>
    <n v="2"/>
    <n v="2"/>
    <n v="2"/>
    <s v="222"/>
    <x v="1"/>
  </r>
  <r>
    <x v="20"/>
    <d v="2024-12-21T09:00:07"/>
    <x v="5"/>
    <x v="6"/>
    <x v="0"/>
    <n v="3122.17"/>
    <n v="489"/>
    <n v="14"/>
    <n v="53433.220000000008"/>
    <n v="2"/>
    <n v="1"/>
    <n v="1"/>
    <s v="211"/>
    <x v="1"/>
  </r>
  <r>
    <x v="95"/>
    <d v="2024-12-22T09:00:07"/>
    <x v="5"/>
    <x v="5"/>
    <x v="2"/>
    <n v="1632.95"/>
    <n v="488"/>
    <n v="6"/>
    <n v="16595.620000000003"/>
    <n v="2"/>
    <n v="4"/>
    <n v="5"/>
    <s v="245"/>
    <x v="3"/>
  </r>
  <r>
    <x v="362"/>
    <d v="2024-12-23T09:00:07"/>
    <x v="6"/>
    <x v="1"/>
    <x v="2"/>
    <n v="8078.08"/>
    <n v="487"/>
    <n v="6"/>
    <n v="21995.52"/>
    <n v="2"/>
    <n v="4"/>
    <n v="4"/>
    <s v="244"/>
    <x v="3"/>
  </r>
  <r>
    <x v="111"/>
    <d v="2024-12-24T09:00:07"/>
    <x v="6"/>
    <x v="3"/>
    <x v="1"/>
    <n v="5265.08"/>
    <n v="486"/>
    <n v="7"/>
    <n v="47955.99"/>
    <n v="2"/>
    <n v="4"/>
    <n v="1"/>
    <s v="241"/>
    <x v="0"/>
  </r>
  <r>
    <x v="121"/>
    <d v="2024-12-24T09:00:07"/>
    <x v="2"/>
    <x v="1"/>
    <x v="1"/>
    <n v="641.62"/>
    <n v="486"/>
    <n v="7"/>
    <n v="29497.360000000001"/>
    <n v="2"/>
    <n v="4"/>
    <n v="3"/>
    <s v="243"/>
    <x v="3"/>
  </r>
  <r>
    <x v="176"/>
    <d v="2024-12-24T09:00:07"/>
    <x v="5"/>
    <x v="0"/>
    <x v="0"/>
    <n v="4873.67"/>
    <n v="486"/>
    <n v="9"/>
    <n v="48978.57"/>
    <n v="2"/>
    <n v="2"/>
    <n v="1"/>
    <s v="221"/>
    <x v="1"/>
  </r>
  <r>
    <x v="248"/>
    <d v="2024-12-24T09:00:07"/>
    <x v="8"/>
    <x v="4"/>
    <x v="0"/>
    <n v="1519.1"/>
    <n v="486"/>
    <n v="8"/>
    <n v="34167.589999999997"/>
    <n v="2"/>
    <n v="3"/>
    <n v="3"/>
    <s v="233"/>
    <x v="3"/>
  </r>
  <r>
    <x v="272"/>
    <d v="2024-12-24T09:00:07"/>
    <x v="5"/>
    <x v="4"/>
    <x v="0"/>
    <n v="4247.1000000000004"/>
    <n v="486"/>
    <n v="13"/>
    <n v="49471.75"/>
    <n v="2"/>
    <n v="1"/>
    <n v="1"/>
    <s v="211"/>
    <x v="1"/>
  </r>
  <r>
    <x v="170"/>
    <d v="2024-12-24T09:00:07"/>
    <x v="9"/>
    <x v="1"/>
    <x v="0"/>
    <n v="3312.71"/>
    <n v="486"/>
    <n v="7"/>
    <n v="33514.49"/>
    <n v="2"/>
    <n v="4"/>
    <n v="3"/>
    <s v="243"/>
    <x v="3"/>
  </r>
  <r>
    <x v="363"/>
    <d v="2024-12-25T09:00:07"/>
    <x v="0"/>
    <x v="3"/>
    <x v="0"/>
    <n v="3414.28"/>
    <n v="485"/>
    <n v="10"/>
    <n v="29994.030000000002"/>
    <n v="2"/>
    <n v="2"/>
    <n v="3"/>
    <s v="223"/>
    <x v="2"/>
  </r>
  <r>
    <x v="57"/>
    <d v="2024-12-25T09:00:07"/>
    <x v="7"/>
    <x v="4"/>
    <x v="0"/>
    <n v="4276.88"/>
    <n v="485"/>
    <n v="16"/>
    <n v="58237.360000000008"/>
    <n v="2"/>
    <n v="1"/>
    <n v="1"/>
    <s v="211"/>
    <x v="1"/>
  </r>
  <r>
    <x v="129"/>
    <d v="2024-12-26T09:00:07"/>
    <x v="9"/>
    <x v="1"/>
    <x v="1"/>
    <n v="1940.59"/>
    <n v="484"/>
    <n v="9"/>
    <n v="30288.86"/>
    <n v="2"/>
    <n v="2"/>
    <n v="3"/>
    <s v="223"/>
    <x v="2"/>
  </r>
  <r>
    <x v="32"/>
    <d v="2024-12-26T09:00:07"/>
    <x v="7"/>
    <x v="1"/>
    <x v="2"/>
    <n v="4549.16"/>
    <n v="484"/>
    <n v="13"/>
    <n v="40402.14"/>
    <n v="2"/>
    <n v="1"/>
    <n v="2"/>
    <s v="212"/>
    <x v="1"/>
  </r>
  <r>
    <x v="324"/>
    <d v="2024-12-26T09:00:07"/>
    <x v="4"/>
    <x v="5"/>
    <x v="1"/>
    <n v="5577.82"/>
    <n v="484"/>
    <n v="8"/>
    <n v="31330.839999999997"/>
    <n v="2"/>
    <n v="3"/>
    <n v="3"/>
    <s v="233"/>
    <x v="3"/>
  </r>
  <r>
    <x v="339"/>
    <d v="2024-12-26T09:00:07"/>
    <x v="6"/>
    <x v="1"/>
    <x v="1"/>
    <n v="4797.13"/>
    <n v="484"/>
    <n v="5"/>
    <n v="19731.25"/>
    <n v="2"/>
    <n v="5"/>
    <n v="5"/>
    <s v="255"/>
    <x v="3"/>
  </r>
  <r>
    <x v="48"/>
    <d v="2024-12-26T09:00:07"/>
    <x v="7"/>
    <x v="6"/>
    <x v="2"/>
    <n v="989.86"/>
    <n v="484"/>
    <n v="11"/>
    <n v="37863.899999999994"/>
    <n v="2"/>
    <n v="1"/>
    <n v="2"/>
    <s v="212"/>
    <x v="1"/>
  </r>
  <r>
    <x v="157"/>
    <d v="2024-12-26T09:00:07"/>
    <x v="5"/>
    <x v="4"/>
    <x v="1"/>
    <n v="7779.86"/>
    <n v="484"/>
    <n v="7"/>
    <n v="24873.88"/>
    <n v="2"/>
    <n v="4"/>
    <n v="4"/>
    <s v="244"/>
    <x v="3"/>
  </r>
  <r>
    <x v="364"/>
    <d v="2024-12-26T09:00:07"/>
    <x v="6"/>
    <x v="2"/>
    <x v="2"/>
    <n v="6503.76"/>
    <n v="484"/>
    <n v="5"/>
    <n v="21171.439999999999"/>
    <n v="2"/>
    <n v="5"/>
    <n v="5"/>
    <s v="255"/>
    <x v="3"/>
  </r>
  <r>
    <x v="173"/>
    <d v="2024-12-26T09:00:07"/>
    <x v="1"/>
    <x v="5"/>
    <x v="1"/>
    <n v="3338.16"/>
    <n v="484"/>
    <n v="7"/>
    <n v="22005.660000000003"/>
    <n v="2"/>
    <n v="4"/>
    <n v="4"/>
    <s v="244"/>
    <x v="3"/>
  </r>
  <r>
    <x v="75"/>
    <d v="2024-12-26T09:00:07"/>
    <x v="4"/>
    <x v="3"/>
    <x v="2"/>
    <n v="5731.09"/>
    <n v="484"/>
    <n v="9"/>
    <n v="37864.199999999997"/>
    <n v="2"/>
    <n v="2"/>
    <n v="2"/>
    <s v="222"/>
    <x v="1"/>
  </r>
  <r>
    <x v="245"/>
    <d v="2024-12-27T09:00:07"/>
    <x v="7"/>
    <x v="3"/>
    <x v="2"/>
    <n v="715.9"/>
    <n v="483"/>
    <n v="4"/>
    <n v="13595.329999999998"/>
    <n v="2"/>
    <n v="5"/>
    <n v="5"/>
    <s v="255"/>
    <x v="3"/>
  </r>
  <r>
    <x v="341"/>
    <d v="2024-12-27T09:00:07"/>
    <x v="4"/>
    <x v="3"/>
    <x v="1"/>
    <n v="8565.9500000000007"/>
    <n v="483"/>
    <n v="11"/>
    <n v="59377.640000000014"/>
    <n v="2"/>
    <n v="1"/>
    <n v="1"/>
    <s v="211"/>
    <x v="1"/>
  </r>
  <r>
    <x v="14"/>
    <d v="2024-12-27T09:00:07"/>
    <x v="5"/>
    <x v="0"/>
    <x v="1"/>
    <n v="1677.47"/>
    <n v="483"/>
    <n v="13"/>
    <n v="40219.18"/>
    <n v="2"/>
    <n v="1"/>
    <n v="2"/>
    <s v="212"/>
    <x v="1"/>
  </r>
  <r>
    <x v="135"/>
    <d v="2024-12-27T09:00:07"/>
    <x v="7"/>
    <x v="0"/>
    <x v="2"/>
    <n v="7945.62"/>
    <n v="483"/>
    <n v="9"/>
    <n v="34982.139999999992"/>
    <n v="2"/>
    <n v="2"/>
    <n v="3"/>
    <s v="223"/>
    <x v="2"/>
  </r>
  <r>
    <x v="331"/>
    <d v="2024-12-27T09:00:07"/>
    <x v="5"/>
    <x v="2"/>
    <x v="1"/>
    <n v="3226.8"/>
    <n v="483"/>
    <n v="9"/>
    <n v="45883.96"/>
    <n v="2"/>
    <n v="2"/>
    <n v="1"/>
    <s v="221"/>
    <x v="1"/>
  </r>
  <r>
    <x v="74"/>
    <d v="2024-12-27T09:00:07"/>
    <x v="6"/>
    <x v="2"/>
    <x v="1"/>
    <n v="4992.54"/>
    <n v="483"/>
    <n v="8"/>
    <n v="28309.71"/>
    <n v="2"/>
    <n v="3"/>
    <n v="4"/>
    <s v="234"/>
    <x v="3"/>
  </r>
  <r>
    <x v="61"/>
    <d v="2024-12-28T09:00:07"/>
    <x v="0"/>
    <x v="2"/>
    <x v="1"/>
    <n v="5769.52"/>
    <n v="482"/>
    <n v="11"/>
    <n v="52771.959999999992"/>
    <n v="2"/>
    <n v="1"/>
    <n v="1"/>
    <s v="211"/>
    <x v="1"/>
  </r>
  <r>
    <x v="224"/>
    <d v="2024-12-29T09:00:07"/>
    <x v="2"/>
    <x v="3"/>
    <x v="2"/>
    <n v="1018.46"/>
    <n v="481"/>
    <n v="8"/>
    <n v="28833.759999999998"/>
    <n v="2"/>
    <n v="3"/>
    <n v="4"/>
    <s v="234"/>
    <x v="3"/>
  </r>
  <r>
    <x v="250"/>
    <d v="2024-12-29T09:00:07"/>
    <x v="8"/>
    <x v="0"/>
    <x v="0"/>
    <n v="3330.36"/>
    <n v="481"/>
    <n v="7"/>
    <n v="27512.969999999998"/>
    <n v="2"/>
    <n v="4"/>
    <n v="4"/>
    <s v="244"/>
    <x v="3"/>
  </r>
  <r>
    <x v="110"/>
    <d v="2024-12-29T09:00:07"/>
    <x v="9"/>
    <x v="4"/>
    <x v="0"/>
    <n v="1384.75"/>
    <n v="481"/>
    <n v="9"/>
    <n v="40117.730000000003"/>
    <n v="2"/>
    <n v="2"/>
    <n v="2"/>
    <s v="222"/>
    <x v="1"/>
  </r>
  <r>
    <x v="365"/>
    <d v="2024-12-29T09:00:07"/>
    <x v="0"/>
    <x v="6"/>
    <x v="2"/>
    <n v="1533.78"/>
    <n v="481"/>
    <n v="6"/>
    <n v="25394.229999999996"/>
    <n v="2"/>
    <n v="4"/>
    <n v="4"/>
    <s v="244"/>
    <x v="3"/>
  </r>
  <r>
    <x v="178"/>
    <d v="2024-12-29T09:00:07"/>
    <x v="5"/>
    <x v="3"/>
    <x v="1"/>
    <n v="6088.51"/>
    <n v="481"/>
    <n v="4"/>
    <n v="12855.77"/>
    <n v="2"/>
    <n v="5"/>
    <n v="5"/>
    <s v="255"/>
    <x v="3"/>
  </r>
  <r>
    <x v="166"/>
    <d v="2024-12-30T09:00:07"/>
    <x v="3"/>
    <x v="4"/>
    <x v="2"/>
    <n v="3569.86"/>
    <n v="480"/>
    <n v="7"/>
    <n v="28777.9"/>
    <n v="2"/>
    <n v="4"/>
    <n v="4"/>
    <s v="244"/>
    <x v="3"/>
  </r>
  <r>
    <x v="87"/>
    <d v="2024-12-30T09:00:07"/>
    <x v="5"/>
    <x v="6"/>
    <x v="0"/>
    <n v="6269.78"/>
    <n v="480"/>
    <n v="13"/>
    <n v="72511.88"/>
    <n v="2"/>
    <n v="1"/>
    <n v="1"/>
    <s v="211"/>
    <x v="1"/>
  </r>
  <r>
    <x v="200"/>
    <d v="2024-12-30T09:00:07"/>
    <x v="6"/>
    <x v="5"/>
    <x v="2"/>
    <n v="5514.57"/>
    <n v="480"/>
    <n v="5"/>
    <n v="20246.7"/>
    <n v="2"/>
    <n v="5"/>
    <n v="5"/>
    <s v="255"/>
    <x v="3"/>
  </r>
  <r>
    <x v="223"/>
    <d v="2024-12-31T09:00:07"/>
    <x v="7"/>
    <x v="3"/>
    <x v="2"/>
    <n v="494.94"/>
    <n v="479"/>
    <n v="9"/>
    <n v="26752.640000000003"/>
    <n v="2"/>
    <n v="2"/>
    <n v="4"/>
    <s v="224"/>
    <x v="2"/>
  </r>
  <r>
    <x v="231"/>
    <d v="2024-12-31T09:00:07"/>
    <x v="0"/>
    <x v="1"/>
    <x v="2"/>
    <n v="5130.17"/>
    <n v="479"/>
    <n v="9"/>
    <n v="40711.57"/>
    <n v="2"/>
    <n v="2"/>
    <n v="2"/>
    <s v="222"/>
    <x v="1"/>
  </r>
  <r>
    <x v="71"/>
    <d v="2024-12-31T09:00:07"/>
    <x v="8"/>
    <x v="5"/>
    <x v="0"/>
    <n v="4651.29"/>
    <n v="479"/>
    <n v="10"/>
    <n v="49420.710000000006"/>
    <n v="2"/>
    <n v="2"/>
    <n v="1"/>
    <s v="221"/>
    <x v="1"/>
  </r>
  <r>
    <x v="268"/>
    <d v="2024-12-31T09:00:07"/>
    <x v="0"/>
    <x v="1"/>
    <x v="2"/>
    <n v="3094.98"/>
    <n v="479"/>
    <n v="8"/>
    <n v="22978.19"/>
    <n v="2"/>
    <n v="3"/>
    <n v="4"/>
    <s v="234"/>
    <x v="3"/>
  </r>
  <r>
    <x v="198"/>
    <d v="2025-01-01T09:00:07"/>
    <x v="7"/>
    <x v="5"/>
    <x v="2"/>
    <n v="4436.8100000000004"/>
    <n v="478"/>
    <n v="9"/>
    <n v="30846.7"/>
    <n v="2"/>
    <n v="2"/>
    <n v="3"/>
    <s v="223"/>
    <x v="2"/>
  </r>
  <r>
    <x v="6"/>
    <d v="2025-01-01T09:00:07"/>
    <x v="0"/>
    <x v="5"/>
    <x v="1"/>
    <n v="4598.88"/>
    <n v="478"/>
    <n v="7"/>
    <n v="32953.599999999999"/>
    <n v="2"/>
    <n v="4"/>
    <n v="3"/>
    <s v="243"/>
    <x v="3"/>
  </r>
  <r>
    <x v="280"/>
    <d v="2025-01-02T09:00:07"/>
    <x v="7"/>
    <x v="6"/>
    <x v="2"/>
    <n v="6628.2"/>
    <n v="477"/>
    <n v="16"/>
    <n v="64716.249999999985"/>
    <n v="2"/>
    <n v="1"/>
    <n v="1"/>
    <s v="211"/>
    <x v="1"/>
  </r>
  <r>
    <x v="254"/>
    <d v="2025-01-02T09:00:07"/>
    <x v="0"/>
    <x v="2"/>
    <x v="2"/>
    <n v="2719.02"/>
    <n v="477"/>
    <n v="5"/>
    <n v="24865.420000000002"/>
    <n v="2"/>
    <n v="5"/>
    <n v="4"/>
    <s v="254"/>
    <x v="3"/>
  </r>
  <r>
    <x v="366"/>
    <d v="2025-01-02T09:00:07"/>
    <x v="5"/>
    <x v="2"/>
    <x v="2"/>
    <n v="8628.0400000000009"/>
    <n v="477"/>
    <n v="4"/>
    <n v="16880.16"/>
    <n v="2"/>
    <n v="5"/>
    <n v="5"/>
    <s v="255"/>
    <x v="3"/>
  </r>
  <r>
    <x v="137"/>
    <d v="2025-01-02T09:00:07"/>
    <x v="5"/>
    <x v="2"/>
    <x v="2"/>
    <n v="7953.45"/>
    <n v="477"/>
    <n v="3"/>
    <n v="17686.849999999999"/>
    <n v="2"/>
    <n v="5"/>
    <n v="5"/>
    <s v="255"/>
    <x v="3"/>
  </r>
  <r>
    <x v="283"/>
    <d v="2025-01-03T09:00:07"/>
    <x v="6"/>
    <x v="6"/>
    <x v="0"/>
    <n v="1894.72"/>
    <n v="476"/>
    <n v="7"/>
    <n v="38080.880000000005"/>
    <n v="2"/>
    <n v="4"/>
    <n v="2"/>
    <s v="242"/>
    <x v="0"/>
  </r>
  <r>
    <x v="203"/>
    <d v="2025-01-03T09:00:07"/>
    <x v="5"/>
    <x v="2"/>
    <x v="0"/>
    <n v="2473.7800000000002"/>
    <n v="476"/>
    <n v="7"/>
    <n v="24539.160000000003"/>
    <n v="2"/>
    <n v="4"/>
    <n v="4"/>
    <s v="244"/>
    <x v="3"/>
  </r>
  <r>
    <x v="324"/>
    <d v="2025-01-03T09:00:07"/>
    <x v="6"/>
    <x v="5"/>
    <x v="2"/>
    <n v="3684.99"/>
    <n v="476"/>
    <n v="8"/>
    <n v="31330.839999999997"/>
    <n v="2"/>
    <n v="3"/>
    <n v="3"/>
    <s v="233"/>
    <x v="3"/>
  </r>
  <r>
    <x v="42"/>
    <d v="2025-01-04T09:00:07"/>
    <x v="2"/>
    <x v="1"/>
    <x v="1"/>
    <n v="6088.06"/>
    <n v="475"/>
    <n v="6"/>
    <n v="32030.929999999997"/>
    <n v="2"/>
    <n v="4"/>
    <n v="3"/>
    <s v="243"/>
    <x v="3"/>
  </r>
  <r>
    <x v="44"/>
    <d v="2025-01-04T09:00:07"/>
    <x v="3"/>
    <x v="3"/>
    <x v="2"/>
    <n v="1047.77"/>
    <n v="475"/>
    <n v="8"/>
    <n v="28879.600000000002"/>
    <n v="2"/>
    <n v="3"/>
    <n v="4"/>
    <s v="234"/>
    <x v="3"/>
  </r>
  <r>
    <x v="55"/>
    <d v="2025-01-04T09:00:07"/>
    <x v="6"/>
    <x v="4"/>
    <x v="1"/>
    <n v="3022.4"/>
    <n v="475"/>
    <n v="12"/>
    <n v="42930.969999999994"/>
    <n v="2"/>
    <n v="1"/>
    <n v="2"/>
    <s v="212"/>
    <x v="1"/>
  </r>
  <r>
    <x v="367"/>
    <d v="2025-01-04T09:00:07"/>
    <x v="4"/>
    <x v="1"/>
    <x v="0"/>
    <n v="3122.12"/>
    <n v="475"/>
    <n v="5"/>
    <n v="21621.77"/>
    <n v="2"/>
    <n v="5"/>
    <n v="5"/>
    <s v="255"/>
    <x v="3"/>
  </r>
  <r>
    <x v="158"/>
    <d v="2025-01-04T09:00:07"/>
    <x v="9"/>
    <x v="2"/>
    <x v="1"/>
    <n v="6090.06"/>
    <n v="475"/>
    <n v="9"/>
    <n v="36713.85"/>
    <n v="2"/>
    <n v="2"/>
    <n v="3"/>
    <s v="223"/>
    <x v="2"/>
  </r>
  <r>
    <x v="113"/>
    <d v="2025-01-05T09:00:07"/>
    <x v="1"/>
    <x v="4"/>
    <x v="1"/>
    <n v="2023.36"/>
    <n v="474"/>
    <n v="10"/>
    <n v="41704.25"/>
    <n v="2"/>
    <n v="2"/>
    <n v="2"/>
    <s v="222"/>
    <x v="1"/>
  </r>
  <r>
    <x v="255"/>
    <d v="2025-01-06T09:00:07"/>
    <x v="1"/>
    <x v="6"/>
    <x v="0"/>
    <n v="3070.44"/>
    <n v="473"/>
    <n v="8"/>
    <n v="31675.43"/>
    <n v="2"/>
    <n v="3"/>
    <n v="3"/>
    <s v="233"/>
    <x v="3"/>
  </r>
  <r>
    <x v="197"/>
    <d v="2025-01-06T09:00:07"/>
    <x v="8"/>
    <x v="2"/>
    <x v="2"/>
    <n v="3344.96"/>
    <n v="473"/>
    <n v="7"/>
    <n v="27796.990000000005"/>
    <n v="2"/>
    <n v="4"/>
    <n v="4"/>
    <s v="244"/>
    <x v="3"/>
  </r>
  <r>
    <x v="116"/>
    <d v="2025-01-06T09:00:07"/>
    <x v="7"/>
    <x v="2"/>
    <x v="0"/>
    <n v="4450.3599999999997"/>
    <n v="473"/>
    <n v="16"/>
    <n v="76962.720000000001"/>
    <n v="2"/>
    <n v="1"/>
    <n v="1"/>
    <s v="211"/>
    <x v="1"/>
  </r>
  <r>
    <x v="193"/>
    <d v="2025-01-06T09:00:07"/>
    <x v="4"/>
    <x v="3"/>
    <x v="1"/>
    <n v="4878.29"/>
    <n v="473"/>
    <n v="10"/>
    <n v="54972.43"/>
    <n v="2"/>
    <n v="2"/>
    <n v="1"/>
    <s v="221"/>
    <x v="1"/>
  </r>
  <r>
    <x v="152"/>
    <d v="2025-01-07T09:00:07"/>
    <x v="3"/>
    <x v="6"/>
    <x v="0"/>
    <n v="1743.01"/>
    <n v="472"/>
    <n v="9"/>
    <n v="39366.480000000003"/>
    <n v="2"/>
    <n v="2"/>
    <n v="2"/>
    <s v="222"/>
    <x v="1"/>
  </r>
  <r>
    <x v="92"/>
    <d v="2025-01-08T09:00:07"/>
    <x v="3"/>
    <x v="5"/>
    <x v="2"/>
    <n v="3901.12"/>
    <n v="471"/>
    <n v="7"/>
    <n v="33778.21"/>
    <n v="2"/>
    <n v="4"/>
    <n v="3"/>
    <s v="243"/>
    <x v="3"/>
  </r>
  <r>
    <x v="368"/>
    <d v="2025-01-08T09:00:07"/>
    <x v="3"/>
    <x v="4"/>
    <x v="2"/>
    <n v="4230.5600000000004"/>
    <n v="471"/>
    <n v="10"/>
    <n v="44572.97"/>
    <n v="2"/>
    <n v="2"/>
    <n v="2"/>
    <s v="222"/>
    <x v="1"/>
  </r>
  <r>
    <x v="335"/>
    <d v="2025-01-08T09:00:07"/>
    <x v="1"/>
    <x v="0"/>
    <x v="2"/>
    <n v="5360.43"/>
    <n v="471"/>
    <n v="5"/>
    <n v="21192.55"/>
    <n v="2"/>
    <n v="5"/>
    <n v="5"/>
    <s v="255"/>
    <x v="3"/>
  </r>
  <r>
    <x v="72"/>
    <d v="2025-01-08T09:00:07"/>
    <x v="8"/>
    <x v="6"/>
    <x v="0"/>
    <n v="7042.52"/>
    <n v="471"/>
    <n v="4"/>
    <n v="47975.93"/>
    <n v="2"/>
    <n v="5"/>
    <n v="1"/>
    <s v="251"/>
    <x v="0"/>
  </r>
  <r>
    <x v="363"/>
    <d v="2025-01-08T09:00:07"/>
    <x v="7"/>
    <x v="2"/>
    <x v="0"/>
    <n v="1273.2"/>
    <n v="471"/>
    <n v="10"/>
    <n v="29994.030000000002"/>
    <n v="2"/>
    <n v="2"/>
    <n v="3"/>
    <s v="223"/>
    <x v="2"/>
  </r>
  <r>
    <x v="220"/>
    <d v="2025-01-08T09:00:07"/>
    <x v="1"/>
    <x v="2"/>
    <x v="0"/>
    <n v="3460.77"/>
    <n v="471"/>
    <n v="5"/>
    <n v="20686.43"/>
    <n v="2"/>
    <n v="5"/>
    <n v="5"/>
    <s v="255"/>
    <x v="3"/>
  </r>
  <r>
    <x v="227"/>
    <d v="2025-01-08T09:00:07"/>
    <x v="9"/>
    <x v="2"/>
    <x v="1"/>
    <n v="2605.12"/>
    <n v="471"/>
    <n v="4"/>
    <n v="21830.14"/>
    <n v="2"/>
    <n v="5"/>
    <n v="4"/>
    <s v="254"/>
    <x v="3"/>
  </r>
  <r>
    <x v="187"/>
    <d v="2025-01-08T09:00:07"/>
    <x v="3"/>
    <x v="5"/>
    <x v="1"/>
    <n v="609.95000000000005"/>
    <n v="471"/>
    <n v="9"/>
    <n v="31221.600000000002"/>
    <n v="2"/>
    <n v="2"/>
    <n v="3"/>
    <s v="223"/>
    <x v="2"/>
  </r>
  <r>
    <x v="32"/>
    <d v="2025-01-09T09:00:07"/>
    <x v="9"/>
    <x v="2"/>
    <x v="0"/>
    <n v="3433.97"/>
    <n v="470"/>
    <n v="13"/>
    <n v="40402.14"/>
    <n v="2"/>
    <n v="1"/>
    <n v="2"/>
    <s v="212"/>
    <x v="1"/>
  </r>
  <r>
    <x v="290"/>
    <d v="2025-01-09T09:00:07"/>
    <x v="9"/>
    <x v="2"/>
    <x v="2"/>
    <n v="2849.38"/>
    <n v="470"/>
    <n v="6"/>
    <n v="21250.21"/>
    <n v="2"/>
    <n v="4"/>
    <n v="5"/>
    <s v="245"/>
    <x v="3"/>
  </r>
  <r>
    <x v="369"/>
    <d v="2025-01-10T09:00:07"/>
    <x v="3"/>
    <x v="4"/>
    <x v="0"/>
    <n v="2819.78"/>
    <n v="469"/>
    <n v="3"/>
    <n v="10924.82"/>
    <n v="2"/>
    <n v="5"/>
    <n v="5"/>
    <s v="255"/>
    <x v="3"/>
  </r>
  <r>
    <x v="183"/>
    <d v="2025-01-10T09:00:07"/>
    <x v="4"/>
    <x v="3"/>
    <x v="2"/>
    <n v="3397.96"/>
    <n v="469"/>
    <n v="12"/>
    <n v="34222.5"/>
    <n v="2"/>
    <n v="1"/>
    <n v="3"/>
    <s v="213"/>
    <x v="2"/>
  </r>
  <r>
    <x v="4"/>
    <d v="2025-01-10T09:00:07"/>
    <x v="2"/>
    <x v="2"/>
    <x v="2"/>
    <n v="1189.96"/>
    <n v="469"/>
    <n v="6"/>
    <n v="17570.61"/>
    <n v="2"/>
    <n v="4"/>
    <n v="5"/>
    <s v="245"/>
    <x v="3"/>
  </r>
  <r>
    <x v="313"/>
    <d v="2025-01-10T09:00:07"/>
    <x v="5"/>
    <x v="2"/>
    <x v="0"/>
    <n v="1960.75"/>
    <n v="469"/>
    <n v="5"/>
    <n v="16350.6"/>
    <n v="2"/>
    <n v="5"/>
    <n v="5"/>
    <s v="255"/>
    <x v="3"/>
  </r>
  <r>
    <x v="31"/>
    <d v="2025-01-10T09:00:07"/>
    <x v="9"/>
    <x v="2"/>
    <x v="2"/>
    <n v="4594.5"/>
    <n v="469"/>
    <n v="9"/>
    <n v="35330.950000000004"/>
    <n v="2"/>
    <n v="2"/>
    <n v="3"/>
    <s v="223"/>
    <x v="2"/>
  </r>
  <r>
    <x v="298"/>
    <d v="2025-01-10T09:00:07"/>
    <x v="9"/>
    <x v="4"/>
    <x v="2"/>
    <n v="3654.33"/>
    <n v="469"/>
    <n v="9"/>
    <n v="40942.560000000005"/>
    <n v="2"/>
    <n v="2"/>
    <n v="2"/>
    <s v="222"/>
    <x v="1"/>
  </r>
  <r>
    <x v="109"/>
    <d v="2025-01-11T09:00:07"/>
    <x v="3"/>
    <x v="6"/>
    <x v="0"/>
    <n v="4422.93"/>
    <n v="468"/>
    <n v="7"/>
    <n v="39486.589999999997"/>
    <n v="2"/>
    <n v="4"/>
    <n v="2"/>
    <s v="242"/>
    <x v="0"/>
  </r>
  <r>
    <x v="370"/>
    <d v="2025-01-11T09:00:07"/>
    <x v="9"/>
    <x v="5"/>
    <x v="1"/>
    <n v="2974.61"/>
    <n v="468"/>
    <n v="12"/>
    <n v="83986.299999999988"/>
    <n v="2"/>
    <n v="1"/>
    <n v="1"/>
    <s v="211"/>
    <x v="1"/>
  </r>
  <r>
    <x v="148"/>
    <d v="2025-01-12T09:00:07"/>
    <x v="7"/>
    <x v="5"/>
    <x v="2"/>
    <n v="1352.61"/>
    <n v="467"/>
    <n v="6"/>
    <n v="27493.600000000002"/>
    <n v="2"/>
    <n v="4"/>
    <n v="4"/>
    <s v="244"/>
    <x v="3"/>
  </r>
  <r>
    <x v="235"/>
    <d v="2025-01-12T09:00:07"/>
    <x v="9"/>
    <x v="1"/>
    <x v="1"/>
    <n v="1845.43"/>
    <n v="467"/>
    <n v="8"/>
    <n v="29892.99"/>
    <n v="2"/>
    <n v="3"/>
    <n v="3"/>
    <s v="233"/>
    <x v="3"/>
  </r>
  <r>
    <x v="256"/>
    <d v="2025-01-12T09:00:07"/>
    <x v="5"/>
    <x v="4"/>
    <x v="1"/>
    <n v="1506.41"/>
    <n v="467"/>
    <n v="8"/>
    <n v="28559.850000000002"/>
    <n v="2"/>
    <n v="3"/>
    <n v="4"/>
    <s v="234"/>
    <x v="3"/>
  </r>
  <r>
    <x v="154"/>
    <d v="2025-01-13T09:00:07"/>
    <x v="1"/>
    <x v="5"/>
    <x v="2"/>
    <n v="4577.8900000000003"/>
    <n v="466"/>
    <n v="3"/>
    <n v="8165.32"/>
    <n v="2"/>
    <n v="5"/>
    <n v="5"/>
    <s v="255"/>
    <x v="3"/>
  </r>
  <r>
    <x v="246"/>
    <d v="2025-01-13T09:00:07"/>
    <x v="5"/>
    <x v="2"/>
    <x v="2"/>
    <n v="4503.59"/>
    <n v="466"/>
    <n v="10"/>
    <n v="30897.65"/>
    <n v="2"/>
    <n v="2"/>
    <n v="3"/>
    <s v="223"/>
    <x v="2"/>
  </r>
  <r>
    <x v="313"/>
    <d v="2025-01-13T09:00:07"/>
    <x v="6"/>
    <x v="2"/>
    <x v="0"/>
    <n v="4611.7700000000004"/>
    <n v="466"/>
    <n v="5"/>
    <n v="16350.6"/>
    <n v="2"/>
    <n v="5"/>
    <n v="5"/>
    <s v="255"/>
    <x v="3"/>
  </r>
  <r>
    <x v="256"/>
    <d v="2025-01-13T09:00:07"/>
    <x v="4"/>
    <x v="4"/>
    <x v="2"/>
    <n v="3933.23"/>
    <n v="466"/>
    <n v="8"/>
    <n v="28559.850000000002"/>
    <n v="2"/>
    <n v="3"/>
    <n v="4"/>
    <s v="234"/>
    <x v="3"/>
  </r>
  <r>
    <x v="371"/>
    <d v="2025-01-13T09:00:07"/>
    <x v="1"/>
    <x v="5"/>
    <x v="2"/>
    <n v="8026.79"/>
    <n v="466"/>
    <n v="5"/>
    <n v="18024.71"/>
    <n v="2"/>
    <n v="5"/>
    <n v="5"/>
    <s v="255"/>
    <x v="3"/>
  </r>
  <r>
    <x v="351"/>
    <d v="2025-01-13T09:00:07"/>
    <x v="7"/>
    <x v="0"/>
    <x v="0"/>
    <n v="1471.81"/>
    <n v="466"/>
    <n v="7"/>
    <n v="17082.88"/>
    <n v="2"/>
    <n v="4"/>
    <n v="5"/>
    <s v="245"/>
    <x v="3"/>
  </r>
  <r>
    <x v="218"/>
    <d v="2025-01-14T09:00:07"/>
    <x v="5"/>
    <x v="6"/>
    <x v="0"/>
    <n v="2894.9"/>
    <n v="465"/>
    <n v="12"/>
    <n v="48008.159999999996"/>
    <n v="2"/>
    <n v="1"/>
    <n v="1"/>
    <s v="211"/>
    <x v="1"/>
  </r>
  <r>
    <x v="278"/>
    <d v="2025-01-14T09:00:07"/>
    <x v="2"/>
    <x v="5"/>
    <x v="0"/>
    <n v="2493.69"/>
    <n v="465"/>
    <n v="10"/>
    <n v="38069.94"/>
    <n v="2"/>
    <n v="2"/>
    <n v="2"/>
    <s v="222"/>
    <x v="1"/>
  </r>
  <r>
    <x v="372"/>
    <d v="2025-01-14T09:00:07"/>
    <x v="0"/>
    <x v="4"/>
    <x v="0"/>
    <n v="2780.55"/>
    <n v="465"/>
    <n v="4"/>
    <n v="7399.6200000000008"/>
    <n v="2"/>
    <n v="5"/>
    <n v="5"/>
    <s v="255"/>
    <x v="3"/>
  </r>
  <r>
    <x v="152"/>
    <d v="2025-01-14T09:00:07"/>
    <x v="7"/>
    <x v="6"/>
    <x v="0"/>
    <n v="6451.87"/>
    <n v="465"/>
    <n v="9"/>
    <n v="39366.480000000003"/>
    <n v="2"/>
    <n v="2"/>
    <n v="2"/>
    <s v="222"/>
    <x v="1"/>
  </r>
  <r>
    <x v="368"/>
    <d v="2025-01-15T09:00:07"/>
    <x v="3"/>
    <x v="2"/>
    <x v="0"/>
    <n v="3592.73"/>
    <n v="464"/>
    <n v="10"/>
    <n v="44572.97"/>
    <n v="2"/>
    <n v="2"/>
    <n v="2"/>
    <s v="222"/>
    <x v="1"/>
  </r>
  <r>
    <x v="322"/>
    <d v="2025-01-15T09:00:07"/>
    <x v="4"/>
    <x v="4"/>
    <x v="1"/>
    <n v="5079.91"/>
    <n v="464"/>
    <n v="10"/>
    <n v="36855.5"/>
    <n v="2"/>
    <n v="2"/>
    <n v="2"/>
    <s v="222"/>
    <x v="1"/>
  </r>
  <r>
    <x v="146"/>
    <d v="2025-01-15T09:00:07"/>
    <x v="9"/>
    <x v="0"/>
    <x v="0"/>
    <n v="4372.47"/>
    <n v="464"/>
    <n v="12"/>
    <n v="42776.80999999999"/>
    <n v="2"/>
    <n v="1"/>
    <n v="2"/>
    <s v="212"/>
    <x v="1"/>
  </r>
  <r>
    <x v="170"/>
    <d v="2025-01-16T09:00:07"/>
    <x v="8"/>
    <x v="0"/>
    <x v="2"/>
    <n v="5562.98"/>
    <n v="463"/>
    <n v="7"/>
    <n v="33514.49"/>
    <n v="2"/>
    <n v="4"/>
    <n v="3"/>
    <s v="243"/>
    <x v="3"/>
  </r>
  <r>
    <x v="70"/>
    <d v="2025-01-16T09:00:07"/>
    <x v="4"/>
    <x v="5"/>
    <x v="1"/>
    <n v="6171.15"/>
    <n v="463"/>
    <n v="15"/>
    <n v="57217.139999999992"/>
    <n v="2"/>
    <n v="1"/>
    <n v="1"/>
    <s v="211"/>
    <x v="1"/>
  </r>
  <r>
    <x v="39"/>
    <d v="2025-01-16T09:00:07"/>
    <x v="7"/>
    <x v="4"/>
    <x v="2"/>
    <n v="9617.76"/>
    <n v="463"/>
    <n v="11"/>
    <n v="43110.84"/>
    <n v="2"/>
    <n v="1"/>
    <n v="2"/>
    <s v="212"/>
    <x v="1"/>
  </r>
  <r>
    <x v="373"/>
    <d v="2025-01-16T09:00:07"/>
    <x v="2"/>
    <x v="5"/>
    <x v="1"/>
    <n v="2786.9"/>
    <n v="463"/>
    <n v="7"/>
    <n v="28804.870000000003"/>
    <n v="2"/>
    <n v="4"/>
    <n v="4"/>
    <s v="244"/>
    <x v="3"/>
  </r>
  <r>
    <x v="239"/>
    <d v="2025-01-16T09:00:07"/>
    <x v="1"/>
    <x v="6"/>
    <x v="2"/>
    <n v="686.24"/>
    <n v="463"/>
    <n v="5"/>
    <n v="18049.21"/>
    <n v="2"/>
    <n v="5"/>
    <n v="5"/>
    <s v="255"/>
    <x v="3"/>
  </r>
  <r>
    <x v="134"/>
    <d v="2025-01-16T09:00:07"/>
    <x v="3"/>
    <x v="3"/>
    <x v="2"/>
    <n v="2907.7"/>
    <n v="463"/>
    <n v="6"/>
    <n v="15936.029999999999"/>
    <n v="2"/>
    <n v="4"/>
    <n v="5"/>
    <s v="245"/>
    <x v="3"/>
  </r>
  <r>
    <x v="89"/>
    <d v="2025-01-16T09:00:07"/>
    <x v="7"/>
    <x v="3"/>
    <x v="1"/>
    <n v="874.32"/>
    <n v="463"/>
    <n v="12"/>
    <n v="54905.279999999992"/>
    <n v="2"/>
    <n v="1"/>
    <n v="1"/>
    <s v="211"/>
    <x v="1"/>
  </r>
  <r>
    <x v="20"/>
    <d v="2025-01-17T09:00:07"/>
    <x v="4"/>
    <x v="2"/>
    <x v="0"/>
    <n v="7820.26"/>
    <n v="462"/>
    <n v="14"/>
    <n v="53433.220000000008"/>
    <n v="2"/>
    <n v="1"/>
    <n v="1"/>
    <s v="211"/>
    <x v="1"/>
  </r>
  <r>
    <x v="11"/>
    <d v="2025-01-17T09:00:07"/>
    <x v="4"/>
    <x v="6"/>
    <x v="2"/>
    <n v="4392.25"/>
    <n v="462"/>
    <n v="9"/>
    <n v="29151.88"/>
    <n v="2"/>
    <n v="2"/>
    <n v="4"/>
    <s v="224"/>
    <x v="2"/>
  </r>
  <r>
    <x v="31"/>
    <d v="2025-01-17T09:00:07"/>
    <x v="0"/>
    <x v="0"/>
    <x v="0"/>
    <n v="4313.76"/>
    <n v="462"/>
    <n v="9"/>
    <n v="35330.950000000004"/>
    <n v="2"/>
    <n v="2"/>
    <n v="3"/>
    <s v="223"/>
    <x v="2"/>
  </r>
  <r>
    <x v="176"/>
    <d v="2025-01-17T09:00:07"/>
    <x v="3"/>
    <x v="0"/>
    <x v="0"/>
    <n v="4629.1400000000003"/>
    <n v="462"/>
    <n v="9"/>
    <n v="48978.57"/>
    <n v="2"/>
    <n v="2"/>
    <n v="1"/>
    <s v="221"/>
    <x v="1"/>
  </r>
  <r>
    <x v="11"/>
    <d v="2025-01-17T09:00:07"/>
    <x v="1"/>
    <x v="0"/>
    <x v="1"/>
    <n v="3663.42"/>
    <n v="462"/>
    <n v="9"/>
    <n v="29151.88"/>
    <n v="2"/>
    <n v="2"/>
    <n v="4"/>
    <s v="224"/>
    <x v="2"/>
  </r>
  <r>
    <x v="58"/>
    <d v="2025-01-18T09:00:07"/>
    <x v="3"/>
    <x v="1"/>
    <x v="0"/>
    <n v="5810.42"/>
    <n v="461"/>
    <n v="9"/>
    <n v="47571.369999999995"/>
    <n v="2"/>
    <n v="2"/>
    <n v="1"/>
    <s v="221"/>
    <x v="1"/>
  </r>
  <r>
    <x v="21"/>
    <d v="2025-01-18T09:00:07"/>
    <x v="7"/>
    <x v="5"/>
    <x v="0"/>
    <n v="2160.6999999999998"/>
    <n v="461"/>
    <n v="6"/>
    <n v="18163.55"/>
    <n v="2"/>
    <n v="4"/>
    <n v="5"/>
    <s v="245"/>
    <x v="3"/>
  </r>
  <r>
    <x v="224"/>
    <d v="2025-01-18T09:00:07"/>
    <x v="1"/>
    <x v="4"/>
    <x v="2"/>
    <n v="2387.89"/>
    <n v="461"/>
    <n v="8"/>
    <n v="28833.759999999998"/>
    <n v="2"/>
    <n v="3"/>
    <n v="4"/>
    <s v="234"/>
    <x v="3"/>
  </r>
  <r>
    <x v="165"/>
    <d v="2025-01-18T09:00:07"/>
    <x v="0"/>
    <x v="2"/>
    <x v="0"/>
    <n v="3425.83"/>
    <n v="461"/>
    <n v="9"/>
    <n v="33344.57"/>
    <n v="2"/>
    <n v="2"/>
    <n v="3"/>
    <s v="223"/>
    <x v="2"/>
  </r>
  <r>
    <x v="81"/>
    <d v="2025-01-18T09:00:07"/>
    <x v="9"/>
    <x v="2"/>
    <x v="1"/>
    <n v="4533.59"/>
    <n v="461"/>
    <n v="12"/>
    <n v="27185.14"/>
    <n v="2"/>
    <n v="1"/>
    <n v="4"/>
    <s v="214"/>
    <x v="2"/>
  </r>
  <r>
    <x v="160"/>
    <d v="2025-01-19T09:00:07"/>
    <x v="3"/>
    <x v="1"/>
    <x v="1"/>
    <n v="1384.55"/>
    <n v="460"/>
    <n v="9"/>
    <n v="37215.54"/>
    <n v="2"/>
    <n v="2"/>
    <n v="2"/>
    <s v="222"/>
    <x v="1"/>
  </r>
  <r>
    <x v="146"/>
    <d v="2025-01-19T09:00:07"/>
    <x v="4"/>
    <x v="5"/>
    <x v="0"/>
    <n v="2813.05"/>
    <n v="460"/>
    <n v="12"/>
    <n v="42776.80999999999"/>
    <n v="2"/>
    <n v="1"/>
    <n v="2"/>
    <s v="212"/>
    <x v="1"/>
  </r>
  <r>
    <x v="119"/>
    <d v="2025-01-19T09:00:07"/>
    <x v="2"/>
    <x v="3"/>
    <x v="0"/>
    <n v="940.75"/>
    <n v="460"/>
    <n v="11"/>
    <n v="29238.53"/>
    <n v="2"/>
    <n v="1"/>
    <n v="4"/>
    <s v="214"/>
    <x v="2"/>
  </r>
  <r>
    <x v="166"/>
    <d v="2025-01-19T09:00:07"/>
    <x v="7"/>
    <x v="3"/>
    <x v="2"/>
    <n v="3047.63"/>
    <n v="460"/>
    <n v="7"/>
    <n v="28777.9"/>
    <n v="2"/>
    <n v="4"/>
    <n v="4"/>
    <s v="244"/>
    <x v="3"/>
  </r>
  <r>
    <x v="163"/>
    <d v="2025-01-20T09:00:07"/>
    <x v="3"/>
    <x v="2"/>
    <x v="2"/>
    <n v="605.85"/>
    <n v="459"/>
    <n v="9"/>
    <n v="30047.29"/>
    <n v="2"/>
    <n v="2"/>
    <n v="3"/>
    <s v="223"/>
    <x v="2"/>
  </r>
  <r>
    <x v="18"/>
    <d v="2025-01-20T09:00:07"/>
    <x v="7"/>
    <x v="5"/>
    <x v="2"/>
    <n v="1019.3"/>
    <n v="459"/>
    <n v="4"/>
    <n v="6987.52"/>
    <n v="2"/>
    <n v="5"/>
    <n v="5"/>
    <s v="255"/>
    <x v="3"/>
  </r>
  <r>
    <x v="27"/>
    <d v="2025-01-20T09:00:07"/>
    <x v="5"/>
    <x v="6"/>
    <x v="2"/>
    <n v="1795.53"/>
    <n v="459"/>
    <n v="12"/>
    <n v="49930.359999999993"/>
    <n v="2"/>
    <n v="1"/>
    <n v="1"/>
    <s v="211"/>
    <x v="1"/>
  </r>
  <r>
    <x v="109"/>
    <d v="2025-01-20T09:00:07"/>
    <x v="1"/>
    <x v="5"/>
    <x v="1"/>
    <n v="2194.44"/>
    <n v="459"/>
    <n v="7"/>
    <n v="39486.589999999997"/>
    <n v="2"/>
    <n v="4"/>
    <n v="2"/>
    <s v="242"/>
    <x v="0"/>
  </r>
  <r>
    <x v="146"/>
    <d v="2025-01-21T09:00:07"/>
    <x v="4"/>
    <x v="6"/>
    <x v="1"/>
    <n v="8203.99"/>
    <n v="458"/>
    <n v="12"/>
    <n v="42776.80999999999"/>
    <n v="2"/>
    <n v="1"/>
    <n v="2"/>
    <s v="212"/>
    <x v="1"/>
  </r>
  <r>
    <x v="126"/>
    <d v="2025-01-21T09:00:07"/>
    <x v="0"/>
    <x v="0"/>
    <x v="0"/>
    <n v="5208.3999999999996"/>
    <n v="458"/>
    <n v="11"/>
    <n v="46795.570000000007"/>
    <n v="2"/>
    <n v="1"/>
    <n v="1"/>
    <s v="211"/>
    <x v="1"/>
  </r>
  <r>
    <x v="224"/>
    <d v="2025-01-21T09:00:07"/>
    <x v="1"/>
    <x v="5"/>
    <x v="0"/>
    <n v="3563.71"/>
    <n v="458"/>
    <n v="8"/>
    <n v="28833.759999999998"/>
    <n v="2"/>
    <n v="3"/>
    <n v="4"/>
    <s v="234"/>
    <x v="3"/>
  </r>
  <r>
    <x v="298"/>
    <d v="2025-01-21T09:00:07"/>
    <x v="9"/>
    <x v="4"/>
    <x v="0"/>
    <n v="8208.19"/>
    <n v="458"/>
    <n v="9"/>
    <n v="40942.560000000005"/>
    <n v="2"/>
    <n v="2"/>
    <n v="2"/>
    <s v="222"/>
    <x v="1"/>
  </r>
  <r>
    <x v="187"/>
    <d v="2025-01-21T09:00:07"/>
    <x v="7"/>
    <x v="1"/>
    <x v="1"/>
    <n v="3867.03"/>
    <n v="458"/>
    <n v="9"/>
    <n v="31221.600000000002"/>
    <n v="2"/>
    <n v="2"/>
    <n v="3"/>
    <s v="223"/>
    <x v="2"/>
  </r>
  <r>
    <x v="276"/>
    <d v="2025-01-21T09:00:07"/>
    <x v="0"/>
    <x v="5"/>
    <x v="1"/>
    <n v="3357.21"/>
    <n v="458"/>
    <n v="7"/>
    <n v="33899.22"/>
    <n v="2"/>
    <n v="4"/>
    <n v="3"/>
    <s v="243"/>
    <x v="3"/>
  </r>
  <r>
    <x v="87"/>
    <d v="2025-01-22T09:00:07"/>
    <x v="1"/>
    <x v="2"/>
    <x v="2"/>
    <n v="5447.51"/>
    <n v="457"/>
    <n v="13"/>
    <n v="72511.88"/>
    <n v="2"/>
    <n v="1"/>
    <n v="1"/>
    <s v="211"/>
    <x v="1"/>
  </r>
  <r>
    <x v="50"/>
    <d v="2025-01-22T09:00:07"/>
    <x v="9"/>
    <x v="2"/>
    <x v="1"/>
    <n v="4541.47"/>
    <n v="457"/>
    <n v="13"/>
    <n v="64175.24"/>
    <n v="2"/>
    <n v="1"/>
    <n v="1"/>
    <s v="211"/>
    <x v="1"/>
  </r>
  <r>
    <x v="352"/>
    <d v="2025-01-22T09:00:07"/>
    <x v="0"/>
    <x v="4"/>
    <x v="1"/>
    <n v="3399.06"/>
    <n v="457"/>
    <n v="7"/>
    <n v="27438.3"/>
    <n v="2"/>
    <n v="4"/>
    <n v="4"/>
    <s v="244"/>
    <x v="3"/>
  </r>
  <r>
    <x v="211"/>
    <d v="2025-01-23T09:00:07"/>
    <x v="9"/>
    <x v="6"/>
    <x v="0"/>
    <n v="3227.05"/>
    <n v="456"/>
    <n v="8"/>
    <n v="29088.159999999996"/>
    <n v="2"/>
    <n v="3"/>
    <n v="4"/>
    <s v="234"/>
    <x v="3"/>
  </r>
  <r>
    <x v="212"/>
    <d v="2025-01-23T09:00:07"/>
    <x v="7"/>
    <x v="0"/>
    <x v="1"/>
    <n v="5454.69"/>
    <n v="456"/>
    <n v="9"/>
    <n v="27881.53"/>
    <n v="2"/>
    <n v="2"/>
    <n v="4"/>
    <s v="224"/>
    <x v="2"/>
  </r>
  <r>
    <x v="7"/>
    <d v="2025-01-24T09:00:07"/>
    <x v="1"/>
    <x v="4"/>
    <x v="2"/>
    <n v="6119.95"/>
    <n v="455"/>
    <n v="8"/>
    <n v="43799.990000000005"/>
    <n v="2"/>
    <n v="3"/>
    <n v="2"/>
    <s v="232"/>
    <x v="0"/>
  </r>
  <r>
    <x v="300"/>
    <d v="2025-01-24T09:00:07"/>
    <x v="7"/>
    <x v="3"/>
    <x v="1"/>
    <n v="2205.1799999999998"/>
    <n v="455"/>
    <n v="6"/>
    <n v="12410.619999999999"/>
    <n v="2"/>
    <n v="4"/>
    <n v="5"/>
    <s v="245"/>
    <x v="3"/>
  </r>
  <r>
    <x v="229"/>
    <d v="2025-01-24T09:00:07"/>
    <x v="9"/>
    <x v="1"/>
    <x v="1"/>
    <n v="3209.45"/>
    <n v="455"/>
    <n v="10"/>
    <n v="27359.329999999998"/>
    <n v="2"/>
    <n v="2"/>
    <n v="4"/>
    <s v="224"/>
    <x v="2"/>
  </r>
  <r>
    <x v="33"/>
    <d v="2025-01-24T09:00:07"/>
    <x v="5"/>
    <x v="5"/>
    <x v="1"/>
    <n v="1650.12"/>
    <n v="455"/>
    <n v="10"/>
    <n v="34643.039999999994"/>
    <n v="2"/>
    <n v="2"/>
    <n v="3"/>
    <s v="223"/>
    <x v="2"/>
  </r>
  <r>
    <x v="214"/>
    <d v="2025-01-24T09:00:07"/>
    <x v="7"/>
    <x v="0"/>
    <x v="2"/>
    <n v="3417.58"/>
    <n v="455"/>
    <n v="5"/>
    <n v="18720.68"/>
    <n v="2"/>
    <n v="5"/>
    <n v="5"/>
    <s v="255"/>
    <x v="3"/>
  </r>
  <r>
    <x v="2"/>
    <d v="2025-01-24T09:00:07"/>
    <x v="7"/>
    <x v="2"/>
    <x v="1"/>
    <n v="3714.98"/>
    <n v="455"/>
    <n v="10"/>
    <n v="32732.979999999996"/>
    <n v="2"/>
    <n v="2"/>
    <n v="3"/>
    <s v="223"/>
    <x v="2"/>
  </r>
  <r>
    <x v="196"/>
    <d v="2025-01-25T09:00:07"/>
    <x v="8"/>
    <x v="4"/>
    <x v="2"/>
    <n v="1002.49"/>
    <n v="454"/>
    <n v="10"/>
    <n v="44305.600000000006"/>
    <n v="2"/>
    <n v="2"/>
    <n v="2"/>
    <s v="222"/>
    <x v="1"/>
  </r>
  <r>
    <x v="102"/>
    <d v="2025-01-25T09:00:07"/>
    <x v="7"/>
    <x v="4"/>
    <x v="1"/>
    <n v="9397.5499999999993"/>
    <n v="454"/>
    <n v="6"/>
    <n v="40190.459999999992"/>
    <n v="2"/>
    <n v="4"/>
    <n v="2"/>
    <s v="242"/>
    <x v="0"/>
  </r>
  <r>
    <x v="363"/>
    <d v="2025-01-25T09:00:07"/>
    <x v="4"/>
    <x v="0"/>
    <x v="2"/>
    <n v="5024.68"/>
    <n v="454"/>
    <n v="10"/>
    <n v="29994.030000000002"/>
    <n v="2"/>
    <n v="2"/>
    <n v="3"/>
    <s v="223"/>
    <x v="2"/>
  </r>
  <r>
    <x v="168"/>
    <d v="2025-01-25T09:00:07"/>
    <x v="3"/>
    <x v="6"/>
    <x v="1"/>
    <n v="966.42"/>
    <n v="454"/>
    <n v="8"/>
    <n v="26119.000000000004"/>
    <n v="2"/>
    <n v="3"/>
    <n v="4"/>
    <s v="234"/>
    <x v="3"/>
  </r>
  <r>
    <x v="254"/>
    <d v="2025-01-25T09:00:07"/>
    <x v="3"/>
    <x v="3"/>
    <x v="1"/>
    <n v="3211.68"/>
    <n v="454"/>
    <n v="5"/>
    <n v="24865.420000000002"/>
    <n v="2"/>
    <n v="5"/>
    <n v="4"/>
    <s v="254"/>
    <x v="3"/>
  </r>
  <r>
    <x v="347"/>
    <d v="2025-01-25T09:00:07"/>
    <x v="1"/>
    <x v="6"/>
    <x v="1"/>
    <n v="5360.77"/>
    <n v="454"/>
    <n v="4"/>
    <n v="14706.1"/>
    <n v="2"/>
    <n v="5"/>
    <n v="5"/>
    <s v="255"/>
    <x v="3"/>
  </r>
  <r>
    <x v="368"/>
    <d v="2025-01-25T09:00:07"/>
    <x v="8"/>
    <x v="6"/>
    <x v="1"/>
    <n v="7223.49"/>
    <n v="454"/>
    <n v="10"/>
    <n v="44572.97"/>
    <n v="2"/>
    <n v="2"/>
    <n v="2"/>
    <s v="222"/>
    <x v="1"/>
  </r>
  <r>
    <x v="160"/>
    <d v="2025-01-26T09:00:07"/>
    <x v="3"/>
    <x v="0"/>
    <x v="0"/>
    <n v="5152.74"/>
    <n v="453"/>
    <n v="9"/>
    <n v="37215.54"/>
    <n v="2"/>
    <n v="2"/>
    <n v="2"/>
    <s v="222"/>
    <x v="1"/>
  </r>
  <r>
    <x v="341"/>
    <d v="2025-01-26T09:00:07"/>
    <x v="3"/>
    <x v="4"/>
    <x v="1"/>
    <n v="3235.69"/>
    <n v="453"/>
    <n v="11"/>
    <n v="59377.640000000014"/>
    <n v="2"/>
    <n v="1"/>
    <n v="1"/>
    <s v="211"/>
    <x v="1"/>
  </r>
  <r>
    <x v="351"/>
    <d v="2025-01-26T09:00:07"/>
    <x v="6"/>
    <x v="0"/>
    <x v="1"/>
    <n v="372.29"/>
    <n v="453"/>
    <n v="7"/>
    <n v="17082.88"/>
    <n v="2"/>
    <n v="4"/>
    <n v="5"/>
    <s v="245"/>
    <x v="3"/>
  </r>
  <r>
    <x v="81"/>
    <d v="2025-01-26T09:00:07"/>
    <x v="7"/>
    <x v="3"/>
    <x v="2"/>
    <n v="1409.26"/>
    <n v="453"/>
    <n v="12"/>
    <n v="27185.14"/>
    <n v="2"/>
    <n v="1"/>
    <n v="4"/>
    <s v="214"/>
    <x v="2"/>
  </r>
  <r>
    <x v="31"/>
    <d v="2025-01-26T09:00:07"/>
    <x v="1"/>
    <x v="2"/>
    <x v="1"/>
    <n v="1382.92"/>
    <n v="453"/>
    <n v="9"/>
    <n v="35330.950000000004"/>
    <n v="2"/>
    <n v="2"/>
    <n v="3"/>
    <s v="223"/>
    <x v="2"/>
  </r>
  <r>
    <x v="81"/>
    <d v="2025-01-27T09:00:07"/>
    <x v="8"/>
    <x v="3"/>
    <x v="2"/>
    <n v="987.89"/>
    <n v="452"/>
    <n v="12"/>
    <n v="27185.14"/>
    <n v="2"/>
    <n v="1"/>
    <n v="4"/>
    <s v="214"/>
    <x v="2"/>
  </r>
  <r>
    <x v="21"/>
    <d v="2025-01-27T09:00:07"/>
    <x v="4"/>
    <x v="2"/>
    <x v="1"/>
    <n v="2795.69"/>
    <n v="452"/>
    <n v="6"/>
    <n v="18163.55"/>
    <n v="2"/>
    <n v="4"/>
    <n v="5"/>
    <s v="245"/>
    <x v="3"/>
  </r>
  <r>
    <x v="295"/>
    <d v="2025-01-27T09:00:07"/>
    <x v="9"/>
    <x v="0"/>
    <x v="0"/>
    <n v="6077.68"/>
    <n v="452"/>
    <n v="9"/>
    <n v="26580.030000000002"/>
    <n v="2"/>
    <n v="2"/>
    <n v="4"/>
    <s v="224"/>
    <x v="2"/>
  </r>
  <r>
    <x v="363"/>
    <d v="2025-01-27T09:00:07"/>
    <x v="6"/>
    <x v="4"/>
    <x v="0"/>
    <n v="1225.78"/>
    <n v="452"/>
    <n v="10"/>
    <n v="29994.030000000002"/>
    <n v="2"/>
    <n v="2"/>
    <n v="3"/>
    <s v="223"/>
    <x v="2"/>
  </r>
  <r>
    <x v="50"/>
    <d v="2025-01-28T09:00:07"/>
    <x v="3"/>
    <x v="6"/>
    <x v="1"/>
    <n v="1353.97"/>
    <n v="451"/>
    <n v="13"/>
    <n v="64175.24"/>
    <n v="2"/>
    <n v="1"/>
    <n v="1"/>
    <s v="211"/>
    <x v="1"/>
  </r>
  <r>
    <x v="35"/>
    <d v="2025-01-28T09:00:07"/>
    <x v="8"/>
    <x v="0"/>
    <x v="1"/>
    <n v="2690.39"/>
    <n v="451"/>
    <n v="8"/>
    <n v="38894.44"/>
    <n v="2"/>
    <n v="3"/>
    <n v="2"/>
    <s v="232"/>
    <x v="0"/>
  </r>
  <r>
    <x v="6"/>
    <d v="2025-01-29T09:00:07"/>
    <x v="2"/>
    <x v="4"/>
    <x v="0"/>
    <n v="3151.22"/>
    <n v="450"/>
    <n v="7"/>
    <n v="32953.599999999999"/>
    <n v="2"/>
    <n v="4"/>
    <n v="3"/>
    <s v="243"/>
    <x v="3"/>
  </r>
  <r>
    <x v="249"/>
    <d v="2025-01-29T09:00:07"/>
    <x v="9"/>
    <x v="0"/>
    <x v="0"/>
    <n v="1548.29"/>
    <n v="450"/>
    <n v="6"/>
    <n v="18264"/>
    <n v="2"/>
    <n v="4"/>
    <n v="5"/>
    <s v="245"/>
    <x v="3"/>
  </r>
  <r>
    <x v="374"/>
    <d v="2025-01-29T09:00:07"/>
    <x v="9"/>
    <x v="2"/>
    <x v="0"/>
    <n v="1215.55"/>
    <n v="450"/>
    <n v="3"/>
    <n v="12121.1"/>
    <n v="2"/>
    <n v="5"/>
    <n v="5"/>
    <s v="255"/>
    <x v="3"/>
  </r>
  <r>
    <x v="219"/>
    <d v="2025-01-29T09:00:07"/>
    <x v="4"/>
    <x v="0"/>
    <x v="2"/>
    <n v="539.66"/>
    <n v="450"/>
    <n v="9"/>
    <n v="35283.15"/>
    <n v="2"/>
    <n v="2"/>
    <n v="3"/>
    <s v="223"/>
    <x v="2"/>
  </r>
  <r>
    <x v="69"/>
    <d v="2025-01-30T09:00:07"/>
    <x v="5"/>
    <x v="0"/>
    <x v="0"/>
    <n v="6600.27"/>
    <n v="449"/>
    <n v="9"/>
    <n v="30242.800000000003"/>
    <n v="2"/>
    <n v="2"/>
    <n v="3"/>
    <s v="223"/>
    <x v="2"/>
  </r>
  <r>
    <x v="239"/>
    <d v="2025-01-30T09:00:07"/>
    <x v="5"/>
    <x v="1"/>
    <x v="1"/>
    <n v="2125.09"/>
    <n v="449"/>
    <n v="5"/>
    <n v="18049.21"/>
    <n v="2"/>
    <n v="5"/>
    <n v="5"/>
    <s v="255"/>
    <x v="3"/>
  </r>
  <r>
    <x v="236"/>
    <d v="2025-01-30T09:00:07"/>
    <x v="4"/>
    <x v="2"/>
    <x v="0"/>
    <n v="1444.64"/>
    <n v="449"/>
    <n v="7"/>
    <n v="16120.029999999999"/>
    <n v="2"/>
    <n v="4"/>
    <n v="5"/>
    <s v="245"/>
    <x v="3"/>
  </r>
  <r>
    <x v="99"/>
    <d v="2025-01-30T09:00:07"/>
    <x v="5"/>
    <x v="0"/>
    <x v="2"/>
    <n v="8128.72"/>
    <n v="449"/>
    <n v="10"/>
    <n v="47973.33"/>
    <n v="2"/>
    <n v="2"/>
    <n v="1"/>
    <s v="221"/>
    <x v="1"/>
  </r>
  <r>
    <x v="292"/>
    <d v="2025-01-31T09:00:07"/>
    <x v="8"/>
    <x v="2"/>
    <x v="0"/>
    <n v="1804.08"/>
    <n v="448"/>
    <n v="4"/>
    <n v="13232.439999999999"/>
    <n v="2"/>
    <n v="5"/>
    <n v="5"/>
    <s v="255"/>
    <x v="3"/>
  </r>
  <r>
    <x v="182"/>
    <d v="2025-01-31T09:00:07"/>
    <x v="7"/>
    <x v="2"/>
    <x v="0"/>
    <n v="4662.78"/>
    <n v="448"/>
    <n v="13"/>
    <n v="49208.94"/>
    <n v="2"/>
    <n v="1"/>
    <n v="1"/>
    <s v="211"/>
    <x v="1"/>
  </r>
  <r>
    <x v="247"/>
    <d v="2025-01-31T09:00:07"/>
    <x v="5"/>
    <x v="4"/>
    <x v="0"/>
    <n v="1683.24"/>
    <n v="448"/>
    <n v="6"/>
    <n v="14707.359999999999"/>
    <n v="2"/>
    <n v="4"/>
    <n v="5"/>
    <s v="245"/>
    <x v="3"/>
  </r>
  <r>
    <x v="365"/>
    <d v="2025-01-31T09:00:07"/>
    <x v="2"/>
    <x v="2"/>
    <x v="2"/>
    <n v="4790.99"/>
    <n v="448"/>
    <n v="6"/>
    <n v="25394.229999999996"/>
    <n v="2"/>
    <n v="4"/>
    <n v="4"/>
    <s v="244"/>
    <x v="3"/>
  </r>
  <r>
    <x v="81"/>
    <d v="2025-01-31T09:00:07"/>
    <x v="7"/>
    <x v="4"/>
    <x v="0"/>
    <n v="1718.72"/>
    <n v="448"/>
    <n v="12"/>
    <n v="27185.14"/>
    <n v="2"/>
    <n v="1"/>
    <n v="4"/>
    <s v="214"/>
    <x v="2"/>
  </r>
  <r>
    <x v="340"/>
    <d v="2025-01-31T09:00:07"/>
    <x v="3"/>
    <x v="2"/>
    <x v="2"/>
    <n v="11239.49"/>
    <n v="448"/>
    <n v="7"/>
    <n v="36778.530000000006"/>
    <n v="2"/>
    <n v="4"/>
    <n v="3"/>
    <s v="243"/>
    <x v="3"/>
  </r>
  <r>
    <x v="302"/>
    <d v="2025-01-31T09:00:07"/>
    <x v="0"/>
    <x v="5"/>
    <x v="1"/>
    <n v="8791.42"/>
    <n v="448"/>
    <n v="10"/>
    <n v="47284.22"/>
    <n v="2"/>
    <n v="2"/>
    <n v="1"/>
    <s v="221"/>
    <x v="1"/>
  </r>
  <r>
    <x v="311"/>
    <d v="2025-01-31T09:00:07"/>
    <x v="8"/>
    <x v="5"/>
    <x v="0"/>
    <n v="1551.48"/>
    <n v="448"/>
    <n v="5"/>
    <n v="19417.830000000002"/>
    <n v="2"/>
    <n v="5"/>
    <n v="5"/>
    <s v="255"/>
    <x v="3"/>
  </r>
  <r>
    <x v="304"/>
    <d v="2025-01-31T09:00:07"/>
    <x v="3"/>
    <x v="2"/>
    <x v="2"/>
    <n v="713.67"/>
    <n v="448"/>
    <n v="9"/>
    <n v="27990.980000000003"/>
    <n v="2"/>
    <n v="2"/>
    <n v="4"/>
    <s v="224"/>
    <x v="2"/>
  </r>
  <r>
    <x v="344"/>
    <d v="2025-02-01T09:00:07"/>
    <x v="2"/>
    <x v="2"/>
    <x v="0"/>
    <n v="3558.31"/>
    <n v="447"/>
    <n v="8"/>
    <n v="29788.7"/>
    <n v="2"/>
    <n v="3"/>
    <n v="3"/>
    <s v="233"/>
    <x v="3"/>
  </r>
  <r>
    <x v="39"/>
    <d v="2025-02-01T09:00:07"/>
    <x v="5"/>
    <x v="0"/>
    <x v="0"/>
    <n v="502.7"/>
    <n v="447"/>
    <n v="11"/>
    <n v="43110.84"/>
    <n v="2"/>
    <n v="1"/>
    <n v="2"/>
    <s v="212"/>
    <x v="1"/>
  </r>
  <r>
    <x v="188"/>
    <d v="2025-02-01T09:00:07"/>
    <x v="6"/>
    <x v="3"/>
    <x v="2"/>
    <n v="14168.34"/>
    <n v="447"/>
    <n v="8"/>
    <n v="33838.019999999997"/>
    <n v="2"/>
    <n v="3"/>
    <n v="3"/>
    <s v="233"/>
    <x v="3"/>
  </r>
  <r>
    <x v="158"/>
    <d v="2025-02-01T09:00:07"/>
    <x v="8"/>
    <x v="4"/>
    <x v="2"/>
    <n v="2525.17"/>
    <n v="447"/>
    <n v="9"/>
    <n v="36713.85"/>
    <n v="2"/>
    <n v="2"/>
    <n v="3"/>
    <s v="223"/>
    <x v="2"/>
  </r>
  <r>
    <x v="112"/>
    <d v="2025-02-02T09:00:07"/>
    <x v="6"/>
    <x v="2"/>
    <x v="0"/>
    <n v="2175.58"/>
    <n v="446"/>
    <n v="7"/>
    <n v="25356.28"/>
    <n v="2"/>
    <n v="4"/>
    <n v="4"/>
    <s v="244"/>
    <x v="3"/>
  </r>
  <r>
    <x v="197"/>
    <d v="2025-02-02T09:00:07"/>
    <x v="9"/>
    <x v="0"/>
    <x v="2"/>
    <n v="4479.8100000000004"/>
    <n v="446"/>
    <n v="7"/>
    <n v="27796.990000000005"/>
    <n v="2"/>
    <n v="4"/>
    <n v="4"/>
    <s v="244"/>
    <x v="3"/>
  </r>
  <r>
    <x v="33"/>
    <d v="2025-02-03T09:00:07"/>
    <x v="6"/>
    <x v="1"/>
    <x v="2"/>
    <n v="5793.12"/>
    <n v="445"/>
    <n v="10"/>
    <n v="34643.039999999994"/>
    <n v="2"/>
    <n v="2"/>
    <n v="3"/>
    <s v="223"/>
    <x v="2"/>
  </r>
  <r>
    <x v="331"/>
    <d v="2025-02-03T09:00:07"/>
    <x v="6"/>
    <x v="0"/>
    <x v="0"/>
    <n v="5354.19"/>
    <n v="445"/>
    <n v="9"/>
    <n v="45883.96"/>
    <n v="2"/>
    <n v="2"/>
    <n v="1"/>
    <s v="221"/>
    <x v="1"/>
  </r>
  <r>
    <x v="317"/>
    <d v="2025-02-03T09:00:07"/>
    <x v="5"/>
    <x v="0"/>
    <x v="0"/>
    <n v="3766.21"/>
    <n v="445"/>
    <n v="10"/>
    <n v="45640.06"/>
    <n v="2"/>
    <n v="2"/>
    <n v="1"/>
    <s v="221"/>
    <x v="1"/>
  </r>
  <r>
    <x v="320"/>
    <d v="2025-02-04T09:00:07"/>
    <x v="5"/>
    <x v="2"/>
    <x v="1"/>
    <n v="5511.13"/>
    <n v="444"/>
    <n v="4"/>
    <n v="18485.12"/>
    <n v="2"/>
    <n v="5"/>
    <n v="5"/>
    <s v="255"/>
    <x v="3"/>
  </r>
  <r>
    <x v="199"/>
    <d v="2025-02-04T09:00:07"/>
    <x v="0"/>
    <x v="1"/>
    <x v="0"/>
    <n v="4947.3999999999996"/>
    <n v="444"/>
    <n v="13"/>
    <n v="40298.450000000004"/>
    <n v="2"/>
    <n v="1"/>
    <n v="2"/>
    <s v="212"/>
    <x v="1"/>
  </r>
  <r>
    <x v="353"/>
    <d v="2025-02-04T09:00:07"/>
    <x v="4"/>
    <x v="2"/>
    <x v="0"/>
    <n v="6904.18"/>
    <n v="444"/>
    <n v="6"/>
    <n v="30683.43"/>
    <n v="2"/>
    <n v="4"/>
    <n v="3"/>
    <s v="243"/>
    <x v="3"/>
  </r>
  <r>
    <x v="336"/>
    <d v="2025-02-04T09:00:07"/>
    <x v="3"/>
    <x v="1"/>
    <x v="0"/>
    <n v="4891.6899999999996"/>
    <n v="444"/>
    <n v="9"/>
    <n v="34808.1"/>
    <n v="2"/>
    <n v="2"/>
    <n v="3"/>
    <s v="223"/>
    <x v="2"/>
  </r>
  <r>
    <x v="62"/>
    <d v="2025-02-05T09:00:07"/>
    <x v="1"/>
    <x v="4"/>
    <x v="0"/>
    <n v="811.49"/>
    <n v="443"/>
    <n v="8"/>
    <n v="17550.599999999999"/>
    <n v="2"/>
    <n v="3"/>
    <n v="5"/>
    <s v="235"/>
    <x v="3"/>
  </r>
  <r>
    <x v="279"/>
    <d v="2025-02-05T09:00:07"/>
    <x v="3"/>
    <x v="1"/>
    <x v="1"/>
    <n v="1790.97"/>
    <n v="443"/>
    <n v="7"/>
    <n v="29446.02"/>
    <n v="2"/>
    <n v="4"/>
    <n v="4"/>
    <s v="244"/>
    <x v="3"/>
  </r>
  <r>
    <x v="110"/>
    <d v="2025-02-05T09:00:07"/>
    <x v="0"/>
    <x v="1"/>
    <x v="2"/>
    <n v="1172.08"/>
    <n v="443"/>
    <n v="9"/>
    <n v="40117.730000000003"/>
    <n v="2"/>
    <n v="2"/>
    <n v="2"/>
    <s v="222"/>
    <x v="1"/>
  </r>
  <r>
    <x v="305"/>
    <d v="2025-02-05T09:00:07"/>
    <x v="6"/>
    <x v="4"/>
    <x v="1"/>
    <n v="2935.98"/>
    <n v="443"/>
    <n v="7"/>
    <n v="31771.820000000003"/>
    <n v="2"/>
    <n v="4"/>
    <n v="3"/>
    <s v="243"/>
    <x v="3"/>
  </r>
  <r>
    <x v="375"/>
    <d v="2025-02-05T09:00:07"/>
    <x v="4"/>
    <x v="5"/>
    <x v="0"/>
    <n v="2661.8"/>
    <n v="443"/>
    <n v="4"/>
    <n v="9551.7100000000009"/>
    <n v="2"/>
    <n v="5"/>
    <n v="5"/>
    <s v="255"/>
    <x v="3"/>
  </r>
  <r>
    <x v="372"/>
    <d v="2025-02-06T09:00:07"/>
    <x v="9"/>
    <x v="5"/>
    <x v="1"/>
    <n v="2301.0700000000002"/>
    <n v="442"/>
    <n v="4"/>
    <n v="7399.6200000000008"/>
    <n v="2"/>
    <n v="5"/>
    <n v="5"/>
    <s v="255"/>
    <x v="3"/>
  </r>
  <r>
    <x v="348"/>
    <d v="2025-02-06T09:00:07"/>
    <x v="8"/>
    <x v="5"/>
    <x v="2"/>
    <n v="7126.07"/>
    <n v="442"/>
    <n v="8"/>
    <n v="27090.329999999998"/>
    <n v="2"/>
    <n v="3"/>
    <n v="4"/>
    <s v="234"/>
    <x v="3"/>
  </r>
  <r>
    <x v="310"/>
    <d v="2025-02-06T09:00:07"/>
    <x v="1"/>
    <x v="6"/>
    <x v="1"/>
    <n v="4000.76"/>
    <n v="442"/>
    <n v="8"/>
    <n v="43723.900000000009"/>
    <n v="2"/>
    <n v="3"/>
    <n v="2"/>
    <s v="232"/>
    <x v="0"/>
  </r>
  <r>
    <x v="32"/>
    <d v="2025-02-06T09:00:07"/>
    <x v="5"/>
    <x v="6"/>
    <x v="1"/>
    <n v="712.03"/>
    <n v="442"/>
    <n v="13"/>
    <n v="40402.14"/>
    <n v="2"/>
    <n v="1"/>
    <n v="2"/>
    <s v="212"/>
    <x v="1"/>
  </r>
  <r>
    <x v="196"/>
    <d v="2025-02-06T09:00:07"/>
    <x v="8"/>
    <x v="0"/>
    <x v="0"/>
    <n v="3389.81"/>
    <n v="442"/>
    <n v="10"/>
    <n v="44305.600000000006"/>
    <n v="2"/>
    <n v="2"/>
    <n v="2"/>
    <s v="222"/>
    <x v="1"/>
  </r>
  <r>
    <x v="183"/>
    <d v="2025-02-07T09:00:07"/>
    <x v="6"/>
    <x v="2"/>
    <x v="2"/>
    <n v="1100.49"/>
    <n v="441"/>
    <n v="12"/>
    <n v="34222.5"/>
    <n v="2"/>
    <n v="1"/>
    <n v="3"/>
    <s v="213"/>
    <x v="2"/>
  </r>
  <r>
    <x v="351"/>
    <d v="2025-02-07T09:00:07"/>
    <x v="1"/>
    <x v="4"/>
    <x v="1"/>
    <n v="482.67"/>
    <n v="441"/>
    <n v="7"/>
    <n v="17082.88"/>
    <n v="2"/>
    <n v="4"/>
    <n v="5"/>
    <s v="245"/>
    <x v="3"/>
  </r>
  <r>
    <x v="316"/>
    <d v="2025-02-07T09:00:07"/>
    <x v="6"/>
    <x v="0"/>
    <x v="2"/>
    <n v="1383.89"/>
    <n v="441"/>
    <n v="6"/>
    <n v="12660.78"/>
    <n v="2"/>
    <n v="4"/>
    <n v="5"/>
    <s v="245"/>
    <x v="3"/>
  </r>
  <r>
    <x v="365"/>
    <d v="2025-02-07T09:00:07"/>
    <x v="8"/>
    <x v="4"/>
    <x v="1"/>
    <n v="8947.8799999999992"/>
    <n v="441"/>
    <n v="6"/>
    <n v="25394.229999999996"/>
    <n v="2"/>
    <n v="4"/>
    <n v="4"/>
    <s v="244"/>
    <x v="3"/>
  </r>
  <r>
    <x v="275"/>
    <d v="2025-02-07T09:00:07"/>
    <x v="5"/>
    <x v="3"/>
    <x v="0"/>
    <n v="4820.6000000000004"/>
    <n v="441"/>
    <n v="9"/>
    <n v="36963.729999999996"/>
    <n v="2"/>
    <n v="2"/>
    <n v="2"/>
    <s v="222"/>
    <x v="1"/>
  </r>
  <r>
    <x v="34"/>
    <d v="2025-02-08T09:00:07"/>
    <x v="0"/>
    <x v="2"/>
    <x v="1"/>
    <n v="3249.64"/>
    <n v="440"/>
    <n v="8"/>
    <n v="40213.310000000005"/>
    <n v="2"/>
    <n v="3"/>
    <n v="2"/>
    <s v="232"/>
    <x v="0"/>
  </r>
  <r>
    <x v="115"/>
    <d v="2025-02-08T09:00:07"/>
    <x v="7"/>
    <x v="1"/>
    <x v="0"/>
    <n v="2157.54"/>
    <n v="440"/>
    <n v="7"/>
    <n v="28040.249999999996"/>
    <n v="2"/>
    <n v="4"/>
    <n v="4"/>
    <s v="244"/>
    <x v="3"/>
  </r>
  <r>
    <x v="74"/>
    <d v="2025-02-09T09:00:07"/>
    <x v="5"/>
    <x v="2"/>
    <x v="1"/>
    <n v="3012.8"/>
    <n v="439"/>
    <n v="8"/>
    <n v="28309.71"/>
    <n v="2"/>
    <n v="3"/>
    <n v="4"/>
    <s v="234"/>
    <x v="3"/>
  </r>
  <r>
    <x v="51"/>
    <d v="2025-02-09T09:00:07"/>
    <x v="3"/>
    <x v="1"/>
    <x v="1"/>
    <n v="2239.02"/>
    <n v="439"/>
    <n v="8"/>
    <n v="32019.260000000006"/>
    <n v="2"/>
    <n v="3"/>
    <n v="3"/>
    <s v="233"/>
    <x v="3"/>
  </r>
  <r>
    <x v="362"/>
    <d v="2025-02-10T09:00:07"/>
    <x v="3"/>
    <x v="6"/>
    <x v="0"/>
    <n v="1262.6500000000001"/>
    <n v="438"/>
    <n v="6"/>
    <n v="21995.52"/>
    <n v="2"/>
    <n v="4"/>
    <n v="4"/>
    <s v="244"/>
    <x v="3"/>
  </r>
  <r>
    <x v="281"/>
    <d v="2025-02-10T09:00:07"/>
    <x v="3"/>
    <x v="2"/>
    <x v="0"/>
    <n v="6253.7"/>
    <n v="438"/>
    <n v="5"/>
    <n v="23857.670000000002"/>
    <n v="2"/>
    <n v="5"/>
    <n v="4"/>
    <s v="254"/>
    <x v="3"/>
  </r>
  <r>
    <x v="333"/>
    <d v="2025-02-10T09:00:07"/>
    <x v="7"/>
    <x v="3"/>
    <x v="1"/>
    <n v="4908.7700000000004"/>
    <n v="438"/>
    <n v="10"/>
    <n v="42023.55"/>
    <n v="2"/>
    <n v="2"/>
    <n v="2"/>
    <s v="222"/>
    <x v="1"/>
  </r>
  <r>
    <x v="330"/>
    <d v="2025-02-11T09:00:07"/>
    <x v="4"/>
    <x v="6"/>
    <x v="1"/>
    <n v="1473.6"/>
    <n v="437"/>
    <n v="9"/>
    <n v="39538.21"/>
    <n v="2"/>
    <n v="2"/>
    <n v="2"/>
    <s v="222"/>
    <x v="1"/>
  </r>
  <r>
    <x v="8"/>
    <d v="2025-02-11T09:00:07"/>
    <x v="7"/>
    <x v="1"/>
    <x v="2"/>
    <n v="7481.09"/>
    <n v="437"/>
    <n v="7"/>
    <n v="18694.46"/>
    <n v="2"/>
    <n v="4"/>
    <n v="5"/>
    <s v="245"/>
    <x v="3"/>
  </r>
  <r>
    <x v="305"/>
    <d v="2025-02-11T09:00:07"/>
    <x v="3"/>
    <x v="6"/>
    <x v="0"/>
    <n v="1214.7"/>
    <n v="437"/>
    <n v="7"/>
    <n v="31771.820000000003"/>
    <n v="2"/>
    <n v="4"/>
    <n v="3"/>
    <s v="243"/>
    <x v="3"/>
  </r>
  <r>
    <x v="238"/>
    <d v="2025-02-11T09:00:07"/>
    <x v="8"/>
    <x v="4"/>
    <x v="1"/>
    <n v="5597.07"/>
    <n v="437"/>
    <n v="5"/>
    <n v="17833.57"/>
    <n v="2"/>
    <n v="5"/>
    <n v="5"/>
    <s v="255"/>
    <x v="3"/>
  </r>
  <r>
    <x v="308"/>
    <d v="2025-02-11T09:00:07"/>
    <x v="2"/>
    <x v="4"/>
    <x v="1"/>
    <n v="5381.97"/>
    <n v="437"/>
    <n v="9"/>
    <n v="34800.239999999998"/>
    <n v="2"/>
    <n v="2"/>
    <n v="3"/>
    <s v="223"/>
    <x v="2"/>
  </r>
  <r>
    <x v="59"/>
    <d v="2025-02-12T09:00:07"/>
    <x v="3"/>
    <x v="2"/>
    <x v="2"/>
    <n v="685.38"/>
    <n v="436"/>
    <n v="6"/>
    <n v="25651.410000000003"/>
    <n v="2"/>
    <n v="4"/>
    <n v="4"/>
    <s v="244"/>
    <x v="3"/>
  </r>
  <r>
    <x v="358"/>
    <d v="2025-02-12T09:00:07"/>
    <x v="8"/>
    <x v="2"/>
    <x v="2"/>
    <n v="5227.8900000000003"/>
    <n v="436"/>
    <n v="6"/>
    <n v="21369.009999999995"/>
    <n v="2"/>
    <n v="4"/>
    <n v="5"/>
    <s v="245"/>
    <x v="3"/>
  </r>
  <r>
    <x v="48"/>
    <d v="2025-02-12T09:00:07"/>
    <x v="2"/>
    <x v="2"/>
    <x v="1"/>
    <n v="5393.15"/>
    <n v="436"/>
    <n v="11"/>
    <n v="37863.899999999994"/>
    <n v="2"/>
    <n v="1"/>
    <n v="2"/>
    <s v="212"/>
    <x v="1"/>
  </r>
  <r>
    <x v="40"/>
    <d v="2025-02-12T09:00:07"/>
    <x v="8"/>
    <x v="0"/>
    <x v="2"/>
    <n v="8014.12"/>
    <n v="436"/>
    <n v="7"/>
    <n v="17825.52"/>
    <n v="2"/>
    <n v="4"/>
    <n v="5"/>
    <s v="245"/>
    <x v="3"/>
  </r>
  <r>
    <x v="60"/>
    <d v="2025-02-12T09:00:07"/>
    <x v="7"/>
    <x v="0"/>
    <x v="2"/>
    <n v="4165.1400000000003"/>
    <n v="436"/>
    <n v="5"/>
    <n v="16253.25"/>
    <n v="2"/>
    <n v="5"/>
    <n v="5"/>
    <s v="255"/>
    <x v="3"/>
  </r>
  <r>
    <x v="41"/>
    <d v="2025-02-13T09:00:07"/>
    <x v="6"/>
    <x v="1"/>
    <x v="2"/>
    <n v="871.39"/>
    <n v="435"/>
    <n v="10"/>
    <n v="40587.47"/>
    <n v="2"/>
    <n v="2"/>
    <n v="2"/>
    <s v="222"/>
    <x v="1"/>
  </r>
  <r>
    <x v="41"/>
    <d v="2025-02-13T09:00:07"/>
    <x v="5"/>
    <x v="0"/>
    <x v="1"/>
    <n v="3413.38"/>
    <n v="435"/>
    <n v="10"/>
    <n v="40587.47"/>
    <n v="2"/>
    <n v="2"/>
    <n v="2"/>
    <s v="222"/>
    <x v="1"/>
  </r>
  <r>
    <x v="133"/>
    <d v="2025-02-13T09:00:07"/>
    <x v="0"/>
    <x v="4"/>
    <x v="1"/>
    <n v="6373.37"/>
    <n v="435"/>
    <n v="11"/>
    <n v="38337.789999999994"/>
    <n v="2"/>
    <n v="1"/>
    <n v="2"/>
    <s v="212"/>
    <x v="1"/>
  </r>
  <r>
    <x v="28"/>
    <d v="2025-02-13T09:00:07"/>
    <x v="0"/>
    <x v="4"/>
    <x v="1"/>
    <n v="4694.58"/>
    <n v="435"/>
    <n v="10"/>
    <n v="39472.789999999994"/>
    <n v="2"/>
    <n v="2"/>
    <n v="2"/>
    <s v="222"/>
    <x v="1"/>
  </r>
  <r>
    <x v="343"/>
    <d v="2025-02-13T09:00:07"/>
    <x v="9"/>
    <x v="6"/>
    <x v="0"/>
    <n v="3630.8"/>
    <n v="435"/>
    <n v="4"/>
    <n v="11144.500000000002"/>
    <n v="2"/>
    <n v="5"/>
    <n v="5"/>
    <s v="255"/>
    <x v="3"/>
  </r>
  <r>
    <x v="98"/>
    <d v="2025-02-14T09:00:07"/>
    <x v="0"/>
    <x v="1"/>
    <x v="2"/>
    <n v="1368.78"/>
    <n v="434"/>
    <n v="7"/>
    <n v="33081.189999999995"/>
    <n v="2"/>
    <n v="4"/>
    <n v="3"/>
    <s v="243"/>
    <x v="3"/>
  </r>
  <r>
    <x v="257"/>
    <d v="2025-02-15T09:00:07"/>
    <x v="4"/>
    <x v="3"/>
    <x v="1"/>
    <n v="2900.69"/>
    <n v="433"/>
    <n v="3"/>
    <n v="11609.24"/>
    <n v="2"/>
    <n v="5"/>
    <n v="5"/>
    <s v="255"/>
    <x v="3"/>
  </r>
  <r>
    <x v="265"/>
    <d v="2025-02-16T09:00:07"/>
    <x v="0"/>
    <x v="4"/>
    <x v="1"/>
    <n v="7099.75"/>
    <n v="432"/>
    <n v="8"/>
    <n v="37946.1"/>
    <n v="2"/>
    <n v="3"/>
    <n v="2"/>
    <s v="232"/>
    <x v="0"/>
  </r>
  <r>
    <x v="12"/>
    <d v="2025-02-16T09:00:07"/>
    <x v="2"/>
    <x v="1"/>
    <x v="2"/>
    <n v="4042.48"/>
    <n v="432"/>
    <n v="9"/>
    <n v="24509.48"/>
    <n v="2"/>
    <n v="2"/>
    <n v="4"/>
    <s v="224"/>
    <x v="2"/>
  </r>
  <r>
    <x v="256"/>
    <d v="2025-02-16T09:00:07"/>
    <x v="9"/>
    <x v="2"/>
    <x v="2"/>
    <n v="8485.7199999999993"/>
    <n v="432"/>
    <n v="8"/>
    <n v="28559.850000000002"/>
    <n v="2"/>
    <n v="3"/>
    <n v="4"/>
    <s v="234"/>
    <x v="3"/>
  </r>
  <r>
    <x v="253"/>
    <d v="2025-02-17T09:00:07"/>
    <x v="0"/>
    <x v="2"/>
    <x v="0"/>
    <n v="8729.25"/>
    <n v="431"/>
    <n v="8"/>
    <n v="35967.03"/>
    <n v="3"/>
    <n v="3"/>
    <n v="3"/>
    <s v="333"/>
    <x v="0"/>
  </r>
  <r>
    <x v="168"/>
    <d v="2025-02-17T09:00:07"/>
    <x v="5"/>
    <x v="5"/>
    <x v="1"/>
    <n v="8001.63"/>
    <n v="431"/>
    <n v="8"/>
    <n v="26119.000000000004"/>
    <n v="3"/>
    <n v="3"/>
    <n v="4"/>
    <s v="334"/>
    <x v="0"/>
  </r>
  <r>
    <x v="376"/>
    <d v="2025-02-17T09:00:07"/>
    <x v="7"/>
    <x v="4"/>
    <x v="0"/>
    <n v="2553.12"/>
    <n v="431"/>
    <n v="8"/>
    <n v="28310.01"/>
    <n v="3"/>
    <n v="3"/>
    <n v="4"/>
    <s v="334"/>
    <x v="0"/>
  </r>
  <r>
    <x v="282"/>
    <d v="2025-02-18T09:00:07"/>
    <x v="0"/>
    <x v="6"/>
    <x v="1"/>
    <n v="8777.11"/>
    <n v="430"/>
    <n v="7"/>
    <n v="25906.9"/>
    <n v="3"/>
    <n v="4"/>
    <n v="4"/>
    <s v="344"/>
    <x v="0"/>
  </r>
  <r>
    <x v="325"/>
    <d v="2025-02-18T09:00:07"/>
    <x v="9"/>
    <x v="3"/>
    <x v="2"/>
    <n v="3126.18"/>
    <n v="430"/>
    <n v="5"/>
    <n v="14663.54"/>
    <n v="3"/>
    <n v="5"/>
    <n v="5"/>
    <s v="355"/>
    <x v="0"/>
  </r>
  <r>
    <x v="138"/>
    <d v="2025-02-18T09:00:07"/>
    <x v="3"/>
    <x v="0"/>
    <x v="0"/>
    <n v="3975.02"/>
    <n v="430"/>
    <n v="8"/>
    <n v="48110.42"/>
    <n v="3"/>
    <n v="3"/>
    <n v="1"/>
    <s v="331"/>
    <x v="0"/>
  </r>
  <r>
    <x v="142"/>
    <d v="2025-02-18T09:00:07"/>
    <x v="2"/>
    <x v="2"/>
    <x v="1"/>
    <n v="5894.52"/>
    <n v="430"/>
    <n v="13"/>
    <n v="47658.630000000005"/>
    <n v="3"/>
    <n v="1"/>
    <n v="1"/>
    <s v="311"/>
    <x v="0"/>
  </r>
  <r>
    <x v="373"/>
    <d v="2025-02-19T09:00:07"/>
    <x v="8"/>
    <x v="5"/>
    <x v="2"/>
    <n v="5550"/>
    <n v="429"/>
    <n v="7"/>
    <n v="28804.870000000003"/>
    <n v="3"/>
    <n v="4"/>
    <n v="4"/>
    <s v="344"/>
    <x v="0"/>
  </r>
  <r>
    <x v="66"/>
    <d v="2025-02-19T09:00:07"/>
    <x v="9"/>
    <x v="6"/>
    <x v="1"/>
    <n v="1672.82"/>
    <n v="429"/>
    <n v="6"/>
    <n v="26179.75"/>
    <n v="3"/>
    <n v="4"/>
    <n v="4"/>
    <s v="344"/>
    <x v="0"/>
  </r>
  <r>
    <x v="318"/>
    <d v="2025-02-19T09:00:07"/>
    <x v="6"/>
    <x v="0"/>
    <x v="1"/>
    <n v="653.09"/>
    <n v="429"/>
    <n v="11"/>
    <n v="30527.53"/>
    <n v="3"/>
    <n v="1"/>
    <n v="3"/>
    <s v="313"/>
    <x v="0"/>
  </r>
  <r>
    <x v="2"/>
    <d v="2025-02-19T09:00:07"/>
    <x v="9"/>
    <x v="0"/>
    <x v="1"/>
    <n v="751.57"/>
    <n v="429"/>
    <n v="10"/>
    <n v="32732.979999999996"/>
    <n v="3"/>
    <n v="2"/>
    <n v="3"/>
    <s v="323"/>
    <x v="0"/>
  </r>
  <r>
    <x v="344"/>
    <d v="2025-02-19T09:00:07"/>
    <x v="4"/>
    <x v="3"/>
    <x v="1"/>
    <n v="3533.07"/>
    <n v="429"/>
    <n v="8"/>
    <n v="29788.7"/>
    <n v="3"/>
    <n v="3"/>
    <n v="3"/>
    <s v="333"/>
    <x v="0"/>
  </r>
  <r>
    <x v="14"/>
    <d v="2025-02-19T09:00:07"/>
    <x v="6"/>
    <x v="4"/>
    <x v="1"/>
    <n v="6820.2"/>
    <n v="429"/>
    <n v="13"/>
    <n v="40219.18"/>
    <n v="3"/>
    <n v="1"/>
    <n v="2"/>
    <s v="312"/>
    <x v="0"/>
  </r>
  <r>
    <x v="303"/>
    <d v="2025-02-19T09:00:07"/>
    <x v="4"/>
    <x v="6"/>
    <x v="0"/>
    <n v="3271.81"/>
    <n v="429"/>
    <n v="7"/>
    <n v="19730.549999999996"/>
    <n v="3"/>
    <n v="4"/>
    <n v="5"/>
    <s v="345"/>
    <x v="0"/>
  </r>
  <r>
    <x v="141"/>
    <d v="2025-02-20T09:00:07"/>
    <x v="0"/>
    <x v="1"/>
    <x v="0"/>
    <n v="6645.75"/>
    <n v="428"/>
    <n v="4"/>
    <n v="21498.129999999997"/>
    <n v="3"/>
    <n v="5"/>
    <n v="5"/>
    <s v="355"/>
    <x v="0"/>
  </r>
  <r>
    <x v="41"/>
    <d v="2025-02-20T09:00:07"/>
    <x v="1"/>
    <x v="6"/>
    <x v="1"/>
    <n v="4349.08"/>
    <n v="428"/>
    <n v="10"/>
    <n v="40587.47"/>
    <n v="3"/>
    <n v="2"/>
    <n v="2"/>
    <s v="322"/>
    <x v="0"/>
  </r>
  <r>
    <x v="66"/>
    <d v="2025-02-20T09:00:07"/>
    <x v="6"/>
    <x v="1"/>
    <x v="0"/>
    <n v="5009.1499999999996"/>
    <n v="428"/>
    <n v="6"/>
    <n v="26179.75"/>
    <n v="3"/>
    <n v="4"/>
    <n v="4"/>
    <s v="344"/>
    <x v="0"/>
  </r>
  <r>
    <x v="308"/>
    <d v="2025-02-20T09:00:07"/>
    <x v="3"/>
    <x v="4"/>
    <x v="1"/>
    <n v="4139.43"/>
    <n v="428"/>
    <n v="9"/>
    <n v="34800.239999999998"/>
    <n v="3"/>
    <n v="2"/>
    <n v="3"/>
    <s v="323"/>
    <x v="0"/>
  </r>
  <r>
    <x v="238"/>
    <d v="2025-02-20T09:00:07"/>
    <x v="3"/>
    <x v="2"/>
    <x v="1"/>
    <n v="2723.3"/>
    <n v="428"/>
    <n v="5"/>
    <n v="17833.57"/>
    <n v="3"/>
    <n v="5"/>
    <n v="5"/>
    <s v="355"/>
    <x v="0"/>
  </r>
  <r>
    <x v="137"/>
    <d v="2025-02-20T09:00:07"/>
    <x v="6"/>
    <x v="5"/>
    <x v="1"/>
    <n v="3638.76"/>
    <n v="428"/>
    <n v="3"/>
    <n v="17686.849999999999"/>
    <n v="3"/>
    <n v="5"/>
    <n v="5"/>
    <s v="355"/>
    <x v="0"/>
  </r>
  <r>
    <x v="81"/>
    <d v="2025-02-21T09:00:07"/>
    <x v="8"/>
    <x v="0"/>
    <x v="0"/>
    <n v="164.79"/>
    <n v="427"/>
    <n v="12"/>
    <n v="27185.14"/>
    <n v="3"/>
    <n v="1"/>
    <n v="4"/>
    <s v="314"/>
    <x v="0"/>
  </r>
  <r>
    <x v="139"/>
    <d v="2025-02-21T09:00:07"/>
    <x v="3"/>
    <x v="1"/>
    <x v="0"/>
    <n v="4842.9799999999996"/>
    <n v="427"/>
    <n v="9"/>
    <n v="48530.240000000005"/>
    <n v="3"/>
    <n v="2"/>
    <n v="1"/>
    <s v="321"/>
    <x v="0"/>
  </r>
  <r>
    <x v="177"/>
    <d v="2025-02-21T09:00:07"/>
    <x v="7"/>
    <x v="3"/>
    <x v="1"/>
    <n v="3745.72"/>
    <n v="427"/>
    <n v="11"/>
    <n v="45526.78"/>
    <n v="3"/>
    <n v="1"/>
    <n v="1"/>
    <s v="311"/>
    <x v="0"/>
  </r>
  <r>
    <x v="146"/>
    <d v="2025-02-21T09:00:07"/>
    <x v="0"/>
    <x v="6"/>
    <x v="1"/>
    <n v="3681.29"/>
    <n v="427"/>
    <n v="12"/>
    <n v="42776.80999999999"/>
    <n v="3"/>
    <n v="1"/>
    <n v="2"/>
    <s v="312"/>
    <x v="0"/>
  </r>
  <r>
    <x v="272"/>
    <d v="2025-02-21T09:00:07"/>
    <x v="7"/>
    <x v="5"/>
    <x v="2"/>
    <n v="10181.36"/>
    <n v="427"/>
    <n v="13"/>
    <n v="49471.75"/>
    <n v="3"/>
    <n v="1"/>
    <n v="1"/>
    <s v="311"/>
    <x v="0"/>
  </r>
  <r>
    <x v="169"/>
    <d v="2025-02-21T09:00:07"/>
    <x v="5"/>
    <x v="0"/>
    <x v="0"/>
    <n v="2066.69"/>
    <n v="427"/>
    <n v="10"/>
    <n v="28216.130000000005"/>
    <n v="3"/>
    <n v="2"/>
    <n v="4"/>
    <s v="324"/>
    <x v="0"/>
  </r>
  <r>
    <x v="191"/>
    <d v="2025-02-22T09:00:07"/>
    <x v="1"/>
    <x v="3"/>
    <x v="1"/>
    <n v="7019.98"/>
    <n v="426"/>
    <n v="11"/>
    <n v="54143.32"/>
    <n v="3"/>
    <n v="1"/>
    <n v="1"/>
    <s v="311"/>
    <x v="0"/>
  </r>
  <r>
    <x v="184"/>
    <d v="2025-02-22T09:00:07"/>
    <x v="7"/>
    <x v="0"/>
    <x v="2"/>
    <n v="1467.77"/>
    <n v="426"/>
    <n v="9"/>
    <n v="45498.270000000004"/>
    <n v="3"/>
    <n v="2"/>
    <n v="1"/>
    <s v="321"/>
    <x v="0"/>
  </r>
  <r>
    <x v="272"/>
    <d v="2025-02-22T09:00:07"/>
    <x v="8"/>
    <x v="6"/>
    <x v="1"/>
    <n v="1971.99"/>
    <n v="426"/>
    <n v="13"/>
    <n v="49471.75"/>
    <n v="3"/>
    <n v="1"/>
    <n v="1"/>
    <s v="311"/>
    <x v="0"/>
  </r>
  <r>
    <x v="358"/>
    <d v="2025-02-23T09:00:07"/>
    <x v="4"/>
    <x v="5"/>
    <x v="0"/>
    <n v="1834.12"/>
    <n v="425"/>
    <n v="6"/>
    <n v="21369.009999999995"/>
    <n v="3"/>
    <n v="4"/>
    <n v="5"/>
    <s v="345"/>
    <x v="0"/>
  </r>
  <r>
    <x v="280"/>
    <d v="2025-02-23T09:00:07"/>
    <x v="5"/>
    <x v="0"/>
    <x v="0"/>
    <n v="892.62"/>
    <n v="425"/>
    <n v="16"/>
    <n v="64716.249999999985"/>
    <n v="3"/>
    <n v="1"/>
    <n v="1"/>
    <s v="311"/>
    <x v="0"/>
  </r>
  <r>
    <x v="272"/>
    <d v="2025-02-24T09:00:07"/>
    <x v="7"/>
    <x v="2"/>
    <x v="1"/>
    <n v="1096.8599999999999"/>
    <n v="424"/>
    <n v="13"/>
    <n v="49471.75"/>
    <n v="3"/>
    <n v="1"/>
    <n v="1"/>
    <s v="311"/>
    <x v="0"/>
  </r>
  <r>
    <x v="51"/>
    <d v="2025-02-24T09:00:07"/>
    <x v="9"/>
    <x v="5"/>
    <x v="1"/>
    <n v="3697.44"/>
    <n v="424"/>
    <n v="8"/>
    <n v="32019.260000000006"/>
    <n v="3"/>
    <n v="3"/>
    <n v="3"/>
    <s v="333"/>
    <x v="0"/>
  </r>
  <r>
    <x v="104"/>
    <d v="2025-02-24T09:00:07"/>
    <x v="3"/>
    <x v="3"/>
    <x v="1"/>
    <n v="2365.88"/>
    <n v="424"/>
    <n v="9"/>
    <n v="42109.760000000002"/>
    <n v="3"/>
    <n v="2"/>
    <n v="2"/>
    <s v="322"/>
    <x v="0"/>
  </r>
  <r>
    <x v="1"/>
    <d v="2025-02-25T09:00:07"/>
    <x v="0"/>
    <x v="0"/>
    <x v="2"/>
    <n v="1564.63"/>
    <n v="423"/>
    <n v="12"/>
    <n v="49382.650000000009"/>
    <n v="3"/>
    <n v="1"/>
    <n v="1"/>
    <s v="311"/>
    <x v="0"/>
  </r>
  <r>
    <x v="377"/>
    <d v="2025-02-25T09:00:07"/>
    <x v="3"/>
    <x v="3"/>
    <x v="0"/>
    <n v="3199.58"/>
    <n v="423"/>
    <n v="5"/>
    <n v="18834.370000000003"/>
    <n v="3"/>
    <n v="5"/>
    <n v="5"/>
    <s v="355"/>
    <x v="0"/>
  </r>
  <r>
    <x v="94"/>
    <d v="2025-02-25T09:00:07"/>
    <x v="8"/>
    <x v="5"/>
    <x v="1"/>
    <n v="3022.21"/>
    <n v="423"/>
    <n v="13"/>
    <n v="56128.799999999996"/>
    <n v="3"/>
    <n v="1"/>
    <n v="1"/>
    <s v="311"/>
    <x v="0"/>
  </r>
  <r>
    <x v="328"/>
    <d v="2025-02-25T09:00:07"/>
    <x v="5"/>
    <x v="1"/>
    <x v="2"/>
    <n v="1370.41"/>
    <n v="423"/>
    <n v="9"/>
    <n v="23905.670000000002"/>
    <n v="3"/>
    <n v="2"/>
    <n v="4"/>
    <s v="324"/>
    <x v="0"/>
  </r>
  <r>
    <x v="93"/>
    <d v="2025-02-26T09:00:07"/>
    <x v="3"/>
    <x v="0"/>
    <x v="2"/>
    <n v="1815.7"/>
    <n v="422"/>
    <n v="9"/>
    <n v="32520.350000000002"/>
    <n v="3"/>
    <n v="2"/>
    <n v="3"/>
    <s v="323"/>
    <x v="0"/>
  </r>
  <r>
    <x v="193"/>
    <d v="2025-02-26T09:00:07"/>
    <x v="1"/>
    <x v="1"/>
    <x v="0"/>
    <n v="515.77"/>
    <n v="422"/>
    <n v="10"/>
    <n v="54972.43"/>
    <n v="3"/>
    <n v="2"/>
    <n v="1"/>
    <s v="321"/>
    <x v="0"/>
  </r>
  <r>
    <x v="314"/>
    <d v="2025-02-27T09:00:07"/>
    <x v="9"/>
    <x v="2"/>
    <x v="2"/>
    <n v="1909.41"/>
    <n v="421"/>
    <n v="6"/>
    <n v="22687.77"/>
    <n v="3"/>
    <n v="4"/>
    <n v="4"/>
    <s v="344"/>
    <x v="0"/>
  </r>
  <r>
    <x v="231"/>
    <d v="2025-02-27T09:00:07"/>
    <x v="0"/>
    <x v="3"/>
    <x v="1"/>
    <n v="446.64"/>
    <n v="421"/>
    <n v="9"/>
    <n v="40711.57"/>
    <n v="3"/>
    <n v="2"/>
    <n v="2"/>
    <s v="322"/>
    <x v="0"/>
  </r>
  <r>
    <x v="99"/>
    <d v="2025-02-28T09:00:07"/>
    <x v="4"/>
    <x v="0"/>
    <x v="1"/>
    <n v="5084.26"/>
    <n v="420"/>
    <n v="10"/>
    <n v="47973.33"/>
    <n v="3"/>
    <n v="2"/>
    <n v="1"/>
    <s v="321"/>
    <x v="0"/>
  </r>
  <r>
    <x v="59"/>
    <d v="2025-02-28T09:00:07"/>
    <x v="7"/>
    <x v="5"/>
    <x v="0"/>
    <n v="1552.25"/>
    <n v="420"/>
    <n v="6"/>
    <n v="25651.410000000003"/>
    <n v="3"/>
    <n v="4"/>
    <n v="4"/>
    <s v="344"/>
    <x v="0"/>
  </r>
  <r>
    <x v="113"/>
    <d v="2025-02-28T09:00:07"/>
    <x v="9"/>
    <x v="6"/>
    <x v="0"/>
    <n v="7713.57"/>
    <n v="420"/>
    <n v="10"/>
    <n v="41704.25"/>
    <n v="3"/>
    <n v="2"/>
    <n v="2"/>
    <s v="322"/>
    <x v="0"/>
  </r>
  <r>
    <x v="272"/>
    <d v="2025-02-28T09:00:07"/>
    <x v="0"/>
    <x v="5"/>
    <x v="2"/>
    <n v="8221.7099999999991"/>
    <n v="420"/>
    <n v="13"/>
    <n v="49471.75"/>
    <n v="3"/>
    <n v="1"/>
    <n v="1"/>
    <s v="311"/>
    <x v="0"/>
  </r>
  <r>
    <x v="277"/>
    <d v="2025-02-28T09:00:07"/>
    <x v="5"/>
    <x v="2"/>
    <x v="1"/>
    <n v="4134.09"/>
    <n v="420"/>
    <n v="10"/>
    <n v="40760.559999999998"/>
    <n v="3"/>
    <n v="2"/>
    <n v="2"/>
    <s v="322"/>
    <x v="0"/>
  </r>
  <r>
    <x v="216"/>
    <d v="2025-03-01T09:00:07"/>
    <x v="0"/>
    <x v="5"/>
    <x v="0"/>
    <n v="7695.18"/>
    <n v="419"/>
    <n v="5"/>
    <n v="26334.340000000004"/>
    <n v="3"/>
    <n v="5"/>
    <n v="4"/>
    <s v="354"/>
    <x v="0"/>
  </r>
  <r>
    <x v="299"/>
    <d v="2025-03-02T09:00:07"/>
    <x v="7"/>
    <x v="1"/>
    <x v="2"/>
    <n v="4795.17"/>
    <n v="418"/>
    <n v="4"/>
    <n v="16102.51"/>
    <n v="3"/>
    <n v="5"/>
    <n v="5"/>
    <s v="355"/>
    <x v="0"/>
  </r>
  <r>
    <x v="43"/>
    <d v="2025-03-02T09:00:07"/>
    <x v="9"/>
    <x v="3"/>
    <x v="2"/>
    <n v="5630.95"/>
    <n v="418"/>
    <n v="11"/>
    <n v="39674.43"/>
    <n v="3"/>
    <n v="1"/>
    <n v="2"/>
    <s v="312"/>
    <x v="0"/>
  </r>
  <r>
    <x v="195"/>
    <d v="2025-03-02T09:00:07"/>
    <x v="1"/>
    <x v="0"/>
    <x v="2"/>
    <n v="1242.3"/>
    <n v="418"/>
    <n v="10"/>
    <n v="37984.589999999997"/>
    <n v="3"/>
    <n v="2"/>
    <n v="2"/>
    <s v="322"/>
    <x v="0"/>
  </r>
  <r>
    <x v="376"/>
    <d v="2025-03-02T09:00:07"/>
    <x v="1"/>
    <x v="6"/>
    <x v="0"/>
    <n v="886.54"/>
    <n v="418"/>
    <n v="8"/>
    <n v="28310.01"/>
    <n v="3"/>
    <n v="3"/>
    <n v="4"/>
    <s v="334"/>
    <x v="0"/>
  </r>
  <r>
    <x v="83"/>
    <d v="2025-03-02T09:00:07"/>
    <x v="5"/>
    <x v="5"/>
    <x v="1"/>
    <n v="5923.37"/>
    <n v="418"/>
    <n v="7"/>
    <n v="21031.63"/>
    <n v="3"/>
    <n v="4"/>
    <n v="5"/>
    <s v="345"/>
    <x v="0"/>
  </r>
  <r>
    <x v="171"/>
    <d v="2025-03-02T09:00:07"/>
    <x v="5"/>
    <x v="6"/>
    <x v="0"/>
    <n v="6962.77"/>
    <n v="418"/>
    <n v="5"/>
    <n v="25493.58"/>
    <n v="3"/>
    <n v="5"/>
    <n v="4"/>
    <s v="354"/>
    <x v="0"/>
  </r>
  <r>
    <x v="252"/>
    <d v="2025-03-02T09:00:07"/>
    <x v="4"/>
    <x v="2"/>
    <x v="0"/>
    <n v="5014.51"/>
    <n v="418"/>
    <n v="8"/>
    <n v="36475.079999999994"/>
    <n v="3"/>
    <n v="3"/>
    <n v="3"/>
    <s v="333"/>
    <x v="0"/>
  </r>
  <r>
    <x v="281"/>
    <d v="2025-03-02T09:00:07"/>
    <x v="8"/>
    <x v="5"/>
    <x v="1"/>
    <n v="4533.3599999999997"/>
    <n v="418"/>
    <n v="5"/>
    <n v="23857.670000000002"/>
    <n v="3"/>
    <n v="5"/>
    <n v="4"/>
    <s v="354"/>
    <x v="0"/>
  </r>
  <r>
    <x v="164"/>
    <d v="2025-03-03T09:00:07"/>
    <x v="2"/>
    <x v="2"/>
    <x v="2"/>
    <n v="709.51"/>
    <n v="417"/>
    <n v="6"/>
    <n v="17843.009999999998"/>
    <n v="3"/>
    <n v="4"/>
    <n v="5"/>
    <s v="345"/>
    <x v="0"/>
  </r>
  <r>
    <x v="334"/>
    <d v="2025-03-03T09:00:07"/>
    <x v="7"/>
    <x v="5"/>
    <x v="0"/>
    <n v="6244.94"/>
    <n v="417"/>
    <n v="5"/>
    <n v="25162.19"/>
    <n v="3"/>
    <n v="5"/>
    <n v="4"/>
    <s v="354"/>
    <x v="0"/>
  </r>
  <r>
    <x v="275"/>
    <d v="2025-03-03T09:00:07"/>
    <x v="0"/>
    <x v="5"/>
    <x v="1"/>
    <n v="7345.14"/>
    <n v="417"/>
    <n v="9"/>
    <n v="36963.729999999996"/>
    <n v="3"/>
    <n v="2"/>
    <n v="2"/>
    <s v="322"/>
    <x v="0"/>
  </r>
  <r>
    <x v="67"/>
    <d v="2025-03-03T09:00:07"/>
    <x v="8"/>
    <x v="5"/>
    <x v="0"/>
    <n v="667.92"/>
    <n v="417"/>
    <n v="8"/>
    <n v="35204.92"/>
    <n v="3"/>
    <n v="3"/>
    <n v="3"/>
    <s v="333"/>
    <x v="0"/>
  </r>
  <r>
    <x v="213"/>
    <d v="2025-03-03T09:00:07"/>
    <x v="4"/>
    <x v="0"/>
    <x v="2"/>
    <n v="6601.83"/>
    <n v="417"/>
    <n v="12"/>
    <n v="36909.899999999994"/>
    <n v="3"/>
    <n v="1"/>
    <n v="2"/>
    <s v="312"/>
    <x v="0"/>
  </r>
  <r>
    <x v="42"/>
    <d v="2025-03-03T09:00:07"/>
    <x v="1"/>
    <x v="6"/>
    <x v="1"/>
    <n v="3322.39"/>
    <n v="417"/>
    <n v="6"/>
    <n v="32030.929999999997"/>
    <n v="3"/>
    <n v="4"/>
    <n v="3"/>
    <s v="343"/>
    <x v="0"/>
  </r>
  <r>
    <x v="223"/>
    <d v="2025-03-03T09:00:07"/>
    <x v="0"/>
    <x v="4"/>
    <x v="2"/>
    <n v="280.11"/>
    <n v="417"/>
    <n v="9"/>
    <n v="26752.640000000003"/>
    <n v="3"/>
    <n v="2"/>
    <n v="4"/>
    <s v="324"/>
    <x v="0"/>
  </r>
  <r>
    <x v="326"/>
    <d v="2025-03-03T09:00:07"/>
    <x v="3"/>
    <x v="5"/>
    <x v="2"/>
    <n v="926.67"/>
    <n v="417"/>
    <n v="4"/>
    <n v="19178.5"/>
    <n v="3"/>
    <n v="5"/>
    <n v="5"/>
    <s v="355"/>
    <x v="0"/>
  </r>
  <r>
    <x v="91"/>
    <d v="2025-03-03T09:00:07"/>
    <x v="7"/>
    <x v="6"/>
    <x v="1"/>
    <n v="987.72"/>
    <n v="417"/>
    <n v="7"/>
    <n v="21209.440000000002"/>
    <n v="3"/>
    <n v="4"/>
    <n v="5"/>
    <s v="345"/>
    <x v="0"/>
  </r>
  <r>
    <x v="157"/>
    <d v="2025-03-04T09:00:07"/>
    <x v="6"/>
    <x v="1"/>
    <x v="0"/>
    <n v="2283.79"/>
    <n v="416"/>
    <n v="7"/>
    <n v="24873.88"/>
    <n v="3"/>
    <n v="4"/>
    <n v="4"/>
    <s v="344"/>
    <x v="0"/>
  </r>
  <r>
    <x v="243"/>
    <d v="2025-03-04T09:00:07"/>
    <x v="9"/>
    <x v="1"/>
    <x v="1"/>
    <n v="454.26"/>
    <n v="416"/>
    <n v="3"/>
    <n v="4922.93"/>
    <n v="3"/>
    <n v="5"/>
    <n v="5"/>
    <s v="355"/>
    <x v="0"/>
  </r>
  <r>
    <x v="87"/>
    <d v="2025-03-04T09:00:07"/>
    <x v="5"/>
    <x v="6"/>
    <x v="2"/>
    <n v="12269.37"/>
    <n v="416"/>
    <n v="13"/>
    <n v="72511.88"/>
    <n v="3"/>
    <n v="1"/>
    <n v="1"/>
    <s v="311"/>
    <x v="0"/>
  </r>
  <r>
    <x v="164"/>
    <d v="2025-03-04T09:00:07"/>
    <x v="2"/>
    <x v="3"/>
    <x v="2"/>
    <n v="5131.8"/>
    <n v="416"/>
    <n v="6"/>
    <n v="17843.009999999998"/>
    <n v="3"/>
    <n v="4"/>
    <n v="5"/>
    <s v="345"/>
    <x v="0"/>
  </r>
  <r>
    <x v="282"/>
    <d v="2025-03-04T09:00:07"/>
    <x v="9"/>
    <x v="3"/>
    <x v="1"/>
    <n v="1883.67"/>
    <n v="416"/>
    <n v="7"/>
    <n v="25906.9"/>
    <n v="3"/>
    <n v="4"/>
    <n v="4"/>
    <s v="344"/>
    <x v="0"/>
  </r>
  <r>
    <x v="9"/>
    <d v="2025-03-05T09:00:07"/>
    <x v="5"/>
    <x v="0"/>
    <x v="1"/>
    <n v="2868.44"/>
    <n v="415"/>
    <n v="10"/>
    <n v="67378.48000000001"/>
    <n v="3"/>
    <n v="2"/>
    <n v="1"/>
    <s v="321"/>
    <x v="0"/>
  </r>
  <r>
    <x v="231"/>
    <d v="2025-03-05T09:00:07"/>
    <x v="6"/>
    <x v="4"/>
    <x v="2"/>
    <n v="4084.93"/>
    <n v="415"/>
    <n v="9"/>
    <n v="40711.57"/>
    <n v="3"/>
    <n v="2"/>
    <n v="2"/>
    <s v="322"/>
    <x v="0"/>
  </r>
  <r>
    <x v="303"/>
    <d v="2025-03-06T09:00:07"/>
    <x v="5"/>
    <x v="6"/>
    <x v="0"/>
    <n v="614.48"/>
    <n v="414"/>
    <n v="7"/>
    <n v="19730.549999999996"/>
    <n v="3"/>
    <n v="4"/>
    <n v="5"/>
    <s v="345"/>
    <x v="0"/>
  </r>
  <r>
    <x v="113"/>
    <d v="2025-03-06T09:00:07"/>
    <x v="9"/>
    <x v="2"/>
    <x v="1"/>
    <n v="3330.31"/>
    <n v="414"/>
    <n v="10"/>
    <n v="41704.25"/>
    <n v="3"/>
    <n v="2"/>
    <n v="2"/>
    <s v="322"/>
    <x v="0"/>
  </r>
  <r>
    <x v="333"/>
    <d v="2025-03-06T09:00:07"/>
    <x v="9"/>
    <x v="4"/>
    <x v="0"/>
    <n v="989.5"/>
    <n v="414"/>
    <n v="10"/>
    <n v="42023.55"/>
    <n v="3"/>
    <n v="2"/>
    <n v="2"/>
    <s v="322"/>
    <x v="0"/>
  </r>
  <r>
    <x v="237"/>
    <d v="2025-03-06T09:00:07"/>
    <x v="0"/>
    <x v="4"/>
    <x v="2"/>
    <n v="2698.56"/>
    <n v="414"/>
    <n v="8"/>
    <n v="35247.5"/>
    <n v="3"/>
    <n v="3"/>
    <n v="3"/>
    <s v="333"/>
    <x v="0"/>
  </r>
  <r>
    <x v="45"/>
    <d v="2025-03-07T09:00:07"/>
    <x v="8"/>
    <x v="4"/>
    <x v="0"/>
    <n v="4237.03"/>
    <n v="413"/>
    <n v="10"/>
    <n v="50122.659999999996"/>
    <n v="3"/>
    <n v="2"/>
    <n v="1"/>
    <s v="321"/>
    <x v="0"/>
  </r>
  <r>
    <x v="241"/>
    <d v="2025-03-07T09:00:07"/>
    <x v="8"/>
    <x v="1"/>
    <x v="0"/>
    <n v="306.01"/>
    <n v="413"/>
    <n v="12"/>
    <n v="43413.4"/>
    <n v="3"/>
    <n v="1"/>
    <n v="2"/>
    <s v="312"/>
    <x v="0"/>
  </r>
  <r>
    <x v="43"/>
    <d v="2025-03-07T09:00:07"/>
    <x v="6"/>
    <x v="2"/>
    <x v="1"/>
    <n v="4140.2"/>
    <n v="413"/>
    <n v="11"/>
    <n v="39674.43"/>
    <n v="3"/>
    <n v="1"/>
    <n v="2"/>
    <s v="312"/>
    <x v="0"/>
  </r>
  <r>
    <x v="1"/>
    <d v="2025-03-07T09:00:07"/>
    <x v="3"/>
    <x v="3"/>
    <x v="2"/>
    <n v="1624.38"/>
    <n v="413"/>
    <n v="12"/>
    <n v="49382.650000000009"/>
    <n v="3"/>
    <n v="1"/>
    <n v="1"/>
    <s v="311"/>
    <x v="0"/>
  </r>
  <r>
    <x v="1"/>
    <d v="2025-03-08T09:00:07"/>
    <x v="5"/>
    <x v="0"/>
    <x v="1"/>
    <n v="4297.72"/>
    <n v="412"/>
    <n v="12"/>
    <n v="49382.650000000009"/>
    <n v="3"/>
    <n v="1"/>
    <n v="1"/>
    <s v="311"/>
    <x v="0"/>
  </r>
  <r>
    <x v="324"/>
    <d v="2025-03-08T09:00:07"/>
    <x v="0"/>
    <x v="1"/>
    <x v="0"/>
    <n v="4520.07"/>
    <n v="412"/>
    <n v="8"/>
    <n v="31330.839999999997"/>
    <n v="3"/>
    <n v="3"/>
    <n v="3"/>
    <s v="333"/>
    <x v="0"/>
  </r>
  <r>
    <x v="279"/>
    <d v="2025-03-08T09:00:07"/>
    <x v="4"/>
    <x v="6"/>
    <x v="0"/>
    <n v="1481.45"/>
    <n v="412"/>
    <n v="7"/>
    <n v="29446.02"/>
    <n v="3"/>
    <n v="4"/>
    <n v="4"/>
    <s v="344"/>
    <x v="0"/>
  </r>
  <r>
    <x v="220"/>
    <d v="2025-03-09T09:00:07"/>
    <x v="5"/>
    <x v="2"/>
    <x v="1"/>
    <n v="3401.77"/>
    <n v="411"/>
    <n v="5"/>
    <n v="20686.43"/>
    <n v="3"/>
    <n v="5"/>
    <n v="5"/>
    <s v="355"/>
    <x v="0"/>
  </r>
  <r>
    <x v="80"/>
    <d v="2025-03-09T09:00:07"/>
    <x v="2"/>
    <x v="6"/>
    <x v="0"/>
    <n v="6989.23"/>
    <n v="411"/>
    <n v="10"/>
    <n v="38608.230000000003"/>
    <n v="3"/>
    <n v="2"/>
    <n v="2"/>
    <s v="322"/>
    <x v="0"/>
  </r>
  <r>
    <x v="41"/>
    <d v="2025-03-10T09:00:07"/>
    <x v="1"/>
    <x v="5"/>
    <x v="1"/>
    <n v="9134.5400000000009"/>
    <n v="410"/>
    <n v="10"/>
    <n v="40587.47"/>
    <n v="3"/>
    <n v="2"/>
    <n v="2"/>
    <s v="322"/>
    <x v="0"/>
  </r>
  <r>
    <x v="179"/>
    <d v="2025-03-10T09:00:07"/>
    <x v="2"/>
    <x v="0"/>
    <x v="0"/>
    <n v="561.66999999999996"/>
    <n v="410"/>
    <n v="4"/>
    <n v="12531.98"/>
    <n v="3"/>
    <n v="5"/>
    <n v="5"/>
    <s v="355"/>
    <x v="0"/>
  </r>
  <r>
    <x v="371"/>
    <d v="2025-03-10T09:00:07"/>
    <x v="8"/>
    <x v="1"/>
    <x v="2"/>
    <n v="1315.19"/>
    <n v="410"/>
    <n v="5"/>
    <n v="18024.71"/>
    <n v="3"/>
    <n v="5"/>
    <n v="5"/>
    <s v="355"/>
    <x v="0"/>
  </r>
  <r>
    <x v="223"/>
    <d v="2025-03-11T09:00:07"/>
    <x v="6"/>
    <x v="6"/>
    <x v="2"/>
    <n v="1943.52"/>
    <n v="409"/>
    <n v="9"/>
    <n v="26752.640000000003"/>
    <n v="3"/>
    <n v="2"/>
    <n v="4"/>
    <s v="324"/>
    <x v="0"/>
  </r>
  <r>
    <x v="172"/>
    <d v="2025-03-11T09:00:07"/>
    <x v="5"/>
    <x v="6"/>
    <x v="1"/>
    <n v="10187.69"/>
    <n v="409"/>
    <n v="9"/>
    <n v="51674.6"/>
    <n v="3"/>
    <n v="2"/>
    <n v="1"/>
    <s v="321"/>
    <x v="0"/>
  </r>
  <r>
    <x v="240"/>
    <d v="2025-03-11T09:00:07"/>
    <x v="6"/>
    <x v="4"/>
    <x v="0"/>
    <n v="2419.81"/>
    <n v="409"/>
    <n v="10"/>
    <n v="27910.07"/>
    <n v="3"/>
    <n v="2"/>
    <n v="4"/>
    <s v="324"/>
    <x v="0"/>
  </r>
  <r>
    <x v="193"/>
    <d v="2025-03-12T09:00:07"/>
    <x v="7"/>
    <x v="2"/>
    <x v="0"/>
    <n v="13517.06"/>
    <n v="408"/>
    <n v="10"/>
    <n v="54972.43"/>
    <n v="3"/>
    <n v="2"/>
    <n v="1"/>
    <s v="321"/>
    <x v="0"/>
  </r>
  <r>
    <x v="43"/>
    <d v="2025-03-12T09:00:07"/>
    <x v="5"/>
    <x v="6"/>
    <x v="0"/>
    <n v="4625.47"/>
    <n v="408"/>
    <n v="11"/>
    <n v="39674.43"/>
    <n v="3"/>
    <n v="1"/>
    <n v="2"/>
    <s v="312"/>
    <x v="0"/>
  </r>
  <r>
    <x v="129"/>
    <d v="2025-03-13T09:00:07"/>
    <x v="2"/>
    <x v="5"/>
    <x v="0"/>
    <n v="3045.99"/>
    <n v="407"/>
    <n v="9"/>
    <n v="30288.86"/>
    <n v="3"/>
    <n v="2"/>
    <n v="3"/>
    <s v="323"/>
    <x v="0"/>
  </r>
  <r>
    <x v="363"/>
    <d v="2025-03-13T09:00:07"/>
    <x v="8"/>
    <x v="6"/>
    <x v="0"/>
    <n v="2161.92"/>
    <n v="407"/>
    <n v="10"/>
    <n v="29994.030000000002"/>
    <n v="3"/>
    <n v="2"/>
    <n v="3"/>
    <s v="323"/>
    <x v="0"/>
  </r>
  <r>
    <x v="297"/>
    <d v="2025-03-13T09:00:07"/>
    <x v="4"/>
    <x v="0"/>
    <x v="0"/>
    <n v="319.85000000000002"/>
    <n v="407"/>
    <n v="4"/>
    <n v="24173.510000000002"/>
    <n v="3"/>
    <n v="5"/>
    <n v="4"/>
    <s v="354"/>
    <x v="0"/>
  </r>
  <r>
    <x v="213"/>
    <d v="2025-03-14T09:00:07"/>
    <x v="9"/>
    <x v="4"/>
    <x v="2"/>
    <n v="2415.4299999999998"/>
    <n v="406"/>
    <n v="12"/>
    <n v="36909.899999999994"/>
    <n v="3"/>
    <n v="1"/>
    <n v="2"/>
    <s v="312"/>
    <x v="0"/>
  </r>
  <r>
    <x v="71"/>
    <d v="2025-03-14T09:00:07"/>
    <x v="6"/>
    <x v="0"/>
    <x v="2"/>
    <n v="8461.2999999999993"/>
    <n v="406"/>
    <n v="10"/>
    <n v="49420.710000000006"/>
    <n v="3"/>
    <n v="2"/>
    <n v="1"/>
    <s v="321"/>
    <x v="0"/>
  </r>
  <r>
    <x v="370"/>
    <d v="2025-03-14T09:00:07"/>
    <x v="8"/>
    <x v="2"/>
    <x v="1"/>
    <n v="10309"/>
    <n v="406"/>
    <n v="12"/>
    <n v="83986.299999999988"/>
    <n v="3"/>
    <n v="1"/>
    <n v="1"/>
    <s v="311"/>
    <x v="0"/>
  </r>
  <r>
    <x v="1"/>
    <d v="2025-03-14T09:00:07"/>
    <x v="3"/>
    <x v="1"/>
    <x v="1"/>
    <n v="6089.71"/>
    <n v="406"/>
    <n v="12"/>
    <n v="49382.650000000009"/>
    <n v="3"/>
    <n v="1"/>
    <n v="1"/>
    <s v="311"/>
    <x v="0"/>
  </r>
  <r>
    <x v="192"/>
    <d v="2025-03-14T09:00:07"/>
    <x v="9"/>
    <x v="1"/>
    <x v="0"/>
    <n v="2261.5100000000002"/>
    <n v="406"/>
    <n v="12"/>
    <n v="45191.609999999993"/>
    <n v="3"/>
    <n v="1"/>
    <n v="1"/>
    <s v="311"/>
    <x v="0"/>
  </r>
  <r>
    <x v="275"/>
    <d v="2025-03-15T09:00:07"/>
    <x v="4"/>
    <x v="0"/>
    <x v="1"/>
    <n v="2764.08"/>
    <n v="405"/>
    <n v="9"/>
    <n v="36963.729999999996"/>
    <n v="3"/>
    <n v="2"/>
    <n v="2"/>
    <s v="322"/>
    <x v="0"/>
  </r>
  <r>
    <x v="103"/>
    <d v="2025-03-15T09:00:07"/>
    <x v="5"/>
    <x v="3"/>
    <x v="2"/>
    <n v="11403.51"/>
    <n v="405"/>
    <n v="15"/>
    <n v="55867.080000000016"/>
    <n v="3"/>
    <n v="1"/>
    <n v="1"/>
    <s v="311"/>
    <x v="0"/>
  </r>
  <r>
    <x v="324"/>
    <d v="2025-03-15T09:00:07"/>
    <x v="4"/>
    <x v="2"/>
    <x v="1"/>
    <n v="3903.76"/>
    <n v="405"/>
    <n v="8"/>
    <n v="31330.839999999997"/>
    <n v="3"/>
    <n v="3"/>
    <n v="3"/>
    <s v="333"/>
    <x v="0"/>
  </r>
  <r>
    <x v="240"/>
    <d v="2025-03-16T09:00:07"/>
    <x v="7"/>
    <x v="1"/>
    <x v="2"/>
    <n v="3133.34"/>
    <n v="404"/>
    <n v="10"/>
    <n v="27910.07"/>
    <n v="3"/>
    <n v="2"/>
    <n v="4"/>
    <s v="324"/>
    <x v="0"/>
  </r>
  <r>
    <x v="289"/>
    <d v="2025-03-16T09:00:07"/>
    <x v="5"/>
    <x v="4"/>
    <x v="1"/>
    <n v="2207.19"/>
    <n v="404"/>
    <n v="6"/>
    <n v="29693.030000000002"/>
    <n v="3"/>
    <n v="4"/>
    <n v="3"/>
    <s v="343"/>
    <x v="0"/>
  </r>
  <r>
    <x v="129"/>
    <d v="2025-03-16T09:00:07"/>
    <x v="8"/>
    <x v="2"/>
    <x v="0"/>
    <n v="5333.95"/>
    <n v="404"/>
    <n v="9"/>
    <n v="30288.86"/>
    <n v="3"/>
    <n v="2"/>
    <n v="3"/>
    <s v="323"/>
    <x v="0"/>
  </r>
  <r>
    <x v="32"/>
    <d v="2025-03-16T09:00:07"/>
    <x v="6"/>
    <x v="1"/>
    <x v="1"/>
    <n v="1512.49"/>
    <n v="404"/>
    <n v="13"/>
    <n v="40402.14"/>
    <n v="3"/>
    <n v="1"/>
    <n v="2"/>
    <s v="312"/>
    <x v="0"/>
  </r>
  <r>
    <x v="70"/>
    <d v="2025-03-16T09:00:07"/>
    <x v="0"/>
    <x v="1"/>
    <x v="0"/>
    <n v="2804.06"/>
    <n v="404"/>
    <n v="15"/>
    <n v="57217.139999999992"/>
    <n v="3"/>
    <n v="1"/>
    <n v="1"/>
    <s v="311"/>
    <x v="0"/>
  </r>
  <r>
    <x v="121"/>
    <d v="2025-03-16T09:00:07"/>
    <x v="6"/>
    <x v="0"/>
    <x v="2"/>
    <n v="2038.65"/>
    <n v="404"/>
    <n v="7"/>
    <n v="29497.360000000001"/>
    <n v="3"/>
    <n v="4"/>
    <n v="3"/>
    <s v="343"/>
    <x v="0"/>
  </r>
  <r>
    <x v="258"/>
    <d v="2025-03-16T09:00:07"/>
    <x v="7"/>
    <x v="6"/>
    <x v="0"/>
    <n v="2943.06"/>
    <n v="404"/>
    <n v="6"/>
    <n v="16588.13"/>
    <n v="3"/>
    <n v="4"/>
    <n v="5"/>
    <s v="345"/>
    <x v="0"/>
  </r>
  <r>
    <x v="246"/>
    <d v="2025-03-16T09:00:07"/>
    <x v="5"/>
    <x v="4"/>
    <x v="1"/>
    <n v="1186.8900000000001"/>
    <n v="404"/>
    <n v="10"/>
    <n v="30897.65"/>
    <n v="3"/>
    <n v="2"/>
    <n v="3"/>
    <s v="323"/>
    <x v="0"/>
  </r>
  <r>
    <x v="50"/>
    <d v="2025-03-17T09:00:07"/>
    <x v="2"/>
    <x v="3"/>
    <x v="0"/>
    <n v="4716.53"/>
    <n v="403"/>
    <n v="13"/>
    <n v="64175.24"/>
    <n v="3"/>
    <n v="1"/>
    <n v="1"/>
    <s v="311"/>
    <x v="0"/>
  </r>
  <r>
    <x v="184"/>
    <d v="2025-03-17T09:00:07"/>
    <x v="4"/>
    <x v="6"/>
    <x v="2"/>
    <n v="5054.87"/>
    <n v="403"/>
    <n v="9"/>
    <n v="45498.270000000004"/>
    <n v="3"/>
    <n v="2"/>
    <n v="1"/>
    <s v="321"/>
    <x v="0"/>
  </r>
  <r>
    <x v="163"/>
    <d v="2025-03-18T09:00:07"/>
    <x v="1"/>
    <x v="6"/>
    <x v="1"/>
    <n v="477.66"/>
    <n v="402"/>
    <n v="9"/>
    <n v="30047.29"/>
    <n v="3"/>
    <n v="2"/>
    <n v="3"/>
    <s v="323"/>
    <x v="0"/>
  </r>
  <r>
    <x v="218"/>
    <d v="2025-03-18T09:00:07"/>
    <x v="1"/>
    <x v="0"/>
    <x v="2"/>
    <n v="6370.92"/>
    <n v="402"/>
    <n v="12"/>
    <n v="48008.159999999996"/>
    <n v="3"/>
    <n v="1"/>
    <n v="1"/>
    <s v="311"/>
    <x v="0"/>
  </r>
  <r>
    <x v="166"/>
    <d v="2025-03-19T09:00:07"/>
    <x v="5"/>
    <x v="1"/>
    <x v="1"/>
    <n v="3103.38"/>
    <n v="401"/>
    <n v="7"/>
    <n v="28777.9"/>
    <n v="3"/>
    <n v="4"/>
    <n v="4"/>
    <s v="344"/>
    <x v="0"/>
  </r>
  <r>
    <x v="198"/>
    <d v="2025-03-20T09:00:07"/>
    <x v="8"/>
    <x v="5"/>
    <x v="2"/>
    <n v="4876.96"/>
    <n v="400"/>
    <n v="9"/>
    <n v="30846.7"/>
    <n v="3"/>
    <n v="2"/>
    <n v="3"/>
    <s v="323"/>
    <x v="0"/>
  </r>
  <r>
    <x v="4"/>
    <d v="2025-03-20T09:00:07"/>
    <x v="0"/>
    <x v="4"/>
    <x v="2"/>
    <n v="1307.6099999999999"/>
    <n v="400"/>
    <n v="6"/>
    <n v="17570.61"/>
    <n v="3"/>
    <n v="4"/>
    <n v="5"/>
    <s v="345"/>
    <x v="0"/>
  </r>
  <r>
    <x v="378"/>
    <d v="2025-03-20T09:00:07"/>
    <x v="8"/>
    <x v="2"/>
    <x v="2"/>
    <n v="12497.13"/>
    <n v="400"/>
    <n v="3"/>
    <n v="24687.369999999995"/>
    <n v="3"/>
    <n v="5"/>
    <n v="4"/>
    <s v="354"/>
    <x v="0"/>
  </r>
  <r>
    <x v="275"/>
    <d v="2025-03-20T09:00:07"/>
    <x v="8"/>
    <x v="3"/>
    <x v="2"/>
    <n v="4272.87"/>
    <n v="400"/>
    <n v="9"/>
    <n v="36963.729999999996"/>
    <n v="3"/>
    <n v="2"/>
    <n v="2"/>
    <s v="322"/>
    <x v="0"/>
  </r>
  <r>
    <x v="254"/>
    <d v="2025-03-20T09:00:07"/>
    <x v="7"/>
    <x v="6"/>
    <x v="1"/>
    <n v="2830.76"/>
    <n v="400"/>
    <n v="5"/>
    <n v="24865.420000000002"/>
    <n v="3"/>
    <n v="5"/>
    <n v="4"/>
    <s v="354"/>
    <x v="0"/>
  </r>
  <r>
    <x v="358"/>
    <d v="2025-03-20T09:00:07"/>
    <x v="6"/>
    <x v="6"/>
    <x v="2"/>
    <n v="2981.46"/>
    <n v="400"/>
    <n v="6"/>
    <n v="21369.009999999995"/>
    <n v="3"/>
    <n v="4"/>
    <n v="5"/>
    <s v="345"/>
    <x v="0"/>
  </r>
  <r>
    <x v="107"/>
    <d v="2025-03-20T09:00:07"/>
    <x v="8"/>
    <x v="6"/>
    <x v="0"/>
    <n v="1386.29"/>
    <n v="400"/>
    <n v="4"/>
    <n v="10594.94"/>
    <n v="3"/>
    <n v="5"/>
    <n v="5"/>
    <s v="355"/>
    <x v="0"/>
  </r>
  <r>
    <x v="282"/>
    <d v="2025-03-21T09:00:07"/>
    <x v="7"/>
    <x v="0"/>
    <x v="2"/>
    <n v="3508.05"/>
    <n v="399"/>
    <n v="7"/>
    <n v="25906.9"/>
    <n v="3"/>
    <n v="4"/>
    <n v="4"/>
    <s v="344"/>
    <x v="0"/>
  </r>
  <r>
    <x v="27"/>
    <d v="2025-03-21T09:00:07"/>
    <x v="1"/>
    <x v="3"/>
    <x v="1"/>
    <n v="1994.95"/>
    <n v="399"/>
    <n v="12"/>
    <n v="49930.359999999993"/>
    <n v="3"/>
    <n v="1"/>
    <n v="1"/>
    <s v="311"/>
    <x v="0"/>
  </r>
  <r>
    <x v="7"/>
    <d v="2025-03-21T09:00:07"/>
    <x v="8"/>
    <x v="0"/>
    <x v="0"/>
    <n v="5333.41"/>
    <n v="399"/>
    <n v="8"/>
    <n v="43799.990000000005"/>
    <n v="3"/>
    <n v="3"/>
    <n v="2"/>
    <s v="332"/>
    <x v="0"/>
  </r>
  <r>
    <x v="368"/>
    <d v="2025-03-21T09:00:07"/>
    <x v="6"/>
    <x v="5"/>
    <x v="2"/>
    <n v="2431.7600000000002"/>
    <n v="399"/>
    <n v="10"/>
    <n v="44572.97"/>
    <n v="3"/>
    <n v="2"/>
    <n v="2"/>
    <s v="322"/>
    <x v="0"/>
  </r>
  <r>
    <x v="354"/>
    <d v="2025-03-22T09:00:07"/>
    <x v="2"/>
    <x v="4"/>
    <x v="0"/>
    <n v="5399.03"/>
    <n v="398"/>
    <n v="5"/>
    <n v="19401.64"/>
    <n v="3"/>
    <n v="5"/>
    <n v="5"/>
    <s v="355"/>
    <x v="0"/>
  </r>
  <r>
    <x v="116"/>
    <d v="2025-03-22T09:00:07"/>
    <x v="2"/>
    <x v="1"/>
    <x v="0"/>
    <n v="1500.35"/>
    <n v="398"/>
    <n v="16"/>
    <n v="76962.720000000001"/>
    <n v="3"/>
    <n v="1"/>
    <n v="1"/>
    <s v="311"/>
    <x v="0"/>
  </r>
  <r>
    <x v="51"/>
    <d v="2025-03-22T09:00:07"/>
    <x v="9"/>
    <x v="0"/>
    <x v="0"/>
    <n v="9759.51"/>
    <n v="398"/>
    <n v="8"/>
    <n v="32019.260000000006"/>
    <n v="3"/>
    <n v="3"/>
    <n v="3"/>
    <s v="333"/>
    <x v="0"/>
  </r>
  <r>
    <x v="212"/>
    <d v="2025-03-22T09:00:07"/>
    <x v="2"/>
    <x v="4"/>
    <x v="0"/>
    <n v="846.11"/>
    <n v="398"/>
    <n v="9"/>
    <n v="27881.53"/>
    <n v="3"/>
    <n v="2"/>
    <n v="4"/>
    <s v="324"/>
    <x v="0"/>
  </r>
  <r>
    <x v="226"/>
    <d v="2025-03-23T09:00:07"/>
    <x v="5"/>
    <x v="2"/>
    <x v="2"/>
    <n v="3598.42"/>
    <n v="397"/>
    <n v="6"/>
    <n v="23326.76"/>
    <n v="3"/>
    <n v="4"/>
    <n v="4"/>
    <s v="344"/>
    <x v="0"/>
  </r>
  <r>
    <x v="4"/>
    <d v="2025-03-23T09:00:07"/>
    <x v="0"/>
    <x v="3"/>
    <x v="0"/>
    <n v="8292.19"/>
    <n v="397"/>
    <n v="6"/>
    <n v="17570.61"/>
    <n v="3"/>
    <n v="4"/>
    <n v="5"/>
    <s v="345"/>
    <x v="0"/>
  </r>
  <r>
    <x v="323"/>
    <d v="2025-03-24T09:00:07"/>
    <x v="3"/>
    <x v="4"/>
    <x v="2"/>
    <n v="2574.6999999999998"/>
    <n v="396"/>
    <n v="6"/>
    <n v="15612.87"/>
    <n v="3"/>
    <n v="4"/>
    <n v="5"/>
    <s v="345"/>
    <x v="0"/>
  </r>
  <r>
    <x v="196"/>
    <d v="2025-03-24T09:00:07"/>
    <x v="2"/>
    <x v="6"/>
    <x v="1"/>
    <n v="2053.7600000000002"/>
    <n v="396"/>
    <n v="10"/>
    <n v="44305.600000000006"/>
    <n v="3"/>
    <n v="2"/>
    <n v="2"/>
    <s v="322"/>
    <x v="0"/>
  </r>
  <r>
    <x v="20"/>
    <d v="2025-03-24T09:00:07"/>
    <x v="7"/>
    <x v="2"/>
    <x v="2"/>
    <n v="1676.66"/>
    <n v="396"/>
    <n v="14"/>
    <n v="53433.220000000008"/>
    <n v="3"/>
    <n v="1"/>
    <n v="1"/>
    <s v="311"/>
    <x v="0"/>
  </r>
  <r>
    <x v="81"/>
    <d v="2025-03-24T09:00:07"/>
    <x v="3"/>
    <x v="4"/>
    <x v="0"/>
    <n v="1543.32"/>
    <n v="396"/>
    <n v="12"/>
    <n v="27185.14"/>
    <n v="3"/>
    <n v="1"/>
    <n v="4"/>
    <s v="314"/>
    <x v="0"/>
  </r>
  <r>
    <x v="348"/>
    <d v="2025-03-24T09:00:07"/>
    <x v="1"/>
    <x v="5"/>
    <x v="2"/>
    <n v="2882.75"/>
    <n v="396"/>
    <n v="8"/>
    <n v="27090.329999999998"/>
    <n v="3"/>
    <n v="3"/>
    <n v="4"/>
    <s v="334"/>
    <x v="0"/>
  </r>
  <r>
    <x v="51"/>
    <d v="2025-03-25T09:00:07"/>
    <x v="1"/>
    <x v="6"/>
    <x v="1"/>
    <n v="200.49"/>
    <n v="395"/>
    <n v="8"/>
    <n v="32019.260000000006"/>
    <n v="3"/>
    <n v="3"/>
    <n v="3"/>
    <s v="333"/>
    <x v="0"/>
  </r>
  <r>
    <x v="192"/>
    <d v="2025-03-25T09:00:07"/>
    <x v="3"/>
    <x v="4"/>
    <x v="2"/>
    <n v="6600.46"/>
    <n v="395"/>
    <n v="12"/>
    <n v="45191.609999999993"/>
    <n v="3"/>
    <n v="1"/>
    <n v="1"/>
    <s v="311"/>
    <x v="0"/>
  </r>
  <r>
    <x v="172"/>
    <d v="2025-03-25T09:00:07"/>
    <x v="1"/>
    <x v="0"/>
    <x v="2"/>
    <n v="3960.4"/>
    <n v="395"/>
    <n v="9"/>
    <n v="51674.6"/>
    <n v="3"/>
    <n v="2"/>
    <n v="1"/>
    <s v="321"/>
    <x v="0"/>
  </r>
  <r>
    <x v="377"/>
    <d v="2025-03-26T09:00:07"/>
    <x v="8"/>
    <x v="3"/>
    <x v="2"/>
    <n v="6576.44"/>
    <n v="394"/>
    <n v="5"/>
    <n v="18834.370000000003"/>
    <n v="3"/>
    <n v="5"/>
    <n v="5"/>
    <s v="355"/>
    <x v="0"/>
  </r>
  <r>
    <x v="304"/>
    <d v="2025-03-26T09:00:07"/>
    <x v="0"/>
    <x v="3"/>
    <x v="0"/>
    <n v="2863.09"/>
    <n v="394"/>
    <n v="9"/>
    <n v="27990.980000000003"/>
    <n v="3"/>
    <n v="2"/>
    <n v="4"/>
    <s v="324"/>
    <x v="0"/>
  </r>
  <r>
    <x v="160"/>
    <d v="2025-03-26T09:00:07"/>
    <x v="9"/>
    <x v="4"/>
    <x v="1"/>
    <n v="9279"/>
    <n v="394"/>
    <n v="9"/>
    <n v="37215.54"/>
    <n v="3"/>
    <n v="2"/>
    <n v="2"/>
    <s v="322"/>
    <x v="0"/>
  </r>
  <r>
    <x v="124"/>
    <d v="2025-03-26T09:00:07"/>
    <x v="8"/>
    <x v="3"/>
    <x v="1"/>
    <n v="2764.69"/>
    <n v="394"/>
    <n v="11"/>
    <n v="43078.749999999993"/>
    <n v="3"/>
    <n v="1"/>
    <n v="2"/>
    <s v="312"/>
    <x v="0"/>
  </r>
  <r>
    <x v="195"/>
    <d v="2025-03-26T09:00:07"/>
    <x v="1"/>
    <x v="6"/>
    <x v="1"/>
    <n v="4568.59"/>
    <n v="394"/>
    <n v="10"/>
    <n v="37984.589999999997"/>
    <n v="3"/>
    <n v="2"/>
    <n v="2"/>
    <s v="322"/>
    <x v="0"/>
  </r>
  <r>
    <x v="226"/>
    <d v="2025-03-27T09:00:07"/>
    <x v="4"/>
    <x v="4"/>
    <x v="1"/>
    <n v="4950.68"/>
    <n v="393"/>
    <n v="6"/>
    <n v="23326.76"/>
    <n v="3"/>
    <n v="4"/>
    <n v="4"/>
    <s v="344"/>
    <x v="0"/>
  </r>
  <r>
    <x v="269"/>
    <d v="2025-03-27T09:00:07"/>
    <x v="5"/>
    <x v="4"/>
    <x v="0"/>
    <n v="1689.36"/>
    <n v="393"/>
    <n v="9"/>
    <n v="32843.11"/>
    <n v="3"/>
    <n v="2"/>
    <n v="3"/>
    <s v="323"/>
    <x v="0"/>
  </r>
  <r>
    <x v="262"/>
    <d v="2025-03-27T09:00:07"/>
    <x v="4"/>
    <x v="5"/>
    <x v="1"/>
    <n v="5000.99"/>
    <n v="393"/>
    <n v="7"/>
    <n v="20627.900000000001"/>
    <n v="3"/>
    <n v="4"/>
    <n v="5"/>
    <s v="345"/>
    <x v="0"/>
  </r>
  <r>
    <x v="351"/>
    <d v="2025-03-27T09:00:07"/>
    <x v="1"/>
    <x v="6"/>
    <x v="2"/>
    <n v="1383.79"/>
    <n v="393"/>
    <n v="7"/>
    <n v="17082.88"/>
    <n v="3"/>
    <n v="4"/>
    <n v="5"/>
    <s v="345"/>
    <x v="0"/>
  </r>
  <r>
    <x v="44"/>
    <d v="2025-03-27T09:00:07"/>
    <x v="9"/>
    <x v="6"/>
    <x v="0"/>
    <n v="3765.19"/>
    <n v="393"/>
    <n v="8"/>
    <n v="28879.600000000002"/>
    <n v="3"/>
    <n v="3"/>
    <n v="4"/>
    <s v="334"/>
    <x v="0"/>
  </r>
  <r>
    <x v="255"/>
    <d v="2025-03-27T09:00:07"/>
    <x v="0"/>
    <x v="1"/>
    <x v="1"/>
    <n v="7944.33"/>
    <n v="393"/>
    <n v="8"/>
    <n v="31675.43"/>
    <n v="3"/>
    <n v="3"/>
    <n v="3"/>
    <s v="333"/>
    <x v="0"/>
  </r>
  <r>
    <x v="192"/>
    <d v="2025-03-28T09:00:07"/>
    <x v="7"/>
    <x v="3"/>
    <x v="0"/>
    <n v="2155.1999999999998"/>
    <n v="392"/>
    <n v="12"/>
    <n v="45191.609999999993"/>
    <n v="3"/>
    <n v="1"/>
    <n v="1"/>
    <s v="311"/>
    <x v="0"/>
  </r>
  <r>
    <x v="90"/>
    <d v="2025-03-28T09:00:07"/>
    <x v="5"/>
    <x v="4"/>
    <x v="0"/>
    <n v="4103.84"/>
    <n v="392"/>
    <n v="7"/>
    <n v="34546.720000000001"/>
    <n v="3"/>
    <n v="4"/>
    <n v="3"/>
    <s v="343"/>
    <x v="0"/>
  </r>
  <r>
    <x v="59"/>
    <d v="2025-03-28T09:00:07"/>
    <x v="6"/>
    <x v="5"/>
    <x v="0"/>
    <n v="8410.77"/>
    <n v="392"/>
    <n v="6"/>
    <n v="25651.410000000003"/>
    <n v="3"/>
    <n v="4"/>
    <n v="4"/>
    <s v="344"/>
    <x v="0"/>
  </r>
  <r>
    <x v="102"/>
    <d v="2025-03-28T09:00:07"/>
    <x v="4"/>
    <x v="3"/>
    <x v="2"/>
    <n v="4631.1899999999996"/>
    <n v="392"/>
    <n v="6"/>
    <n v="40190.459999999992"/>
    <n v="3"/>
    <n v="4"/>
    <n v="2"/>
    <s v="342"/>
    <x v="0"/>
  </r>
  <r>
    <x v="147"/>
    <d v="2025-03-28T09:00:07"/>
    <x v="7"/>
    <x v="5"/>
    <x v="1"/>
    <n v="5975.25"/>
    <n v="392"/>
    <n v="8"/>
    <n v="21286.739999999998"/>
    <n v="3"/>
    <n v="3"/>
    <n v="5"/>
    <s v="335"/>
    <x v="0"/>
  </r>
  <r>
    <x v="21"/>
    <d v="2025-03-29T09:00:07"/>
    <x v="7"/>
    <x v="1"/>
    <x v="0"/>
    <n v="2177.0300000000002"/>
    <n v="391"/>
    <n v="6"/>
    <n v="18163.55"/>
    <n v="3"/>
    <n v="4"/>
    <n v="5"/>
    <s v="345"/>
    <x v="0"/>
  </r>
  <r>
    <x v="132"/>
    <d v="2025-03-29T09:00:07"/>
    <x v="0"/>
    <x v="4"/>
    <x v="1"/>
    <n v="3791.45"/>
    <n v="391"/>
    <n v="3"/>
    <n v="9190.25"/>
    <n v="3"/>
    <n v="5"/>
    <n v="5"/>
    <s v="355"/>
    <x v="0"/>
  </r>
  <r>
    <x v="57"/>
    <d v="2025-03-29T09:00:07"/>
    <x v="3"/>
    <x v="1"/>
    <x v="0"/>
    <n v="2768.21"/>
    <n v="391"/>
    <n v="16"/>
    <n v="58237.360000000008"/>
    <n v="3"/>
    <n v="1"/>
    <n v="1"/>
    <s v="311"/>
    <x v="0"/>
  </r>
  <r>
    <x v="288"/>
    <d v="2025-03-29T09:00:07"/>
    <x v="3"/>
    <x v="1"/>
    <x v="2"/>
    <n v="3402.38"/>
    <n v="391"/>
    <n v="5"/>
    <n v="22112.27"/>
    <n v="3"/>
    <n v="5"/>
    <n v="4"/>
    <s v="354"/>
    <x v="0"/>
  </r>
  <r>
    <x v="232"/>
    <d v="2025-03-30T09:00:07"/>
    <x v="8"/>
    <x v="3"/>
    <x v="0"/>
    <n v="290.64"/>
    <n v="390"/>
    <n v="12"/>
    <n v="42146.06"/>
    <n v="3"/>
    <n v="1"/>
    <n v="2"/>
    <s v="312"/>
    <x v="0"/>
  </r>
  <r>
    <x v="124"/>
    <d v="2025-03-30T09:00:07"/>
    <x v="8"/>
    <x v="3"/>
    <x v="0"/>
    <n v="8701.2000000000007"/>
    <n v="390"/>
    <n v="11"/>
    <n v="43078.749999999993"/>
    <n v="3"/>
    <n v="1"/>
    <n v="2"/>
    <s v="312"/>
    <x v="0"/>
  </r>
  <r>
    <x v="353"/>
    <d v="2025-03-30T09:00:07"/>
    <x v="2"/>
    <x v="1"/>
    <x v="2"/>
    <n v="4075.15"/>
    <n v="390"/>
    <n v="6"/>
    <n v="30683.43"/>
    <n v="3"/>
    <n v="4"/>
    <n v="3"/>
    <s v="343"/>
    <x v="0"/>
  </r>
  <r>
    <x v="78"/>
    <d v="2025-03-30T09:00:07"/>
    <x v="0"/>
    <x v="3"/>
    <x v="0"/>
    <n v="5612.88"/>
    <n v="390"/>
    <n v="10"/>
    <n v="34265.79"/>
    <n v="3"/>
    <n v="2"/>
    <n v="3"/>
    <s v="323"/>
    <x v="0"/>
  </r>
  <r>
    <x v="97"/>
    <d v="2025-03-30T09:00:07"/>
    <x v="1"/>
    <x v="5"/>
    <x v="1"/>
    <n v="2542.85"/>
    <n v="390"/>
    <n v="7"/>
    <n v="20951.28"/>
    <n v="3"/>
    <n v="4"/>
    <n v="5"/>
    <s v="345"/>
    <x v="0"/>
  </r>
  <r>
    <x v="76"/>
    <d v="2025-03-31T09:00:07"/>
    <x v="3"/>
    <x v="3"/>
    <x v="1"/>
    <n v="2806.27"/>
    <n v="389"/>
    <n v="11"/>
    <n v="39808.47"/>
    <n v="3"/>
    <n v="1"/>
    <n v="2"/>
    <s v="312"/>
    <x v="0"/>
  </r>
  <r>
    <x v="301"/>
    <d v="2025-03-31T09:00:07"/>
    <x v="3"/>
    <x v="1"/>
    <x v="2"/>
    <n v="5064.58"/>
    <n v="389"/>
    <n v="5"/>
    <n v="23179.78"/>
    <n v="3"/>
    <n v="5"/>
    <n v="4"/>
    <s v="354"/>
    <x v="0"/>
  </r>
  <r>
    <x v="277"/>
    <d v="2025-03-31T09:00:07"/>
    <x v="5"/>
    <x v="5"/>
    <x v="2"/>
    <n v="5597.09"/>
    <n v="389"/>
    <n v="10"/>
    <n v="40760.559999999998"/>
    <n v="3"/>
    <n v="2"/>
    <n v="2"/>
    <s v="322"/>
    <x v="0"/>
  </r>
  <r>
    <x v="344"/>
    <d v="2025-04-01T09:00:07"/>
    <x v="0"/>
    <x v="4"/>
    <x v="1"/>
    <n v="6811.67"/>
    <n v="388"/>
    <n v="8"/>
    <n v="29788.7"/>
    <n v="3"/>
    <n v="3"/>
    <n v="3"/>
    <s v="333"/>
    <x v="0"/>
  </r>
  <r>
    <x v="317"/>
    <d v="2025-04-01T09:00:07"/>
    <x v="8"/>
    <x v="3"/>
    <x v="1"/>
    <n v="1683.61"/>
    <n v="388"/>
    <n v="10"/>
    <n v="45640.06"/>
    <n v="3"/>
    <n v="2"/>
    <n v="1"/>
    <s v="321"/>
    <x v="0"/>
  </r>
  <r>
    <x v="221"/>
    <d v="2025-04-01T09:00:07"/>
    <x v="5"/>
    <x v="1"/>
    <x v="1"/>
    <n v="1955.95"/>
    <n v="388"/>
    <n v="9"/>
    <n v="32930.549999999996"/>
    <n v="3"/>
    <n v="2"/>
    <n v="3"/>
    <s v="323"/>
    <x v="0"/>
  </r>
  <r>
    <x v="74"/>
    <d v="2025-04-01T09:00:07"/>
    <x v="9"/>
    <x v="6"/>
    <x v="2"/>
    <n v="4979.3599999999997"/>
    <n v="388"/>
    <n v="8"/>
    <n v="28309.71"/>
    <n v="3"/>
    <n v="3"/>
    <n v="4"/>
    <s v="334"/>
    <x v="0"/>
  </r>
  <r>
    <x v="106"/>
    <d v="2025-04-01T09:00:07"/>
    <x v="1"/>
    <x v="0"/>
    <x v="0"/>
    <n v="8405.2000000000007"/>
    <n v="388"/>
    <n v="9"/>
    <n v="33349.999999999993"/>
    <n v="3"/>
    <n v="2"/>
    <n v="3"/>
    <s v="323"/>
    <x v="0"/>
  </r>
  <r>
    <x v="163"/>
    <d v="2025-04-01T09:00:07"/>
    <x v="7"/>
    <x v="2"/>
    <x v="1"/>
    <n v="4494.74"/>
    <n v="388"/>
    <n v="9"/>
    <n v="30047.29"/>
    <n v="3"/>
    <n v="2"/>
    <n v="3"/>
    <s v="323"/>
    <x v="0"/>
  </r>
  <r>
    <x v="70"/>
    <d v="2025-04-01T09:00:07"/>
    <x v="1"/>
    <x v="6"/>
    <x v="2"/>
    <n v="4535.1099999999997"/>
    <n v="388"/>
    <n v="15"/>
    <n v="57217.139999999992"/>
    <n v="3"/>
    <n v="1"/>
    <n v="1"/>
    <s v="311"/>
    <x v="0"/>
  </r>
  <r>
    <x v="295"/>
    <d v="2025-04-02T09:00:07"/>
    <x v="5"/>
    <x v="3"/>
    <x v="1"/>
    <n v="1577.88"/>
    <n v="387"/>
    <n v="9"/>
    <n v="26580.030000000002"/>
    <n v="3"/>
    <n v="2"/>
    <n v="4"/>
    <s v="324"/>
    <x v="0"/>
  </r>
  <r>
    <x v="379"/>
    <d v="2025-04-02T09:00:07"/>
    <x v="2"/>
    <x v="3"/>
    <x v="2"/>
    <n v="5784.35"/>
    <n v="387"/>
    <n v="3"/>
    <n v="15334.130000000001"/>
    <n v="3"/>
    <n v="5"/>
    <n v="5"/>
    <s v="355"/>
    <x v="0"/>
  </r>
  <r>
    <x v="264"/>
    <d v="2025-04-02T09:00:07"/>
    <x v="7"/>
    <x v="2"/>
    <x v="0"/>
    <n v="3686.84"/>
    <n v="387"/>
    <n v="7"/>
    <n v="30708.170000000002"/>
    <n v="3"/>
    <n v="4"/>
    <n v="3"/>
    <s v="343"/>
    <x v="0"/>
  </r>
  <r>
    <x v="309"/>
    <d v="2025-04-03T09:00:07"/>
    <x v="5"/>
    <x v="6"/>
    <x v="0"/>
    <n v="3995.36"/>
    <n v="386"/>
    <n v="3"/>
    <n v="16365.279999999999"/>
    <n v="3"/>
    <n v="5"/>
    <n v="5"/>
    <s v="355"/>
    <x v="0"/>
  </r>
  <r>
    <x v="380"/>
    <d v="2025-04-03T09:00:07"/>
    <x v="1"/>
    <x v="5"/>
    <x v="0"/>
    <n v="4700.29"/>
    <n v="386"/>
    <n v="6"/>
    <n v="13299.439999999999"/>
    <n v="3"/>
    <n v="4"/>
    <n v="5"/>
    <s v="345"/>
    <x v="0"/>
  </r>
  <r>
    <x v="205"/>
    <d v="2025-04-03T09:00:07"/>
    <x v="1"/>
    <x v="4"/>
    <x v="0"/>
    <n v="1812.45"/>
    <n v="386"/>
    <n v="8"/>
    <n v="24691.75"/>
    <n v="3"/>
    <n v="3"/>
    <n v="4"/>
    <s v="334"/>
    <x v="0"/>
  </r>
  <r>
    <x v="295"/>
    <d v="2025-04-03T09:00:07"/>
    <x v="4"/>
    <x v="3"/>
    <x v="1"/>
    <n v="933.56"/>
    <n v="386"/>
    <n v="9"/>
    <n v="26580.030000000002"/>
    <n v="3"/>
    <n v="2"/>
    <n v="4"/>
    <s v="324"/>
    <x v="0"/>
  </r>
  <r>
    <x v="108"/>
    <d v="2025-04-05T09:00:07"/>
    <x v="0"/>
    <x v="0"/>
    <x v="0"/>
    <n v="5361.89"/>
    <n v="384"/>
    <n v="8"/>
    <n v="45571.029999999992"/>
    <n v="3"/>
    <n v="3"/>
    <n v="1"/>
    <s v="331"/>
    <x v="0"/>
  </r>
  <r>
    <x v="138"/>
    <d v="2025-04-06T09:00:07"/>
    <x v="5"/>
    <x v="1"/>
    <x v="0"/>
    <n v="5758.25"/>
    <n v="383"/>
    <n v="8"/>
    <n v="48110.42"/>
    <n v="3"/>
    <n v="3"/>
    <n v="1"/>
    <s v="331"/>
    <x v="0"/>
  </r>
  <r>
    <x v="193"/>
    <d v="2025-04-06T09:00:07"/>
    <x v="9"/>
    <x v="0"/>
    <x v="1"/>
    <n v="4368.41"/>
    <n v="383"/>
    <n v="10"/>
    <n v="54972.43"/>
    <n v="3"/>
    <n v="2"/>
    <n v="1"/>
    <s v="321"/>
    <x v="0"/>
  </r>
  <r>
    <x v="22"/>
    <d v="2025-04-06T09:00:07"/>
    <x v="6"/>
    <x v="2"/>
    <x v="1"/>
    <n v="3240.96"/>
    <n v="383"/>
    <n v="5"/>
    <n v="20536.82"/>
    <n v="3"/>
    <n v="5"/>
    <n v="5"/>
    <s v="355"/>
    <x v="0"/>
  </r>
  <r>
    <x v="68"/>
    <d v="2025-04-07T09:00:07"/>
    <x v="8"/>
    <x v="5"/>
    <x v="1"/>
    <n v="3986.09"/>
    <n v="382"/>
    <n v="9"/>
    <n v="44679.94"/>
    <n v="3"/>
    <n v="2"/>
    <n v="2"/>
    <s v="322"/>
    <x v="0"/>
  </r>
  <r>
    <x v="339"/>
    <d v="2025-04-07T09:00:07"/>
    <x v="6"/>
    <x v="3"/>
    <x v="0"/>
    <n v="2239.0700000000002"/>
    <n v="382"/>
    <n v="5"/>
    <n v="19731.25"/>
    <n v="3"/>
    <n v="5"/>
    <n v="5"/>
    <s v="355"/>
    <x v="0"/>
  </r>
  <r>
    <x v="68"/>
    <d v="2025-04-07T09:00:07"/>
    <x v="1"/>
    <x v="6"/>
    <x v="1"/>
    <n v="5861.59"/>
    <n v="382"/>
    <n v="9"/>
    <n v="44679.94"/>
    <n v="3"/>
    <n v="2"/>
    <n v="2"/>
    <s v="322"/>
    <x v="0"/>
  </r>
  <r>
    <x v="349"/>
    <d v="2025-04-07T09:00:07"/>
    <x v="1"/>
    <x v="0"/>
    <x v="1"/>
    <n v="4414.5200000000004"/>
    <n v="382"/>
    <n v="8"/>
    <n v="22493.960000000003"/>
    <n v="3"/>
    <n v="3"/>
    <n v="4"/>
    <s v="334"/>
    <x v="0"/>
  </r>
  <r>
    <x v="84"/>
    <d v="2025-04-08T09:00:07"/>
    <x v="1"/>
    <x v="6"/>
    <x v="1"/>
    <n v="1569.9"/>
    <n v="381"/>
    <n v="4"/>
    <n v="25850.79"/>
    <n v="3"/>
    <n v="5"/>
    <n v="4"/>
    <s v="354"/>
    <x v="0"/>
  </r>
  <r>
    <x v="274"/>
    <d v="2025-04-08T09:00:07"/>
    <x v="6"/>
    <x v="4"/>
    <x v="0"/>
    <n v="6165.22"/>
    <n v="381"/>
    <n v="11"/>
    <n v="73437.08"/>
    <n v="3"/>
    <n v="1"/>
    <n v="1"/>
    <s v="311"/>
    <x v="0"/>
  </r>
  <r>
    <x v="185"/>
    <d v="2025-04-08T09:00:07"/>
    <x v="0"/>
    <x v="3"/>
    <x v="2"/>
    <n v="5305.12"/>
    <n v="381"/>
    <n v="9"/>
    <n v="38767.17"/>
    <n v="3"/>
    <n v="2"/>
    <n v="2"/>
    <s v="322"/>
    <x v="0"/>
  </r>
  <r>
    <x v="80"/>
    <d v="2025-04-08T09:00:07"/>
    <x v="4"/>
    <x v="1"/>
    <x v="2"/>
    <n v="1371.24"/>
    <n v="381"/>
    <n v="10"/>
    <n v="38608.230000000003"/>
    <n v="3"/>
    <n v="2"/>
    <n v="2"/>
    <s v="322"/>
    <x v="0"/>
  </r>
  <r>
    <x v="153"/>
    <d v="2025-04-09T09:00:07"/>
    <x v="1"/>
    <x v="4"/>
    <x v="1"/>
    <n v="5016.47"/>
    <n v="380"/>
    <n v="7"/>
    <n v="17672.689999999999"/>
    <n v="3"/>
    <n v="4"/>
    <n v="5"/>
    <s v="345"/>
    <x v="0"/>
  </r>
  <r>
    <x v="176"/>
    <d v="2025-04-09T09:00:07"/>
    <x v="4"/>
    <x v="1"/>
    <x v="1"/>
    <n v="6548.41"/>
    <n v="380"/>
    <n v="9"/>
    <n v="48978.57"/>
    <n v="3"/>
    <n v="2"/>
    <n v="1"/>
    <s v="321"/>
    <x v="0"/>
  </r>
  <r>
    <x v="31"/>
    <d v="2025-04-10T09:00:07"/>
    <x v="4"/>
    <x v="4"/>
    <x v="0"/>
    <n v="2495.86"/>
    <n v="379"/>
    <n v="9"/>
    <n v="35330.950000000004"/>
    <n v="3"/>
    <n v="2"/>
    <n v="3"/>
    <s v="323"/>
    <x v="0"/>
  </r>
  <r>
    <x v="222"/>
    <d v="2025-04-10T09:00:07"/>
    <x v="3"/>
    <x v="2"/>
    <x v="0"/>
    <n v="976.4"/>
    <n v="379"/>
    <n v="9"/>
    <n v="34007.68"/>
    <n v="3"/>
    <n v="2"/>
    <n v="3"/>
    <s v="323"/>
    <x v="0"/>
  </r>
  <r>
    <x v="252"/>
    <d v="2025-04-11T09:00:07"/>
    <x v="0"/>
    <x v="2"/>
    <x v="0"/>
    <n v="6153.84"/>
    <n v="378"/>
    <n v="8"/>
    <n v="36475.079999999994"/>
    <n v="3"/>
    <n v="3"/>
    <n v="3"/>
    <s v="333"/>
    <x v="0"/>
  </r>
  <r>
    <x v="302"/>
    <d v="2025-04-12T09:00:07"/>
    <x v="1"/>
    <x v="6"/>
    <x v="1"/>
    <n v="2899.13"/>
    <n v="377"/>
    <n v="10"/>
    <n v="47284.22"/>
    <n v="3"/>
    <n v="2"/>
    <n v="1"/>
    <s v="321"/>
    <x v="0"/>
  </r>
  <r>
    <x v="268"/>
    <d v="2025-04-12T09:00:07"/>
    <x v="7"/>
    <x v="6"/>
    <x v="1"/>
    <n v="1711.94"/>
    <n v="377"/>
    <n v="8"/>
    <n v="22978.19"/>
    <n v="3"/>
    <n v="3"/>
    <n v="4"/>
    <s v="334"/>
    <x v="0"/>
  </r>
  <r>
    <x v="341"/>
    <d v="2025-04-12T09:00:07"/>
    <x v="3"/>
    <x v="4"/>
    <x v="1"/>
    <n v="2939.57"/>
    <n v="377"/>
    <n v="11"/>
    <n v="59377.640000000014"/>
    <n v="3"/>
    <n v="1"/>
    <n v="1"/>
    <s v="311"/>
    <x v="0"/>
  </r>
  <r>
    <x v="200"/>
    <d v="2025-04-12T09:00:07"/>
    <x v="3"/>
    <x v="2"/>
    <x v="1"/>
    <n v="1049.05"/>
    <n v="377"/>
    <n v="5"/>
    <n v="20246.7"/>
    <n v="3"/>
    <n v="5"/>
    <n v="5"/>
    <s v="355"/>
    <x v="0"/>
  </r>
  <r>
    <x v="209"/>
    <d v="2025-04-12T09:00:07"/>
    <x v="4"/>
    <x v="4"/>
    <x v="1"/>
    <n v="1479.06"/>
    <n v="377"/>
    <n v="11"/>
    <n v="43753.86"/>
    <n v="3"/>
    <n v="1"/>
    <n v="2"/>
    <s v="312"/>
    <x v="0"/>
  </r>
  <r>
    <x v="76"/>
    <d v="2025-04-12T09:00:07"/>
    <x v="1"/>
    <x v="5"/>
    <x v="1"/>
    <n v="2602.27"/>
    <n v="377"/>
    <n v="11"/>
    <n v="39808.47"/>
    <n v="3"/>
    <n v="1"/>
    <n v="2"/>
    <s v="312"/>
    <x v="0"/>
  </r>
  <r>
    <x v="318"/>
    <d v="2025-04-12T09:00:07"/>
    <x v="9"/>
    <x v="6"/>
    <x v="2"/>
    <n v="2128.87"/>
    <n v="377"/>
    <n v="11"/>
    <n v="30527.53"/>
    <n v="3"/>
    <n v="1"/>
    <n v="3"/>
    <s v="313"/>
    <x v="0"/>
  </r>
  <r>
    <x v="381"/>
    <d v="2025-04-13T09:00:07"/>
    <x v="1"/>
    <x v="5"/>
    <x v="0"/>
    <n v="1611.61"/>
    <n v="376"/>
    <n v="4"/>
    <n v="16140.15"/>
    <n v="3"/>
    <n v="5"/>
    <n v="5"/>
    <s v="355"/>
    <x v="0"/>
  </r>
  <r>
    <x v="283"/>
    <d v="2025-04-13T09:00:07"/>
    <x v="4"/>
    <x v="2"/>
    <x v="1"/>
    <n v="5845.46"/>
    <n v="376"/>
    <n v="7"/>
    <n v="38080.880000000005"/>
    <n v="3"/>
    <n v="4"/>
    <n v="2"/>
    <s v="342"/>
    <x v="0"/>
  </r>
  <r>
    <x v="4"/>
    <d v="2025-04-13T09:00:07"/>
    <x v="1"/>
    <x v="0"/>
    <x v="0"/>
    <n v="1486.65"/>
    <n v="376"/>
    <n v="6"/>
    <n v="17570.61"/>
    <n v="3"/>
    <n v="4"/>
    <n v="5"/>
    <s v="345"/>
    <x v="0"/>
  </r>
  <r>
    <x v="380"/>
    <d v="2025-04-13T09:00:07"/>
    <x v="3"/>
    <x v="5"/>
    <x v="0"/>
    <n v="470.1"/>
    <n v="376"/>
    <n v="6"/>
    <n v="13299.439999999999"/>
    <n v="3"/>
    <n v="4"/>
    <n v="5"/>
    <s v="345"/>
    <x v="0"/>
  </r>
  <r>
    <x v="62"/>
    <d v="2025-04-13T09:00:07"/>
    <x v="3"/>
    <x v="3"/>
    <x v="2"/>
    <n v="892.6"/>
    <n v="376"/>
    <n v="8"/>
    <n v="17550.599999999999"/>
    <n v="3"/>
    <n v="3"/>
    <n v="5"/>
    <s v="335"/>
    <x v="0"/>
  </r>
  <r>
    <x v="83"/>
    <d v="2025-04-13T09:00:07"/>
    <x v="9"/>
    <x v="5"/>
    <x v="2"/>
    <n v="1647.59"/>
    <n v="376"/>
    <n v="7"/>
    <n v="21031.63"/>
    <n v="3"/>
    <n v="4"/>
    <n v="5"/>
    <s v="345"/>
    <x v="0"/>
  </r>
  <r>
    <x v="318"/>
    <d v="2025-04-13T09:00:07"/>
    <x v="1"/>
    <x v="5"/>
    <x v="0"/>
    <n v="1410.82"/>
    <n v="376"/>
    <n v="11"/>
    <n v="30527.53"/>
    <n v="3"/>
    <n v="1"/>
    <n v="3"/>
    <s v="313"/>
    <x v="0"/>
  </r>
  <r>
    <x v="271"/>
    <d v="2025-04-13T09:00:07"/>
    <x v="8"/>
    <x v="6"/>
    <x v="2"/>
    <n v="209.13"/>
    <n v="376"/>
    <n v="6"/>
    <n v="21816.019999999997"/>
    <n v="3"/>
    <n v="4"/>
    <n v="4"/>
    <s v="344"/>
    <x v="0"/>
  </r>
  <r>
    <x v="156"/>
    <d v="2025-04-14T09:00:07"/>
    <x v="1"/>
    <x v="0"/>
    <x v="1"/>
    <n v="4325.53"/>
    <n v="375"/>
    <n v="4"/>
    <n v="30283.82"/>
    <n v="3"/>
    <n v="5"/>
    <n v="3"/>
    <s v="353"/>
    <x v="0"/>
  </r>
  <r>
    <x v="376"/>
    <d v="2025-04-14T09:00:07"/>
    <x v="9"/>
    <x v="6"/>
    <x v="2"/>
    <n v="8243.84"/>
    <n v="375"/>
    <n v="8"/>
    <n v="28310.01"/>
    <n v="3"/>
    <n v="3"/>
    <n v="4"/>
    <s v="334"/>
    <x v="0"/>
  </r>
  <r>
    <x v="46"/>
    <d v="2025-04-14T09:00:07"/>
    <x v="6"/>
    <x v="2"/>
    <x v="1"/>
    <n v="4511.7"/>
    <n v="375"/>
    <n v="8"/>
    <n v="30848.15"/>
    <n v="3"/>
    <n v="3"/>
    <n v="3"/>
    <s v="333"/>
    <x v="0"/>
  </r>
  <r>
    <x v="69"/>
    <d v="2025-04-15T09:00:07"/>
    <x v="2"/>
    <x v="6"/>
    <x v="1"/>
    <n v="3944.13"/>
    <n v="374"/>
    <n v="9"/>
    <n v="30242.800000000003"/>
    <n v="3"/>
    <n v="2"/>
    <n v="3"/>
    <s v="323"/>
    <x v="0"/>
  </r>
  <r>
    <x v="185"/>
    <d v="2025-04-15T09:00:07"/>
    <x v="1"/>
    <x v="0"/>
    <x v="1"/>
    <n v="2084.6"/>
    <n v="374"/>
    <n v="9"/>
    <n v="38767.17"/>
    <n v="3"/>
    <n v="2"/>
    <n v="2"/>
    <s v="322"/>
    <x v="0"/>
  </r>
  <r>
    <x v="152"/>
    <d v="2025-04-15T09:00:07"/>
    <x v="3"/>
    <x v="4"/>
    <x v="2"/>
    <n v="2756.22"/>
    <n v="374"/>
    <n v="9"/>
    <n v="39366.480000000003"/>
    <n v="3"/>
    <n v="2"/>
    <n v="2"/>
    <s v="322"/>
    <x v="0"/>
  </r>
  <r>
    <x v="382"/>
    <d v="2025-04-16T09:00:07"/>
    <x v="8"/>
    <x v="3"/>
    <x v="2"/>
    <n v="3474.26"/>
    <n v="373"/>
    <n v="3"/>
    <n v="8934.2099999999991"/>
    <n v="3"/>
    <n v="5"/>
    <n v="5"/>
    <s v="355"/>
    <x v="0"/>
  </r>
  <r>
    <x v="114"/>
    <d v="2025-04-16T09:00:07"/>
    <x v="4"/>
    <x v="5"/>
    <x v="0"/>
    <n v="5000.82"/>
    <n v="373"/>
    <n v="6"/>
    <n v="22984.870000000003"/>
    <n v="3"/>
    <n v="4"/>
    <n v="4"/>
    <s v="344"/>
    <x v="0"/>
  </r>
  <r>
    <x v="368"/>
    <d v="2025-04-16T09:00:07"/>
    <x v="7"/>
    <x v="5"/>
    <x v="1"/>
    <n v="2757.34"/>
    <n v="373"/>
    <n v="10"/>
    <n v="44572.97"/>
    <n v="3"/>
    <n v="2"/>
    <n v="2"/>
    <s v="322"/>
    <x v="0"/>
  </r>
  <r>
    <x v="352"/>
    <d v="2025-04-16T09:00:07"/>
    <x v="7"/>
    <x v="1"/>
    <x v="0"/>
    <n v="6101.3"/>
    <n v="373"/>
    <n v="7"/>
    <n v="27438.3"/>
    <n v="3"/>
    <n v="4"/>
    <n v="4"/>
    <s v="344"/>
    <x v="0"/>
  </r>
  <r>
    <x v="321"/>
    <d v="2025-04-17T09:00:07"/>
    <x v="4"/>
    <x v="0"/>
    <x v="1"/>
    <n v="1703.22"/>
    <n v="372"/>
    <n v="11"/>
    <n v="40714.880000000005"/>
    <n v="3"/>
    <n v="1"/>
    <n v="2"/>
    <s v="312"/>
    <x v="0"/>
  </r>
  <r>
    <x v="167"/>
    <d v="2025-04-17T09:00:07"/>
    <x v="4"/>
    <x v="1"/>
    <x v="1"/>
    <n v="1440.3"/>
    <n v="372"/>
    <n v="4"/>
    <n v="7830.67"/>
    <n v="3"/>
    <n v="5"/>
    <n v="5"/>
    <s v="355"/>
    <x v="0"/>
  </r>
  <r>
    <x v="121"/>
    <d v="2025-04-18T09:00:07"/>
    <x v="4"/>
    <x v="2"/>
    <x v="0"/>
    <n v="2672.49"/>
    <n v="371"/>
    <n v="7"/>
    <n v="29497.360000000001"/>
    <n v="3"/>
    <n v="4"/>
    <n v="3"/>
    <s v="343"/>
    <x v="0"/>
  </r>
  <r>
    <x v="184"/>
    <d v="2025-04-18T09:00:07"/>
    <x v="2"/>
    <x v="6"/>
    <x v="2"/>
    <n v="483.43"/>
    <n v="371"/>
    <n v="9"/>
    <n v="45498.270000000004"/>
    <n v="3"/>
    <n v="2"/>
    <n v="1"/>
    <s v="321"/>
    <x v="0"/>
  </r>
  <r>
    <x v="183"/>
    <d v="2025-04-18T09:00:07"/>
    <x v="1"/>
    <x v="4"/>
    <x v="1"/>
    <n v="1704.53"/>
    <n v="371"/>
    <n v="12"/>
    <n v="34222.5"/>
    <n v="3"/>
    <n v="1"/>
    <n v="3"/>
    <s v="313"/>
    <x v="0"/>
  </r>
  <r>
    <x v="96"/>
    <d v="2025-04-18T09:00:07"/>
    <x v="3"/>
    <x v="0"/>
    <x v="1"/>
    <n v="5906.14"/>
    <n v="371"/>
    <n v="11"/>
    <n v="62038.55"/>
    <n v="3"/>
    <n v="1"/>
    <n v="1"/>
    <s v="311"/>
    <x v="0"/>
  </r>
  <r>
    <x v="340"/>
    <d v="2025-04-18T09:00:07"/>
    <x v="1"/>
    <x v="1"/>
    <x v="0"/>
    <n v="1517.59"/>
    <n v="371"/>
    <n v="7"/>
    <n v="36778.530000000006"/>
    <n v="3"/>
    <n v="4"/>
    <n v="3"/>
    <s v="343"/>
    <x v="0"/>
  </r>
  <r>
    <x v="206"/>
    <d v="2025-04-19T09:00:07"/>
    <x v="7"/>
    <x v="6"/>
    <x v="2"/>
    <n v="655.19000000000005"/>
    <n v="370"/>
    <n v="5"/>
    <n v="19562.71"/>
    <n v="3"/>
    <n v="5"/>
    <n v="5"/>
    <s v="355"/>
    <x v="0"/>
  </r>
  <r>
    <x v="67"/>
    <d v="2025-04-19T09:00:07"/>
    <x v="5"/>
    <x v="1"/>
    <x v="1"/>
    <n v="5399.74"/>
    <n v="370"/>
    <n v="8"/>
    <n v="35204.92"/>
    <n v="3"/>
    <n v="3"/>
    <n v="3"/>
    <s v="333"/>
    <x v="0"/>
  </r>
  <r>
    <x v="210"/>
    <d v="2025-04-19T09:00:07"/>
    <x v="3"/>
    <x v="5"/>
    <x v="2"/>
    <n v="2793.72"/>
    <n v="370"/>
    <n v="9"/>
    <n v="37239.53"/>
    <n v="3"/>
    <n v="2"/>
    <n v="2"/>
    <s v="322"/>
    <x v="0"/>
  </r>
  <r>
    <x v="88"/>
    <d v="2025-04-20T09:00:07"/>
    <x v="8"/>
    <x v="4"/>
    <x v="1"/>
    <n v="3002.63"/>
    <n v="369"/>
    <n v="11"/>
    <n v="62566.770000000004"/>
    <n v="3"/>
    <n v="1"/>
    <n v="1"/>
    <s v="311"/>
    <x v="0"/>
  </r>
  <r>
    <x v="356"/>
    <d v="2025-04-20T09:00:07"/>
    <x v="9"/>
    <x v="5"/>
    <x v="2"/>
    <n v="864.32"/>
    <n v="369"/>
    <n v="8"/>
    <n v="38016.57"/>
    <n v="3"/>
    <n v="3"/>
    <n v="2"/>
    <s v="332"/>
    <x v="0"/>
  </r>
  <r>
    <x v="76"/>
    <d v="2025-04-20T09:00:07"/>
    <x v="2"/>
    <x v="0"/>
    <x v="1"/>
    <n v="405.04"/>
    <n v="369"/>
    <n v="11"/>
    <n v="39808.47"/>
    <n v="3"/>
    <n v="1"/>
    <n v="2"/>
    <s v="312"/>
    <x v="0"/>
  </r>
  <r>
    <x v="10"/>
    <d v="2025-04-20T09:00:07"/>
    <x v="2"/>
    <x v="6"/>
    <x v="2"/>
    <n v="1666.9"/>
    <n v="369"/>
    <n v="5"/>
    <n v="17477.019999999997"/>
    <n v="3"/>
    <n v="5"/>
    <n v="5"/>
    <s v="355"/>
    <x v="0"/>
  </r>
  <r>
    <x v="209"/>
    <d v="2025-04-21T09:00:07"/>
    <x v="5"/>
    <x v="3"/>
    <x v="0"/>
    <n v="4502.6099999999997"/>
    <n v="368"/>
    <n v="11"/>
    <n v="43753.86"/>
    <n v="3"/>
    <n v="1"/>
    <n v="2"/>
    <s v="312"/>
    <x v="0"/>
  </r>
  <r>
    <x v="223"/>
    <d v="2025-04-21T09:00:07"/>
    <x v="8"/>
    <x v="3"/>
    <x v="0"/>
    <n v="1759.03"/>
    <n v="368"/>
    <n v="9"/>
    <n v="26752.640000000003"/>
    <n v="3"/>
    <n v="2"/>
    <n v="4"/>
    <s v="324"/>
    <x v="0"/>
  </r>
  <r>
    <x v="126"/>
    <d v="2025-04-21T09:00:07"/>
    <x v="4"/>
    <x v="0"/>
    <x v="2"/>
    <n v="4956.78"/>
    <n v="368"/>
    <n v="11"/>
    <n v="46795.570000000007"/>
    <n v="3"/>
    <n v="1"/>
    <n v="1"/>
    <s v="311"/>
    <x v="0"/>
  </r>
  <r>
    <x v="240"/>
    <d v="2025-04-21T09:00:07"/>
    <x v="9"/>
    <x v="2"/>
    <x v="2"/>
    <n v="5388.18"/>
    <n v="368"/>
    <n v="10"/>
    <n v="27910.07"/>
    <n v="3"/>
    <n v="2"/>
    <n v="4"/>
    <s v="324"/>
    <x v="0"/>
  </r>
  <r>
    <x v="27"/>
    <d v="2025-04-21T09:00:07"/>
    <x v="6"/>
    <x v="4"/>
    <x v="0"/>
    <n v="4512.38"/>
    <n v="368"/>
    <n v="12"/>
    <n v="49930.359999999993"/>
    <n v="3"/>
    <n v="1"/>
    <n v="1"/>
    <s v="311"/>
    <x v="0"/>
  </r>
  <r>
    <x v="248"/>
    <d v="2025-04-22T09:00:07"/>
    <x v="5"/>
    <x v="2"/>
    <x v="0"/>
    <n v="4974.0200000000004"/>
    <n v="367"/>
    <n v="8"/>
    <n v="34167.589999999997"/>
    <n v="3"/>
    <n v="3"/>
    <n v="3"/>
    <s v="333"/>
    <x v="0"/>
  </r>
  <r>
    <x v="209"/>
    <d v="2025-04-22T09:00:07"/>
    <x v="3"/>
    <x v="4"/>
    <x v="2"/>
    <n v="2737.46"/>
    <n v="367"/>
    <n v="11"/>
    <n v="43753.86"/>
    <n v="3"/>
    <n v="1"/>
    <n v="2"/>
    <s v="312"/>
    <x v="0"/>
  </r>
  <r>
    <x v="357"/>
    <d v="2025-04-22T09:00:07"/>
    <x v="3"/>
    <x v="1"/>
    <x v="1"/>
    <n v="6290.43"/>
    <n v="367"/>
    <n v="2"/>
    <n v="8438.130000000001"/>
    <n v="3"/>
    <n v="5"/>
    <n v="5"/>
    <s v="355"/>
    <x v="0"/>
  </r>
  <r>
    <x v="280"/>
    <d v="2025-04-22T09:00:07"/>
    <x v="0"/>
    <x v="5"/>
    <x v="0"/>
    <n v="4983.16"/>
    <n v="367"/>
    <n v="16"/>
    <n v="64716.249999999985"/>
    <n v="3"/>
    <n v="1"/>
    <n v="1"/>
    <s v="311"/>
    <x v="0"/>
  </r>
  <r>
    <x v="246"/>
    <d v="2025-04-22T09:00:07"/>
    <x v="1"/>
    <x v="2"/>
    <x v="1"/>
    <n v="3330.37"/>
    <n v="367"/>
    <n v="10"/>
    <n v="30897.65"/>
    <n v="3"/>
    <n v="2"/>
    <n v="3"/>
    <s v="323"/>
    <x v="0"/>
  </r>
  <r>
    <x v="252"/>
    <d v="2025-04-22T09:00:07"/>
    <x v="8"/>
    <x v="0"/>
    <x v="0"/>
    <n v="7169.93"/>
    <n v="367"/>
    <n v="8"/>
    <n v="36475.079999999994"/>
    <n v="3"/>
    <n v="3"/>
    <n v="3"/>
    <s v="333"/>
    <x v="0"/>
  </r>
  <r>
    <x v="259"/>
    <d v="2025-04-22T09:00:07"/>
    <x v="6"/>
    <x v="0"/>
    <x v="1"/>
    <n v="1653.24"/>
    <n v="367"/>
    <n v="10"/>
    <n v="33545.49"/>
    <n v="3"/>
    <n v="2"/>
    <n v="3"/>
    <s v="323"/>
    <x v="0"/>
  </r>
  <r>
    <x v="161"/>
    <d v="2025-04-22T09:00:07"/>
    <x v="3"/>
    <x v="0"/>
    <x v="1"/>
    <n v="3873.99"/>
    <n v="367"/>
    <n v="9"/>
    <n v="32548.37"/>
    <n v="3"/>
    <n v="2"/>
    <n v="3"/>
    <s v="323"/>
    <x v="0"/>
  </r>
  <r>
    <x v="273"/>
    <d v="2025-04-23T09:00:07"/>
    <x v="0"/>
    <x v="0"/>
    <x v="1"/>
    <n v="7567.72"/>
    <n v="366"/>
    <n v="11"/>
    <n v="38976.650000000009"/>
    <n v="3"/>
    <n v="1"/>
    <n v="2"/>
    <s v="312"/>
    <x v="0"/>
  </r>
  <r>
    <x v="140"/>
    <d v="2025-04-23T09:00:07"/>
    <x v="9"/>
    <x v="0"/>
    <x v="2"/>
    <n v="8009.67"/>
    <n v="366"/>
    <n v="3"/>
    <n v="14886.69"/>
    <n v="3"/>
    <n v="5"/>
    <n v="5"/>
    <s v="355"/>
    <x v="0"/>
  </r>
  <r>
    <x v="65"/>
    <d v="2025-04-23T09:00:07"/>
    <x v="9"/>
    <x v="5"/>
    <x v="1"/>
    <n v="3128.83"/>
    <n v="366"/>
    <n v="12"/>
    <n v="46195.360000000001"/>
    <n v="3"/>
    <n v="1"/>
    <n v="1"/>
    <s v="311"/>
    <x v="0"/>
  </r>
  <r>
    <x v="380"/>
    <d v="2025-04-24T09:00:07"/>
    <x v="8"/>
    <x v="2"/>
    <x v="0"/>
    <n v="1876.35"/>
    <n v="365"/>
    <n v="6"/>
    <n v="13299.439999999999"/>
    <n v="3"/>
    <n v="4"/>
    <n v="5"/>
    <s v="345"/>
    <x v="0"/>
  </r>
  <r>
    <x v="230"/>
    <d v="2025-04-24T09:00:07"/>
    <x v="5"/>
    <x v="1"/>
    <x v="0"/>
    <n v="1555.23"/>
    <n v="365"/>
    <n v="6"/>
    <n v="11900.869999999999"/>
    <n v="3"/>
    <n v="4"/>
    <n v="5"/>
    <s v="345"/>
    <x v="0"/>
  </r>
  <r>
    <x v="110"/>
    <d v="2025-04-24T09:00:07"/>
    <x v="1"/>
    <x v="0"/>
    <x v="0"/>
    <n v="5986.96"/>
    <n v="365"/>
    <n v="9"/>
    <n v="40117.730000000003"/>
    <n v="3"/>
    <n v="2"/>
    <n v="2"/>
    <s v="322"/>
    <x v="0"/>
  </r>
  <r>
    <x v="346"/>
    <d v="2025-04-24T09:00:07"/>
    <x v="3"/>
    <x v="1"/>
    <x v="2"/>
    <n v="2008.36"/>
    <n v="365"/>
    <n v="8"/>
    <n v="30873.260000000002"/>
    <n v="3"/>
    <n v="3"/>
    <n v="3"/>
    <s v="333"/>
    <x v="0"/>
  </r>
  <r>
    <x v="23"/>
    <d v="2025-04-24T09:00:07"/>
    <x v="1"/>
    <x v="3"/>
    <x v="1"/>
    <n v="8527.43"/>
    <n v="365"/>
    <n v="11"/>
    <n v="44004.459999999992"/>
    <n v="3"/>
    <n v="1"/>
    <n v="2"/>
    <s v="312"/>
    <x v="0"/>
  </r>
  <r>
    <x v="268"/>
    <d v="2025-04-25T09:00:07"/>
    <x v="4"/>
    <x v="6"/>
    <x v="2"/>
    <n v="2223.34"/>
    <n v="364"/>
    <n v="8"/>
    <n v="22978.19"/>
    <n v="3"/>
    <n v="3"/>
    <n v="4"/>
    <s v="334"/>
    <x v="0"/>
  </r>
  <r>
    <x v="336"/>
    <d v="2025-04-25T09:00:07"/>
    <x v="2"/>
    <x v="4"/>
    <x v="1"/>
    <n v="6832.19"/>
    <n v="364"/>
    <n v="9"/>
    <n v="34808.1"/>
    <n v="3"/>
    <n v="2"/>
    <n v="3"/>
    <s v="323"/>
    <x v="0"/>
  </r>
  <r>
    <x v="252"/>
    <d v="2025-04-25T09:00:07"/>
    <x v="4"/>
    <x v="2"/>
    <x v="1"/>
    <n v="2352.42"/>
    <n v="364"/>
    <n v="8"/>
    <n v="36475.079999999994"/>
    <n v="3"/>
    <n v="3"/>
    <n v="3"/>
    <s v="333"/>
    <x v="0"/>
  </r>
  <r>
    <x v="239"/>
    <d v="2025-04-25T09:00:07"/>
    <x v="5"/>
    <x v="4"/>
    <x v="1"/>
    <n v="7386.07"/>
    <n v="364"/>
    <n v="5"/>
    <n v="18049.21"/>
    <n v="3"/>
    <n v="5"/>
    <n v="5"/>
    <s v="355"/>
    <x v="0"/>
  </r>
  <r>
    <x v="383"/>
    <d v="2025-04-25T09:00:07"/>
    <x v="2"/>
    <x v="0"/>
    <x v="1"/>
    <n v="946.49"/>
    <n v="364"/>
    <n v="4"/>
    <n v="6852.89"/>
    <n v="3"/>
    <n v="5"/>
    <n v="5"/>
    <s v="355"/>
    <x v="0"/>
  </r>
  <r>
    <x v="153"/>
    <d v="2025-04-25T09:00:07"/>
    <x v="7"/>
    <x v="5"/>
    <x v="0"/>
    <n v="3402.41"/>
    <n v="364"/>
    <n v="7"/>
    <n v="17672.689999999999"/>
    <n v="3"/>
    <n v="4"/>
    <n v="5"/>
    <s v="345"/>
    <x v="0"/>
  </r>
  <r>
    <x v="294"/>
    <d v="2025-04-26T09:00:07"/>
    <x v="5"/>
    <x v="1"/>
    <x v="1"/>
    <n v="4534.63"/>
    <n v="363"/>
    <n v="8"/>
    <n v="30924.840000000004"/>
    <n v="3"/>
    <n v="3"/>
    <n v="3"/>
    <s v="333"/>
    <x v="0"/>
  </r>
  <r>
    <x v="384"/>
    <d v="2025-04-26T09:00:07"/>
    <x v="5"/>
    <x v="5"/>
    <x v="1"/>
    <n v="1389.7"/>
    <n v="363"/>
    <n v="6"/>
    <n v="19427.86"/>
    <n v="3"/>
    <n v="4"/>
    <n v="5"/>
    <s v="345"/>
    <x v="0"/>
  </r>
  <r>
    <x v="28"/>
    <d v="2025-04-26T09:00:07"/>
    <x v="8"/>
    <x v="1"/>
    <x v="1"/>
    <n v="2300.77"/>
    <n v="363"/>
    <n v="10"/>
    <n v="39472.789999999994"/>
    <n v="3"/>
    <n v="2"/>
    <n v="2"/>
    <s v="322"/>
    <x v="0"/>
  </r>
  <r>
    <x v="68"/>
    <d v="2025-04-26T09:00:07"/>
    <x v="8"/>
    <x v="0"/>
    <x v="1"/>
    <n v="2826.99"/>
    <n v="363"/>
    <n v="9"/>
    <n v="44679.94"/>
    <n v="3"/>
    <n v="2"/>
    <n v="2"/>
    <s v="322"/>
    <x v="0"/>
  </r>
  <r>
    <x v="5"/>
    <d v="2025-04-27T09:00:07"/>
    <x v="9"/>
    <x v="5"/>
    <x v="2"/>
    <n v="2103.4899999999998"/>
    <n v="362"/>
    <n v="6"/>
    <n v="39626.31"/>
    <n v="3"/>
    <n v="4"/>
    <n v="2"/>
    <s v="342"/>
    <x v="0"/>
  </r>
  <r>
    <x v="229"/>
    <d v="2025-04-27T09:00:07"/>
    <x v="1"/>
    <x v="0"/>
    <x v="0"/>
    <n v="3089.78"/>
    <n v="362"/>
    <n v="10"/>
    <n v="27359.329999999998"/>
    <n v="3"/>
    <n v="2"/>
    <n v="4"/>
    <s v="324"/>
    <x v="0"/>
  </r>
  <r>
    <x v="3"/>
    <d v="2025-04-27T09:00:07"/>
    <x v="6"/>
    <x v="1"/>
    <x v="1"/>
    <n v="2752.94"/>
    <n v="362"/>
    <n v="15"/>
    <n v="49637.999999999993"/>
    <n v="3"/>
    <n v="1"/>
    <n v="1"/>
    <s v="311"/>
    <x v="0"/>
  </r>
  <r>
    <x v="319"/>
    <d v="2025-04-27T09:00:07"/>
    <x v="4"/>
    <x v="5"/>
    <x v="0"/>
    <n v="6311.98"/>
    <n v="362"/>
    <n v="9"/>
    <n v="39183.29"/>
    <n v="3"/>
    <n v="2"/>
    <n v="2"/>
    <s v="322"/>
    <x v="0"/>
  </r>
  <r>
    <x v="210"/>
    <d v="2025-04-27T09:00:07"/>
    <x v="7"/>
    <x v="5"/>
    <x v="1"/>
    <n v="1888.41"/>
    <n v="362"/>
    <n v="9"/>
    <n v="37239.53"/>
    <n v="3"/>
    <n v="2"/>
    <n v="2"/>
    <s v="322"/>
    <x v="0"/>
  </r>
  <r>
    <x v="189"/>
    <d v="2025-04-28T09:00:07"/>
    <x v="4"/>
    <x v="2"/>
    <x v="2"/>
    <n v="4595.3500000000004"/>
    <n v="361"/>
    <n v="11"/>
    <n v="45651.77"/>
    <n v="3"/>
    <n v="1"/>
    <n v="1"/>
    <s v="311"/>
    <x v="0"/>
  </r>
  <r>
    <x v="382"/>
    <d v="2025-04-28T09:00:07"/>
    <x v="5"/>
    <x v="3"/>
    <x v="1"/>
    <n v="4138.1499999999996"/>
    <n v="361"/>
    <n v="3"/>
    <n v="8934.2099999999991"/>
    <n v="3"/>
    <n v="5"/>
    <n v="5"/>
    <s v="355"/>
    <x v="0"/>
  </r>
  <r>
    <x v="271"/>
    <d v="2025-04-28T09:00:07"/>
    <x v="1"/>
    <x v="0"/>
    <x v="2"/>
    <n v="4978.43"/>
    <n v="361"/>
    <n v="6"/>
    <n v="21816.019999999997"/>
    <n v="3"/>
    <n v="4"/>
    <n v="4"/>
    <s v="344"/>
    <x v="0"/>
  </r>
  <r>
    <x v="63"/>
    <d v="2025-04-29T09:00:07"/>
    <x v="7"/>
    <x v="6"/>
    <x v="0"/>
    <n v="3874.08"/>
    <n v="360"/>
    <n v="8"/>
    <n v="30568.039999999997"/>
    <n v="3"/>
    <n v="3"/>
    <n v="3"/>
    <s v="333"/>
    <x v="0"/>
  </r>
  <r>
    <x v="208"/>
    <d v="2025-04-29T09:00:07"/>
    <x v="1"/>
    <x v="5"/>
    <x v="1"/>
    <n v="4862.41"/>
    <n v="360"/>
    <n v="8"/>
    <n v="27084.66"/>
    <n v="3"/>
    <n v="3"/>
    <n v="4"/>
    <s v="334"/>
    <x v="0"/>
  </r>
  <r>
    <x v="332"/>
    <d v="2025-04-29T09:00:07"/>
    <x v="6"/>
    <x v="1"/>
    <x v="1"/>
    <n v="7938.33"/>
    <n v="360"/>
    <n v="9"/>
    <n v="27857.719999999998"/>
    <n v="3"/>
    <n v="2"/>
    <n v="4"/>
    <s v="324"/>
    <x v="0"/>
  </r>
  <r>
    <x v="210"/>
    <d v="2025-04-29T09:00:07"/>
    <x v="3"/>
    <x v="2"/>
    <x v="0"/>
    <n v="2625.84"/>
    <n v="360"/>
    <n v="9"/>
    <n v="37239.53"/>
    <n v="3"/>
    <n v="2"/>
    <n v="2"/>
    <s v="322"/>
    <x v="0"/>
  </r>
  <r>
    <x v="10"/>
    <d v="2025-04-29T09:00:07"/>
    <x v="7"/>
    <x v="6"/>
    <x v="2"/>
    <n v="5993.76"/>
    <n v="360"/>
    <n v="5"/>
    <n v="17477.019999999997"/>
    <n v="3"/>
    <n v="5"/>
    <n v="5"/>
    <s v="355"/>
    <x v="0"/>
  </r>
  <r>
    <x v="89"/>
    <d v="2025-04-29T09:00:07"/>
    <x v="2"/>
    <x v="3"/>
    <x v="1"/>
    <n v="3459.55"/>
    <n v="360"/>
    <n v="12"/>
    <n v="54905.279999999992"/>
    <n v="3"/>
    <n v="1"/>
    <n v="1"/>
    <s v="311"/>
    <x v="0"/>
  </r>
  <r>
    <x v="356"/>
    <d v="2025-04-30T09:00:07"/>
    <x v="3"/>
    <x v="5"/>
    <x v="0"/>
    <n v="5733.57"/>
    <n v="359"/>
    <n v="8"/>
    <n v="38016.57"/>
    <n v="3"/>
    <n v="3"/>
    <n v="2"/>
    <s v="332"/>
    <x v="0"/>
  </r>
  <r>
    <x v="116"/>
    <d v="2025-04-30T09:00:07"/>
    <x v="4"/>
    <x v="2"/>
    <x v="2"/>
    <n v="4291.32"/>
    <n v="359"/>
    <n v="16"/>
    <n v="76962.720000000001"/>
    <n v="3"/>
    <n v="1"/>
    <n v="1"/>
    <s v="311"/>
    <x v="0"/>
  </r>
  <r>
    <x v="295"/>
    <d v="2025-05-01T09:00:07"/>
    <x v="6"/>
    <x v="0"/>
    <x v="1"/>
    <n v="3607.94"/>
    <n v="358"/>
    <n v="9"/>
    <n v="26580.030000000002"/>
    <n v="3"/>
    <n v="2"/>
    <n v="4"/>
    <s v="324"/>
    <x v="0"/>
  </r>
  <r>
    <x v="342"/>
    <d v="2025-05-03T09:00:07"/>
    <x v="5"/>
    <x v="4"/>
    <x v="0"/>
    <n v="3703.62"/>
    <n v="356"/>
    <n v="6"/>
    <n v="19844.169999999998"/>
    <n v="3"/>
    <n v="4"/>
    <n v="5"/>
    <s v="345"/>
    <x v="0"/>
  </r>
  <r>
    <x v="370"/>
    <d v="2025-05-03T09:00:07"/>
    <x v="9"/>
    <x v="5"/>
    <x v="2"/>
    <n v="2443.67"/>
    <n v="356"/>
    <n v="12"/>
    <n v="83986.299999999988"/>
    <n v="3"/>
    <n v="1"/>
    <n v="1"/>
    <s v="311"/>
    <x v="0"/>
  </r>
  <r>
    <x v="18"/>
    <d v="2025-05-03T09:00:07"/>
    <x v="3"/>
    <x v="1"/>
    <x v="1"/>
    <n v="3655.67"/>
    <n v="356"/>
    <n v="4"/>
    <n v="6987.52"/>
    <n v="3"/>
    <n v="5"/>
    <n v="5"/>
    <s v="355"/>
    <x v="0"/>
  </r>
  <r>
    <x v="285"/>
    <d v="2025-05-03T09:00:07"/>
    <x v="9"/>
    <x v="5"/>
    <x v="0"/>
    <n v="4950.84"/>
    <n v="356"/>
    <n v="5"/>
    <n v="15143.41"/>
    <n v="3"/>
    <n v="5"/>
    <n v="5"/>
    <s v="355"/>
    <x v="0"/>
  </r>
  <r>
    <x v="221"/>
    <d v="2025-05-03T09:00:07"/>
    <x v="7"/>
    <x v="5"/>
    <x v="1"/>
    <n v="13263.6"/>
    <n v="356"/>
    <n v="9"/>
    <n v="32930.549999999996"/>
    <n v="3"/>
    <n v="2"/>
    <n v="3"/>
    <s v="323"/>
    <x v="0"/>
  </r>
  <r>
    <x v="82"/>
    <d v="2025-05-03T09:00:07"/>
    <x v="6"/>
    <x v="2"/>
    <x v="2"/>
    <n v="2552.16"/>
    <n v="356"/>
    <n v="7"/>
    <n v="29725.939999999995"/>
    <n v="3"/>
    <n v="4"/>
    <n v="3"/>
    <s v="343"/>
    <x v="0"/>
  </r>
  <r>
    <x v="225"/>
    <d v="2025-05-03T09:00:07"/>
    <x v="8"/>
    <x v="4"/>
    <x v="2"/>
    <n v="2958.57"/>
    <n v="356"/>
    <n v="10"/>
    <n v="31217.780000000002"/>
    <n v="3"/>
    <n v="2"/>
    <n v="3"/>
    <s v="323"/>
    <x v="0"/>
  </r>
  <r>
    <x v="304"/>
    <d v="2025-05-03T09:00:07"/>
    <x v="1"/>
    <x v="1"/>
    <x v="0"/>
    <n v="2301.65"/>
    <n v="356"/>
    <n v="9"/>
    <n v="27990.980000000003"/>
    <n v="3"/>
    <n v="2"/>
    <n v="4"/>
    <s v="324"/>
    <x v="0"/>
  </r>
  <r>
    <x v="193"/>
    <d v="2025-05-04T09:00:07"/>
    <x v="9"/>
    <x v="2"/>
    <x v="2"/>
    <n v="704.83"/>
    <n v="355"/>
    <n v="10"/>
    <n v="54972.43"/>
    <n v="3"/>
    <n v="2"/>
    <n v="1"/>
    <s v="321"/>
    <x v="0"/>
  </r>
  <r>
    <x v="307"/>
    <d v="2025-05-04T09:00:07"/>
    <x v="7"/>
    <x v="2"/>
    <x v="2"/>
    <n v="2283.2800000000002"/>
    <n v="355"/>
    <n v="9"/>
    <n v="39434.269999999997"/>
    <n v="3"/>
    <n v="2"/>
    <n v="2"/>
    <s v="322"/>
    <x v="0"/>
  </r>
  <r>
    <x v="161"/>
    <d v="2025-05-04T09:00:07"/>
    <x v="5"/>
    <x v="0"/>
    <x v="0"/>
    <n v="10143.709999999999"/>
    <n v="355"/>
    <n v="9"/>
    <n v="32548.37"/>
    <n v="3"/>
    <n v="2"/>
    <n v="3"/>
    <s v="323"/>
    <x v="0"/>
  </r>
  <r>
    <x v="199"/>
    <d v="2025-05-04T09:00:07"/>
    <x v="3"/>
    <x v="3"/>
    <x v="2"/>
    <n v="3221.85"/>
    <n v="355"/>
    <n v="13"/>
    <n v="40298.450000000004"/>
    <n v="3"/>
    <n v="1"/>
    <n v="2"/>
    <s v="312"/>
    <x v="0"/>
  </r>
  <r>
    <x v="318"/>
    <d v="2025-05-04T09:00:07"/>
    <x v="1"/>
    <x v="5"/>
    <x v="2"/>
    <n v="2500.5500000000002"/>
    <n v="355"/>
    <n v="11"/>
    <n v="30527.53"/>
    <n v="3"/>
    <n v="1"/>
    <n v="3"/>
    <s v="313"/>
    <x v="0"/>
  </r>
  <r>
    <x v="247"/>
    <d v="2025-05-04T09:00:07"/>
    <x v="0"/>
    <x v="5"/>
    <x v="2"/>
    <n v="3653.59"/>
    <n v="355"/>
    <n v="6"/>
    <n v="14707.359999999999"/>
    <n v="3"/>
    <n v="4"/>
    <n v="5"/>
    <s v="345"/>
    <x v="0"/>
  </r>
  <r>
    <x v="65"/>
    <d v="2025-05-04T09:00:07"/>
    <x v="9"/>
    <x v="0"/>
    <x v="1"/>
    <n v="184.77"/>
    <n v="355"/>
    <n v="12"/>
    <n v="46195.360000000001"/>
    <n v="3"/>
    <n v="1"/>
    <n v="1"/>
    <s v="311"/>
    <x v="0"/>
  </r>
  <r>
    <x v="77"/>
    <d v="2025-05-05T09:00:07"/>
    <x v="8"/>
    <x v="0"/>
    <x v="1"/>
    <n v="1641.11"/>
    <n v="354"/>
    <n v="4"/>
    <n v="13576.4"/>
    <n v="3"/>
    <n v="5"/>
    <n v="5"/>
    <s v="355"/>
    <x v="0"/>
  </r>
  <r>
    <x v="63"/>
    <d v="2025-05-05T09:00:07"/>
    <x v="5"/>
    <x v="6"/>
    <x v="0"/>
    <n v="5438.99"/>
    <n v="354"/>
    <n v="8"/>
    <n v="30568.039999999997"/>
    <n v="3"/>
    <n v="3"/>
    <n v="3"/>
    <s v="333"/>
    <x v="0"/>
  </r>
  <r>
    <x v="103"/>
    <d v="2025-05-05T09:00:07"/>
    <x v="1"/>
    <x v="3"/>
    <x v="2"/>
    <n v="3535.41"/>
    <n v="354"/>
    <n v="15"/>
    <n v="55867.080000000016"/>
    <n v="3"/>
    <n v="1"/>
    <n v="1"/>
    <s v="311"/>
    <x v="0"/>
  </r>
  <r>
    <x v="191"/>
    <d v="2025-05-06T09:00:07"/>
    <x v="1"/>
    <x v="6"/>
    <x v="0"/>
    <n v="4043.17"/>
    <n v="353"/>
    <n v="11"/>
    <n v="54143.32"/>
    <n v="3"/>
    <n v="1"/>
    <n v="1"/>
    <s v="311"/>
    <x v="0"/>
  </r>
  <r>
    <x v="376"/>
    <d v="2025-05-06T09:00:07"/>
    <x v="7"/>
    <x v="4"/>
    <x v="0"/>
    <n v="3344.62"/>
    <n v="353"/>
    <n v="8"/>
    <n v="28310.01"/>
    <n v="3"/>
    <n v="3"/>
    <n v="4"/>
    <s v="334"/>
    <x v="0"/>
  </r>
  <r>
    <x v="263"/>
    <d v="2025-05-06T09:00:07"/>
    <x v="3"/>
    <x v="3"/>
    <x v="0"/>
    <n v="4698.17"/>
    <n v="353"/>
    <n v="12"/>
    <n v="40797.409999999996"/>
    <n v="3"/>
    <n v="1"/>
    <n v="2"/>
    <s v="312"/>
    <x v="0"/>
  </r>
  <r>
    <x v="192"/>
    <d v="2025-05-06T09:00:07"/>
    <x v="9"/>
    <x v="3"/>
    <x v="0"/>
    <n v="2362.2600000000002"/>
    <n v="353"/>
    <n v="12"/>
    <n v="45191.609999999993"/>
    <n v="3"/>
    <n v="1"/>
    <n v="1"/>
    <s v="311"/>
    <x v="0"/>
  </r>
  <r>
    <x v="359"/>
    <d v="2025-05-06T09:00:07"/>
    <x v="3"/>
    <x v="2"/>
    <x v="2"/>
    <n v="4112.4399999999996"/>
    <n v="353"/>
    <n v="3"/>
    <n v="6049.44"/>
    <n v="3"/>
    <n v="5"/>
    <n v="5"/>
    <s v="355"/>
    <x v="0"/>
  </r>
  <r>
    <x v="212"/>
    <d v="2025-05-07T09:00:07"/>
    <x v="4"/>
    <x v="6"/>
    <x v="2"/>
    <n v="2141.61"/>
    <n v="352"/>
    <n v="9"/>
    <n v="27881.53"/>
    <n v="3"/>
    <n v="2"/>
    <n v="4"/>
    <s v="324"/>
    <x v="0"/>
  </r>
  <r>
    <x v="204"/>
    <d v="2025-05-07T09:00:07"/>
    <x v="9"/>
    <x v="0"/>
    <x v="2"/>
    <n v="5999.26"/>
    <n v="352"/>
    <n v="9"/>
    <n v="36233.340000000004"/>
    <n v="3"/>
    <n v="2"/>
    <n v="3"/>
    <s v="323"/>
    <x v="0"/>
  </r>
  <r>
    <x v="316"/>
    <d v="2025-05-07T09:00:07"/>
    <x v="1"/>
    <x v="1"/>
    <x v="2"/>
    <n v="2408.6999999999998"/>
    <n v="352"/>
    <n v="6"/>
    <n v="12660.78"/>
    <n v="3"/>
    <n v="4"/>
    <n v="5"/>
    <s v="345"/>
    <x v="0"/>
  </r>
  <r>
    <x v="93"/>
    <d v="2025-05-07T09:00:07"/>
    <x v="2"/>
    <x v="0"/>
    <x v="0"/>
    <n v="1009.15"/>
    <n v="352"/>
    <n v="9"/>
    <n v="32520.350000000002"/>
    <n v="3"/>
    <n v="2"/>
    <n v="3"/>
    <s v="323"/>
    <x v="0"/>
  </r>
  <r>
    <x v="144"/>
    <d v="2025-05-08T09:00:07"/>
    <x v="5"/>
    <x v="3"/>
    <x v="1"/>
    <n v="9249"/>
    <n v="351"/>
    <n v="6"/>
    <n v="27159.870000000003"/>
    <n v="3"/>
    <n v="4"/>
    <n v="4"/>
    <s v="344"/>
    <x v="0"/>
  </r>
  <r>
    <x v="6"/>
    <d v="2025-05-08T09:00:07"/>
    <x v="7"/>
    <x v="1"/>
    <x v="2"/>
    <n v="5399.78"/>
    <n v="351"/>
    <n v="7"/>
    <n v="32953.599999999999"/>
    <n v="3"/>
    <n v="4"/>
    <n v="3"/>
    <s v="343"/>
    <x v="0"/>
  </r>
  <r>
    <x v="169"/>
    <d v="2025-05-08T09:00:07"/>
    <x v="0"/>
    <x v="6"/>
    <x v="0"/>
    <n v="653.61"/>
    <n v="351"/>
    <n v="10"/>
    <n v="28216.130000000005"/>
    <n v="3"/>
    <n v="2"/>
    <n v="4"/>
    <s v="324"/>
    <x v="0"/>
  </r>
  <r>
    <x v="192"/>
    <d v="2025-05-08T09:00:07"/>
    <x v="5"/>
    <x v="0"/>
    <x v="0"/>
    <n v="4994.6899999999996"/>
    <n v="351"/>
    <n v="12"/>
    <n v="45191.609999999993"/>
    <n v="3"/>
    <n v="1"/>
    <n v="1"/>
    <s v="311"/>
    <x v="0"/>
  </r>
  <r>
    <x v="319"/>
    <d v="2025-05-08T09:00:07"/>
    <x v="5"/>
    <x v="0"/>
    <x v="2"/>
    <n v="7301.62"/>
    <n v="351"/>
    <n v="9"/>
    <n v="39183.29"/>
    <n v="3"/>
    <n v="2"/>
    <n v="2"/>
    <s v="322"/>
    <x v="0"/>
  </r>
  <r>
    <x v="186"/>
    <d v="2025-05-09T09:00:07"/>
    <x v="9"/>
    <x v="5"/>
    <x v="2"/>
    <n v="2588.37"/>
    <n v="350"/>
    <n v="7"/>
    <n v="37438.960000000006"/>
    <n v="3"/>
    <n v="4"/>
    <n v="2"/>
    <s v="342"/>
    <x v="0"/>
  </r>
  <r>
    <x v="121"/>
    <d v="2025-05-09T09:00:07"/>
    <x v="6"/>
    <x v="2"/>
    <x v="0"/>
    <n v="4855.74"/>
    <n v="350"/>
    <n v="7"/>
    <n v="29497.360000000001"/>
    <n v="3"/>
    <n v="4"/>
    <n v="3"/>
    <s v="343"/>
    <x v="0"/>
  </r>
  <r>
    <x v="276"/>
    <d v="2025-05-09T09:00:07"/>
    <x v="0"/>
    <x v="3"/>
    <x v="0"/>
    <n v="3922.92"/>
    <n v="350"/>
    <n v="7"/>
    <n v="33899.22"/>
    <n v="3"/>
    <n v="4"/>
    <n v="3"/>
    <s v="343"/>
    <x v="0"/>
  </r>
  <r>
    <x v="331"/>
    <d v="2025-05-10T09:00:07"/>
    <x v="5"/>
    <x v="3"/>
    <x v="1"/>
    <n v="6811.9"/>
    <n v="349"/>
    <n v="9"/>
    <n v="45883.96"/>
    <n v="3"/>
    <n v="2"/>
    <n v="1"/>
    <s v="321"/>
    <x v="0"/>
  </r>
  <r>
    <x v="318"/>
    <d v="2025-05-10T09:00:07"/>
    <x v="5"/>
    <x v="4"/>
    <x v="1"/>
    <n v="5450.79"/>
    <n v="349"/>
    <n v="11"/>
    <n v="30527.53"/>
    <n v="3"/>
    <n v="1"/>
    <n v="3"/>
    <s v="313"/>
    <x v="0"/>
  </r>
  <r>
    <x v="338"/>
    <d v="2025-05-10T09:00:07"/>
    <x v="4"/>
    <x v="4"/>
    <x v="1"/>
    <n v="2477.4699999999998"/>
    <n v="349"/>
    <n v="6"/>
    <n v="19997.589999999997"/>
    <n v="3"/>
    <n v="4"/>
    <n v="5"/>
    <s v="345"/>
    <x v="0"/>
  </r>
  <r>
    <x v="385"/>
    <d v="2025-05-10T09:00:07"/>
    <x v="1"/>
    <x v="0"/>
    <x v="0"/>
    <n v="7115.01"/>
    <n v="349"/>
    <n v="3"/>
    <n v="11810.94"/>
    <n v="3"/>
    <n v="5"/>
    <n v="5"/>
    <s v="355"/>
    <x v="0"/>
  </r>
  <r>
    <x v="273"/>
    <d v="2025-05-10T09:00:07"/>
    <x v="4"/>
    <x v="1"/>
    <x v="1"/>
    <n v="5222.0200000000004"/>
    <n v="349"/>
    <n v="11"/>
    <n v="38976.650000000009"/>
    <n v="3"/>
    <n v="1"/>
    <n v="2"/>
    <s v="312"/>
    <x v="0"/>
  </r>
  <r>
    <x v="71"/>
    <d v="2025-05-11T09:00:07"/>
    <x v="2"/>
    <x v="3"/>
    <x v="0"/>
    <n v="5764.55"/>
    <n v="348"/>
    <n v="10"/>
    <n v="49420.710000000006"/>
    <n v="3"/>
    <n v="2"/>
    <n v="1"/>
    <s v="321"/>
    <x v="0"/>
  </r>
  <r>
    <x v="271"/>
    <d v="2025-05-11T09:00:07"/>
    <x v="1"/>
    <x v="5"/>
    <x v="0"/>
    <n v="1882.65"/>
    <n v="348"/>
    <n v="6"/>
    <n v="21816.019999999997"/>
    <n v="3"/>
    <n v="4"/>
    <n v="4"/>
    <s v="344"/>
    <x v="0"/>
  </r>
  <r>
    <x v="273"/>
    <d v="2025-05-11T09:00:07"/>
    <x v="3"/>
    <x v="6"/>
    <x v="2"/>
    <n v="2099.87"/>
    <n v="348"/>
    <n v="11"/>
    <n v="38976.650000000009"/>
    <n v="3"/>
    <n v="1"/>
    <n v="2"/>
    <s v="312"/>
    <x v="0"/>
  </r>
  <r>
    <x v="191"/>
    <d v="2025-05-11T09:00:07"/>
    <x v="7"/>
    <x v="3"/>
    <x v="1"/>
    <n v="8795.68"/>
    <n v="348"/>
    <n v="11"/>
    <n v="54143.32"/>
    <n v="3"/>
    <n v="1"/>
    <n v="1"/>
    <s v="311"/>
    <x v="0"/>
  </r>
  <r>
    <x v="363"/>
    <d v="2025-05-11T09:00:07"/>
    <x v="8"/>
    <x v="2"/>
    <x v="0"/>
    <n v="5048.8599999999997"/>
    <n v="348"/>
    <n v="10"/>
    <n v="29994.030000000002"/>
    <n v="3"/>
    <n v="2"/>
    <n v="3"/>
    <s v="323"/>
    <x v="0"/>
  </r>
  <r>
    <x v="241"/>
    <d v="2025-05-12T09:00:07"/>
    <x v="9"/>
    <x v="5"/>
    <x v="2"/>
    <n v="1616.53"/>
    <n v="347"/>
    <n v="12"/>
    <n v="43413.4"/>
    <n v="3"/>
    <n v="1"/>
    <n v="2"/>
    <s v="312"/>
    <x v="0"/>
  </r>
  <r>
    <x v="47"/>
    <d v="2025-05-12T09:00:07"/>
    <x v="2"/>
    <x v="4"/>
    <x v="0"/>
    <n v="2593.9499999999998"/>
    <n v="347"/>
    <n v="11"/>
    <n v="58842.799999999996"/>
    <n v="3"/>
    <n v="1"/>
    <n v="1"/>
    <s v="311"/>
    <x v="0"/>
  </r>
  <r>
    <x v="275"/>
    <d v="2025-05-12T09:00:07"/>
    <x v="9"/>
    <x v="6"/>
    <x v="1"/>
    <n v="2342.58"/>
    <n v="347"/>
    <n v="9"/>
    <n v="36963.729999999996"/>
    <n v="3"/>
    <n v="2"/>
    <n v="2"/>
    <s v="322"/>
    <x v="0"/>
  </r>
  <r>
    <x v="271"/>
    <d v="2025-05-12T09:00:07"/>
    <x v="2"/>
    <x v="6"/>
    <x v="1"/>
    <n v="2211.6"/>
    <n v="347"/>
    <n v="6"/>
    <n v="21816.019999999997"/>
    <n v="3"/>
    <n v="4"/>
    <n v="4"/>
    <s v="344"/>
    <x v="0"/>
  </r>
  <r>
    <x v="2"/>
    <d v="2025-05-12T09:00:07"/>
    <x v="4"/>
    <x v="6"/>
    <x v="0"/>
    <n v="6242.6"/>
    <n v="347"/>
    <n v="10"/>
    <n v="32732.979999999996"/>
    <n v="3"/>
    <n v="2"/>
    <n v="3"/>
    <s v="323"/>
    <x v="0"/>
  </r>
  <r>
    <x v="85"/>
    <d v="2025-05-12T09:00:07"/>
    <x v="8"/>
    <x v="5"/>
    <x v="1"/>
    <n v="6765.46"/>
    <n v="347"/>
    <n v="6"/>
    <n v="21226.689999999995"/>
    <n v="3"/>
    <n v="4"/>
    <n v="5"/>
    <s v="345"/>
    <x v="0"/>
  </r>
  <r>
    <x v="270"/>
    <d v="2025-05-12T09:00:07"/>
    <x v="3"/>
    <x v="2"/>
    <x v="2"/>
    <n v="7590.59"/>
    <n v="347"/>
    <n v="4"/>
    <n v="29501.85"/>
    <n v="3"/>
    <n v="5"/>
    <n v="3"/>
    <s v="353"/>
    <x v="0"/>
  </r>
  <r>
    <x v="308"/>
    <d v="2025-05-12T09:00:07"/>
    <x v="3"/>
    <x v="5"/>
    <x v="1"/>
    <n v="1214.58"/>
    <n v="347"/>
    <n v="9"/>
    <n v="34800.239999999998"/>
    <n v="3"/>
    <n v="2"/>
    <n v="3"/>
    <s v="323"/>
    <x v="0"/>
  </r>
  <r>
    <x v="221"/>
    <d v="2025-05-13T09:00:07"/>
    <x v="9"/>
    <x v="6"/>
    <x v="0"/>
    <n v="934.46"/>
    <n v="346"/>
    <n v="9"/>
    <n v="32930.549999999996"/>
    <n v="3"/>
    <n v="2"/>
    <n v="3"/>
    <s v="323"/>
    <x v="0"/>
  </r>
  <r>
    <x v="356"/>
    <d v="2025-05-13T09:00:07"/>
    <x v="4"/>
    <x v="3"/>
    <x v="2"/>
    <n v="6003.11"/>
    <n v="346"/>
    <n v="8"/>
    <n v="38016.57"/>
    <n v="3"/>
    <n v="3"/>
    <n v="2"/>
    <s v="332"/>
    <x v="0"/>
  </r>
  <r>
    <x v="55"/>
    <d v="2025-05-13T09:00:07"/>
    <x v="7"/>
    <x v="3"/>
    <x v="2"/>
    <n v="1872.25"/>
    <n v="346"/>
    <n v="12"/>
    <n v="42930.969999999994"/>
    <n v="3"/>
    <n v="1"/>
    <n v="2"/>
    <s v="312"/>
    <x v="0"/>
  </r>
  <r>
    <x v="266"/>
    <d v="2025-05-14T09:00:07"/>
    <x v="5"/>
    <x v="6"/>
    <x v="2"/>
    <n v="4334.62"/>
    <n v="345"/>
    <n v="9"/>
    <n v="35145.360000000001"/>
    <n v="3"/>
    <n v="2"/>
    <n v="3"/>
    <s v="323"/>
    <x v="0"/>
  </r>
  <r>
    <x v="123"/>
    <d v="2025-05-14T09:00:07"/>
    <x v="8"/>
    <x v="5"/>
    <x v="1"/>
    <n v="2342.87"/>
    <n v="345"/>
    <n v="9"/>
    <n v="28813.449999999997"/>
    <n v="3"/>
    <n v="2"/>
    <n v="4"/>
    <s v="324"/>
    <x v="0"/>
  </r>
  <r>
    <x v="200"/>
    <d v="2025-05-14T09:00:07"/>
    <x v="6"/>
    <x v="2"/>
    <x v="2"/>
    <n v="6201.45"/>
    <n v="345"/>
    <n v="5"/>
    <n v="20246.7"/>
    <n v="3"/>
    <n v="5"/>
    <n v="5"/>
    <s v="355"/>
    <x v="0"/>
  </r>
  <r>
    <x v="331"/>
    <d v="2025-05-15T09:00:07"/>
    <x v="9"/>
    <x v="5"/>
    <x v="0"/>
    <n v="2797.31"/>
    <n v="344"/>
    <n v="9"/>
    <n v="45883.96"/>
    <n v="3"/>
    <n v="2"/>
    <n v="1"/>
    <s v="321"/>
    <x v="0"/>
  </r>
  <r>
    <x v="203"/>
    <d v="2025-05-15T09:00:07"/>
    <x v="2"/>
    <x v="1"/>
    <x v="2"/>
    <n v="7414.58"/>
    <n v="344"/>
    <n v="7"/>
    <n v="24539.160000000003"/>
    <n v="3"/>
    <n v="4"/>
    <n v="4"/>
    <s v="344"/>
    <x v="0"/>
  </r>
  <r>
    <x v="185"/>
    <d v="2025-05-15T09:00:07"/>
    <x v="6"/>
    <x v="4"/>
    <x v="0"/>
    <n v="6172.7"/>
    <n v="344"/>
    <n v="9"/>
    <n v="38767.17"/>
    <n v="3"/>
    <n v="2"/>
    <n v="2"/>
    <s v="322"/>
    <x v="0"/>
  </r>
  <r>
    <x v="160"/>
    <d v="2025-05-15T09:00:07"/>
    <x v="0"/>
    <x v="6"/>
    <x v="2"/>
    <n v="1717.87"/>
    <n v="344"/>
    <n v="9"/>
    <n v="37215.54"/>
    <n v="3"/>
    <n v="2"/>
    <n v="2"/>
    <s v="322"/>
    <x v="0"/>
  </r>
  <r>
    <x v="160"/>
    <d v="2025-05-15T09:00:07"/>
    <x v="5"/>
    <x v="5"/>
    <x v="1"/>
    <n v="5757.42"/>
    <n v="344"/>
    <n v="9"/>
    <n v="37215.54"/>
    <n v="3"/>
    <n v="2"/>
    <n v="2"/>
    <s v="322"/>
    <x v="0"/>
  </r>
  <r>
    <x v="229"/>
    <d v="2025-05-15T09:00:07"/>
    <x v="1"/>
    <x v="3"/>
    <x v="0"/>
    <n v="3509.88"/>
    <n v="344"/>
    <n v="10"/>
    <n v="27359.329999999998"/>
    <n v="3"/>
    <n v="2"/>
    <n v="4"/>
    <s v="324"/>
    <x v="0"/>
  </r>
  <r>
    <x v="43"/>
    <d v="2025-05-15T09:00:07"/>
    <x v="7"/>
    <x v="6"/>
    <x v="1"/>
    <n v="3388.3"/>
    <n v="344"/>
    <n v="11"/>
    <n v="39674.43"/>
    <n v="3"/>
    <n v="1"/>
    <n v="2"/>
    <s v="312"/>
    <x v="0"/>
  </r>
  <r>
    <x v="133"/>
    <d v="2025-05-16T09:00:07"/>
    <x v="0"/>
    <x v="2"/>
    <x v="0"/>
    <n v="7127.6"/>
    <n v="343"/>
    <n v="11"/>
    <n v="38337.789999999994"/>
    <n v="3"/>
    <n v="1"/>
    <n v="2"/>
    <s v="312"/>
    <x v="0"/>
  </r>
  <r>
    <x v="163"/>
    <d v="2025-05-16T09:00:07"/>
    <x v="9"/>
    <x v="3"/>
    <x v="0"/>
    <n v="10779.1"/>
    <n v="343"/>
    <n v="9"/>
    <n v="30047.29"/>
    <n v="3"/>
    <n v="2"/>
    <n v="3"/>
    <s v="323"/>
    <x v="0"/>
  </r>
  <r>
    <x v="386"/>
    <d v="2025-05-16T09:00:07"/>
    <x v="0"/>
    <x v="2"/>
    <x v="0"/>
    <n v="6908.09"/>
    <n v="343"/>
    <n v="2"/>
    <n v="12037.99"/>
    <n v="3"/>
    <n v="5"/>
    <n v="5"/>
    <s v="355"/>
    <x v="0"/>
  </r>
  <r>
    <x v="45"/>
    <d v="2025-05-16T09:00:07"/>
    <x v="3"/>
    <x v="3"/>
    <x v="2"/>
    <n v="1944.83"/>
    <n v="343"/>
    <n v="10"/>
    <n v="50122.659999999996"/>
    <n v="3"/>
    <n v="2"/>
    <n v="1"/>
    <s v="321"/>
    <x v="0"/>
  </r>
  <r>
    <x v="351"/>
    <d v="2025-05-16T09:00:07"/>
    <x v="3"/>
    <x v="5"/>
    <x v="2"/>
    <n v="3547.47"/>
    <n v="343"/>
    <n v="7"/>
    <n v="17082.88"/>
    <n v="3"/>
    <n v="4"/>
    <n v="5"/>
    <s v="345"/>
    <x v="0"/>
  </r>
  <r>
    <x v="30"/>
    <d v="2025-05-16T09:00:07"/>
    <x v="2"/>
    <x v="0"/>
    <x v="0"/>
    <n v="7432.4"/>
    <n v="343"/>
    <n v="5"/>
    <n v="27766.260000000002"/>
    <n v="3"/>
    <n v="5"/>
    <n v="4"/>
    <s v="354"/>
    <x v="0"/>
  </r>
  <r>
    <x v="204"/>
    <d v="2025-05-16T09:00:07"/>
    <x v="0"/>
    <x v="6"/>
    <x v="1"/>
    <n v="921.49"/>
    <n v="343"/>
    <n v="9"/>
    <n v="36233.340000000004"/>
    <n v="3"/>
    <n v="2"/>
    <n v="3"/>
    <s v="323"/>
    <x v="0"/>
  </r>
  <r>
    <x v="223"/>
    <d v="2025-05-17T09:00:07"/>
    <x v="5"/>
    <x v="2"/>
    <x v="0"/>
    <n v="3773.52"/>
    <n v="342"/>
    <n v="9"/>
    <n v="26752.640000000003"/>
    <n v="3"/>
    <n v="2"/>
    <n v="4"/>
    <s v="324"/>
    <x v="0"/>
  </r>
  <r>
    <x v="330"/>
    <d v="2025-05-18T09:00:07"/>
    <x v="2"/>
    <x v="0"/>
    <x v="0"/>
    <n v="3597.9"/>
    <n v="341"/>
    <n v="9"/>
    <n v="39538.21"/>
    <n v="3"/>
    <n v="2"/>
    <n v="2"/>
    <s v="322"/>
    <x v="0"/>
  </r>
  <r>
    <x v="280"/>
    <d v="2025-05-18T09:00:07"/>
    <x v="3"/>
    <x v="4"/>
    <x v="1"/>
    <n v="2556.31"/>
    <n v="341"/>
    <n v="16"/>
    <n v="64716.249999999985"/>
    <n v="3"/>
    <n v="1"/>
    <n v="1"/>
    <s v="311"/>
    <x v="0"/>
  </r>
  <r>
    <x v="201"/>
    <d v="2025-05-18T09:00:07"/>
    <x v="9"/>
    <x v="5"/>
    <x v="1"/>
    <n v="10586.38"/>
    <n v="341"/>
    <n v="9"/>
    <n v="44812.989999999991"/>
    <n v="3"/>
    <n v="2"/>
    <n v="2"/>
    <s v="322"/>
    <x v="0"/>
  </r>
  <r>
    <x v="17"/>
    <d v="2025-05-18T09:00:07"/>
    <x v="3"/>
    <x v="0"/>
    <x v="0"/>
    <n v="2488.36"/>
    <n v="341"/>
    <n v="3"/>
    <n v="11200.41"/>
    <n v="3"/>
    <n v="5"/>
    <n v="5"/>
    <s v="355"/>
    <x v="0"/>
  </r>
  <r>
    <x v="161"/>
    <d v="2025-05-18T09:00:07"/>
    <x v="4"/>
    <x v="5"/>
    <x v="2"/>
    <n v="2891.88"/>
    <n v="341"/>
    <n v="9"/>
    <n v="32548.37"/>
    <n v="3"/>
    <n v="2"/>
    <n v="3"/>
    <s v="323"/>
    <x v="0"/>
  </r>
  <r>
    <x v="180"/>
    <d v="2025-05-18T09:00:07"/>
    <x v="5"/>
    <x v="2"/>
    <x v="1"/>
    <n v="2749.97"/>
    <n v="341"/>
    <n v="8"/>
    <n v="26424.119999999995"/>
    <n v="3"/>
    <n v="3"/>
    <n v="4"/>
    <s v="334"/>
    <x v="0"/>
  </r>
  <r>
    <x v="63"/>
    <d v="2025-05-18T09:00:07"/>
    <x v="7"/>
    <x v="3"/>
    <x v="0"/>
    <n v="3440.94"/>
    <n v="341"/>
    <n v="8"/>
    <n v="30568.039999999997"/>
    <n v="3"/>
    <n v="3"/>
    <n v="3"/>
    <s v="333"/>
    <x v="0"/>
  </r>
  <r>
    <x v="248"/>
    <d v="2025-05-18T09:00:07"/>
    <x v="4"/>
    <x v="2"/>
    <x v="1"/>
    <n v="5030.1400000000003"/>
    <n v="341"/>
    <n v="8"/>
    <n v="34167.589999999997"/>
    <n v="3"/>
    <n v="3"/>
    <n v="3"/>
    <s v="333"/>
    <x v="0"/>
  </r>
  <r>
    <x v="78"/>
    <d v="2025-05-19T09:00:07"/>
    <x v="2"/>
    <x v="5"/>
    <x v="1"/>
    <n v="5417.66"/>
    <n v="340"/>
    <n v="10"/>
    <n v="34265.79"/>
    <n v="3"/>
    <n v="2"/>
    <n v="3"/>
    <s v="323"/>
    <x v="0"/>
  </r>
  <r>
    <x v="75"/>
    <d v="2025-05-19T09:00:07"/>
    <x v="3"/>
    <x v="3"/>
    <x v="2"/>
    <n v="4414.71"/>
    <n v="340"/>
    <n v="9"/>
    <n v="37864.199999999997"/>
    <n v="3"/>
    <n v="2"/>
    <n v="2"/>
    <s v="322"/>
    <x v="0"/>
  </r>
  <r>
    <x v="380"/>
    <d v="2025-05-19T09:00:07"/>
    <x v="6"/>
    <x v="0"/>
    <x v="0"/>
    <n v="2931.66"/>
    <n v="340"/>
    <n v="6"/>
    <n v="13299.439999999999"/>
    <n v="3"/>
    <n v="4"/>
    <n v="5"/>
    <s v="345"/>
    <x v="0"/>
  </r>
  <r>
    <x v="119"/>
    <d v="2025-05-19T09:00:07"/>
    <x v="5"/>
    <x v="5"/>
    <x v="1"/>
    <n v="1464.96"/>
    <n v="340"/>
    <n v="11"/>
    <n v="29238.53"/>
    <n v="3"/>
    <n v="1"/>
    <n v="4"/>
    <s v="314"/>
    <x v="0"/>
  </r>
  <r>
    <x v="387"/>
    <d v="2025-05-20T09:00:07"/>
    <x v="1"/>
    <x v="0"/>
    <x v="2"/>
    <n v="455.45"/>
    <n v="339"/>
    <n v="3"/>
    <n v="7049.0300000000007"/>
    <n v="3"/>
    <n v="5"/>
    <n v="5"/>
    <s v="355"/>
    <x v="0"/>
  </r>
  <r>
    <x v="222"/>
    <d v="2025-05-20T09:00:07"/>
    <x v="4"/>
    <x v="4"/>
    <x v="1"/>
    <n v="3057.37"/>
    <n v="339"/>
    <n v="9"/>
    <n v="34007.68"/>
    <n v="3"/>
    <n v="2"/>
    <n v="3"/>
    <s v="323"/>
    <x v="0"/>
  </r>
  <r>
    <x v="169"/>
    <d v="2025-05-20T09:00:07"/>
    <x v="9"/>
    <x v="2"/>
    <x v="0"/>
    <n v="3321.41"/>
    <n v="339"/>
    <n v="10"/>
    <n v="28216.130000000005"/>
    <n v="3"/>
    <n v="2"/>
    <n v="4"/>
    <s v="324"/>
    <x v="0"/>
  </r>
  <r>
    <x v="388"/>
    <d v="2025-05-21T09:00:07"/>
    <x v="9"/>
    <x v="1"/>
    <x v="1"/>
    <n v="6140.44"/>
    <n v="338"/>
    <n v="3"/>
    <n v="12014.18"/>
    <n v="3"/>
    <n v="5"/>
    <n v="5"/>
    <s v="355"/>
    <x v="0"/>
  </r>
  <r>
    <x v="133"/>
    <d v="2025-05-21T09:00:07"/>
    <x v="2"/>
    <x v="5"/>
    <x v="0"/>
    <n v="224.12"/>
    <n v="338"/>
    <n v="11"/>
    <n v="38337.789999999994"/>
    <n v="3"/>
    <n v="1"/>
    <n v="2"/>
    <s v="312"/>
    <x v="0"/>
  </r>
  <r>
    <x v="9"/>
    <d v="2025-05-21T09:00:07"/>
    <x v="0"/>
    <x v="1"/>
    <x v="1"/>
    <n v="14190.43"/>
    <n v="338"/>
    <n v="10"/>
    <n v="67378.48000000001"/>
    <n v="3"/>
    <n v="2"/>
    <n v="1"/>
    <s v="321"/>
    <x v="0"/>
  </r>
  <r>
    <x v="250"/>
    <d v="2025-05-21T09:00:07"/>
    <x v="0"/>
    <x v="4"/>
    <x v="1"/>
    <n v="3426.57"/>
    <n v="338"/>
    <n v="7"/>
    <n v="27512.969999999998"/>
    <n v="3"/>
    <n v="4"/>
    <n v="4"/>
    <s v="344"/>
    <x v="0"/>
  </r>
  <r>
    <x v="68"/>
    <d v="2025-05-22T09:00:07"/>
    <x v="5"/>
    <x v="5"/>
    <x v="0"/>
    <n v="3118.55"/>
    <n v="337"/>
    <n v="9"/>
    <n v="44679.94"/>
    <n v="3"/>
    <n v="2"/>
    <n v="2"/>
    <s v="322"/>
    <x v="0"/>
  </r>
  <r>
    <x v="263"/>
    <d v="2025-05-23T09:00:07"/>
    <x v="9"/>
    <x v="5"/>
    <x v="0"/>
    <n v="3520.32"/>
    <n v="336"/>
    <n v="12"/>
    <n v="40797.409999999996"/>
    <n v="3"/>
    <n v="1"/>
    <n v="2"/>
    <s v="312"/>
    <x v="0"/>
  </r>
  <r>
    <x v="249"/>
    <d v="2025-05-23T09:00:07"/>
    <x v="8"/>
    <x v="2"/>
    <x v="0"/>
    <n v="3097.26"/>
    <n v="336"/>
    <n v="6"/>
    <n v="18264"/>
    <n v="3"/>
    <n v="4"/>
    <n v="5"/>
    <s v="345"/>
    <x v="0"/>
  </r>
  <r>
    <x v="63"/>
    <d v="2025-05-23T09:00:07"/>
    <x v="9"/>
    <x v="1"/>
    <x v="1"/>
    <n v="2051.5100000000002"/>
    <n v="336"/>
    <n v="8"/>
    <n v="30568.039999999997"/>
    <n v="3"/>
    <n v="3"/>
    <n v="3"/>
    <s v="333"/>
    <x v="0"/>
  </r>
  <r>
    <x v="293"/>
    <d v="2025-05-23T09:00:07"/>
    <x v="1"/>
    <x v="0"/>
    <x v="0"/>
    <n v="5589.34"/>
    <n v="336"/>
    <n v="8"/>
    <n v="27805.74"/>
    <n v="3"/>
    <n v="3"/>
    <n v="4"/>
    <s v="334"/>
    <x v="0"/>
  </r>
  <r>
    <x v="78"/>
    <d v="2025-05-24T09:00:07"/>
    <x v="3"/>
    <x v="1"/>
    <x v="0"/>
    <n v="803.53"/>
    <n v="335"/>
    <n v="10"/>
    <n v="34265.79"/>
    <n v="3"/>
    <n v="2"/>
    <n v="3"/>
    <s v="323"/>
    <x v="0"/>
  </r>
  <r>
    <x v="73"/>
    <d v="2025-05-25T09:00:07"/>
    <x v="2"/>
    <x v="1"/>
    <x v="2"/>
    <n v="1711.71"/>
    <n v="334"/>
    <n v="6"/>
    <n v="20804.55"/>
    <n v="3"/>
    <n v="4"/>
    <n v="5"/>
    <s v="345"/>
    <x v="0"/>
  </r>
  <r>
    <x v="380"/>
    <d v="2025-05-25T09:00:07"/>
    <x v="4"/>
    <x v="5"/>
    <x v="1"/>
    <n v="1596.23"/>
    <n v="334"/>
    <n v="6"/>
    <n v="13299.439999999999"/>
    <n v="3"/>
    <n v="4"/>
    <n v="5"/>
    <s v="345"/>
    <x v="0"/>
  </r>
  <r>
    <x v="321"/>
    <d v="2025-05-26T09:00:07"/>
    <x v="8"/>
    <x v="1"/>
    <x v="0"/>
    <n v="6314.53"/>
    <n v="333"/>
    <n v="11"/>
    <n v="40714.880000000005"/>
    <n v="3"/>
    <n v="1"/>
    <n v="2"/>
    <s v="312"/>
    <x v="0"/>
  </r>
  <r>
    <x v="151"/>
    <d v="2025-05-26T09:00:07"/>
    <x v="6"/>
    <x v="4"/>
    <x v="1"/>
    <n v="4551.28"/>
    <n v="333"/>
    <n v="5"/>
    <n v="17550.75"/>
    <n v="3"/>
    <n v="5"/>
    <n v="5"/>
    <s v="355"/>
    <x v="0"/>
  </r>
  <r>
    <x v="205"/>
    <d v="2025-05-26T09:00:07"/>
    <x v="0"/>
    <x v="3"/>
    <x v="0"/>
    <n v="1003.97"/>
    <n v="333"/>
    <n v="8"/>
    <n v="24691.75"/>
    <n v="3"/>
    <n v="3"/>
    <n v="4"/>
    <s v="334"/>
    <x v="0"/>
  </r>
  <r>
    <x v="389"/>
    <d v="2025-05-27T09:00:07"/>
    <x v="3"/>
    <x v="6"/>
    <x v="0"/>
    <n v="1824.95"/>
    <n v="332"/>
    <n v="3"/>
    <n v="9690.5"/>
    <n v="3"/>
    <n v="5"/>
    <n v="5"/>
    <s v="355"/>
    <x v="0"/>
  </r>
  <r>
    <x v="14"/>
    <d v="2025-05-27T09:00:07"/>
    <x v="9"/>
    <x v="1"/>
    <x v="2"/>
    <n v="915.43"/>
    <n v="332"/>
    <n v="13"/>
    <n v="40219.18"/>
    <n v="3"/>
    <n v="1"/>
    <n v="2"/>
    <s v="312"/>
    <x v="0"/>
  </r>
  <r>
    <x v="334"/>
    <d v="2025-05-27T09:00:07"/>
    <x v="7"/>
    <x v="4"/>
    <x v="2"/>
    <n v="6543.95"/>
    <n v="332"/>
    <n v="5"/>
    <n v="25162.19"/>
    <n v="3"/>
    <n v="5"/>
    <n v="4"/>
    <s v="354"/>
    <x v="0"/>
  </r>
  <r>
    <x v="165"/>
    <d v="2025-05-27T09:00:07"/>
    <x v="3"/>
    <x v="2"/>
    <x v="2"/>
    <n v="8091.84"/>
    <n v="332"/>
    <n v="9"/>
    <n v="33344.57"/>
    <n v="3"/>
    <n v="2"/>
    <n v="3"/>
    <s v="323"/>
    <x v="0"/>
  </r>
  <r>
    <x v="375"/>
    <d v="2025-05-27T09:00:07"/>
    <x v="7"/>
    <x v="0"/>
    <x v="0"/>
    <n v="2948.05"/>
    <n v="332"/>
    <n v="4"/>
    <n v="9551.7100000000009"/>
    <n v="3"/>
    <n v="5"/>
    <n v="5"/>
    <s v="355"/>
    <x v="0"/>
  </r>
  <r>
    <x v="281"/>
    <d v="2025-05-27T09:00:07"/>
    <x v="3"/>
    <x v="4"/>
    <x v="0"/>
    <n v="7786.42"/>
    <n v="332"/>
    <n v="5"/>
    <n v="23857.670000000002"/>
    <n v="3"/>
    <n v="5"/>
    <n v="4"/>
    <s v="354"/>
    <x v="0"/>
  </r>
  <r>
    <x v="319"/>
    <d v="2025-05-28T09:00:07"/>
    <x v="9"/>
    <x v="0"/>
    <x v="0"/>
    <n v="1321.33"/>
    <n v="331"/>
    <n v="9"/>
    <n v="39183.29"/>
    <n v="3"/>
    <n v="2"/>
    <n v="2"/>
    <s v="322"/>
    <x v="0"/>
  </r>
  <r>
    <x v="367"/>
    <d v="2025-05-28T09:00:07"/>
    <x v="1"/>
    <x v="6"/>
    <x v="2"/>
    <n v="7259.02"/>
    <n v="331"/>
    <n v="5"/>
    <n v="21621.77"/>
    <n v="3"/>
    <n v="5"/>
    <n v="5"/>
    <s v="355"/>
    <x v="0"/>
  </r>
  <r>
    <x v="138"/>
    <d v="2025-05-28T09:00:07"/>
    <x v="8"/>
    <x v="3"/>
    <x v="0"/>
    <n v="9215.98"/>
    <n v="331"/>
    <n v="8"/>
    <n v="48110.42"/>
    <n v="3"/>
    <n v="3"/>
    <n v="1"/>
    <s v="331"/>
    <x v="0"/>
  </r>
  <r>
    <x v="165"/>
    <d v="2025-05-28T09:00:07"/>
    <x v="6"/>
    <x v="2"/>
    <x v="1"/>
    <n v="579.48"/>
    <n v="331"/>
    <n v="9"/>
    <n v="33344.57"/>
    <n v="3"/>
    <n v="2"/>
    <n v="3"/>
    <s v="323"/>
    <x v="0"/>
  </r>
  <r>
    <x v="37"/>
    <d v="2025-05-28T09:00:07"/>
    <x v="1"/>
    <x v="6"/>
    <x v="1"/>
    <n v="4567.33"/>
    <n v="331"/>
    <n v="7"/>
    <n v="24825.78"/>
    <n v="3"/>
    <n v="4"/>
    <n v="4"/>
    <s v="344"/>
    <x v="0"/>
  </r>
  <r>
    <x v="27"/>
    <d v="2025-05-29T09:00:07"/>
    <x v="5"/>
    <x v="4"/>
    <x v="0"/>
    <n v="8350.2000000000007"/>
    <n v="330"/>
    <n v="12"/>
    <n v="49930.359999999993"/>
    <n v="3"/>
    <n v="1"/>
    <n v="1"/>
    <s v="311"/>
    <x v="0"/>
  </r>
  <r>
    <x v="157"/>
    <d v="2025-05-29T09:00:07"/>
    <x v="1"/>
    <x v="5"/>
    <x v="0"/>
    <n v="5860.66"/>
    <n v="330"/>
    <n v="7"/>
    <n v="24873.88"/>
    <n v="3"/>
    <n v="4"/>
    <n v="4"/>
    <s v="344"/>
    <x v="0"/>
  </r>
  <r>
    <x v="214"/>
    <d v="2025-05-29T09:00:07"/>
    <x v="6"/>
    <x v="5"/>
    <x v="2"/>
    <n v="2498.29"/>
    <n v="330"/>
    <n v="5"/>
    <n v="18720.68"/>
    <n v="3"/>
    <n v="5"/>
    <n v="5"/>
    <s v="355"/>
    <x v="0"/>
  </r>
  <r>
    <x v="128"/>
    <d v="2025-05-29T09:00:07"/>
    <x v="0"/>
    <x v="0"/>
    <x v="1"/>
    <n v="4717.28"/>
    <n v="330"/>
    <n v="6"/>
    <n v="24977.25"/>
    <n v="3"/>
    <n v="4"/>
    <n v="4"/>
    <s v="344"/>
    <x v="0"/>
  </r>
  <r>
    <x v="14"/>
    <d v="2025-05-29T09:00:07"/>
    <x v="2"/>
    <x v="3"/>
    <x v="1"/>
    <n v="1428.45"/>
    <n v="330"/>
    <n v="13"/>
    <n v="40219.18"/>
    <n v="3"/>
    <n v="1"/>
    <n v="2"/>
    <s v="312"/>
    <x v="0"/>
  </r>
  <r>
    <x v="61"/>
    <d v="2025-05-29T09:00:07"/>
    <x v="8"/>
    <x v="6"/>
    <x v="2"/>
    <n v="3921.71"/>
    <n v="330"/>
    <n v="11"/>
    <n v="52771.959999999992"/>
    <n v="3"/>
    <n v="1"/>
    <n v="1"/>
    <s v="311"/>
    <x v="0"/>
  </r>
  <r>
    <x v="98"/>
    <d v="2025-05-29T09:00:07"/>
    <x v="2"/>
    <x v="1"/>
    <x v="1"/>
    <n v="10761.82"/>
    <n v="330"/>
    <n v="7"/>
    <n v="33081.189999999995"/>
    <n v="3"/>
    <n v="4"/>
    <n v="3"/>
    <s v="343"/>
    <x v="0"/>
  </r>
  <r>
    <x v="143"/>
    <d v="2025-05-29T09:00:07"/>
    <x v="6"/>
    <x v="2"/>
    <x v="0"/>
    <n v="3304.01"/>
    <n v="330"/>
    <n v="11"/>
    <n v="43247.159999999996"/>
    <n v="3"/>
    <n v="1"/>
    <n v="2"/>
    <s v="312"/>
    <x v="0"/>
  </r>
  <r>
    <x v="1"/>
    <d v="2025-05-31T09:00:07"/>
    <x v="6"/>
    <x v="3"/>
    <x v="1"/>
    <n v="3443.7"/>
    <n v="328"/>
    <n v="12"/>
    <n v="49382.650000000009"/>
    <n v="3"/>
    <n v="1"/>
    <n v="1"/>
    <s v="311"/>
    <x v="0"/>
  </r>
  <r>
    <x v="250"/>
    <d v="2025-05-31T09:00:07"/>
    <x v="0"/>
    <x v="5"/>
    <x v="1"/>
    <n v="3060.13"/>
    <n v="328"/>
    <n v="7"/>
    <n v="27512.969999999998"/>
    <n v="3"/>
    <n v="4"/>
    <n v="4"/>
    <s v="344"/>
    <x v="0"/>
  </r>
  <r>
    <x v="187"/>
    <d v="2025-05-31T09:00:07"/>
    <x v="9"/>
    <x v="0"/>
    <x v="2"/>
    <n v="1080.1400000000001"/>
    <n v="328"/>
    <n v="9"/>
    <n v="31221.600000000002"/>
    <n v="3"/>
    <n v="2"/>
    <n v="3"/>
    <s v="323"/>
    <x v="0"/>
  </r>
  <r>
    <x v="302"/>
    <d v="2025-05-31T09:00:07"/>
    <x v="3"/>
    <x v="5"/>
    <x v="0"/>
    <n v="4243.92"/>
    <n v="328"/>
    <n v="10"/>
    <n v="47284.22"/>
    <n v="3"/>
    <n v="2"/>
    <n v="1"/>
    <s v="321"/>
    <x v="0"/>
  </r>
  <r>
    <x v="246"/>
    <d v="2025-06-01T09:00:07"/>
    <x v="1"/>
    <x v="1"/>
    <x v="1"/>
    <n v="1230.3800000000001"/>
    <n v="327"/>
    <n v="10"/>
    <n v="30897.65"/>
    <n v="3"/>
    <n v="2"/>
    <n v="3"/>
    <s v="323"/>
    <x v="0"/>
  </r>
  <r>
    <x v="206"/>
    <d v="2025-06-01T09:00:07"/>
    <x v="2"/>
    <x v="5"/>
    <x v="1"/>
    <n v="1350.34"/>
    <n v="327"/>
    <n v="5"/>
    <n v="19562.71"/>
    <n v="3"/>
    <n v="5"/>
    <n v="5"/>
    <s v="355"/>
    <x v="0"/>
  </r>
  <r>
    <x v="126"/>
    <d v="2025-06-01T09:00:07"/>
    <x v="8"/>
    <x v="3"/>
    <x v="2"/>
    <n v="4338.2299999999996"/>
    <n v="327"/>
    <n v="11"/>
    <n v="46795.570000000007"/>
    <n v="3"/>
    <n v="1"/>
    <n v="1"/>
    <s v="311"/>
    <x v="0"/>
  </r>
  <r>
    <x v="390"/>
    <d v="2025-06-01T09:00:07"/>
    <x v="5"/>
    <x v="6"/>
    <x v="0"/>
    <n v="393.07"/>
    <n v="327"/>
    <n v="4"/>
    <n v="16982.739999999998"/>
    <n v="3"/>
    <n v="5"/>
    <n v="5"/>
    <s v="355"/>
    <x v="0"/>
  </r>
  <r>
    <x v="185"/>
    <d v="2025-06-01T09:00:07"/>
    <x v="7"/>
    <x v="0"/>
    <x v="2"/>
    <n v="400.14"/>
    <n v="327"/>
    <n v="9"/>
    <n v="38767.17"/>
    <n v="3"/>
    <n v="2"/>
    <n v="2"/>
    <s v="322"/>
    <x v="0"/>
  </r>
  <r>
    <x v="280"/>
    <d v="2025-06-02T09:00:07"/>
    <x v="2"/>
    <x v="2"/>
    <x v="2"/>
    <n v="608.49"/>
    <n v="326"/>
    <n v="16"/>
    <n v="64716.249999999985"/>
    <n v="3"/>
    <n v="1"/>
    <n v="1"/>
    <s v="311"/>
    <x v="0"/>
  </r>
  <r>
    <x v="337"/>
    <d v="2025-06-02T09:00:07"/>
    <x v="1"/>
    <x v="2"/>
    <x v="0"/>
    <n v="870.24"/>
    <n v="326"/>
    <n v="6"/>
    <n v="33607.29"/>
    <n v="3"/>
    <n v="4"/>
    <n v="3"/>
    <s v="343"/>
    <x v="0"/>
  </r>
  <r>
    <x v="263"/>
    <d v="2025-06-02T09:00:07"/>
    <x v="5"/>
    <x v="1"/>
    <x v="2"/>
    <n v="2175.1999999999998"/>
    <n v="326"/>
    <n v="12"/>
    <n v="40797.409999999996"/>
    <n v="3"/>
    <n v="1"/>
    <n v="2"/>
    <s v="312"/>
    <x v="0"/>
  </r>
  <r>
    <x v="328"/>
    <d v="2025-06-02T09:00:07"/>
    <x v="1"/>
    <x v="4"/>
    <x v="2"/>
    <n v="1424.11"/>
    <n v="326"/>
    <n v="9"/>
    <n v="23905.670000000002"/>
    <n v="3"/>
    <n v="2"/>
    <n v="4"/>
    <s v="324"/>
    <x v="0"/>
  </r>
  <r>
    <x v="376"/>
    <d v="2025-06-03T09:00:07"/>
    <x v="3"/>
    <x v="0"/>
    <x v="2"/>
    <n v="2140.98"/>
    <n v="325"/>
    <n v="8"/>
    <n v="28310.01"/>
    <n v="3"/>
    <n v="3"/>
    <n v="4"/>
    <s v="334"/>
    <x v="0"/>
  </r>
  <r>
    <x v="391"/>
    <d v="2025-06-03T09:00:07"/>
    <x v="4"/>
    <x v="2"/>
    <x v="1"/>
    <n v="3605.64"/>
    <n v="325"/>
    <n v="5"/>
    <n v="14717.050000000001"/>
    <n v="3"/>
    <n v="5"/>
    <n v="5"/>
    <s v="355"/>
    <x v="0"/>
  </r>
  <r>
    <x v="300"/>
    <d v="2025-06-03T09:00:07"/>
    <x v="5"/>
    <x v="6"/>
    <x v="1"/>
    <n v="1450.63"/>
    <n v="325"/>
    <n v="6"/>
    <n v="12410.619999999999"/>
    <n v="3"/>
    <n v="4"/>
    <n v="5"/>
    <s v="345"/>
    <x v="0"/>
  </r>
  <r>
    <x v="16"/>
    <d v="2025-06-03T09:00:07"/>
    <x v="8"/>
    <x v="5"/>
    <x v="2"/>
    <n v="5180.03"/>
    <n v="325"/>
    <n v="6"/>
    <n v="26817.25"/>
    <n v="3"/>
    <n v="4"/>
    <n v="4"/>
    <s v="344"/>
    <x v="0"/>
  </r>
  <r>
    <x v="326"/>
    <d v="2025-06-03T09:00:07"/>
    <x v="1"/>
    <x v="0"/>
    <x v="0"/>
    <n v="9896.92"/>
    <n v="325"/>
    <n v="4"/>
    <n v="19178.5"/>
    <n v="3"/>
    <n v="5"/>
    <n v="5"/>
    <s v="355"/>
    <x v="0"/>
  </r>
  <r>
    <x v="61"/>
    <d v="2025-06-03T09:00:07"/>
    <x v="5"/>
    <x v="3"/>
    <x v="2"/>
    <n v="6721.65"/>
    <n v="325"/>
    <n v="11"/>
    <n v="52771.959999999992"/>
    <n v="3"/>
    <n v="1"/>
    <n v="1"/>
    <s v="311"/>
    <x v="0"/>
  </r>
  <r>
    <x v="129"/>
    <d v="2025-06-04T09:00:07"/>
    <x v="5"/>
    <x v="1"/>
    <x v="0"/>
    <n v="2343.73"/>
    <n v="324"/>
    <n v="9"/>
    <n v="30288.86"/>
    <n v="3"/>
    <n v="2"/>
    <n v="3"/>
    <s v="323"/>
    <x v="0"/>
  </r>
  <r>
    <x v="145"/>
    <d v="2025-06-04T09:00:07"/>
    <x v="9"/>
    <x v="2"/>
    <x v="0"/>
    <n v="5409.9"/>
    <n v="324"/>
    <n v="6"/>
    <n v="24862.18"/>
    <n v="3"/>
    <n v="4"/>
    <n v="4"/>
    <s v="344"/>
    <x v="0"/>
  </r>
  <r>
    <x v="250"/>
    <d v="2025-06-04T09:00:07"/>
    <x v="3"/>
    <x v="3"/>
    <x v="2"/>
    <n v="2142.87"/>
    <n v="324"/>
    <n v="7"/>
    <n v="27512.969999999998"/>
    <n v="3"/>
    <n v="4"/>
    <n v="4"/>
    <s v="344"/>
    <x v="0"/>
  </r>
  <r>
    <x v="39"/>
    <d v="2025-06-04T09:00:07"/>
    <x v="4"/>
    <x v="0"/>
    <x v="2"/>
    <n v="860.38"/>
    <n v="324"/>
    <n v="11"/>
    <n v="43110.84"/>
    <n v="3"/>
    <n v="1"/>
    <n v="2"/>
    <s v="312"/>
    <x v="0"/>
  </r>
  <r>
    <x v="341"/>
    <d v="2025-06-04T09:00:07"/>
    <x v="5"/>
    <x v="0"/>
    <x v="2"/>
    <n v="1105.48"/>
    <n v="324"/>
    <n v="11"/>
    <n v="59377.640000000014"/>
    <n v="3"/>
    <n v="1"/>
    <n v="1"/>
    <s v="311"/>
    <x v="0"/>
  </r>
  <r>
    <x v="263"/>
    <d v="2025-06-05T09:00:07"/>
    <x v="6"/>
    <x v="4"/>
    <x v="0"/>
    <n v="2915.99"/>
    <n v="323"/>
    <n v="12"/>
    <n v="40797.409999999996"/>
    <n v="3"/>
    <n v="1"/>
    <n v="2"/>
    <s v="312"/>
    <x v="0"/>
  </r>
  <r>
    <x v="342"/>
    <d v="2025-06-05T09:00:07"/>
    <x v="0"/>
    <x v="5"/>
    <x v="0"/>
    <n v="2068.23"/>
    <n v="323"/>
    <n v="6"/>
    <n v="19844.169999999998"/>
    <n v="3"/>
    <n v="4"/>
    <n v="5"/>
    <s v="345"/>
    <x v="0"/>
  </r>
  <r>
    <x v="90"/>
    <d v="2025-06-05T09:00:07"/>
    <x v="6"/>
    <x v="2"/>
    <x v="0"/>
    <n v="2619.37"/>
    <n v="323"/>
    <n v="7"/>
    <n v="34546.720000000001"/>
    <n v="3"/>
    <n v="4"/>
    <n v="3"/>
    <s v="343"/>
    <x v="0"/>
  </r>
  <r>
    <x v="266"/>
    <d v="2025-06-06T09:00:07"/>
    <x v="8"/>
    <x v="2"/>
    <x v="1"/>
    <n v="1497.79"/>
    <n v="322"/>
    <n v="9"/>
    <n v="35145.360000000001"/>
    <n v="3"/>
    <n v="2"/>
    <n v="3"/>
    <s v="323"/>
    <x v="0"/>
  </r>
  <r>
    <x v="222"/>
    <d v="2025-06-06T09:00:07"/>
    <x v="9"/>
    <x v="1"/>
    <x v="2"/>
    <n v="1322.65"/>
    <n v="322"/>
    <n v="9"/>
    <n v="34007.68"/>
    <n v="3"/>
    <n v="2"/>
    <n v="3"/>
    <s v="323"/>
    <x v="0"/>
  </r>
  <r>
    <x v="392"/>
    <d v="2025-06-06T09:00:07"/>
    <x v="6"/>
    <x v="3"/>
    <x v="1"/>
    <n v="3848.35"/>
    <n v="322"/>
    <n v="9"/>
    <n v="33344.589999999997"/>
    <n v="3"/>
    <n v="2"/>
    <n v="3"/>
    <s v="323"/>
    <x v="0"/>
  </r>
  <r>
    <x v="104"/>
    <d v="2025-06-07T09:00:07"/>
    <x v="4"/>
    <x v="2"/>
    <x v="2"/>
    <n v="2365.13"/>
    <n v="321"/>
    <n v="9"/>
    <n v="42109.760000000002"/>
    <n v="3"/>
    <n v="2"/>
    <n v="2"/>
    <s v="322"/>
    <x v="0"/>
  </r>
  <r>
    <x v="293"/>
    <d v="2025-06-07T09:00:07"/>
    <x v="2"/>
    <x v="1"/>
    <x v="0"/>
    <n v="3577.69"/>
    <n v="321"/>
    <n v="8"/>
    <n v="27805.74"/>
    <n v="3"/>
    <n v="3"/>
    <n v="4"/>
    <s v="334"/>
    <x v="0"/>
  </r>
  <r>
    <x v="390"/>
    <d v="2025-06-08T09:00:07"/>
    <x v="8"/>
    <x v="4"/>
    <x v="0"/>
    <n v="7894.67"/>
    <n v="320"/>
    <n v="4"/>
    <n v="16982.739999999998"/>
    <n v="3"/>
    <n v="5"/>
    <n v="5"/>
    <s v="355"/>
    <x v="0"/>
  </r>
  <r>
    <x v="364"/>
    <d v="2025-06-09T09:00:07"/>
    <x v="0"/>
    <x v="2"/>
    <x v="0"/>
    <n v="2883.76"/>
    <n v="319"/>
    <n v="5"/>
    <n v="21171.439999999999"/>
    <n v="3"/>
    <n v="5"/>
    <n v="5"/>
    <s v="355"/>
    <x v="0"/>
  </r>
  <r>
    <x v="229"/>
    <d v="2025-06-09T09:00:07"/>
    <x v="8"/>
    <x v="3"/>
    <x v="1"/>
    <n v="907.98"/>
    <n v="319"/>
    <n v="10"/>
    <n v="27359.329999999998"/>
    <n v="3"/>
    <n v="2"/>
    <n v="4"/>
    <s v="324"/>
    <x v="0"/>
  </r>
  <r>
    <x v="46"/>
    <d v="2025-06-09T09:00:07"/>
    <x v="6"/>
    <x v="5"/>
    <x v="0"/>
    <n v="4273.63"/>
    <n v="319"/>
    <n v="8"/>
    <n v="30848.15"/>
    <n v="3"/>
    <n v="3"/>
    <n v="3"/>
    <s v="333"/>
    <x v="0"/>
  </r>
  <r>
    <x v="133"/>
    <d v="2025-06-09T09:00:07"/>
    <x v="8"/>
    <x v="4"/>
    <x v="0"/>
    <n v="1807.85"/>
    <n v="319"/>
    <n v="11"/>
    <n v="38337.789999999994"/>
    <n v="3"/>
    <n v="1"/>
    <n v="2"/>
    <s v="312"/>
    <x v="0"/>
  </r>
  <r>
    <x v="210"/>
    <d v="2025-06-09T09:00:07"/>
    <x v="2"/>
    <x v="6"/>
    <x v="0"/>
    <n v="5124.53"/>
    <n v="319"/>
    <n v="9"/>
    <n v="37239.53"/>
    <n v="3"/>
    <n v="2"/>
    <n v="2"/>
    <s v="322"/>
    <x v="0"/>
  </r>
  <r>
    <x v="212"/>
    <d v="2025-06-09T09:00:07"/>
    <x v="0"/>
    <x v="3"/>
    <x v="1"/>
    <n v="5776.05"/>
    <n v="319"/>
    <n v="9"/>
    <n v="27881.53"/>
    <n v="3"/>
    <n v="2"/>
    <n v="4"/>
    <s v="324"/>
    <x v="0"/>
  </r>
  <r>
    <x v="25"/>
    <d v="2025-06-09T09:00:07"/>
    <x v="6"/>
    <x v="6"/>
    <x v="0"/>
    <n v="3675.47"/>
    <n v="319"/>
    <n v="7"/>
    <n v="28511.58"/>
    <n v="3"/>
    <n v="4"/>
    <n v="4"/>
    <s v="344"/>
    <x v="0"/>
  </r>
  <r>
    <x v="207"/>
    <d v="2025-06-10T09:00:07"/>
    <x v="4"/>
    <x v="3"/>
    <x v="2"/>
    <n v="7649.95"/>
    <n v="318"/>
    <n v="10"/>
    <n v="39681.960000000006"/>
    <n v="3"/>
    <n v="2"/>
    <n v="2"/>
    <s v="322"/>
    <x v="0"/>
  </r>
  <r>
    <x v="348"/>
    <d v="2025-06-10T09:00:07"/>
    <x v="6"/>
    <x v="1"/>
    <x v="1"/>
    <n v="1664.61"/>
    <n v="318"/>
    <n v="8"/>
    <n v="27090.329999999998"/>
    <n v="3"/>
    <n v="3"/>
    <n v="4"/>
    <s v="334"/>
    <x v="0"/>
  </r>
  <r>
    <x v="317"/>
    <d v="2025-06-11T09:00:07"/>
    <x v="7"/>
    <x v="6"/>
    <x v="0"/>
    <n v="5882.23"/>
    <n v="317"/>
    <n v="10"/>
    <n v="45640.06"/>
    <n v="3"/>
    <n v="2"/>
    <n v="1"/>
    <s v="321"/>
    <x v="0"/>
  </r>
  <r>
    <x v="393"/>
    <d v="2025-06-11T09:00:07"/>
    <x v="7"/>
    <x v="2"/>
    <x v="0"/>
    <n v="3425.81"/>
    <n v="317"/>
    <n v="3"/>
    <n v="16888.900000000001"/>
    <n v="3"/>
    <n v="5"/>
    <n v="5"/>
    <s v="355"/>
    <x v="0"/>
  </r>
  <r>
    <x v="330"/>
    <d v="2025-06-11T09:00:07"/>
    <x v="1"/>
    <x v="0"/>
    <x v="2"/>
    <n v="1339.54"/>
    <n v="317"/>
    <n v="9"/>
    <n v="39538.21"/>
    <n v="3"/>
    <n v="2"/>
    <n v="2"/>
    <s v="322"/>
    <x v="0"/>
  </r>
  <r>
    <x v="377"/>
    <d v="2025-06-11T09:00:07"/>
    <x v="0"/>
    <x v="5"/>
    <x v="0"/>
    <n v="1343.77"/>
    <n v="317"/>
    <n v="5"/>
    <n v="18834.370000000003"/>
    <n v="3"/>
    <n v="5"/>
    <n v="5"/>
    <s v="355"/>
    <x v="0"/>
  </r>
  <r>
    <x v="284"/>
    <d v="2025-06-11T09:00:07"/>
    <x v="4"/>
    <x v="5"/>
    <x v="0"/>
    <n v="2399.41"/>
    <n v="317"/>
    <n v="7"/>
    <n v="24204.07"/>
    <n v="3"/>
    <n v="4"/>
    <n v="4"/>
    <s v="344"/>
    <x v="0"/>
  </r>
  <r>
    <x v="82"/>
    <d v="2025-06-11T09:00:07"/>
    <x v="9"/>
    <x v="2"/>
    <x v="0"/>
    <n v="7186.83"/>
    <n v="317"/>
    <n v="7"/>
    <n v="29725.939999999995"/>
    <n v="3"/>
    <n v="4"/>
    <n v="3"/>
    <s v="343"/>
    <x v="0"/>
  </r>
  <r>
    <x v="192"/>
    <d v="2025-06-11T09:00:07"/>
    <x v="4"/>
    <x v="4"/>
    <x v="0"/>
    <n v="1773.34"/>
    <n v="317"/>
    <n v="12"/>
    <n v="45191.609999999993"/>
    <n v="3"/>
    <n v="1"/>
    <n v="1"/>
    <s v="311"/>
    <x v="0"/>
  </r>
  <r>
    <x v="279"/>
    <d v="2025-06-12T09:00:07"/>
    <x v="5"/>
    <x v="5"/>
    <x v="0"/>
    <n v="8668.02"/>
    <n v="316"/>
    <n v="7"/>
    <n v="29446.02"/>
    <n v="3"/>
    <n v="4"/>
    <n v="4"/>
    <s v="344"/>
    <x v="0"/>
  </r>
  <r>
    <x v="259"/>
    <d v="2025-06-12T09:00:07"/>
    <x v="7"/>
    <x v="1"/>
    <x v="2"/>
    <n v="2126.4"/>
    <n v="316"/>
    <n v="10"/>
    <n v="33545.49"/>
    <n v="3"/>
    <n v="2"/>
    <n v="3"/>
    <s v="323"/>
    <x v="0"/>
  </r>
  <r>
    <x v="180"/>
    <d v="2025-06-12T09:00:07"/>
    <x v="7"/>
    <x v="0"/>
    <x v="1"/>
    <n v="1577.42"/>
    <n v="316"/>
    <n v="8"/>
    <n v="26424.119999999995"/>
    <n v="3"/>
    <n v="3"/>
    <n v="4"/>
    <s v="334"/>
    <x v="0"/>
  </r>
  <r>
    <x v="287"/>
    <d v="2025-06-13T09:00:07"/>
    <x v="5"/>
    <x v="2"/>
    <x v="2"/>
    <n v="1998.81"/>
    <n v="315"/>
    <n v="9"/>
    <n v="35759.83"/>
    <n v="3"/>
    <n v="2"/>
    <n v="3"/>
    <s v="323"/>
    <x v="0"/>
  </r>
  <r>
    <x v="43"/>
    <d v="2025-06-13T09:00:07"/>
    <x v="7"/>
    <x v="6"/>
    <x v="2"/>
    <n v="4426.9799999999996"/>
    <n v="315"/>
    <n v="11"/>
    <n v="39674.43"/>
    <n v="3"/>
    <n v="1"/>
    <n v="2"/>
    <s v="312"/>
    <x v="0"/>
  </r>
  <r>
    <x v="359"/>
    <d v="2025-06-13T09:00:07"/>
    <x v="7"/>
    <x v="2"/>
    <x v="0"/>
    <n v="475.24"/>
    <n v="315"/>
    <n v="3"/>
    <n v="6049.44"/>
    <n v="3"/>
    <n v="5"/>
    <n v="5"/>
    <s v="355"/>
    <x v="0"/>
  </r>
  <r>
    <x v="36"/>
    <d v="2025-06-13T09:00:07"/>
    <x v="1"/>
    <x v="0"/>
    <x v="2"/>
    <n v="8734.5"/>
    <n v="315"/>
    <n v="12"/>
    <n v="44897.450000000004"/>
    <n v="3"/>
    <n v="1"/>
    <n v="1"/>
    <s v="311"/>
    <x v="0"/>
  </r>
  <r>
    <x v="100"/>
    <d v="2025-06-13T09:00:07"/>
    <x v="9"/>
    <x v="5"/>
    <x v="1"/>
    <n v="6704.42"/>
    <n v="315"/>
    <n v="6"/>
    <n v="27182.68"/>
    <n v="3"/>
    <n v="4"/>
    <n v="4"/>
    <s v="344"/>
    <x v="0"/>
  </r>
  <r>
    <x v="318"/>
    <d v="2025-06-14T09:00:07"/>
    <x v="0"/>
    <x v="1"/>
    <x v="1"/>
    <n v="2403.2399999999998"/>
    <n v="314"/>
    <n v="11"/>
    <n v="30527.53"/>
    <n v="3"/>
    <n v="1"/>
    <n v="3"/>
    <s v="313"/>
    <x v="0"/>
  </r>
  <r>
    <x v="53"/>
    <d v="2025-06-14T09:00:07"/>
    <x v="9"/>
    <x v="5"/>
    <x v="0"/>
    <n v="1509.59"/>
    <n v="314"/>
    <n v="8"/>
    <n v="23394.15"/>
    <n v="3"/>
    <n v="3"/>
    <n v="4"/>
    <s v="334"/>
    <x v="0"/>
  </r>
  <r>
    <x v="55"/>
    <d v="2025-06-14T09:00:07"/>
    <x v="7"/>
    <x v="2"/>
    <x v="1"/>
    <n v="1406.97"/>
    <n v="314"/>
    <n v="12"/>
    <n v="42930.969999999994"/>
    <n v="3"/>
    <n v="1"/>
    <n v="2"/>
    <s v="312"/>
    <x v="0"/>
  </r>
  <r>
    <x v="161"/>
    <d v="2025-06-15T09:00:07"/>
    <x v="1"/>
    <x v="6"/>
    <x v="0"/>
    <n v="3782.77"/>
    <n v="313"/>
    <n v="9"/>
    <n v="32548.37"/>
    <n v="3"/>
    <n v="2"/>
    <n v="3"/>
    <s v="323"/>
    <x v="0"/>
  </r>
  <r>
    <x v="135"/>
    <d v="2025-06-16T09:00:07"/>
    <x v="0"/>
    <x v="2"/>
    <x v="1"/>
    <n v="5429.31"/>
    <n v="312"/>
    <n v="9"/>
    <n v="34982.139999999992"/>
    <n v="3"/>
    <n v="2"/>
    <n v="3"/>
    <s v="323"/>
    <x v="0"/>
  </r>
  <r>
    <x v="381"/>
    <d v="2025-06-16T09:00:07"/>
    <x v="9"/>
    <x v="6"/>
    <x v="2"/>
    <n v="7509.13"/>
    <n v="312"/>
    <n v="4"/>
    <n v="16140.15"/>
    <n v="3"/>
    <n v="5"/>
    <n v="5"/>
    <s v="355"/>
    <x v="0"/>
  </r>
  <r>
    <x v="387"/>
    <d v="2025-06-16T09:00:07"/>
    <x v="7"/>
    <x v="4"/>
    <x v="2"/>
    <n v="4077.14"/>
    <n v="312"/>
    <n v="3"/>
    <n v="7049.0300000000007"/>
    <n v="3"/>
    <n v="5"/>
    <n v="5"/>
    <s v="355"/>
    <x v="0"/>
  </r>
  <r>
    <x v="354"/>
    <d v="2025-06-16T09:00:07"/>
    <x v="5"/>
    <x v="1"/>
    <x v="1"/>
    <n v="6725.99"/>
    <n v="312"/>
    <n v="5"/>
    <n v="19401.64"/>
    <n v="3"/>
    <n v="5"/>
    <n v="5"/>
    <s v="355"/>
    <x v="0"/>
  </r>
  <r>
    <x v="346"/>
    <d v="2025-06-16T09:00:07"/>
    <x v="1"/>
    <x v="3"/>
    <x v="0"/>
    <n v="3205.57"/>
    <n v="312"/>
    <n v="8"/>
    <n v="30873.260000000002"/>
    <n v="3"/>
    <n v="3"/>
    <n v="3"/>
    <s v="333"/>
    <x v="0"/>
  </r>
  <r>
    <x v="287"/>
    <d v="2025-06-16T09:00:07"/>
    <x v="3"/>
    <x v="3"/>
    <x v="2"/>
    <n v="2898.86"/>
    <n v="312"/>
    <n v="9"/>
    <n v="35759.83"/>
    <n v="3"/>
    <n v="2"/>
    <n v="3"/>
    <s v="323"/>
    <x v="0"/>
  </r>
  <r>
    <x v="80"/>
    <d v="2025-06-17T09:00:07"/>
    <x v="6"/>
    <x v="4"/>
    <x v="0"/>
    <n v="10324.959999999999"/>
    <n v="311"/>
    <n v="10"/>
    <n v="38608.230000000003"/>
    <n v="3"/>
    <n v="2"/>
    <n v="2"/>
    <s v="322"/>
    <x v="0"/>
  </r>
  <r>
    <x v="330"/>
    <d v="2025-06-17T09:00:07"/>
    <x v="4"/>
    <x v="1"/>
    <x v="0"/>
    <n v="2623.55"/>
    <n v="311"/>
    <n v="9"/>
    <n v="39538.21"/>
    <n v="3"/>
    <n v="2"/>
    <n v="2"/>
    <s v="322"/>
    <x v="0"/>
  </r>
  <r>
    <x v="36"/>
    <d v="2025-06-17T09:00:07"/>
    <x v="0"/>
    <x v="6"/>
    <x v="0"/>
    <n v="3210.43"/>
    <n v="311"/>
    <n v="12"/>
    <n v="44897.450000000004"/>
    <n v="3"/>
    <n v="1"/>
    <n v="1"/>
    <s v="311"/>
    <x v="0"/>
  </r>
  <r>
    <x v="14"/>
    <d v="2025-06-17T09:00:07"/>
    <x v="4"/>
    <x v="6"/>
    <x v="0"/>
    <n v="4092.78"/>
    <n v="311"/>
    <n v="13"/>
    <n v="40219.18"/>
    <n v="3"/>
    <n v="1"/>
    <n v="2"/>
    <s v="312"/>
    <x v="0"/>
  </r>
  <r>
    <x v="138"/>
    <d v="2025-06-17T09:00:07"/>
    <x v="6"/>
    <x v="4"/>
    <x v="1"/>
    <n v="8898.59"/>
    <n v="311"/>
    <n v="8"/>
    <n v="48110.42"/>
    <n v="3"/>
    <n v="3"/>
    <n v="1"/>
    <s v="331"/>
    <x v="0"/>
  </r>
  <r>
    <x v="139"/>
    <d v="2025-06-17T09:00:07"/>
    <x v="7"/>
    <x v="5"/>
    <x v="0"/>
    <n v="1453.93"/>
    <n v="311"/>
    <n v="9"/>
    <n v="48530.240000000005"/>
    <n v="3"/>
    <n v="2"/>
    <n v="1"/>
    <s v="321"/>
    <x v="0"/>
  </r>
  <r>
    <x v="302"/>
    <d v="2025-06-18T09:00:07"/>
    <x v="9"/>
    <x v="4"/>
    <x v="2"/>
    <n v="557.27"/>
    <n v="310"/>
    <n v="10"/>
    <n v="47284.22"/>
    <n v="3"/>
    <n v="2"/>
    <n v="1"/>
    <s v="321"/>
    <x v="0"/>
  </r>
  <r>
    <x v="394"/>
    <d v="2025-06-18T09:00:07"/>
    <x v="5"/>
    <x v="5"/>
    <x v="2"/>
    <n v="2680.46"/>
    <n v="310"/>
    <n v="5"/>
    <n v="29762.12"/>
    <n v="3"/>
    <n v="5"/>
    <n v="3"/>
    <s v="353"/>
    <x v="0"/>
  </r>
  <r>
    <x v="236"/>
    <d v="2025-06-18T09:00:07"/>
    <x v="6"/>
    <x v="4"/>
    <x v="0"/>
    <n v="409.77"/>
    <n v="310"/>
    <n v="7"/>
    <n v="16120.029999999999"/>
    <n v="3"/>
    <n v="4"/>
    <n v="5"/>
    <s v="345"/>
    <x v="0"/>
  </r>
  <r>
    <x v="282"/>
    <d v="2025-06-18T09:00:07"/>
    <x v="9"/>
    <x v="0"/>
    <x v="1"/>
    <n v="1908.35"/>
    <n v="310"/>
    <n v="7"/>
    <n v="25906.9"/>
    <n v="3"/>
    <n v="4"/>
    <n v="4"/>
    <s v="344"/>
    <x v="0"/>
  </r>
  <r>
    <x v="152"/>
    <d v="2025-06-18T09:00:07"/>
    <x v="3"/>
    <x v="1"/>
    <x v="2"/>
    <n v="1031.5"/>
    <n v="310"/>
    <n v="9"/>
    <n v="39366.480000000003"/>
    <n v="3"/>
    <n v="2"/>
    <n v="2"/>
    <s v="322"/>
    <x v="0"/>
  </r>
  <r>
    <x v="96"/>
    <d v="2025-06-19T09:00:07"/>
    <x v="0"/>
    <x v="1"/>
    <x v="1"/>
    <n v="10799.73"/>
    <n v="309"/>
    <n v="11"/>
    <n v="62038.55"/>
    <n v="3"/>
    <n v="1"/>
    <n v="1"/>
    <s v="311"/>
    <x v="0"/>
  </r>
  <r>
    <x v="92"/>
    <d v="2025-06-19T09:00:07"/>
    <x v="2"/>
    <x v="1"/>
    <x v="2"/>
    <n v="2076.14"/>
    <n v="309"/>
    <n v="7"/>
    <n v="33778.21"/>
    <n v="3"/>
    <n v="4"/>
    <n v="3"/>
    <s v="343"/>
    <x v="0"/>
  </r>
  <r>
    <x v="269"/>
    <d v="2025-06-19T09:00:07"/>
    <x v="4"/>
    <x v="5"/>
    <x v="2"/>
    <n v="2201.0300000000002"/>
    <n v="309"/>
    <n v="9"/>
    <n v="32843.11"/>
    <n v="3"/>
    <n v="2"/>
    <n v="3"/>
    <s v="323"/>
    <x v="0"/>
  </r>
  <r>
    <x v="316"/>
    <d v="2025-06-20T09:00:07"/>
    <x v="9"/>
    <x v="1"/>
    <x v="2"/>
    <n v="3482.56"/>
    <n v="308"/>
    <n v="6"/>
    <n v="12660.78"/>
    <n v="3"/>
    <n v="4"/>
    <n v="5"/>
    <s v="345"/>
    <x v="0"/>
  </r>
  <r>
    <x v="244"/>
    <d v="2025-06-20T09:00:07"/>
    <x v="2"/>
    <x v="2"/>
    <x v="1"/>
    <n v="8902.06"/>
    <n v="308"/>
    <n v="8"/>
    <n v="33012.819999999992"/>
    <n v="3"/>
    <n v="3"/>
    <n v="3"/>
    <s v="333"/>
    <x v="0"/>
  </r>
  <r>
    <x v="140"/>
    <d v="2025-06-20T09:00:07"/>
    <x v="1"/>
    <x v="6"/>
    <x v="1"/>
    <n v="2701.08"/>
    <n v="308"/>
    <n v="3"/>
    <n v="14886.69"/>
    <n v="3"/>
    <n v="5"/>
    <n v="5"/>
    <s v="355"/>
    <x v="0"/>
  </r>
  <r>
    <x v="230"/>
    <d v="2025-06-20T09:00:07"/>
    <x v="8"/>
    <x v="0"/>
    <x v="2"/>
    <n v="1468.97"/>
    <n v="308"/>
    <n v="6"/>
    <n v="11900.869999999999"/>
    <n v="3"/>
    <n v="4"/>
    <n v="5"/>
    <s v="345"/>
    <x v="0"/>
  </r>
  <r>
    <x v="172"/>
    <d v="2025-06-21T09:00:07"/>
    <x v="4"/>
    <x v="0"/>
    <x v="2"/>
    <n v="4317.29"/>
    <n v="307"/>
    <n v="9"/>
    <n v="51674.6"/>
    <n v="3"/>
    <n v="2"/>
    <n v="1"/>
    <s v="321"/>
    <x v="0"/>
  </r>
  <r>
    <x v="21"/>
    <d v="2025-06-21T09:00:07"/>
    <x v="2"/>
    <x v="2"/>
    <x v="0"/>
    <n v="5663.47"/>
    <n v="307"/>
    <n v="6"/>
    <n v="18163.55"/>
    <n v="3"/>
    <n v="4"/>
    <n v="5"/>
    <s v="345"/>
    <x v="0"/>
  </r>
  <r>
    <x v="99"/>
    <d v="2025-06-21T09:00:07"/>
    <x v="4"/>
    <x v="5"/>
    <x v="0"/>
    <n v="5036.53"/>
    <n v="307"/>
    <n v="10"/>
    <n v="47973.33"/>
    <n v="3"/>
    <n v="2"/>
    <n v="1"/>
    <s v="321"/>
    <x v="0"/>
  </r>
  <r>
    <x v="106"/>
    <d v="2025-06-21T09:00:07"/>
    <x v="2"/>
    <x v="0"/>
    <x v="0"/>
    <n v="2438.69"/>
    <n v="307"/>
    <n v="9"/>
    <n v="33349.999999999993"/>
    <n v="3"/>
    <n v="2"/>
    <n v="3"/>
    <s v="323"/>
    <x v="0"/>
  </r>
  <r>
    <x v="224"/>
    <d v="2025-06-21T09:00:07"/>
    <x v="0"/>
    <x v="2"/>
    <x v="2"/>
    <n v="7092.62"/>
    <n v="307"/>
    <n v="8"/>
    <n v="28833.759999999998"/>
    <n v="3"/>
    <n v="3"/>
    <n v="4"/>
    <s v="334"/>
    <x v="0"/>
  </r>
  <r>
    <x v="24"/>
    <d v="2025-06-21T09:00:07"/>
    <x v="4"/>
    <x v="2"/>
    <x v="0"/>
    <n v="2706.42"/>
    <n v="307"/>
    <n v="10"/>
    <n v="34623.81"/>
    <n v="3"/>
    <n v="2"/>
    <n v="3"/>
    <s v="323"/>
    <x v="0"/>
  </r>
  <r>
    <x v="183"/>
    <d v="2025-06-22T09:00:07"/>
    <x v="8"/>
    <x v="3"/>
    <x v="0"/>
    <n v="1667.97"/>
    <n v="306"/>
    <n v="12"/>
    <n v="34222.5"/>
    <n v="3"/>
    <n v="1"/>
    <n v="3"/>
    <s v="313"/>
    <x v="0"/>
  </r>
  <r>
    <x v="329"/>
    <d v="2025-06-22T09:00:07"/>
    <x v="1"/>
    <x v="0"/>
    <x v="2"/>
    <n v="5309.32"/>
    <n v="306"/>
    <n v="8"/>
    <n v="29767.75"/>
    <n v="3"/>
    <n v="3"/>
    <n v="3"/>
    <s v="333"/>
    <x v="0"/>
  </r>
  <r>
    <x v="34"/>
    <d v="2025-06-22T09:00:07"/>
    <x v="2"/>
    <x v="0"/>
    <x v="2"/>
    <n v="2782.24"/>
    <n v="306"/>
    <n v="8"/>
    <n v="40213.310000000005"/>
    <n v="3"/>
    <n v="3"/>
    <n v="2"/>
    <s v="332"/>
    <x v="0"/>
  </r>
  <r>
    <x v="0"/>
    <d v="2025-06-22T09:00:07"/>
    <x v="0"/>
    <x v="1"/>
    <x v="0"/>
    <n v="6539.07"/>
    <n v="306"/>
    <n v="7"/>
    <n v="37031.050000000003"/>
    <n v="3"/>
    <n v="4"/>
    <n v="2"/>
    <s v="342"/>
    <x v="0"/>
  </r>
  <r>
    <x v="237"/>
    <d v="2025-06-22T09:00:07"/>
    <x v="0"/>
    <x v="3"/>
    <x v="0"/>
    <n v="1728.52"/>
    <n v="306"/>
    <n v="8"/>
    <n v="35247.5"/>
    <n v="3"/>
    <n v="3"/>
    <n v="3"/>
    <s v="333"/>
    <x v="0"/>
  </r>
  <r>
    <x v="83"/>
    <d v="2025-06-23T09:00:07"/>
    <x v="6"/>
    <x v="1"/>
    <x v="0"/>
    <n v="2467.35"/>
    <n v="305"/>
    <n v="7"/>
    <n v="21031.63"/>
    <n v="3"/>
    <n v="4"/>
    <n v="5"/>
    <s v="345"/>
    <x v="0"/>
  </r>
  <r>
    <x v="346"/>
    <d v="2025-06-23T09:00:07"/>
    <x v="0"/>
    <x v="5"/>
    <x v="2"/>
    <n v="6323.3"/>
    <n v="305"/>
    <n v="8"/>
    <n v="30873.260000000002"/>
    <n v="3"/>
    <n v="3"/>
    <n v="3"/>
    <s v="333"/>
    <x v="0"/>
  </r>
  <r>
    <x v="83"/>
    <d v="2025-06-23T09:00:07"/>
    <x v="1"/>
    <x v="6"/>
    <x v="2"/>
    <n v="2542.59"/>
    <n v="305"/>
    <n v="7"/>
    <n v="21031.63"/>
    <n v="3"/>
    <n v="4"/>
    <n v="5"/>
    <s v="345"/>
    <x v="0"/>
  </r>
  <r>
    <x v="150"/>
    <d v="2025-06-23T09:00:07"/>
    <x v="9"/>
    <x v="2"/>
    <x v="1"/>
    <n v="3356.04"/>
    <n v="305"/>
    <n v="7"/>
    <n v="24998.240000000005"/>
    <n v="3"/>
    <n v="4"/>
    <n v="4"/>
    <s v="344"/>
    <x v="0"/>
  </r>
  <r>
    <x v="145"/>
    <d v="2025-06-23T09:00:07"/>
    <x v="1"/>
    <x v="4"/>
    <x v="1"/>
    <n v="5006.32"/>
    <n v="305"/>
    <n v="6"/>
    <n v="24862.18"/>
    <n v="3"/>
    <n v="4"/>
    <n v="4"/>
    <s v="344"/>
    <x v="0"/>
  </r>
  <r>
    <x v="340"/>
    <d v="2025-06-24T09:00:07"/>
    <x v="6"/>
    <x v="4"/>
    <x v="1"/>
    <n v="4170.82"/>
    <n v="304"/>
    <n v="7"/>
    <n v="36778.530000000006"/>
    <n v="3"/>
    <n v="4"/>
    <n v="3"/>
    <s v="343"/>
    <x v="0"/>
  </r>
  <r>
    <x v="116"/>
    <d v="2025-06-24T09:00:07"/>
    <x v="3"/>
    <x v="6"/>
    <x v="0"/>
    <n v="4003.78"/>
    <n v="304"/>
    <n v="16"/>
    <n v="76962.720000000001"/>
    <n v="3"/>
    <n v="1"/>
    <n v="1"/>
    <s v="311"/>
    <x v="0"/>
  </r>
  <r>
    <x v="30"/>
    <d v="2025-06-24T09:00:07"/>
    <x v="2"/>
    <x v="4"/>
    <x v="0"/>
    <n v="4936.62"/>
    <n v="304"/>
    <n v="5"/>
    <n v="27766.260000000002"/>
    <n v="3"/>
    <n v="5"/>
    <n v="4"/>
    <s v="354"/>
    <x v="0"/>
  </r>
  <r>
    <x v="315"/>
    <d v="2025-06-24T09:00:07"/>
    <x v="0"/>
    <x v="4"/>
    <x v="1"/>
    <n v="1279.05"/>
    <n v="304"/>
    <n v="7"/>
    <n v="18314.88"/>
    <n v="3"/>
    <n v="4"/>
    <n v="5"/>
    <s v="345"/>
    <x v="0"/>
  </r>
  <r>
    <x v="111"/>
    <d v="2025-06-25T09:00:07"/>
    <x v="6"/>
    <x v="2"/>
    <x v="0"/>
    <n v="9840.98"/>
    <n v="303"/>
    <n v="7"/>
    <n v="47955.99"/>
    <n v="3"/>
    <n v="4"/>
    <n v="1"/>
    <s v="341"/>
    <x v="0"/>
  </r>
  <r>
    <x v="71"/>
    <d v="2025-06-25T09:00:07"/>
    <x v="8"/>
    <x v="0"/>
    <x v="2"/>
    <n v="1950.92"/>
    <n v="303"/>
    <n v="10"/>
    <n v="49420.710000000006"/>
    <n v="3"/>
    <n v="2"/>
    <n v="1"/>
    <s v="321"/>
    <x v="0"/>
  </r>
  <r>
    <x v="299"/>
    <d v="2025-06-25T09:00:07"/>
    <x v="4"/>
    <x v="1"/>
    <x v="0"/>
    <n v="4522.6099999999997"/>
    <n v="303"/>
    <n v="4"/>
    <n v="16102.51"/>
    <n v="3"/>
    <n v="5"/>
    <n v="5"/>
    <s v="355"/>
    <x v="0"/>
  </r>
  <r>
    <x v="155"/>
    <d v="2025-06-25T09:00:07"/>
    <x v="6"/>
    <x v="3"/>
    <x v="2"/>
    <n v="5706.43"/>
    <n v="303"/>
    <n v="4"/>
    <n v="21062.23"/>
    <n v="3"/>
    <n v="5"/>
    <n v="5"/>
    <s v="355"/>
    <x v="0"/>
  </r>
  <r>
    <x v="312"/>
    <d v="2025-06-26T09:00:07"/>
    <x v="2"/>
    <x v="6"/>
    <x v="0"/>
    <n v="2712.76"/>
    <n v="302"/>
    <n v="8"/>
    <n v="27291.54"/>
    <n v="3"/>
    <n v="3"/>
    <n v="4"/>
    <s v="334"/>
    <x v="0"/>
  </r>
  <r>
    <x v="57"/>
    <d v="2025-06-26T09:00:07"/>
    <x v="8"/>
    <x v="6"/>
    <x v="1"/>
    <n v="4596.6499999999996"/>
    <n v="302"/>
    <n v="16"/>
    <n v="58237.360000000008"/>
    <n v="3"/>
    <n v="1"/>
    <n v="1"/>
    <s v="311"/>
    <x v="0"/>
  </r>
  <r>
    <x v="336"/>
    <d v="2025-06-26T09:00:07"/>
    <x v="0"/>
    <x v="0"/>
    <x v="1"/>
    <n v="5597.63"/>
    <n v="302"/>
    <n v="9"/>
    <n v="34808.1"/>
    <n v="3"/>
    <n v="2"/>
    <n v="3"/>
    <s v="323"/>
    <x v="0"/>
  </r>
  <r>
    <x v="319"/>
    <d v="2025-06-26T09:00:07"/>
    <x v="3"/>
    <x v="6"/>
    <x v="2"/>
    <n v="5170.5200000000004"/>
    <n v="302"/>
    <n v="9"/>
    <n v="39183.29"/>
    <n v="3"/>
    <n v="2"/>
    <n v="2"/>
    <s v="322"/>
    <x v="0"/>
  </r>
  <r>
    <x v="255"/>
    <d v="2025-06-26T09:00:07"/>
    <x v="2"/>
    <x v="1"/>
    <x v="1"/>
    <n v="2299.69"/>
    <n v="302"/>
    <n v="8"/>
    <n v="31675.43"/>
    <n v="3"/>
    <n v="3"/>
    <n v="3"/>
    <s v="333"/>
    <x v="0"/>
  </r>
  <r>
    <x v="317"/>
    <d v="2025-06-27T09:00:07"/>
    <x v="1"/>
    <x v="0"/>
    <x v="2"/>
    <n v="2396.33"/>
    <n v="301"/>
    <n v="10"/>
    <n v="45640.06"/>
    <n v="3"/>
    <n v="2"/>
    <n v="1"/>
    <s v="321"/>
    <x v="0"/>
  </r>
  <r>
    <x v="88"/>
    <d v="2025-06-27T09:00:07"/>
    <x v="7"/>
    <x v="6"/>
    <x v="0"/>
    <n v="4218.3599999999997"/>
    <n v="301"/>
    <n v="11"/>
    <n v="62566.770000000004"/>
    <n v="3"/>
    <n v="1"/>
    <n v="1"/>
    <s v="311"/>
    <x v="0"/>
  </r>
  <r>
    <x v="262"/>
    <d v="2025-06-28T09:00:07"/>
    <x v="3"/>
    <x v="1"/>
    <x v="1"/>
    <n v="2773.89"/>
    <n v="300"/>
    <n v="7"/>
    <n v="20627.900000000001"/>
    <n v="3"/>
    <n v="4"/>
    <n v="5"/>
    <s v="345"/>
    <x v="0"/>
  </r>
  <r>
    <x v="65"/>
    <d v="2025-06-28T09:00:07"/>
    <x v="6"/>
    <x v="4"/>
    <x v="0"/>
    <n v="5481.27"/>
    <n v="300"/>
    <n v="12"/>
    <n v="46195.360000000001"/>
    <n v="3"/>
    <n v="1"/>
    <n v="1"/>
    <s v="311"/>
    <x v="0"/>
  </r>
  <r>
    <x v="159"/>
    <d v="2025-06-28T09:00:07"/>
    <x v="0"/>
    <x v="1"/>
    <x v="2"/>
    <n v="2369.12"/>
    <n v="300"/>
    <n v="9"/>
    <n v="38753.799999999988"/>
    <n v="3"/>
    <n v="2"/>
    <n v="2"/>
    <s v="322"/>
    <x v="0"/>
  </r>
  <r>
    <x v="56"/>
    <d v="2025-06-28T09:00:07"/>
    <x v="1"/>
    <x v="5"/>
    <x v="2"/>
    <n v="1587.12"/>
    <n v="300"/>
    <n v="12"/>
    <n v="38950.210000000006"/>
    <n v="3"/>
    <n v="1"/>
    <n v="2"/>
    <s v="312"/>
    <x v="0"/>
  </r>
  <r>
    <x v="182"/>
    <d v="2025-06-28T09:00:07"/>
    <x v="2"/>
    <x v="1"/>
    <x v="1"/>
    <n v="3139.96"/>
    <n v="300"/>
    <n v="13"/>
    <n v="49208.94"/>
    <n v="3"/>
    <n v="1"/>
    <n v="1"/>
    <s v="311"/>
    <x v="0"/>
  </r>
  <r>
    <x v="390"/>
    <d v="2025-06-28T09:00:07"/>
    <x v="6"/>
    <x v="4"/>
    <x v="1"/>
    <n v="2940.2"/>
    <n v="300"/>
    <n v="4"/>
    <n v="16982.739999999998"/>
    <n v="3"/>
    <n v="5"/>
    <n v="5"/>
    <s v="355"/>
    <x v="0"/>
  </r>
  <r>
    <x v="278"/>
    <d v="2025-06-29T09:00:07"/>
    <x v="6"/>
    <x v="6"/>
    <x v="0"/>
    <n v="2019.21"/>
    <n v="299"/>
    <n v="10"/>
    <n v="38069.94"/>
    <n v="3"/>
    <n v="2"/>
    <n v="2"/>
    <s v="322"/>
    <x v="0"/>
  </r>
  <r>
    <x v="277"/>
    <d v="2025-06-29T09:00:07"/>
    <x v="4"/>
    <x v="1"/>
    <x v="2"/>
    <n v="1534.56"/>
    <n v="299"/>
    <n v="10"/>
    <n v="40760.559999999998"/>
    <n v="3"/>
    <n v="2"/>
    <n v="2"/>
    <s v="322"/>
    <x v="0"/>
  </r>
  <r>
    <x v="103"/>
    <d v="2025-06-29T09:00:07"/>
    <x v="9"/>
    <x v="6"/>
    <x v="2"/>
    <n v="1609.88"/>
    <n v="299"/>
    <n v="15"/>
    <n v="55867.080000000016"/>
    <n v="3"/>
    <n v="1"/>
    <n v="1"/>
    <s v="311"/>
    <x v="0"/>
  </r>
  <r>
    <x v="110"/>
    <d v="2025-06-29T09:00:07"/>
    <x v="4"/>
    <x v="0"/>
    <x v="2"/>
    <n v="7563.36"/>
    <n v="299"/>
    <n v="9"/>
    <n v="40117.730000000003"/>
    <n v="3"/>
    <n v="2"/>
    <n v="2"/>
    <s v="322"/>
    <x v="0"/>
  </r>
  <r>
    <x v="177"/>
    <d v="2025-06-30T09:00:07"/>
    <x v="3"/>
    <x v="2"/>
    <x v="2"/>
    <n v="1764.01"/>
    <n v="298"/>
    <n v="11"/>
    <n v="45526.78"/>
    <n v="3"/>
    <n v="1"/>
    <n v="1"/>
    <s v="311"/>
    <x v="0"/>
  </r>
  <r>
    <x v="297"/>
    <d v="2025-06-30T09:00:07"/>
    <x v="2"/>
    <x v="6"/>
    <x v="0"/>
    <n v="7592.99"/>
    <n v="298"/>
    <n v="4"/>
    <n v="24173.510000000002"/>
    <n v="3"/>
    <n v="5"/>
    <n v="4"/>
    <s v="354"/>
    <x v="0"/>
  </r>
  <r>
    <x v="280"/>
    <d v="2025-06-30T09:00:07"/>
    <x v="6"/>
    <x v="5"/>
    <x v="0"/>
    <n v="9488.91"/>
    <n v="298"/>
    <n v="16"/>
    <n v="64716.249999999985"/>
    <n v="3"/>
    <n v="1"/>
    <n v="1"/>
    <s v="311"/>
    <x v="0"/>
  </r>
  <r>
    <x v="40"/>
    <d v="2025-06-30T09:00:07"/>
    <x v="9"/>
    <x v="3"/>
    <x v="2"/>
    <n v="1884.18"/>
    <n v="298"/>
    <n v="7"/>
    <n v="17825.52"/>
    <n v="3"/>
    <n v="4"/>
    <n v="5"/>
    <s v="345"/>
    <x v="0"/>
  </r>
  <r>
    <x v="241"/>
    <d v="2025-07-01T09:00:07"/>
    <x v="5"/>
    <x v="5"/>
    <x v="0"/>
    <n v="4326.58"/>
    <n v="297"/>
    <n v="12"/>
    <n v="43413.4"/>
    <n v="3"/>
    <n v="1"/>
    <n v="2"/>
    <s v="312"/>
    <x v="0"/>
  </r>
  <r>
    <x v="277"/>
    <d v="2025-07-01T09:00:07"/>
    <x v="4"/>
    <x v="0"/>
    <x v="2"/>
    <n v="2861.46"/>
    <n v="297"/>
    <n v="10"/>
    <n v="40760.559999999998"/>
    <n v="3"/>
    <n v="2"/>
    <n v="2"/>
    <s v="322"/>
    <x v="0"/>
  </r>
  <r>
    <x v="393"/>
    <d v="2025-07-01T09:00:07"/>
    <x v="9"/>
    <x v="3"/>
    <x v="0"/>
    <n v="11151.92"/>
    <n v="297"/>
    <n v="3"/>
    <n v="16888.900000000001"/>
    <n v="3"/>
    <n v="5"/>
    <n v="5"/>
    <s v="355"/>
    <x v="0"/>
  </r>
  <r>
    <x v="264"/>
    <d v="2025-07-01T09:00:07"/>
    <x v="7"/>
    <x v="0"/>
    <x v="1"/>
    <n v="8101.75"/>
    <n v="297"/>
    <n v="7"/>
    <n v="30708.170000000002"/>
    <n v="3"/>
    <n v="4"/>
    <n v="3"/>
    <s v="343"/>
    <x v="0"/>
  </r>
  <r>
    <x v="98"/>
    <d v="2025-07-01T09:00:07"/>
    <x v="8"/>
    <x v="4"/>
    <x v="2"/>
    <n v="3204.11"/>
    <n v="297"/>
    <n v="7"/>
    <n v="33081.189999999995"/>
    <n v="3"/>
    <n v="4"/>
    <n v="3"/>
    <s v="343"/>
    <x v="0"/>
  </r>
  <r>
    <x v="208"/>
    <d v="2025-07-01T09:00:07"/>
    <x v="4"/>
    <x v="5"/>
    <x v="1"/>
    <n v="4250.22"/>
    <n v="297"/>
    <n v="8"/>
    <n v="27084.66"/>
    <n v="3"/>
    <n v="3"/>
    <n v="4"/>
    <s v="334"/>
    <x v="0"/>
  </r>
  <r>
    <x v="181"/>
    <d v="2025-07-02T09:00:07"/>
    <x v="8"/>
    <x v="3"/>
    <x v="0"/>
    <n v="564.65"/>
    <n v="296"/>
    <n v="7"/>
    <n v="25155.31"/>
    <n v="3"/>
    <n v="4"/>
    <n v="4"/>
    <s v="344"/>
    <x v="0"/>
  </r>
  <r>
    <x v="96"/>
    <d v="2025-07-02T09:00:07"/>
    <x v="4"/>
    <x v="3"/>
    <x v="2"/>
    <n v="1082.83"/>
    <n v="296"/>
    <n v="11"/>
    <n v="62038.55"/>
    <n v="3"/>
    <n v="1"/>
    <n v="1"/>
    <s v="311"/>
    <x v="0"/>
  </r>
  <r>
    <x v="370"/>
    <d v="2025-07-02T09:00:07"/>
    <x v="4"/>
    <x v="6"/>
    <x v="2"/>
    <n v="10097.129999999999"/>
    <n v="296"/>
    <n v="12"/>
    <n v="83986.299999999988"/>
    <n v="3"/>
    <n v="1"/>
    <n v="1"/>
    <s v="311"/>
    <x v="0"/>
  </r>
  <r>
    <x v="288"/>
    <d v="2025-07-03T09:00:07"/>
    <x v="4"/>
    <x v="5"/>
    <x v="0"/>
    <n v="387.1"/>
    <n v="295"/>
    <n v="5"/>
    <n v="22112.27"/>
    <n v="3"/>
    <n v="5"/>
    <n v="4"/>
    <s v="354"/>
    <x v="0"/>
  </r>
  <r>
    <x v="9"/>
    <d v="2025-07-03T09:00:07"/>
    <x v="0"/>
    <x v="1"/>
    <x v="0"/>
    <n v="3196.11"/>
    <n v="295"/>
    <n v="10"/>
    <n v="67378.48000000001"/>
    <n v="3"/>
    <n v="2"/>
    <n v="1"/>
    <s v="321"/>
    <x v="0"/>
  </r>
  <r>
    <x v="315"/>
    <d v="2025-07-03T09:00:07"/>
    <x v="9"/>
    <x v="2"/>
    <x v="1"/>
    <n v="469.68"/>
    <n v="295"/>
    <n v="7"/>
    <n v="18314.88"/>
    <n v="3"/>
    <n v="4"/>
    <n v="5"/>
    <s v="345"/>
    <x v="0"/>
  </r>
  <r>
    <x v="56"/>
    <d v="2025-07-03T09:00:07"/>
    <x v="4"/>
    <x v="2"/>
    <x v="2"/>
    <n v="6906.44"/>
    <n v="295"/>
    <n v="12"/>
    <n v="38950.210000000006"/>
    <n v="3"/>
    <n v="1"/>
    <n v="2"/>
    <s v="312"/>
    <x v="0"/>
  </r>
  <r>
    <x v="193"/>
    <d v="2025-07-04T09:00:07"/>
    <x v="0"/>
    <x v="2"/>
    <x v="2"/>
    <n v="12225.4"/>
    <n v="294"/>
    <n v="10"/>
    <n v="54972.43"/>
    <n v="3"/>
    <n v="2"/>
    <n v="1"/>
    <s v="321"/>
    <x v="0"/>
  </r>
  <r>
    <x v="395"/>
    <d v="2025-07-04T09:00:07"/>
    <x v="6"/>
    <x v="0"/>
    <x v="2"/>
    <n v="6982.38"/>
    <n v="294"/>
    <n v="2"/>
    <n v="8127.38"/>
    <n v="3"/>
    <n v="5"/>
    <n v="5"/>
    <s v="355"/>
    <x v="0"/>
  </r>
  <r>
    <x v="153"/>
    <d v="2025-07-04T09:00:07"/>
    <x v="7"/>
    <x v="0"/>
    <x v="0"/>
    <n v="1119.45"/>
    <n v="294"/>
    <n v="7"/>
    <n v="17672.689999999999"/>
    <n v="3"/>
    <n v="4"/>
    <n v="5"/>
    <s v="345"/>
    <x v="0"/>
  </r>
  <r>
    <x v="57"/>
    <d v="2025-07-05T09:00:07"/>
    <x v="4"/>
    <x v="3"/>
    <x v="2"/>
    <n v="3060.51"/>
    <n v="293"/>
    <n v="16"/>
    <n v="58237.360000000008"/>
    <n v="3"/>
    <n v="1"/>
    <n v="1"/>
    <s v="311"/>
    <x v="0"/>
  </r>
  <r>
    <x v="300"/>
    <d v="2025-07-05T09:00:07"/>
    <x v="6"/>
    <x v="0"/>
    <x v="0"/>
    <n v="3179.84"/>
    <n v="293"/>
    <n v="6"/>
    <n v="12410.619999999999"/>
    <n v="3"/>
    <n v="4"/>
    <n v="5"/>
    <s v="345"/>
    <x v="0"/>
  </r>
  <r>
    <x v="390"/>
    <d v="2025-07-05T09:00:07"/>
    <x v="7"/>
    <x v="0"/>
    <x v="1"/>
    <n v="5754.8"/>
    <n v="293"/>
    <n v="4"/>
    <n v="16982.739999999998"/>
    <n v="3"/>
    <n v="5"/>
    <n v="5"/>
    <s v="355"/>
    <x v="0"/>
  </r>
  <r>
    <x v="89"/>
    <d v="2025-07-05T09:00:07"/>
    <x v="7"/>
    <x v="1"/>
    <x v="2"/>
    <n v="6264.73"/>
    <n v="293"/>
    <n v="12"/>
    <n v="54905.279999999992"/>
    <n v="3"/>
    <n v="1"/>
    <n v="1"/>
    <s v="311"/>
    <x v="0"/>
  </r>
  <r>
    <x v="162"/>
    <d v="2025-07-05T09:00:07"/>
    <x v="3"/>
    <x v="4"/>
    <x v="0"/>
    <n v="398.56"/>
    <n v="293"/>
    <n v="7"/>
    <n v="20657.780000000002"/>
    <n v="3"/>
    <n v="4"/>
    <n v="5"/>
    <s v="345"/>
    <x v="0"/>
  </r>
  <r>
    <x v="117"/>
    <d v="2025-07-05T09:00:07"/>
    <x v="1"/>
    <x v="4"/>
    <x v="0"/>
    <n v="5711.32"/>
    <n v="293"/>
    <n v="12"/>
    <n v="44894.799999999996"/>
    <n v="3"/>
    <n v="1"/>
    <n v="1"/>
    <s v="311"/>
    <x v="0"/>
  </r>
  <r>
    <x v="117"/>
    <d v="2025-07-05T09:00:07"/>
    <x v="4"/>
    <x v="4"/>
    <x v="0"/>
    <n v="3186.6"/>
    <n v="293"/>
    <n v="12"/>
    <n v="44894.799999999996"/>
    <n v="3"/>
    <n v="1"/>
    <n v="1"/>
    <s v="311"/>
    <x v="0"/>
  </r>
  <r>
    <x v="325"/>
    <d v="2025-07-06T09:00:07"/>
    <x v="5"/>
    <x v="1"/>
    <x v="1"/>
    <n v="6930.13"/>
    <n v="292"/>
    <n v="5"/>
    <n v="14663.54"/>
    <n v="3"/>
    <n v="5"/>
    <n v="5"/>
    <s v="355"/>
    <x v="0"/>
  </r>
  <r>
    <x v="265"/>
    <d v="2025-07-06T09:00:07"/>
    <x v="9"/>
    <x v="3"/>
    <x v="0"/>
    <n v="1710.75"/>
    <n v="292"/>
    <n v="8"/>
    <n v="37946.1"/>
    <n v="3"/>
    <n v="3"/>
    <n v="2"/>
    <s v="332"/>
    <x v="0"/>
  </r>
  <r>
    <x v="70"/>
    <d v="2025-07-06T09:00:07"/>
    <x v="0"/>
    <x v="3"/>
    <x v="2"/>
    <n v="5930.43"/>
    <n v="292"/>
    <n v="15"/>
    <n v="57217.139999999992"/>
    <n v="3"/>
    <n v="1"/>
    <n v="1"/>
    <s v="311"/>
    <x v="0"/>
  </r>
  <r>
    <x v="61"/>
    <d v="2025-07-06T09:00:07"/>
    <x v="7"/>
    <x v="0"/>
    <x v="2"/>
    <n v="1787.15"/>
    <n v="292"/>
    <n v="11"/>
    <n v="52771.959999999992"/>
    <n v="3"/>
    <n v="1"/>
    <n v="1"/>
    <s v="311"/>
    <x v="0"/>
  </r>
  <r>
    <x v="95"/>
    <d v="2025-07-06T09:00:07"/>
    <x v="2"/>
    <x v="6"/>
    <x v="2"/>
    <n v="182.44"/>
    <n v="292"/>
    <n v="6"/>
    <n v="16595.620000000003"/>
    <n v="3"/>
    <n v="4"/>
    <n v="5"/>
    <s v="345"/>
    <x v="0"/>
  </r>
  <r>
    <x v="1"/>
    <d v="2025-07-07T09:00:07"/>
    <x v="2"/>
    <x v="0"/>
    <x v="0"/>
    <n v="3436.87"/>
    <n v="291"/>
    <n v="12"/>
    <n v="49382.650000000009"/>
    <n v="3"/>
    <n v="1"/>
    <n v="1"/>
    <s v="311"/>
    <x v="0"/>
  </r>
  <r>
    <x v="364"/>
    <d v="2025-07-07T09:00:07"/>
    <x v="5"/>
    <x v="3"/>
    <x v="1"/>
    <n v="4676.57"/>
    <n v="291"/>
    <n v="5"/>
    <n v="21171.439999999999"/>
    <n v="3"/>
    <n v="5"/>
    <n v="5"/>
    <s v="355"/>
    <x v="0"/>
  </r>
  <r>
    <x v="61"/>
    <d v="2025-07-08T09:00:07"/>
    <x v="5"/>
    <x v="1"/>
    <x v="0"/>
    <n v="5088.78"/>
    <n v="290"/>
    <n v="11"/>
    <n v="52771.959999999992"/>
    <n v="3"/>
    <n v="1"/>
    <n v="1"/>
    <s v="311"/>
    <x v="0"/>
  </r>
  <r>
    <x v="64"/>
    <d v="2025-07-08T09:00:07"/>
    <x v="2"/>
    <x v="3"/>
    <x v="0"/>
    <n v="8639.23"/>
    <n v="290"/>
    <n v="5"/>
    <n v="21964.689999999995"/>
    <n v="3"/>
    <n v="5"/>
    <n v="4"/>
    <s v="354"/>
    <x v="0"/>
  </r>
  <r>
    <x v="252"/>
    <d v="2025-07-08T09:00:07"/>
    <x v="6"/>
    <x v="1"/>
    <x v="2"/>
    <n v="657.21"/>
    <n v="290"/>
    <n v="8"/>
    <n v="36475.079999999994"/>
    <n v="3"/>
    <n v="3"/>
    <n v="3"/>
    <s v="333"/>
    <x v="0"/>
  </r>
  <r>
    <x v="53"/>
    <d v="2025-07-08T09:00:07"/>
    <x v="0"/>
    <x v="1"/>
    <x v="1"/>
    <n v="2497.08"/>
    <n v="290"/>
    <n v="8"/>
    <n v="23394.15"/>
    <n v="3"/>
    <n v="3"/>
    <n v="4"/>
    <s v="334"/>
    <x v="0"/>
  </r>
  <r>
    <x v="263"/>
    <d v="2025-07-08T09:00:07"/>
    <x v="7"/>
    <x v="3"/>
    <x v="2"/>
    <n v="2593.31"/>
    <n v="290"/>
    <n v="12"/>
    <n v="40797.409999999996"/>
    <n v="3"/>
    <n v="1"/>
    <n v="2"/>
    <s v="312"/>
    <x v="0"/>
  </r>
  <r>
    <x v="207"/>
    <d v="2025-07-08T09:00:07"/>
    <x v="9"/>
    <x v="6"/>
    <x v="1"/>
    <n v="1510.54"/>
    <n v="290"/>
    <n v="10"/>
    <n v="39681.960000000006"/>
    <n v="3"/>
    <n v="2"/>
    <n v="2"/>
    <s v="322"/>
    <x v="0"/>
  </r>
  <r>
    <x v="67"/>
    <d v="2025-07-09T09:00:07"/>
    <x v="5"/>
    <x v="4"/>
    <x v="1"/>
    <n v="1528.62"/>
    <n v="289"/>
    <n v="8"/>
    <n v="35204.92"/>
    <n v="3"/>
    <n v="3"/>
    <n v="3"/>
    <s v="333"/>
    <x v="0"/>
  </r>
  <r>
    <x v="164"/>
    <d v="2025-07-09T09:00:07"/>
    <x v="4"/>
    <x v="2"/>
    <x v="0"/>
    <n v="5557.03"/>
    <n v="289"/>
    <n v="6"/>
    <n v="17843.009999999998"/>
    <n v="3"/>
    <n v="4"/>
    <n v="5"/>
    <s v="345"/>
    <x v="0"/>
  </r>
  <r>
    <x v="293"/>
    <d v="2025-07-09T09:00:07"/>
    <x v="7"/>
    <x v="6"/>
    <x v="0"/>
    <n v="8698.84"/>
    <n v="289"/>
    <n v="8"/>
    <n v="27805.74"/>
    <n v="3"/>
    <n v="3"/>
    <n v="4"/>
    <s v="334"/>
    <x v="0"/>
  </r>
  <r>
    <x v="183"/>
    <d v="2025-07-10T09:00:07"/>
    <x v="2"/>
    <x v="2"/>
    <x v="1"/>
    <n v="4440.6499999999996"/>
    <n v="288"/>
    <n v="12"/>
    <n v="34222.5"/>
    <n v="3"/>
    <n v="1"/>
    <n v="3"/>
    <s v="313"/>
    <x v="0"/>
  </r>
  <r>
    <x v="174"/>
    <d v="2025-07-10T09:00:07"/>
    <x v="3"/>
    <x v="0"/>
    <x v="2"/>
    <n v="2929.13"/>
    <n v="288"/>
    <n v="8"/>
    <n v="31568.060000000005"/>
    <n v="3"/>
    <n v="3"/>
    <n v="3"/>
    <s v="333"/>
    <x v="0"/>
  </r>
  <r>
    <x v="307"/>
    <d v="2025-07-10T09:00:07"/>
    <x v="0"/>
    <x v="4"/>
    <x v="2"/>
    <n v="4083.8"/>
    <n v="288"/>
    <n v="9"/>
    <n v="39434.269999999997"/>
    <n v="3"/>
    <n v="2"/>
    <n v="2"/>
    <s v="322"/>
    <x v="0"/>
  </r>
  <r>
    <x v="211"/>
    <d v="2025-07-10T09:00:07"/>
    <x v="8"/>
    <x v="3"/>
    <x v="0"/>
    <n v="2749.07"/>
    <n v="288"/>
    <n v="8"/>
    <n v="29088.159999999996"/>
    <n v="3"/>
    <n v="3"/>
    <n v="4"/>
    <s v="334"/>
    <x v="0"/>
  </r>
  <r>
    <x v="176"/>
    <d v="2025-07-10T09:00:07"/>
    <x v="4"/>
    <x v="6"/>
    <x v="0"/>
    <n v="5017.75"/>
    <n v="288"/>
    <n v="9"/>
    <n v="48978.57"/>
    <n v="3"/>
    <n v="2"/>
    <n v="1"/>
    <s v="321"/>
    <x v="0"/>
  </r>
  <r>
    <x v="3"/>
    <d v="2025-07-10T09:00:07"/>
    <x v="0"/>
    <x v="4"/>
    <x v="0"/>
    <n v="1210.04"/>
    <n v="288"/>
    <n v="15"/>
    <n v="49637.999999999993"/>
    <n v="3"/>
    <n v="1"/>
    <n v="1"/>
    <s v="311"/>
    <x v="0"/>
  </r>
  <r>
    <x v="55"/>
    <d v="2025-07-10T09:00:07"/>
    <x v="2"/>
    <x v="3"/>
    <x v="0"/>
    <n v="8503.15"/>
    <n v="288"/>
    <n v="12"/>
    <n v="42930.969999999994"/>
    <n v="3"/>
    <n v="1"/>
    <n v="2"/>
    <s v="312"/>
    <x v="0"/>
  </r>
  <r>
    <x v="241"/>
    <d v="2025-07-11T09:00:07"/>
    <x v="7"/>
    <x v="2"/>
    <x v="1"/>
    <n v="4509.7299999999996"/>
    <n v="287"/>
    <n v="12"/>
    <n v="43413.4"/>
    <n v="3"/>
    <n v="1"/>
    <n v="2"/>
    <s v="312"/>
    <x v="0"/>
  </r>
  <r>
    <x v="321"/>
    <d v="2025-07-11T09:00:07"/>
    <x v="8"/>
    <x v="4"/>
    <x v="2"/>
    <n v="1383.56"/>
    <n v="287"/>
    <n v="11"/>
    <n v="40714.880000000005"/>
    <n v="3"/>
    <n v="1"/>
    <n v="2"/>
    <s v="312"/>
    <x v="0"/>
  </r>
  <r>
    <x v="23"/>
    <d v="2025-07-11T09:00:07"/>
    <x v="5"/>
    <x v="6"/>
    <x v="1"/>
    <n v="3039.75"/>
    <n v="287"/>
    <n v="11"/>
    <n v="44004.459999999992"/>
    <n v="3"/>
    <n v="1"/>
    <n v="2"/>
    <s v="312"/>
    <x v="0"/>
  </r>
  <r>
    <x v="147"/>
    <d v="2025-07-12T09:00:07"/>
    <x v="3"/>
    <x v="1"/>
    <x v="2"/>
    <n v="2201.0700000000002"/>
    <n v="286"/>
    <n v="8"/>
    <n v="21286.739999999998"/>
    <n v="3"/>
    <n v="3"/>
    <n v="5"/>
    <s v="335"/>
    <x v="0"/>
  </r>
  <r>
    <x v="50"/>
    <d v="2025-07-12T09:00:07"/>
    <x v="5"/>
    <x v="5"/>
    <x v="0"/>
    <n v="3029.6"/>
    <n v="286"/>
    <n v="13"/>
    <n v="64175.24"/>
    <n v="3"/>
    <n v="1"/>
    <n v="1"/>
    <s v="311"/>
    <x v="0"/>
  </r>
  <r>
    <x v="365"/>
    <d v="2025-07-12T09:00:07"/>
    <x v="3"/>
    <x v="4"/>
    <x v="2"/>
    <n v="3819.14"/>
    <n v="286"/>
    <n v="6"/>
    <n v="25394.229999999996"/>
    <n v="3"/>
    <n v="4"/>
    <n v="4"/>
    <s v="344"/>
    <x v="0"/>
  </r>
  <r>
    <x v="12"/>
    <d v="2025-07-12T09:00:07"/>
    <x v="9"/>
    <x v="2"/>
    <x v="1"/>
    <n v="1981.19"/>
    <n v="286"/>
    <n v="9"/>
    <n v="24509.48"/>
    <n v="3"/>
    <n v="2"/>
    <n v="4"/>
    <s v="324"/>
    <x v="0"/>
  </r>
  <r>
    <x v="341"/>
    <d v="2025-07-12T09:00:07"/>
    <x v="6"/>
    <x v="0"/>
    <x v="1"/>
    <n v="1325.69"/>
    <n v="286"/>
    <n v="11"/>
    <n v="59377.640000000014"/>
    <n v="3"/>
    <n v="1"/>
    <n v="1"/>
    <s v="311"/>
    <x v="0"/>
  </r>
  <r>
    <x v="139"/>
    <d v="2025-07-12T09:00:07"/>
    <x v="6"/>
    <x v="4"/>
    <x v="2"/>
    <n v="9878.0400000000009"/>
    <n v="286"/>
    <n v="9"/>
    <n v="48530.240000000005"/>
    <n v="3"/>
    <n v="2"/>
    <n v="1"/>
    <s v="321"/>
    <x v="0"/>
  </r>
  <r>
    <x v="329"/>
    <d v="2025-07-12T09:00:07"/>
    <x v="2"/>
    <x v="6"/>
    <x v="2"/>
    <n v="1925.29"/>
    <n v="286"/>
    <n v="8"/>
    <n v="29767.75"/>
    <n v="3"/>
    <n v="3"/>
    <n v="3"/>
    <s v="333"/>
    <x v="0"/>
  </r>
  <r>
    <x v="117"/>
    <d v="2025-07-13T09:00:07"/>
    <x v="6"/>
    <x v="2"/>
    <x v="0"/>
    <n v="5935.78"/>
    <n v="285"/>
    <n v="12"/>
    <n v="44894.799999999996"/>
    <n v="3"/>
    <n v="1"/>
    <n v="1"/>
    <s v="311"/>
    <x v="0"/>
  </r>
  <r>
    <x v="57"/>
    <d v="2025-07-13T09:00:07"/>
    <x v="4"/>
    <x v="2"/>
    <x v="0"/>
    <n v="3167.24"/>
    <n v="285"/>
    <n v="16"/>
    <n v="58237.360000000008"/>
    <n v="3"/>
    <n v="1"/>
    <n v="1"/>
    <s v="311"/>
    <x v="0"/>
  </r>
  <r>
    <x v="112"/>
    <d v="2025-07-13T09:00:07"/>
    <x v="3"/>
    <x v="1"/>
    <x v="0"/>
    <n v="4961.1000000000004"/>
    <n v="285"/>
    <n v="7"/>
    <n v="25356.28"/>
    <n v="3"/>
    <n v="4"/>
    <n v="4"/>
    <s v="344"/>
    <x v="0"/>
  </r>
  <r>
    <x v="87"/>
    <d v="2025-07-13T09:00:07"/>
    <x v="4"/>
    <x v="3"/>
    <x v="0"/>
    <n v="2741.87"/>
    <n v="285"/>
    <n v="13"/>
    <n v="72511.88"/>
    <n v="3"/>
    <n v="1"/>
    <n v="1"/>
    <s v="311"/>
    <x v="0"/>
  </r>
  <r>
    <x v="9"/>
    <d v="2025-07-13T09:00:07"/>
    <x v="1"/>
    <x v="3"/>
    <x v="2"/>
    <n v="4804.5"/>
    <n v="285"/>
    <n v="10"/>
    <n v="67378.48000000001"/>
    <n v="3"/>
    <n v="2"/>
    <n v="1"/>
    <s v="321"/>
    <x v="0"/>
  </r>
  <r>
    <x v="327"/>
    <d v="2025-07-14T09:00:07"/>
    <x v="3"/>
    <x v="2"/>
    <x v="2"/>
    <n v="4554.03"/>
    <n v="284"/>
    <n v="5"/>
    <n v="22595.8"/>
    <n v="4"/>
    <n v="5"/>
    <n v="4"/>
    <s v="454"/>
    <x v="0"/>
  </r>
  <r>
    <x v="190"/>
    <d v="2025-07-14T09:00:07"/>
    <x v="9"/>
    <x v="5"/>
    <x v="2"/>
    <n v="2964.81"/>
    <n v="284"/>
    <n v="13"/>
    <n v="51409.87"/>
    <n v="4"/>
    <n v="1"/>
    <n v="1"/>
    <s v="411"/>
    <x v="4"/>
  </r>
  <r>
    <x v="298"/>
    <d v="2025-07-14T09:00:07"/>
    <x v="0"/>
    <x v="0"/>
    <x v="2"/>
    <n v="4999.1899999999996"/>
    <n v="284"/>
    <n v="9"/>
    <n v="40942.560000000005"/>
    <n v="4"/>
    <n v="2"/>
    <n v="2"/>
    <s v="422"/>
    <x v="4"/>
  </r>
  <r>
    <x v="179"/>
    <d v="2025-07-14T09:00:07"/>
    <x v="6"/>
    <x v="4"/>
    <x v="0"/>
    <n v="6245.59"/>
    <n v="284"/>
    <n v="4"/>
    <n v="12531.98"/>
    <n v="4"/>
    <n v="5"/>
    <n v="5"/>
    <s v="455"/>
    <x v="0"/>
  </r>
  <r>
    <x v="163"/>
    <d v="2025-07-15T09:00:07"/>
    <x v="5"/>
    <x v="6"/>
    <x v="0"/>
    <n v="4411.34"/>
    <n v="283"/>
    <n v="9"/>
    <n v="30047.29"/>
    <n v="4"/>
    <n v="2"/>
    <n v="3"/>
    <s v="423"/>
    <x v="4"/>
  </r>
  <r>
    <x v="186"/>
    <d v="2025-07-15T09:00:07"/>
    <x v="1"/>
    <x v="2"/>
    <x v="1"/>
    <n v="4228.91"/>
    <n v="283"/>
    <n v="7"/>
    <n v="37438.960000000006"/>
    <n v="4"/>
    <n v="4"/>
    <n v="2"/>
    <s v="442"/>
    <x v="0"/>
  </r>
  <r>
    <x v="286"/>
    <d v="2025-07-15T09:00:07"/>
    <x v="8"/>
    <x v="5"/>
    <x v="1"/>
    <n v="1649.13"/>
    <n v="283"/>
    <n v="14"/>
    <n v="60099.840000000004"/>
    <n v="4"/>
    <n v="1"/>
    <n v="1"/>
    <s v="411"/>
    <x v="4"/>
  </r>
  <r>
    <x v="185"/>
    <d v="2025-07-16T09:00:07"/>
    <x v="9"/>
    <x v="2"/>
    <x v="1"/>
    <n v="2433.84"/>
    <n v="282"/>
    <n v="9"/>
    <n v="38767.17"/>
    <n v="4"/>
    <n v="2"/>
    <n v="2"/>
    <s v="422"/>
    <x v="4"/>
  </r>
  <r>
    <x v="120"/>
    <d v="2025-07-16T09:00:07"/>
    <x v="4"/>
    <x v="2"/>
    <x v="2"/>
    <n v="5725.7"/>
    <n v="282"/>
    <n v="4"/>
    <n v="18725.21"/>
    <n v="4"/>
    <n v="5"/>
    <n v="5"/>
    <s v="455"/>
    <x v="0"/>
  </r>
  <r>
    <x v="333"/>
    <d v="2025-07-16T09:00:07"/>
    <x v="1"/>
    <x v="0"/>
    <x v="2"/>
    <n v="2460.94"/>
    <n v="282"/>
    <n v="10"/>
    <n v="42023.55"/>
    <n v="4"/>
    <n v="2"/>
    <n v="2"/>
    <s v="422"/>
    <x v="4"/>
  </r>
  <r>
    <x v="218"/>
    <d v="2025-07-16T09:00:07"/>
    <x v="5"/>
    <x v="6"/>
    <x v="0"/>
    <n v="7549.67"/>
    <n v="282"/>
    <n v="12"/>
    <n v="48008.159999999996"/>
    <n v="4"/>
    <n v="1"/>
    <n v="1"/>
    <s v="411"/>
    <x v="4"/>
  </r>
  <r>
    <x v="70"/>
    <d v="2025-07-17T09:00:07"/>
    <x v="3"/>
    <x v="1"/>
    <x v="1"/>
    <n v="1631.3"/>
    <n v="281"/>
    <n v="15"/>
    <n v="57217.139999999992"/>
    <n v="4"/>
    <n v="1"/>
    <n v="1"/>
    <s v="411"/>
    <x v="4"/>
  </r>
  <r>
    <x v="72"/>
    <d v="2025-07-17T09:00:07"/>
    <x v="2"/>
    <x v="3"/>
    <x v="2"/>
    <n v="6716.57"/>
    <n v="281"/>
    <n v="4"/>
    <n v="47975.93"/>
    <n v="4"/>
    <n v="5"/>
    <n v="1"/>
    <s v="451"/>
    <x v="0"/>
  </r>
  <r>
    <x v="263"/>
    <d v="2025-07-17T09:00:07"/>
    <x v="9"/>
    <x v="3"/>
    <x v="1"/>
    <n v="5317.25"/>
    <n v="281"/>
    <n v="12"/>
    <n v="40797.409999999996"/>
    <n v="4"/>
    <n v="1"/>
    <n v="2"/>
    <s v="412"/>
    <x v="4"/>
  </r>
  <r>
    <x v="212"/>
    <d v="2025-07-17T09:00:07"/>
    <x v="0"/>
    <x v="5"/>
    <x v="0"/>
    <n v="5449.65"/>
    <n v="281"/>
    <n v="9"/>
    <n v="27881.53"/>
    <n v="4"/>
    <n v="2"/>
    <n v="4"/>
    <s v="424"/>
    <x v="4"/>
  </r>
  <r>
    <x v="211"/>
    <d v="2025-07-17T09:00:07"/>
    <x v="7"/>
    <x v="5"/>
    <x v="0"/>
    <n v="2507.89"/>
    <n v="281"/>
    <n v="8"/>
    <n v="29088.159999999996"/>
    <n v="4"/>
    <n v="3"/>
    <n v="4"/>
    <s v="434"/>
    <x v="0"/>
  </r>
  <r>
    <x v="276"/>
    <d v="2025-07-17T09:00:07"/>
    <x v="2"/>
    <x v="5"/>
    <x v="2"/>
    <n v="7048.7"/>
    <n v="281"/>
    <n v="7"/>
    <n v="33899.22"/>
    <n v="4"/>
    <n v="4"/>
    <n v="3"/>
    <s v="443"/>
    <x v="0"/>
  </r>
  <r>
    <x v="210"/>
    <d v="2025-07-17T09:00:07"/>
    <x v="2"/>
    <x v="6"/>
    <x v="2"/>
    <n v="3418.79"/>
    <n v="281"/>
    <n v="9"/>
    <n v="37239.53"/>
    <n v="4"/>
    <n v="2"/>
    <n v="2"/>
    <s v="422"/>
    <x v="4"/>
  </r>
  <r>
    <x v="149"/>
    <d v="2025-07-17T09:00:07"/>
    <x v="9"/>
    <x v="6"/>
    <x v="0"/>
    <n v="6001.53"/>
    <n v="281"/>
    <n v="4"/>
    <n v="26120.1"/>
    <n v="4"/>
    <n v="5"/>
    <n v="4"/>
    <s v="454"/>
    <x v="0"/>
  </r>
  <r>
    <x v="136"/>
    <d v="2025-07-18T09:00:07"/>
    <x v="7"/>
    <x v="3"/>
    <x v="2"/>
    <n v="1511"/>
    <n v="280"/>
    <n v="7"/>
    <n v="26629.329999999998"/>
    <n v="4"/>
    <n v="4"/>
    <n v="4"/>
    <s v="444"/>
    <x v="0"/>
  </r>
  <r>
    <x v="329"/>
    <d v="2025-07-18T09:00:07"/>
    <x v="5"/>
    <x v="1"/>
    <x v="2"/>
    <n v="9146.5499999999993"/>
    <n v="280"/>
    <n v="8"/>
    <n v="29767.75"/>
    <n v="4"/>
    <n v="3"/>
    <n v="3"/>
    <s v="433"/>
    <x v="0"/>
  </r>
  <r>
    <x v="80"/>
    <d v="2025-07-18T09:00:07"/>
    <x v="1"/>
    <x v="5"/>
    <x v="2"/>
    <n v="2140.42"/>
    <n v="280"/>
    <n v="10"/>
    <n v="38608.230000000003"/>
    <n v="4"/>
    <n v="2"/>
    <n v="2"/>
    <s v="422"/>
    <x v="4"/>
  </r>
  <r>
    <x v="374"/>
    <d v="2025-07-18T09:00:07"/>
    <x v="4"/>
    <x v="1"/>
    <x v="0"/>
    <n v="3629.12"/>
    <n v="280"/>
    <n v="3"/>
    <n v="12121.1"/>
    <n v="4"/>
    <n v="5"/>
    <n v="5"/>
    <s v="455"/>
    <x v="0"/>
  </r>
  <r>
    <x v="116"/>
    <d v="2025-07-18T09:00:07"/>
    <x v="4"/>
    <x v="1"/>
    <x v="0"/>
    <n v="5789.22"/>
    <n v="280"/>
    <n v="16"/>
    <n v="76962.720000000001"/>
    <n v="4"/>
    <n v="1"/>
    <n v="1"/>
    <s v="411"/>
    <x v="4"/>
  </r>
  <r>
    <x v="152"/>
    <d v="2025-07-18T09:00:07"/>
    <x v="0"/>
    <x v="2"/>
    <x v="0"/>
    <n v="1800.28"/>
    <n v="280"/>
    <n v="9"/>
    <n v="39366.480000000003"/>
    <n v="4"/>
    <n v="2"/>
    <n v="2"/>
    <s v="422"/>
    <x v="4"/>
  </r>
  <r>
    <x v="391"/>
    <d v="2025-07-18T09:00:07"/>
    <x v="1"/>
    <x v="3"/>
    <x v="2"/>
    <n v="2328.25"/>
    <n v="280"/>
    <n v="5"/>
    <n v="14717.050000000001"/>
    <n v="4"/>
    <n v="5"/>
    <n v="5"/>
    <s v="455"/>
    <x v="0"/>
  </r>
  <r>
    <x v="306"/>
    <d v="2025-07-19T09:00:07"/>
    <x v="8"/>
    <x v="1"/>
    <x v="0"/>
    <n v="7001.8"/>
    <n v="279"/>
    <n v="5"/>
    <n v="21260"/>
    <n v="4"/>
    <n v="5"/>
    <n v="5"/>
    <s v="455"/>
    <x v="0"/>
  </r>
  <r>
    <x v="267"/>
    <d v="2025-07-19T09:00:07"/>
    <x v="6"/>
    <x v="1"/>
    <x v="2"/>
    <n v="12680.37"/>
    <n v="279"/>
    <n v="8"/>
    <n v="37668.22"/>
    <n v="4"/>
    <n v="3"/>
    <n v="2"/>
    <s v="432"/>
    <x v="0"/>
  </r>
  <r>
    <x v="8"/>
    <d v="2025-07-19T09:00:07"/>
    <x v="3"/>
    <x v="2"/>
    <x v="1"/>
    <n v="2955.44"/>
    <n v="279"/>
    <n v="7"/>
    <n v="18694.46"/>
    <n v="4"/>
    <n v="4"/>
    <n v="5"/>
    <s v="445"/>
    <x v="0"/>
  </r>
  <r>
    <x v="160"/>
    <d v="2025-07-19T09:00:07"/>
    <x v="0"/>
    <x v="0"/>
    <x v="1"/>
    <n v="1002.82"/>
    <n v="279"/>
    <n v="9"/>
    <n v="37215.54"/>
    <n v="4"/>
    <n v="2"/>
    <n v="2"/>
    <s v="422"/>
    <x v="4"/>
  </r>
  <r>
    <x v="306"/>
    <d v="2025-07-19T09:00:07"/>
    <x v="4"/>
    <x v="0"/>
    <x v="1"/>
    <n v="5666.85"/>
    <n v="279"/>
    <n v="5"/>
    <n v="21260"/>
    <n v="4"/>
    <n v="5"/>
    <n v="5"/>
    <s v="455"/>
    <x v="0"/>
  </r>
  <r>
    <x v="118"/>
    <d v="2025-07-19T09:00:07"/>
    <x v="9"/>
    <x v="1"/>
    <x v="0"/>
    <n v="3279.65"/>
    <n v="279"/>
    <n v="4"/>
    <n v="11604.15"/>
    <n v="4"/>
    <n v="5"/>
    <n v="5"/>
    <s v="455"/>
    <x v="0"/>
  </r>
  <r>
    <x v="338"/>
    <d v="2025-07-19T09:00:07"/>
    <x v="0"/>
    <x v="1"/>
    <x v="2"/>
    <n v="3973.62"/>
    <n v="279"/>
    <n v="6"/>
    <n v="19997.589999999997"/>
    <n v="4"/>
    <n v="4"/>
    <n v="5"/>
    <s v="445"/>
    <x v="0"/>
  </r>
  <r>
    <x v="132"/>
    <d v="2025-07-20T09:00:07"/>
    <x v="4"/>
    <x v="0"/>
    <x v="1"/>
    <n v="3525.66"/>
    <n v="278"/>
    <n v="3"/>
    <n v="9190.25"/>
    <n v="4"/>
    <n v="5"/>
    <n v="5"/>
    <s v="455"/>
    <x v="0"/>
  </r>
  <r>
    <x v="174"/>
    <d v="2025-07-20T09:00:07"/>
    <x v="9"/>
    <x v="0"/>
    <x v="2"/>
    <n v="3816.23"/>
    <n v="278"/>
    <n v="8"/>
    <n v="31568.060000000005"/>
    <n v="4"/>
    <n v="3"/>
    <n v="3"/>
    <s v="433"/>
    <x v="0"/>
  </r>
  <r>
    <x v="123"/>
    <d v="2025-07-20T09:00:07"/>
    <x v="6"/>
    <x v="3"/>
    <x v="1"/>
    <n v="6852.07"/>
    <n v="278"/>
    <n v="9"/>
    <n v="28813.449999999997"/>
    <n v="4"/>
    <n v="2"/>
    <n v="4"/>
    <s v="424"/>
    <x v="4"/>
  </r>
  <r>
    <x v="247"/>
    <d v="2025-07-20T09:00:07"/>
    <x v="1"/>
    <x v="2"/>
    <x v="0"/>
    <n v="1309.97"/>
    <n v="278"/>
    <n v="6"/>
    <n v="14707.359999999999"/>
    <n v="4"/>
    <n v="4"/>
    <n v="5"/>
    <s v="445"/>
    <x v="0"/>
  </r>
  <r>
    <x v="270"/>
    <d v="2025-07-20T09:00:07"/>
    <x v="1"/>
    <x v="5"/>
    <x v="0"/>
    <n v="4968.55"/>
    <n v="278"/>
    <n v="4"/>
    <n v="29501.85"/>
    <n v="4"/>
    <n v="5"/>
    <n v="3"/>
    <s v="453"/>
    <x v="0"/>
  </r>
  <r>
    <x v="291"/>
    <d v="2025-07-21T09:00:07"/>
    <x v="4"/>
    <x v="4"/>
    <x v="2"/>
    <n v="2098.36"/>
    <n v="277"/>
    <n v="9"/>
    <n v="27888.809999999998"/>
    <n v="4"/>
    <n v="2"/>
    <n v="4"/>
    <s v="424"/>
    <x v="4"/>
  </r>
  <r>
    <x v="384"/>
    <d v="2025-07-21T09:00:07"/>
    <x v="8"/>
    <x v="2"/>
    <x v="1"/>
    <n v="185.74"/>
    <n v="277"/>
    <n v="6"/>
    <n v="19427.86"/>
    <n v="4"/>
    <n v="4"/>
    <n v="5"/>
    <s v="445"/>
    <x v="0"/>
  </r>
  <r>
    <x v="106"/>
    <d v="2025-07-21T09:00:07"/>
    <x v="5"/>
    <x v="6"/>
    <x v="2"/>
    <n v="1831.8"/>
    <n v="277"/>
    <n v="9"/>
    <n v="33349.999999999993"/>
    <n v="4"/>
    <n v="2"/>
    <n v="3"/>
    <s v="423"/>
    <x v="4"/>
  </r>
  <r>
    <x v="378"/>
    <d v="2025-07-21T09:00:07"/>
    <x v="9"/>
    <x v="5"/>
    <x v="2"/>
    <n v="4333"/>
    <n v="277"/>
    <n v="3"/>
    <n v="24687.369999999995"/>
    <n v="4"/>
    <n v="5"/>
    <n v="4"/>
    <s v="454"/>
    <x v="0"/>
  </r>
  <r>
    <x v="119"/>
    <d v="2025-07-22T09:00:07"/>
    <x v="9"/>
    <x v="2"/>
    <x v="2"/>
    <n v="4162.91"/>
    <n v="276"/>
    <n v="11"/>
    <n v="29238.53"/>
    <n v="4"/>
    <n v="1"/>
    <n v="4"/>
    <s v="414"/>
    <x v="4"/>
  </r>
  <r>
    <x v="23"/>
    <d v="2025-07-22T09:00:07"/>
    <x v="4"/>
    <x v="3"/>
    <x v="2"/>
    <n v="2569.33"/>
    <n v="276"/>
    <n v="11"/>
    <n v="44004.459999999992"/>
    <n v="4"/>
    <n v="1"/>
    <n v="2"/>
    <s v="412"/>
    <x v="4"/>
  </r>
  <r>
    <x v="268"/>
    <d v="2025-07-22T09:00:07"/>
    <x v="5"/>
    <x v="6"/>
    <x v="2"/>
    <n v="3526.67"/>
    <n v="276"/>
    <n v="8"/>
    <n v="22978.19"/>
    <n v="4"/>
    <n v="3"/>
    <n v="4"/>
    <s v="434"/>
    <x v="0"/>
  </r>
  <r>
    <x v="249"/>
    <d v="2025-07-22T09:00:07"/>
    <x v="8"/>
    <x v="2"/>
    <x v="2"/>
    <n v="3586.85"/>
    <n v="276"/>
    <n v="6"/>
    <n v="18264"/>
    <n v="4"/>
    <n v="4"/>
    <n v="5"/>
    <s v="445"/>
    <x v="0"/>
  </r>
  <r>
    <x v="373"/>
    <d v="2025-07-23T09:00:07"/>
    <x v="5"/>
    <x v="3"/>
    <x v="1"/>
    <n v="2579.38"/>
    <n v="275"/>
    <n v="7"/>
    <n v="28804.870000000003"/>
    <n v="4"/>
    <n v="4"/>
    <n v="4"/>
    <s v="444"/>
    <x v="0"/>
  </r>
  <r>
    <x v="94"/>
    <d v="2025-07-23T09:00:07"/>
    <x v="1"/>
    <x v="4"/>
    <x v="2"/>
    <n v="3887.68"/>
    <n v="275"/>
    <n v="13"/>
    <n v="56128.799999999996"/>
    <n v="4"/>
    <n v="1"/>
    <n v="1"/>
    <s v="411"/>
    <x v="4"/>
  </r>
  <r>
    <x v="125"/>
    <d v="2025-07-23T09:00:07"/>
    <x v="8"/>
    <x v="2"/>
    <x v="0"/>
    <n v="1173.73"/>
    <n v="275"/>
    <n v="9"/>
    <n v="33311.4"/>
    <n v="4"/>
    <n v="2"/>
    <n v="3"/>
    <s v="423"/>
    <x v="4"/>
  </r>
  <r>
    <x v="195"/>
    <d v="2025-07-23T09:00:07"/>
    <x v="6"/>
    <x v="6"/>
    <x v="0"/>
    <n v="9491.35"/>
    <n v="275"/>
    <n v="10"/>
    <n v="37984.589999999997"/>
    <n v="4"/>
    <n v="2"/>
    <n v="2"/>
    <s v="422"/>
    <x v="4"/>
  </r>
  <r>
    <x v="174"/>
    <d v="2025-07-23T09:00:07"/>
    <x v="9"/>
    <x v="5"/>
    <x v="1"/>
    <n v="4380.7700000000004"/>
    <n v="275"/>
    <n v="8"/>
    <n v="31568.060000000005"/>
    <n v="4"/>
    <n v="3"/>
    <n v="3"/>
    <s v="433"/>
    <x v="0"/>
  </r>
  <r>
    <x v="129"/>
    <d v="2025-07-24T09:00:07"/>
    <x v="8"/>
    <x v="0"/>
    <x v="2"/>
    <n v="1612.73"/>
    <n v="274"/>
    <n v="9"/>
    <n v="30288.86"/>
    <n v="4"/>
    <n v="2"/>
    <n v="3"/>
    <s v="423"/>
    <x v="4"/>
  </r>
  <r>
    <x v="58"/>
    <d v="2025-07-24T09:00:07"/>
    <x v="3"/>
    <x v="6"/>
    <x v="2"/>
    <n v="9647.2900000000009"/>
    <n v="274"/>
    <n v="9"/>
    <n v="47571.369999999995"/>
    <n v="4"/>
    <n v="2"/>
    <n v="1"/>
    <s v="421"/>
    <x v="4"/>
  </r>
  <r>
    <x v="199"/>
    <d v="2025-07-24T09:00:07"/>
    <x v="6"/>
    <x v="0"/>
    <x v="2"/>
    <n v="3780.88"/>
    <n v="274"/>
    <n v="13"/>
    <n v="40298.450000000004"/>
    <n v="4"/>
    <n v="1"/>
    <n v="2"/>
    <s v="412"/>
    <x v="4"/>
  </r>
  <r>
    <x v="3"/>
    <d v="2025-07-24T09:00:07"/>
    <x v="0"/>
    <x v="3"/>
    <x v="2"/>
    <n v="709.44"/>
    <n v="274"/>
    <n v="15"/>
    <n v="49637.999999999993"/>
    <n v="4"/>
    <n v="1"/>
    <n v="1"/>
    <s v="411"/>
    <x v="4"/>
  </r>
  <r>
    <x v="287"/>
    <d v="2025-07-24T09:00:07"/>
    <x v="4"/>
    <x v="4"/>
    <x v="2"/>
    <n v="1117.81"/>
    <n v="274"/>
    <n v="9"/>
    <n v="35759.83"/>
    <n v="4"/>
    <n v="2"/>
    <n v="3"/>
    <s v="423"/>
    <x v="4"/>
  </r>
  <r>
    <x v="125"/>
    <d v="2025-07-25T09:00:07"/>
    <x v="7"/>
    <x v="5"/>
    <x v="0"/>
    <n v="4376.3"/>
    <n v="273"/>
    <n v="9"/>
    <n v="33311.4"/>
    <n v="4"/>
    <n v="2"/>
    <n v="3"/>
    <s v="423"/>
    <x v="4"/>
  </r>
  <r>
    <x v="393"/>
    <d v="2025-07-25T09:00:07"/>
    <x v="8"/>
    <x v="3"/>
    <x v="2"/>
    <n v="2311.17"/>
    <n v="273"/>
    <n v="3"/>
    <n v="16888.900000000001"/>
    <n v="4"/>
    <n v="5"/>
    <n v="5"/>
    <s v="455"/>
    <x v="0"/>
  </r>
  <r>
    <x v="20"/>
    <d v="2025-07-25T09:00:07"/>
    <x v="5"/>
    <x v="4"/>
    <x v="1"/>
    <n v="3719.33"/>
    <n v="273"/>
    <n v="14"/>
    <n v="53433.220000000008"/>
    <n v="4"/>
    <n v="1"/>
    <n v="1"/>
    <s v="411"/>
    <x v="4"/>
  </r>
  <r>
    <x v="85"/>
    <d v="2025-07-25T09:00:07"/>
    <x v="5"/>
    <x v="4"/>
    <x v="1"/>
    <n v="2841.01"/>
    <n v="273"/>
    <n v="6"/>
    <n v="21226.689999999995"/>
    <n v="4"/>
    <n v="4"/>
    <n v="5"/>
    <s v="445"/>
    <x v="0"/>
  </r>
  <r>
    <x v="70"/>
    <d v="2025-07-26T09:00:07"/>
    <x v="5"/>
    <x v="3"/>
    <x v="0"/>
    <n v="1952.85"/>
    <n v="272"/>
    <n v="15"/>
    <n v="57217.139999999992"/>
    <n v="4"/>
    <n v="1"/>
    <n v="1"/>
    <s v="411"/>
    <x v="4"/>
  </r>
  <r>
    <x v="373"/>
    <d v="2025-07-26T09:00:07"/>
    <x v="8"/>
    <x v="5"/>
    <x v="2"/>
    <n v="7956.77"/>
    <n v="272"/>
    <n v="7"/>
    <n v="28804.870000000003"/>
    <n v="4"/>
    <n v="4"/>
    <n v="4"/>
    <s v="444"/>
    <x v="0"/>
  </r>
  <r>
    <x v="48"/>
    <d v="2025-07-26T09:00:07"/>
    <x v="9"/>
    <x v="1"/>
    <x v="2"/>
    <n v="5711.89"/>
    <n v="272"/>
    <n v="11"/>
    <n v="37863.899999999994"/>
    <n v="4"/>
    <n v="1"/>
    <n v="2"/>
    <s v="412"/>
    <x v="4"/>
  </r>
  <r>
    <x v="26"/>
    <d v="2025-07-26T09:00:07"/>
    <x v="7"/>
    <x v="5"/>
    <x v="2"/>
    <n v="378.07"/>
    <n v="272"/>
    <n v="6"/>
    <n v="22201.78"/>
    <n v="4"/>
    <n v="4"/>
    <n v="4"/>
    <s v="444"/>
    <x v="0"/>
  </r>
  <r>
    <x v="94"/>
    <d v="2025-07-27T09:00:07"/>
    <x v="6"/>
    <x v="6"/>
    <x v="1"/>
    <n v="2085.14"/>
    <n v="271"/>
    <n v="13"/>
    <n v="56128.799999999996"/>
    <n v="4"/>
    <n v="1"/>
    <n v="1"/>
    <s v="411"/>
    <x v="4"/>
  </r>
  <r>
    <x v="186"/>
    <d v="2025-07-27T09:00:07"/>
    <x v="5"/>
    <x v="3"/>
    <x v="1"/>
    <n v="3618.17"/>
    <n v="271"/>
    <n v="7"/>
    <n v="37438.960000000006"/>
    <n v="4"/>
    <n v="4"/>
    <n v="2"/>
    <s v="442"/>
    <x v="0"/>
  </r>
  <r>
    <x v="331"/>
    <d v="2025-07-27T09:00:07"/>
    <x v="2"/>
    <x v="0"/>
    <x v="1"/>
    <n v="4798.12"/>
    <n v="271"/>
    <n v="9"/>
    <n v="45883.96"/>
    <n v="4"/>
    <n v="2"/>
    <n v="1"/>
    <s v="421"/>
    <x v="4"/>
  </r>
  <r>
    <x v="304"/>
    <d v="2025-07-28T09:00:07"/>
    <x v="9"/>
    <x v="1"/>
    <x v="2"/>
    <n v="3123.05"/>
    <n v="270"/>
    <n v="9"/>
    <n v="27990.980000000003"/>
    <n v="4"/>
    <n v="2"/>
    <n v="4"/>
    <s v="424"/>
    <x v="4"/>
  </r>
  <r>
    <x v="127"/>
    <d v="2025-07-28T09:00:07"/>
    <x v="4"/>
    <x v="6"/>
    <x v="2"/>
    <n v="1256.69"/>
    <n v="270"/>
    <n v="5"/>
    <n v="28709.97"/>
    <n v="4"/>
    <n v="5"/>
    <n v="4"/>
    <s v="454"/>
    <x v="0"/>
  </r>
  <r>
    <x v="184"/>
    <d v="2025-07-29T09:00:07"/>
    <x v="9"/>
    <x v="6"/>
    <x v="1"/>
    <n v="6896.04"/>
    <n v="269"/>
    <n v="9"/>
    <n v="45498.270000000004"/>
    <n v="4"/>
    <n v="2"/>
    <n v="1"/>
    <s v="421"/>
    <x v="4"/>
  </r>
  <r>
    <x v="109"/>
    <d v="2025-07-29T09:00:07"/>
    <x v="7"/>
    <x v="4"/>
    <x v="2"/>
    <n v="275.81"/>
    <n v="269"/>
    <n v="7"/>
    <n v="39486.589999999997"/>
    <n v="4"/>
    <n v="4"/>
    <n v="2"/>
    <s v="442"/>
    <x v="0"/>
  </r>
  <r>
    <x v="274"/>
    <d v="2025-07-29T09:00:07"/>
    <x v="5"/>
    <x v="1"/>
    <x v="2"/>
    <n v="6328.4"/>
    <n v="269"/>
    <n v="11"/>
    <n v="73437.08"/>
    <n v="4"/>
    <n v="1"/>
    <n v="1"/>
    <s v="411"/>
    <x v="4"/>
  </r>
  <r>
    <x v="71"/>
    <d v="2025-07-30T09:00:07"/>
    <x v="7"/>
    <x v="0"/>
    <x v="2"/>
    <n v="6058.71"/>
    <n v="268"/>
    <n v="10"/>
    <n v="49420.710000000006"/>
    <n v="4"/>
    <n v="2"/>
    <n v="1"/>
    <s v="421"/>
    <x v="4"/>
  </r>
  <r>
    <x v="370"/>
    <d v="2025-07-31T09:00:07"/>
    <x v="1"/>
    <x v="4"/>
    <x v="2"/>
    <n v="10505.17"/>
    <n v="267"/>
    <n v="12"/>
    <n v="83986.299999999988"/>
    <n v="4"/>
    <n v="1"/>
    <n v="1"/>
    <s v="411"/>
    <x v="4"/>
  </r>
  <r>
    <x v="272"/>
    <d v="2025-07-31T09:00:07"/>
    <x v="7"/>
    <x v="6"/>
    <x v="1"/>
    <n v="5275.89"/>
    <n v="267"/>
    <n v="13"/>
    <n v="49471.75"/>
    <n v="4"/>
    <n v="1"/>
    <n v="1"/>
    <s v="411"/>
    <x v="4"/>
  </r>
  <r>
    <x v="40"/>
    <d v="2025-08-01T09:00:07"/>
    <x v="8"/>
    <x v="4"/>
    <x v="1"/>
    <n v="1161.1400000000001"/>
    <n v="266"/>
    <n v="7"/>
    <n v="17825.52"/>
    <n v="4"/>
    <n v="4"/>
    <n v="5"/>
    <s v="445"/>
    <x v="0"/>
  </r>
  <r>
    <x v="143"/>
    <d v="2025-08-01T09:00:07"/>
    <x v="8"/>
    <x v="3"/>
    <x v="1"/>
    <n v="616.21"/>
    <n v="266"/>
    <n v="11"/>
    <n v="43247.159999999996"/>
    <n v="4"/>
    <n v="1"/>
    <n v="2"/>
    <s v="412"/>
    <x v="4"/>
  </r>
  <r>
    <x v="177"/>
    <d v="2025-08-01T09:00:07"/>
    <x v="4"/>
    <x v="4"/>
    <x v="0"/>
    <n v="4584.1499999999996"/>
    <n v="266"/>
    <n v="11"/>
    <n v="45526.78"/>
    <n v="4"/>
    <n v="1"/>
    <n v="1"/>
    <s v="411"/>
    <x v="4"/>
  </r>
  <r>
    <x v="263"/>
    <d v="2025-08-01T09:00:07"/>
    <x v="1"/>
    <x v="1"/>
    <x v="1"/>
    <n v="2217.3000000000002"/>
    <n v="266"/>
    <n v="12"/>
    <n v="40797.409999999996"/>
    <n v="4"/>
    <n v="1"/>
    <n v="2"/>
    <s v="412"/>
    <x v="4"/>
  </r>
  <r>
    <x v="396"/>
    <d v="2025-08-01T09:00:07"/>
    <x v="0"/>
    <x v="3"/>
    <x v="0"/>
    <n v="1133.24"/>
    <n v="266"/>
    <n v="7"/>
    <n v="27876.53"/>
    <n v="4"/>
    <n v="4"/>
    <n v="4"/>
    <s v="444"/>
    <x v="0"/>
  </r>
  <r>
    <x v="369"/>
    <d v="2025-08-01T09:00:07"/>
    <x v="5"/>
    <x v="1"/>
    <x v="1"/>
    <n v="2283.7199999999998"/>
    <n v="266"/>
    <n v="3"/>
    <n v="10924.82"/>
    <n v="4"/>
    <n v="5"/>
    <n v="5"/>
    <s v="455"/>
    <x v="0"/>
  </r>
  <r>
    <x v="169"/>
    <d v="2025-08-02T09:00:07"/>
    <x v="4"/>
    <x v="4"/>
    <x v="1"/>
    <n v="485.28"/>
    <n v="265"/>
    <n v="10"/>
    <n v="28216.130000000005"/>
    <n v="4"/>
    <n v="2"/>
    <n v="4"/>
    <s v="424"/>
    <x v="4"/>
  </r>
  <r>
    <x v="221"/>
    <d v="2025-08-03T09:00:07"/>
    <x v="8"/>
    <x v="4"/>
    <x v="0"/>
    <n v="1564.66"/>
    <n v="264"/>
    <n v="9"/>
    <n v="32930.549999999996"/>
    <n v="4"/>
    <n v="2"/>
    <n v="3"/>
    <s v="423"/>
    <x v="4"/>
  </r>
  <r>
    <x v="73"/>
    <d v="2025-08-03T09:00:07"/>
    <x v="3"/>
    <x v="2"/>
    <x v="0"/>
    <n v="2314.12"/>
    <n v="264"/>
    <n v="6"/>
    <n v="20804.55"/>
    <n v="4"/>
    <n v="4"/>
    <n v="5"/>
    <s v="445"/>
    <x v="0"/>
  </r>
  <r>
    <x v="298"/>
    <d v="2025-08-04T09:00:07"/>
    <x v="9"/>
    <x v="0"/>
    <x v="0"/>
    <n v="1732.73"/>
    <n v="263"/>
    <n v="9"/>
    <n v="40942.560000000005"/>
    <n v="4"/>
    <n v="2"/>
    <n v="2"/>
    <s v="422"/>
    <x v="4"/>
  </r>
  <r>
    <x v="218"/>
    <d v="2025-08-04T09:00:07"/>
    <x v="1"/>
    <x v="5"/>
    <x v="0"/>
    <n v="8020.54"/>
    <n v="263"/>
    <n v="12"/>
    <n v="48008.159999999996"/>
    <n v="4"/>
    <n v="1"/>
    <n v="1"/>
    <s v="411"/>
    <x v="4"/>
  </r>
  <r>
    <x v="159"/>
    <d v="2025-08-04T09:00:07"/>
    <x v="0"/>
    <x v="6"/>
    <x v="0"/>
    <n v="600.79999999999995"/>
    <n v="263"/>
    <n v="9"/>
    <n v="38753.799999999988"/>
    <n v="4"/>
    <n v="2"/>
    <n v="2"/>
    <s v="422"/>
    <x v="4"/>
  </r>
  <r>
    <x v="167"/>
    <d v="2025-08-05T09:00:07"/>
    <x v="1"/>
    <x v="3"/>
    <x v="2"/>
    <n v="2763.01"/>
    <n v="262"/>
    <n v="4"/>
    <n v="7830.67"/>
    <n v="4"/>
    <n v="5"/>
    <n v="5"/>
    <s v="455"/>
    <x v="0"/>
  </r>
  <r>
    <x v="355"/>
    <d v="2025-08-05T09:00:07"/>
    <x v="5"/>
    <x v="6"/>
    <x v="1"/>
    <n v="3390.15"/>
    <n v="262"/>
    <n v="3"/>
    <n v="5573.4400000000005"/>
    <n v="4"/>
    <n v="5"/>
    <n v="5"/>
    <s v="455"/>
    <x v="0"/>
  </r>
  <r>
    <x v="232"/>
    <d v="2025-08-06T09:00:07"/>
    <x v="9"/>
    <x v="1"/>
    <x v="0"/>
    <n v="1698.67"/>
    <n v="261"/>
    <n v="12"/>
    <n v="42146.06"/>
    <n v="4"/>
    <n v="1"/>
    <n v="2"/>
    <s v="412"/>
    <x v="4"/>
  </r>
  <r>
    <x v="313"/>
    <d v="2025-08-07T09:00:07"/>
    <x v="2"/>
    <x v="2"/>
    <x v="2"/>
    <n v="2126.65"/>
    <n v="260"/>
    <n v="5"/>
    <n v="16350.6"/>
    <n v="4"/>
    <n v="5"/>
    <n v="5"/>
    <s v="455"/>
    <x v="0"/>
  </r>
  <r>
    <x v="174"/>
    <d v="2025-08-07T09:00:07"/>
    <x v="9"/>
    <x v="4"/>
    <x v="1"/>
    <n v="1939.27"/>
    <n v="260"/>
    <n v="8"/>
    <n v="31568.060000000005"/>
    <n v="4"/>
    <n v="3"/>
    <n v="3"/>
    <s v="433"/>
    <x v="0"/>
  </r>
  <r>
    <x v="222"/>
    <d v="2025-08-07T09:00:07"/>
    <x v="2"/>
    <x v="6"/>
    <x v="1"/>
    <n v="4376.84"/>
    <n v="260"/>
    <n v="9"/>
    <n v="34007.68"/>
    <n v="4"/>
    <n v="2"/>
    <n v="3"/>
    <s v="423"/>
    <x v="4"/>
  </r>
  <r>
    <x v="142"/>
    <d v="2025-08-07T09:00:07"/>
    <x v="5"/>
    <x v="6"/>
    <x v="1"/>
    <n v="3599.02"/>
    <n v="260"/>
    <n v="13"/>
    <n v="47658.630000000005"/>
    <n v="4"/>
    <n v="1"/>
    <n v="1"/>
    <s v="411"/>
    <x v="4"/>
  </r>
  <r>
    <x v="367"/>
    <d v="2025-08-07T09:00:07"/>
    <x v="7"/>
    <x v="3"/>
    <x v="2"/>
    <n v="9782.58"/>
    <n v="260"/>
    <n v="5"/>
    <n v="21621.77"/>
    <n v="4"/>
    <n v="5"/>
    <n v="5"/>
    <s v="455"/>
    <x v="0"/>
  </r>
  <r>
    <x v="166"/>
    <d v="2025-08-07T09:00:07"/>
    <x v="2"/>
    <x v="1"/>
    <x v="1"/>
    <n v="3480.43"/>
    <n v="260"/>
    <n v="7"/>
    <n v="28777.9"/>
    <n v="4"/>
    <n v="4"/>
    <n v="4"/>
    <s v="444"/>
    <x v="0"/>
  </r>
  <r>
    <x v="61"/>
    <d v="2025-08-07T09:00:07"/>
    <x v="8"/>
    <x v="4"/>
    <x v="2"/>
    <n v="8207.1299999999992"/>
    <n v="260"/>
    <n v="11"/>
    <n v="52771.959999999992"/>
    <n v="4"/>
    <n v="1"/>
    <n v="1"/>
    <s v="411"/>
    <x v="4"/>
  </r>
  <r>
    <x v="306"/>
    <d v="2025-08-07T09:00:07"/>
    <x v="4"/>
    <x v="1"/>
    <x v="2"/>
    <n v="1341.73"/>
    <n v="260"/>
    <n v="5"/>
    <n v="21260"/>
    <n v="4"/>
    <n v="5"/>
    <n v="5"/>
    <s v="455"/>
    <x v="0"/>
  </r>
  <r>
    <x v="341"/>
    <d v="2025-08-07T09:00:07"/>
    <x v="9"/>
    <x v="3"/>
    <x v="2"/>
    <n v="5730.52"/>
    <n v="260"/>
    <n v="11"/>
    <n v="59377.640000000014"/>
    <n v="4"/>
    <n v="1"/>
    <n v="1"/>
    <s v="411"/>
    <x v="4"/>
  </r>
  <r>
    <x v="150"/>
    <d v="2025-08-07T09:00:07"/>
    <x v="9"/>
    <x v="0"/>
    <x v="0"/>
    <n v="5953.35"/>
    <n v="260"/>
    <n v="7"/>
    <n v="24998.240000000005"/>
    <n v="4"/>
    <n v="4"/>
    <n v="4"/>
    <s v="444"/>
    <x v="0"/>
  </r>
  <r>
    <x v="255"/>
    <d v="2025-08-07T09:00:07"/>
    <x v="9"/>
    <x v="5"/>
    <x v="0"/>
    <n v="5754.17"/>
    <n v="260"/>
    <n v="8"/>
    <n v="31675.43"/>
    <n v="4"/>
    <n v="3"/>
    <n v="3"/>
    <s v="433"/>
    <x v="0"/>
  </r>
  <r>
    <x v="242"/>
    <d v="2025-08-08T09:00:07"/>
    <x v="4"/>
    <x v="5"/>
    <x v="0"/>
    <n v="560.79"/>
    <n v="259"/>
    <n v="7"/>
    <n v="32869.479999999996"/>
    <n v="4"/>
    <n v="4"/>
    <n v="3"/>
    <s v="443"/>
    <x v="0"/>
  </r>
  <r>
    <x v="340"/>
    <d v="2025-08-08T09:00:07"/>
    <x v="4"/>
    <x v="4"/>
    <x v="1"/>
    <n v="6502.63"/>
    <n v="259"/>
    <n v="7"/>
    <n v="36778.530000000006"/>
    <n v="4"/>
    <n v="4"/>
    <n v="3"/>
    <s v="443"/>
    <x v="0"/>
  </r>
  <r>
    <x v="284"/>
    <d v="2025-08-08T09:00:07"/>
    <x v="8"/>
    <x v="5"/>
    <x v="1"/>
    <n v="2430.36"/>
    <n v="259"/>
    <n v="7"/>
    <n v="24204.07"/>
    <n v="4"/>
    <n v="4"/>
    <n v="4"/>
    <s v="444"/>
    <x v="0"/>
  </r>
  <r>
    <x v="161"/>
    <d v="2025-08-09T09:00:07"/>
    <x v="7"/>
    <x v="6"/>
    <x v="2"/>
    <n v="4094.5"/>
    <n v="258"/>
    <n v="9"/>
    <n v="32548.37"/>
    <n v="4"/>
    <n v="2"/>
    <n v="3"/>
    <s v="423"/>
    <x v="4"/>
  </r>
  <r>
    <x v="199"/>
    <d v="2025-08-10T09:00:07"/>
    <x v="4"/>
    <x v="3"/>
    <x v="1"/>
    <n v="1634.88"/>
    <n v="257"/>
    <n v="13"/>
    <n v="40298.450000000004"/>
    <n v="4"/>
    <n v="1"/>
    <n v="2"/>
    <s v="412"/>
    <x v="4"/>
  </r>
  <r>
    <x v="10"/>
    <d v="2025-08-10T09:00:07"/>
    <x v="1"/>
    <x v="3"/>
    <x v="1"/>
    <n v="325.45999999999998"/>
    <n v="257"/>
    <n v="5"/>
    <n v="17477.019999999997"/>
    <n v="4"/>
    <n v="5"/>
    <n v="5"/>
    <s v="455"/>
    <x v="0"/>
  </r>
  <r>
    <x v="114"/>
    <d v="2025-08-10T09:00:07"/>
    <x v="6"/>
    <x v="1"/>
    <x v="0"/>
    <n v="2556.41"/>
    <n v="257"/>
    <n v="6"/>
    <n v="22984.870000000003"/>
    <n v="4"/>
    <n v="4"/>
    <n v="4"/>
    <s v="444"/>
    <x v="0"/>
  </r>
  <r>
    <x v="304"/>
    <d v="2025-08-10T09:00:07"/>
    <x v="6"/>
    <x v="6"/>
    <x v="2"/>
    <n v="2445.69"/>
    <n v="257"/>
    <n v="9"/>
    <n v="27990.980000000003"/>
    <n v="4"/>
    <n v="2"/>
    <n v="4"/>
    <s v="424"/>
    <x v="4"/>
  </r>
  <r>
    <x v="99"/>
    <d v="2025-08-10T09:00:07"/>
    <x v="2"/>
    <x v="4"/>
    <x v="0"/>
    <n v="3378.87"/>
    <n v="257"/>
    <n v="10"/>
    <n v="47973.33"/>
    <n v="4"/>
    <n v="2"/>
    <n v="1"/>
    <s v="421"/>
    <x v="4"/>
  </r>
  <r>
    <x v="237"/>
    <d v="2025-08-11T09:00:07"/>
    <x v="4"/>
    <x v="0"/>
    <x v="1"/>
    <n v="2938.08"/>
    <n v="256"/>
    <n v="8"/>
    <n v="35247.5"/>
    <n v="4"/>
    <n v="3"/>
    <n v="3"/>
    <s v="433"/>
    <x v="0"/>
  </r>
  <r>
    <x v="65"/>
    <d v="2025-08-11T09:00:07"/>
    <x v="1"/>
    <x v="2"/>
    <x v="2"/>
    <n v="5254.88"/>
    <n v="256"/>
    <n v="12"/>
    <n v="46195.360000000001"/>
    <n v="4"/>
    <n v="1"/>
    <n v="1"/>
    <s v="411"/>
    <x v="4"/>
  </r>
  <r>
    <x v="23"/>
    <d v="2025-08-12T09:00:07"/>
    <x v="3"/>
    <x v="4"/>
    <x v="1"/>
    <n v="4969.34"/>
    <n v="255"/>
    <n v="11"/>
    <n v="44004.459999999992"/>
    <n v="4"/>
    <n v="1"/>
    <n v="2"/>
    <s v="412"/>
    <x v="4"/>
  </r>
  <r>
    <x v="382"/>
    <d v="2025-08-12T09:00:07"/>
    <x v="3"/>
    <x v="0"/>
    <x v="2"/>
    <n v="1321.8"/>
    <n v="255"/>
    <n v="3"/>
    <n v="8934.2099999999991"/>
    <n v="4"/>
    <n v="5"/>
    <n v="5"/>
    <s v="455"/>
    <x v="0"/>
  </r>
  <r>
    <x v="56"/>
    <d v="2025-08-12T09:00:07"/>
    <x v="2"/>
    <x v="0"/>
    <x v="0"/>
    <n v="4750.76"/>
    <n v="255"/>
    <n v="12"/>
    <n v="38950.210000000006"/>
    <n v="4"/>
    <n v="1"/>
    <n v="2"/>
    <s v="412"/>
    <x v="4"/>
  </r>
  <r>
    <x v="182"/>
    <d v="2025-08-12T09:00:07"/>
    <x v="1"/>
    <x v="5"/>
    <x v="1"/>
    <n v="6302.11"/>
    <n v="255"/>
    <n v="13"/>
    <n v="49208.94"/>
    <n v="4"/>
    <n v="1"/>
    <n v="1"/>
    <s v="411"/>
    <x v="4"/>
  </r>
  <r>
    <x v="328"/>
    <d v="2025-08-12T09:00:07"/>
    <x v="6"/>
    <x v="6"/>
    <x v="2"/>
    <n v="5247.46"/>
    <n v="255"/>
    <n v="9"/>
    <n v="23905.670000000002"/>
    <n v="4"/>
    <n v="2"/>
    <n v="4"/>
    <s v="424"/>
    <x v="4"/>
  </r>
  <r>
    <x v="277"/>
    <d v="2025-08-13T09:00:07"/>
    <x v="4"/>
    <x v="1"/>
    <x v="2"/>
    <n v="6738.25"/>
    <n v="254"/>
    <n v="10"/>
    <n v="40760.559999999998"/>
    <n v="4"/>
    <n v="2"/>
    <n v="2"/>
    <s v="422"/>
    <x v="4"/>
  </r>
  <r>
    <x v="48"/>
    <d v="2025-08-13T09:00:07"/>
    <x v="4"/>
    <x v="4"/>
    <x v="1"/>
    <n v="6775.48"/>
    <n v="254"/>
    <n v="11"/>
    <n v="37863.899999999994"/>
    <n v="4"/>
    <n v="1"/>
    <n v="2"/>
    <s v="412"/>
    <x v="4"/>
  </r>
  <r>
    <x v="57"/>
    <d v="2025-08-13T09:00:07"/>
    <x v="4"/>
    <x v="5"/>
    <x v="2"/>
    <n v="6255.37"/>
    <n v="254"/>
    <n v="16"/>
    <n v="58237.360000000008"/>
    <n v="4"/>
    <n v="1"/>
    <n v="1"/>
    <s v="411"/>
    <x v="4"/>
  </r>
  <r>
    <x v="31"/>
    <d v="2025-08-13T09:00:07"/>
    <x v="5"/>
    <x v="2"/>
    <x v="1"/>
    <n v="5496.77"/>
    <n v="254"/>
    <n v="9"/>
    <n v="35330.950000000004"/>
    <n v="4"/>
    <n v="2"/>
    <n v="3"/>
    <s v="423"/>
    <x v="4"/>
  </r>
  <r>
    <x v="190"/>
    <d v="2025-08-14T09:00:07"/>
    <x v="5"/>
    <x v="1"/>
    <x v="2"/>
    <n v="5306.5"/>
    <n v="253"/>
    <n v="13"/>
    <n v="51409.87"/>
    <n v="4"/>
    <n v="1"/>
    <n v="1"/>
    <s v="411"/>
    <x v="4"/>
  </r>
  <r>
    <x v="286"/>
    <d v="2025-08-14T09:00:07"/>
    <x v="9"/>
    <x v="1"/>
    <x v="1"/>
    <n v="11701.36"/>
    <n v="253"/>
    <n v="14"/>
    <n v="60099.840000000004"/>
    <n v="4"/>
    <n v="1"/>
    <n v="1"/>
    <s v="411"/>
    <x v="4"/>
  </r>
  <r>
    <x v="110"/>
    <d v="2025-08-15T09:00:07"/>
    <x v="8"/>
    <x v="3"/>
    <x v="1"/>
    <n v="4761.78"/>
    <n v="252"/>
    <n v="9"/>
    <n v="40117.730000000003"/>
    <n v="4"/>
    <n v="2"/>
    <n v="2"/>
    <s v="422"/>
    <x v="4"/>
  </r>
  <r>
    <x v="327"/>
    <d v="2025-08-15T09:00:07"/>
    <x v="0"/>
    <x v="5"/>
    <x v="0"/>
    <n v="5396.61"/>
    <n v="252"/>
    <n v="5"/>
    <n v="22595.8"/>
    <n v="4"/>
    <n v="5"/>
    <n v="4"/>
    <s v="454"/>
    <x v="0"/>
  </r>
  <r>
    <x v="278"/>
    <d v="2025-08-15T09:00:07"/>
    <x v="2"/>
    <x v="0"/>
    <x v="0"/>
    <n v="2635.47"/>
    <n v="252"/>
    <n v="10"/>
    <n v="38069.94"/>
    <n v="4"/>
    <n v="2"/>
    <n v="2"/>
    <s v="422"/>
    <x v="4"/>
  </r>
  <r>
    <x v="274"/>
    <d v="2025-08-16T09:00:07"/>
    <x v="8"/>
    <x v="2"/>
    <x v="2"/>
    <n v="11969.05"/>
    <n v="251"/>
    <n v="11"/>
    <n v="73437.08"/>
    <n v="4"/>
    <n v="1"/>
    <n v="1"/>
    <s v="411"/>
    <x v="4"/>
  </r>
  <r>
    <x v="221"/>
    <d v="2025-08-16T09:00:07"/>
    <x v="5"/>
    <x v="3"/>
    <x v="2"/>
    <n v="2133.19"/>
    <n v="251"/>
    <n v="9"/>
    <n v="32930.549999999996"/>
    <n v="4"/>
    <n v="2"/>
    <n v="3"/>
    <s v="423"/>
    <x v="4"/>
  </r>
  <r>
    <x v="28"/>
    <d v="2025-08-16T09:00:07"/>
    <x v="5"/>
    <x v="1"/>
    <x v="0"/>
    <n v="9487.84"/>
    <n v="251"/>
    <n v="10"/>
    <n v="39472.789999999994"/>
    <n v="4"/>
    <n v="2"/>
    <n v="2"/>
    <s v="422"/>
    <x v="4"/>
  </r>
  <r>
    <x v="286"/>
    <d v="2025-08-16T09:00:07"/>
    <x v="8"/>
    <x v="6"/>
    <x v="0"/>
    <n v="2853.13"/>
    <n v="251"/>
    <n v="14"/>
    <n v="60099.840000000004"/>
    <n v="4"/>
    <n v="1"/>
    <n v="1"/>
    <s v="411"/>
    <x v="4"/>
  </r>
  <r>
    <x v="123"/>
    <d v="2025-08-16T09:00:07"/>
    <x v="6"/>
    <x v="1"/>
    <x v="0"/>
    <n v="1964.48"/>
    <n v="251"/>
    <n v="9"/>
    <n v="28813.449999999997"/>
    <n v="4"/>
    <n v="2"/>
    <n v="4"/>
    <s v="424"/>
    <x v="4"/>
  </r>
  <r>
    <x v="333"/>
    <d v="2025-08-16T09:00:07"/>
    <x v="6"/>
    <x v="5"/>
    <x v="2"/>
    <n v="3137.01"/>
    <n v="251"/>
    <n v="10"/>
    <n v="42023.55"/>
    <n v="4"/>
    <n v="2"/>
    <n v="2"/>
    <s v="422"/>
    <x v="4"/>
  </r>
  <r>
    <x v="13"/>
    <d v="2025-08-16T09:00:07"/>
    <x v="4"/>
    <x v="2"/>
    <x v="0"/>
    <n v="6362.4"/>
    <n v="251"/>
    <n v="7"/>
    <n v="26651.280000000002"/>
    <n v="4"/>
    <n v="4"/>
    <n v="4"/>
    <s v="444"/>
    <x v="0"/>
  </r>
  <r>
    <x v="307"/>
    <d v="2025-08-17T09:00:07"/>
    <x v="2"/>
    <x v="5"/>
    <x v="0"/>
    <n v="525.24"/>
    <n v="250"/>
    <n v="9"/>
    <n v="39434.269999999997"/>
    <n v="4"/>
    <n v="2"/>
    <n v="2"/>
    <s v="422"/>
    <x v="4"/>
  </r>
  <r>
    <x v="143"/>
    <d v="2025-08-17T09:00:07"/>
    <x v="4"/>
    <x v="5"/>
    <x v="2"/>
    <n v="2705.84"/>
    <n v="250"/>
    <n v="11"/>
    <n v="43247.159999999996"/>
    <n v="4"/>
    <n v="1"/>
    <n v="2"/>
    <s v="412"/>
    <x v="4"/>
  </r>
  <r>
    <x v="333"/>
    <d v="2025-08-17T09:00:07"/>
    <x v="8"/>
    <x v="5"/>
    <x v="1"/>
    <n v="4314.07"/>
    <n v="250"/>
    <n v="10"/>
    <n v="42023.55"/>
    <n v="4"/>
    <n v="2"/>
    <n v="2"/>
    <s v="422"/>
    <x v="4"/>
  </r>
  <r>
    <x v="335"/>
    <d v="2025-08-17T09:00:07"/>
    <x v="5"/>
    <x v="0"/>
    <x v="2"/>
    <n v="4072.37"/>
    <n v="250"/>
    <n v="5"/>
    <n v="21192.55"/>
    <n v="4"/>
    <n v="5"/>
    <n v="5"/>
    <s v="455"/>
    <x v="0"/>
  </r>
  <r>
    <x v="339"/>
    <d v="2025-08-17T09:00:07"/>
    <x v="9"/>
    <x v="6"/>
    <x v="2"/>
    <n v="7698.35"/>
    <n v="250"/>
    <n v="5"/>
    <n v="19731.25"/>
    <n v="4"/>
    <n v="5"/>
    <n v="5"/>
    <s v="455"/>
    <x v="0"/>
  </r>
  <r>
    <x v="287"/>
    <d v="2025-08-17T09:00:07"/>
    <x v="5"/>
    <x v="3"/>
    <x v="0"/>
    <n v="6014.41"/>
    <n v="250"/>
    <n v="9"/>
    <n v="35759.83"/>
    <n v="4"/>
    <n v="2"/>
    <n v="3"/>
    <s v="423"/>
    <x v="4"/>
  </r>
  <r>
    <x v="143"/>
    <d v="2025-08-17T09:00:07"/>
    <x v="7"/>
    <x v="6"/>
    <x v="2"/>
    <n v="4705.29"/>
    <n v="250"/>
    <n v="11"/>
    <n v="43247.159999999996"/>
    <n v="4"/>
    <n v="1"/>
    <n v="2"/>
    <s v="412"/>
    <x v="4"/>
  </r>
  <r>
    <x v="79"/>
    <d v="2025-08-18T09:00:07"/>
    <x v="6"/>
    <x v="2"/>
    <x v="0"/>
    <n v="1349.75"/>
    <n v="249"/>
    <n v="6"/>
    <n v="28898.239999999998"/>
    <n v="4"/>
    <n v="4"/>
    <n v="4"/>
    <s v="444"/>
    <x v="0"/>
  </r>
  <r>
    <x v="268"/>
    <d v="2025-08-18T09:00:07"/>
    <x v="0"/>
    <x v="0"/>
    <x v="2"/>
    <n v="3008.08"/>
    <n v="249"/>
    <n v="8"/>
    <n v="22978.19"/>
    <n v="4"/>
    <n v="3"/>
    <n v="4"/>
    <s v="434"/>
    <x v="0"/>
  </r>
  <r>
    <x v="323"/>
    <d v="2025-08-19T09:00:07"/>
    <x v="1"/>
    <x v="6"/>
    <x v="2"/>
    <n v="2841.3"/>
    <n v="248"/>
    <n v="6"/>
    <n v="15612.87"/>
    <n v="4"/>
    <n v="4"/>
    <n v="5"/>
    <s v="445"/>
    <x v="0"/>
  </r>
  <r>
    <x v="153"/>
    <d v="2025-08-19T09:00:07"/>
    <x v="5"/>
    <x v="4"/>
    <x v="2"/>
    <n v="1462.63"/>
    <n v="248"/>
    <n v="7"/>
    <n v="17672.689999999999"/>
    <n v="4"/>
    <n v="4"/>
    <n v="5"/>
    <s v="445"/>
    <x v="0"/>
  </r>
  <r>
    <x v="50"/>
    <d v="2025-08-19T09:00:07"/>
    <x v="6"/>
    <x v="0"/>
    <x v="0"/>
    <n v="6851.95"/>
    <n v="248"/>
    <n v="13"/>
    <n v="64175.24"/>
    <n v="4"/>
    <n v="1"/>
    <n v="1"/>
    <s v="411"/>
    <x v="4"/>
  </r>
  <r>
    <x v="373"/>
    <d v="2025-08-19T09:00:07"/>
    <x v="6"/>
    <x v="1"/>
    <x v="1"/>
    <n v="4012.66"/>
    <n v="248"/>
    <n v="7"/>
    <n v="28804.870000000003"/>
    <n v="4"/>
    <n v="4"/>
    <n v="4"/>
    <s v="444"/>
    <x v="0"/>
  </r>
  <r>
    <x v="192"/>
    <d v="2025-08-19T09:00:07"/>
    <x v="9"/>
    <x v="3"/>
    <x v="1"/>
    <n v="10485.59"/>
    <n v="248"/>
    <n v="12"/>
    <n v="45191.609999999993"/>
    <n v="4"/>
    <n v="1"/>
    <n v="1"/>
    <s v="411"/>
    <x v="4"/>
  </r>
  <r>
    <x v="88"/>
    <d v="2025-08-20T09:00:07"/>
    <x v="6"/>
    <x v="2"/>
    <x v="0"/>
    <n v="786.4"/>
    <n v="247"/>
    <n v="11"/>
    <n v="62566.770000000004"/>
    <n v="4"/>
    <n v="1"/>
    <n v="1"/>
    <s v="411"/>
    <x v="4"/>
  </r>
  <r>
    <x v="162"/>
    <d v="2025-08-20T09:00:07"/>
    <x v="2"/>
    <x v="4"/>
    <x v="2"/>
    <n v="1424.86"/>
    <n v="247"/>
    <n v="7"/>
    <n v="20657.780000000002"/>
    <n v="4"/>
    <n v="4"/>
    <n v="5"/>
    <s v="445"/>
    <x v="0"/>
  </r>
  <r>
    <x v="166"/>
    <d v="2025-08-21T09:00:07"/>
    <x v="6"/>
    <x v="6"/>
    <x v="2"/>
    <n v="7593.57"/>
    <n v="246"/>
    <n v="7"/>
    <n v="28777.9"/>
    <n v="4"/>
    <n v="4"/>
    <n v="4"/>
    <s v="444"/>
    <x v="0"/>
  </r>
  <r>
    <x v="215"/>
    <d v="2025-08-21T09:00:07"/>
    <x v="6"/>
    <x v="6"/>
    <x v="0"/>
    <n v="2202.08"/>
    <n v="246"/>
    <n v="6"/>
    <n v="19413.5"/>
    <n v="4"/>
    <n v="4"/>
    <n v="5"/>
    <s v="445"/>
    <x v="0"/>
  </r>
  <r>
    <x v="225"/>
    <d v="2025-08-21T09:00:07"/>
    <x v="5"/>
    <x v="6"/>
    <x v="2"/>
    <n v="6918.76"/>
    <n v="246"/>
    <n v="10"/>
    <n v="31217.780000000002"/>
    <n v="4"/>
    <n v="2"/>
    <n v="3"/>
    <s v="423"/>
    <x v="4"/>
  </r>
  <r>
    <x v="273"/>
    <d v="2025-08-21T09:00:07"/>
    <x v="4"/>
    <x v="0"/>
    <x v="2"/>
    <n v="1042.3599999999999"/>
    <n v="246"/>
    <n v="11"/>
    <n v="38976.650000000009"/>
    <n v="4"/>
    <n v="1"/>
    <n v="2"/>
    <s v="412"/>
    <x v="4"/>
  </r>
  <r>
    <x v="396"/>
    <d v="2025-08-21T09:00:07"/>
    <x v="9"/>
    <x v="4"/>
    <x v="1"/>
    <n v="5189.45"/>
    <n v="246"/>
    <n v="7"/>
    <n v="27876.53"/>
    <n v="4"/>
    <n v="4"/>
    <n v="4"/>
    <s v="444"/>
    <x v="0"/>
  </r>
  <r>
    <x v="253"/>
    <d v="2025-08-21T09:00:07"/>
    <x v="5"/>
    <x v="4"/>
    <x v="0"/>
    <n v="2142.13"/>
    <n v="246"/>
    <n v="8"/>
    <n v="35967.03"/>
    <n v="4"/>
    <n v="3"/>
    <n v="3"/>
    <s v="433"/>
    <x v="0"/>
  </r>
  <r>
    <x v="353"/>
    <d v="2025-08-21T09:00:07"/>
    <x v="2"/>
    <x v="2"/>
    <x v="0"/>
    <n v="6525.94"/>
    <n v="246"/>
    <n v="6"/>
    <n v="30683.43"/>
    <n v="4"/>
    <n v="4"/>
    <n v="3"/>
    <s v="443"/>
    <x v="0"/>
  </r>
  <r>
    <x v="115"/>
    <d v="2025-08-22T09:00:07"/>
    <x v="7"/>
    <x v="1"/>
    <x v="0"/>
    <n v="4894.49"/>
    <n v="245"/>
    <n v="7"/>
    <n v="28040.249999999996"/>
    <n v="4"/>
    <n v="4"/>
    <n v="4"/>
    <s v="444"/>
    <x v="0"/>
  </r>
  <r>
    <x v="377"/>
    <d v="2025-08-22T09:00:07"/>
    <x v="1"/>
    <x v="0"/>
    <x v="2"/>
    <n v="365.16"/>
    <n v="245"/>
    <n v="5"/>
    <n v="18834.370000000003"/>
    <n v="4"/>
    <n v="5"/>
    <n v="5"/>
    <s v="455"/>
    <x v="0"/>
  </r>
  <r>
    <x v="168"/>
    <d v="2025-08-22T09:00:07"/>
    <x v="7"/>
    <x v="3"/>
    <x v="1"/>
    <n v="3121.16"/>
    <n v="245"/>
    <n v="8"/>
    <n v="26119.000000000004"/>
    <n v="4"/>
    <n v="3"/>
    <n v="4"/>
    <s v="434"/>
    <x v="0"/>
  </r>
  <r>
    <x v="391"/>
    <d v="2025-08-22T09:00:07"/>
    <x v="8"/>
    <x v="0"/>
    <x v="1"/>
    <n v="5585.45"/>
    <n v="245"/>
    <n v="5"/>
    <n v="14717.050000000001"/>
    <n v="4"/>
    <n v="5"/>
    <n v="5"/>
    <s v="455"/>
    <x v="0"/>
  </r>
  <r>
    <x v="131"/>
    <d v="2025-08-22T09:00:07"/>
    <x v="9"/>
    <x v="2"/>
    <x v="2"/>
    <n v="6426.53"/>
    <n v="245"/>
    <n v="5"/>
    <n v="26657.089999999997"/>
    <n v="4"/>
    <n v="5"/>
    <n v="4"/>
    <s v="454"/>
    <x v="0"/>
  </r>
  <r>
    <x v="116"/>
    <d v="2025-08-23T09:00:07"/>
    <x v="6"/>
    <x v="4"/>
    <x v="0"/>
    <n v="6752.39"/>
    <n v="244"/>
    <n v="16"/>
    <n v="76962.720000000001"/>
    <n v="4"/>
    <n v="1"/>
    <n v="1"/>
    <s v="411"/>
    <x v="4"/>
  </r>
  <r>
    <x v="191"/>
    <d v="2025-08-23T09:00:07"/>
    <x v="7"/>
    <x v="5"/>
    <x v="2"/>
    <n v="4683.49"/>
    <n v="244"/>
    <n v="11"/>
    <n v="54143.32"/>
    <n v="4"/>
    <n v="1"/>
    <n v="1"/>
    <s v="411"/>
    <x v="4"/>
  </r>
  <r>
    <x v="251"/>
    <d v="2025-08-23T09:00:07"/>
    <x v="1"/>
    <x v="1"/>
    <x v="0"/>
    <n v="2766.91"/>
    <n v="244"/>
    <n v="4"/>
    <n v="18876.47"/>
    <n v="4"/>
    <n v="5"/>
    <n v="5"/>
    <s v="455"/>
    <x v="0"/>
  </r>
  <r>
    <x v="29"/>
    <d v="2025-08-24T09:00:07"/>
    <x v="0"/>
    <x v="5"/>
    <x v="2"/>
    <n v="1465.52"/>
    <n v="243"/>
    <n v="3"/>
    <n v="16434.620000000003"/>
    <n v="4"/>
    <n v="5"/>
    <n v="5"/>
    <s v="455"/>
    <x v="0"/>
  </r>
  <r>
    <x v="5"/>
    <d v="2025-08-24T09:00:07"/>
    <x v="8"/>
    <x v="4"/>
    <x v="1"/>
    <n v="6183.83"/>
    <n v="243"/>
    <n v="6"/>
    <n v="39626.31"/>
    <n v="4"/>
    <n v="4"/>
    <n v="2"/>
    <s v="442"/>
    <x v="0"/>
  </r>
  <r>
    <x v="219"/>
    <d v="2025-08-24T09:00:07"/>
    <x v="1"/>
    <x v="5"/>
    <x v="2"/>
    <n v="4482.09"/>
    <n v="243"/>
    <n v="9"/>
    <n v="35283.15"/>
    <n v="4"/>
    <n v="2"/>
    <n v="3"/>
    <s v="423"/>
    <x v="4"/>
  </r>
  <r>
    <x v="24"/>
    <d v="2025-08-24T09:00:07"/>
    <x v="1"/>
    <x v="0"/>
    <x v="0"/>
    <n v="3474.27"/>
    <n v="243"/>
    <n v="10"/>
    <n v="34623.81"/>
    <n v="4"/>
    <n v="2"/>
    <n v="3"/>
    <s v="423"/>
    <x v="4"/>
  </r>
  <r>
    <x v="232"/>
    <d v="2025-08-25T09:00:07"/>
    <x v="6"/>
    <x v="6"/>
    <x v="0"/>
    <n v="2058.4299999999998"/>
    <n v="242"/>
    <n v="12"/>
    <n v="42146.06"/>
    <n v="4"/>
    <n v="1"/>
    <n v="2"/>
    <s v="412"/>
    <x v="4"/>
  </r>
  <r>
    <x v="50"/>
    <d v="2025-08-25T09:00:07"/>
    <x v="1"/>
    <x v="1"/>
    <x v="1"/>
    <n v="2888.69"/>
    <n v="242"/>
    <n v="13"/>
    <n v="64175.24"/>
    <n v="4"/>
    <n v="1"/>
    <n v="1"/>
    <s v="411"/>
    <x v="4"/>
  </r>
  <r>
    <x v="165"/>
    <d v="2025-08-25T09:00:07"/>
    <x v="1"/>
    <x v="1"/>
    <x v="1"/>
    <n v="4284.63"/>
    <n v="242"/>
    <n v="9"/>
    <n v="33344.57"/>
    <n v="4"/>
    <n v="2"/>
    <n v="3"/>
    <s v="423"/>
    <x v="4"/>
  </r>
  <r>
    <x v="274"/>
    <d v="2025-08-25T09:00:07"/>
    <x v="1"/>
    <x v="2"/>
    <x v="1"/>
    <n v="4074.11"/>
    <n v="242"/>
    <n v="11"/>
    <n v="73437.08"/>
    <n v="4"/>
    <n v="1"/>
    <n v="1"/>
    <s v="411"/>
    <x v="4"/>
  </r>
  <r>
    <x v="196"/>
    <d v="2025-08-25T09:00:07"/>
    <x v="8"/>
    <x v="0"/>
    <x v="1"/>
    <n v="3669.72"/>
    <n v="242"/>
    <n v="10"/>
    <n v="44305.600000000006"/>
    <n v="4"/>
    <n v="2"/>
    <n v="2"/>
    <s v="422"/>
    <x v="4"/>
  </r>
  <r>
    <x v="339"/>
    <d v="2025-08-26T09:00:07"/>
    <x v="9"/>
    <x v="4"/>
    <x v="0"/>
    <n v="2983.68"/>
    <n v="241"/>
    <n v="5"/>
    <n v="19731.25"/>
    <n v="4"/>
    <n v="5"/>
    <n v="5"/>
    <s v="455"/>
    <x v="0"/>
  </r>
  <r>
    <x v="171"/>
    <d v="2025-08-26T09:00:07"/>
    <x v="3"/>
    <x v="6"/>
    <x v="1"/>
    <n v="4660.47"/>
    <n v="241"/>
    <n v="5"/>
    <n v="25493.58"/>
    <n v="4"/>
    <n v="5"/>
    <n v="4"/>
    <s v="454"/>
    <x v="0"/>
  </r>
  <r>
    <x v="102"/>
    <d v="2025-08-26T09:00:07"/>
    <x v="4"/>
    <x v="6"/>
    <x v="0"/>
    <n v="6094.52"/>
    <n v="241"/>
    <n v="6"/>
    <n v="40190.459999999992"/>
    <n v="4"/>
    <n v="4"/>
    <n v="2"/>
    <s v="442"/>
    <x v="0"/>
  </r>
  <r>
    <x v="43"/>
    <d v="2025-08-26T09:00:07"/>
    <x v="4"/>
    <x v="1"/>
    <x v="0"/>
    <n v="1695.34"/>
    <n v="241"/>
    <n v="11"/>
    <n v="39674.43"/>
    <n v="4"/>
    <n v="1"/>
    <n v="2"/>
    <s v="412"/>
    <x v="4"/>
  </r>
  <r>
    <x v="363"/>
    <d v="2025-08-26T09:00:07"/>
    <x v="6"/>
    <x v="6"/>
    <x v="2"/>
    <n v="3741.01"/>
    <n v="241"/>
    <n v="10"/>
    <n v="29994.030000000002"/>
    <n v="4"/>
    <n v="2"/>
    <n v="3"/>
    <s v="423"/>
    <x v="4"/>
  </r>
  <r>
    <x v="186"/>
    <d v="2025-08-26T09:00:07"/>
    <x v="8"/>
    <x v="3"/>
    <x v="0"/>
    <n v="5534.8"/>
    <n v="241"/>
    <n v="7"/>
    <n v="37438.960000000006"/>
    <n v="4"/>
    <n v="4"/>
    <n v="2"/>
    <s v="442"/>
    <x v="0"/>
  </r>
  <r>
    <x v="368"/>
    <d v="2025-08-26T09:00:07"/>
    <x v="2"/>
    <x v="6"/>
    <x v="0"/>
    <n v="4023.3"/>
    <n v="241"/>
    <n v="10"/>
    <n v="44572.97"/>
    <n v="4"/>
    <n v="2"/>
    <n v="2"/>
    <s v="422"/>
    <x v="4"/>
  </r>
  <r>
    <x v="371"/>
    <d v="2025-08-27T09:00:07"/>
    <x v="2"/>
    <x v="0"/>
    <x v="0"/>
    <n v="1648.54"/>
    <n v="240"/>
    <n v="5"/>
    <n v="18024.71"/>
    <n v="4"/>
    <n v="5"/>
    <n v="5"/>
    <s v="455"/>
    <x v="0"/>
  </r>
  <r>
    <x v="47"/>
    <d v="2025-08-27T09:00:07"/>
    <x v="0"/>
    <x v="6"/>
    <x v="0"/>
    <n v="6538.25"/>
    <n v="240"/>
    <n v="11"/>
    <n v="58842.799999999996"/>
    <n v="4"/>
    <n v="1"/>
    <n v="1"/>
    <s v="411"/>
    <x v="4"/>
  </r>
  <r>
    <x v="151"/>
    <d v="2025-08-27T09:00:07"/>
    <x v="7"/>
    <x v="5"/>
    <x v="2"/>
    <n v="2749.74"/>
    <n v="240"/>
    <n v="5"/>
    <n v="17550.75"/>
    <n v="4"/>
    <n v="5"/>
    <n v="5"/>
    <s v="455"/>
    <x v="0"/>
  </r>
  <r>
    <x v="260"/>
    <d v="2025-08-28T09:00:07"/>
    <x v="8"/>
    <x v="6"/>
    <x v="1"/>
    <n v="793.6"/>
    <n v="239"/>
    <n v="7"/>
    <n v="12366.910000000002"/>
    <n v="4"/>
    <n v="4"/>
    <n v="5"/>
    <s v="445"/>
    <x v="0"/>
  </r>
  <r>
    <x v="39"/>
    <d v="2025-08-28T09:00:07"/>
    <x v="1"/>
    <x v="6"/>
    <x v="1"/>
    <n v="7542.93"/>
    <n v="239"/>
    <n v="11"/>
    <n v="43110.84"/>
    <n v="4"/>
    <n v="1"/>
    <n v="2"/>
    <s v="412"/>
    <x v="4"/>
  </r>
  <r>
    <x v="330"/>
    <d v="2025-08-28T09:00:07"/>
    <x v="3"/>
    <x v="2"/>
    <x v="2"/>
    <n v="3294.92"/>
    <n v="239"/>
    <n v="9"/>
    <n v="39538.21"/>
    <n v="4"/>
    <n v="2"/>
    <n v="2"/>
    <s v="422"/>
    <x v="4"/>
  </r>
  <r>
    <x v="342"/>
    <d v="2025-08-28T09:00:07"/>
    <x v="0"/>
    <x v="2"/>
    <x v="1"/>
    <n v="674.95"/>
    <n v="239"/>
    <n v="6"/>
    <n v="19844.169999999998"/>
    <n v="4"/>
    <n v="4"/>
    <n v="5"/>
    <s v="445"/>
    <x v="0"/>
  </r>
  <r>
    <x v="191"/>
    <d v="2025-08-28T09:00:07"/>
    <x v="9"/>
    <x v="4"/>
    <x v="0"/>
    <n v="1168.21"/>
    <n v="239"/>
    <n v="11"/>
    <n v="54143.32"/>
    <n v="4"/>
    <n v="1"/>
    <n v="1"/>
    <s v="411"/>
    <x v="4"/>
  </r>
  <r>
    <x v="173"/>
    <d v="2025-08-29T09:00:07"/>
    <x v="5"/>
    <x v="0"/>
    <x v="1"/>
    <n v="3537.67"/>
    <n v="238"/>
    <n v="7"/>
    <n v="22005.660000000003"/>
    <n v="4"/>
    <n v="4"/>
    <n v="4"/>
    <s v="444"/>
    <x v="0"/>
  </r>
  <r>
    <x v="392"/>
    <d v="2025-08-29T09:00:07"/>
    <x v="8"/>
    <x v="1"/>
    <x v="0"/>
    <n v="2866.79"/>
    <n v="238"/>
    <n v="9"/>
    <n v="33344.589999999997"/>
    <n v="4"/>
    <n v="2"/>
    <n v="3"/>
    <s v="423"/>
    <x v="4"/>
  </r>
  <r>
    <x v="110"/>
    <d v="2025-08-29T09:00:07"/>
    <x v="4"/>
    <x v="2"/>
    <x v="1"/>
    <n v="9442.58"/>
    <n v="238"/>
    <n v="9"/>
    <n v="40117.730000000003"/>
    <n v="4"/>
    <n v="2"/>
    <n v="2"/>
    <s v="422"/>
    <x v="4"/>
  </r>
  <r>
    <x v="103"/>
    <d v="2025-08-30T09:00:07"/>
    <x v="7"/>
    <x v="3"/>
    <x v="0"/>
    <n v="342.56"/>
    <n v="237"/>
    <n v="15"/>
    <n v="55867.080000000016"/>
    <n v="4"/>
    <n v="1"/>
    <n v="1"/>
    <s v="411"/>
    <x v="4"/>
  </r>
  <r>
    <x v="9"/>
    <d v="2025-08-30T09:00:07"/>
    <x v="0"/>
    <x v="6"/>
    <x v="0"/>
    <n v="10161.84"/>
    <n v="237"/>
    <n v="10"/>
    <n v="67378.48000000001"/>
    <n v="4"/>
    <n v="2"/>
    <n v="1"/>
    <s v="421"/>
    <x v="4"/>
  </r>
  <r>
    <x v="76"/>
    <d v="2025-08-30T09:00:07"/>
    <x v="1"/>
    <x v="2"/>
    <x v="1"/>
    <n v="5717.96"/>
    <n v="237"/>
    <n v="11"/>
    <n v="39808.47"/>
    <n v="4"/>
    <n v="1"/>
    <n v="2"/>
    <s v="412"/>
    <x v="4"/>
  </r>
  <r>
    <x v="304"/>
    <d v="2025-08-30T09:00:07"/>
    <x v="0"/>
    <x v="4"/>
    <x v="1"/>
    <n v="4398.28"/>
    <n v="237"/>
    <n v="9"/>
    <n v="27990.980000000003"/>
    <n v="4"/>
    <n v="2"/>
    <n v="4"/>
    <s v="424"/>
    <x v="4"/>
  </r>
  <r>
    <x v="111"/>
    <d v="2025-08-30T09:00:07"/>
    <x v="5"/>
    <x v="0"/>
    <x v="1"/>
    <n v="7844.59"/>
    <n v="237"/>
    <n v="7"/>
    <n v="47955.99"/>
    <n v="4"/>
    <n v="4"/>
    <n v="1"/>
    <s v="441"/>
    <x v="0"/>
  </r>
  <r>
    <x v="131"/>
    <d v="2025-08-30T09:00:07"/>
    <x v="3"/>
    <x v="3"/>
    <x v="1"/>
    <n v="5467.46"/>
    <n v="237"/>
    <n v="5"/>
    <n v="26657.089999999997"/>
    <n v="4"/>
    <n v="5"/>
    <n v="4"/>
    <s v="454"/>
    <x v="0"/>
  </r>
  <r>
    <x v="329"/>
    <d v="2025-08-30T09:00:07"/>
    <x v="8"/>
    <x v="3"/>
    <x v="2"/>
    <n v="3119.83"/>
    <n v="237"/>
    <n v="8"/>
    <n v="29767.75"/>
    <n v="4"/>
    <n v="3"/>
    <n v="3"/>
    <s v="433"/>
    <x v="0"/>
  </r>
  <r>
    <x v="277"/>
    <d v="2025-08-30T09:00:07"/>
    <x v="4"/>
    <x v="0"/>
    <x v="2"/>
    <n v="6599.37"/>
    <n v="237"/>
    <n v="10"/>
    <n v="40760.559999999998"/>
    <n v="4"/>
    <n v="2"/>
    <n v="2"/>
    <s v="422"/>
    <x v="4"/>
  </r>
  <r>
    <x v="14"/>
    <d v="2025-08-30T09:00:07"/>
    <x v="7"/>
    <x v="1"/>
    <x v="1"/>
    <n v="2683.16"/>
    <n v="237"/>
    <n v="13"/>
    <n v="40219.18"/>
    <n v="4"/>
    <n v="1"/>
    <n v="2"/>
    <s v="412"/>
    <x v="4"/>
  </r>
  <r>
    <x v="259"/>
    <d v="2025-08-30T09:00:07"/>
    <x v="8"/>
    <x v="6"/>
    <x v="2"/>
    <n v="1359.66"/>
    <n v="237"/>
    <n v="10"/>
    <n v="33545.49"/>
    <n v="4"/>
    <n v="2"/>
    <n v="3"/>
    <s v="423"/>
    <x v="4"/>
  </r>
  <r>
    <x v="201"/>
    <d v="2025-08-31T09:00:07"/>
    <x v="0"/>
    <x v="2"/>
    <x v="0"/>
    <n v="5332.82"/>
    <n v="236"/>
    <n v="9"/>
    <n v="44812.989999999991"/>
    <n v="4"/>
    <n v="2"/>
    <n v="2"/>
    <s v="422"/>
    <x v="4"/>
  </r>
  <r>
    <x v="344"/>
    <d v="2025-08-31T09:00:07"/>
    <x v="1"/>
    <x v="1"/>
    <x v="1"/>
    <n v="4310.84"/>
    <n v="236"/>
    <n v="8"/>
    <n v="29788.7"/>
    <n v="4"/>
    <n v="3"/>
    <n v="3"/>
    <s v="433"/>
    <x v="0"/>
  </r>
  <r>
    <x v="36"/>
    <d v="2025-08-31T09:00:07"/>
    <x v="8"/>
    <x v="4"/>
    <x v="0"/>
    <n v="4227.18"/>
    <n v="236"/>
    <n v="12"/>
    <n v="44897.450000000004"/>
    <n v="4"/>
    <n v="1"/>
    <n v="1"/>
    <s v="411"/>
    <x v="4"/>
  </r>
  <r>
    <x v="360"/>
    <d v="2025-08-31T09:00:07"/>
    <x v="3"/>
    <x v="1"/>
    <x v="2"/>
    <n v="1506.19"/>
    <n v="236"/>
    <n v="3"/>
    <n v="11089.06"/>
    <n v="4"/>
    <n v="5"/>
    <n v="5"/>
    <s v="455"/>
    <x v="0"/>
  </r>
  <r>
    <x v="18"/>
    <d v="2025-08-31T09:00:07"/>
    <x v="9"/>
    <x v="5"/>
    <x v="2"/>
    <n v="1037.93"/>
    <n v="236"/>
    <n v="4"/>
    <n v="6987.52"/>
    <n v="4"/>
    <n v="5"/>
    <n v="5"/>
    <s v="455"/>
    <x v="0"/>
  </r>
  <r>
    <x v="305"/>
    <d v="2025-09-01T09:00:07"/>
    <x v="4"/>
    <x v="2"/>
    <x v="1"/>
    <n v="2871.9"/>
    <n v="235"/>
    <n v="7"/>
    <n v="31771.820000000003"/>
    <n v="4"/>
    <n v="4"/>
    <n v="3"/>
    <s v="443"/>
    <x v="0"/>
  </r>
  <r>
    <x v="201"/>
    <d v="2025-09-01T09:00:07"/>
    <x v="3"/>
    <x v="6"/>
    <x v="0"/>
    <n v="3945.56"/>
    <n v="235"/>
    <n v="9"/>
    <n v="44812.989999999991"/>
    <n v="4"/>
    <n v="2"/>
    <n v="2"/>
    <s v="422"/>
    <x v="4"/>
  </r>
  <r>
    <x v="134"/>
    <d v="2025-09-01T09:00:07"/>
    <x v="1"/>
    <x v="4"/>
    <x v="2"/>
    <n v="2803.19"/>
    <n v="235"/>
    <n v="6"/>
    <n v="15936.029999999999"/>
    <n v="4"/>
    <n v="4"/>
    <n v="5"/>
    <s v="445"/>
    <x v="0"/>
  </r>
  <r>
    <x v="240"/>
    <d v="2025-09-02T09:00:07"/>
    <x v="0"/>
    <x v="3"/>
    <x v="0"/>
    <n v="2832.47"/>
    <n v="234"/>
    <n v="10"/>
    <n v="27910.07"/>
    <n v="4"/>
    <n v="2"/>
    <n v="4"/>
    <s v="424"/>
    <x v="4"/>
  </r>
  <r>
    <x v="51"/>
    <d v="2025-09-02T09:00:07"/>
    <x v="1"/>
    <x v="4"/>
    <x v="0"/>
    <n v="2518.54"/>
    <n v="234"/>
    <n v="8"/>
    <n v="32019.260000000006"/>
    <n v="4"/>
    <n v="3"/>
    <n v="3"/>
    <s v="433"/>
    <x v="0"/>
  </r>
  <r>
    <x v="284"/>
    <d v="2025-09-03T09:00:07"/>
    <x v="7"/>
    <x v="5"/>
    <x v="0"/>
    <n v="361.51"/>
    <n v="233"/>
    <n v="7"/>
    <n v="24204.07"/>
    <n v="4"/>
    <n v="4"/>
    <n v="4"/>
    <s v="444"/>
    <x v="0"/>
  </r>
  <r>
    <x v="142"/>
    <d v="2025-09-04T09:00:07"/>
    <x v="4"/>
    <x v="5"/>
    <x v="1"/>
    <n v="4246.05"/>
    <n v="232"/>
    <n v="13"/>
    <n v="47658.630000000005"/>
    <n v="4"/>
    <n v="1"/>
    <n v="1"/>
    <s v="411"/>
    <x v="4"/>
  </r>
  <r>
    <x v="38"/>
    <d v="2025-09-04T09:00:07"/>
    <x v="2"/>
    <x v="4"/>
    <x v="0"/>
    <n v="5781.8"/>
    <n v="232"/>
    <n v="7"/>
    <n v="21298.79"/>
    <n v="4"/>
    <n v="4"/>
    <n v="5"/>
    <s v="445"/>
    <x v="0"/>
  </r>
  <r>
    <x v="362"/>
    <d v="2025-09-04T09:00:07"/>
    <x v="8"/>
    <x v="2"/>
    <x v="0"/>
    <n v="834.87"/>
    <n v="232"/>
    <n v="6"/>
    <n v="21995.52"/>
    <n v="4"/>
    <n v="4"/>
    <n v="4"/>
    <s v="444"/>
    <x v="0"/>
  </r>
  <r>
    <x v="310"/>
    <d v="2025-09-04T09:00:07"/>
    <x v="8"/>
    <x v="3"/>
    <x v="2"/>
    <n v="9421.2099999999991"/>
    <n v="232"/>
    <n v="8"/>
    <n v="43723.900000000009"/>
    <n v="4"/>
    <n v="3"/>
    <n v="2"/>
    <s v="432"/>
    <x v="0"/>
  </r>
  <r>
    <x v="158"/>
    <d v="2025-09-04T09:00:07"/>
    <x v="7"/>
    <x v="2"/>
    <x v="0"/>
    <n v="2201.41"/>
    <n v="232"/>
    <n v="9"/>
    <n v="36713.85"/>
    <n v="4"/>
    <n v="2"/>
    <n v="3"/>
    <s v="423"/>
    <x v="4"/>
  </r>
  <r>
    <x v="248"/>
    <d v="2025-09-04T09:00:07"/>
    <x v="9"/>
    <x v="3"/>
    <x v="1"/>
    <n v="5264"/>
    <n v="232"/>
    <n v="8"/>
    <n v="34167.589999999997"/>
    <n v="4"/>
    <n v="3"/>
    <n v="3"/>
    <s v="433"/>
    <x v="0"/>
  </r>
  <r>
    <x v="191"/>
    <d v="2025-09-04T09:00:07"/>
    <x v="3"/>
    <x v="4"/>
    <x v="0"/>
    <n v="3275.38"/>
    <n v="232"/>
    <n v="11"/>
    <n v="54143.32"/>
    <n v="4"/>
    <n v="1"/>
    <n v="1"/>
    <s v="411"/>
    <x v="4"/>
  </r>
  <r>
    <x v="221"/>
    <d v="2025-09-04T09:00:07"/>
    <x v="4"/>
    <x v="5"/>
    <x v="1"/>
    <n v="2798.84"/>
    <n v="232"/>
    <n v="9"/>
    <n v="32930.549999999996"/>
    <n v="4"/>
    <n v="2"/>
    <n v="3"/>
    <s v="423"/>
    <x v="4"/>
  </r>
  <r>
    <x v="338"/>
    <d v="2025-09-05T09:00:07"/>
    <x v="7"/>
    <x v="1"/>
    <x v="2"/>
    <n v="4168.4399999999996"/>
    <n v="231"/>
    <n v="6"/>
    <n v="19997.589999999997"/>
    <n v="4"/>
    <n v="4"/>
    <n v="5"/>
    <s v="445"/>
    <x v="0"/>
  </r>
  <r>
    <x v="22"/>
    <d v="2025-09-05T09:00:07"/>
    <x v="2"/>
    <x v="2"/>
    <x v="0"/>
    <n v="8166.49"/>
    <n v="231"/>
    <n v="5"/>
    <n v="20536.82"/>
    <n v="4"/>
    <n v="5"/>
    <n v="5"/>
    <s v="455"/>
    <x v="0"/>
  </r>
  <r>
    <x v="81"/>
    <d v="2025-09-05T09:00:07"/>
    <x v="1"/>
    <x v="3"/>
    <x v="0"/>
    <n v="2680.42"/>
    <n v="231"/>
    <n v="12"/>
    <n v="27185.14"/>
    <n v="4"/>
    <n v="1"/>
    <n v="4"/>
    <s v="414"/>
    <x v="4"/>
  </r>
  <r>
    <x v="242"/>
    <d v="2025-09-05T09:00:07"/>
    <x v="7"/>
    <x v="5"/>
    <x v="1"/>
    <n v="6839.57"/>
    <n v="231"/>
    <n v="7"/>
    <n v="32869.479999999996"/>
    <n v="4"/>
    <n v="4"/>
    <n v="3"/>
    <s v="443"/>
    <x v="0"/>
  </r>
  <r>
    <x v="126"/>
    <d v="2025-09-05T09:00:07"/>
    <x v="2"/>
    <x v="4"/>
    <x v="0"/>
    <n v="1627.54"/>
    <n v="231"/>
    <n v="11"/>
    <n v="46795.570000000007"/>
    <n v="4"/>
    <n v="1"/>
    <n v="1"/>
    <s v="411"/>
    <x v="4"/>
  </r>
  <r>
    <x v="397"/>
    <d v="2025-09-05T09:00:07"/>
    <x v="8"/>
    <x v="6"/>
    <x v="2"/>
    <n v="4761.37"/>
    <n v="231"/>
    <n v="1"/>
    <n v="4761.37"/>
    <n v="4"/>
    <n v="5"/>
    <n v="5"/>
    <s v="455"/>
    <x v="0"/>
  </r>
  <r>
    <x v="384"/>
    <d v="2025-09-06T09:00:07"/>
    <x v="2"/>
    <x v="0"/>
    <x v="2"/>
    <n v="1167.05"/>
    <n v="230"/>
    <n v="6"/>
    <n v="19427.86"/>
    <n v="4"/>
    <n v="4"/>
    <n v="5"/>
    <s v="445"/>
    <x v="0"/>
  </r>
  <r>
    <x v="61"/>
    <d v="2025-09-06T09:00:07"/>
    <x v="5"/>
    <x v="2"/>
    <x v="0"/>
    <n v="2054.7199999999998"/>
    <n v="230"/>
    <n v="11"/>
    <n v="52771.959999999992"/>
    <n v="4"/>
    <n v="1"/>
    <n v="1"/>
    <s v="411"/>
    <x v="4"/>
  </r>
  <r>
    <x v="189"/>
    <d v="2025-09-06T09:00:07"/>
    <x v="0"/>
    <x v="6"/>
    <x v="1"/>
    <n v="2795.77"/>
    <n v="230"/>
    <n v="11"/>
    <n v="45651.77"/>
    <n v="4"/>
    <n v="1"/>
    <n v="1"/>
    <s v="411"/>
    <x v="4"/>
  </r>
  <r>
    <x v="352"/>
    <d v="2025-09-07T09:00:07"/>
    <x v="4"/>
    <x v="2"/>
    <x v="0"/>
    <n v="3497.75"/>
    <n v="229"/>
    <n v="7"/>
    <n v="27438.3"/>
    <n v="4"/>
    <n v="4"/>
    <n v="4"/>
    <s v="444"/>
    <x v="0"/>
  </r>
  <r>
    <x v="388"/>
    <d v="2025-09-07T09:00:07"/>
    <x v="6"/>
    <x v="3"/>
    <x v="0"/>
    <n v="5234.6400000000003"/>
    <n v="229"/>
    <n v="3"/>
    <n v="12014.18"/>
    <n v="4"/>
    <n v="5"/>
    <n v="5"/>
    <s v="455"/>
    <x v="0"/>
  </r>
  <r>
    <x v="218"/>
    <d v="2025-09-08T09:00:07"/>
    <x v="7"/>
    <x v="3"/>
    <x v="1"/>
    <n v="2342.31"/>
    <n v="228"/>
    <n v="12"/>
    <n v="48008.159999999996"/>
    <n v="4"/>
    <n v="1"/>
    <n v="1"/>
    <s v="411"/>
    <x v="4"/>
  </r>
  <r>
    <x v="55"/>
    <d v="2025-09-08T09:00:07"/>
    <x v="7"/>
    <x v="0"/>
    <x v="0"/>
    <n v="1260.3499999999999"/>
    <n v="228"/>
    <n v="12"/>
    <n v="42930.969999999994"/>
    <n v="4"/>
    <n v="1"/>
    <n v="2"/>
    <s v="412"/>
    <x v="4"/>
  </r>
  <r>
    <x v="85"/>
    <d v="2025-09-08T09:00:07"/>
    <x v="7"/>
    <x v="4"/>
    <x v="1"/>
    <n v="4833.7299999999996"/>
    <n v="228"/>
    <n v="6"/>
    <n v="21226.689999999995"/>
    <n v="4"/>
    <n v="4"/>
    <n v="5"/>
    <s v="445"/>
    <x v="0"/>
  </r>
  <r>
    <x v="341"/>
    <d v="2025-09-08T09:00:07"/>
    <x v="2"/>
    <x v="6"/>
    <x v="1"/>
    <n v="1954.41"/>
    <n v="228"/>
    <n v="11"/>
    <n v="59377.640000000014"/>
    <n v="4"/>
    <n v="1"/>
    <n v="1"/>
    <s v="411"/>
    <x v="4"/>
  </r>
  <r>
    <x v="365"/>
    <d v="2025-09-09T09:00:07"/>
    <x v="9"/>
    <x v="5"/>
    <x v="2"/>
    <n v="2780.35"/>
    <n v="227"/>
    <n v="6"/>
    <n v="25394.229999999996"/>
    <n v="4"/>
    <n v="4"/>
    <n v="4"/>
    <s v="444"/>
    <x v="0"/>
  </r>
  <r>
    <x v="256"/>
    <d v="2025-09-09T09:00:07"/>
    <x v="2"/>
    <x v="0"/>
    <x v="1"/>
    <n v="2063.06"/>
    <n v="227"/>
    <n v="8"/>
    <n v="28559.850000000002"/>
    <n v="4"/>
    <n v="3"/>
    <n v="4"/>
    <s v="434"/>
    <x v="0"/>
  </r>
  <r>
    <x v="109"/>
    <d v="2025-09-09T09:00:07"/>
    <x v="2"/>
    <x v="4"/>
    <x v="1"/>
    <n v="7612.45"/>
    <n v="227"/>
    <n v="7"/>
    <n v="39486.589999999997"/>
    <n v="4"/>
    <n v="4"/>
    <n v="2"/>
    <s v="442"/>
    <x v="0"/>
  </r>
  <r>
    <x v="56"/>
    <d v="2025-09-09T09:00:07"/>
    <x v="9"/>
    <x v="0"/>
    <x v="1"/>
    <n v="728.26"/>
    <n v="227"/>
    <n v="12"/>
    <n v="38950.210000000006"/>
    <n v="4"/>
    <n v="1"/>
    <n v="2"/>
    <s v="412"/>
    <x v="4"/>
  </r>
  <r>
    <x v="318"/>
    <d v="2025-09-09T09:00:07"/>
    <x v="3"/>
    <x v="6"/>
    <x v="0"/>
    <n v="4075.82"/>
    <n v="227"/>
    <n v="11"/>
    <n v="30527.53"/>
    <n v="4"/>
    <n v="1"/>
    <n v="3"/>
    <s v="413"/>
    <x v="4"/>
  </r>
  <r>
    <x v="398"/>
    <d v="2025-09-09T09:00:07"/>
    <x v="1"/>
    <x v="5"/>
    <x v="1"/>
    <n v="1907.41"/>
    <n v="227"/>
    <n v="5"/>
    <n v="17355.699999999997"/>
    <n v="4"/>
    <n v="5"/>
    <n v="5"/>
    <s v="455"/>
    <x v="0"/>
  </r>
  <r>
    <x v="375"/>
    <d v="2025-09-09T09:00:07"/>
    <x v="5"/>
    <x v="6"/>
    <x v="2"/>
    <n v="2450.79"/>
    <n v="227"/>
    <n v="4"/>
    <n v="9551.7100000000009"/>
    <n v="4"/>
    <n v="5"/>
    <n v="5"/>
    <s v="455"/>
    <x v="0"/>
  </r>
  <r>
    <x v="179"/>
    <d v="2025-09-09T09:00:07"/>
    <x v="9"/>
    <x v="1"/>
    <x v="2"/>
    <n v="2311.21"/>
    <n v="227"/>
    <n v="4"/>
    <n v="12531.98"/>
    <n v="4"/>
    <n v="5"/>
    <n v="5"/>
    <s v="455"/>
    <x v="0"/>
  </r>
  <r>
    <x v="301"/>
    <d v="2025-09-10T09:00:07"/>
    <x v="2"/>
    <x v="3"/>
    <x v="0"/>
    <n v="3243.83"/>
    <n v="226"/>
    <n v="5"/>
    <n v="23179.78"/>
    <n v="4"/>
    <n v="5"/>
    <n v="4"/>
    <s v="454"/>
    <x v="0"/>
  </r>
  <r>
    <x v="376"/>
    <d v="2025-09-10T09:00:07"/>
    <x v="5"/>
    <x v="6"/>
    <x v="0"/>
    <n v="1746.86"/>
    <n v="226"/>
    <n v="8"/>
    <n v="28310.01"/>
    <n v="4"/>
    <n v="3"/>
    <n v="4"/>
    <s v="434"/>
    <x v="0"/>
  </r>
  <r>
    <x v="249"/>
    <d v="2025-09-10T09:00:07"/>
    <x v="4"/>
    <x v="1"/>
    <x v="0"/>
    <n v="3766.23"/>
    <n v="226"/>
    <n v="6"/>
    <n v="18264"/>
    <n v="4"/>
    <n v="4"/>
    <n v="5"/>
    <s v="445"/>
    <x v="0"/>
  </r>
  <r>
    <x v="158"/>
    <d v="2025-09-10T09:00:07"/>
    <x v="3"/>
    <x v="6"/>
    <x v="1"/>
    <n v="4634.91"/>
    <n v="226"/>
    <n v="9"/>
    <n v="36713.85"/>
    <n v="4"/>
    <n v="2"/>
    <n v="3"/>
    <s v="423"/>
    <x v="4"/>
  </r>
  <r>
    <x v="295"/>
    <d v="2025-09-10T09:00:07"/>
    <x v="6"/>
    <x v="4"/>
    <x v="2"/>
    <n v="747.31"/>
    <n v="226"/>
    <n v="9"/>
    <n v="26580.030000000002"/>
    <n v="4"/>
    <n v="2"/>
    <n v="4"/>
    <s v="424"/>
    <x v="4"/>
  </r>
  <r>
    <x v="74"/>
    <d v="2025-09-10T09:00:07"/>
    <x v="0"/>
    <x v="0"/>
    <x v="1"/>
    <n v="456.26"/>
    <n v="226"/>
    <n v="8"/>
    <n v="28309.71"/>
    <n v="4"/>
    <n v="3"/>
    <n v="4"/>
    <s v="434"/>
    <x v="0"/>
  </r>
  <r>
    <x v="340"/>
    <d v="2025-09-10T09:00:07"/>
    <x v="8"/>
    <x v="6"/>
    <x v="0"/>
    <n v="4703.6499999999996"/>
    <n v="226"/>
    <n v="7"/>
    <n v="36778.530000000006"/>
    <n v="4"/>
    <n v="4"/>
    <n v="3"/>
    <s v="443"/>
    <x v="0"/>
  </r>
  <r>
    <x v="112"/>
    <d v="2025-09-11T09:00:07"/>
    <x v="6"/>
    <x v="4"/>
    <x v="2"/>
    <n v="5473.91"/>
    <n v="225"/>
    <n v="7"/>
    <n v="25356.28"/>
    <n v="4"/>
    <n v="4"/>
    <n v="4"/>
    <s v="444"/>
    <x v="0"/>
  </r>
  <r>
    <x v="334"/>
    <d v="2025-09-11T09:00:07"/>
    <x v="1"/>
    <x v="5"/>
    <x v="2"/>
    <n v="3228.74"/>
    <n v="225"/>
    <n v="5"/>
    <n v="25162.19"/>
    <n v="4"/>
    <n v="5"/>
    <n v="4"/>
    <s v="454"/>
    <x v="0"/>
  </r>
  <r>
    <x v="381"/>
    <d v="2025-09-12T09:00:07"/>
    <x v="5"/>
    <x v="5"/>
    <x v="2"/>
    <n v="3018.49"/>
    <n v="224"/>
    <n v="4"/>
    <n v="16140.15"/>
    <n v="4"/>
    <n v="5"/>
    <n v="5"/>
    <s v="455"/>
    <x v="0"/>
  </r>
  <r>
    <x v="312"/>
    <d v="2025-09-12T09:00:07"/>
    <x v="5"/>
    <x v="3"/>
    <x v="0"/>
    <n v="4089.04"/>
    <n v="224"/>
    <n v="8"/>
    <n v="27291.54"/>
    <n v="4"/>
    <n v="3"/>
    <n v="4"/>
    <s v="434"/>
    <x v="0"/>
  </r>
  <r>
    <x v="255"/>
    <d v="2025-09-12T09:00:07"/>
    <x v="7"/>
    <x v="4"/>
    <x v="0"/>
    <n v="1343.93"/>
    <n v="224"/>
    <n v="8"/>
    <n v="31675.43"/>
    <n v="4"/>
    <n v="3"/>
    <n v="3"/>
    <s v="433"/>
    <x v="0"/>
  </r>
  <r>
    <x v="259"/>
    <d v="2025-09-12T09:00:07"/>
    <x v="9"/>
    <x v="2"/>
    <x v="2"/>
    <n v="3311.26"/>
    <n v="224"/>
    <n v="10"/>
    <n v="33545.49"/>
    <n v="4"/>
    <n v="2"/>
    <n v="3"/>
    <s v="423"/>
    <x v="4"/>
  </r>
  <r>
    <x v="32"/>
    <d v="2025-09-13T09:00:07"/>
    <x v="7"/>
    <x v="6"/>
    <x v="0"/>
    <n v="81.040000000000006"/>
    <n v="223"/>
    <n v="13"/>
    <n v="40402.14"/>
    <n v="4"/>
    <n v="1"/>
    <n v="2"/>
    <s v="412"/>
    <x v="4"/>
  </r>
  <r>
    <x v="197"/>
    <d v="2025-09-13T09:00:07"/>
    <x v="5"/>
    <x v="3"/>
    <x v="1"/>
    <n v="2787.04"/>
    <n v="223"/>
    <n v="7"/>
    <n v="27796.990000000005"/>
    <n v="4"/>
    <n v="4"/>
    <n v="4"/>
    <s v="444"/>
    <x v="0"/>
  </r>
  <r>
    <x v="165"/>
    <d v="2025-09-13T09:00:07"/>
    <x v="3"/>
    <x v="1"/>
    <x v="0"/>
    <n v="1662.44"/>
    <n v="223"/>
    <n v="9"/>
    <n v="33344.57"/>
    <n v="4"/>
    <n v="2"/>
    <n v="3"/>
    <s v="423"/>
    <x v="4"/>
  </r>
  <r>
    <x v="49"/>
    <d v="2025-09-13T09:00:07"/>
    <x v="1"/>
    <x v="6"/>
    <x v="0"/>
    <n v="3143.52"/>
    <n v="223"/>
    <n v="7"/>
    <n v="18132.900000000001"/>
    <n v="4"/>
    <n v="4"/>
    <n v="5"/>
    <s v="445"/>
    <x v="0"/>
  </r>
  <r>
    <x v="69"/>
    <d v="2025-09-13T09:00:07"/>
    <x v="5"/>
    <x v="4"/>
    <x v="1"/>
    <n v="4201.16"/>
    <n v="223"/>
    <n v="9"/>
    <n v="30242.800000000003"/>
    <n v="4"/>
    <n v="2"/>
    <n v="3"/>
    <s v="423"/>
    <x v="4"/>
  </r>
  <r>
    <x v="89"/>
    <d v="2025-09-14T09:00:07"/>
    <x v="3"/>
    <x v="2"/>
    <x v="0"/>
    <n v="10568.3"/>
    <n v="222"/>
    <n v="12"/>
    <n v="54905.279999999992"/>
    <n v="4"/>
    <n v="1"/>
    <n v="1"/>
    <s v="411"/>
    <x v="4"/>
  </r>
  <r>
    <x v="54"/>
    <d v="2025-09-14T09:00:07"/>
    <x v="5"/>
    <x v="4"/>
    <x v="2"/>
    <n v="1608.86"/>
    <n v="222"/>
    <n v="5"/>
    <n v="20723.400000000001"/>
    <n v="4"/>
    <n v="5"/>
    <n v="5"/>
    <s v="455"/>
    <x v="0"/>
  </r>
  <r>
    <x v="42"/>
    <d v="2025-09-14T09:00:07"/>
    <x v="0"/>
    <x v="0"/>
    <x v="1"/>
    <n v="11849.22"/>
    <n v="222"/>
    <n v="6"/>
    <n v="32030.929999999997"/>
    <n v="4"/>
    <n v="4"/>
    <n v="3"/>
    <s v="443"/>
    <x v="0"/>
  </r>
  <r>
    <x v="69"/>
    <d v="2025-09-14T09:00:07"/>
    <x v="2"/>
    <x v="0"/>
    <x v="1"/>
    <n v="1223.56"/>
    <n v="222"/>
    <n v="9"/>
    <n v="30242.800000000003"/>
    <n v="4"/>
    <n v="2"/>
    <n v="3"/>
    <s v="423"/>
    <x v="4"/>
  </r>
  <r>
    <x v="81"/>
    <d v="2025-09-14T09:00:07"/>
    <x v="6"/>
    <x v="5"/>
    <x v="0"/>
    <n v="3782.71"/>
    <n v="222"/>
    <n v="12"/>
    <n v="27185.14"/>
    <n v="4"/>
    <n v="1"/>
    <n v="4"/>
    <s v="414"/>
    <x v="4"/>
  </r>
  <r>
    <x v="118"/>
    <d v="2025-09-14T09:00:07"/>
    <x v="6"/>
    <x v="4"/>
    <x v="2"/>
    <n v="928.89"/>
    <n v="222"/>
    <n v="4"/>
    <n v="11604.15"/>
    <n v="4"/>
    <n v="5"/>
    <n v="5"/>
    <s v="455"/>
    <x v="0"/>
  </r>
  <r>
    <x v="97"/>
    <d v="2025-09-15T09:00:07"/>
    <x v="3"/>
    <x v="5"/>
    <x v="0"/>
    <n v="5265.14"/>
    <n v="221"/>
    <n v="7"/>
    <n v="20951.28"/>
    <n v="4"/>
    <n v="4"/>
    <n v="5"/>
    <s v="445"/>
    <x v="0"/>
  </r>
  <r>
    <x v="345"/>
    <d v="2025-09-16T09:00:07"/>
    <x v="7"/>
    <x v="5"/>
    <x v="1"/>
    <n v="2092.0500000000002"/>
    <n v="220"/>
    <n v="3"/>
    <n v="10896.380000000001"/>
    <n v="4"/>
    <n v="5"/>
    <n v="5"/>
    <s v="455"/>
    <x v="0"/>
  </r>
  <r>
    <x v="101"/>
    <d v="2025-09-16T09:00:07"/>
    <x v="8"/>
    <x v="6"/>
    <x v="0"/>
    <n v="11508.1"/>
    <n v="220"/>
    <n v="5"/>
    <n v="29381.64"/>
    <n v="4"/>
    <n v="5"/>
    <n v="4"/>
    <s v="454"/>
    <x v="0"/>
  </r>
  <r>
    <x v="374"/>
    <d v="2025-09-16T09:00:07"/>
    <x v="1"/>
    <x v="5"/>
    <x v="2"/>
    <n v="7276.43"/>
    <n v="220"/>
    <n v="3"/>
    <n v="12121.1"/>
    <n v="4"/>
    <n v="5"/>
    <n v="5"/>
    <s v="455"/>
    <x v="0"/>
  </r>
  <r>
    <x v="59"/>
    <d v="2025-09-16T09:00:07"/>
    <x v="6"/>
    <x v="2"/>
    <x v="1"/>
    <n v="9176.67"/>
    <n v="220"/>
    <n v="6"/>
    <n v="25651.410000000003"/>
    <n v="4"/>
    <n v="4"/>
    <n v="4"/>
    <s v="444"/>
    <x v="0"/>
  </r>
  <r>
    <x v="190"/>
    <d v="2025-09-16T09:00:07"/>
    <x v="0"/>
    <x v="3"/>
    <x v="0"/>
    <n v="2893.01"/>
    <n v="220"/>
    <n v="13"/>
    <n v="51409.87"/>
    <n v="4"/>
    <n v="1"/>
    <n v="1"/>
    <s v="411"/>
    <x v="4"/>
  </r>
  <r>
    <x v="75"/>
    <d v="2025-09-16T09:00:07"/>
    <x v="6"/>
    <x v="1"/>
    <x v="0"/>
    <n v="2602.7800000000002"/>
    <n v="220"/>
    <n v="9"/>
    <n v="37864.199999999997"/>
    <n v="4"/>
    <n v="2"/>
    <n v="2"/>
    <s v="422"/>
    <x v="4"/>
  </r>
  <r>
    <x v="78"/>
    <d v="2025-09-17T09:00:07"/>
    <x v="3"/>
    <x v="4"/>
    <x v="2"/>
    <n v="3139.65"/>
    <n v="219"/>
    <n v="10"/>
    <n v="34265.79"/>
    <n v="4"/>
    <n v="2"/>
    <n v="3"/>
    <s v="423"/>
    <x v="4"/>
  </r>
  <r>
    <x v="384"/>
    <d v="2025-09-17T09:00:07"/>
    <x v="0"/>
    <x v="4"/>
    <x v="1"/>
    <n v="4561.1499999999996"/>
    <n v="219"/>
    <n v="6"/>
    <n v="19427.86"/>
    <n v="4"/>
    <n v="4"/>
    <n v="5"/>
    <s v="445"/>
    <x v="0"/>
  </r>
  <r>
    <x v="236"/>
    <d v="2025-09-19T09:00:07"/>
    <x v="6"/>
    <x v="1"/>
    <x v="1"/>
    <n v="486.11"/>
    <n v="217"/>
    <n v="7"/>
    <n v="16120.029999999999"/>
    <n v="4"/>
    <n v="4"/>
    <n v="5"/>
    <s v="445"/>
    <x v="0"/>
  </r>
  <r>
    <x v="253"/>
    <d v="2025-09-19T09:00:07"/>
    <x v="9"/>
    <x v="6"/>
    <x v="0"/>
    <n v="5952.2"/>
    <n v="217"/>
    <n v="8"/>
    <n v="35967.03"/>
    <n v="4"/>
    <n v="3"/>
    <n v="3"/>
    <s v="433"/>
    <x v="0"/>
  </r>
  <r>
    <x v="150"/>
    <d v="2025-09-19T09:00:07"/>
    <x v="6"/>
    <x v="2"/>
    <x v="0"/>
    <n v="4653.2"/>
    <n v="217"/>
    <n v="7"/>
    <n v="24998.240000000005"/>
    <n v="4"/>
    <n v="4"/>
    <n v="4"/>
    <s v="444"/>
    <x v="0"/>
  </r>
  <r>
    <x v="130"/>
    <d v="2025-09-19T09:00:07"/>
    <x v="9"/>
    <x v="1"/>
    <x v="0"/>
    <n v="3157.28"/>
    <n v="217"/>
    <n v="8"/>
    <n v="35723.81"/>
    <n v="4"/>
    <n v="3"/>
    <n v="3"/>
    <s v="433"/>
    <x v="0"/>
  </r>
  <r>
    <x v="92"/>
    <d v="2025-09-19T09:00:07"/>
    <x v="8"/>
    <x v="5"/>
    <x v="1"/>
    <n v="1618.06"/>
    <n v="217"/>
    <n v="7"/>
    <n v="33778.21"/>
    <n v="4"/>
    <n v="4"/>
    <n v="3"/>
    <s v="443"/>
    <x v="0"/>
  </r>
  <r>
    <x v="287"/>
    <d v="2025-09-19T09:00:07"/>
    <x v="7"/>
    <x v="5"/>
    <x v="0"/>
    <n v="4458.92"/>
    <n v="217"/>
    <n v="9"/>
    <n v="35759.83"/>
    <n v="4"/>
    <n v="2"/>
    <n v="3"/>
    <s v="423"/>
    <x v="4"/>
  </r>
  <r>
    <x v="120"/>
    <d v="2025-09-19T09:00:07"/>
    <x v="6"/>
    <x v="1"/>
    <x v="2"/>
    <n v="2569.2600000000002"/>
    <n v="217"/>
    <n v="4"/>
    <n v="18725.21"/>
    <n v="4"/>
    <n v="5"/>
    <n v="5"/>
    <s v="455"/>
    <x v="0"/>
  </r>
  <r>
    <x v="101"/>
    <d v="2025-09-20T09:00:07"/>
    <x v="3"/>
    <x v="5"/>
    <x v="1"/>
    <n v="6283"/>
    <n v="216"/>
    <n v="5"/>
    <n v="29381.64"/>
    <n v="4"/>
    <n v="5"/>
    <n v="4"/>
    <s v="454"/>
    <x v="0"/>
  </r>
  <r>
    <x v="2"/>
    <d v="2025-09-20T09:00:07"/>
    <x v="7"/>
    <x v="0"/>
    <x v="2"/>
    <n v="537.11"/>
    <n v="216"/>
    <n v="10"/>
    <n v="32732.979999999996"/>
    <n v="4"/>
    <n v="2"/>
    <n v="3"/>
    <s v="423"/>
    <x v="4"/>
  </r>
  <r>
    <x v="232"/>
    <d v="2025-09-20T09:00:07"/>
    <x v="3"/>
    <x v="5"/>
    <x v="2"/>
    <n v="2516.1999999999998"/>
    <n v="216"/>
    <n v="12"/>
    <n v="42146.06"/>
    <n v="4"/>
    <n v="1"/>
    <n v="2"/>
    <s v="412"/>
    <x v="4"/>
  </r>
  <r>
    <x v="238"/>
    <d v="2025-09-20T09:00:07"/>
    <x v="0"/>
    <x v="3"/>
    <x v="0"/>
    <n v="836.08"/>
    <n v="216"/>
    <n v="5"/>
    <n v="17833.57"/>
    <n v="4"/>
    <n v="5"/>
    <n v="5"/>
    <s v="455"/>
    <x v="0"/>
  </r>
  <r>
    <x v="65"/>
    <d v="2025-09-21T09:00:07"/>
    <x v="5"/>
    <x v="3"/>
    <x v="1"/>
    <n v="8335.7900000000009"/>
    <n v="215"/>
    <n v="12"/>
    <n v="46195.360000000001"/>
    <n v="4"/>
    <n v="1"/>
    <n v="1"/>
    <s v="411"/>
    <x v="4"/>
  </r>
  <r>
    <x v="291"/>
    <d v="2025-09-21T09:00:07"/>
    <x v="6"/>
    <x v="1"/>
    <x v="2"/>
    <n v="1622.07"/>
    <n v="215"/>
    <n v="9"/>
    <n v="27888.809999999998"/>
    <n v="4"/>
    <n v="2"/>
    <n v="4"/>
    <s v="424"/>
    <x v="4"/>
  </r>
  <r>
    <x v="366"/>
    <d v="2025-09-21T09:00:07"/>
    <x v="4"/>
    <x v="1"/>
    <x v="1"/>
    <n v="2244.06"/>
    <n v="215"/>
    <n v="4"/>
    <n v="16880.16"/>
    <n v="4"/>
    <n v="5"/>
    <n v="5"/>
    <s v="455"/>
    <x v="0"/>
  </r>
  <r>
    <x v="48"/>
    <d v="2025-09-22T09:00:07"/>
    <x v="4"/>
    <x v="5"/>
    <x v="2"/>
    <n v="4490.1099999999997"/>
    <n v="214"/>
    <n v="11"/>
    <n v="37863.899999999994"/>
    <n v="4"/>
    <n v="1"/>
    <n v="2"/>
    <s v="412"/>
    <x v="4"/>
  </r>
  <r>
    <x v="289"/>
    <d v="2025-09-22T09:00:07"/>
    <x v="0"/>
    <x v="6"/>
    <x v="0"/>
    <n v="3886.67"/>
    <n v="214"/>
    <n v="6"/>
    <n v="29693.030000000002"/>
    <n v="4"/>
    <n v="4"/>
    <n v="3"/>
    <s v="443"/>
    <x v="0"/>
  </r>
  <r>
    <x v="392"/>
    <d v="2025-09-22T09:00:07"/>
    <x v="0"/>
    <x v="0"/>
    <x v="1"/>
    <n v="2003.16"/>
    <n v="214"/>
    <n v="9"/>
    <n v="33344.589999999997"/>
    <n v="4"/>
    <n v="2"/>
    <n v="3"/>
    <s v="423"/>
    <x v="4"/>
  </r>
  <r>
    <x v="392"/>
    <d v="2025-09-22T09:00:07"/>
    <x v="2"/>
    <x v="2"/>
    <x v="0"/>
    <n v="3699.03"/>
    <n v="214"/>
    <n v="9"/>
    <n v="33344.589999999997"/>
    <n v="4"/>
    <n v="2"/>
    <n v="3"/>
    <s v="423"/>
    <x v="4"/>
  </r>
  <r>
    <x v="36"/>
    <d v="2025-09-22T09:00:07"/>
    <x v="7"/>
    <x v="1"/>
    <x v="1"/>
    <n v="1145.72"/>
    <n v="214"/>
    <n v="12"/>
    <n v="44897.450000000004"/>
    <n v="4"/>
    <n v="1"/>
    <n v="1"/>
    <s v="411"/>
    <x v="4"/>
  </r>
  <r>
    <x v="19"/>
    <d v="2025-09-22T09:00:07"/>
    <x v="5"/>
    <x v="6"/>
    <x v="1"/>
    <n v="2229.5700000000002"/>
    <n v="214"/>
    <n v="5"/>
    <n v="15744.06"/>
    <n v="4"/>
    <n v="5"/>
    <n v="5"/>
    <s v="455"/>
    <x v="0"/>
  </r>
  <r>
    <x v="364"/>
    <d v="2025-09-23T09:00:07"/>
    <x v="6"/>
    <x v="3"/>
    <x v="0"/>
    <n v="702.23"/>
    <n v="213"/>
    <n v="5"/>
    <n v="21171.439999999999"/>
    <n v="4"/>
    <n v="5"/>
    <n v="5"/>
    <s v="455"/>
    <x v="0"/>
  </r>
  <r>
    <x v="104"/>
    <d v="2025-09-23T09:00:07"/>
    <x v="2"/>
    <x v="4"/>
    <x v="0"/>
    <n v="5366.04"/>
    <n v="213"/>
    <n v="9"/>
    <n v="42109.760000000002"/>
    <n v="4"/>
    <n v="2"/>
    <n v="2"/>
    <s v="422"/>
    <x v="4"/>
  </r>
  <r>
    <x v="151"/>
    <d v="2025-09-23T09:00:07"/>
    <x v="1"/>
    <x v="2"/>
    <x v="0"/>
    <n v="2799.92"/>
    <n v="213"/>
    <n v="5"/>
    <n v="17550.75"/>
    <n v="4"/>
    <n v="5"/>
    <n v="5"/>
    <s v="455"/>
    <x v="0"/>
  </r>
  <r>
    <x v="370"/>
    <d v="2025-09-24T09:00:07"/>
    <x v="1"/>
    <x v="5"/>
    <x v="0"/>
    <n v="12314.14"/>
    <n v="212"/>
    <n v="12"/>
    <n v="83986.299999999988"/>
    <n v="4"/>
    <n v="1"/>
    <n v="1"/>
    <s v="411"/>
    <x v="4"/>
  </r>
  <r>
    <x v="13"/>
    <d v="2025-09-24T09:00:07"/>
    <x v="6"/>
    <x v="6"/>
    <x v="2"/>
    <n v="3892.78"/>
    <n v="212"/>
    <n v="7"/>
    <n v="26651.280000000002"/>
    <n v="4"/>
    <n v="4"/>
    <n v="4"/>
    <s v="444"/>
    <x v="0"/>
  </r>
  <r>
    <x v="206"/>
    <d v="2025-09-24T09:00:07"/>
    <x v="2"/>
    <x v="0"/>
    <x v="2"/>
    <n v="1749.43"/>
    <n v="212"/>
    <n v="5"/>
    <n v="19562.71"/>
    <n v="4"/>
    <n v="5"/>
    <n v="5"/>
    <s v="455"/>
    <x v="0"/>
  </r>
  <r>
    <x v="25"/>
    <d v="2025-09-24T09:00:07"/>
    <x v="7"/>
    <x v="5"/>
    <x v="1"/>
    <n v="419.98"/>
    <n v="212"/>
    <n v="7"/>
    <n v="28511.58"/>
    <n v="4"/>
    <n v="4"/>
    <n v="4"/>
    <s v="444"/>
    <x v="0"/>
  </r>
  <r>
    <x v="325"/>
    <d v="2025-09-25T09:00:07"/>
    <x v="8"/>
    <x v="0"/>
    <x v="2"/>
    <n v="3814.14"/>
    <n v="211"/>
    <n v="5"/>
    <n v="14663.54"/>
    <n v="4"/>
    <n v="5"/>
    <n v="5"/>
    <s v="455"/>
    <x v="0"/>
  </r>
  <r>
    <x v="185"/>
    <d v="2025-09-25T09:00:07"/>
    <x v="7"/>
    <x v="3"/>
    <x v="0"/>
    <n v="4587.6400000000003"/>
    <n v="211"/>
    <n v="9"/>
    <n v="38767.17"/>
    <n v="4"/>
    <n v="2"/>
    <n v="2"/>
    <s v="422"/>
    <x v="4"/>
  </r>
  <r>
    <x v="14"/>
    <d v="2025-09-25T09:00:07"/>
    <x v="7"/>
    <x v="2"/>
    <x v="2"/>
    <n v="3596.04"/>
    <n v="211"/>
    <n v="13"/>
    <n v="40219.18"/>
    <n v="4"/>
    <n v="1"/>
    <n v="2"/>
    <s v="412"/>
    <x v="4"/>
  </r>
  <r>
    <x v="104"/>
    <d v="2025-09-25T09:00:07"/>
    <x v="9"/>
    <x v="0"/>
    <x v="2"/>
    <n v="1979.67"/>
    <n v="211"/>
    <n v="9"/>
    <n v="42109.760000000002"/>
    <n v="4"/>
    <n v="2"/>
    <n v="2"/>
    <s v="422"/>
    <x v="4"/>
  </r>
  <r>
    <x v="188"/>
    <d v="2025-09-25T09:00:07"/>
    <x v="0"/>
    <x v="4"/>
    <x v="1"/>
    <n v="2448.1"/>
    <n v="211"/>
    <n v="8"/>
    <n v="33838.019999999997"/>
    <n v="4"/>
    <n v="3"/>
    <n v="3"/>
    <s v="433"/>
    <x v="0"/>
  </r>
  <r>
    <x v="122"/>
    <d v="2025-09-25T09:00:07"/>
    <x v="2"/>
    <x v="1"/>
    <x v="0"/>
    <n v="1854.25"/>
    <n v="211"/>
    <n v="10"/>
    <n v="45537.319999999992"/>
    <n v="4"/>
    <n v="2"/>
    <n v="1"/>
    <s v="421"/>
    <x v="4"/>
  </r>
  <r>
    <x v="272"/>
    <d v="2025-09-25T09:00:07"/>
    <x v="2"/>
    <x v="0"/>
    <x v="1"/>
    <n v="805.86"/>
    <n v="211"/>
    <n v="13"/>
    <n v="49471.75"/>
    <n v="4"/>
    <n v="1"/>
    <n v="1"/>
    <s v="411"/>
    <x v="4"/>
  </r>
  <r>
    <x v="136"/>
    <d v="2025-09-26T09:00:07"/>
    <x v="0"/>
    <x v="5"/>
    <x v="2"/>
    <n v="1524.57"/>
    <n v="210"/>
    <n v="7"/>
    <n v="26629.329999999998"/>
    <n v="4"/>
    <n v="4"/>
    <n v="4"/>
    <s v="444"/>
    <x v="0"/>
  </r>
  <r>
    <x v="320"/>
    <d v="2025-09-28T09:00:07"/>
    <x v="9"/>
    <x v="4"/>
    <x v="2"/>
    <n v="4810.6499999999996"/>
    <n v="208"/>
    <n v="4"/>
    <n v="18485.12"/>
    <n v="4"/>
    <n v="5"/>
    <n v="5"/>
    <s v="455"/>
    <x v="0"/>
  </r>
  <r>
    <x v="49"/>
    <d v="2025-09-28T09:00:07"/>
    <x v="4"/>
    <x v="4"/>
    <x v="2"/>
    <n v="1905.89"/>
    <n v="208"/>
    <n v="7"/>
    <n v="18132.900000000001"/>
    <n v="4"/>
    <n v="4"/>
    <n v="5"/>
    <s v="445"/>
    <x v="0"/>
  </r>
  <r>
    <x v="164"/>
    <d v="2025-09-28T09:00:07"/>
    <x v="9"/>
    <x v="4"/>
    <x v="1"/>
    <n v="2149.52"/>
    <n v="208"/>
    <n v="6"/>
    <n v="17843.009999999998"/>
    <n v="4"/>
    <n v="4"/>
    <n v="5"/>
    <s v="445"/>
    <x v="0"/>
  </r>
  <r>
    <x v="99"/>
    <d v="2025-09-28T09:00:07"/>
    <x v="9"/>
    <x v="6"/>
    <x v="1"/>
    <n v="2070.8200000000002"/>
    <n v="208"/>
    <n v="10"/>
    <n v="47973.33"/>
    <n v="4"/>
    <n v="2"/>
    <n v="1"/>
    <s v="421"/>
    <x v="4"/>
  </r>
  <r>
    <x v="97"/>
    <d v="2025-09-29T09:00:07"/>
    <x v="2"/>
    <x v="1"/>
    <x v="1"/>
    <n v="3708.85"/>
    <n v="207"/>
    <n v="7"/>
    <n v="20951.28"/>
    <n v="4"/>
    <n v="4"/>
    <n v="5"/>
    <s v="445"/>
    <x v="0"/>
  </r>
  <r>
    <x v="16"/>
    <d v="2025-09-29T09:00:07"/>
    <x v="8"/>
    <x v="1"/>
    <x v="0"/>
    <n v="2336.48"/>
    <n v="207"/>
    <n v="6"/>
    <n v="26817.25"/>
    <n v="4"/>
    <n v="4"/>
    <n v="4"/>
    <s v="444"/>
    <x v="0"/>
  </r>
  <r>
    <x v="205"/>
    <d v="2025-09-30T09:00:07"/>
    <x v="3"/>
    <x v="4"/>
    <x v="1"/>
    <n v="2989.51"/>
    <n v="206"/>
    <n v="8"/>
    <n v="24691.75"/>
    <n v="4"/>
    <n v="3"/>
    <n v="4"/>
    <s v="434"/>
    <x v="0"/>
  </r>
  <r>
    <x v="254"/>
    <d v="2025-09-30T09:00:07"/>
    <x v="2"/>
    <x v="0"/>
    <x v="0"/>
    <n v="7722.19"/>
    <n v="206"/>
    <n v="5"/>
    <n v="24865.420000000002"/>
    <n v="4"/>
    <n v="5"/>
    <n v="4"/>
    <s v="454"/>
    <x v="0"/>
  </r>
  <r>
    <x v="277"/>
    <d v="2025-09-30T09:00:07"/>
    <x v="0"/>
    <x v="2"/>
    <x v="2"/>
    <n v="7301.73"/>
    <n v="206"/>
    <n v="10"/>
    <n v="40760.559999999998"/>
    <n v="4"/>
    <n v="2"/>
    <n v="2"/>
    <s v="422"/>
    <x v="4"/>
  </r>
  <r>
    <x v="267"/>
    <d v="2025-09-30T09:00:07"/>
    <x v="8"/>
    <x v="1"/>
    <x v="1"/>
    <n v="2280.4699999999998"/>
    <n v="206"/>
    <n v="8"/>
    <n v="37668.22"/>
    <n v="4"/>
    <n v="3"/>
    <n v="2"/>
    <s v="432"/>
    <x v="0"/>
  </r>
  <r>
    <x v="263"/>
    <d v="2025-09-30T09:00:07"/>
    <x v="5"/>
    <x v="0"/>
    <x v="1"/>
    <n v="2972.73"/>
    <n v="206"/>
    <n v="12"/>
    <n v="40797.409999999996"/>
    <n v="4"/>
    <n v="1"/>
    <n v="2"/>
    <s v="412"/>
    <x v="4"/>
  </r>
  <r>
    <x v="162"/>
    <d v="2025-10-01T09:00:07"/>
    <x v="3"/>
    <x v="3"/>
    <x v="1"/>
    <n v="2032.88"/>
    <n v="205"/>
    <n v="7"/>
    <n v="20657.780000000002"/>
    <n v="4"/>
    <n v="4"/>
    <n v="5"/>
    <s v="445"/>
    <x v="0"/>
  </r>
  <r>
    <x v="358"/>
    <d v="2025-10-01T09:00:07"/>
    <x v="5"/>
    <x v="1"/>
    <x v="2"/>
    <n v="4447.8500000000004"/>
    <n v="205"/>
    <n v="6"/>
    <n v="21369.009999999995"/>
    <n v="4"/>
    <n v="4"/>
    <n v="5"/>
    <s v="445"/>
    <x v="0"/>
  </r>
  <r>
    <x v="194"/>
    <d v="2025-10-01T09:00:07"/>
    <x v="9"/>
    <x v="6"/>
    <x v="2"/>
    <n v="1931.04"/>
    <n v="205"/>
    <n v="9"/>
    <n v="56095.37999999999"/>
    <n v="4"/>
    <n v="2"/>
    <n v="1"/>
    <s v="421"/>
    <x v="4"/>
  </r>
  <r>
    <x v="194"/>
    <d v="2025-10-02T09:00:07"/>
    <x v="5"/>
    <x v="6"/>
    <x v="2"/>
    <n v="16658.509999999998"/>
    <n v="204"/>
    <n v="9"/>
    <n v="56095.37999999999"/>
    <n v="4"/>
    <n v="2"/>
    <n v="1"/>
    <s v="421"/>
    <x v="4"/>
  </r>
  <r>
    <x v="235"/>
    <d v="2025-10-03T09:00:07"/>
    <x v="5"/>
    <x v="0"/>
    <x v="1"/>
    <n v="2384.63"/>
    <n v="203"/>
    <n v="8"/>
    <n v="29892.99"/>
    <n v="4"/>
    <n v="3"/>
    <n v="3"/>
    <s v="433"/>
    <x v="0"/>
  </r>
  <r>
    <x v="48"/>
    <d v="2025-10-03T09:00:07"/>
    <x v="1"/>
    <x v="5"/>
    <x v="2"/>
    <n v="2507.29"/>
    <n v="203"/>
    <n v="11"/>
    <n v="37863.899999999994"/>
    <n v="4"/>
    <n v="1"/>
    <n v="2"/>
    <s v="412"/>
    <x v="4"/>
  </r>
  <r>
    <x v="253"/>
    <d v="2025-10-03T09:00:07"/>
    <x v="3"/>
    <x v="4"/>
    <x v="2"/>
    <n v="5630.36"/>
    <n v="203"/>
    <n v="8"/>
    <n v="35967.03"/>
    <n v="4"/>
    <n v="3"/>
    <n v="3"/>
    <s v="433"/>
    <x v="0"/>
  </r>
  <r>
    <x v="169"/>
    <d v="2025-10-03T09:00:07"/>
    <x v="0"/>
    <x v="2"/>
    <x v="0"/>
    <n v="8573.9699999999993"/>
    <n v="203"/>
    <n v="10"/>
    <n v="28216.130000000005"/>
    <n v="4"/>
    <n v="2"/>
    <n v="4"/>
    <s v="424"/>
    <x v="4"/>
  </r>
  <r>
    <x v="33"/>
    <d v="2025-10-03T09:00:07"/>
    <x v="5"/>
    <x v="2"/>
    <x v="0"/>
    <n v="1051.1600000000001"/>
    <n v="203"/>
    <n v="10"/>
    <n v="34643.039999999994"/>
    <n v="4"/>
    <n v="2"/>
    <n v="3"/>
    <s v="423"/>
    <x v="4"/>
  </r>
  <r>
    <x v="228"/>
    <d v="2025-10-03T09:00:07"/>
    <x v="5"/>
    <x v="4"/>
    <x v="0"/>
    <n v="2008.12"/>
    <n v="203"/>
    <n v="6"/>
    <n v="17195.870000000003"/>
    <n v="4"/>
    <n v="4"/>
    <n v="5"/>
    <s v="445"/>
    <x v="0"/>
  </r>
  <r>
    <x v="370"/>
    <d v="2025-10-04T09:00:07"/>
    <x v="4"/>
    <x v="3"/>
    <x v="0"/>
    <n v="3457.42"/>
    <n v="202"/>
    <n v="12"/>
    <n v="83986.299999999988"/>
    <n v="4"/>
    <n v="1"/>
    <n v="1"/>
    <s v="411"/>
    <x v="4"/>
  </r>
  <r>
    <x v="208"/>
    <d v="2025-10-04T09:00:07"/>
    <x v="8"/>
    <x v="0"/>
    <x v="0"/>
    <n v="1373.98"/>
    <n v="202"/>
    <n v="8"/>
    <n v="27084.66"/>
    <n v="4"/>
    <n v="3"/>
    <n v="4"/>
    <s v="434"/>
    <x v="0"/>
  </r>
  <r>
    <x v="120"/>
    <d v="2025-10-04T09:00:07"/>
    <x v="6"/>
    <x v="1"/>
    <x v="2"/>
    <n v="9228.7900000000009"/>
    <n v="202"/>
    <n v="4"/>
    <n v="18725.21"/>
    <n v="4"/>
    <n v="5"/>
    <n v="5"/>
    <s v="455"/>
    <x v="0"/>
  </r>
  <r>
    <x v="383"/>
    <d v="2025-10-04T09:00:07"/>
    <x v="1"/>
    <x v="0"/>
    <x v="0"/>
    <n v="1237.3699999999999"/>
    <n v="202"/>
    <n v="4"/>
    <n v="6852.89"/>
    <n v="4"/>
    <n v="5"/>
    <n v="5"/>
    <s v="455"/>
    <x v="0"/>
  </r>
  <r>
    <x v="35"/>
    <d v="2025-10-04T09:00:07"/>
    <x v="3"/>
    <x v="2"/>
    <x v="1"/>
    <n v="7122.6"/>
    <n v="202"/>
    <n v="8"/>
    <n v="38894.44"/>
    <n v="4"/>
    <n v="3"/>
    <n v="2"/>
    <s v="432"/>
    <x v="0"/>
  </r>
  <r>
    <x v="322"/>
    <d v="2025-10-04T09:00:07"/>
    <x v="9"/>
    <x v="3"/>
    <x v="1"/>
    <n v="3649.4"/>
    <n v="202"/>
    <n v="10"/>
    <n v="36855.5"/>
    <n v="4"/>
    <n v="2"/>
    <n v="2"/>
    <s v="422"/>
    <x v="4"/>
  </r>
  <r>
    <x v="371"/>
    <d v="2025-10-05T09:00:07"/>
    <x v="5"/>
    <x v="4"/>
    <x v="2"/>
    <n v="5505.03"/>
    <n v="201"/>
    <n v="5"/>
    <n v="18024.71"/>
    <n v="4"/>
    <n v="5"/>
    <n v="5"/>
    <s v="455"/>
    <x v="0"/>
  </r>
  <r>
    <x v="16"/>
    <d v="2025-10-05T09:00:07"/>
    <x v="0"/>
    <x v="5"/>
    <x v="2"/>
    <n v="6119.33"/>
    <n v="201"/>
    <n v="6"/>
    <n v="26817.25"/>
    <n v="4"/>
    <n v="4"/>
    <n v="4"/>
    <s v="444"/>
    <x v="0"/>
  </r>
  <r>
    <x v="354"/>
    <d v="2025-10-05T09:00:07"/>
    <x v="8"/>
    <x v="1"/>
    <x v="2"/>
    <n v="2435.96"/>
    <n v="201"/>
    <n v="5"/>
    <n v="19401.64"/>
    <n v="4"/>
    <n v="5"/>
    <n v="5"/>
    <s v="455"/>
    <x v="0"/>
  </r>
  <r>
    <x v="286"/>
    <d v="2025-10-05T09:00:07"/>
    <x v="6"/>
    <x v="6"/>
    <x v="2"/>
    <n v="10860.64"/>
    <n v="201"/>
    <n v="14"/>
    <n v="60099.840000000004"/>
    <n v="4"/>
    <n v="1"/>
    <n v="1"/>
    <s v="411"/>
    <x v="4"/>
  </r>
  <r>
    <x v="353"/>
    <d v="2025-10-05T09:00:07"/>
    <x v="0"/>
    <x v="1"/>
    <x v="1"/>
    <n v="5784.21"/>
    <n v="201"/>
    <n v="6"/>
    <n v="30683.43"/>
    <n v="4"/>
    <n v="4"/>
    <n v="3"/>
    <s v="443"/>
    <x v="0"/>
  </r>
  <r>
    <x v="174"/>
    <d v="2025-10-06T09:00:07"/>
    <x v="0"/>
    <x v="5"/>
    <x v="0"/>
    <n v="9634.35"/>
    <n v="200"/>
    <n v="8"/>
    <n v="31568.060000000005"/>
    <n v="4"/>
    <n v="3"/>
    <n v="3"/>
    <s v="433"/>
    <x v="0"/>
  </r>
  <r>
    <x v="37"/>
    <d v="2025-10-07T09:00:07"/>
    <x v="6"/>
    <x v="1"/>
    <x v="0"/>
    <n v="2838.92"/>
    <n v="199"/>
    <n v="7"/>
    <n v="24825.78"/>
    <n v="4"/>
    <n v="4"/>
    <n v="4"/>
    <s v="444"/>
    <x v="0"/>
  </r>
  <r>
    <x v="262"/>
    <d v="2025-10-07T09:00:07"/>
    <x v="6"/>
    <x v="3"/>
    <x v="0"/>
    <n v="4755.62"/>
    <n v="199"/>
    <n v="7"/>
    <n v="20627.900000000001"/>
    <n v="4"/>
    <n v="4"/>
    <n v="5"/>
    <s v="445"/>
    <x v="0"/>
  </r>
  <r>
    <x v="135"/>
    <d v="2025-10-07T09:00:07"/>
    <x v="9"/>
    <x v="2"/>
    <x v="0"/>
    <n v="2019.19"/>
    <n v="199"/>
    <n v="9"/>
    <n v="34982.139999999992"/>
    <n v="4"/>
    <n v="2"/>
    <n v="3"/>
    <s v="423"/>
    <x v="4"/>
  </r>
  <r>
    <x v="188"/>
    <d v="2025-10-07T09:00:07"/>
    <x v="6"/>
    <x v="4"/>
    <x v="1"/>
    <n v="1312.04"/>
    <n v="199"/>
    <n v="8"/>
    <n v="33838.019999999997"/>
    <n v="4"/>
    <n v="3"/>
    <n v="3"/>
    <s v="433"/>
    <x v="0"/>
  </r>
  <r>
    <x v="187"/>
    <d v="2025-10-08T09:00:07"/>
    <x v="5"/>
    <x v="6"/>
    <x v="1"/>
    <n v="4870.3100000000004"/>
    <n v="198"/>
    <n v="9"/>
    <n v="31221.600000000002"/>
    <n v="4"/>
    <n v="2"/>
    <n v="3"/>
    <s v="423"/>
    <x v="4"/>
  </r>
  <r>
    <x v="282"/>
    <d v="2025-10-08T09:00:07"/>
    <x v="1"/>
    <x v="6"/>
    <x v="2"/>
    <n v="5822.65"/>
    <n v="198"/>
    <n v="7"/>
    <n v="25906.9"/>
    <n v="4"/>
    <n v="4"/>
    <n v="4"/>
    <s v="444"/>
    <x v="0"/>
  </r>
  <r>
    <x v="87"/>
    <d v="2025-10-08T09:00:07"/>
    <x v="9"/>
    <x v="4"/>
    <x v="1"/>
    <n v="4655.5600000000004"/>
    <n v="198"/>
    <n v="13"/>
    <n v="72511.88"/>
    <n v="4"/>
    <n v="1"/>
    <n v="1"/>
    <s v="411"/>
    <x v="4"/>
  </r>
  <r>
    <x v="83"/>
    <d v="2025-10-08T09:00:07"/>
    <x v="7"/>
    <x v="4"/>
    <x v="1"/>
    <n v="2811.13"/>
    <n v="198"/>
    <n v="7"/>
    <n v="21031.63"/>
    <n v="4"/>
    <n v="4"/>
    <n v="5"/>
    <s v="445"/>
    <x v="0"/>
  </r>
  <r>
    <x v="383"/>
    <d v="2025-10-08T09:00:07"/>
    <x v="0"/>
    <x v="0"/>
    <x v="0"/>
    <n v="3804.14"/>
    <n v="198"/>
    <n v="4"/>
    <n v="6852.89"/>
    <n v="4"/>
    <n v="5"/>
    <n v="5"/>
    <s v="455"/>
    <x v="0"/>
  </r>
  <r>
    <x v="346"/>
    <d v="2025-10-08T09:00:07"/>
    <x v="6"/>
    <x v="1"/>
    <x v="2"/>
    <n v="4961.18"/>
    <n v="198"/>
    <n v="8"/>
    <n v="30873.260000000002"/>
    <n v="4"/>
    <n v="3"/>
    <n v="3"/>
    <s v="433"/>
    <x v="0"/>
  </r>
  <r>
    <x v="189"/>
    <d v="2025-10-08T09:00:07"/>
    <x v="3"/>
    <x v="6"/>
    <x v="0"/>
    <n v="7865.24"/>
    <n v="198"/>
    <n v="11"/>
    <n v="45651.77"/>
    <n v="4"/>
    <n v="1"/>
    <n v="1"/>
    <s v="411"/>
    <x v="4"/>
  </r>
  <r>
    <x v="225"/>
    <d v="2025-10-08T09:00:07"/>
    <x v="1"/>
    <x v="1"/>
    <x v="1"/>
    <n v="1386.02"/>
    <n v="198"/>
    <n v="10"/>
    <n v="31217.780000000002"/>
    <n v="4"/>
    <n v="2"/>
    <n v="3"/>
    <s v="423"/>
    <x v="4"/>
  </r>
  <r>
    <x v="375"/>
    <d v="2025-10-09T09:00:07"/>
    <x v="6"/>
    <x v="5"/>
    <x v="0"/>
    <n v="1491.07"/>
    <n v="197"/>
    <n v="4"/>
    <n v="9551.7100000000009"/>
    <n v="4"/>
    <n v="5"/>
    <n v="5"/>
    <s v="455"/>
    <x v="0"/>
  </r>
  <r>
    <x v="157"/>
    <d v="2025-10-09T09:00:07"/>
    <x v="4"/>
    <x v="4"/>
    <x v="2"/>
    <n v="1011.77"/>
    <n v="197"/>
    <n v="7"/>
    <n v="24873.88"/>
    <n v="4"/>
    <n v="4"/>
    <n v="4"/>
    <s v="444"/>
    <x v="0"/>
  </r>
  <r>
    <x v="39"/>
    <d v="2025-10-09T09:00:07"/>
    <x v="2"/>
    <x v="3"/>
    <x v="2"/>
    <n v="4824.72"/>
    <n v="197"/>
    <n v="11"/>
    <n v="43110.84"/>
    <n v="4"/>
    <n v="1"/>
    <n v="2"/>
    <s v="412"/>
    <x v="4"/>
  </r>
  <r>
    <x v="23"/>
    <d v="2025-10-09T09:00:07"/>
    <x v="0"/>
    <x v="0"/>
    <x v="0"/>
    <n v="7969.79"/>
    <n v="197"/>
    <n v="11"/>
    <n v="44004.459999999992"/>
    <n v="4"/>
    <n v="1"/>
    <n v="2"/>
    <s v="412"/>
    <x v="4"/>
  </r>
  <r>
    <x v="293"/>
    <d v="2025-10-10T09:00:07"/>
    <x v="8"/>
    <x v="6"/>
    <x v="1"/>
    <n v="1796.04"/>
    <n v="196"/>
    <n v="8"/>
    <n v="27805.74"/>
    <n v="4"/>
    <n v="3"/>
    <n v="4"/>
    <s v="434"/>
    <x v="0"/>
  </r>
  <r>
    <x v="99"/>
    <d v="2025-10-10T09:00:07"/>
    <x v="0"/>
    <x v="4"/>
    <x v="2"/>
    <n v="7709.1"/>
    <n v="196"/>
    <n v="10"/>
    <n v="47973.33"/>
    <n v="4"/>
    <n v="2"/>
    <n v="1"/>
    <s v="421"/>
    <x v="4"/>
  </r>
  <r>
    <x v="286"/>
    <d v="2025-10-11T09:00:07"/>
    <x v="0"/>
    <x v="2"/>
    <x v="1"/>
    <n v="1339.94"/>
    <n v="195"/>
    <n v="14"/>
    <n v="60099.840000000004"/>
    <n v="4"/>
    <n v="1"/>
    <n v="1"/>
    <s v="411"/>
    <x v="4"/>
  </r>
  <r>
    <x v="360"/>
    <d v="2025-10-11T09:00:07"/>
    <x v="6"/>
    <x v="2"/>
    <x v="0"/>
    <n v="3567.66"/>
    <n v="195"/>
    <n v="3"/>
    <n v="11089.06"/>
    <n v="4"/>
    <n v="5"/>
    <n v="5"/>
    <s v="455"/>
    <x v="0"/>
  </r>
  <r>
    <x v="24"/>
    <d v="2025-10-11T09:00:07"/>
    <x v="7"/>
    <x v="0"/>
    <x v="1"/>
    <n v="1351.75"/>
    <n v="195"/>
    <n v="10"/>
    <n v="34623.81"/>
    <n v="4"/>
    <n v="2"/>
    <n v="3"/>
    <s v="423"/>
    <x v="4"/>
  </r>
  <r>
    <x v="103"/>
    <d v="2025-10-11T09:00:07"/>
    <x v="0"/>
    <x v="3"/>
    <x v="2"/>
    <n v="5155.68"/>
    <n v="195"/>
    <n v="15"/>
    <n v="55867.080000000016"/>
    <n v="4"/>
    <n v="1"/>
    <n v="1"/>
    <s v="411"/>
    <x v="4"/>
  </r>
  <r>
    <x v="38"/>
    <d v="2025-10-11T09:00:07"/>
    <x v="8"/>
    <x v="2"/>
    <x v="2"/>
    <n v="2537.5"/>
    <n v="195"/>
    <n v="7"/>
    <n v="21298.79"/>
    <n v="4"/>
    <n v="4"/>
    <n v="5"/>
    <s v="445"/>
    <x v="0"/>
  </r>
  <r>
    <x v="336"/>
    <d v="2025-10-12T09:00:07"/>
    <x v="8"/>
    <x v="2"/>
    <x v="1"/>
    <n v="3782"/>
    <n v="194"/>
    <n v="9"/>
    <n v="34808.1"/>
    <n v="4"/>
    <n v="2"/>
    <n v="3"/>
    <s v="423"/>
    <x v="4"/>
  </r>
  <r>
    <x v="314"/>
    <d v="2025-10-12T09:00:07"/>
    <x v="3"/>
    <x v="2"/>
    <x v="2"/>
    <n v="4629.29"/>
    <n v="194"/>
    <n v="6"/>
    <n v="22687.77"/>
    <n v="4"/>
    <n v="4"/>
    <n v="4"/>
    <s v="444"/>
    <x v="0"/>
  </r>
  <r>
    <x v="20"/>
    <d v="2025-10-12T09:00:07"/>
    <x v="5"/>
    <x v="4"/>
    <x v="1"/>
    <n v="1717.23"/>
    <n v="194"/>
    <n v="14"/>
    <n v="53433.220000000008"/>
    <n v="4"/>
    <n v="1"/>
    <n v="1"/>
    <s v="411"/>
    <x v="4"/>
  </r>
  <r>
    <x v="23"/>
    <d v="2025-10-12T09:00:07"/>
    <x v="5"/>
    <x v="5"/>
    <x v="2"/>
    <n v="1241.27"/>
    <n v="194"/>
    <n v="11"/>
    <n v="44004.459999999992"/>
    <n v="4"/>
    <n v="1"/>
    <n v="2"/>
    <s v="412"/>
    <x v="4"/>
  </r>
  <r>
    <x v="276"/>
    <d v="2025-10-12T09:00:07"/>
    <x v="3"/>
    <x v="2"/>
    <x v="0"/>
    <n v="7022.1"/>
    <n v="194"/>
    <n v="7"/>
    <n v="33899.22"/>
    <n v="4"/>
    <n v="4"/>
    <n v="3"/>
    <s v="443"/>
    <x v="0"/>
  </r>
  <r>
    <x v="20"/>
    <d v="2025-10-13T09:00:07"/>
    <x v="4"/>
    <x v="4"/>
    <x v="0"/>
    <n v="6696.37"/>
    <n v="193"/>
    <n v="14"/>
    <n v="53433.220000000008"/>
    <n v="4"/>
    <n v="1"/>
    <n v="1"/>
    <s v="411"/>
    <x v="4"/>
  </r>
  <r>
    <x v="328"/>
    <d v="2025-10-15T09:00:07"/>
    <x v="6"/>
    <x v="5"/>
    <x v="2"/>
    <n v="1764.25"/>
    <n v="191"/>
    <n v="9"/>
    <n v="23905.670000000002"/>
    <n v="4"/>
    <n v="2"/>
    <n v="4"/>
    <s v="424"/>
    <x v="4"/>
  </r>
  <r>
    <x v="218"/>
    <d v="2025-10-15T09:00:07"/>
    <x v="4"/>
    <x v="2"/>
    <x v="2"/>
    <n v="3295.52"/>
    <n v="191"/>
    <n v="12"/>
    <n v="48008.159999999996"/>
    <n v="4"/>
    <n v="1"/>
    <n v="1"/>
    <s v="411"/>
    <x v="4"/>
  </r>
  <r>
    <x v="241"/>
    <d v="2025-10-15T09:00:07"/>
    <x v="0"/>
    <x v="6"/>
    <x v="2"/>
    <n v="2818.44"/>
    <n v="191"/>
    <n v="12"/>
    <n v="43413.4"/>
    <n v="4"/>
    <n v="1"/>
    <n v="2"/>
    <s v="412"/>
    <x v="4"/>
  </r>
  <r>
    <x v="269"/>
    <d v="2025-10-15T09:00:07"/>
    <x v="5"/>
    <x v="6"/>
    <x v="2"/>
    <n v="5551.27"/>
    <n v="191"/>
    <n v="9"/>
    <n v="32843.11"/>
    <n v="4"/>
    <n v="2"/>
    <n v="3"/>
    <s v="423"/>
    <x v="4"/>
  </r>
  <r>
    <x v="65"/>
    <d v="2025-10-15T09:00:07"/>
    <x v="4"/>
    <x v="3"/>
    <x v="0"/>
    <n v="2693.99"/>
    <n v="191"/>
    <n v="12"/>
    <n v="46195.360000000001"/>
    <n v="4"/>
    <n v="1"/>
    <n v="1"/>
    <s v="411"/>
    <x v="4"/>
  </r>
  <r>
    <x v="40"/>
    <d v="2025-10-15T09:00:07"/>
    <x v="0"/>
    <x v="5"/>
    <x v="2"/>
    <n v="1816.64"/>
    <n v="191"/>
    <n v="7"/>
    <n v="17825.52"/>
    <n v="4"/>
    <n v="4"/>
    <n v="5"/>
    <s v="445"/>
    <x v="0"/>
  </r>
  <r>
    <x v="42"/>
    <d v="2025-10-15T09:00:07"/>
    <x v="7"/>
    <x v="3"/>
    <x v="2"/>
    <n v="5242.28"/>
    <n v="191"/>
    <n v="6"/>
    <n v="32030.929999999997"/>
    <n v="4"/>
    <n v="4"/>
    <n v="3"/>
    <s v="443"/>
    <x v="0"/>
  </r>
  <r>
    <x v="322"/>
    <d v="2025-10-15T09:00:07"/>
    <x v="6"/>
    <x v="3"/>
    <x v="1"/>
    <n v="8173.23"/>
    <n v="191"/>
    <n v="10"/>
    <n v="36855.5"/>
    <n v="4"/>
    <n v="2"/>
    <n v="2"/>
    <s v="422"/>
    <x v="4"/>
  </r>
  <r>
    <x v="198"/>
    <d v="2025-10-15T09:00:07"/>
    <x v="5"/>
    <x v="1"/>
    <x v="2"/>
    <n v="2160.15"/>
    <n v="191"/>
    <n v="9"/>
    <n v="30846.7"/>
    <n v="4"/>
    <n v="2"/>
    <n v="3"/>
    <s v="423"/>
    <x v="4"/>
  </r>
  <r>
    <x v="399"/>
    <d v="2025-10-16T09:00:07"/>
    <x v="2"/>
    <x v="2"/>
    <x v="1"/>
    <n v="3141.66"/>
    <n v="190"/>
    <n v="7"/>
    <n v="30282.260000000002"/>
    <n v="4"/>
    <n v="4"/>
    <n v="3"/>
    <s v="443"/>
    <x v="0"/>
  </r>
  <r>
    <x v="45"/>
    <d v="2025-10-16T09:00:07"/>
    <x v="9"/>
    <x v="6"/>
    <x v="1"/>
    <n v="10614.64"/>
    <n v="190"/>
    <n v="10"/>
    <n v="50122.659999999996"/>
    <n v="4"/>
    <n v="2"/>
    <n v="1"/>
    <s v="421"/>
    <x v="4"/>
  </r>
  <r>
    <x v="157"/>
    <d v="2025-10-16T09:00:07"/>
    <x v="7"/>
    <x v="3"/>
    <x v="2"/>
    <n v="1054.68"/>
    <n v="190"/>
    <n v="7"/>
    <n v="24873.88"/>
    <n v="4"/>
    <n v="4"/>
    <n v="4"/>
    <s v="444"/>
    <x v="0"/>
  </r>
  <r>
    <x v="147"/>
    <d v="2025-10-16T09:00:07"/>
    <x v="2"/>
    <x v="3"/>
    <x v="2"/>
    <n v="3967.59"/>
    <n v="190"/>
    <n v="8"/>
    <n v="21286.739999999998"/>
    <n v="4"/>
    <n v="3"/>
    <n v="5"/>
    <s v="435"/>
    <x v="0"/>
  </r>
  <r>
    <x v="246"/>
    <d v="2025-10-17T09:00:07"/>
    <x v="7"/>
    <x v="2"/>
    <x v="2"/>
    <n v="5745.31"/>
    <n v="189"/>
    <n v="10"/>
    <n v="30897.65"/>
    <n v="4"/>
    <n v="2"/>
    <n v="3"/>
    <s v="423"/>
    <x v="4"/>
  </r>
  <r>
    <x v="284"/>
    <d v="2025-10-17T09:00:07"/>
    <x v="4"/>
    <x v="0"/>
    <x v="2"/>
    <n v="4394.57"/>
    <n v="189"/>
    <n v="7"/>
    <n v="24204.07"/>
    <n v="4"/>
    <n v="4"/>
    <n v="4"/>
    <s v="444"/>
    <x v="0"/>
  </r>
  <r>
    <x v="244"/>
    <d v="2025-10-17T09:00:07"/>
    <x v="7"/>
    <x v="3"/>
    <x v="2"/>
    <n v="5100.62"/>
    <n v="189"/>
    <n v="8"/>
    <n v="33012.819999999992"/>
    <n v="4"/>
    <n v="3"/>
    <n v="3"/>
    <s v="433"/>
    <x v="0"/>
  </r>
  <r>
    <x v="213"/>
    <d v="2025-10-17T09:00:07"/>
    <x v="1"/>
    <x v="0"/>
    <x v="0"/>
    <n v="3503.18"/>
    <n v="189"/>
    <n v="12"/>
    <n v="36909.899999999994"/>
    <n v="4"/>
    <n v="1"/>
    <n v="2"/>
    <s v="412"/>
    <x v="4"/>
  </r>
  <r>
    <x v="182"/>
    <d v="2025-10-17T09:00:07"/>
    <x v="4"/>
    <x v="2"/>
    <x v="0"/>
    <n v="7084.85"/>
    <n v="189"/>
    <n v="13"/>
    <n v="49208.94"/>
    <n v="4"/>
    <n v="1"/>
    <n v="1"/>
    <s v="411"/>
    <x v="4"/>
  </r>
  <r>
    <x v="364"/>
    <d v="2025-10-17T09:00:07"/>
    <x v="8"/>
    <x v="4"/>
    <x v="1"/>
    <n v="6405.12"/>
    <n v="189"/>
    <n v="5"/>
    <n v="21171.439999999999"/>
    <n v="4"/>
    <n v="5"/>
    <n v="5"/>
    <s v="455"/>
    <x v="0"/>
  </r>
  <r>
    <x v="204"/>
    <d v="2025-10-18T09:00:07"/>
    <x v="1"/>
    <x v="1"/>
    <x v="2"/>
    <n v="2577.11"/>
    <n v="188"/>
    <n v="9"/>
    <n v="36233.340000000004"/>
    <n v="4"/>
    <n v="2"/>
    <n v="3"/>
    <s v="423"/>
    <x v="4"/>
  </r>
  <r>
    <x v="291"/>
    <d v="2025-10-18T09:00:07"/>
    <x v="6"/>
    <x v="3"/>
    <x v="1"/>
    <n v="3255.49"/>
    <n v="188"/>
    <n v="9"/>
    <n v="27888.809999999998"/>
    <n v="4"/>
    <n v="2"/>
    <n v="4"/>
    <s v="424"/>
    <x v="4"/>
  </r>
  <r>
    <x v="14"/>
    <d v="2025-10-19T09:00:07"/>
    <x v="6"/>
    <x v="2"/>
    <x v="0"/>
    <n v="4782.8500000000004"/>
    <n v="187"/>
    <n v="13"/>
    <n v="40219.18"/>
    <n v="4"/>
    <n v="1"/>
    <n v="2"/>
    <s v="412"/>
    <x v="4"/>
  </r>
  <r>
    <x v="290"/>
    <d v="2025-10-19T09:00:07"/>
    <x v="4"/>
    <x v="5"/>
    <x v="0"/>
    <n v="726.03"/>
    <n v="187"/>
    <n v="6"/>
    <n v="21250.21"/>
    <n v="4"/>
    <n v="4"/>
    <n v="5"/>
    <s v="445"/>
    <x v="0"/>
  </r>
  <r>
    <x v="65"/>
    <d v="2025-10-19T09:00:07"/>
    <x v="7"/>
    <x v="0"/>
    <x v="2"/>
    <n v="1805.68"/>
    <n v="187"/>
    <n v="12"/>
    <n v="46195.360000000001"/>
    <n v="4"/>
    <n v="1"/>
    <n v="1"/>
    <s v="411"/>
    <x v="4"/>
  </r>
  <r>
    <x v="230"/>
    <d v="2025-10-19T09:00:07"/>
    <x v="6"/>
    <x v="5"/>
    <x v="0"/>
    <n v="2774.83"/>
    <n v="187"/>
    <n v="6"/>
    <n v="11900.869999999999"/>
    <n v="4"/>
    <n v="4"/>
    <n v="5"/>
    <s v="445"/>
    <x v="0"/>
  </r>
  <r>
    <x v="225"/>
    <d v="2025-10-19T09:00:07"/>
    <x v="0"/>
    <x v="5"/>
    <x v="2"/>
    <n v="5765.2"/>
    <n v="187"/>
    <n v="10"/>
    <n v="31217.780000000002"/>
    <n v="4"/>
    <n v="2"/>
    <n v="3"/>
    <s v="423"/>
    <x v="4"/>
  </r>
  <r>
    <x v="346"/>
    <d v="2025-10-21T09:00:07"/>
    <x v="9"/>
    <x v="0"/>
    <x v="0"/>
    <n v="9886.4500000000007"/>
    <n v="185"/>
    <n v="8"/>
    <n v="30873.260000000002"/>
    <n v="4"/>
    <n v="3"/>
    <n v="3"/>
    <s v="433"/>
    <x v="0"/>
  </r>
  <r>
    <x v="108"/>
    <d v="2025-10-21T09:00:07"/>
    <x v="7"/>
    <x v="1"/>
    <x v="0"/>
    <n v="1996.85"/>
    <n v="185"/>
    <n v="8"/>
    <n v="45571.029999999992"/>
    <n v="4"/>
    <n v="3"/>
    <n v="1"/>
    <s v="431"/>
    <x v="0"/>
  </r>
  <r>
    <x v="269"/>
    <d v="2025-10-22T09:00:07"/>
    <x v="9"/>
    <x v="1"/>
    <x v="2"/>
    <n v="663.65"/>
    <n v="184"/>
    <n v="9"/>
    <n v="32843.11"/>
    <n v="4"/>
    <n v="2"/>
    <n v="3"/>
    <s v="423"/>
    <x v="4"/>
  </r>
  <r>
    <x v="76"/>
    <d v="2025-10-22T09:00:07"/>
    <x v="0"/>
    <x v="2"/>
    <x v="0"/>
    <n v="1741.07"/>
    <n v="184"/>
    <n v="11"/>
    <n v="39808.47"/>
    <n v="4"/>
    <n v="1"/>
    <n v="2"/>
    <s v="412"/>
    <x v="4"/>
  </r>
  <r>
    <x v="213"/>
    <d v="2025-10-22T09:00:07"/>
    <x v="7"/>
    <x v="3"/>
    <x v="1"/>
    <n v="5049.51"/>
    <n v="184"/>
    <n v="12"/>
    <n v="36909.899999999994"/>
    <n v="4"/>
    <n v="1"/>
    <n v="2"/>
    <s v="412"/>
    <x v="4"/>
  </r>
  <r>
    <x v="116"/>
    <d v="2025-10-22T09:00:07"/>
    <x v="2"/>
    <x v="4"/>
    <x v="0"/>
    <n v="3545.01"/>
    <n v="184"/>
    <n v="16"/>
    <n v="76962.720000000001"/>
    <n v="4"/>
    <n v="1"/>
    <n v="1"/>
    <s v="411"/>
    <x v="4"/>
  </r>
  <r>
    <x v="233"/>
    <d v="2025-10-22T09:00:07"/>
    <x v="8"/>
    <x v="6"/>
    <x v="2"/>
    <n v="7903.47"/>
    <n v="184"/>
    <n v="5"/>
    <n v="30121.440000000002"/>
    <n v="4"/>
    <n v="5"/>
    <n v="3"/>
    <s v="453"/>
    <x v="0"/>
  </r>
  <r>
    <x v="39"/>
    <d v="2025-10-23T09:00:07"/>
    <x v="6"/>
    <x v="0"/>
    <x v="2"/>
    <n v="1712.38"/>
    <n v="183"/>
    <n v="11"/>
    <n v="43110.84"/>
    <n v="4"/>
    <n v="1"/>
    <n v="2"/>
    <s v="412"/>
    <x v="4"/>
  </r>
  <r>
    <x v="319"/>
    <d v="2025-10-23T09:00:07"/>
    <x v="7"/>
    <x v="4"/>
    <x v="0"/>
    <n v="9312.16"/>
    <n v="183"/>
    <n v="9"/>
    <n v="39183.29"/>
    <n v="4"/>
    <n v="2"/>
    <n v="2"/>
    <s v="422"/>
    <x v="4"/>
  </r>
  <r>
    <x v="160"/>
    <d v="2025-10-23T09:00:07"/>
    <x v="5"/>
    <x v="5"/>
    <x v="1"/>
    <n v="3519.83"/>
    <n v="183"/>
    <n v="9"/>
    <n v="37215.54"/>
    <n v="4"/>
    <n v="2"/>
    <n v="2"/>
    <s v="422"/>
    <x v="4"/>
  </r>
  <r>
    <x v="388"/>
    <d v="2025-10-24T09:00:07"/>
    <x v="1"/>
    <x v="2"/>
    <x v="0"/>
    <n v="639.1"/>
    <n v="182"/>
    <n v="3"/>
    <n v="12014.18"/>
    <n v="4"/>
    <n v="5"/>
    <n v="5"/>
    <s v="455"/>
    <x v="0"/>
  </r>
  <r>
    <x v="367"/>
    <d v="2025-10-24T09:00:07"/>
    <x v="7"/>
    <x v="5"/>
    <x v="2"/>
    <n v="931.79"/>
    <n v="182"/>
    <n v="5"/>
    <n v="21621.77"/>
    <n v="4"/>
    <n v="5"/>
    <n v="5"/>
    <s v="455"/>
    <x v="0"/>
  </r>
  <r>
    <x v="177"/>
    <d v="2025-10-24T09:00:07"/>
    <x v="9"/>
    <x v="4"/>
    <x v="1"/>
    <n v="3936.89"/>
    <n v="182"/>
    <n v="11"/>
    <n v="45526.78"/>
    <n v="4"/>
    <n v="1"/>
    <n v="1"/>
    <s v="411"/>
    <x v="4"/>
  </r>
  <r>
    <x v="15"/>
    <d v="2025-10-24T09:00:07"/>
    <x v="5"/>
    <x v="1"/>
    <x v="2"/>
    <n v="11328.63"/>
    <n v="182"/>
    <n v="6"/>
    <n v="32825.340000000004"/>
    <n v="4"/>
    <n v="4"/>
    <n v="3"/>
    <s v="443"/>
    <x v="0"/>
  </r>
  <r>
    <x v="88"/>
    <d v="2025-10-24T09:00:07"/>
    <x v="0"/>
    <x v="6"/>
    <x v="2"/>
    <n v="4134.3"/>
    <n v="182"/>
    <n v="11"/>
    <n v="62566.770000000004"/>
    <n v="4"/>
    <n v="1"/>
    <n v="1"/>
    <s v="411"/>
    <x v="4"/>
  </r>
  <r>
    <x v="50"/>
    <d v="2025-10-24T09:00:07"/>
    <x v="4"/>
    <x v="5"/>
    <x v="1"/>
    <n v="5196.29"/>
    <n v="182"/>
    <n v="13"/>
    <n v="64175.24"/>
    <n v="4"/>
    <n v="1"/>
    <n v="1"/>
    <s v="411"/>
    <x v="4"/>
  </r>
  <r>
    <x v="306"/>
    <d v="2025-10-24T09:00:07"/>
    <x v="9"/>
    <x v="6"/>
    <x v="2"/>
    <n v="1867.19"/>
    <n v="182"/>
    <n v="5"/>
    <n v="21260"/>
    <n v="4"/>
    <n v="5"/>
    <n v="5"/>
    <s v="455"/>
    <x v="0"/>
  </r>
  <r>
    <x v="165"/>
    <d v="2025-10-25T09:00:07"/>
    <x v="0"/>
    <x v="2"/>
    <x v="0"/>
    <n v="7378.25"/>
    <n v="181"/>
    <n v="9"/>
    <n v="33344.57"/>
    <n v="4"/>
    <n v="2"/>
    <n v="3"/>
    <s v="423"/>
    <x v="4"/>
  </r>
  <r>
    <x v="180"/>
    <d v="2025-10-25T09:00:07"/>
    <x v="4"/>
    <x v="2"/>
    <x v="1"/>
    <n v="3965.89"/>
    <n v="181"/>
    <n v="8"/>
    <n v="26424.119999999995"/>
    <n v="4"/>
    <n v="3"/>
    <n v="4"/>
    <s v="434"/>
    <x v="0"/>
  </r>
  <r>
    <x v="210"/>
    <d v="2025-10-25T09:00:07"/>
    <x v="7"/>
    <x v="3"/>
    <x v="2"/>
    <n v="9661.4599999999991"/>
    <n v="181"/>
    <n v="9"/>
    <n v="37239.53"/>
    <n v="4"/>
    <n v="2"/>
    <n v="2"/>
    <s v="422"/>
    <x v="4"/>
  </r>
  <r>
    <x v="205"/>
    <d v="2025-10-25T09:00:07"/>
    <x v="8"/>
    <x v="4"/>
    <x v="2"/>
    <n v="3552.77"/>
    <n v="181"/>
    <n v="8"/>
    <n v="24691.75"/>
    <n v="4"/>
    <n v="3"/>
    <n v="4"/>
    <s v="434"/>
    <x v="0"/>
  </r>
  <r>
    <x v="180"/>
    <d v="2025-10-25T09:00:07"/>
    <x v="1"/>
    <x v="6"/>
    <x v="0"/>
    <n v="1094.71"/>
    <n v="181"/>
    <n v="8"/>
    <n v="26424.119999999995"/>
    <n v="4"/>
    <n v="3"/>
    <n v="4"/>
    <s v="434"/>
    <x v="0"/>
  </r>
  <r>
    <x v="370"/>
    <d v="2025-10-25T09:00:07"/>
    <x v="7"/>
    <x v="4"/>
    <x v="0"/>
    <n v="322.08999999999997"/>
    <n v="181"/>
    <n v="12"/>
    <n v="83986.299999999988"/>
    <n v="4"/>
    <n v="1"/>
    <n v="1"/>
    <s v="411"/>
    <x v="4"/>
  </r>
  <r>
    <x v="55"/>
    <d v="2025-10-26T09:00:07"/>
    <x v="2"/>
    <x v="5"/>
    <x v="0"/>
    <n v="6547.07"/>
    <n v="180"/>
    <n v="12"/>
    <n v="42930.969999999994"/>
    <n v="4"/>
    <n v="1"/>
    <n v="2"/>
    <s v="412"/>
    <x v="4"/>
  </r>
  <r>
    <x v="85"/>
    <d v="2025-10-26T09:00:07"/>
    <x v="3"/>
    <x v="3"/>
    <x v="2"/>
    <n v="2306.7399999999998"/>
    <n v="180"/>
    <n v="6"/>
    <n v="21226.689999999995"/>
    <n v="4"/>
    <n v="4"/>
    <n v="5"/>
    <s v="445"/>
    <x v="0"/>
  </r>
  <r>
    <x v="94"/>
    <d v="2025-10-26T09:00:07"/>
    <x v="0"/>
    <x v="1"/>
    <x v="0"/>
    <n v="5748.89"/>
    <n v="180"/>
    <n v="13"/>
    <n v="56128.799999999996"/>
    <n v="4"/>
    <n v="1"/>
    <n v="1"/>
    <s v="411"/>
    <x v="4"/>
  </r>
  <r>
    <x v="174"/>
    <d v="2025-10-26T09:00:07"/>
    <x v="4"/>
    <x v="3"/>
    <x v="0"/>
    <n v="6274.22"/>
    <n v="180"/>
    <n v="8"/>
    <n v="31568.060000000005"/>
    <n v="4"/>
    <n v="3"/>
    <n v="3"/>
    <s v="433"/>
    <x v="0"/>
  </r>
  <r>
    <x v="116"/>
    <d v="2025-10-26T09:00:07"/>
    <x v="4"/>
    <x v="1"/>
    <x v="0"/>
    <n v="2198.4499999999998"/>
    <n v="180"/>
    <n v="16"/>
    <n v="76962.720000000001"/>
    <n v="4"/>
    <n v="1"/>
    <n v="1"/>
    <s v="411"/>
    <x v="4"/>
  </r>
  <r>
    <x v="217"/>
    <d v="2025-10-27T09:00:07"/>
    <x v="9"/>
    <x v="3"/>
    <x v="2"/>
    <n v="2765.98"/>
    <n v="179"/>
    <n v="5"/>
    <n v="18557.84"/>
    <n v="4"/>
    <n v="5"/>
    <n v="5"/>
    <s v="455"/>
    <x v="0"/>
  </r>
  <r>
    <x v="226"/>
    <d v="2025-10-27T09:00:07"/>
    <x v="0"/>
    <x v="0"/>
    <x v="0"/>
    <n v="1257.27"/>
    <n v="179"/>
    <n v="6"/>
    <n v="23326.76"/>
    <n v="4"/>
    <n v="4"/>
    <n v="4"/>
    <s v="444"/>
    <x v="0"/>
  </r>
  <r>
    <x v="261"/>
    <d v="2025-10-27T09:00:07"/>
    <x v="6"/>
    <x v="6"/>
    <x v="2"/>
    <n v="4405.3"/>
    <n v="179"/>
    <n v="4"/>
    <n v="10665.94"/>
    <n v="4"/>
    <n v="5"/>
    <n v="5"/>
    <s v="455"/>
    <x v="0"/>
  </r>
  <r>
    <x v="337"/>
    <d v="2025-10-28T09:00:07"/>
    <x v="9"/>
    <x v="5"/>
    <x v="0"/>
    <n v="7465.03"/>
    <n v="178"/>
    <n v="6"/>
    <n v="33607.29"/>
    <n v="4"/>
    <n v="4"/>
    <n v="3"/>
    <s v="443"/>
    <x v="0"/>
  </r>
  <r>
    <x v="348"/>
    <d v="2025-10-28T09:00:07"/>
    <x v="3"/>
    <x v="5"/>
    <x v="2"/>
    <n v="7525.57"/>
    <n v="178"/>
    <n v="8"/>
    <n v="27090.329999999998"/>
    <n v="4"/>
    <n v="3"/>
    <n v="4"/>
    <s v="434"/>
    <x v="0"/>
  </r>
  <r>
    <x v="27"/>
    <d v="2025-10-28T09:00:07"/>
    <x v="0"/>
    <x v="5"/>
    <x v="2"/>
    <n v="4168.03"/>
    <n v="178"/>
    <n v="12"/>
    <n v="49930.359999999993"/>
    <n v="4"/>
    <n v="1"/>
    <n v="1"/>
    <s v="411"/>
    <x v="4"/>
  </r>
  <r>
    <x v="66"/>
    <d v="2025-10-28T09:00:07"/>
    <x v="4"/>
    <x v="5"/>
    <x v="0"/>
    <n v="6029.74"/>
    <n v="178"/>
    <n v="6"/>
    <n v="26179.75"/>
    <n v="4"/>
    <n v="4"/>
    <n v="4"/>
    <s v="444"/>
    <x v="0"/>
  </r>
  <r>
    <x v="219"/>
    <d v="2025-10-29T09:00:07"/>
    <x v="5"/>
    <x v="1"/>
    <x v="1"/>
    <n v="3824.76"/>
    <n v="177"/>
    <n v="9"/>
    <n v="35283.15"/>
    <n v="4"/>
    <n v="2"/>
    <n v="3"/>
    <s v="423"/>
    <x v="4"/>
  </r>
  <r>
    <x v="187"/>
    <d v="2025-10-29T09:00:07"/>
    <x v="4"/>
    <x v="3"/>
    <x v="2"/>
    <n v="2704.34"/>
    <n v="177"/>
    <n v="9"/>
    <n v="31221.600000000002"/>
    <n v="4"/>
    <n v="2"/>
    <n v="3"/>
    <s v="423"/>
    <x v="4"/>
  </r>
  <r>
    <x v="139"/>
    <d v="2025-10-29T09:00:07"/>
    <x v="2"/>
    <x v="2"/>
    <x v="1"/>
    <n v="2597.12"/>
    <n v="177"/>
    <n v="9"/>
    <n v="48530.240000000005"/>
    <n v="4"/>
    <n v="2"/>
    <n v="1"/>
    <s v="421"/>
    <x v="4"/>
  </r>
  <r>
    <x v="81"/>
    <d v="2025-10-30T09:00:07"/>
    <x v="2"/>
    <x v="6"/>
    <x v="2"/>
    <n v="3736.45"/>
    <n v="176"/>
    <n v="12"/>
    <n v="27185.14"/>
    <n v="4"/>
    <n v="1"/>
    <n v="4"/>
    <s v="414"/>
    <x v="4"/>
  </r>
  <r>
    <x v="77"/>
    <d v="2025-10-30T09:00:07"/>
    <x v="1"/>
    <x v="3"/>
    <x v="1"/>
    <n v="6268.36"/>
    <n v="176"/>
    <n v="4"/>
    <n v="13576.4"/>
    <n v="4"/>
    <n v="5"/>
    <n v="5"/>
    <s v="455"/>
    <x v="0"/>
  </r>
  <r>
    <x v="396"/>
    <d v="2025-10-30T09:00:07"/>
    <x v="9"/>
    <x v="2"/>
    <x v="0"/>
    <n v="1219.4100000000001"/>
    <n v="176"/>
    <n v="7"/>
    <n v="27876.53"/>
    <n v="4"/>
    <n v="4"/>
    <n v="4"/>
    <s v="444"/>
    <x v="0"/>
  </r>
  <r>
    <x v="337"/>
    <d v="2025-10-30T09:00:07"/>
    <x v="5"/>
    <x v="2"/>
    <x v="2"/>
    <n v="4333.68"/>
    <n v="176"/>
    <n v="6"/>
    <n v="33607.29"/>
    <n v="4"/>
    <n v="4"/>
    <n v="3"/>
    <s v="443"/>
    <x v="0"/>
  </r>
  <r>
    <x v="4"/>
    <d v="2025-10-31T09:00:07"/>
    <x v="9"/>
    <x v="2"/>
    <x v="2"/>
    <n v="1791.22"/>
    <n v="175"/>
    <n v="6"/>
    <n v="17570.61"/>
    <n v="4"/>
    <n v="4"/>
    <n v="5"/>
    <s v="445"/>
    <x v="0"/>
  </r>
  <r>
    <x v="222"/>
    <d v="2025-10-31T09:00:07"/>
    <x v="9"/>
    <x v="1"/>
    <x v="2"/>
    <n v="4052.25"/>
    <n v="175"/>
    <n v="9"/>
    <n v="34007.68"/>
    <n v="4"/>
    <n v="2"/>
    <n v="3"/>
    <s v="423"/>
    <x v="4"/>
  </r>
  <r>
    <x v="55"/>
    <d v="2025-10-31T09:00:07"/>
    <x v="4"/>
    <x v="5"/>
    <x v="1"/>
    <n v="3247.71"/>
    <n v="175"/>
    <n v="12"/>
    <n v="42930.969999999994"/>
    <n v="4"/>
    <n v="1"/>
    <n v="2"/>
    <s v="412"/>
    <x v="4"/>
  </r>
  <r>
    <x v="163"/>
    <d v="2025-11-01T09:00:07"/>
    <x v="5"/>
    <x v="5"/>
    <x v="2"/>
    <n v="3748.93"/>
    <n v="174"/>
    <n v="9"/>
    <n v="30047.29"/>
    <n v="4"/>
    <n v="2"/>
    <n v="3"/>
    <s v="423"/>
    <x v="4"/>
  </r>
  <r>
    <x v="151"/>
    <d v="2025-11-01T09:00:07"/>
    <x v="3"/>
    <x v="3"/>
    <x v="2"/>
    <n v="2692.32"/>
    <n v="174"/>
    <n v="5"/>
    <n v="17550.75"/>
    <n v="4"/>
    <n v="5"/>
    <n v="5"/>
    <s v="455"/>
    <x v="0"/>
  </r>
  <r>
    <x v="398"/>
    <d v="2025-11-01T09:00:07"/>
    <x v="8"/>
    <x v="1"/>
    <x v="1"/>
    <n v="3421.74"/>
    <n v="174"/>
    <n v="5"/>
    <n v="17355.699999999997"/>
    <n v="4"/>
    <n v="5"/>
    <n v="5"/>
    <s v="455"/>
    <x v="0"/>
  </r>
  <r>
    <x v="396"/>
    <d v="2025-11-01T09:00:07"/>
    <x v="4"/>
    <x v="5"/>
    <x v="1"/>
    <n v="7004.18"/>
    <n v="174"/>
    <n v="7"/>
    <n v="27876.53"/>
    <n v="4"/>
    <n v="4"/>
    <n v="4"/>
    <s v="444"/>
    <x v="0"/>
  </r>
  <r>
    <x v="56"/>
    <d v="2025-11-01T09:00:07"/>
    <x v="3"/>
    <x v="0"/>
    <x v="1"/>
    <n v="7690.5"/>
    <n v="174"/>
    <n v="12"/>
    <n v="38950.210000000006"/>
    <n v="4"/>
    <n v="1"/>
    <n v="2"/>
    <s v="412"/>
    <x v="4"/>
  </r>
  <r>
    <x v="189"/>
    <d v="2025-11-02T09:00:07"/>
    <x v="0"/>
    <x v="2"/>
    <x v="0"/>
    <n v="2578.12"/>
    <n v="173"/>
    <n v="11"/>
    <n v="45651.77"/>
    <n v="4"/>
    <n v="1"/>
    <n v="1"/>
    <s v="411"/>
    <x v="4"/>
  </r>
  <r>
    <x v="292"/>
    <d v="2025-11-02T09:00:07"/>
    <x v="7"/>
    <x v="4"/>
    <x v="2"/>
    <n v="1497.37"/>
    <n v="173"/>
    <n v="4"/>
    <n v="13232.439999999999"/>
    <n v="4"/>
    <n v="5"/>
    <n v="5"/>
    <s v="455"/>
    <x v="0"/>
  </r>
  <r>
    <x v="169"/>
    <d v="2025-11-02T09:00:07"/>
    <x v="6"/>
    <x v="5"/>
    <x v="2"/>
    <n v="4257.95"/>
    <n v="173"/>
    <n v="10"/>
    <n v="28216.130000000005"/>
    <n v="4"/>
    <n v="2"/>
    <n v="4"/>
    <s v="424"/>
    <x v="4"/>
  </r>
  <r>
    <x v="116"/>
    <d v="2025-11-02T09:00:07"/>
    <x v="1"/>
    <x v="1"/>
    <x v="0"/>
    <n v="4046.93"/>
    <n v="173"/>
    <n v="16"/>
    <n v="76962.720000000001"/>
    <n v="4"/>
    <n v="1"/>
    <n v="1"/>
    <s v="411"/>
    <x v="4"/>
  </r>
  <r>
    <x v="176"/>
    <d v="2025-11-02T09:00:07"/>
    <x v="7"/>
    <x v="2"/>
    <x v="1"/>
    <n v="6474.62"/>
    <n v="173"/>
    <n v="9"/>
    <n v="48978.57"/>
    <n v="4"/>
    <n v="2"/>
    <n v="1"/>
    <s v="421"/>
    <x v="4"/>
  </r>
  <r>
    <x v="308"/>
    <d v="2025-11-02T09:00:07"/>
    <x v="5"/>
    <x v="4"/>
    <x v="2"/>
    <n v="6923.4"/>
    <n v="173"/>
    <n v="9"/>
    <n v="34800.239999999998"/>
    <n v="4"/>
    <n v="2"/>
    <n v="3"/>
    <s v="423"/>
    <x v="4"/>
  </r>
  <r>
    <x v="234"/>
    <d v="2025-11-02T09:00:07"/>
    <x v="3"/>
    <x v="2"/>
    <x v="0"/>
    <n v="1404.75"/>
    <n v="173"/>
    <n v="6"/>
    <n v="29261.35"/>
    <n v="4"/>
    <n v="4"/>
    <n v="4"/>
    <s v="444"/>
    <x v="0"/>
  </r>
  <r>
    <x v="256"/>
    <d v="2025-11-03T09:00:07"/>
    <x v="8"/>
    <x v="3"/>
    <x v="0"/>
    <n v="6153.65"/>
    <n v="172"/>
    <n v="8"/>
    <n v="28559.850000000002"/>
    <n v="4"/>
    <n v="3"/>
    <n v="4"/>
    <s v="434"/>
    <x v="0"/>
  </r>
  <r>
    <x v="167"/>
    <d v="2025-11-03T09:00:07"/>
    <x v="3"/>
    <x v="6"/>
    <x v="0"/>
    <n v="2328.83"/>
    <n v="172"/>
    <n v="4"/>
    <n v="7830.67"/>
    <n v="4"/>
    <n v="5"/>
    <n v="5"/>
    <s v="455"/>
    <x v="0"/>
  </r>
  <r>
    <x v="37"/>
    <d v="2025-11-03T09:00:07"/>
    <x v="3"/>
    <x v="6"/>
    <x v="2"/>
    <n v="4485.03"/>
    <n v="172"/>
    <n v="7"/>
    <n v="24825.78"/>
    <n v="4"/>
    <n v="4"/>
    <n v="4"/>
    <s v="444"/>
    <x v="0"/>
  </r>
  <r>
    <x v="252"/>
    <d v="2025-11-03T09:00:07"/>
    <x v="2"/>
    <x v="1"/>
    <x v="1"/>
    <n v="8696.24"/>
    <n v="172"/>
    <n v="8"/>
    <n v="36475.079999999994"/>
    <n v="4"/>
    <n v="3"/>
    <n v="3"/>
    <s v="433"/>
    <x v="0"/>
  </r>
  <r>
    <x v="386"/>
    <d v="2025-11-03T09:00:07"/>
    <x v="0"/>
    <x v="4"/>
    <x v="2"/>
    <n v="5129.8999999999996"/>
    <n v="172"/>
    <n v="2"/>
    <n v="12037.99"/>
    <n v="4"/>
    <n v="5"/>
    <n v="5"/>
    <s v="455"/>
    <x v="0"/>
  </r>
  <r>
    <x v="86"/>
    <d v="2025-11-03T09:00:07"/>
    <x v="4"/>
    <x v="2"/>
    <x v="1"/>
    <n v="511.96"/>
    <n v="172"/>
    <n v="7"/>
    <n v="18845.82"/>
    <n v="4"/>
    <n v="4"/>
    <n v="5"/>
    <s v="445"/>
    <x v="0"/>
  </r>
  <r>
    <x v="356"/>
    <d v="2025-11-03T09:00:07"/>
    <x v="5"/>
    <x v="3"/>
    <x v="0"/>
    <n v="5512.47"/>
    <n v="172"/>
    <n v="8"/>
    <n v="38016.57"/>
    <n v="4"/>
    <n v="3"/>
    <n v="2"/>
    <s v="432"/>
    <x v="0"/>
  </r>
  <r>
    <x v="218"/>
    <d v="2025-11-03T09:00:07"/>
    <x v="0"/>
    <x v="3"/>
    <x v="0"/>
    <n v="4348.5"/>
    <n v="172"/>
    <n v="12"/>
    <n v="48008.159999999996"/>
    <n v="4"/>
    <n v="1"/>
    <n v="1"/>
    <s v="411"/>
    <x v="4"/>
  </r>
  <r>
    <x v="78"/>
    <d v="2025-11-03T09:00:07"/>
    <x v="9"/>
    <x v="0"/>
    <x v="1"/>
    <n v="1503.12"/>
    <n v="172"/>
    <n v="10"/>
    <n v="34265.79"/>
    <n v="4"/>
    <n v="2"/>
    <n v="3"/>
    <s v="423"/>
    <x v="4"/>
  </r>
  <r>
    <x v="6"/>
    <d v="2025-11-04T09:00:07"/>
    <x v="6"/>
    <x v="3"/>
    <x v="2"/>
    <n v="4136.17"/>
    <n v="171"/>
    <n v="7"/>
    <n v="32953.599999999999"/>
    <n v="4"/>
    <n v="4"/>
    <n v="3"/>
    <s v="443"/>
    <x v="0"/>
  </r>
  <r>
    <x v="148"/>
    <d v="2025-11-04T09:00:07"/>
    <x v="8"/>
    <x v="2"/>
    <x v="1"/>
    <n v="7309.01"/>
    <n v="171"/>
    <n v="6"/>
    <n v="27493.600000000002"/>
    <n v="4"/>
    <n v="4"/>
    <n v="4"/>
    <s v="444"/>
    <x v="0"/>
  </r>
  <r>
    <x v="361"/>
    <d v="2025-11-04T09:00:07"/>
    <x v="8"/>
    <x v="4"/>
    <x v="0"/>
    <n v="5304.83"/>
    <n v="171"/>
    <n v="6"/>
    <n v="16743.59"/>
    <n v="4"/>
    <n v="4"/>
    <n v="5"/>
    <s v="445"/>
    <x v="0"/>
  </r>
  <r>
    <x v="175"/>
    <d v="2025-11-04T09:00:07"/>
    <x v="0"/>
    <x v="3"/>
    <x v="1"/>
    <n v="553.88"/>
    <n v="171"/>
    <n v="6"/>
    <n v="15872.329999999998"/>
    <n v="4"/>
    <n v="4"/>
    <n v="5"/>
    <s v="445"/>
    <x v="0"/>
  </r>
  <r>
    <x v="208"/>
    <d v="2025-11-04T09:00:07"/>
    <x v="6"/>
    <x v="5"/>
    <x v="1"/>
    <n v="6120.31"/>
    <n v="171"/>
    <n v="8"/>
    <n v="27084.66"/>
    <n v="4"/>
    <n v="3"/>
    <n v="4"/>
    <s v="434"/>
    <x v="0"/>
  </r>
  <r>
    <x v="172"/>
    <d v="2025-11-04T09:00:07"/>
    <x v="1"/>
    <x v="0"/>
    <x v="1"/>
    <n v="3866.24"/>
    <n v="171"/>
    <n v="9"/>
    <n v="51674.6"/>
    <n v="4"/>
    <n v="2"/>
    <n v="1"/>
    <s v="421"/>
    <x v="4"/>
  </r>
  <r>
    <x v="48"/>
    <d v="2025-11-04T09:00:07"/>
    <x v="2"/>
    <x v="5"/>
    <x v="0"/>
    <n v="324.20999999999998"/>
    <n v="171"/>
    <n v="11"/>
    <n v="37863.899999999994"/>
    <n v="4"/>
    <n v="1"/>
    <n v="2"/>
    <s v="412"/>
    <x v="4"/>
  </r>
  <r>
    <x v="172"/>
    <d v="2025-11-05T09:00:07"/>
    <x v="9"/>
    <x v="2"/>
    <x v="2"/>
    <n v="4720.79"/>
    <n v="170"/>
    <n v="9"/>
    <n v="51674.6"/>
    <n v="4"/>
    <n v="2"/>
    <n v="1"/>
    <s v="421"/>
    <x v="4"/>
  </r>
  <r>
    <x v="133"/>
    <d v="2025-11-05T09:00:07"/>
    <x v="8"/>
    <x v="5"/>
    <x v="1"/>
    <n v="483.85"/>
    <n v="170"/>
    <n v="11"/>
    <n v="38337.789999999994"/>
    <n v="4"/>
    <n v="1"/>
    <n v="2"/>
    <s v="412"/>
    <x v="4"/>
  </r>
  <r>
    <x v="129"/>
    <d v="2025-11-05T09:00:07"/>
    <x v="7"/>
    <x v="1"/>
    <x v="2"/>
    <n v="1225.97"/>
    <n v="170"/>
    <n v="9"/>
    <n v="30288.86"/>
    <n v="4"/>
    <n v="2"/>
    <n v="3"/>
    <s v="423"/>
    <x v="4"/>
  </r>
  <r>
    <x v="159"/>
    <d v="2025-11-05T09:00:07"/>
    <x v="3"/>
    <x v="6"/>
    <x v="2"/>
    <n v="2533.19"/>
    <n v="170"/>
    <n v="9"/>
    <n v="38753.799999999988"/>
    <n v="4"/>
    <n v="2"/>
    <n v="2"/>
    <s v="422"/>
    <x v="4"/>
  </r>
  <r>
    <x v="229"/>
    <d v="2025-11-06T09:00:07"/>
    <x v="3"/>
    <x v="3"/>
    <x v="2"/>
    <n v="1451.08"/>
    <n v="169"/>
    <n v="10"/>
    <n v="27359.329999999998"/>
    <n v="4"/>
    <n v="2"/>
    <n v="4"/>
    <s v="424"/>
    <x v="4"/>
  </r>
  <r>
    <x v="279"/>
    <d v="2025-11-06T09:00:07"/>
    <x v="0"/>
    <x v="4"/>
    <x v="2"/>
    <n v="7337.43"/>
    <n v="169"/>
    <n v="7"/>
    <n v="29446.02"/>
    <n v="4"/>
    <n v="4"/>
    <n v="4"/>
    <s v="444"/>
    <x v="0"/>
  </r>
  <r>
    <x v="394"/>
    <d v="2025-11-07T09:00:07"/>
    <x v="2"/>
    <x v="1"/>
    <x v="1"/>
    <n v="7033.49"/>
    <n v="168"/>
    <n v="5"/>
    <n v="29762.12"/>
    <n v="4"/>
    <n v="5"/>
    <n v="3"/>
    <s v="453"/>
    <x v="0"/>
  </r>
  <r>
    <x v="274"/>
    <d v="2025-11-07T09:00:07"/>
    <x v="5"/>
    <x v="6"/>
    <x v="0"/>
    <n v="16177.92"/>
    <n v="168"/>
    <n v="11"/>
    <n v="73437.08"/>
    <n v="4"/>
    <n v="1"/>
    <n v="1"/>
    <s v="411"/>
    <x v="4"/>
  </r>
  <r>
    <x v="399"/>
    <d v="2025-11-07T09:00:07"/>
    <x v="9"/>
    <x v="1"/>
    <x v="1"/>
    <n v="1440.71"/>
    <n v="168"/>
    <n v="7"/>
    <n v="30282.260000000002"/>
    <n v="4"/>
    <n v="4"/>
    <n v="3"/>
    <s v="443"/>
    <x v="0"/>
  </r>
  <r>
    <x v="1"/>
    <d v="2025-11-07T09:00:07"/>
    <x v="4"/>
    <x v="3"/>
    <x v="1"/>
    <n v="3540.94"/>
    <n v="168"/>
    <n v="12"/>
    <n v="49382.650000000009"/>
    <n v="4"/>
    <n v="1"/>
    <n v="1"/>
    <s v="411"/>
    <x v="4"/>
  </r>
  <r>
    <x v="88"/>
    <d v="2025-11-07T09:00:07"/>
    <x v="0"/>
    <x v="2"/>
    <x v="0"/>
    <n v="11297.14"/>
    <n v="168"/>
    <n v="11"/>
    <n v="62566.770000000004"/>
    <n v="4"/>
    <n v="1"/>
    <n v="1"/>
    <s v="411"/>
    <x v="4"/>
  </r>
  <r>
    <x v="286"/>
    <d v="2025-11-07T09:00:07"/>
    <x v="7"/>
    <x v="6"/>
    <x v="2"/>
    <n v="1871.82"/>
    <n v="168"/>
    <n v="14"/>
    <n v="60099.840000000004"/>
    <n v="4"/>
    <n v="1"/>
    <n v="1"/>
    <s v="411"/>
    <x v="4"/>
  </r>
  <r>
    <x v="146"/>
    <d v="2025-11-08T09:00:07"/>
    <x v="6"/>
    <x v="6"/>
    <x v="2"/>
    <n v="2039.65"/>
    <n v="167"/>
    <n v="12"/>
    <n v="42776.80999999999"/>
    <n v="4"/>
    <n v="1"/>
    <n v="2"/>
    <s v="412"/>
    <x v="4"/>
  </r>
  <r>
    <x v="45"/>
    <d v="2025-11-08T09:00:07"/>
    <x v="6"/>
    <x v="6"/>
    <x v="0"/>
    <n v="6686.42"/>
    <n v="167"/>
    <n v="10"/>
    <n v="50122.659999999996"/>
    <n v="4"/>
    <n v="2"/>
    <n v="1"/>
    <s v="421"/>
    <x v="4"/>
  </r>
  <r>
    <x v="283"/>
    <d v="2025-11-08T09:00:07"/>
    <x v="6"/>
    <x v="1"/>
    <x v="0"/>
    <n v="3459.32"/>
    <n v="167"/>
    <n v="7"/>
    <n v="38080.880000000005"/>
    <n v="4"/>
    <n v="4"/>
    <n v="2"/>
    <s v="442"/>
    <x v="0"/>
  </r>
  <r>
    <x v="126"/>
    <d v="2025-11-08T09:00:07"/>
    <x v="6"/>
    <x v="4"/>
    <x v="2"/>
    <n v="4786.92"/>
    <n v="167"/>
    <n v="11"/>
    <n v="46795.570000000007"/>
    <n v="4"/>
    <n v="1"/>
    <n v="1"/>
    <s v="411"/>
    <x v="4"/>
  </r>
  <r>
    <x v="46"/>
    <d v="2025-11-09T09:00:07"/>
    <x v="5"/>
    <x v="1"/>
    <x v="0"/>
    <n v="4845.04"/>
    <n v="166"/>
    <n v="8"/>
    <n v="30848.15"/>
    <n v="4"/>
    <n v="3"/>
    <n v="3"/>
    <s v="433"/>
    <x v="0"/>
  </r>
  <r>
    <x v="133"/>
    <d v="2025-11-09T09:00:07"/>
    <x v="2"/>
    <x v="0"/>
    <x v="0"/>
    <n v="7745.21"/>
    <n v="166"/>
    <n v="11"/>
    <n v="38337.789999999994"/>
    <n v="4"/>
    <n v="1"/>
    <n v="2"/>
    <s v="412"/>
    <x v="4"/>
  </r>
  <r>
    <x v="182"/>
    <d v="2025-11-09T09:00:07"/>
    <x v="5"/>
    <x v="0"/>
    <x v="1"/>
    <n v="4089.18"/>
    <n v="166"/>
    <n v="13"/>
    <n v="49208.94"/>
    <n v="4"/>
    <n v="1"/>
    <n v="1"/>
    <s v="411"/>
    <x v="4"/>
  </r>
  <r>
    <x v="302"/>
    <d v="2025-11-09T09:00:07"/>
    <x v="2"/>
    <x v="2"/>
    <x v="2"/>
    <n v="3763.75"/>
    <n v="166"/>
    <n v="10"/>
    <n v="47284.22"/>
    <n v="4"/>
    <n v="2"/>
    <n v="1"/>
    <s v="421"/>
    <x v="4"/>
  </r>
  <r>
    <x v="341"/>
    <d v="2025-11-10T09:00:07"/>
    <x v="0"/>
    <x v="6"/>
    <x v="1"/>
    <n v="2109.81"/>
    <n v="165"/>
    <n v="11"/>
    <n v="59377.640000000014"/>
    <n v="4"/>
    <n v="1"/>
    <n v="1"/>
    <s v="411"/>
    <x v="4"/>
  </r>
  <r>
    <x v="15"/>
    <d v="2025-11-10T09:00:07"/>
    <x v="3"/>
    <x v="0"/>
    <x v="1"/>
    <n v="3011.08"/>
    <n v="165"/>
    <n v="6"/>
    <n v="32825.340000000004"/>
    <n v="4"/>
    <n v="4"/>
    <n v="3"/>
    <s v="443"/>
    <x v="0"/>
  </r>
  <r>
    <x v="122"/>
    <d v="2025-11-10T09:00:07"/>
    <x v="3"/>
    <x v="6"/>
    <x v="0"/>
    <n v="4226.83"/>
    <n v="165"/>
    <n v="10"/>
    <n v="45537.319999999992"/>
    <n v="4"/>
    <n v="2"/>
    <n v="1"/>
    <s v="421"/>
    <x v="4"/>
  </r>
  <r>
    <x v="113"/>
    <d v="2025-11-10T09:00:07"/>
    <x v="7"/>
    <x v="0"/>
    <x v="1"/>
    <n v="3655.75"/>
    <n v="165"/>
    <n v="10"/>
    <n v="41704.25"/>
    <n v="4"/>
    <n v="2"/>
    <n v="2"/>
    <s v="422"/>
    <x v="4"/>
  </r>
  <r>
    <x v="142"/>
    <d v="2025-11-11T09:00:07"/>
    <x v="2"/>
    <x v="4"/>
    <x v="0"/>
    <n v="4839.32"/>
    <n v="164"/>
    <n v="13"/>
    <n v="47658.630000000005"/>
    <n v="4"/>
    <n v="1"/>
    <n v="1"/>
    <s v="411"/>
    <x v="4"/>
  </r>
  <r>
    <x v="2"/>
    <d v="2025-11-11T09:00:07"/>
    <x v="7"/>
    <x v="1"/>
    <x v="2"/>
    <n v="4293.18"/>
    <n v="164"/>
    <n v="10"/>
    <n v="32732.979999999996"/>
    <n v="4"/>
    <n v="2"/>
    <n v="3"/>
    <s v="423"/>
    <x v="4"/>
  </r>
  <r>
    <x v="112"/>
    <d v="2025-11-11T09:00:07"/>
    <x v="5"/>
    <x v="2"/>
    <x v="1"/>
    <n v="963.82"/>
    <n v="164"/>
    <n v="7"/>
    <n v="25356.28"/>
    <n v="4"/>
    <n v="4"/>
    <n v="4"/>
    <s v="444"/>
    <x v="0"/>
  </r>
  <r>
    <x v="376"/>
    <d v="2025-11-11T09:00:07"/>
    <x v="7"/>
    <x v="1"/>
    <x v="0"/>
    <n v="4197.46"/>
    <n v="164"/>
    <n v="8"/>
    <n v="28310.01"/>
    <n v="4"/>
    <n v="3"/>
    <n v="4"/>
    <s v="434"/>
    <x v="0"/>
  </r>
  <r>
    <x v="2"/>
    <d v="2025-11-11T09:00:07"/>
    <x v="9"/>
    <x v="0"/>
    <x v="0"/>
    <n v="1247.42"/>
    <n v="164"/>
    <n v="10"/>
    <n v="32732.979999999996"/>
    <n v="4"/>
    <n v="2"/>
    <n v="3"/>
    <s v="423"/>
    <x v="4"/>
  </r>
  <r>
    <x v="263"/>
    <d v="2025-11-11T09:00:07"/>
    <x v="6"/>
    <x v="5"/>
    <x v="0"/>
    <n v="4910.1099999999997"/>
    <n v="164"/>
    <n v="12"/>
    <n v="40797.409999999996"/>
    <n v="4"/>
    <n v="1"/>
    <n v="2"/>
    <s v="412"/>
    <x v="4"/>
  </r>
  <r>
    <x v="213"/>
    <d v="2025-11-12T09:00:07"/>
    <x v="6"/>
    <x v="2"/>
    <x v="2"/>
    <n v="1287.42"/>
    <n v="163"/>
    <n v="12"/>
    <n v="36909.899999999994"/>
    <n v="4"/>
    <n v="1"/>
    <n v="2"/>
    <s v="412"/>
    <x v="4"/>
  </r>
  <r>
    <x v="399"/>
    <d v="2025-11-12T09:00:07"/>
    <x v="2"/>
    <x v="2"/>
    <x v="2"/>
    <n v="8310.7999999999993"/>
    <n v="163"/>
    <n v="7"/>
    <n v="30282.260000000002"/>
    <n v="4"/>
    <n v="4"/>
    <n v="3"/>
    <s v="443"/>
    <x v="0"/>
  </r>
  <r>
    <x v="117"/>
    <d v="2025-11-12T09:00:07"/>
    <x v="8"/>
    <x v="4"/>
    <x v="2"/>
    <n v="441.13"/>
    <n v="163"/>
    <n v="12"/>
    <n v="44894.799999999996"/>
    <n v="4"/>
    <n v="1"/>
    <n v="1"/>
    <s v="411"/>
    <x v="4"/>
  </r>
  <r>
    <x v="338"/>
    <d v="2025-11-12T09:00:07"/>
    <x v="1"/>
    <x v="1"/>
    <x v="0"/>
    <n v="1885.41"/>
    <n v="163"/>
    <n v="6"/>
    <n v="19997.589999999997"/>
    <n v="4"/>
    <n v="4"/>
    <n v="5"/>
    <s v="445"/>
    <x v="0"/>
  </r>
  <r>
    <x v="332"/>
    <d v="2025-11-12T09:00:07"/>
    <x v="2"/>
    <x v="1"/>
    <x v="1"/>
    <n v="560.49"/>
    <n v="163"/>
    <n v="9"/>
    <n v="27857.719999999998"/>
    <n v="4"/>
    <n v="2"/>
    <n v="4"/>
    <s v="424"/>
    <x v="4"/>
  </r>
  <r>
    <x v="333"/>
    <d v="2025-11-13T09:00:07"/>
    <x v="3"/>
    <x v="6"/>
    <x v="2"/>
    <n v="1110"/>
    <n v="162"/>
    <n v="10"/>
    <n v="42023.55"/>
    <n v="4"/>
    <n v="2"/>
    <n v="2"/>
    <s v="422"/>
    <x v="4"/>
  </r>
  <r>
    <x v="342"/>
    <d v="2025-11-13T09:00:07"/>
    <x v="2"/>
    <x v="2"/>
    <x v="0"/>
    <n v="9601.67"/>
    <n v="162"/>
    <n v="6"/>
    <n v="19844.169999999998"/>
    <n v="4"/>
    <n v="4"/>
    <n v="5"/>
    <s v="445"/>
    <x v="0"/>
  </r>
  <r>
    <x v="212"/>
    <d v="2025-11-13T09:00:07"/>
    <x v="6"/>
    <x v="2"/>
    <x v="0"/>
    <n v="1866.28"/>
    <n v="162"/>
    <n v="9"/>
    <n v="27881.53"/>
    <n v="4"/>
    <n v="2"/>
    <n v="4"/>
    <s v="424"/>
    <x v="4"/>
  </r>
  <r>
    <x v="320"/>
    <d v="2025-11-13T09:00:07"/>
    <x v="5"/>
    <x v="4"/>
    <x v="0"/>
    <n v="4193.76"/>
    <n v="162"/>
    <n v="4"/>
    <n v="18485.12"/>
    <n v="4"/>
    <n v="5"/>
    <n v="5"/>
    <s v="455"/>
    <x v="0"/>
  </r>
  <r>
    <x v="332"/>
    <d v="2025-11-14T09:00:07"/>
    <x v="4"/>
    <x v="1"/>
    <x v="2"/>
    <n v="6569.01"/>
    <n v="161"/>
    <n v="9"/>
    <n v="27857.719999999998"/>
    <n v="4"/>
    <n v="2"/>
    <n v="4"/>
    <s v="424"/>
    <x v="4"/>
  </r>
  <r>
    <x v="96"/>
    <d v="2025-11-14T09:00:07"/>
    <x v="8"/>
    <x v="5"/>
    <x v="1"/>
    <n v="8748.73"/>
    <n v="161"/>
    <n v="11"/>
    <n v="62038.55"/>
    <n v="4"/>
    <n v="1"/>
    <n v="1"/>
    <s v="411"/>
    <x v="4"/>
  </r>
  <r>
    <x v="103"/>
    <d v="2025-11-14T09:00:07"/>
    <x v="4"/>
    <x v="0"/>
    <x v="1"/>
    <n v="5756.43"/>
    <n v="161"/>
    <n v="15"/>
    <n v="55867.080000000016"/>
    <n v="4"/>
    <n v="1"/>
    <n v="1"/>
    <s v="411"/>
    <x v="4"/>
  </r>
  <r>
    <x v="103"/>
    <d v="2025-11-14T09:00:07"/>
    <x v="1"/>
    <x v="2"/>
    <x v="0"/>
    <n v="1175.25"/>
    <n v="161"/>
    <n v="15"/>
    <n v="55867.080000000016"/>
    <n v="4"/>
    <n v="1"/>
    <n v="1"/>
    <s v="411"/>
    <x v="4"/>
  </r>
  <r>
    <x v="298"/>
    <d v="2025-11-14T09:00:07"/>
    <x v="2"/>
    <x v="0"/>
    <x v="0"/>
    <n v="8513.07"/>
    <n v="161"/>
    <n v="9"/>
    <n v="40942.560000000005"/>
    <n v="4"/>
    <n v="2"/>
    <n v="2"/>
    <s v="422"/>
    <x v="4"/>
  </r>
  <r>
    <x v="345"/>
    <d v="2025-11-15T09:00:07"/>
    <x v="3"/>
    <x v="5"/>
    <x v="1"/>
    <n v="4367.25"/>
    <n v="160"/>
    <n v="3"/>
    <n v="10896.380000000001"/>
    <n v="4"/>
    <n v="5"/>
    <n v="5"/>
    <s v="455"/>
    <x v="0"/>
  </r>
  <r>
    <x v="349"/>
    <d v="2025-11-15T09:00:07"/>
    <x v="2"/>
    <x v="3"/>
    <x v="1"/>
    <n v="1371.82"/>
    <n v="160"/>
    <n v="8"/>
    <n v="22493.960000000003"/>
    <n v="4"/>
    <n v="3"/>
    <n v="4"/>
    <s v="434"/>
    <x v="0"/>
  </r>
  <r>
    <x v="336"/>
    <d v="2025-11-15T09:00:07"/>
    <x v="4"/>
    <x v="2"/>
    <x v="1"/>
    <n v="2852"/>
    <n v="160"/>
    <n v="9"/>
    <n v="34808.1"/>
    <n v="4"/>
    <n v="2"/>
    <n v="3"/>
    <s v="423"/>
    <x v="4"/>
  </r>
  <r>
    <x v="170"/>
    <d v="2025-11-15T09:00:07"/>
    <x v="0"/>
    <x v="6"/>
    <x v="2"/>
    <n v="2958.39"/>
    <n v="160"/>
    <n v="7"/>
    <n v="33514.49"/>
    <n v="4"/>
    <n v="4"/>
    <n v="3"/>
    <s v="443"/>
    <x v="0"/>
  </r>
  <r>
    <x v="194"/>
    <d v="2025-11-15T09:00:07"/>
    <x v="1"/>
    <x v="6"/>
    <x v="0"/>
    <n v="5041.88"/>
    <n v="160"/>
    <n v="9"/>
    <n v="56095.37999999999"/>
    <n v="4"/>
    <n v="2"/>
    <n v="1"/>
    <s v="421"/>
    <x v="4"/>
  </r>
  <r>
    <x v="99"/>
    <d v="2025-11-15T09:00:07"/>
    <x v="5"/>
    <x v="2"/>
    <x v="2"/>
    <n v="4064.24"/>
    <n v="160"/>
    <n v="10"/>
    <n v="47973.33"/>
    <n v="4"/>
    <n v="2"/>
    <n v="1"/>
    <s v="421"/>
    <x v="4"/>
  </r>
  <r>
    <x v="143"/>
    <d v="2025-11-15T09:00:07"/>
    <x v="7"/>
    <x v="5"/>
    <x v="0"/>
    <n v="2185.37"/>
    <n v="160"/>
    <n v="11"/>
    <n v="43247.159999999996"/>
    <n v="4"/>
    <n v="1"/>
    <n v="2"/>
    <s v="412"/>
    <x v="4"/>
  </r>
  <r>
    <x v="76"/>
    <d v="2025-11-15T09:00:07"/>
    <x v="7"/>
    <x v="5"/>
    <x v="1"/>
    <n v="3467.04"/>
    <n v="160"/>
    <n v="11"/>
    <n v="39808.47"/>
    <n v="4"/>
    <n v="1"/>
    <n v="2"/>
    <s v="412"/>
    <x v="4"/>
  </r>
  <r>
    <x v="76"/>
    <d v="2025-11-15T09:00:07"/>
    <x v="4"/>
    <x v="6"/>
    <x v="1"/>
    <n v="1061.28"/>
    <n v="160"/>
    <n v="11"/>
    <n v="39808.47"/>
    <n v="4"/>
    <n v="1"/>
    <n v="2"/>
    <s v="412"/>
    <x v="4"/>
  </r>
  <r>
    <x v="51"/>
    <d v="2025-11-15T09:00:07"/>
    <x v="7"/>
    <x v="4"/>
    <x v="2"/>
    <n v="2748.4"/>
    <n v="160"/>
    <n v="8"/>
    <n v="32019.260000000006"/>
    <n v="4"/>
    <n v="3"/>
    <n v="3"/>
    <s v="433"/>
    <x v="0"/>
  </r>
  <r>
    <x v="321"/>
    <d v="2025-11-16T09:00:07"/>
    <x v="3"/>
    <x v="2"/>
    <x v="1"/>
    <n v="7236.82"/>
    <n v="159"/>
    <n v="11"/>
    <n v="40714.880000000005"/>
    <n v="4"/>
    <n v="1"/>
    <n v="2"/>
    <s v="412"/>
    <x v="4"/>
  </r>
  <r>
    <x v="111"/>
    <d v="2025-11-16T09:00:07"/>
    <x v="3"/>
    <x v="0"/>
    <x v="2"/>
    <n v="5715.77"/>
    <n v="159"/>
    <n v="7"/>
    <n v="47955.99"/>
    <n v="4"/>
    <n v="4"/>
    <n v="1"/>
    <s v="441"/>
    <x v="0"/>
  </r>
  <r>
    <x v="163"/>
    <d v="2025-11-16T09:00:07"/>
    <x v="6"/>
    <x v="0"/>
    <x v="0"/>
    <n v="2672.77"/>
    <n v="159"/>
    <n v="9"/>
    <n v="30047.29"/>
    <n v="4"/>
    <n v="2"/>
    <n v="3"/>
    <s v="423"/>
    <x v="4"/>
  </r>
  <r>
    <x v="361"/>
    <d v="2025-11-17T09:00:07"/>
    <x v="5"/>
    <x v="2"/>
    <x v="0"/>
    <n v="5060.18"/>
    <n v="158"/>
    <n v="6"/>
    <n v="16743.59"/>
    <n v="4"/>
    <n v="4"/>
    <n v="5"/>
    <s v="445"/>
    <x v="0"/>
  </r>
  <r>
    <x v="211"/>
    <d v="2025-11-17T09:00:07"/>
    <x v="4"/>
    <x v="1"/>
    <x v="0"/>
    <n v="4690.09"/>
    <n v="158"/>
    <n v="8"/>
    <n v="29088.159999999996"/>
    <n v="4"/>
    <n v="3"/>
    <n v="4"/>
    <s v="434"/>
    <x v="0"/>
  </r>
  <r>
    <x v="37"/>
    <d v="2025-11-17T09:00:07"/>
    <x v="3"/>
    <x v="2"/>
    <x v="2"/>
    <n v="2555.41"/>
    <n v="158"/>
    <n v="7"/>
    <n v="24825.78"/>
    <n v="4"/>
    <n v="4"/>
    <n v="4"/>
    <s v="444"/>
    <x v="0"/>
  </r>
  <r>
    <x v="178"/>
    <d v="2025-11-17T09:00:07"/>
    <x v="9"/>
    <x v="0"/>
    <x v="0"/>
    <n v="1061.33"/>
    <n v="158"/>
    <n v="4"/>
    <n v="12855.77"/>
    <n v="4"/>
    <n v="5"/>
    <n v="5"/>
    <s v="455"/>
    <x v="0"/>
  </r>
  <r>
    <x v="205"/>
    <d v="2025-11-17T09:00:07"/>
    <x v="7"/>
    <x v="1"/>
    <x v="2"/>
    <n v="2080.86"/>
    <n v="158"/>
    <n v="8"/>
    <n v="24691.75"/>
    <n v="4"/>
    <n v="3"/>
    <n v="4"/>
    <s v="434"/>
    <x v="0"/>
  </r>
  <r>
    <x v="13"/>
    <d v="2025-11-17T09:00:07"/>
    <x v="0"/>
    <x v="5"/>
    <x v="1"/>
    <n v="2199.16"/>
    <n v="158"/>
    <n v="7"/>
    <n v="26651.280000000002"/>
    <n v="4"/>
    <n v="4"/>
    <n v="4"/>
    <s v="444"/>
    <x v="0"/>
  </r>
  <r>
    <x v="46"/>
    <d v="2025-11-17T09:00:07"/>
    <x v="8"/>
    <x v="0"/>
    <x v="1"/>
    <n v="1722.67"/>
    <n v="158"/>
    <n v="8"/>
    <n v="30848.15"/>
    <n v="4"/>
    <n v="3"/>
    <n v="3"/>
    <s v="433"/>
    <x v="0"/>
  </r>
  <r>
    <x v="385"/>
    <d v="2025-11-17T09:00:07"/>
    <x v="9"/>
    <x v="1"/>
    <x v="0"/>
    <n v="1446.65"/>
    <n v="158"/>
    <n v="3"/>
    <n v="11810.94"/>
    <n v="4"/>
    <n v="5"/>
    <n v="5"/>
    <s v="455"/>
    <x v="0"/>
  </r>
  <r>
    <x v="259"/>
    <d v="2025-11-17T09:00:07"/>
    <x v="6"/>
    <x v="5"/>
    <x v="1"/>
    <n v="2700.37"/>
    <n v="158"/>
    <n v="10"/>
    <n v="33545.49"/>
    <n v="4"/>
    <n v="2"/>
    <n v="3"/>
    <s v="423"/>
    <x v="4"/>
  </r>
  <r>
    <x v="190"/>
    <d v="2025-11-17T09:00:07"/>
    <x v="0"/>
    <x v="1"/>
    <x v="2"/>
    <n v="3757.47"/>
    <n v="158"/>
    <n v="13"/>
    <n v="51409.87"/>
    <n v="4"/>
    <n v="1"/>
    <n v="1"/>
    <s v="411"/>
    <x v="4"/>
  </r>
  <r>
    <x v="317"/>
    <d v="2025-11-17T09:00:07"/>
    <x v="6"/>
    <x v="1"/>
    <x v="1"/>
    <n v="6360.21"/>
    <n v="158"/>
    <n v="10"/>
    <n v="45640.06"/>
    <n v="4"/>
    <n v="2"/>
    <n v="1"/>
    <s v="421"/>
    <x v="4"/>
  </r>
  <r>
    <x v="53"/>
    <d v="2025-11-18T09:00:07"/>
    <x v="8"/>
    <x v="4"/>
    <x v="2"/>
    <n v="2526.1999999999998"/>
    <n v="157"/>
    <n v="8"/>
    <n v="23394.15"/>
    <n v="4"/>
    <n v="3"/>
    <n v="4"/>
    <s v="434"/>
    <x v="0"/>
  </r>
  <r>
    <x v="82"/>
    <d v="2025-11-18T09:00:07"/>
    <x v="7"/>
    <x v="5"/>
    <x v="2"/>
    <n v="3566.85"/>
    <n v="157"/>
    <n v="7"/>
    <n v="29725.939999999995"/>
    <n v="4"/>
    <n v="4"/>
    <n v="3"/>
    <s v="443"/>
    <x v="0"/>
  </r>
  <r>
    <x v="190"/>
    <d v="2025-11-18T09:00:07"/>
    <x v="7"/>
    <x v="6"/>
    <x v="0"/>
    <n v="4580.49"/>
    <n v="157"/>
    <n v="13"/>
    <n v="51409.87"/>
    <n v="4"/>
    <n v="1"/>
    <n v="1"/>
    <s v="411"/>
    <x v="4"/>
  </r>
  <r>
    <x v="265"/>
    <d v="2025-11-18T09:00:07"/>
    <x v="9"/>
    <x v="4"/>
    <x v="2"/>
    <n v="3489.21"/>
    <n v="157"/>
    <n v="8"/>
    <n v="37946.1"/>
    <n v="4"/>
    <n v="3"/>
    <n v="2"/>
    <s v="432"/>
    <x v="0"/>
  </r>
  <r>
    <x v="392"/>
    <d v="2025-11-18T09:00:07"/>
    <x v="6"/>
    <x v="5"/>
    <x v="1"/>
    <n v="2092.2199999999998"/>
    <n v="157"/>
    <n v="9"/>
    <n v="33344.589999999997"/>
    <n v="4"/>
    <n v="2"/>
    <n v="3"/>
    <s v="423"/>
    <x v="4"/>
  </r>
  <r>
    <x v="365"/>
    <d v="2025-11-18T09:00:07"/>
    <x v="2"/>
    <x v="0"/>
    <x v="1"/>
    <n v="3522.09"/>
    <n v="157"/>
    <n v="6"/>
    <n v="25394.229999999996"/>
    <n v="4"/>
    <n v="4"/>
    <n v="4"/>
    <s v="444"/>
    <x v="0"/>
  </r>
  <r>
    <x v="81"/>
    <d v="2025-11-19T09:00:07"/>
    <x v="7"/>
    <x v="2"/>
    <x v="1"/>
    <n v="1092.83"/>
    <n v="156"/>
    <n v="12"/>
    <n v="27185.14"/>
    <n v="4"/>
    <n v="1"/>
    <n v="4"/>
    <s v="414"/>
    <x v="4"/>
  </r>
  <r>
    <x v="327"/>
    <d v="2025-11-19T09:00:07"/>
    <x v="9"/>
    <x v="1"/>
    <x v="2"/>
    <n v="5840.12"/>
    <n v="156"/>
    <n v="5"/>
    <n v="22595.8"/>
    <n v="4"/>
    <n v="5"/>
    <n v="4"/>
    <s v="454"/>
    <x v="0"/>
  </r>
  <r>
    <x v="91"/>
    <d v="2025-11-19T09:00:07"/>
    <x v="6"/>
    <x v="3"/>
    <x v="2"/>
    <n v="4029.04"/>
    <n v="156"/>
    <n v="7"/>
    <n v="21209.440000000002"/>
    <n v="4"/>
    <n v="4"/>
    <n v="5"/>
    <s v="445"/>
    <x v="0"/>
  </r>
  <r>
    <x v="158"/>
    <d v="2025-11-19T09:00:07"/>
    <x v="2"/>
    <x v="3"/>
    <x v="1"/>
    <n v="2280.5300000000002"/>
    <n v="156"/>
    <n v="9"/>
    <n v="36713.85"/>
    <n v="4"/>
    <n v="2"/>
    <n v="3"/>
    <s v="423"/>
    <x v="4"/>
  </r>
  <r>
    <x v="169"/>
    <d v="2025-11-19T09:00:07"/>
    <x v="0"/>
    <x v="3"/>
    <x v="2"/>
    <n v="5066.67"/>
    <n v="156"/>
    <n v="10"/>
    <n v="28216.130000000005"/>
    <n v="4"/>
    <n v="2"/>
    <n v="4"/>
    <s v="424"/>
    <x v="4"/>
  </r>
  <r>
    <x v="370"/>
    <d v="2025-11-19T09:00:07"/>
    <x v="4"/>
    <x v="4"/>
    <x v="0"/>
    <n v="20378.11"/>
    <n v="156"/>
    <n v="12"/>
    <n v="83986.299999999988"/>
    <n v="4"/>
    <n v="1"/>
    <n v="1"/>
    <s v="411"/>
    <x v="4"/>
  </r>
  <r>
    <x v="36"/>
    <d v="2025-11-19T09:00:07"/>
    <x v="5"/>
    <x v="1"/>
    <x v="0"/>
    <n v="2205.14"/>
    <n v="156"/>
    <n v="12"/>
    <n v="44897.450000000004"/>
    <n v="4"/>
    <n v="1"/>
    <n v="1"/>
    <s v="411"/>
    <x v="4"/>
  </r>
  <r>
    <x v="122"/>
    <d v="2025-11-20T09:00:07"/>
    <x v="0"/>
    <x v="6"/>
    <x v="2"/>
    <n v="2028.17"/>
    <n v="155"/>
    <n v="10"/>
    <n v="45537.319999999992"/>
    <n v="4"/>
    <n v="2"/>
    <n v="1"/>
    <s v="421"/>
    <x v="4"/>
  </r>
  <r>
    <x v="24"/>
    <d v="2025-11-20T09:00:07"/>
    <x v="2"/>
    <x v="2"/>
    <x v="2"/>
    <n v="5690.37"/>
    <n v="155"/>
    <n v="10"/>
    <n v="34623.81"/>
    <n v="4"/>
    <n v="2"/>
    <n v="3"/>
    <s v="423"/>
    <x v="4"/>
  </r>
  <r>
    <x v="228"/>
    <d v="2025-11-20T09:00:07"/>
    <x v="4"/>
    <x v="5"/>
    <x v="0"/>
    <n v="2921.7"/>
    <n v="155"/>
    <n v="6"/>
    <n v="17195.870000000003"/>
    <n v="4"/>
    <n v="4"/>
    <n v="5"/>
    <s v="445"/>
    <x v="0"/>
  </r>
  <r>
    <x v="199"/>
    <d v="2025-11-20T09:00:07"/>
    <x v="1"/>
    <x v="5"/>
    <x v="2"/>
    <n v="1326.55"/>
    <n v="155"/>
    <n v="13"/>
    <n v="40298.450000000004"/>
    <n v="4"/>
    <n v="1"/>
    <n v="2"/>
    <s v="412"/>
    <x v="4"/>
  </r>
  <r>
    <x v="195"/>
    <d v="2025-11-21T09:00:07"/>
    <x v="0"/>
    <x v="2"/>
    <x v="0"/>
    <n v="2892.72"/>
    <n v="154"/>
    <n v="10"/>
    <n v="37984.589999999997"/>
    <n v="4"/>
    <n v="2"/>
    <n v="2"/>
    <s v="422"/>
    <x v="4"/>
  </r>
  <r>
    <x v="333"/>
    <d v="2025-11-21T09:00:07"/>
    <x v="5"/>
    <x v="3"/>
    <x v="2"/>
    <n v="1254.17"/>
    <n v="154"/>
    <n v="10"/>
    <n v="42023.55"/>
    <n v="4"/>
    <n v="2"/>
    <n v="2"/>
    <s v="422"/>
    <x v="4"/>
  </r>
  <r>
    <x v="173"/>
    <d v="2025-11-22T09:00:07"/>
    <x v="0"/>
    <x v="3"/>
    <x v="0"/>
    <n v="641.73"/>
    <n v="153"/>
    <n v="7"/>
    <n v="22005.660000000003"/>
    <n v="4"/>
    <n v="4"/>
    <n v="4"/>
    <s v="444"/>
    <x v="0"/>
  </r>
  <r>
    <x v="66"/>
    <d v="2025-11-23T09:00:07"/>
    <x v="5"/>
    <x v="3"/>
    <x v="1"/>
    <n v="8578.6200000000008"/>
    <n v="152"/>
    <n v="6"/>
    <n v="26179.75"/>
    <n v="4"/>
    <n v="4"/>
    <n v="4"/>
    <s v="444"/>
    <x v="0"/>
  </r>
  <r>
    <x v="189"/>
    <d v="2025-11-23T09:00:07"/>
    <x v="3"/>
    <x v="0"/>
    <x v="0"/>
    <n v="3123.17"/>
    <n v="152"/>
    <n v="11"/>
    <n v="45651.77"/>
    <n v="4"/>
    <n v="1"/>
    <n v="1"/>
    <s v="411"/>
    <x v="4"/>
  </r>
  <r>
    <x v="277"/>
    <d v="2025-11-23T09:00:07"/>
    <x v="4"/>
    <x v="5"/>
    <x v="0"/>
    <n v="2072.91"/>
    <n v="152"/>
    <n v="10"/>
    <n v="40760.559999999998"/>
    <n v="4"/>
    <n v="2"/>
    <n v="2"/>
    <s v="422"/>
    <x v="4"/>
  </r>
  <r>
    <x v="281"/>
    <d v="2025-11-23T09:00:07"/>
    <x v="7"/>
    <x v="4"/>
    <x v="0"/>
    <n v="4130.0200000000004"/>
    <n v="152"/>
    <n v="5"/>
    <n v="23857.670000000002"/>
    <n v="4"/>
    <n v="5"/>
    <n v="4"/>
    <s v="454"/>
    <x v="0"/>
  </r>
  <r>
    <x v="96"/>
    <d v="2025-11-23T09:00:07"/>
    <x v="9"/>
    <x v="3"/>
    <x v="0"/>
    <n v="3544.86"/>
    <n v="152"/>
    <n v="11"/>
    <n v="62038.55"/>
    <n v="4"/>
    <n v="1"/>
    <n v="1"/>
    <s v="411"/>
    <x v="4"/>
  </r>
  <r>
    <x v="232"/>
    <d v="2025-11-24T09:00:07"/>
    <x v="1"/>
    <x v="1"/>
    <x v="2"/>
    <n v="3632.23"/>
    <n v="151"/>
    <n v="12"/>
    <n v="42146.06"/>
    <n v="4"/>
    <n v="1"/>
    <n v="2"/>
    <s v="412"/>
    <x v="4"/>
  </r>
  <r>
    <x v="238"/>
    <d v="2025-11-24T09:00:07"/>
    <x v="4"/>
    <x v="6"/>
    <x v="2"/>
    <n v="6507.65"/>
    <n v="151"/>
    <n v="5"/>
    <n v="17833.57"/>
    <n v="4"/>
    <n v="5"/>
    <n v="5"/>
    <s v="455"/>
    <x v="0"/>
  </r>
  <r>
    <x v="368"/>
    <d v="2025-11-24T09:00:07"/>
    <x v="5"/>
    <x v="6"/>
    <x v="1"/>
    <n v="1214.33"/>
    <n v="151"/>
    <n v="10"/>
    <n v="44572.97"/>
    <n v="4"/>
    <n v="2"/>
    <n v="2"/>
    <s v="422"/>
    <x v="4"/>
  </r>
  <r>
    <x v="43"/>
    <d v="2025-11-24T09:00:07"/>
    <x v="3"/>
    <x v="2"/>
    <x v="0"/>
    <n v="2880.53"/>
    <n v="151"/>
    <n v="11"/>
    <n v="39674.43"/>
    <n v="4"/>
    <n v="1"/>
    <n v="2"/>
    <s v="412"/>
    <x v="4"/>
  </r>
  <r>
    <x v="103"/>
    <d v="2025-11-25T09:00:07"/>
    <x v="6"/>
    <x v="4"/>
    <x v="2"/>
    <n v="4607.4399999999996"/>
    <n v="150"/>
    <n v="15"/>
    <n v="55867.080000000016"/>
    <n v="4"/>
    <n v="1"/>
    <n v="1"/>
    <s v="411"/>
    <x v="4"/>
  </r>
  <r>
    <x v="298"/>
    <d v="2025-11-25T09:00:07"/>
    <x v="0"/>
    <x v="3"/>
    <x v="0"/>
    <n v="1947.37"/>
    <n v="150"/>
    <n v="9"/>
    <n v="40942.560000000005"/>
    <n v="4"/>
    <n v="2"/>
    <n v="2"/>
    <s v="422"/>
    <x v="4"/>
  </r>
  <r>
    <x v="38"/>
    <d v="2025-11-25T09:00:07"/>
    <x v="6"/>
    <x v="3"/>
    <x v="0"/>
    <n v="1972.64"/>
    <n v="150"/>
    <n v="7"/>
    <n v="21298.79"/>
    <n v="4"/>
    <n v="4"/>
    <n v="5"/>
    <s v="445"/>
    <x v="0"/>
  </r>
  <r>
    <x v="9"/>
    <d v="2025-11-26T09:00:07"/>
    <x v="7"/>
    <x v="2"/>
    <x v="1"/>
    <n v="7435.87"/>
    <n v="149"/>
    <n v="10"/>
    <n v="67378.48000000001"/>
    <n v="4"/>
    <n v="2"/>
    <n v="1"/>
    <s v="421"/>
    <x v="4"/>
  </r>
  <r>
    <x v="348"/>
    <d v="2025-11-26T09:00:07"/>
    <x v="8"/>
    <x v="0"/>
    <x v="2"/>
    <n v="382.27"/>
    <n v="149"/>
    <n v="8"/>
    <n v="27090.329999999998"/>
    <n v="4"/>
    <n v="3"/>
    <n v="4"/>
    <s v="434"/>
    <x v="0"/>
  </r>
  <r>
    <x v="391"/>
    <d v="2025-11-26T09:00:07"/>
    <x v="3"/>
    <x v="5"/>
    <x v="2"/>
    <n v="1234.19"/>
    <n v="149"/>
    <n v="5"/>
    <n v="14717.050000000001"/>
    <n v="4"/>
    <n v="5"/>
    <n v="5"/>
    <s v="455"/>
    <x v="0"/>
  </r>
  <r>
    <x v="145"/>
    <d v="2025-11-26T09:00:07"/>
    <x v="4"/>
    <x v="4"/>
    <x v="2"/>
    <n v="3703.05"/>
    <n v="149"/>
    <n v="6"/>
    <n v="24862.18"/>
    <n v="4"/>
    <n v="4"/>
    <n v="4"/>
    <s v="444"/>
    <x v="0"/>
  </r>
  <r>
    <x v="98"/>
    <d v="2025-11-26T09:00:07"/>
    <x v="1"/>
    <x v="4"/>
    <x v="1"/>
    <n v="1834.11"/>
    <n v="149"/>
    <n v="7"/>
    <n v="33081.189999999995"/>
    <n v="4"/>
    <n v="4"/>
    <n v="3"/>
    <s v="443"/>
    <x v="0"/>
  </r>
  <r>
    <x v="305"/>
    <d v="2025-11-26T09:00:07"/>
    <x v="5"/>
    <x v="0"/>
    <x v="0"/>
    <n v="3441.38"/>
    <n v="149"/>
    <n v="7"/>
    <n v="31771.820000000003"/>
    <n v="4"/>
    <n v="4"/>
    <n v="3"/>
    <s v="443"/>
    <x v="0"/>
  </r>
  <r>
    <x v="209"/>
    <d v="2025-11-26T09:00:07"/>
    <x v="4"/>
    <x v="2"/>
    <x v="2"/>
    <n v="849.12"/>
    <n v="149"/>
    <n v="11"/>
    <n v="43753.86"/>
    <n v="4"/>
    <n v="1"/>
    <n v="2"/>
    <s v="412"/>
    <x v="4"/>
  </r>
  <r>
    <x v="235"/>
    <d v="2025-11-27T09:00:07"/>
    <x v="0"/>
    <x v="6"/>
    <x v="2"/>
    <n v="3427.45"/>
    <n v="148"/>
    <n v="8"/>
    <n v="29892.99"/>
    <n v="4"/>
    <n v="3"/>
    <n v="3"/>
    <s v="433"/>
    <x v="0"/>
  </r>
  <r>
    <x v="187"/>
    <d v="2025-11-27T09:00:07"/>
    <x v="0"/>
    <x v="6"/>
    <x v="1"/>
    <n v="7297.33"/>
    <n v="148"/>
    <n v="9"/>
    <n v="31221.600000000002"/>
    <n v="4"/>
    <n v="2"/>
    <n v="3"/>
    <s v="423"/>
    <x v="4"/>
  </r>
  <r>
    <x v="384"/>
    <d v="2025-11-27T09:00:07"/>
    <x v="2"/>
    <x v="4"/>
    <x v="2"/>
    <n v="6055.86"/>
    <n v="148"/>
    <n v="6"/>
    <n v="19427.86"/>
    <n v="4"/>
    <n v="4"/>
    <n v="5"/>
    <s v="445"/>
    <x v="0"/>
  </r>
  <r>
    <x v="192"/>
    <d v="2025-11-28T09:00:07"/>
    <x v="8"/>
    <x v="5"/>
    <x v="0"/>
    <n v="1953.21"/>
    <n v="147"/>
    <n v="12"/>
    <n v="45191.609999999993"/>
    <n v="4"/>
    <n v="1"/>
    <n v="1"/>
    <s v="411"/>
    <x v="4"/>
  </r>
  <r>
    <x v="35"/>
    <d v="2025-11-28T09:00:07"/>
    <x v="8"/>
    <x v="4"/>
    <x v="1"/>
    <n v="2037.9"/>
    <n v="147"/>
    <n v="8"/>
    <n v="38894.44"/>
    <n v="4"/>
    <n v="3"/>
    <n v="2"/>
    <s v="432"/>
    <x v="0"/>
  </r>
  <r>
    <x v="373"/>
    <d v="2025-11-28T09:00:07"/>
    <x v="3"/>
    <x v="1"/>
    <x v="1"/>
    <n v="1795.99"/>
    <n v="147"/>
    <n v="7"/>
    <n v="28804.870000000003"/>
    <n v="4"/>
    <n v="4"/>
    <n v="4"/>
    <s v="444"/>
    <x v="0"/>
  </r>
  <r>
    <x v="76"/>
    <d v="2025-11-28T09:00:07"/>
    <x v="1"/>
    <x v="5"/>
    <x v="2"/>
    <n v="2561.06"/>
    <n v="147"/>
    <n v="11"/>
    <n v="39808.47"/>
    <n v="4"/>
    <n v="1"/>
    <n v="2"/>
    <s v="412"/>
    <x v="4"/>
  </r>
  <r>
    <x v="331"/>
    <d v="2025-11-28T09:00:07"/>
    <x v="5"/>
    <x v="3"/>
    <x v="2"/>
    <n v="12117.21"/>
    <n v="147"/>
    <n v="9"/>
    <n v="45883.96"/>
    <n v="4"/>
    <n v="2"/>
    <n v="1"/>
    <s v="421"/>
    <x v="4"/>
  </r>
  <r>
    <x v="231"/>
    <d v="2025-11-29T09:00:07"/>
    <x v="4"/>
    <x v="4"/>
    <x v="2"/>
    <n v="4707.45"/>
    <n v="146"/>
    <n v="9"/>
    <n v="40711.57"/>
    <n v="4"/>
    <n v="2"/>
    <n v="2"/>
    <s v="422"/>
    <x v="4"/>
  </r>
  <r>
    <x v="334"/>
    <d v="2025-11-30T09:00:07"/>
    <x v="0"/>
    <x v="0"/>
    <x v="0"/>
    <n v="8139.84"/>
    <n v="145"/>
    <n v="5"/>
    <n v="25162.19"/>
    <n v="4"/>
    <n v="5"/>
    <n v="4"/>
    <s v="454"/>
    <x v="0"/>
  </r>
  <r>
    <x v="351"/>
    <d v="2025-11-30T09:00:07"/>
    <x v="4"/>
    <x v="3"/>
    <x v="2"/>
    <n v="2488.37"/>
    <n v="145"/>
    <n v="7"/>
    <n v="17082.88"/>
    <n v="4"/>
    <n v="4"/>
    <n v="5"/>
    <s v="445"/>
    <x v="0"/>
  </r>
  <r>
    <x v="56"/>
    <d v="2025-11-30T09:00:07"/>
    <x v="0"/>
    <x v="2"/>
    <x v="1"/>
    <n v="2311.52"/>
    <n v="145"/>
    <n v="12"/>
    <n v="38950.210000000006"/>
    <n v="4"/>
    <n v="1"/>
    <n v="2"/>
    <s v="412"/>
    <x v="4"/>
  </r>
  <r>
    <x v="313"/>
    <d v="2025-11-30T09:00:07"/>
    <x v="3"/>
    <x v="6"/>
    <x v="0"/>
    <n v="1044.73"/>
    <n v="145"/>
    <n v="5"/>
    <n v="16350.6"/>
    <n v="4"/>
    <n v="5"/>
    <n v="5"/>
    <s v="455"/>
    <x v="0"/>
  </r>
  <r>
    <x v="5"/>
    <d v="2025-11-30T09:00:07"/>
    <x v="1"/>
    <x v="5"/>
    <x v="2"/>
    <n v="6922.06"/>
    <n v="145"/>
    <n v="6"/>
    <n v="39626.31"/>
    <n v="4"/>
    <n v="4"/>
    <n v="2"/>
    <s v="442"/>
    <x v="0"/>
  </r>
  <r>
    <x v="270"/>
    <d v="2025-12-01T09:00:07"/>
    <x v="0"/>
    <x v="6"/>
    <x v="2"/>
    <n v="5964.52"/>
    <n v="144"/>
    <n v="4"/>
    <n v="29501.85"/>
    <n v="4"/>
    <n v="5"/>
    <n v="3"/>
    <s v="453"/>
    <x v="0"/>
  </r>
  <r>
    <x v="3"/>
    <d v="2025-12-01T09:00:07"/>
    <x v="7"/>
    <x v="1"/>
    <x v="0"/>
    <n v="2287.06"/>
    <n v="144"/>
    <n v="15"/>
    <n v="49637.999999999993"/>
    <n v="4"/>
    <n v="1"/>
    <n v="1"/>
    <s v="411"/>
    <x v="4"/>
  </r>
  <r>
    <x v="109"/>
    <d v="2025-12-01T09:00:07"/>
    <x v="9"/>
    <x v="3"/>
    <x v="2"/>
    <n v="5510.1"/>
    <n v="144"/>
    <n v="7"/>
    <n v="39486.589999999997"/>
    <n v="4"/>
    <n v="4"/>
    <n v="2"/>
    <s v="442"/>
    <x v="0"/>
  </r>
  <r>
    <x v="130"/>
    <d v="2025-12-02T09:00:07"/>
    <x v="6"/>
    <x v="0"/>
    <x v="2"/>
    <n v="4033.51"/>
    <n v="143"/>
    <n v="8"/>
    <n v="35723.81"/>
    <n v="5"/>
    <n v="3"/>
    <n v="3"/>
    <s v="533"/>
    <x v="0"/>
  </r>
  <r>
    <x v="103"/>
    <d v="2025-12-02T09:00:07"/>
    <x v="4"/>
    <x v="4"/>
    <x v="2"/>
    <n v="6208.61"/>
    <n v="143"/>
    <n v="15"/>
    <n v="55867.080000000016"/>
    <n v="5"/>
    <n v="1"/>
    <n v="1"/>
    <s v="511"/>
    <x v="4"/>
  </r>
  <r>
    <x v="96"/>
    <d v="2025-12-02T09:00:07"/>
    <x v="1"/>
    <x v="2"/>
    <x v="0"/>
    <n v="2177.84"/>
    <n v="143"/>
    <n v="11"/>
    <n v="62038.55"/>
    <n v="5"/>
    <n v="1"/>
    <n v="1"/>
    <s v="511"/>
    <x v="4"/>
  </r>
  <r>
    <x v="255"/>
    <d v="2025-12-02T09:00:07"/>
    <x v="9"/>
    <x v="2"/>
    <x v="2"/>
    <n v="3370.45"/>
    <n v="143"/>
    <n v="8"/>
    <n v="31675.43"/>
    <n v="5"/>
    <n v="3"/>
    <n v="3"/>
    <s v="533"/>
    <x v="0"/>
  </r>
  <r>
    <x v="248"/>
    <d v="2025-12-02T09:00:07"/>
    <x v="2"/>
    <x v="4"/>
    <x v="2"/>
    <n v="5316.53"/>
    <n v="143"/>
    <n v="8"/>
    <n v="34167.589999999997"/>
    <n v="5"/>
    <n v="3"/>
    <n v="3"/>
    <s v="533"/>
    <x v="0"/>
  </r>
  <r>
    <x v="275"/>
    <d v="2025-12-02T09:00:07"/>
    <x v="1"/>
    <x v="0"/>
    <x v="1"/>
    <n v="2750.75"/>
    <n v="143"/>
    <n v="9"/>
    <n v="36963.729999999996"/>
    <n v="5"/>
    <n v="2"/>
    <n v="2"/>
    <s v="522"/>
    <x v="4"/>
  </r>
  <r>
    <x v="240"/>
    <d v="2025-12-03T09:00:07"/>
    <x v="9"/>
    <x v="4"/>
    <x v="1"/>
    <n v="4905.83"/>
    <n v="142"/>
    <n v="10"/>
    <n v="27910.07"/>
    <n v="5"/>
    <n v="2"/>
    <n v="4"/>
    <s v="524"/>
    <x v="4"/>
  </r>
  <r>
    <x v="106"/>
    <d v="2025-12-03T09:00:07"/>
    <x v="5"/>
    <x v="5"/>
    <x v="2"/>
    <n v="4877.6000000000004"/>
    <n v="142"/>
    <n v="9"/>
    <n v="33349.999999999993"/>
    <n v="5"/>
    <n v="2"/>
    <n v="3"/>
    <s v="523"/>
    <x v="4"/>
  </r>
  <r>
    <x v="159"/>
    <d v="2025-12-03T09:00:07"/>
    <x v="9"/>
    <x v="4"/>
    <x v="2"/>
    <n v="13362.13"/>
    <n v="142"/>
    <n v="9"/>
    <n v="38753.799999999988"/>
    <n v="5"/>
    <n v="2"/>
    <n v="2"/>
    <s v="522"/>
    <x v="4"/>
  </r>
  <r>
    <x v="54"/>
    <d v="2025-12-04T09:00:07"/>
    <x v="8"/>
    <x v="1"/>
    <x v="0"/>
    <n v="1143.9000000000001"/>
    <n v="141"/>
    <n v="5"/>
    <n v="20723.400000000001"/>
    <n v="5"/>
    <n v="5"/>
    <n v="5"/>
    <s v="555"/>
    <x v="0"/>
  </r>
  <r>
    <x v="87"/>
    <d v="2025-12-04T09:00:07"/>
    <x v="0"/>
    <x v="3"/>
    <x v="2"/>
    <n v="3464.07"/>
    <n v="141"/>
    <n v="13"/>
    <n v="72511.88"/>
    <n v="5"/>
    <n v="1"/>
    <n v="1"/>
    <s v="511"/>
    <x v="4"/>
  </r>
  <r>
    <x v="275"/>
    <d v="2025-12-05T09:00:07"/>
    <x v="6"/>
    <x v="5"/>
    <x v="0"/>
    <n v="4497.62"/>
    <n v="140"/>
    <n v="9"/>
    <n v="36963.729999999996"/>
    <n v="5"/>
    <n v="2"/>
    <n v="2"/>
    <s v="522"/>
    <x v="4"/>
  </r>
  <r>
    <x v="91"/>
    <d v="2025-12-05T09:00:07"/>
    <x v="2"/>
    <x v="0"/>
    <x v="2"/>
    <n v="1132.6500000000001"/>
    <n v="140"/>
    <n v="7"/>
    <n v="21209.440000000002"/>
    <n v="5"/>
    <n v="4"/>
    <n v="5"/>
    <s v="545"/>
    <x v="0"/>
  </r>
  <r>
    <x v="88"/>
    <d v="2025-12-05T09:00:07"/>
    <x v="3"/>
    <x v="2"/>
    <x v="2"/>
    <n v="4001.39"/>
    <n v="140"/>
    <n v="11"/>
    <n v="62566.770000000004"/>
    <n v="5"/>
    <n v="1"/>
    <n v="1"/>
    <s v="511"/>
    <x v="4"/>
  </r>
  <r>
    <x v="370"/>
    <d v="2025-12-05T09:00:07"/>
    <x v="4"/>
    <x v="2"/>
    <x v="1"/>
    <n v="1028"/>
    <n v="140"/>
    <n v="12"/>
    <n v="83986.299999999988"/>
    <n v="5"/>
    <n v="1"/>
    <n v="1"/>
    <s v="511"/>
    <x v="4"/>
  </r>
  <r>
    <x v="169"/>
    <d v="2025-12-06T09:00:07"/>
    <x v="4"/>
    <x v="4"/>
    <x v="2"/>
    <n v="654.15"/>
    <n v="139"/>
    <n v="10"/>
    <n v="28216.130000000005"/>
    <n v="5"/>
    <n v="2"/>
    <n v="4"/>
    <s v="524"/>
    <x v="4"/>
  </r>
  <r>
    <x v="184"/>
    <d v="2025-12-07T09:00:07"/>
    <x v="0"/>
    <x v="1"/>
    <x v="1"/>
    <n v="3786.33"/>
    <n v="138"/>
    <n v="9"/>
    <n v="45498.270000000004"/>
    <n v="5"/>
    <n v="2"/>
    <n v="1"/>
    <s v="521"/>
    <x v="4"/>
  </r>
  <r>
    <x v="31"/>
    <d v="2025-12-07T09:00:07"/>
    <x v="3"/>
    <x v="6"/>
    <x v="1"/>
    <n v="7080.56"/>
    <n v="138"/>
    <n v="9"/>
    <n v="35330.950000000004"/>
    <n v="5"/>
    <n v="2"/>
    <n v="3"/>
    <s v="523"/>
    <x v="4"/>
  </r>
  <r>
    <x v="242"/>
    <d v="2025-12-07T09:00:07"/>
    <x v="2"/>
    <x v="4"/>
    <x v="2"/>
    <n v="2546.4299999999998"/>
    <n v="138"/>
    <n v="7"/>
    <n v="32869.479999999996"/>
    <n v="5"/>
    <n v="4"/>
    <n v="3"/>
    <s v="543"/>
    <x v="0"/>
  </r>
  <r>
    <x v="286"/>
    <d v="2025-12-07T09:00:07"/>
    <x v="6"/>
    <x v="0"/>
    <x v="2"/>
    <n v="6930.03"/>
    <n v="138"/>
    <n v="14"/>
    <n v="60099.840000000004"/>
    <n v="5"/>
    <n v="1"/>
    <n v="1"/>
    <s v="511"/>
    <x v="4"/>
  </r>
  <r>
    <x v="141"/>
    <d v="2025-12-08T09:00:07"/>
    <x v="2"/>
    <x v="5"/>
    <x v="0"/>
    <n v="4492.33"/>
    <n v="137"/>
    <n v="4"/>
    <n v="21498.129999999997"/>
    <n v="5"/>
    <n v="5"/>
    <n v="5"/>
    <s v="555"/>
    <x v="0"/>
  </r>
  <r>
    <x v="294"/>
    <d v="2025-12-08T09:00:07"/>
    <x v="1"/>
    <x v="1"/>
    <x v="2"/>
    <n v="2537.48"/>
    <n v="137"/>
    <n v="8"/>
    <n v="30924.840000000004"/>
    <n v="5"/>
    <n v="3"/>
    <n v="3"/>
    <s v="533"/>
    <x v="0"/>
  </r>
  <r>
    <x v="56"/>
    <d v="2025-12-09T09:00:07"/>
    <x v="6"/>
    <x v="6"/>
    <x v="2"/>
    <n v="5000.08"/>
    <n v="136"/>
    <n v="12"/>
    <n v="38950.210000000006"/>
    <n v="5"/>
    <n v="1"/>
    <n v="2"/>
    <s v="512"/>
    <x v="4"/>
  </r>
  <r>
    <x v="25"/>
    <d v="2025-12-09T09:00:07"/>
    <x v="1"/>
    <x v="6"/>
    <x v="0"/>
    <n v="2635.11"/>
    <n v="136"/>
    <n v="7"/>
    <n v="28511.58"/>
    <n v="5"/>
    <n v="4"/>
    <n v="4"/>
    <s v="544"/>
    <x v="0"/>
  </r>
  <r>
    <x v="81"/>
    <d v="2025-12-09T09:00:07"/>
    <x v="8"/>
    <x v="3"/>
    <x v="2"/>
    <n v="3900.18"/>
    <n v="136"/>
    <n v="12"/>
    <n v="27185.14"/>
    <n v="5"/>
    <n v="1"/>
    <n v="4"/>
    <s v="514"/>
    <x v="4"/>
  </r>
  <r>
    <x v="199"/>
    <d v="2025-12-10T09:00:07"/>
    <x v="8"/>
    <x v="6"/>
    <x v="2"/>
    <n v="3264.89"/>
    <n v="135"/>
    <n v="13"/>
    <n v="40298.450000000004"/>
    <n v="5"/>
    <n v="1"/>
    <n v="2"/>
    <s v="512"/>
    <x v="4"/>
  </r>
  <r>
    <x v="161"/>
    <d v="2025-12-10T09:00:07"/>
    <x v="1"/>
    <x v="4"/>
    <x v="2"/>
    <n v="1345.01"/>
    <n v="135"/>
    <n v="9"/>
    <n v="32548.37"/>
    <n v="5"/>
    <n v="2"/>
    <n v="3"/>
    <s v="523"/>
    <x v="4"/>
  </r>
  <r>
    <x v="264"/>
    <d v="2025-12-10T09:00:07"/>
    <x v="7"/>
    <x v="5"/>
    <x v="1"/>
    <n v="2501.08"/>
    <n v="135"/>
    <n v="7"/>
    <n v="30708.170000000002"/>
    <n v="5"/>
    <n v="4"/>
    <n v="3"/>
    <s v="543"/>
    <x v="0"/>
  </r>
  <r>
    <x v="24"/>
    <d v="2025-12-10T09:00:07"/>
    <x v="8"/>
    <x v="4"/>
    <x v="2"/>
    <n v="1647.46"/>
    <n v="135"/>
    <n v="10"/>
    <n v="34623.81"/>
    <n v="5"/>
    <n v="2"/>
    <n v="3"/>
    <s v="523"/>
    <x v="4"/>
  </r>
  <r>
    <x v="344"/>
    <d v="2025-12-10T09:00:07"/>
    <x v="1"/>
    <x v="3"/>
    <x v="1"/>
    <n v="627.98"/>
    <n v="135"/>
    <n v="8"/>
    <n v="29788.7"/>
    <n v="5"/>
    <n v="3"/>
    <n v="3"/>
    <s v="533"/>
    <x v="0"/>
  </r>
  <r>
    <x v="101"/>
    <d v="2025-12-10T09:00:07"/>
    <x v="8"/>
    <x v="2"/>
    <x v="2"/>
    <n v="727.35"/>
    <n v="135"/>
    <n v="5"/>
    <n v="29381.64"/>
    <n v="5"/>
    <n v="5"/>
    <n v="4"/>
    <s v="554"/>
    <x v="0"/>
  </r>
  <r>
    <x v="372"/>
    <d v="2025-12-10T09:00:07"/>
    <x v="2"/>
    <x v="4"/>
    <x v="0"/>
    <n v="1813.74"/>
    <n v="135"/>
    <n v="4"/>
    <n v="7399.6200000000008"/>
    <n v="5"/>
    <n v="5"/>
    <n v="5"/>
    <s v="555"/>
    <x v="0"/>
  </r>
  <r>
    <x v="379"/>
    <d v="2025-12-10T09:00:07"/>
    <x v="5"/>
    <x v="3"/>
    <x v="2"/>
    <n v="6402.85"/>
    <n v="135"/>
    <n v="3"/>
    <n v="15334.130000000001"/>
    <n v="5"/>
    <n v="5"/>
    <n v="5"/>
    <s v="555"/>
    <x v="0"/>
  </r>
  <r>
    <x v="336"/>
    <d v="2025-12-11T09:00:07"/>
    <x v="4"/>
    <x v="3"/>
    <x v="2"/>
    <n v="3866.2"/>
    <n v="134"/>
    <n v="9"/>
    <n v="34808.1"/>
    <n v="5"/>
    <n v="2"/>
    <n v="3"/>
    <s v="523"/>
    <x v="4"/>
  </r>
  <r>
    <x v="368"/>
    <d v="2025-12-11T09:00:07"/>
    <x v="8"/>
    <x v="0"/>
    <x v="0"/>
    <n v="9741.7099999999991"/>
    <n v="134"/>
    <n v="10"/>
    <n v="44572.97"/>
    <n v="5"/>
    <n v="2"/>
    <n v="2"/>
    <s v="522"/>
    <x v="4"/>
  </r>
  <r>
    <x v="315"/>
    <d v="2025-12-11T09:00:07"/>
    <x v="1"/>
    <x v="4"/>
    <x v="2"/>
    <n v="2889.94"/>
    <n v="134"/>
    <n v="7"/>
    <n v="18314.88"/>
    <n v="5"/>
    <n v="4"/>
    <n v="5"/>
    <s v="545"/>
    <x v="0"/>
  </r>
  <r>
    <x v="13"/>
    <d v="2025-12-12T09:00:07"/>
    <x v="9"/>
    <x v="2"/>
    <x v="2"/>
    <n v="5679.79"/>
    <n v="133"/>
    <n v="7"/>
    <n v="26651.280000000002"/>
    <n v="5"/>
    <n v="4"/>
    <n v="4"/>
    <s v="544"/>
    <x v="0"/>
  </r>
  <r>
    <x v="139"/>
    <d v="2025-12-12T09:00:07"/>
    <x v="7"/>
    <x v="4"/>
    <x v="1"/>
    <n v="1021.98"/>
    <n v="133"/>
    <n v="9"/>
    <n v="48530.240000000005"/>
    <n v="5"/>
    <n v="2"/>
    <n v="1"/>
    <s v="521"/>
    <x v="4"/>
  </r>
  <r>
    <x v="39"/>
    <d v="2025-12-12T09:00:07"/>
    <x v="8"/>
    <x v="1"/>
    <x v="2"/>
    <n v="4195.7700000000004"/>
    <n v="133"/>
    <n v="11"/>
    <n v="43110.84"/>
    <n v="5"/>
    <n v="1"/>
    <n v="2"/>
    <s v="512"/>
    <x v="4"/>
  </r>
  <r>
    <x v="214"/>
    <d v="2025-12-12T09:00:07"/>
    <x v="8"/>
    <x v="3"/>
    <x v="2"/>
    <n v="5798.73"/>
    <n v="133"/>
    <n v="5"/>
    <n v="18720.68"/>
    <n v="5"/>
    <n v="5"/>
    <n v="5"/>
    <s v="555"/>
    <x v="0"/>
  </r>
  <r>
    <x v="253"/>
    <d v="2025-12-12T09:00:07"/>
    <x v="8"/>
    <x v="2"/>
    <x v="2"/>
    <n v="6231.66"/>
    <n v="133"/>
    <n v="8"/>
    <n v="35967.03"/>
    <n v="5"/>
    <n v="3"/>
    <n v="3"/>
    <s v="533"/>
    <x v="0"/>
  </r>
  <r>
    <x v="234"/>
    <d v="2025-12-12T09:00:07"/>
    <x v="8"/>
    <x v="2"/>
    <x v="1"/>
    <n v="5348.4"/>
    <n v="133"/>
    <n v="6"/>
    <n v="29261.35"/>
    <n v="5"/>
    <n v="4"/>
    <n v="4"/>
    <s v="544"/>
    <x v="0"/>
  </r>
  <r>
    <x v="86"/>
    <d v="2025-12-13T09:00:07"/>
    <x v="4"/>
    <x v="6"/>
    <x v="2"/>
    <n v="465.54"/>
    <n v="132"/>
    <n v="7"/>
    <n v="18845.82"/>
    <n v="5"/>
    <n v="4"/>
    <n v="5"/>
    <s v="545"/>
    <x v="0"/>
  </r>
  <r>
    <x v="312"/>
    <d v="2025-12-13T09:00:07"/>
    <x v="4"/>
    <x v="0"/>
    <x v="0"/>
    <n v="2543.9899999999998"/>
    <n v="132"/>
    <n v="8"/>
    <n v="27291.54"/>
    <n v="5"/>
    <n v="3"/>
    <n v="4"/>
    <s v="534"/>
    <x v="0"/>
  </r>
  <r>
    <x v="373"/>
    <d v="2025-12-13T09:00:07"/>
    <x v="3"/>
    <x v="5"/>
    <x v="1"/>
    <n v="4123.17"/>
    <n v="132"/>
    <n v="7"/>
    <n v="28804.870000000003"/>
    <n v="5"/>
    <n v="4"/>
    <n v="4"/>
    <s v="544"/>
    <x v="0"/>
  </r>
  <r>
    <x v="87"/>
    <d v="2025-12-14T09:00:07"/>
    <x v="6"/>
    <x v="6"/>
    <x v="1"/>
    <n v="1450.51"/>
    <n v="131"/>
    <n v="13"/>
    <n v="72511.88"/>
    <n v="5"/>
    <n v="1"/>
    <n v="1"/>
    <s v="511"/>
    <x v="4"/>
  </r>
  <r>
    <x v="370"/>
    <d v="2025-12-15T09:00:07"/>
    <x v="9"/>
    <x v="6"/>
    <x v="0"/>
    <n v="3962.87"/>
    <n v="130"/>
    <n v="12"/>
    <n v="83986.299999999988"/>
    <n v="5"/>
    <n v="1"/>
    <n v="1"/>
    <s v="511"/>
    <x v="4"/>
  </r>
  <r>
    <x v="241"/>
    <d v="2025-12-15T09:00:07"/>
    <x v="8"/>
    <x v="6"/>
    <x v="2"/>
    <n v="5006.41"/>
    <n v="130"/>
    <n v="12"/>
    <n v="43413.4"/>
    <n v="5"/>
    <n v="1"/>
    <n v="2"/>
    <s v="512"/>
    <x v="4"/>
  </r>
  <r>
    <x v="232"/>
    <d v="2025-12-15T09:00:07"/>
    <x v="8"/>
    <x v="6"/>
    <x v="1"/>
    <n v="5093.99"/>
    <n v="130"/>
    <n v="12"/>
    <n v="42146.06"/>
    <n v="5"/>
    <n v="1"/>
    <n v="2"/>
    <s v="512"/>
    <x v="4"/>
  </r>
  <r>
    <x v="227"/>
    <d v="2025-12-15T09:00:07"/>
    <x v="1"/>
    <x v="0"/>
    <x v="2"/>
    <n v="5990.68"/>
    <n v="130"/>
    <n v="4"/>
    <n v="21830.14"/>
    <n v="5"/>
    <n v="5"/>
    <n v="4"/>
    <s v="554"/>
    <x v="0"/>
  </r>
  <r>
    <x v="208"/>
    <d v="2025-12-16T09:00:07"/>
    <x v="0"/>
    <x v="0"/>
    <x v="1"/>
    <n v="4983.4399999999996"/>
    <n v="129"/>
    <n v="8"/>
    <n v="27084.66"/>
    <n v="5"/>
    <n v="3"/>
    <n v="4"/>
    <s v="534"/>
    <x v="0"/>
  </r>
  <r>
    <x v="176"/>
    <d v="2025-12-16T09:00:07"/>
    <x v="7"/>
    <x v="0"/>
    <x v="1"/>
    <n v="7017.56"/>
    <n v="129"/>
    <n v="9"/>
    <n v="48978.57"/>
    <n v="5"/>
    <n v="2"/>
    <n v="1"/>
    <s v="521"/>
    <x v="4"/>
  </r>
  <r>
    <x v="314"/>
    <d v="2025-12-16T09:00:07"/>
    <x v="5"/>
    <x v="6"/>
    <x v="0"/>
    <n v="2414.71"/>
    <n v="129"/>
    <n v="6"/>
    <n v="22687.77"/>
    <n v="5"/>
    <n v="4"/>
    <n v="4"/>
    <s v="544"/>
    <x v="0"/>
  </r>
  <r>
    <x v="367"/>
    <d v="2025-12-16T09:00:07"/>
    <x v="5"/>
    <x v="3"/>
    <x v="2"/>
    <n v="526.26"/>
    <n v="129"/>
    <n v="5"/>
    <n v="21621.77"/>
    <n v="5"/>
    <n v="5"/>
    <n v="5"/>
    <s v="555"/>
    <x v="0"/>
  </r>
  <r>
    <x v="60"/>
    <d v="2025-12-16T09:00:07"/>
    <x v="4"/>
    <x v="6"/>
    <x v="0"/>
    <n v="4597.82"/>
    <n v="129"/>
    <n v="5"/>
    <n v="16253.25"/>
    <n v="5"/>
    <n v="5"/>
    <n v="5"/>
    <s v="555"/>
    <x v="0"/>
  </r>
  <r>
    <x v="130"/>
    <d v="2025-12-16T09:00:07"/>
    <x v="6"/>
    <x v="1"/>
    <x v="0"/>
    <n v="7325.79"/>
    <n v="129"/>
    <n v="8"/>
    <n v="35723.81"/>
    <n v="5"/>
    <n v="3"/>
    <n v="3"/>
    <s v="533"/>
    <x v="0"/>
  </r>
  <r>
    <x v="115"/>
    <d v="2025-12-16T09:00:07"/>
    <x v="3"/>
    <x v="0"/>
    <x v="1"/>
    <n v="2934.2"/>
    <n v="129"/>
    <n v="7"/>
    <n v="28040.249999999996"/>
    <n v="5"/>
    <n v="4"/>
    <n v="4"/>
    <s v="544"/>
    <x v="0"/>
  </r>
  <r>
    <x v="342"/>
    <d v="2025-12-17T09:00:07"/>
    <x v="8"/>
    <x v="6"/>
    <x v="0"/>
    <n v="688.92"/>
    <n v="128"/>
    <n v="6"/>
    <n v="19844.169999999998"/>
    <n v="5"/>
    <n v="4"/>
    <n v="5"/>
    <s v="545"/>
    <x v="0"/>
  </r>
  <r>
    <x v="349"/>
    <d v="2025-12-17T09:00:07"/>
    <x v="5"/>
    <x v="1"/>
    <x v="0"/>
    <n v="2331.2600000000002"/>
    <n v="128"/>
    <n v="8"/>
    <n v="22493.960000000003"/>
    <n v="5"/>
    <n v="3"/>
    <n v="4"/>
    <s v="534"/>
    <x v="0"/>
  </r>
  <r>
    <x v="218"/>
    <d v="2025-12-17T09:00:07"/>
    <x v="0"/>
    <x v="0"/>
    <x v="1"/>
    <n v="875.36"/>
    <n v="128"/>
    <n v="12"/>
    <n v="48008.159999999996"/>
    <n v="5"/>
    <n v="1"/>
    <n v="1"/>
    <s v="511"/>
    <x v="4"/>
  </r>
  <r>
    <x v="376"/>
    <d v="2025-12-17T09:00:07"/>
    <x v="7"/>
    <x v="4"/>
    <x v="1"/>
    <n v="5196.59"/>
    <n v="128"/>
    <n v="8"/>
    <n v="28310.01"/>
    <n v="5"/>
    <n v="3"/>
    <n v="4"/>
    <s v="534"/>
    <x v="0"/>
  </r>
  <r>
    <x v="262"/>
    <d v="2025-12-18T09:00:07"/>
    <x v="8"/>
    <x v="2"/>
    <x v="2"/>
    <n v="2305.1799999999998"/>
    <n v="127"/>
    <n v="7"/>
    <n v="20627.900000000001"/>
    <n v="5"/>
    <n v="4"/>
    <n v="5"/>
    <s v="545"/>
    <x v="0"/>
  </r>
  <r>
    <x v="241"/>
    <d v="2025-12-18T09:00:07"/>
    <x v="0"/>
    <x v="5"/>
    <x v="0"/>
    <n v="1566.45"/>
    <n v="127"/>
    <n v="12"/>
    <n v="43413.4"/>
    <n v="5"/>
    <n v="1"/>
    <n v="2"/>
    <s v="512"/>
    <x v="4"/>
  </r>
  <r>
    <x v="130"/>
    <d v="2025-12-18T09:00:07"/>
    <x v="9"/>
    <x v="5"/>
    <x v="1"/>
    <n v="1488.53"/>
    <n v="127"/>
    <n v="8"/>
    <n v="35723.81"/>
    <n v="5"/>
    <n v="3"/>
    <n v="3"/>
    <s v="533"/>
    <x v="0"/>
  </r>
  <r>
    <x v="99"/>
    <d v="2025-12-18T09:00:07"/>
    <x v="4"/>
    <x v="1"/>
    <x v="0"/>
    <n v="2894.98"/>
    <n v="127"/>
    <n v="10"/>
    <n v="47973.33"/>
    <n v="5"/>
    <n v="2"/>
    <n v="1"/>
    <s v="521"/>
    <x v="4"/>
  </r>
  <r>
    <x v="152"/>
    <d v="2025-12-19T09:00:07"/>
    <x v="1"/>
    <x v="3"/>
    <x v="0"/>
    <n v="11378.33"/>
    <n v="126"/>
    <n v="9"/>
    <n v="39366.480000000003"/>
    <n v="5"/>
    <n v="2"/>
    <n v="2"/>
    <s v="522"/>
    <x v="4"/>
  </r>
  <r>
    <x v="173"/>
    <d v="2025-12-19T09:00:07"/>
    <x v="5"/>
    <x v="3"/>
    <x v="2"/>
    <n v="1752.04"/>
    <n v="126"/>
    <n v="7"/>
    <n v="22005.660000000003"/>
    <n v="5"/>
    <n v="4"/>
    <n v="4"/>
    <s v="544"/>
    <x v="0"/>
  </r>
  <r>
    <x v="361"/>
    <d v="2025-12-19T09:00:07"/>
    <x v="5"/>
    <x v="4"/>
    <x v="1"/>
    <n v="2172.48"/>
    <n v="126"/>
    <n v="6"/>
    <n v="16743.59"/>
    <n v="5"/>
    <n v="4"/>
    <n v="5"/>
    <s v="545"/>
    <x v="0"/>
  </r>
  <r>
    <x v="153"/>
    <d v="2025-12-19T09:00:07"/>
    <x v="5"/>
    <x v="1"/>
    <x v="2"/>
    <n v="2909.94"/>
    <n v="126"/>
    <n v="7"/>
    <n v="17672.689999999999"/>
    <n v="5"/>
    <n v="4"/>
    <n v="5"/>
    <s v="545"/>
    <x v="0"/>
  </r>
  <r>
    <x v="199"/>
    <d v="2025-12-20T09:00:07"/>
    <x v="3"/>
    <x v="5"/>
    <x v="1"/>
    <n v="2667.05"/>
    <n v="125"/>
    <n v="13"/>
    <n v="40298.450000000004"/>
    <n v="5"/>
    <n v="1"/>
    <n v="2"/>
    <s v="512"/>
    <x v="4"/>
  </r>
  <r>
    <x v="280"/>
    <d v="2025-12-20T09:00:07"/>
    <x v="3"/>
    <x v="0"/>
    <x v="1"/>
    <n v="6904.9"/>
    <n v="125"/>
    <n v="16"/>
    <n v="64716.249999999985"/>
    <n v="5"/>
    <n v="1"/>
    <n v="1"/>
    <s v="511"/>
    <x v="4"/>
  </r>
  <r>
    <x v="107"/>
    <d v="2025-12-20T09:00:07"/>
    <x v="4"/>
    <x v="0"/>
    <x v="0"/>
    <n v="3552.69"/>
    <n v="125"/>
    <n v="4"/>
    <n v="10594.94"/>
    <n v="5"/>
    <n v="5"/>
    <n v="5"/>
    <s v="555"/>
    <x v="0"/>
  </r>
  <r>
    <x v="323"/>
    <d v="2025-12-20T09:00:07"/>
    <x v="6"/>
    <x v="5"/>
    <x v="0"/>
    <n v="1727.33"/>
    <n v="125"/>
    <n v="6"/>
    <n v="15612.87"/>
    <n v="5"/>
    <n v="4"/>
    <n v="5"/>
    <s v="545"/>
    <x v="0"/>
  </r>
  <r>
    <x v="233"/>
    <d v="2025-12-20T09:00:07"/>
    <x v="7"/>
    <x v="6"/>
    <x v="2"/>
    <n v="2841.05"/>
    <n v="125"/>
    <n v="5"/>
    <n v="30121.440000000002"/>
    <n v="5"/>
    <n v="5"/>
    <n v="3"/>
    <s v="553"/>
    <x v="0"/>
  </r>
  <r>
    <x v="187"/>
    <d v="2025-12-20T09:00:07"/>
    <x v="6"/>
    <x v="0"/>
    <x v="2"/>
    <n v="4918.05"/>
    <n v="125"/>
    <n v="9"/>
    <n v="31221.600000000002"/>
    <n v="5"/>
    <n v="2"/>
    <n v="3"/>
    <s v="523"/>
    <x v="4"/>
  </r>
  <r>
    <x v="201"/>
    <d v="2025-12-20T09:00:07"/>
    <x v="9"/>
    <x v="0"/>
    <x v="2"/>
    <n v="3494.2"/>
    <n v="125"/>
    <n v="9"/>
    <n v="44812.989999999991"/>
    <n v="5"/>
    <n v="2"/>
    <n v="2"/>
    <s v="522"/>
    <x v="4"/>
  </r>
  <r>
    <x v="150"/>
    <d v="2025-12-20T09:00:07"/>
    <x v="4"/>
    <x v="2"/>
    <x v="0"/>
    <n v="5697.49"/>
    <n v="125"/>
    <n v="7"/>
    <n v="24998.240000000005"/>
    <n v="5"/>
    <n v="4"/>
    <n v="4"/>
    <s v="544"/>
    <x v="0"/>
  </r>
  <r>
    <x v="321"/>
    <d v="2025-12-20T09:00:07"/>
    <x v="4"/>
    <x v="2"/>
    <x v="0"/>
    <n v="2733.02"/>
    <n v="125"/>
    <n v="11"/>
    <n v="40714.880000000005"/>
    <n v="5"/>
    <n v="1"/>
    <n v="2"/>
    <s v="512"/>
    <x v="4"/>
  </r>
  <r>
    <x v="322"/>
    <d v="2025-12-21T09:00:07"/>
    <x v="3"/>
    <x v="2"/>
    <x v="1"/>
    <n v="3165.92"/>
    <n v="124"/>
    <n v="10"/>
    <n v="36855.5"/>
    <n v="5"/>
    <n v="2"/>
    <n v="2"/>
    <s v="522"/>
    <x v="4"/>
  </r>
  <r>
    <x v="352"/>
    <d v="2025-12-21T09:00:07"/>
    <x v="3"/>
    <x v="6"/>
    <x v="1"/>
    <n v="3444.68"/>
    <n v="124"/>
    <n v="7"/>
    <n v="27438.3"/>
    <n v="5"/>
    <n v="4"/>
    <n v="4"/>
    <s v="544"/>
    <x v="0"/>
  </r>
  <r>
    <x v="149"/>
    <d v="2025-12-21T09:00:07"/>
    <x v="5"/>
    <x v="0"/>
    <x v="1"/>
    <n v="12527.93"/>
    <n v="124"/>
    <n v="4"/>
    <n v="26120.1"/>
    <n v="5"/>
    <n v="5"/>
    <n v="4"/>
    <s v="554"/>
    <x v="0"/>
  </r>
  <r>
    <x v="47"/>
    <d v="2025-12-21T09:00:07"/>
    <x v="7"/>
    <x v="0"/>
    <x v="0"/>
    <n v="4398.87"/>
    <n v="124"/>
    <n v="11"/>
    <n v="58842.799999999996"/>
    <n v="5"/>
    <n v="1"/>
    <n v="1"/>
    <s v="511"/>
    <x v="4"/>
  </r>
  <r>
    <x v="143"/>
    <d v="2025-12-21T09:00:07"/>
    <x v="9"/>
    <x v="0"/>
    <x v="1"/>
    <n v="4575.3500000000004"/>
    <n v="124"/>
    <n v="11"/>
    <n v="43247.159999999996"/>
    <n v="5"/>
    <n v="1"/>
    <n v="2"/>
    <s v="512"/>
    <x v="4"/>
  </r>
  <r>
    <x v="302"/>
    <d v="2025-12-22T09:00:07"/>
    <x v="0"/>
    <x v="4"/>
    <x v="0"/>
    <n v="7884.71"/>
    <n v="123"/>
    <n v="10"/>
    <n v="47284.22"/>
    <n v="5"/>
    <n v="2"/>
    <n v="1"/>
    <s v="521"/>
    <x v="4"/>
  </r>
  <r>
    <x v="290"/>
    <d v="2025-12-22T09:00:07"/>
    <x v="8"/>
    <x v="1"/>
    <x v="0"/>
    <n v="1450.83"/>
    <n v="123"/>
    <n v="6"/>
    <n v="21250.21"/>
    <n v="5"/>
    <n v="4"/>
    <n v="5"/>
    <s v="545"/>
    <x v="0"/>
  </r>
  <r>
    <x v="231"/>
    <d v="2025-12-22T09:00:07"/>
    <x v="5"/>
    <x v="6"/>
    <x v="2"/>
    <n v="3041.83"/>
    <n v="123"/>
    <n v="9"/>
    <n v="40711.57"/>
    <n v="5"/>
    <n v="2"/>
    <n v="2"/>
    <s v="522"/>
    <x v="4"/>
  </r>
  <r>
    <x v="182"/>
    <d v="2025-12-22T09:00:07"/>
    <x v="4"/>
    <x v="2"/>
    <x v="2"/>
    <n v="2780.09"/>
    <n v="123"/>
    <n v="13"/>
    <n v="49208.94"/>
    <n v="5"/>
    <n v="1"/>
    <n v="1"/>
    <s v="511"/>
    <x v="4"/>
  </r>
  <r>
    <x v="89"/>
    <d v="2025-12-22T09:00:07"/>
    <x v="0"/>
    <x v="3"/>
    <x v="2"/>
    <n v="2730.06"/>
    <n v="123"/>
    <n v="12"/>
    <n v="54905.279999999992"/>
    <n v="5"/>
    <n v="1"/>
    <n v="1"/>
    <s v="511"/>
    <x v="4"/>
  </r>
  <r>
    <x v="102"/>
    <d v="2025-12-23T09:00:07"/>
    <x v="0"/>
    <x v="5"/>
    <x v="0"/>
    <n v="9546.49"/>
    <n v="122"/>
    <n v="6"/>
    <n v="40190.459999999992"/>
    <n v="5"/>
    <n v="4"/>
    <n v="2"/>
    <s v="542"/>
    <x v="0"/>
  </r>
  <r>
    <x v="127"/>
    <d v="2025-12-24T09:00:07"/>
    <x v="5"/>
    <x v="6"/>
    <x v="1"/>
    <n v="13542.79"/>
    <n v="121"/>
    <n v="5"/>
    <n v="28709.97"/>
    <n v="5"/>
    <n v="5"/>
    <n v="4"/>
    <s v="554"/>
    <x v="0"/>
  </r>
  <r>
    <x v="311"/>
    <d v="2025-12-24T09:00:07"/>
    <x v="9"/>
    <x v="3"/>
    <x v="1"/>
    <n v="5151.33"/>
    <n v="121"/>
    <n v="5"/>
    <n v="19417.830000000002"/>
    <n v="5"/>
    <n v="5"/>
    <n v="5"/>
    <s v="555"/>
    <x v="0"/>
  </r>
  <r>
    <x v="119"/>
    <d v="2025-12-24T09:00:07"/>
    <x v="3"/>
    <x v="0"/>
    <x v="2"/>
    <n v="1893.45"/>
    <n v="121"/>
    <n v="11"/>
    <n v="29238.53"/>
    <n v="5"/>
    <n v="1"/>
    <n v="4"/>
    <s v="514"/>
    <x v="4"/>
  </r>
  <r>
    <x v="278"/>
    <d v="2025-12-24T09:00:07"/>
    <x v="1"/>
    <x v="4"/>
    <x v="1"/>
    <n v="1083.46"/>
    <n v="121"/>
    <n v="10"/>
    <n v="38069.94"/>
    <n v="5"/>
    <n v="2"/>
    <n v="2"/>
    <s v="522"/>
    <x v="4"/>
  </r>
  <r>
    <x v="272"/>
    <d v="2025-12-24T09:00:07"/>
    <x v="7"/>
    <x v="3"/>
    <x v="1"/>
    <n v="5586.48"/>
    <n v="121"/>
    <n v="13"/>
    <n v="49471.75"/>
    <n v="5"/>
    <n v="1"/>
    <n v="1"/>
    <s v="511"/>
    <x v="4"/>
  </r>
  <r>
    <x v="75"/>
    <d v="2025-12-25T09:00:07"/>
    <x v="1"/>
    <x v="5"/>
    <x v="0"/>
    <n v="553.16999999999996"/>
    <n v="120"/>
    <n v="9"/>
    <n v="37864.199999999997"/>
    <n v="5"/>
    <n v="2"/>
    <n v="2"/>
    <s v="522"/>
    <x v="4"/>
  </r>
  <r>
    <x v="346"/>
    <d v="2025-12-25T09:00:07"/>
    <x v="8"/>
    <x v="1"/>
    <x v="2"/>
    <n v="613.61"/>
    <n v="120"/>
    <n v="8"/>
    <n v="30873.260000000002"/>
    <n v="5"/>
    <n v="3"/>
    <n v="3"/>
    <s v="533"/>
    <x v="0"/>
  </r>
  <r>
    <x v="23"/>
    <d v="2025-12-25T09:00:07"/>
    <x v="0"/>
    <x v="2"/>
    <x v="2"/>
    <n v="1084.8699999999999"/>
    <n v="120"/>
    <n v="11"/>
    <n v="44004.459999999992"/>
    <n v="5"/>
    <n v="1"/>
    <n v="2"/>
    <s v="512"/>
    <x v="4"/>
  </r>
  <r>
    <x v="211"/>
    <d v="2025-12-25T09:00:07"/>
    <x v="7"/>
    <x v="4"/>
    <x v="1"/>
    <n v="1012.77"/>
    <n v="120"/>
    <n v="8"/>
    <n v="29088.159999999996"/>
    <n v="5"/>
    <n v="3"/>
    <n v="4"/>
    <s v="534"/>
    <x v="0"/>
  </r>
  <r>
    <x v="399"/>
    <d v="2025-12-25T09:00:07"/>
    <x v="0"/>
    <x v="1"/>
    <x v="2"/>
    <n v="4437.33"/>
    <n v="120"/>
    <n v="7"/>
    <n v="30282.260000000002"/>
    <n v="5"/>
    <n v="4"/>
    <n v="3"/>
    <s v="543"/>
    <x v="0"/>
  </r>
  <r>
    <x v="106"/>
    <d v="2025-12-26T09:00:07"/>
    <x v="2"/>
    <x v="5"/>
    <x v="1"/>
    <n v="316.08999999999997"/>
    <n v="119"/>
    <n v="9"/>
    <n v="33349.999999999993"/>
    <n v="5"/>
    <n v="2"/>
    <n v="3"/>
    <s v="523"/>
    <x v="4"/>
  </r>
  <r>
    <x v="353"/>
    <d v="2025-12-26T09:00:07"/>
    <x v="1"/>
    <x v="6"/>
    <x v="0"/>
    <n v="5425.36"/>
    <n v="119"/>
    <n v="6"/>
    <n v="30683.43"/>
    <n v="5"/>
    <n v="4"/>
    <n v="3"/>
    <s v="543"/>
    <x v="0"/>
  </r>
  <r>
    <x v="100"/>
    <d v="2025-12-26T09:00:07"/>
    <x v="0"/>
    <x v="0"/>
    <x v="0"/>
    <n v="4215.34"/>
    <n v="119"/>
    <n v="6"/>
    <n v="27182.68"/>
    <n v="5"/>
    <n v="4"/>
    <n v="4"/>
    <s v="544"/>
    <x v="0"/>
  </r>
  <r>
    <x v="273"/>
    <d v="2025-12-26T09:00:07"/>
    <x v="2"/>
    <x v="0"/>
    <x v="0"/>
    <n v="2352.83"/>
    <n v="119"/>
    <n v="11"/>
    <n v="38976.650000000009"/>
    <n v="5"/>
    <n v="1"/>
    <n v="2"/>
    <s v="512"/>
    <x v="4"/>
  </r>
  <r>
    <x v="128"/>
    <d v="2025-12-26T09:00:07"/>
    <x v="1"/>
    <x v="1"/>
    <x v="1"/>
    <n v="990.58"/>
    <n v="119"/>
    <n v="6"/>
    <n v="24977.25"/>
    <n v="5"/>
    <n v="4"/>
    <n v="4"/>
    <s v="544"/>
    <x v="0"/>
  </r>
  <r>
    <x v="175"/>
    <d v="2025-12-27T09:00:07"/>
    <x v="1"/>
    <x v="6"/>
    <x v="0"/>
    <n v="3225.58"/>
    <n v="118"/>
    <n v="6"/>
    <n v="15872.329999999998"/>
    <n v="5"/>
    <n v="4"/>
    <n v="5"/>
    <s v="545"/>
    <x v="0"/>
  </r>
  <r>
    <x v="199"/>
    <d v="2025-12-27T09:00:07"/>
    <x v="8"/>
    <x v="2"/>
    <x v="1"/>
    <n v="1661.09"/>
    <n v="118"/>
    <n v="13"/>
    <n v="40298.450000000004"/>
    <n v="5"/>
    <n v="1"/>
    <n v="2"/>
    <s v="512"/>
    <x v="4"/>
  </r>
  <r>
    <x v="97"/>
    <d v="2025-12-27T09:00:07"/>
    <x v="9"/>
    <x v="6"/>
    <x v="2"/>
    <n v="1544.11"/>
    <n v="118"/>
    <n v="7"/>
    <n v="20951.28"/>
    <n v="5"/>
    <n v="4"/>
    <n v="5"/>
    <s v="545"/>
    <x v="0"/>
  </r>
  <r>
    <x v="111"/>
    <d v="2025-12-27T09:00:07"/>
    <x v="6"/>
    <x v="0"/>
    <x v="0"/>
    <n v="7182.87"/>
    <n v="118"/>
    <n v="7"/>
    <n v="47955.99"/>
    <n v="5"/>
    <n v="4"/>
    <n v="1"/>
    <s v="541"/>
    <x v="0"/>
  </r>
  <r>
    <x v="3"/>
    <d v="2025-12-27T09:00:07"/>
    <x v="8"/>
    <x v="6"/>
    <x v="1"/>
    <n v="6858.24"/>
    <n v="118"/>
    <n v="15"/>
    <n v="49637.999999999993"/>
    <n v="5"/>
    <n v="1"/>
    <n v="1"/>
    <s v="511"/>
    <x v="4"/>
  </r>
  <r>
    <x v="383"/>
    <d v="2025-12-27T09:00:07"/>
    <x v="4"/>
    <x v="5"/>
    <x v="0"/>
    <n v="864.89"/>
    <n v="118"/>
    <n v="4"/>
    <n v="6852.89"/>
    <n v="5"/>
    <n v="5"/>
    <n v="5"/>
    <s v="555"/>
    <x v="0"/>
  </r>
  <r>
    <x v="395"/>
    <d v="2025-12-27T09:00:07"/>
    <x v="3"/>
    <x v="0"/>
    <x v="1"/>
    <n v="1145"/>
    <n v="118"/>
    <n v="2"/>
    <n v="8127.38"/>
    <n v="5"/>
    <n v="5"/>
    <n v="5"/>
    <s v="555"/>
    <x v="0"/>
  </r>
  <r>
    <x v="16"/>
    <d v="2025-12-28T09:00:07"/>
    <x v="6"/>
    <x v="0"/>
    <x v="1"/>
    <n v="3322.74"/>
    <n v="117"/>
    <n v="6"/>
    <n v="26817.25"/>
    <n v="5"/>
    <n v="4"/>
    <n v="4"/>
    <s v="544"/>
    <x v="0"/>
  </r>
  <r>
    <x v="185"/>
    <d v="2025-12-28T09:00:07"/>
    <x v="3"/>
    <x v="3"/>
    <x v="2"/>
    <n v="6610.48"/>
    <n v="117"/>
    <n v="9"/>
    <n v="38767.17"/>
    <n v="5"/>
    <n v="2"/>
    <n v="2"/>
    <s v="522"/>
    <x v="4"/>
  </r>
  <r>
    <x v="237"/>
    <d v="2025-12-28T09:00:07"/>
    <x v="5"/>
    <x v="5"/>
    <x v="0"/>
    <n v="4742.63"/>
    <n v="117"/>
    <n v="8"/>
    <n v="35247.5"/>
    <n v="5"/>
    <n v="3"/>
    <n v="3"/>
    <s v="533"/>
    <x v="0"/>
  </r>
  <r>
    <x v="327"/>
    <d v="2025-12-28T09:00:07"/>
    <x v="6"/>
    <x v="6"/>
    <x v="1"/>
    <n v="761.7"/>
    <n v="117"/>
    <n v="5"/>
    <n v="22595.8"/>
    <n v="5"/>
    <n v="5"/>
    <n v="4"/>
    <s v="554"/>
    <x v="0"/>
  </r>
  <r>
    <x v="112"/>
    <d v="2025-12-29T09:00:07"/>
    <x v="3"/>
    <x v="5"/>
    <x v="1"/>
    <n v="6256.6"/>
    <n v="116"/>
    <n v="7"/>
    <n v="25356.28"/>
    <n v="5"/>
    <n v="4"/>
    <n v="4"/>
    <s v="544"/>
    <x v="0"/>
  </r>
  <r>
    <x v="301"/>
    <d v="2025-12-29T09:00:07"/>
    <x v="5"/>
    <x v="5"/>
    <x v="1"/>
    <n v="3094.29"/>
    <n v="116"/>
    <n v="5"/>
    <n v="23179.78"/>
    <n v="5"/>
    <n v="5"/>
    <n v="4"/>
    <s v="554"/>
    <x v="0"/>
  </r>
  <r>
    <x v="139"/>
    <d v="2025-12-29T09:00:07"/>
    <x v="6"/>
    <x v="2"/>
    <x v="0"/>
    <n v="2590.1"/>
    <n v="116"/>
    <n v="9"/>
    <n v="48530.240000000005"/>
    <n v="5"/>
    <n v="2"/>
    <n v="1"/>
    <s v="521"/>
    <x v="4"/>
  </r>
  <r>
    <x v="368"/>
    <d v="2025-12-29T09:00:07"/>
    <x v="5"/>
    <x v="2"/>
    <x v="1"/>
    <n v="3829.12"/>
    <n v="116"/>
    <n v="10"/>
    <n v="44572.97"/>
    <n v="5"/>
    <n v="2"/>
    <n v="2"/>
    <s v="522"/>
    <x v="4"/>
  </r>
  <r>
    <x v="57"/>
    <d v="2025-12-30T09:00:07"/>
    <x v="8"/>
    <x v="0"/>
    <x v="0"/>
    <n v="7759.16"/>
    <n v="115"/>
    <n v="16"/>
    <n v="58237.360000000008"/>
    <n v="5"/>
    <n v="1"/>
    <n v="1"/>
    <s v="511"/>
    <x v="4"/>
  </r>
  <r>
    <x v="371"/>
    <d v="2025-12-30T09:00:07"/>
    <x v="4"/>
    <x v="4"/>
    <x v="0"/>
    <n v="1529.16"/>
    <n v="115"/>
    <n v="5"/>
    <n v="18024.71"/>
    <n v="5"/>
    <n v="5"/>
    <n v="5"/>
    <s v="555"/>
    <x v="0"/>
  </r>
  <r>
    <x v="329"/>
    <d v="2025-12-30T09:00:07"/>
    <x v="1"/>
    <x v="3"/>
    <x v="2"/>
    <n v="5228.2299999999996"/>
    <n v="115"/>
    <n v="8"/>
    <n v="29767.75"/>
    <n v="5"/>
    <n v="3"/>
    <n v="3"/>
    <s v="533"/>
    <x v="0"/>
  </r>
  <r>
    <x v="203"/>
    <d v="2025-12-30T09:00:07"/>
    <x v="9"/>
    <x v="3"/>
    <x v="0"/>
    <n v="3730.86"/>
    <n v="115"/>
    <n v="7"/>
    <n v="24539.160000000003"/>
    <n v="5"/>
    <n v="4"/>
    <n v="4"/>
    <s v="544"/>
    <x v="0"/>
  </r>
  <r>
    <x v="50"/>
    <d v="2026-01-01T09:00:07"/>
    <x v="2"/>
    <x v="5"/>
    <x v="2"/>
    <n v="3616.5"/>
    <n v="113"/>
    <n v="13"/>
    <n v="64175.24"/>
    <n v="5"/>
    <n v="1"/>
    <n v="1"/>
    <s v="511"/>
    <x v="4"/>
  </r>
  <r>
    <x v="141"/>
    <d v="2026-01-01T09:00:07"/>
    <x v="5"/>
    <x v="0"/>
    <x v="1"/>
    <n v="5099.6000000000004"/>
    <n v="113"/>
    <n v="4"/>
    <n v="21498.129999999997"/>
    <n v="5"/>
    <n v="5"/>
    <n v="5"/>
    <s v="555"/>
    <x v="0"/>
  </r>
  <r>
    <x v="369"/>
    <d v="2026-01-01T09:00:07"/>
    <x v="0"/>
    <x v="4"/>
    <x v="0"/>
    <n v="5821.32"/>
    <n v="113"/>
    <n v="3"/>
    <n v="10924.82"/>
    <n v="5"/>
    <n v="5"/>
    <n v="5"/>
    <s v="555"/>
    <x v="0"/>
  </r>
  <r>
    <x v="289"/>
    <d v="2026-01-01T09:00:07"/>
    <x v="5"/>
    <x v="6"/>
    <x v="2"/>
    <n v="5762.06"/>
    <n v="113"/>
    <n v="6"/>
    <n v="29693.030000000002"/>
    <n v="5"/>
    <n v="4"/>
    <n v="3"/>
    <s v="543"/>
    <x v="0"/>
  </r>
  <r>
    <x v="223"/>
    <d v="2026-01-01T09:00:07"/>
    <x v="6"/>
    <x v="2"/>
    <x v="2"/>
    <n v="1101.8"/>
    <n v="113"/>
    <n v="9"/>
    <n v="26752.640000000003"/>
    <n v="5"/>
    <n v="2"/>
    <n v="4"/>
    <s v="524"/>
    <x v="4"/>
  </r>
  <r>
    <x v="259"/>
    <d v="2026-01-01T09:00:07"/>
    <x v="1"/>
    <x v="3"/>
    <x v="0"/>
    <n v="4133.21"/>
    <n v="113"/>
    <n v="10"/>
    <n v="33545.49"/>
    <n v="5"/>
    <n v="2"/>
    <n v="3"/>
    <s v="523"/>
    <x v="4"/>
  </r>
  <r>
    <x v="125"/>
    <d v="2026-01-01T09:00:07"/>
    <x v="5"/>
    <x v="6"/>
    <x v="1"/>
    <n v="1720.59"/>
    <n v="113"/>
    <n v="9"/>
    <n v="33311.4"/>
    <n v="5"/>
    <n v="2"/>
    <n v="3"/>
    <s v="523"/>
    <x v="4"/>
  </r>
  <r>
    <x v="198"/>
    <d v="2026-01-01T09:00:07"/>
    <x v="1"/>
    <x v="4"/>
    <x v="2"/>
    <n v="3111.57"/>
    <n v="113"/>
    <n v="9"/>
    <n v="30846.7"/>
    <n v="5"/>
    <n v="2"/>
    <n v="3"/>
    <s v="523"/>
    <x v="4"/>
  </r>
  <r>
    <x v="84"/>
    <d v="2026-01-01T09:00:07"/>
    <x v="0"/>
    <x v="3"/>
    <x v="1"/>
    <n v="6124.11"/>
    <n v="113"/>
    <n v="4"/>
    <n v="25850.79"/>
    <n v="5"/>
    <n v="5"/>
    <n v="4"/>
    <s v="554"/>
    <x v="0"/>
  </r>
  <r>
    <x v="261"/>
    <d v="2026-01-02T09:00:07"/>
    <x v="7"/>
    <x v="4"/>
    <x v="0"/>
    <n v="876.28"/>
    <n v="112"/>
    <n v="4"/>
    <n v="10665.94"/>
    <n v="5"/>
    <n v="5"/>
    <n v="5"/>
    <s v="555"/>
    <x v="0"/>
  </r>
  <r>
    <x v="213"/>
    <d v="2026-01-02T09:00:07"/>
    <x v="4"/>
    <x v="3"/>
    <x v="1"/>
    <n v="1338.07"/>
    <n v="112"/>
    <n v="12"/>
    <n v="36909.899999999994"/>
    <n v="5"/>
    <n v="1"/>
    <n v="2"/>
    <s v="512"/>
    <x v="4"/>
  </r>
  <r>
    <x v="44"/>
    <d v="2026-01-02T09:00:07"/>
    <x v="6"/>
    <x v="2"/>
    <x v="2"/>
    <n v="1137.03"/>
    <n v="112"/>
    <n v="8"/>
    <n v="28879.600000000002"/>
    <n v="5"/>
    <n v="3"/>
    <n v="4"/>
    <s v="534"/>
    <x v="0"/>
  </r>
  <r>
    <x v="123"/>
    <d v="2026-01-02T09:00:07"/>
    <x v="5"/>
    <x v="0"/>
    <x v="2"/>
    <n v="3176.92"/>
    <n v="112"/>
    <n v="9"/>
    <n v="28813.449999999997"/>
    <n v="5"/>
    <n v="2"/>
    <n v="4"/>
    <s v="524"/>
    <x v="4"/>
  </r>
  <r>
    <x v="136"/>
    <d v="2026-01-02T09:00:07"/>
    <x v="8"/>
    <x v="2"/>
    <x v="1"/>
    <n v="11707.69"/>
    <n v="112"/>
    <n v="7"/>
    <n v="26629.329999999998"/>
    <n v="5"/>
    <n v="4"/>
    <n v="4"/>
    <s v="544"/>
    <x v="0"/>
  </r>
  <r>
    <x v="34"/>
    <d v="2026-01-02T09:00:07"/>
    <x v="4"/>
    <x v="4"/>
    <x v="1"/>
    <n v="5485.54"/>
    <n v="112"/>
    <n v="8"/>
    <n v="40213.310000000005"/>
    <n v="5"/>
    <n v="3"/>
    <n v="2"/>
    <s v="532"/>
    <x v="0"/>
  </r>
  <r>
    <x v="347"/>
    <d v="2026-01-02T09:00:07"/>
    <x v="7"/>
    <x v="4"/>
    <x v="0"/>
    <n v="6787.13"/>
    <n v="112"/>
    <n v="4"/>
    <n v="14706.1"/>
    <n v="5"/>
    <n v="5"/>
    <n v="5"/>
    <s v="555"/>
    <x v="0"/>
  </r>
  <r>
    <x v="286"/>
    <d v="2026-01-02T09:00:07"/>
    <x v="9"/>
    <x v="0"/>
    <x v="0"/>
    <n v="5413.65"/>
    <n v="112"/>
    <n v="14"/>
    <n v="60099.840000000004"/>
    <n v="5"/>
    <n v="1"/>
    <n v="1"/>
    <s v="511"/>
    <x v="4"/>
  </r>
  <r>
    <x v="355"/>
    <d v="2026-01-03T09:00:07"/>
    <x v="2"/>
    <x v="1"/>
    <x v="0"/>
    <n v="390.92"/>
    <n v="111"/>
    <n v="3"/>
    <n v="5573.4400000000005"/>
    <n v="5"/>
    <n v="5"/>
    <n v="5"/>
    <s v="555"/>
    <x v="0"/>
  </r>
  <r>
    <x v="73"/>
    <d v="2026-01-03T09:00:07"/>
    <x v="8"/>
    <x v="5"/>
    <x v="1"/>
    <n v="5411.27"/>
    <n v="111"/>
    <n v="6"/>
    <n v="20804.55"/>
    <n v="5"/>
    <n v="4"/>
    <n v="5"/>
    <s v="545"/>
    <x v="0"/>
  </r>
  <r>
    <x v="332"/>
    <d v="2026-01-03T09:00:07"/>
    <x v="1"/>
    <x v="6"/>
    <x v="1"/>
    <n v="1802.57"/>
    <n v="111"/>
    <n v="9"/>
    <n v="27857.719999999998"/>
    <n v="5"/>
    <n v="2"/>
    <n v="4"/>
    <s v="524"/>
    <x v="4"/>
  </r>
  <r>
    <x v="220"/>
    <d v="2026-01-03T09:00:07"/>
    <x v="5"/>
    <x v="6"/>
    <x v="2"/>
    <n v="5290.28"/>
    <n v="111"/>
    <n v="5"/>
    <n v="20686.43"/>
    <n v="5"/>
    <n v="5"/>
    <n v="5"/>
    <s v="555"/>
    <x v="0"/>
  </r>
  <r>
    <x v="312"/>
    <d v="2026-01-03T09:00:07"/>
    <x v="4"/>
    <x v="1"/>
    <x v="2"/>
    <n v="1595.41"/>
    <n v="111"/>
    <n v="8"/>
    <n v="27291.54"/>
    <n v="5"/>
    <n v="3"/>
    <n v="4"/>
    <s v="534"/>
    <x v="0"/>
  </r>
  <r>
    <x v="394"/>
    <d v="2026-01-03T09:00:07"/>
    <x v="1"/>
    <x v="3"/>
    <x v="2"/>
    <n v="7754.75"/>
    <n v="111"/>
    <n v="5"/>
    <n v="29762.12"/>
    <n v="5"/>
    <n v="5"/>
    <n v="3"/>
    <s v="553"/>
    <x v="0"/>
  </r>
  <r>
    <x v="71"/>
    <d v="2026-01-03T09:00:07"/>
    <x v="2"/>
    <x v="6"/>
    <x v="0"/>
    <n v="5133.72"/>
    <n v="111"/>
    <n v="10"/>
    <n v="49420.710000000006"/>
    <n v="5"/>
    <n v="2"/>
    <n v="1"/>
    <s v="521"/>
    <x v="4"/>
  </r>
  <r>
    <x v="199"/>
    <d v="2026-01-04T09:00:07"/>
    <x v="0"/>
    <x v="6"/>
    <x v="0"/>
    <n v="1512.33"/>
    <n v="110"/>
    <n v="13"/>
    <n v="40298.450000000004"/>
    <n v="5"/>
    <n v="1"/>
    <n v="2"/>
    <s v="512"/>
    <x v="4"/>
  </r>
  <r>
    <x v="93"/>
    <d v="2026-01-04T09:00:07"/>
    <x v="2"/>
    <x v="3"/>
    <x v="0"/>
    <n v="11987.87"/>
    <n v="110"/>
    <n v="9"/>
    <n v="32520.350000000002"/>
    <n v="5"/>
    <n v="2"/>
    <n v="3"/>
    <s v="523"/>
    <x v="4"/>
  </r>
  <r>
    <x v="146"/>
    <d v="2026-01-04T09:00:07"/>
    <x v="5"/>
    <x v="5"/>
    <x v="2"/>
    <n v="1191.92"/>
    <n v="110"/>
    <n v="12"/>
    <n v="42776.80999999999"/>
    <n v="5"/>
    <n v="1"/>
    <n v="2"/>
    <s v="512"/>
    <x v="4"/>
  </r>
  <r>
    <x v="335"/>
    <d v="2026-01-05T09:00:07"/>
    <x v="2"/>
    <x v="5"/>
    <x v="0"/>
    <n v="3864.52"/>
    <n v="109"/>
    <n v="5"/>
    <n v="21192.55"/>
    <n v="5"/>
    <n v="5"/>
    <n v="5"/>
    <s v="555"/>
    <x v="0"/>
  </r>
  <r>
    <x v="174"/>
    <d v="2026-01-05T09:00:07"/>
    <x v="6"/>
    <x v="1"/>
    <x v="1"/>
    <n v="1067.75"/>
    <n v="109"/>
    <n v="8"/>
    <n v="31568.060000000005"/>
    <n v="5"/>
    <n v="3"/>
    <n v="3"/>
    <s v="533"/>
    <x v="0"/>
  </r>
  <r>
    <x v="325"/>
    <d v="2026-01-05T09:00:07"/>
    <x v="9"/>
    <x v="5"/>
    <x v="0"/>
    <n v="177.27"/>
    <n v="109"/>
    <n v="5"/>
    <n v="14663.54"/>
    <n v="5"/>
    <n v="5"/>
    <n v="5"/>
    <s v="555"/>
    <x v="0"/>
  </r>
  <r>
    <x v="266"/>
    <d v="2026-01-05T09:00:07"/>
    <x v="2"/>
    <x v="3"/>
    <x v="2"/>
    <n v="7277.15"/>
    <n v="109"/>
    <n v="9"/>
    <n v="35145.360000000001"/>
    <n v="5"/>
    <n v="2"/>
    <n v="3"/>
    <s v="523"/>
    <x v="4"/>
  </r>
  <r>
    <x v="215"/>
    <d v="2026-01-05T09:00:07"/>
    <x v="8"/>
    <x v="5"/>
    <x v="0"/>
    <n v="8002.22"/>
    <n v="109"/>
    <n v="6"/>
    <n v="19413.5"/>
    <n v="5"/>
    <n v="4"/>
    <n v="5"/>
    <s v="545"/>
    <x v="0"/>
  </r>
  <r>
    <x v="207"/>
    <d v="2026-01-06T09:00:07"/>
    <x v="6"/>
    <x v="1"/>
    <x v="2"/>
    <n v="3772.72"/>
    <n v="108"/>
    <n v="10"/>
    <n v="39681.960000000006"/>
    <n v="5"/>
    <n v="2"/>
    <n v="2"/>
    <s v="522"/>
    <x v="4"/>
  </r>
  <r>
    <x v="182"/>
    <d v="2026-01-07T09:00:07"/>
    <x v="1"/>
    <x v="4"/>
    <x v="0"/>
    <n v="3069.61"/>
    <n v="107"/>
    <n v="13"/>
    <n v="49208.94"/>
    <n v="5"/>
    <n v="1"/>
    <n v="1"/>
    <s v="511"/>
    <x v="4"/>
  </r>
  <r>
    <x v="56"/>
    <d v="2026-01-07T09:00:07"/>
    <x v="4"/>
    <x v="1"/>
    <x v="1"/>
    <n v="1463.82"/>
    <n v="107"/>
    <n v="12"/>
    <n v="38950.210000000006"/>
    <n v="5"/>
    <n v="1"/>
    <n v="2"/>
    <s v="512"/>
    <x v="4"/>
  </r>
  <r>
    <x v="290"/>
    <d v="2026-01-07T09:00:07"/>
    <x v="6"/>
    <x v="3"/>
    <x v="0"/>
    <n v="11165.02"/>
    <n v="107"/>
    <n v="6"/>
    <n v="21250.21"/>
    <n v="5"/>
    <n v="4"/>
    <n v="5"/>
    <s v="545"/>
    <x v="0"/>
  </r>
  <r>
    <x v="217"/>
    <d v="2026-01-07T09:00:07"/>
    <x v="2"/>
    <x v="3"/>
    <x v="2"/>
    <n v="6064.3"/>
    <n v="107"/>
    <n v="5"/>
    <n v="18557.84"/>
    <n v="5"/>
    <n v="5"/>
    <n v="5"/>
    <s v="555"/>
    <x v="0"/>
  </r>
  <r>
    <x v="278"/>
    <d v="2026-01-08T09:00:07"/>
    <x v="6"/>
    <x v="3"/>
    <x v="1"/>
    <n v="7042.55"/>
    <n v="106"/>
    <n v="10"/>
    <n v="38069.94"/>
    <n v="5"/>
    <n v="2"/>
    <n v="2"/>
    <s v="522"/>
    <x v="4"/>
  </r>
  <r>
    <x v="223"/>
    <d v="2026-01-08T09:00:07"/>
    <x v="0"/>
    <x v="6"/>
    <x v="0"/>
    <n v="5974.61"/>
    <n v="106"/>
    <n v="9"/>
    <n v="26752.640000000003"/>
    <n v="5"/>
    <n v="2"/>
    <n v="4"/>
    <s v="524"/>
    <x v="4"/>
  </r>
  <r>
    <x v="341"/>
    <d v="2026-01-08T09:00:07"/>
    <x v="6"/>
    <x v="4"/>
    <x v="0"/>
    <n v="11585.58"/>
    <n v="106"/>
    <n v="11"/>
    <n v="59377.640000000014"/>
    <n v="5"/>
    <n v="1"/>
    <n v="1"/>
    <s v="511"/>
    <x v="4"/>
  </r>
  <r>
    <x v="333"/>
    <d v="2026-01-08T09:00:07"/>
    <x v="6"/>
    <x v="2"/>
    <x v="1"/>
    <n v="14602.7"/>
    <n v="106"/>
    <n v="10"/>
    <n v="42023.55"/>
    <n v="5"/>
    <n v="2"/>
    <n v="2"/>
    <s v="522"/>
    <x v="4"/>
  </r>
  <r>
    <x v="392"/>
    <d v="2026-01-09T09:00:07"/>
    <x v="0"/>
    <x v="6"/>
    <x v="1"/>
    <n v="4647.95"/>
    <n v="105"/>
    <n v="9"/>
    <n v="33344.589999999997"/>
    <n v="5"/>
    <n v="2"/>
    <n v="3"/>
    <s v="523"/>
    <x v="4"/>
  </r>
  <r>
    <x v="148"/>
    <d v="2026-01-09T09:00:07"/>
    <x v="8"/>
    <x v="3"/>
    <x v="2"/>
    <n v="1613.74"/>
    <n v="105"/>
    <n v="6"/>
    <n v="27493.600000000002"/>
    <n v="5"/>
    <n v="4"/>
    <n v="4"/>
    <s v="544"/>
    <x v="0"/>
  </r>
  <r>
    <x v="209"/>
    <d v="2026-01-09T09:00:07"/>
    <x v="4"/>
    <x v="3"/>
    <x v="2"/>
    <n v="6967.43"/>
    <n v="105"/>
    <n v="11"/>
    <n v="43753.86"/>
    <n v="5"/>
    <n v="1"/>
    <n v="2"/>
    <s v="512"/>
    <x v="4"/>
  </r>
  <r>
    <x v="244"/>
    <d v="2026-01-09T09:00:07"/>
    <x v="2"/>
    <x v="3"/>
    <x v="1"/>
    <n v="2108.36"/>
    <n v="105"/>
    <n v="8"/>
    <n v="33012.819999999992"/>
    <n v="5"/>
    <n v="3"/>
    <n v="3"/>
    <s v="533"/>
    <x v="0"/>
  </r>
  <r>
    <x v="211"/>
    <d v="2026-01-11T09:00:07"/>
    <x v="6"/>
    <x v="1"/>
    <x v="2"/>
    <n v="1661.45"/>
    <n v="103"/>
    <n v="8"/>
    <n v="29088.159999999996"/>
    <n v="5"/>
    <n v="3"/>
    <n v="4"/>
    <s v="534"/>
    <x v="0"/>
  </r>
  <r>
    <x v="182"/>
    <d v="2026-01-11T09:00:07"/>
    <x v="7"/>
    <x v="3"/>
    <x v="1"/>
    <n v="2742.42"/>
    <n v="103"/>
    <n v="13"/>
    <n v="49208.94"/>
    <n v="5"/>
    <n v="1"/>
    <n v="1"/>
    <s v="511"/>
    <x v="4"/>
  </r>
  <r>
    <x v="241"/>
    <d v="2026-01-11T09:00:07"/>
    <x v="6"/>
    <x v="4"/>
    <x v="0"/>
    <n v="386.72"/>
    <n v="103"/>
    <n v="12"/>
    <n v="43413.4"/>
    <n v="5"/>
    <n v="1"/>
    <n v="2"/>
    <s v="512"/>
    <x v="4"/>
  </r>
  <r>
    <x v="235"/>
    <d v="2026-01-11T09:00:07"/>
    <x v="9"/>
    <x v="4"/>
    <x v="2"/>
    <n v="3424.07"/>
    <n v="103"/>
    <n v="8"/>
    <n v="29892.99"/>
    <n v="5"/>
    <n v="3"/>
    <n v="3"/>
    <s v="533"/>
    <x v="0"/>
  </r>
  <r>
    <x v="310"/>
    <d v="2026-01-11T09:00:07"/>
    <x v="0"/>
    <x v="0"/>
    <x v="0"/>
    <n v="16867.990000000002"/>
    <n v="103"/>
    <n v="8"/>
    <n v="43723.900000000009"/>
    <n v="5"/>
    <n v="3"/>
    <n v="2"/>
    <s v="532"/>
    <x v="0"/>
  </r>
  <r>
    <x v="356"/>
    <d v="2026-01-11T09:00:07"/>
    <x v="9"/>
    <x v="5"/>
    <x v="0"/>
    <n v="5216.28"/>
    <n v="103"/>
    <n v="8"/>
    <n v="38016.57"/>
    <n v="5"/>
    <n v="3"/>
    <n v="2"/>
    <s v="532"/>
    <x v="0"/>
  </r>
  <r>
    <x v="146"/>
    <d v="2026-01-11T09:00:07"/>
    <x v="0"/>
    <x v="6"/>
    <x v="0"/>
    <n v="6275.59"/>
    <n v="103"/>
    <n v="12"/>
    <n v="42776.80999999999"/>
    <n v="5"/>
    <n v="1"/>
    <n v="2"/>
    <s v="512"/>
    <x v="4"/>
  </r>
  <r>
    <x v="258"/>
    <d v="2026-01-11T09:00:07"/>
    <x v="7"/>
    <x v="1"/>
    <x v="2"/>
    <n v="1317.49"/>
    <n v="103"/>
    <n v="6"/>
    <n v="16588.13"/>
    <n v="5"/>
    <n v="4"/>
    <n v="5"/>
    <s v="545"/>
    <x v="0"/>
  </r>
  <r>
    <x v="259"/>
    <d v="2026-01-11T09:00:07"/>
    <x v="5"/>
    <x v="5"/>
    <x v="0"/>
    <n v="7621.72"/>
    <n v="103"/>
    <n v="10"/>
    <n v="33545.49"/>
    <n v="5"/>
    <n v="2"/>
    <n v="3"/>
    <s v="523"/>
    <x v="4"/>
  </r>
  <r>
    <x v="324"/>
    <d v="2026-01-12T09:00:07"/>
    <x v="0"/>
    <x v="1"/>
    <x v="2"/>
    <n v="550.99"/>
    <n v="102"/>
    <n v="8"/>
    <n v="31330.839999999997"/>
    <n v="5"/>
    <n v="3"/>
    <n v="3"/>
    <s v="533"/>
    <x v="0"/>
  </r>
  <r>
    <x v="43"/>
    <d v="2026-01-12T09:00:07"/>
    <x v="5"/>
    <x v="6"/>
    <x v="1"/>
    <n v="2332.65"/>
    <n v="102"/>
    <n v="11"/>
    <n v="39674.43"/>
    <n v="5"/>
    <n v="1"/>
    <n v="2"/>
    <s v="512"/>
    <x v="4"/>
  </r>
  <r>
    <x v="228"/>
    <d v="2026-01-12T09:00:07"/>
    <x v="8"/>
    <x v="3"/>
    <x v="0"/>
    <n v="400.84"/>
    <n v="102"/>
    <n v="6"/>
    <n v="17195.870000000003"/>
    <n v="5"/>
    <n v="4"/>
    <n v="5"/>
    <s v="545"/>
    <x v="0"/>
  </r>
  <r>
    <x v="0"/>
    <d v="2026-01-12T09:00:07"/>
    <x v="0"/>
    <x v="4"/>
    <x v="1"/>
    <n v="6889.07"/>
    <n v="102"/>
    <n v="7"/>
    <n v="37031.050000000003"/>
    <n v="5"/>
    <n v="4"/>
    <n v="2"/>
    <s v="542"/>
    <x v="0"/>
  </r>
  <r>
    <x v="173"/>
    <d v="2026-01-12T09:00:07"/>
    <x v="4"/>
    <x v="1"/>
    <x v="1"/>
    <n v="1511.42"/>
    <n v="102"/>
    <n v="7"/>
    <n v="22005.660000000003"/>
    <n v="5"/>
    <n v="4"/>
    <n v="4"/>
    <s v="544"/>
    <x v="0"/>
  </r>
  <r>
    <x v="317"/>
    <d v="2026-01-13T09:00:07"/>
    <x v="9"/>
    <x v="6"/>
    <x v="1"/>
    <n v="2777.24"/>
    <n v="101"/>
    <n v="10"/>
    <n v="45640.06"/>
    <n v="5"/>
    <n v="2"/>
    <n v="1"/>
    <s v="521"/>
    <x v="4"/>
  </r>
  <r>
    <x v="31"/>
    <d v="2026-01-13T09:00:07"/>
    <x v="6"/>
    <x v="3"/>
    <x v="1"/>
    <n v="3234.37"/>
    <n v="101"/>
    <n v="9"/>
    <n v="35330.950000000004"/>
    <n v="5"/>
    <n v="2"/>
    <n v="3"/>
    <s v="523"/>
    <x v="4"/>
  </r>
  <r>
    <x v="377"/>
    <d v="2026-01-13T09:00:07"/>
    <x v="6"/>
    <x v="0"/>
    <x v="0"/>
    <n v="7349.42"/>
    <n v="101"/>
    <n v="5"/>
    <n v="18834.370000000003"/>
    <n v="5"/>
    <n v="5"/>
    <n v="5"/>
    <s v="555"/>
    <x v="0"/>
  </r>
  <r>
    <x v="348"/>
    <d v="2026-01-13T09:00:07"/>
    <x v="3"/>
    <x v="4"/>
    <x v="1"/>
    <n v="2597.5500000000002"/>
    <n v="101"/>
    <n v="8"/>
    <n v="27090.329999999998"/>
    <n v="5"/>
    <n v="3"/>
    <n v="4"/>
    <s v="534"/>
    <x v="0"/>
  </r>
  <r>
    <x v="216"/>
    <d v="2026-01-13T09:00:07"/>
    <x v="5"/>
    <x v="2"/>
    <x v="0"/>
    <n v="5380.22"/>
    <n v="101"/>
    <n v="5"/>
    <n v="26334.340000000004"/>
    <n v="5"/>
    <n v="5"/>
    <n v="4"/>
    <s v="554"/>
    <x v="0"/>
  </r>
  <r>
    <x v="61"/>
    <d v="2026-01-13T09:00:07"/>
    <x v="0"/>
    <x v="0"/>
    <x v="0"/>
    <n v="2461.1"/>
    <n v="101"/>
    <n v="11"/>
    <n v="52771.959999999992"/>
    <n v="5"/>
    <n v="1"/>
    <n v="1"/>
    <s v="511"/>
    <x v="4"/>
  </r>
  <r>
    <x v="113"/>
    <d v="2026-01-14T09:00:07"/>
    <x v="8"/>
    <x v="4"/>
    <x v="0"/>
    <n v="4299.59"/>
    <n v="100"/>
    <n v="10"/>
    <n v="41704.25"/>
    <n v="5"/>
    <n v="2"/>
    <n v="2"/>
    <s v="522"/>
    <x v="4"/>
  </r>
  <r>
    <x v="192"/>
    <d v="2026-01-14T09:00:07"/>
    <x v="6"/>
    <x v="0"/>
    <x v="0"/>
    <n v="2773.47"/>
    <n v="100"/>
    <n v="12"/>
    <n v="45191.609999999993"/>
    <n v="5"/>
    <n v="1"/>
    <n v="1"/>
    <s v="511"/>
    <x v="4"/>
  </r>
  <r>
    <x v="133"/>
    <d v="2026-01-14T09:00:07"/>
    <x v="6"/>
    <x v="6"/>
    <x v="2"/>
    <n v="1866.78"/>
    <n v="100"/>
    <n v="11"/>
    <n v="38337.789999999994"/>
    <n v="5"/>
    <n v="1"/>
    <n v="2"/>
    <s v="512"/>
    <x v="4"/>
  </r>
  <r>
    <x v="222"/>
    <d v="2026-01-14T09:00:07"/>
    <x v="0"/>
    <x v="0"/>
    <x v="1"/>
    <n v="5149.17"/>
    <n v="100"/>
    <n v="9"/>
    <n v="34007.68"/>
    <n v="5"/>
    <n v="2"/>
    <n v="3"/>
    <s v="523"/>
    <x v="4"/>
  </r>
  <r>
    <x v="286"/>
    <d v="2026-01-15T09:00:07"/>
    <x v="4"/>
    <x v="0"/>
    <x v="2"/>
    <n v="2245.54"/>
    <n v="99"/>
    <n v="14"/>
    <n v="60099.840000000004"/>
    <n v="5"/>
    <n v="1"/>
    <n v="1"/>
    <s v="511"/>
    <x v="4"/>
  </r>
  <r>
    <x v="354"/>
    <d v="2026-01-15T09:00:07"/>
    <x v="1"/>
    <x v="5"/>
    <x v="0"/>
    <n v="1324.53"/>
    <n v="99"/>
    <n v="5"/>
    <n v="19401.64"/>
    <n v="5"/>
    <n v="5"/>
    <n v="5"/>
    <s v="555"/>
    <x v="0"/>
  </r>
  <r>
    <x v="146"/>
    <d v="2026-01-15T09:00:07"/>
    <x v="3"/>
    <x v="5"/>
    <x v="1"/>
    <n v="1256.26"/>
    <n v="99"/>
    <n v="12"/>
    <n v="42776.80999999999"/>
    <n v="5"/>
    <n v="1"/>
    <n v="2"/>
    <s v="512"/>
    <x v="4"/>
  </r>
  <r>
    <x v="80"/>
    <d v="2026-01-15T09:00:07"/>
    <x v="7"/>
    <x v="6"/>
    <x v="2"/>
    <n v="1576.33"/>
    <n v="99"/>
    <n v="10"/>
    <n v="38608.230000000003"/>
    <n v="5"/>
    <n v="2"/>
    <n v="2"/>
    <s v="522"/>
    <x v="4"/>
  </r>
  <r>
    <x v="203"/>
    <d v="2026-01-15T09:00:07"/>
    <x v="0"/>
    <x v="2"/>
    <x v="0"/>
    <n v="2121.1999999999998"/>
    <n v="99"/>
    <n v="7"/>
    <n v="24539.160000000003"/>
    <n v="5"/>
    <n v="4"/>
    <n v="4"/>
    <s v="544"/>
    <x v="0"/>
  </r>
  <r>
    <x v="294"/>
    <d v="2026-01-16T09:00:07"/>
    <x v="1"/>
    <x v="5"/>
    <x v="2"/>
    <n v="5422.88"/>
    <n v="98"/>
    <n v="8"/>
    <n v="30924.840000000004"/>
    <n v="5"/>
    <n v="3"/>
    <n v="3"/>
    <s v="533"/>
    <x v="0"/>
  </r>
  <r>
    <x v="312"/>
    <d v="2026-01-16T09:00:07"/>
    <x v="0"/>
    <x v="4"/>
    <x v="0"/>
    <n v="2150.25"/>
    <n v="98"/>
    <n v="8"/>
    <n v="27291.54"/>
    <n v="5"/>
    <n v="3"/>
    <n v="4"/>
    <s v="534"/>
    <x v="0"/>
  </r>
  <r>
    <x v="64"/>
    <d v="2026-01-17T09:00:07"/>
    <x v="1"/>
    <x v="1"/>
    <x v="1"/>
    <n v="3294.53"/>
    <n v="97"/>
    <n v="5"/>
    <n v="21964.689999999995"/>
    <n v="5"/>
    <n v="5"/>
    <n v="4"/>
    <s v="554"/>
    <x v="0"/>
  </r>
  <r>
    <x v="168"/>
    <d v="2026-01-17T09:00:07"/>
    <x v="1"/>
    <x v="2"/>
    <x v="2"/>
    <n v="2387.63"/>
    <n v="97"/>
    <n v="8"/>
    <n v="26119.000000000004"/>
    <n v="5"/>
    <n v="3"/>
    <n v="4"/>
    <s v="534"/>
    <x v="0"/>
  </r>
  <r>
    <x v="159"/>
    <d v="2026-01-17T09:00:07"/>
    <x v="9"/>
    <x v="5"/>
    <x v="0"/>
    <n v="3173.67"/>
    <n v="97"/>
    <n v="9"/>
    <n v="38753.799999999988"/>
    <n v="5"/>
    <n v="2"/>
    <n v="2"/>
    <s v="522"/>
    <x v="4"/>
  </r>
  <r>
    <x v="35"/>
    <d v="2026-01-18T09:00:07"/>
    <x v="6"/>
    <x v="5"/>
    <x v="1"/>
    <n v="5830.96"/>
    <n v="96"/>
    <n v="8"/>
    <n v="38894.44"/>
    <n v="5"/>
    <n v="3"/>
    <n v="2"/>
    <s v="532"/>
    <x v="0"/>
  </r>
  <r>
    <x v="128"/>
    <d v="2026-01-18T09:00:07"/>
    <x v="8"/>
    <x v="4"/>
    <x v="0"/>
    <n v="3284.48"/>
    <n v="96"/>
    <n v="6"/>
    <n v="24977.25"/>
    <n v="5"/>
    <n v="4"/>
    <n v="4"/>
    <s v="544"/>
    <x v="0"/>
  </r>
  <r>
    <x v="368"/>
    <d v="2026-01-19T09:00:07"/>
    <x v="5"/>
    <x v="1"/>
    <x v="2"/>
    <n v="5528.63"/>
    <n v="95"/>
    <n v="10"/>
    <n v="44572.97"/>
    <n v="5"/>
    <n v="2"/>
    <n v="2"/>
    <s v="522"/>
    <x v="4"/>
  </r>
  <r>
    <x v="243"/>
    <d v="2026-01-19T09:00:07"/>
    <x v="6"/>
    <x v="4"/>
    <x v="1"/>
    <n v="2804.87"/>
    <n v="95"/>
    <n v="3"/>
    <n v="4922.93"/>
    <n v="5"/>
    <n v="5"/>
    <n v="5"/>
    <s v="555"/>
    <x v="0"/>
  </r>
  <r>
    <x v="70"/>
    <d v="2026-01-20T09:00:07"/>
    <x v="9"/>
    <x v="2"/>
    <x v="1"/>
    <n v="1136.57"/>
    <n v="94"/>
    <n v="15"/>
    <n v="57217.139999999992"/>
    <n v="5"/>
    <n v="1"/>
    <n v="1"/>
    <s v="511"/>
    <x v="4"/>
  </r>
  <r>
    <x v="399"/>
    <d v="2026-01-20T09:00:07"/>
    <x v="7"/>
    <x v="0"/>
    <x v="1"/>
    <n v="4509.33"/>
    <n v="94"/>
    <n v="7"/>
    <n v="30282.260000000002"/>
    <n v="5"/>
    <n v="4"/>
    <n v="3"/>
    <s v="543"/>
    <x v="0"/>
  </r>
  <r>
    <x v="88"/>
    <d v="2026-01-20T09:00:07"/>
    <x v="7"/>
    <x v="6"/>
    <x v="1"/>
    <n v="2539.23"/>
    <n v="94"/>
    <n v="11"/>
    <n v="62566.770000000004"/>
    <n v="5"/>
    <n v="1"/>
    <n v="1"/>
    <s v="511"/>
    <x v="4"/>
  </r>
  <r>
    <x v="317"/>
    <d v="2026-01-20T09:00:07"/>
    <x v="1"/>
    <x v="0"/>
    <x v="1"/>
    <n v="10943.67"/>
    <n v="94"/>
    <n v="10"/>
    <n v="45640.06"/>
    <n v="5"/>
    <n v="2"/>
    <n v="1"/>
    <s v="521"/>
    <x v="4"/>
  </r>
  <r>
    <x v="203"/>
    <d v="2026-01-21T09:00:07"/>
    <x v="3"/>
    <x v="0"/>
    <x v="1"/>
    <n v="3807.3"/>
    <n v="93"/>
    <n v="7"/>
    <n v="24539.160000000003"/>
    <n v="5"/>
    <n v="4"/>
    <n v="4"/>
    <s v="544"/>
    <x v="0"/>
  </r>
  <r>
    <x v="389"/>
    <d v="2026-01-21T09:00:07"/>
    <x v="4"/>
    <x v="5"/>
    <x v="0"/>
    <n v="1766.01"/>
    <n v="93"/>
    <n v="3"/>
    <n v="9690.5"/>
    <n v="5"/>
    <n v="5"/>
    <n v="5"/>
    <s v="555"/>
    <x v="0"/>
  </r>
  <r>
    <x v="119"/>
    <d v="2026-01-21T09:00:07"/>
    <x v="9"/>
    <x v="3"/>
    <x v="0"/>
    <n v="1548.8"/>
    <n v="93"/>
    <n v="11"/>
    <n v="29238.53"/>
    <n v="5"/>
    <n v="1"/>
    <n v="4"/>
    <s v="514"/>
    <x v="4"/>
  </r>
  <r>
    <x v="118"/>
    <d v="2026-01-21T09:00:07"/>
    <x v="7"/>
    <x v="3"/>
    <x v="0"/>
    <n v="709.74"/>
    <n v="93"/>
    <n v="4"/>
    <n v="11604.15"/>
    <n v="5"/>
    <n v="5"/>
    <n v="5"/>
    <s v="555"/>
    <x v="0"/>
  </r>
  <r>
    <x v="143"/>
    <d v="2026-01-21T09:00:07"/>
    <x v="6"/>
    <x v="1"/>
    <x v="2"/>
    <n v="10979.83"/>
    <n v="93"/>
    <n v="11"/>
    <n v="43247.159999999996"/>
    <n v="5"/>
    <n v="1"/>
    <n v="2"/>
    <s v="512"/>
    <x v="4"/>
  </r>
  <r>
    <x v="216"/>
    <d v="2026-01-21T09:00:07"/>
    <x v="3"/>
    <x v="1"/>
    <x v="1"/>
    <n v="4309.24"/>
    <n v="93"/>
    <n v="5"/>
    <n v="26334.340000000004"/>
    <n v="5"/>
    <n v="5"/>
    <n v="4"/>
    <s v="554"/>
    <x v="0"/>
  </r>
  <r>
    <x v="301"/>
    <d v="2026-01-21T09:00:07"/>
    <x v="1"/>
    <x v="2"/>
    <x v="2"/>
    <n v="7725.25"/>
    <n v="93"/>
    <n v="5"/>
    <n v="23179.78"/>
    <n v="5"/>
    <n v="5"/>
    <n v="4"/>
    <s v="554"/>
    <x v="0"/>
  </r>
  <r>
    <x v="385"/>
    <d v="2026-01-22T09:00:07"/>
    <x v="1"/>
    <x v="5"/>
    <x v="2"/>
    <n v="3249.28"/>
    <n v="92"/>
    <n v="3"/>
    <n v="11810.94"/>
    <n v="5"/>
    <n v="5"/>
    <n v="5"/>
    <s v="555"/>
    <x v="0"/>
  </r>
  <r>
    <x v="317"/>
    <d v="2026-01-22T09:00:07"/>
    <x v="2"/>
    <x v="2"/>
    <x v="2"/>
    <n v="3655.24"/>
    <n v="92"/>
    <n v="10"/>
    <n v="45640.06"/>
    <n v="5"/>
    <n v="2"/>
    <n v="1"/>
    <s v="521"/>
    <x v="4"/>
  </r>
  <r>
    <x v="310"/>
    <d v="2026-01-22T09:00:07"/>
    <x v="4"/>
    <x v="1"/>
    <x v="2"/>
    <n v="2895.9"/>
    <n v="92"/>
    <n v="8"/>
    <n v="43723.900000000009"/>
    <n v="5"/>
    <n v="3"/>
    <n v="2"/>
    <s v="532"/>
    <x v="0"/>
  </r>
  <r>
    <x v="79"/>
    <d v="2026-01-22T09:00:07"/>
    <x v="6"/>
    <x v="3"/>
    <x v="0"/>
    <n v="1653.09"/>
    <n v="92"/>
    <n v="6"/>
    <n v="28898.239999999998"/>
    <n v="5"/>
    <n v="4"/>
    <n v="4"/>
    <s v="544"/>
    <x v="0"/>
  </r>
  <r>
    <x v="89"/>
    <d v="2026-01-22T09:00:07"/>
    <x v="6"/>
    <x v="3"/>
    <x v="1"/>
    <n v="5107.7700000000004"/>
    <n v="92"/>
    <n v="12"/>
    <n v="54905.279999999992"/>
    <n v="5"/>
    <n v="1"/>
    <n v="1"/>
    <s v="511"/>
    <x v="4"/>
  </r>
  <r>
    <x v="209"/>
    <d v="2026-01-22T09:00:07"/>
    <x v="9"/>
    <x v="2"/>
    <x v="0"/>
    <n v="3486.38"/>
    <n v="92"/>
    <n v="11"/>
    <n v="43753.86"/>
    <n v="5"/>
    <n v="1"/>
    <n v="2"/>
    <s v="512"/>
    <x v="4"/>
  </r>
  <r>
    <x v="116"/>
    <d v="2026-01-23T09:00:07"/>
    <x v="7"/>
    <x v="4"/>
    <x v="0"/>
    <n v="3568.22"/>
    <n v="91"/>
    <n v="16"/>
    <n v="76962.720000000001"/>
    <n v="5"/>
    <n v="1"/>
    <n v="1"/>
    <s v="511"/>
    <x v="4"/>
  </r>
  <r>
    <x v="221"/>
    <d v="2026-01-23T09:00:07"/>
    <x v="9"/>
    <x v="4"/>
    <x v="0"/>
    <n v="1650.8"/>
    <n v="91"/>
    <n v="9"/>
    <n v="32930.549999999996"/>
    <n v="5"/>
    <n v="2"/>
    <n v="3"/>
    <s v="523"/>
    <x v="4"/>
  </r>
  <r>
    <x v="129"/>
    <d v="2026-01-23T09:00:07"/>
    <x v="1"/>
    <x v="6"/>
    <x v="2"/>
    <n v="2337.6999999999998"/>
    <n v="91"/>
    <n v="9"/>
    <n v="30288.86"/>
    <n v="5"/>
    <n v="2"/>
    <n v="3"/>
    <s v="523"/>
    <x v="4"/>
  </r>
  <r>
    <x v="123"/>
    <d v="2026-01-23T09:00:07"/>
    <x v="4"/>
    <x v="6"/>
    <x v="1"/>
    <n v="2254.0700000000002"/>
    <n v="91"/>
    <n v="9"/>
    <n v="28813.449999999997"/>
    <n v="5"/>
    <n v="2"/>
    <n v="4"/>
    <s v="524"/>
    <x v="4"/>
  </r>
  <r>
    <x v="124"/>
    <d v="2026-01-24T09:00:07"/>
    <x v="5"/>
    <x v="4"/>
    <x v="0"/>
    <n v="3838.4"/>
    <n v="90"/>
    <n v="11"/>
    <n v="43078.749999999993"/>
    <n v="5"/>
    <n v="1"/>
    <n v="2"/>
    <s v="512"/>
    <x v="4"/>
  </r>
  <r>
    <x v="330"/>
    <d v="2026-01-25T09:00:07"/>
    <x v="0"/>
    <x v="2"/>
    <x v="0"/>
    <n v="7123.8"/>
    <n v="89"/>
    <n v="9"/>
    <n v="39538.21"/>
    <n v="5"/>
    <n v="2"/>
    <n v="2"/>
    <s v="522"/>
    <x v="4"/>
  </r>
  <r>
    <x v="63"/>
    <d v="2026-01-25T09:00:07"/>
    <x v="3"/>
    <x v="3"/>
    <x v="0"/>
    <n v="772.7"/>
    <n v="89"/>
    <n v="8"/>
    <n v="30568.039999999997"/>
    <n v="5"/>
    <n v="3"/>
    <n v="3"/>
    <s v="533"/>
    <x v="0"/>
  </r>
  <r>
    <x v="303"/>
    <d v="2026-01-26T09:00:07"/>
    <x v="9"/>
    <x v="1"/>
    <x v="2"/>
    <n v="1298.3499999999999"/>
    <n v="88"/>
    <n v="7"/>
    <n v="19730.549999999996"/>
    <n v="5"/>
    <n v="4"/>
    <n v="5"/>
    <s v="545"/>
    <x v="0"/>
  </r>
  <r>
    <x v="184"/>
    <d v="2026-01-26T09:00:07"/>
    <x v="6"/>
    <x v="4"/>
    <x v="0"/>
    <n v="6590.73"/>
    <n v="88"/>
    <n v="9"/>
    <n v="45498.270000000004"/>
    <n v="5"/>
    <n v="2"/>
    <n v="1"/>
    <s v="521"/>
    <x v="4"/>
  </r>
  <r>
    <x v="189"/>
    <d v="2026-01-27T09:00:07"/>
    <x v="9"/>
    <x v="3"/>
    <x v="1"/>
    <n v="2985.92"/>
    <n v="87"/>
    <n v="11"/>
    <n v="45651.77"/>
    <n v="5"/>
    <n v="1"/>
    <n v="1"/>
    <s v="511"/>
    <x v="4"/>
  </r>
  <r>
    <x v="108"/>
    <d v="2026-01-27T09:00:07"/>
    <x v="7"/>
    <x v="4"/>
    <x v="0"/>
    <n v="9505.23"/>
    <n v="87"/>
    <n v="8"/>
    <n v="45571.029999999992"/>
    <n v="5"/>
    <n v="3"/>
    <n v="1"/>
    <s v="531"/>
    <x v="0"/>
  </r>
  <r>
    <x v="9"/>
    <d v="2026-01-27T09:00:07"/>
    <x v="7"/>
    <x v="2"/>
    <x v="2"/>
    <n v="9899.76"/>
    <n v="87"/>
    <n v="10"/>
    <n v="67378.48000000001"/>
    <n v="5"/>
    <n v="2"/>
    <n v="1"/>
    <s v="521"/>
    <x v="4"/>
  </r>
  <r>
    <x v="329"/>
    <d v="2026-01-28T09:00:07"/>
    <x v="1"/>
    <x v="5"/>
    <x v="1"/>
    <n v="2121.12"/>
    <n v="86"/>
    <n v="8"/>
    <n v="29767.75"/>
    <n v="5"/>
    <n v="3"/>
    <n v="3"/>
    <s v="533"/>
    <x v="0"/>
  </r>
  <r>
    <x v="28"/>
    <d v="2026-01-28T09:00:07"/>
    <x v="8"/>
    <x v="4"/>
    <x v="1"/>
    <n v="11268.14"/>
    <n v="86"/>
    <n v="10"/>
    <n v="39472.789999999994"/>
    <n v="5"/>
    <n v="2"/>
    <n v="2"/>
    <s v="522"/>
    <x v="4"/>
  </r>
  <r>
    <x v="213"/>
    <d v="2026-01-28T09:00:07"/>
    <x v="7"/>
    <x v="4"/>
    <x v="2"/>
    <n v="411.15"/>
    <n v="86"/>
    <n v="12"/>
    <n v="36909.899999999994"/>
    <n v="5"/>
    <n v="1"/>
    <n v="2"/>
    <s v="512"/>
    <x v="4"/>
  </r>
  <r>
    <x v="158"/>
    <d v="2026-01-28T09:00:07"/>
    <x v="2"/>
    <x v="5"/>
    <x v="0"/>
    <n v="10552.49"/>
    <n v="86"/>
    <n v="9"/>
    <n v="36713.85"/>
    <n v="5"/>
    <n v="2"/>
    <n v="3"/>
    <s v="523"/>
    <x v="4"/>
  </r>
  <r>
    <x v="175"/>
    <d v="2026-01-28T09:00:07"/>
    <x v="8"/>
    <x v="0"/>
    <x v="0"/>
    <n v="4311.05"/>
    <n v="86"/>
    <n v="6"/>
    <n v="15872.329999999998"/>
    <n v="5"/>
    <n v="4"/>
    <n v="5"/>
    <s v="545"/>
    <x v="0"/>
  </r>
  <r>
    <x v="303"/>
    <d v="2026-01-29T09:00:07"/>
    <x v="3"/>
    <x v="6"/>
    <x v="1"/>
    <n v="4637.95"/>
    <n v="85"/>
    <n v="7"/>
    <n v="19730.549999999996"/>
    <n v="5"/>
    <n v="4"/>
    <n v="5"/>
    <s v="545"/>
    <x v="0"/>
  </r>
  <r>
    <x v="307"/>
    <d v="2026-01-29T09:00:07"/>
    <x v="2"/>
    <x v="1"/>
    <x v="0"/>
    <n v="5745.3"/>
    <n v="85"/>
    <n v="9"/>
    <n v="39434.269999999997"/>
    <n v="5"/>
    <n v="2"/>
    <n v="2"/>
    <s v="522"/>
    <x v="4"/>
  </r>
  <r>
    <x v="283"/>
    <d v="2026-01-29T09:00:07"/>
    <x v="0"/>
    <x v="5"/>
    <x v="0"/>
    <n v="1879.61"/>
    <n v="85"/>
    <n v="7"/>
    <n v="38080.880000000005"/>
    <n v="5"/>
    <n v="4"/>
    <n v="2"/>
    <s v="542"/>
    <x v="0"/>
  </r>
  <r>
    <x v="396"/>
    <d v="2026-01-29T09:00:07"/>
    <x v="4"/>
    <x v="6"/>
    <x v="2"/>
    <n v="1286.29"/>
    <n v="85"/>
    <n v="7"/>
    <n v="27876.53"/>
    <n v="5"/>
    <n v="4"/>
    <n v="4"/>
    <s v="544"/>
    <x v="0"/>
  </r>
  <r>
    <x v="29"/>
    <d v="2026-01-30T09:00:07"/>
    <x v="5"/>
    <x v="4"/>
    <x v="0"/>
    <n v="3014.42"/>
    <n v="84"/>
    <n v="3"/>
    <n v="16434.620000000003"/>
    <n v="5"/>
    <n v="5"/>
    <n v="5"/>
    <s v="555"/>
    <x v="0"/>
  </r>
  <r>
    <x v="322"/>
    <d v="2026-01-30T09:00:07"/>
    <x v="4"/>
    <x v="1"/>
    <x v="1"/>
    <n v="1950.99"/>
    <n v="84"/>
    <n v="10"/>
    <n v="36855.5"/>
    <n v="5"/>
    <n v="2"/>
    <n v="2"/>
    <s v="522"/>
    <x v="4"/>
  </r>
  <r>
    <x v="252"/>
    <d v="2026-01-31T09:00:07"/>
    <x v="4"/>
    <x v="6"/>
    <x v="1"/>
    <n v="1257.77"/>
    <n v="83"/>
    <n v="8"/>
    <n v="36475.079999999994"/>
    <n v="5"/>
    <n v="3"/>
    <n v="3"/>
    <s v="533"/>
    <x v="0"/>
  </r>
  <r>
    <x v="60"/>
    <d v="2026-01-31T09:00:07"/>
    <x v="4"/>
    <x v="2"/>
    <x v="0"/>
    <n v="3007.86"/>
    <n v="83"/>
    <n v="5"/>
    <n v="16253.25"/>
    <n v="5"/>
    <n v="5"/>
    <n v="5"/>
    <s v="555"/>
    <x v="0"/>
  </r>
  <r>
    <x v="358"/>
    <d v="2026-01-31T09:00:07"/>
    <x v="2"/>
    <x v="1"/>
    <x v="1"/>
    <n v="3012.92"/>
    <n v="83"/>
    <n v="6"/>
    <n v="21369.009999999995"/>
    <n v="5"/>
    <n v="4"/>
    <n v="5"/>
    <s v="545"/>
    <x v="0"/>
  </r>
  <r>
    <x v="389"/>
    <d v="2026-02-01T09:00:07"/>
    <x v="4"/>
    <x v="2"/>
    <x v="1"/>
    <n v="6099.54"/>
    <n v="82"/>
    <n v="3"/>
    <n v="9690.5"/>
    <n v="5"/>
    <n v="5"/>
    <n v="5"/>
    <s v="555"/>
    <x v="0"/>
  </r>
  <r>
    <x v="45"/>
    <d v="2026-02-01T09:00:07"/>
    <x v="2"/>
    <x v="2"/>
    <x v="2"/>
    <n v="1486.92"/>
    <n v="82"/>
    <n v="10"/>
    <n v="50122.659999999996"/>
    <n v="5"/>
    <n v="2"/>
    <n v="1"/>
    <s v="521"/>
    <x v="4"/>
  </r>
  <r>
    <x v="41"/>
    <d v="2026-02-01T09:00:07"/>
    <x v="5"/>
    <x v="2"/>
    <x v="0"/>
    <n v="1246.53"/>
    <n v="82"/>
    <n v="10"/>
    <n v="40587.47"/>
    <n v="5"/>
    <n v="2"/>
    <n v="2"/>
    <s v="522"/>
    <x v="4"/>
  </r>
  <r>
    <x v="145"/>
    <d v="2026-02-01T09:00:07"/>
    <x v="6"/>
    <x v="0"/>
    <x v="1"/>
    <n v="1722.11"/>
    <n v="82"/>
    <n v="6"/>
    <n v="24862.18"/>
    <n v="5"/>
    <n v="4"/>
    <n v="4"/>
    <s v="544"/>
    <x v="0"/>
  </r>
  <r>
    <x v="47"/>
    <d v="2026-02-01T09:00:07"/>
    <x v="6"/>
    <x v="0"/>
    <x v="0"/>
    <n v="4603.63"/>
    <n v="82"/>
    <n v="11"/>
    <n v="58842.799999999996"/>
    <n v="5"/>
    <n v="1"/>
    <n v="1"/>
    <s v="511"/>
    <x v="4"/>
  </r>
  <r>
    <x v="262"/>
    <d v="2026-02-02T09:00:07"/>
    <x v="2"/>
    <x v="0"/>
    <x v="1"/>
    <n v="2881.66"/>
    <n v="81"/>
    <n v="7"/>
    <n v="20627.900000000001"/>
    <n v="5"/>
    <n v="4"/>
    <n v="5"/>
    <s v="545"/>
    <x v="0"/>
  </r>
  <r>
    <x v="161"/>
    <d v="2026-02-02T09:00:07"/>
    <x v="4"/>
    <x v="4"/>
    <x v="2"/>
    <n v="2118.9499999999998"/>
    <n v="81"/>
    <n v="9"/>
    <n v="32548.37"/>
    <n v="5"/>
    <n v="2"/>
    <n v="3"/>
    <s v="523"/>
    <x v="4"/>
  </r>
  <r>
    <x v="124"/>
    <d v="2026-02-02T09:00:07"/>
    <x v="2"/>
    <x v="3"/>
    <x v="2"/>
    <n v="6005.95"/>
    <n v="81"/>
    <n v="11"/>
    <n v="43078.749999999993"/>
    <n v="5"/>
    <n v="1"/>
    <n v="2"/>
    <s v="512"/>
    <x v="4"/>
  </r>
  <r>
    <x v="268"/>
    <d v="2026-02-02T09:00:07"/>
    <x v="3"/>
    <x v="5"/>
    <x v="2"/>
    <n v="3131.55"/>
    <n v="81"/>
    <n v="8"/>
    <n v="22978.19"/>
    <n v="5"/>
    <n v="3"/>
    <n v="4"/>
    <s v="534"/>
    <x v="0"/>
  </r>
  <r>
    <x v="116"/>
    <d v="2026-02-02T09:00:07"/>
    <x v="8"/>
    <x v="5"/>
    <x v="1"/>
    <n v="2353.7199999999998"/>
    <n v="81"/>
    <n v="16"/>
    <n v="76962.720000000001"/>
    <n v="5"/>
    <n v="1"/>
    <n v="1"/>
    <s v="511"/>
    <x v="4"/>
  </r>
  <r>
    <x v="294"/>
    <d v="2026-02-02T09:00:07"/>
    <x v="1"/>
    <x v="5"/>
    <x v="1"/>
    <n v="3529.93"/>
    <n v="81"/>
    <n v="8"/>
    <n v="30924.840000000004"/>
    <n v="5"/>
    <n v="3"/>
    <n v="3"/>
    <s v="533"/>
    <x v="0"/>
  </r>
  <r>
    <x v="379"/>
    <d v="2026-02-02T09:00:07"/>
    <x v="3"/>
    <x v="1"/>
    <x v="0"/>
    <n v="3146.93"/>
    <n v="81"/>
    <n v="3"/>
    <n v="15334.130000000001"/>
    <n v="5"/>
    <n v="5"/>
    <n v="5"/>
    <s v="555"/>
    <x v="0"/>
  </r>
  <r>
    <x v="208"/>
    <d v="2026-02-02T09:00:07"/>
    <x v="7"/>
    <x v="3"/>
    <x v="1"/>
    <n v="3657.47"/>
    <n v="81"/>
    <n v="8"/>
    <n v="27084.66"/>
    <n v="5"/>
    <n v="3"/>
    <n v="4"/>
    <s v="534"/>
    <x v="0"/>
  </r>
  <r>
    <x v="3"/>
    <d v="2026-02-03T09:00:07"/>
    <x v="0"/>
    <x v="1"/>
    <x v="0"/>
    <n v="1636.2"/>
    <n v="80"/>
    <n v="15"/>
    <n v="49637.999999999993"/>
    <n v="5"/>
    <n v="1"/>
    <n v="1"/>
    <s v="511"/>
    <x v="4"/>
  </r>
  <r>
    <x v="210"/>
    <d v="2026-02-03T09:00:07"/>
    <x v="6"/>
    <x v="5"/>
    <x v="0"/>
    <n v="1140.07"/>
    <n v="80"/>
    <n v="9"/>
    <n v="37239.53"/>
    <n v="5"/>
    <n v="2"/>
    <n v="2"/>
    <s v="522"/>
    <x v="4"/>
  </r>
  <r>
    <x v="124"/>
    <d v="2026-02-03T09:00:07"/>
    <x v="1"/>
    <x v="4"/>
    <x v="1"/>
    <n v="3473.45"/>
    <n v="80"/>
    <n v="11"/>
    <n v="43078.749999999993"/>
    <n v="5"/>
    <n v="1"/>
    <n v="2"/>
    <s v="512"/>
    <x v="4"/>
  </r>
  <r>
    <x v="260"/>
    <d v="2026-02-03T09:00:07"/>
    <x v="8"/>
    <x v="1"/>
    <x v="1"/>
    <n v="2728.36"/>
    <n v="80"/>
    <n v="7"/>
    <n v="12366.910000000002"/>
    <n v="5"/>
    <n v="4"/>
    <n v="5"/>
    <s v="545"/>
    <x v="0"/>
  </r>
  <r>
    <x v="308"/>
    <d v="2026-02-03T09:00:07"/>
    <x v="7"/>
    <x v="2"/>
    <x v="1"/>
    <n v="5639.24"/>
    <n v="80"/>
    <n v="9"/>
    <n v="34800.239999999998"/>
    <n v="5"/>
    <n v="2"/>
    <n v="3"/>
    <s v="523"/>
    <x v="4"/>
  </r>
  <r>
    <x v="84"/>
    <d v="2026-02-03T09:00:07"/>
    <x v="8"/>
    <x v="3"/>
    <x v="2"/>
    <n v="8329.41"/>
    <n v="80"/>
    <n v="4"/>
    <n v="25850.79"/>
    <n v="5"/>
    <n v="5"/>
    <n v="4"/>
    <s v="554"/>
    <x v="0"/>
  </r>
  <r>
    <x v="67"/>
    <d v="2026-02-04T09:00:07"/>
    <x v="2"/>
    <x v="0"/>
    <x v="1"/>
    <n v="12700.16"/>
    <n v="79"/>
    <n v="8"/>
    <n v="35204.92"/>
    <n v="5"/>
    <n v="3"/>
    <n v="3"/>
    <s v="533"/>
    <x v="0"/>
  </r>
  <r>
    <x v="233"/>
    <d v="2026-02-04T09:00:07"/>
    <x v="3"/>
    <x v="0"/>
    <x v="0"/>
    <n v="3913.71"/>
    <n v="79"/>
    <n v="5"/>
    <n v="30121.440000000002"/>
    <n v="5"/>
    <n v="5"/>
    <n v="3"/>
    <s v="553"/>
    <x v="0"/>
  </r>
  <r>
    <x v="19"/>
    <d v="2026-02-05T09:00:07"/>
    <x v="5"/>
    <x v="1"/>
    <x v="0"/>
    <n v="1229.76"/>
    <n v="78"/>
    <n v="5"/>
    <n v="15744.06"/>
    <n v="5"/>
    <n v="5"/>
    <n v="5"/>
    <s v="555"/>
    <x v="0"/>
  </r>
  <r>
    <x v="307"/>
    <d v="2026-02-05T09:00:07"/>
    <x v="9"/>
    <x v="6"/>
    <x v="2"/>
    <n v="10455.19"/>
    <n v="78"/>
    <n v="9"/>
    <n v="39434.269999999997"/>
    <n v="5"/>
    <n v="2"/>
    <n v="2"/>
    <s v="522"/>
    <x v="4"/>
  </r>
  <r>
    <x v="70"/>
    <d v="2026-02-05T09:00:07"/>
    <x v="8"/>
    <x v="0"/>
    <x v="2"/>
    <n v="5365.56"/>
    <n v="78"/>
    <n v="15"/>
    <n v="57217.139999999992"/>
    <n v="5"/>
    <n v="1"/>
    <n v="1"/>
    <s v="511"/>
    <x v="4"/>
  </r>
  <r>
    <x v="36"/>
    <d v="2026-02-05T09:00:07"/>
    <x v="1"/>
    <x v="3"/>
    <x v="1"/>
    <n v="5817.93"/>
    <n v="78"/>
    <n v="12"/>
    <n v="44897.450000000004"/>
    <n v="5"/>
    <n v="1"/>
    <n v="1"/>
    <s v="511"/>
    <x v="4"/>
  </r>
  <r>
    <x v="225"/>
    <d v="2026-02-05T09:00:07"/>
    <x v="0"/>
    <x v="0"/>
    <x v="1"/>
    <n v="3483.84"/>
    <n v="78"/>
    <n v="10"/>
    <n v="31217.780000000002"/>
    <n v="5"/>
    <n v="2"/>
    <n v="3"/>
    <s v="523"/>
    <x v="4"/>
  </r>
  <r>
    <x v="324"/>
    <d v="2026-02-06T09:00:07"/>
    <x v="5"/>
    <x v="4"/>
    <x v="0"/>
    <n v="5022.26"/>
    <n v="77"/>
    <n v="8"/>
    <n v="31330.839999999997"/>
    <n v="5"/>
    <n v="3"/>
    <n v="3"/>
    <s v="533"/>
    <x v="0"/>
  </r>
  <r>
    <x v="240"/>
    <d v="2026-02-06T09:00:07"/>
    <x v="5"/>
    <x v="3"/>
    <x v="1"/>
    <n v="918.49"/>
    <n v="77"/>
    <n v="10"/>
    <n v="27910.07"/>
    <n v="5"/>
    <n v="2"/>
    <n v="4"/>
    <s v="524"/>
    <x v="4"/>
  </r>
  <r>
    <x v="266"/>
    <d v="2026-02-06T09:00:07"/>
    <x v="0"/>
    <x v="4"/>
    <x v="0"/>
    <n v="1585.43"/>
    <n v="77"/>
    <n v="9"/>
    <n v="35145.360000000001"/>
    <n v="5"/>
    <n v="2"/>
    <n v="3"/>
    <s v="523"/>
    <x v="4"/>
  </r>
  <r>
    <x v="103"/>
    <d v="2026-02-06T09:00:07"/>
    <x v="8"/>
    <x v="5"/>
    <x v="2"/>
    <n v="5564.94"/>
    <n v="77"/>
    <n v="15"/>
    <n v="55867.080000000016"/>
    <n v="5"/>
    <n v="1"/>
    <n v="1"/>
    <s v="511"/>
    <x v="4"/>
  </r>
  <r>
    <x v="193"/>
    <d v="2026-02-07T09:00:07"/>
    <x v="4"/>
    <x v="4"/>
    <x v="2"/>
    <n v="3264.64"/>
    <n v="76"/>
    <n v="10"/>
    <n v="54972.43"/>
    <n v="5"/>
    <n v="2"/>
    <n v="1"/>
    <s v="521"/>
    <x v="4"/>
  </r>
  <r>
    <x v="255"/>
    <d v="2026-02-07T09:00:07"/>
    <x v="1"/>
    <x v="6"/>
    <x v="1"/>
    <n v="6352.78"/>
    <n v="76"/>
    <n v="8"/>
    <n v="31675.43"/>
    <n v="5"/>
    <n v="3"/>
    <n v="3"/>
    <s v="533"/>
    <x v="0"/>
  </r>
  <r>
    <x v="273"/>
    <d v="2026-02-07T09:00:07"/>
    <x v="3"/>
    <x v="6"/>
    <x v="0"/>
    <n v="2039.28"/>
    <n v="76"/>
    <n v="11"/>
    <n v="38976.650000000009"/>
    <n v="5"/>
    <n v="1"/>
    <n v="2"/>
    <s v="512"/>
    <x v="4"/>
  </r>
  <r>
    <x v="215"/>
    <d v="2026-02-07T09:00:07"/>
    <x v="9"/>
    <x v="1"/>
    <x v="0"/>
    <n v="2555.09"/>
    <n v="76"/>
    <n v="6"/>
    <n v="19413.5"/>
    <n v="5"/>
    <n v="4"/>
    <n v="5"/>
    <s v="545"/>
    <x v="0"/>
  </r>
  <r>
    <x v="305"/>
    <d v="2026-02-07T09:00:07"/>
    <x v="9"/>
    <x v="0"/>
    <x v="2"/>
    <n v="3188.07"/>
    <n v="76"/>
    <n v="7"/>
    <n v="31771.820000000003"/>
    <n v="5"/>
    <n v="4"/>
    <n v="3"/>
    <s v="543"/>
    <x v="0"/>
  </r>
  <r>
    <x v="57"/>
    <d v="2026-02-07T09:00:07"/>
    <x v="0"/>
    <x v="5"/>
    <x v="1"/>
    <n v="1402.6"/>
    <n v="76"/>
    <n v="16"/>
    <n v="58237.360000000008"/>
    <n v="5"/>
    <n v="1"/>
    <n v="1"/>
    <s v="511"/>
    <x v="4"/>
  </r>
  <r>
    <x v="55"/>
    <d v="2026-02-08T09:00:07"/>
    <x v="4"/>
    <x v="5"/>
    <x v="0"/>
    <n v="3298.7"/>
    <n v="75"/>
    <n v="12"/>
    <n v="42930.969999999994"/>
    <n v="5"/>
    <n v="1"/>
    <n v="2"/>
    <s v="512"/>
    <x v="4"/>
  </r>
  <r>
    <x v="125"/>
    <d v="2026-02-08T09:00:07"/>
    <x v="2"/>
    <x v="4"/>
    <x v="0"/>
    <n v="9326.9500000000007"/>
    <n v="75"/>
    <n v="9"/>
    <n v="33311.4"/>
    <n v="5"/>
    <n v="2"/>
    <n v="3"/>
    <s v="523"/>
    <x v="4"/>
  </r>
  <r>
    <x v="363"/>
    <d v="2026-02-09T09:00:07"/>
    <x v="9"/>
    <x v="6"/>
    <x v="0"/>
    <n v="3409.78"/>
    <n v="74"/>
    <n v="10"/>
    <n v="29994.030000000002"/>
    <n v="5"/>
    <n v="2"/>
    <n v="3"/>
    <s v="523"/>
    <x v="4"/>
  </r>
  <r>
    <x v="53"/>
    <d v="2026-02-09T09:00:07"/>
    <x v="1"/>
    <x v="6"/>
    <x v="2"/>
    <n v="2266.2399999999998"/>
    <n v="74"/>
    <n v="8"/>
    <n v="23394.15"/>
    <n v="5"/>
    <n v="3"/>
    <n v="4"/>
    <s v="534"/>
    <x v="0"/>
  </r>
  <r>
    <x v="333"/>
    <d v="2026-02-09T09:00:07"/>
    <x v="7"/>
    <x v="4"/>
    <x v="1"/>
    <n v="8255.16"/>
    <n v="74"/>
    <n v="10"/>
    <n v="42023.55"/>
    <n v="5"/>
    <n v="2"/>
    <n v="2"/>
    <s v="522"/>
    <x v="4"/>
  </r>
  <r>
    <x v="295"/>
    <d v="2026-02-09T09:00:07"/>
    <x v="2"/>
    <x v="4"/>
    <x v="2"/>
    <n v="1489.09"/>
    <n v="74"/>
    <n v="9"/>
    <n v="26580.030000000002"/>
    <n v="5"/>
    <n v="2"/>
    <n v="4"/>
    <s v="524"/>
    <x v="4"/>
  </r>
  <r>
    <x v="259"/>
    <d v="2026-02-10T09:00:07"/>
    <x v="4"/>
    <x v="0"/>
    <x v="2"/>
    <n v="3812.62"/>
    <n v="73"/>
    <n v="10"/>
    <n v="33545.49"/>
    <n v="5"/>
    <n v="2"/>
    <n v="3"/>
    <s v="523"/>
    <x v="4"/>
  </r>
  <r>
    <x v="178"/>
    <d v="2026-02-10T09:00:07"/>
    <x v="3"/>
    <x v="3"/>
    <x v="2"/>
    <n v="581.83000000000004"/>
    <n v="73"/>
    <n v="4"/>
    <n v="12855.77"/>
    <n v="5"/>
    <n v="5"/>
    <n v="5"/>
    <s v="555"/>
    <x v="0"/>
  </r>
  <r>
    <x v="356"/>
    <d v="2026-02-10T09:00:07"/>
    <x v="0"/>
    <x v="6"/>
    <x v="2"/>
    <n v="5921.96"/>
    <n v="73"/>
    <n v="8"/>
    <n v="38016.57"/>
    <n v="5"/>
    <n v="3"/>
    <n v="2"/>
    <s v="532"/>
    <x v="0"/>
  </r>
  <r>
    <x v="97"/>
    <d v="2026-02-10T09:00:07"/>
    <x v="4"/>
    <x v="3"/>
    <x v="0"/>
    <n v="3531.42"/>
    <n v="73"/>
    <n v="7"/>
    <n v="20951.28"/>
    <n v="5"/>
    <n v="4"/>
    <n v="5"/>
    <s v="545"/>
    <x v="0"/>
  </r>
  <r>
    <x v="299"/>
    <d v="2026-02-10T09:00:07"/>
    <x v="7"/>
    <x v="0"/>
    <x v="2"/>
    <n v="5577.93"/>
    <n v="73"/>
    <n v="4"/>
    <n v="16102.51"/>
    <n v="5"/>
    <n v="5"/>
    <n v="5"/>
    <s v="555"/>
    <x v="0"/>
  </r>
  <r>
    <x v="246"/>
    <d v="2026-02-10T09:00:07"/>
    <x v="9"/>
    <x v="4"/>
    <x v="0"/>
    <n v="7325.14"/>
    <n v="73"/>
    <n v="10"/>
    <n v="30897.65"/>
    <n v="5"/>
    <n v="2"/>
    <n v="3"/>
    <s v="523"/>
    <x v="4"/>
  </r>
  <r>
    <x v="156"/>
    <d v="2026-02-11T09:00:07"/>
    <x v="8"/>
    <x v="0"/>
    <x v="2"/>
    <n v="16130.83"/>
    <n v="72"/>
    <n v="4"/>
    <n v="30283.82"/>
    <n v="5"/>
    <n v="5"/>
    <n v="3"/>
    <s v="553"/>
    <x v="0"/>
  </r>
  <r>
    <x v="50"/>
    <d v="2026-02-11T09:00:07"/>
    <x v="3"/>
    <x v="1"/>
    <x v="1"/>
    <n v="3541.1"/>
    <n v="72"/>
    <n v="13"/>
    <n v="64175.24"/>
    <n v="5"/>
    <n v="1"/>
    <n v="1"/>
    <s v="511"/>
    <x v="4"/>
  </r>
  <r>
    <x v="311"/>
    <d v="2026-02-11T09:00:07"/>
    <x v="2"/>
    <x v="4"/>
    <x v="2"/>
    <n v="7958.47"/>
    <n v="72"/>
    <n v="5"/>
    <n v="19417.830000000002"/>
    <n v="5"/>
    <n v="5"/>
    <n v="5"/>
    <s v="555"/>
    <x v="0"/>
  </r>
  <r>
    <x v="205"/>
    <d v="2026-02-11T09:00:07"/>
    <x v="9"/>
    <x v="6"/>
    <x v="1"/>
    <n v="3120.73"/>
    <n v="72"/>
    <n v="8"/>
    <n v="24691.75"/>
    <n v="5"/>
    <n v="3"/>
    <n v="4"/>
    <s v="534"/>
    <x v="0"/>
  </r>
  <r>
    <x v="35"/>
    <d v="2026-02-11T09:00:07"/>
    <x v="6"/>
    <x v="6"/>
    <x v="0"/>
    <n v="5321.83"/>
    <n v="72"/>
    <n v="8"/>
    <n v="38894.44"/>
    <n v="5"/>
    <n v="3"/>
    <n v="2"/>
    <s v="532"/>
    <x v="0"/>
  </r>
  <r>
    <x v="286"/>
    <d v="2026-02-11T09:00:07"/>
    <x v="3"/>
    <x v="3"/>
    <x v="0"/>
    <n v="3783.69"/>
    <n v="72"/>
    <n v="14"/>
    <n v="60099.840000000004"/>
    <n v="5"/>
    <n v="1"/>
    <n v="1"/>
    <s v="511"/>
    <x v="4"/>
  </r>
  <r>
    <x v="224"/>
    <d v="2026-02-11T09:00:07"/>
    <x v="1"/>
    <x v="3"/>
    <x v="0"/>
    <n v="6859.73"/>
    <n v="72"/>
    <n v="8"/>
    <n v="28833.759999999998"/>
    <n v="5"/>
    <n v="3"/>
    <n v="4"/>
    <s v="534"/>
    <x v="0"/>
  </r>
  <r>
    <x v="183"/>
    <d v="2026-02-11T09:00:07"/>
    <x v="6"/>
    <x v="6"/>
    <x v="0"/>
    <n v="4659.68"/>
    <n v="72"/>
    <n v="12"/>
    <n v="34222.5"/>
    <n v="5"/>
    <n v="1"/>
    <n v="3"/>
    <s v="513"/>
    <x v="4"/>
  </r>
  <r>
    <x v="26"/>
    <d v="2026-02-12T09:00:07"/>
    <x v="0"/>
    <x v="0"/>
    <x v="1"/>
    <n v="1566.91"/>
    <n v="71"/>
    <n v="6"/>
    <n v="22201.78"/>
    <n v="5"/>
    <n v="4"/>
    <n v="4"/>
    <s v="544"/>
    <x v="0"/>
  </r>
  <r>
    <x v="91"/>
    <d v="2026-02-12T09:00:07"/>
    <x v="9"/>
    <x v="1"/>
    <x v="0"/>
    <n v="6888.26"/>
    <n v="71"/>
    <n v="7"/>
    <n v="21209.440000000002"/>
    <n v="5"/>
    <n v="4"/>
    <n v="5"/>
    <s v="545"/>
    <x v="0"/>
  </r>
  <r>
    <x v="124"/>
    <d v="2026-02-12T09:00:07"/>
    <x v="0"/>
    <x v="4"/>
    <x v="1"/>
    <n v="1311.77"/>
    <n v="71"/>
    <n v="11"/>
    <n v="43078.749999999993"/>
    <n v="5"/>
    <n v="1"/>
    <n v="2"/>
    <s v="512"/>
    <x v="4"/>
  </r>
  <r>
    <x v="336"/>
    <d v="2026-02-12T09:00:07"/>
    <x v="6"/>
    <x v="4"/>
    <x v="1"/>
    <n v="577.04999999999995"/>
    <n v="71"/>
    <n v="9"/>
    <n v="34808.1"/>
    <n v="5"/>
    <n v="2"/>
    <n v="3"/>
    <s v="523"/>
    <x v="4"/>
  </r>
  <r>
    <x v="399"/>
    <d v="2026-02-12T09:00:07"/>
    <x v="7"/>
    <x v="5"/>
    <x v="2"/>
    <n v="4451.71"/>
    <n v="71"/>
    <n v="7"/>
    <n v="30282.260000000002"/>
    <n v="5"/>
    <n v="4"/>
    <n v="3"/>
    <s v="543"/>
    <x v="0"/>
  </r>
  <r>
    <x v="166"/>
    <d v="2026-02-12T09:00:07"/>
    <x v="0"/>
    <x v="0"/>
    <x v="2"/>
    <n v="5079.8599999999997"/>
    <n v="71"/>
    <n v="7"/>
    <n v="28777.9"/>
    <n v="5"/>
    <n v="4"/>
    <n v="4"/>
    <s v="544"/>
    <x v="0"/>
  </r>
  <r>
    <x v="71"/>
    <d v="2026-02-12T09:00:07"/>
    <x v="8"/>
    <x v="4"/>
    <x v="2"/>
    <n v="3960.19"/>
    <n v="71"/>
    <n v="10"/>
    <n v="49420.710000000006"/>
    <n v="5"/>
    <n v="2"/>
    <n v="1"/>
    <s v="521"/>
    <x v="4"/>
  </r>
  <r>
    <x v="119"/>
    <d v="2026-02-13T09:00:07"/>
    <x v="9"/>
    <x v="4"/>
    <x v="0"/>
    <n v="2539.96"/>
    <n v="70"/>
    <n v="11"/>
    <n v="29238.53"/>
    <n v="5"/>
    <n v="1"/>
    <n v="4"/>
    <s v="514"/>
    <x v="4"/>
  </r>
  <r>
    <x v="63"/>
    <d v="2026-02-13T09:00:07"/>
    <x v="9"/>
    <x v="2"/>
    <x v="0"/>
    <n v="6400.72"/>
    <n v="70"/>
    <n v="8"/>
    <n v="30568.039999999997"/>
    <n v="5"/>
    <n v="3"/>
    <n v="3"/>
    <s v="533"/>
    <x v="0"/>
  </r>
  <r>
    <x v="362"/>
    <d v="2026-02-13T09:00:07"/>
    <x v="2"/>
    <x v="5"/>
    <x v="0"/>
    <n v="3717.27"/>
    <n v="70"/>
    <n v="6"/>
    <n v="21995.52"/>
    <n v="5"/>
    <n v="4"/>
    <n v="4"/>
    <s v="544"/>
    <x v="0"/>
  </r>
  <r>
    <x v="392"/>
    <d v="2026-02-13T09:00:07"/>
    <x v="6"/>
    <x v="3"/>
    <x v="1"/>
    <n v="3818.49"/>
    <n v="70"/>
    <n v="9"/>
    <n v="33344.589999999997"/>
    <n v="5"/>
    <n v="2"/>
    <n v="3"/>
    <s v="523"/>
    <x v="4"/>
  </r>
  <r>
    <x v="280"/>
    <d v="2026-02-13T09:00:07"/>
    <x v="4"/>
    <x v="6"/>
    <x v="0"/>
    <n v="2738.41"/>
    <n v="70"/>
    <n v="16"/>
    <n v="64716.249999999985"/>
    <n v="5"/>
    <n v="1"/>
    <n v="1"/>
    <s v="511"/>
    <x v="4"/>
  </r>
  <r>
    <x v="100"/>
    <d v="2026-02-13T09:00:07"/>
    <x v="1"/>
    <x v="1"/>
    <x v="1"/>
    <n v="2055.87"/>
    <n v="70"/>
    <n v="6"/>
    <n v="27182.68"/>
    <n v="5"/>
    <n v="4"/>
    <n v="4"/>
    <s v="544"/>
    <x v="0"/>
  </r>
  <r>
    <x v="212"/>
    <d v="2026-02-13T09:00:07"/>
    <x v="3"/>
    <x v="4"/>
    <x v="1"/>
    <n v="2830.47"/>
    <n v="70"/>
    <n v="9"/>
    <n v="27881.53"/>
    <n v="5"/>
    <n v="2"/>
    <n v="4"/>
    <s v="524"/>
    <x v="4"/>
  </r>
  <r>
    <x v="328"/>
    <d v="2026-02-14T09:00:07"/>
    <x v="1"/>
    <x v="3"/>
    <x v="0"/>
    <n v="1919.49"/>
    <n v="69"/>
    <n v="9"/>
    <n v="23905.670000000002"/>
    <n v="5"/>
    <n v="2"/>
    <n v="4"/>
    <s v="524"/>
    <x v="4"/>
  </r>
  <r>
    <x v="213"/>
    <d v="2026-02-14T09:00:07"/>
    <x v="6"/>
    <x v="1"/>
    <x v="1"/>
    <n v="5335.85"/>
    <n v="69"/>
    <n v="12"/>
    <n v="36909.899999999994"/>
    <n v="5"/>
    <n v="1"/>
    <n v="2"/>
    <s v="512"/>
    <x v="4"/>
  </r>
  <r>
    <x v="79"/>
    <d v="2026-02-14T09:00:07"/>
    <x v="1"/>
    <x v="2"/>
    <x v="1"/>
    <n v="76.05"/>
    <n v="69"/>
    <n v="6"/>
    <n v="28898.239999999998"/>
    <n v="5"/>
    <n v="4"/>
    <n v="4"/>
    <s v="544"/>
    <x v="0"/>
  </r>
  <r>
    <x v="68"/>
    <d v="2026-02-14T09:00:07"/>
    <x v="5"/>
    <x v="0"/>
    <x v="2"/>
    <n v="1602.49"/>
    <n v="69"/>
    <n v="9"/>
    <n v="44679.94"/>
    <n v="5"/>
    <n v="2"/>
    <n v="2"/>
    <s v="522"/>
    <x v="4"/>
  </r>
  <r>
    <x v="210"/>
    <d v="2026-02-14T09:00:07"/>
    <x v="3"/>
    <x v="1"/>
    <x v="2"/>
    <n v="1028.5999999999999"/>
    <n v="69"/>
    <n v="9"/>
    <n v="37239.53"/>
    <n v="5"/>
    <n v="2"/>
    <n v="2"/>
    <s v="522"/>
    <x v="4"/>
  </r>
  <r>
    <x v="194"/>
    <d v="2026-02-14T09:00:07"/>
    <x v="0"/>
    <x v="0"/>
    <x v="0"/>
    <n v="8603.52"/>
    <n v="69"/>
    <n v="9"/>
    <n v="56095.37999999999"/>
    <n v="5"/>
    <n v="2"/>
    <n v="1"/>
    <s v="521"/>
    <x v="4"/>
  </r>
  <r>
    <x v="310"/>
    <d v="2026-02-15T09:00:07"/>
    <x v="6"/>
    <x v="0"/>
    <x v="2"/>
    <n v="1994.22"/>
    <n v="68"/>
    <n v="8"/>
    <n v="43723.900000000009"/>
    <n v="5"/>
    <n v="3"/>
    <n v="2"/>
    <s v="532"/>
    <x v="0"/>
  </r>
  <r>
    <x v="264"/>
    <d v="2026-02-15T09:00:07"/>
    <x v="6"/>
    <x v="1"/>
    <x v="2"/>
    <n v="1964.45"/>
    <n v="68"/>
    <n v="7"/>
    <n v="30708.170000000002"/>
    <n v="5"/>
    <n v="4"/>
    <n v="3"/>
    <s v="543"/>
    <x v="0"/>
  </r>
  <r>
    <x v="27"/>
    <d v="2026-02-15T09:00:07"/>
    <x v="0"/>
    <x v="5"/>
    <x v="1"/>
    <n v="6036.49"/>
    <n v="68"/>
    <n v="12"/>
    <n v="49930.359999999993"/>
    <n v="5"/>
    <n v="1"/>
    <n v="1"/>
    <s v="511"/>
    <x v="4"/>
  </r>
  <r>
    <x v="269"/>
    <d v="2026-02-16T09:00:07"/>
    <x v="0"/>
    <x v="1"/>
    <x v="0"/>
    <n v="7469.72"/>
    <n v="67"/>
    <n v="9"/>
    <n v="32843.11"/>
    <n v="5"/>
    <n v="2"/>
    <n v="3"/>
    <s v="523"/>
    <x v="4"/>
  </r>
  <r>
    <x v="1"/>
    <d v="2026-02-16T09:00:07"/>
    <x v="4"/>
    <x v="6"/>
    <x v="0"/>
    <n v="12968.14"/>
    <n v="67"/>
    <n v="12"/>
    <n v="49382.650000000009"/>
    <n v="5"/>
    <n v="1"/>
    <n v="1"/>
    <s v="511"/>
    <x v="4"/>
  </r>
  <r>
    <x v="142"/>
    <d v="2026-02-16T09:00:07"/>
    <x v="8"/>
    <x v="1"/>
    <x v="2"/>
    <n v="1920.41"/>
    <n v="67"/>
    <n v="13"/>
    <n v="47658.630000000005"/>
    <n v="5"/>
    <n v="1"/>
    <n v="1"/>
    <s v="511"/>
    <x v="4"/>
  </r>
  <r>
    <x v="384"/>
    <d v="2026-02-16T09:00:07"/>
    <x v="6"/>
    <x v="5"/>
    <x v="2"/>
    <n v="6068.36"/>
    <n v="67"/>
    <n v="6"/>
    <n v="19427.86"/>
    <n v="5"/>
    <n v="4"/>
    <n v="5"/>
    <s v="545"/>
    <x v="0"/>
  </r>
  <r>
    <x v="117"/>
    <d v="2026-02-16T09:00:07"/>
    <x v="2"/>
    <x v="2"/>
    <x v="2"/>
    <n v="6324.45"/>
    <n v="67"/>
    <n v="12"/>
    <n v="44894.799999999996"/>
    <n v="5"/>
    <n v="1"/>
    <n v="1"/>
    <s v="511"/>
    <x v="4"/>
  </r>
  <r>
    <x v="57"/>
    <d v="2026-02-16T09:00:07"/>
    <x v="7"/>
    <x v="3"/>
    <x v="2"/>
    <n v="3234.23"/>
    <n v="67"/>
    <n v="16"/>
    <n v="58237.360000000008"/>
    <n v="5"/>
    <n v="1"/>
    <n v="1"/>
    <s v="511"/>
    <x v="4"/>
  </r>
  <r>
    <x v="159"/>
    <d v="2026-02-17T09:00:07"/>
    <x v="6"/>
    <x v="0"/>
    <x v="0"/>
    <n v="5294.2"/>
    <n v="66"/>
    <n v="9"/>
    <n v="38753.799999999988"/>
    <n v="5"/>
    <n v="2"/>
    <n v="2"/>
    <s v="522"/>
    <x v="4"/>
  </r>
  <r>
    <x v="321"/>
    <d v="2026-02-17T09:00:07"/>
    <x v="1"/>
    <x v="6"/>
    <x v="1"/>
    <n v="1508.67"/>
    <n v="66"/>
    <n v="11"/>
    <n v="40714.880000000005"/>
    <n v="5"/>
    <n v="1"/>
    <n v="2"/>
    <s v="512"/>
    <x v="4"/>
  </r>
  <r>
    <x v="294"/>
    <d v="2026-02-17T09:00:07"/>
    <x v="7"/>
    <x v="4"/>
    <x v="0"/>
    <n v="10591.74"/>
    <n v="66"/>
    <n v="8"/>
    <n v="30924.840000000004"/>
    <n v="5"/>
    <n v="3"/>
    <n v="3"/>
    <s v="533"/>
    <x v="0"/>
  </r>
  <r>
    <x v="286"/>
    <d v="2026-02-17T09:00:07"/>
    <x v="0"/>
    <x v="1"/>
    <x v="2"/>
    <n v="3541.72"/>
    <n v="66"/>
    <n v="14"/>
    <n v="60099.840000000004"/>
    <n v="5"/>
    <n v="1"/>
    <n v="1"/>
    <s v="511"/>
    <x v="4"/>
  </r>
  <r>
    <x v="33"/>
    <d v="2026-02-18T09:00:07"/>
    <x v="6"/>
    <x v="3"/>
    <x v="1"/>
    <n v="5840.29"/>
    <n v="65"/>
    <n v="10"/>
    <n v="34643.039999999994"/>
    <n v="5"/>
    <n v="2"/>
    <n v="3"/>
    <s v="523"/>
    <x v="4"/>
  </r>
  <r>
    <x v="184"/>
    <d v="2026-02-18T09:00:07"/>
    <x v="0"/>
    <x v="4"/>
    <x v="1"/>
    <n v="4293.71"/>
    <n v="65"/>
    <n v="9"/>
    <n v="45498.270000000004"/>
    <n v="5"/>
    <n v="2"/>
    <n v="1"/>
    <s v="521"/>
    <x v="4"/>
  </r>
  <r>
    <x v="78"/>
    <d v="2026-02-18T09:00:07"/>
    <x v="2"/>
    <x v="5"/>
    <x v="0"/>
    <n v="2428.9499999999998"/>
    <n v="65"/>
    <n v="10"/>
    <n v="34265.79"/>
    <n v="5"/>
    <n v="2"/>
    <n v="3"/>
    <s v="523"/>
    <x v="4"/>
  </r>
  <r>
    <x v="293"/>
    <d v="2026-02-18T09:00:07"/>
    <x v="1"/>
    <x v="0"/>
    <x v="0"/>
    <n v="2362.4499999999998"/>
    <n v="65"/>
    <n v="8"/>
    <n v="27805.74"/>
    <n v="5"/>
    <n v="3"/>
    <n v="4"/>
    <s v="534"/>
    <x v="0"/>
  </r>
  <r>
    <x v="88"/>
    <d v="2026-02-19T09:00:07"/>
    <x v="6"/>
    <x v="5"/>
    <x v="2"/>
    <n v="8622.2099999999991"/>
    <n v="64"/>
    <n v="11"/>
    <n v="62566.770000000004"/>
    <n v="5"/>
    <n v="1"/>
    <n v="1"/>
    <s v="511"/>
    <x v="4"/>
  </r>
  <r>
    <x v="207"/>
    <d v="2026-02-19T09:00:07"/>
    <x v="1"/>
    <x v="2"/>
    <x v="2"/>
    <n v="7759.75"/>
    <n v="64"/>
    <n v="10"/>
    <n v="39681.960000000006"/>
    <n v="5"/>
    <n v="2"/>
    <n v="2"/>
    <s v="522"/>
    <x v="4"/>
  </r>
  <r>
    <x v="265"/>
    <d v="2026-02-19T09:00:07"/>
    <x v="9"/>
    <x v="3"/>
    <x v="2"/>
    <n v="9440"/>
    <n v="64"/>
    <n v="8"/>
    <n v="37946.1"/>
    <n v="5"/>
    <n v="3"/>
    <n v="2"/>
    <s v="532"/>
    <x v="0"/>
  </r>
  <r>
    <x v="303"/>
    <d v="2026-02-20T09:00:07"/>
    <x v="0"/>
    <x v="4"/>
    <x v="1"/>
    <n v="2790.49"/>
    <n v="63"/>
    <n v="7"/>
    <n v="19730.549999999996"/>
    <n v="5"/>
    <n v="4"/>
    <n v="5"/>
    <s v="545"/>
    <x v="0"/>
  </r>
  <r>
    <x v="352"/>
    <d v="2026-02-20T09:00:07"/>
    <x v="4"/>
    <x v="3"/>
    <x v="1"/>
    <n v="5386.29"/>
    <n v="63"/>
    <n v="7"/>
    <n v="27438.3"/>
    <n v="5"/>
    <n v="4"/>
    <n v="4"/>
    <s v="544"/>
    <x v="0"/>
  </r>
  <r>
    <x v="308"/>
    <d v="2026-02-20T09:00:07"/>
    <x v="1"/>
    <x v="6"/>
    <x v="0"/>
    <n v="2340.0700000000002"/>
    <n v="63"/>
    <n v="9"/>
    <n v="34800.239999999998"/>
    <n v="5"/>
    <n v="2"/>
    <n v="3"/>
    <s v="523"/>
    <x v="4"/>
  </r>
  <r>
    <x v="314"/>
    <d v="2026-02-20T09:00:07"/>
    <x v="8"/>
    <x v="2"/>
    <x v="0"/>
    <n v="2682.79"/>
    <n v="63"/>
    <n v="6"/>
    <n v="22687.77"/>
    <n v="5"/>
    <n v="4"/>
    <n v="4"/>
    <s v="544"/>
    <x v="0"/>
  </r>
  <r>
    <x v="295"/>
    <d v="2026-02-20T09:00:07"/>
    <x v="6"/>
    <x v="0"/>
    <x v="0"/>
    <n v="2904.82"/>
    <n v="63"/>
    <n v="9"/>
    <n v="26580.030000000002"/>
    <n v="5"/>
    <n v="2"/>
    <n v="4"/>
    <s v="524"/>
    <x v="4"/>
  </r>
  <r>
    <x v="57"/>
    <d v="2026-02-21T09:00:07"/>
    <x v="9"/>
    <x v="1"/>
    <x v="0"/>
    <n v="1079.04"/>
    <n v="62"/>
    <n v="16"/>
    <n v="58237.360000000008"/>
    <n v="5"/>
    <n v="1"/>
    <n v="1"/>
    <s v="511"/>
    <x v="4"/>
  </r>
  <r>
    <x v="219"/>
    <d v="2026-02-21T09:00:07"/>
    <x v="3"/>
    <x v="1"/>
    <x v="2"/>
    <n v="1724.59"/>
    <n v="62"/>
    <n v="9"/>
    <n v="35283.15"/>
    <n v="5"/>
    <n v="2"/>
    <n v="3"/>
    <s v="523"/>
    <x v="4"/>
  </r>
  <r>
    <x v="321"/>
    <d v="2026-02-21T09:00:07"/>
    <x v="0"/>
    <x v="3"/>
    <x v="2"/>
    <n v="9401.2199999999993"/>
    <n v="62"/>
    <n v="11"/>
    <n v="40714.880000000005"/>
    <n v="5"/>
    <n v="1"/>
    <n v="2"/>
    <s v="512"/>
    <x v="4"/>
  </r>
  <r>
    <x v="399"/>
    <d v="2026-02-21T09:00:07"/>
    <x v="9"/>
    <x v="5"/>
    <x v="0"/>
    <n v="3990.72"/>
    <n v="62"/>
    <n v="7"/>
    <n v="30282.260000000002"/>
    <n v="5"/>
    <n v="4"/>
    <n v="3"/>
    <s v="543"/>
    <x v="0"/>
  </r>
  <r>
    <x v="319"/>
    <d v="2026-02-22T09:00:07"/>
    <x v="0"/>
    <x v="5"/>
    <x v="0"/>
    <n v="3491.03"/>
    <n v="61"/>
    <n v="9"/>
    <n v="39183.29"/>
    <n v="5"/>
    <n v="2"/>
    <n v="2"/>
    <s v="522"/>
    <x v="4"/>
  </r>
  <r>
    <x v="44"/>
    <d v="2026-02-22T09:00:07"/>
    <x v="5"/>
    <x v="4"/>
    <x v="0"/>
    <n v="2934.53"/>
    <n v="61"/>
    <n v="8"/>
    <n v="28879.600000000002"/>
    <n v="5"/>
    <n v="3"/>
    <n v="4"/>
    <s v="534"/>
    <x v="0"/>
  </r>
  <r>
    <x v="331"/>
    <d v="2026-02-22T09:00:07"/>
    <x v="9"/>
    <x v="2"/>
    <x v="2"/>
    <n v="4627.1099999999997"/>
    <n v="61"/>
    <n v="9"/>
    <n v="45883.96"/>
    <n v="5"/>
    <n v="2"/>
    <n v="1"/>
    <s v="521"/>
    <x v="4"/>
  </r>
  <r>
    <x v="346"/>
    <d v="2026-02-22T09:00:07"/>
    <x v="1"/>
    <x v="2"/>
    <x v="1"/>
    <n v="2558.27"/>
    <n v="61"/>
    <n v="8"/>
    <n v="30873.260000000002"/>
    <n v="5"/>
    <n v="3"/>
    <n v="3"/>
    <s v="533"/>
    <x v="0"/>
  </r>
  <r>
    <x v="336"/>
    <d v="2026-02-22T09:00:07"/>
    <x v="1"/>
    <x v="4"/>
    <x v="1"/>
    <n v="5078.1099999999997"/>
    <n v="61"/>
    <n v="9"/>
    <n v="34808.1"/>
    <n v="5"/>
    <n v="2"/>
    <n v="3"/>
    <s v="523"/>
    <x v="4"/>
  </r>
  <r>
    <x v="212"/>
    <d v="2026-02-22T09:00:07"/>
    <x v="8"/>
    <x v="4"/>
    <x v="1"/>
    <n v="3124.46"/>
    <n v="61"/>
    <n v="9"/>
    <n v="27881.53"/>
    <n v="5"/>
    <n v="2"/>
    <n v="4"/>
    <s v="524"/>
    <x v="4"/>
  </r>
  <r>
    <x v="207"/>
    <d v="2026-02-23T09:00:07"/>
    <x v="3"/>
    <x v="5"/>
    <x v="0"/>
    <n v="10142.370000000001"/>
    <n v="60"/>
    <n v="10"/>
    <n v="39681.960000000006"/>
    <n v="5"/>
    <n v="2"/>
    <n v="2"/>
    <s v="522"/>
    <x v="4"/>
  </r>
  <r>
    <x v="115"/>
    <d v="2026-02-24T09:00:07"/>
    <x v="8"/>
    <x v="5"/>
    <x v="0"/>
    <n v="5286.21"/>
    <n v="59"/>
    <n v="7"/>
    <n v="28040.249999999996"/>
    <n v="5"/>
    <n v="4"/>
    <n v="4"/>
    <s v="544"/>
    <x v="0"/>
  </r>
  <r>
    <x v="47"/>
    <d v="2026-02-24T09:00:07"/>
    <x v="8"/>
    <x v="1"/>
    <x v="0"/>
    <n v="2350.39"/>
    <n v="59"/>
    <n v="11"/>
    <n v="58842.799999999996"/>
    <n v="5"/>
    <n v="1"/>
    <n v="1"/>
    <s v="511"/>
    <x v="4"/>
  </r>
  <r>
    <x v="233"/>
    <d v="2026-02-24T09:00:07"/>
    <x v="5"/>
    <x v="3"/>
    <x v="2"/>
    <n v="8578.94"/>
    <n v="59"/>
    <n v="5"/>
    <n v="30121.440000000002"/>
    <n v="5"/>
    <n v="5"/>
    <n v="3"/>
    <s v="553"/>
    <x v="0"/>
  </r>
  <r>
    <x v="366"/>
    <d v="2026-02-24T09:00:07"/>
    <x v="0"/>
    <x v="3"/>
    <x v="1"/>
    <n v="4415.12"/>
    <n v="59"/>
    <n v="4"/>
    <n v="16880.16"/>
    <n v="5"/>
    <n v="5"/>
    <n v="5"/>
    <s v="555"/>
    <x v="0"/>
  </r>
  <r>
    <x v="321"/>
    <d v="2026-02-24T09:00:07"/>
    <x v="8"/>
    <x v="4"/>
    <x v="1"/>
    <n v="928.4"/>
    <n v="59"/>
    <n v="11"/>
    <n v="40714.880000000005"/>
    <n v="5"/>
    <n v="1"/>
    <n v="2"/>
    <s v="512"/>
    <x v="4"/>
  </r>
  <r>
    <x v="135"/>
    <d v="2026-02-25T09:00:07"/>
    <x v="8"/>
    <x v="4"/>
    <x v="1"/>
    <n v="1891.72"/>
    <n v="58"/>
    <n v="9"/>
    <n v="34982.139999999992"/>
    <n v="5"/>
    <n v="2"/>
    <n v="3"/>
    <s v="523"/>
    <x v="4"/>
  </r>
  <r>
    <x v="13"/>
    <d v="2026-02-25T09:00:07"/>
    <x v="5"/>
    <x v="5"/>
    <x v="0"/>
    <n v="1507.06"/>
    <n v="58"/>
    <n v="7"/>
    <n v="26651.280000000002"/>
    <n v="5"/>
    <n v="4"/>
    <n v="4"/>
    <s v="544"/>
    <x v="0"/>
  </r>
  <r>
    <x v="274"/>
    <d v="2026-02-25T09:00:07"/>
    <x v="0"/>
    <x v="1"/>
    <x v="0"/>
    <n v="5608.38"/>
    <n v="58"/>
    <n v="11"/>
    <n v="73437.08"/>
    <n v="5"/>
    <n v="1"/>
    <n v="1"/>
    <s v="511"/>
    <x v="4"/>
  </r>
  <r>
    <x v="321"/>
    <d v="2026-02-26T09:00:07"/>
    <x v="7"/>
    <x v="2"/>
    <x v="1"/>
    <n v="2971.69"/>
    <n v="57"/>
    <n v="11"/>
    <n v="40714.880000000005"/>
    <n v="5"/>
    <n v="1"/>
    <n v="2"/>
    <s v="512"/>
    <x v="4"/>
  </r>
  <r>
    <x v="108"/>
    <d v="2026-02-26T09:00:07"/>
    <x v="8"/>
    <x v="3"/>
    <x v="0"/>
    <n v="1272.8399999999999"/>
    <n v="57"/>
    <n v="8"/>
    <n v="45571.029999999992"/>
    <n v="5"/>
    <n v="3"/>
    <n v="1"/>
    <s v="531"/>
    <x v="0"/>
  </r>
  <r>
    <x v="300"/>
    <d v="2026-02-26T09:00:07"/>
    <x v="7"/>
    <x v="4"/>
    <x v="1"/>
    <n v="2348.59"/>
    <n v="57"/>
    <n v="6"/>
    <n v="12410.619999999999"/>
    <n v="5"/>
    <n v="4"/>
    <n v="5"/>
    <s v="545"/>
    <x v="0"/>
  </r>
  <r>
    <x v="278"/>
    <d v="2026-02-26T09:00:07"/>
    <x v="7"/>
    <x v="1"/>
    <x v="2"/>
    <n v="3766.66"/>
    <n v="57"/>
    <n v="10"/>
    <n v="38069.94"/>
    <n v="5"/>
    <n v="2"/>
    <n v="2"/>
    <s v="522"/>
    <x v="4"/>
  </r>
  <r>
    <x v="263"/>
    <d v="2026-02-26T09:00:07"/>
    <x v="3"/>
    <x v="2"/>
    <x v="0"/>
    <n v="6711.72"/>
    <n v="57"/>
    <n v="12"/>
    <n v="40797.409999999996"/>
    <n v="5"/>
    <n v="1"/>
    <n v="2"/>
    <s v="512"/>
    <x v="4"/>
  </r>
  <r>
    <x v="91"/>
    <d v="2026-02-26T09:00:07"/>
    <x v="1"/>
    <x v="6"/>
    <x v="2"/>
    <n v="1655.92"/>
    <n v="57"/>
    <n v="7"/>
    <n v="21209.440000000002"/>
    <n v="5"/>
    <n v="4"/>
    <n v="5"/>
    <s v="545"/>
    <x v="0"/>
  </r>
  <r>
    <x v="3"/>
    <d v="2026-02-27T09:00:07"/>
    <x v="3"/>
    <x v="4"/>
    <x v="0"/>
    <n v="1856.81"/>
    <n v="56"/>
    <n v="15"/>
    <n v="49637.999999999993"/>
    <n v="5"/>
    <n v="1"/>
    <n v="1"/>
    <s v="511"/>
    <x v="4"/>
  </r>
  <r>
    <x v="56"/>
    <d v="2026-02-27T09:00:07"/>
    <x v="8"/>
    <x v="1"/>
    <x v="0"/>
    <n v="375.22"/>
    <n v="56"/>
    <n v="12"/>
    <n v="38950.210000000006"/>
    <n v="5"/>
    <n v="1"/>
    <n v="2"/>
    <s v="512"/>
    <x v="4"/>
  </r>
  <r>
    <x v="253"/>
    <d v="2026-02-27T09:00:07"/>
    <x v="7"/>
    <x v="1"/>
    <x v="2"/>
    <n v="1993.53"/>
    <n v="56"/>
    <n v="8"/>
    <n v="35967.03"/>
    <n v="5"/>
    <n v="3"/>
    <n v="3"/>
    <s v="533"/>
    <x v="0"/>
  </r>
  <r>
    <x v="50"/>
    <d v="2026-02-27T09:00:07"/>
    <x v="2"/>
    <x v="0"/>
    <x v="0"/>
    <n v="5617.24"/>
    <n v="56"/>
    <n v="13"/>
    <n v="64175.24"/>
    <n v="5"/>
    <n v="1"/>
    <n v="1"/>
    <s v="511"/>
    <x v="4"/>
  </r>
  <r>
    <x v="289"/>
    <d v="2026-02-27T09:00:07"/>
    <x v="1"/>
    <x v="0"/>
    <x v="1"/>
    <n v="3571.53"/>
    <n v="56"/>
    <n v="6"/>
    <n v="29693.030000000002"/>
    <n v="5"/>
    <n v="4"/>
    <n v="3"/>
    <s v="543"/>
    <x v="0"/>
  </r>
  <r>
    <x v="182"/>
    <d v="2026-02-27T09:00:07"/>
    <x v="5"/>
    <x v="0"/>
    <x v="0"/>
    <n v="5188.7299999999996"/>
    <n v="56"/>
    <n v="13"/>
    <n v="49208.94"/>
    <n v="5"/>
    <n v="1"/>
    <n v="1"/>
    <s v="511"/>
    <x v="4"/>
  </r>
  <r>
    <x v="232"/>
    <d v="2026-02-27T09:00:07"/>
    <x v="2"/>
    <x v="1"/>
    <x v="0"/>
    <n v="12685.15"/>
    <n v="56"/>
    <n v="12"/>
    <n v="42146.06"/>
    <n v="5"/>
    <n v="1"/>
    <n v="2"/>
    <s v="512"/>
    <x v="4"/>
  </r>
  <r>
    <x v="177"/>
    <d v="2026-02-28T09:00:07"/>
    <x v="0"/>
    <x v="4"/>
    <x v="2"/>
    <n v="2373.11"/>
    <n v="55"/>
    <n v="11"/>
    <n v="45526.78"/>
    <n v="5"/>
    <n v="1"/>
    <n v="1"/>
    <s v="511"/>
    <x v="4"/>
  </r>
  <r>
    <x v="44"/>
    <d v="2026-02-28T09:00:07"/>
    <x v="0"/>
    <x v="3"/>
    <x v="2"/>
    <n v="7091.81"/>
    <n v="55"/>
    <n v="8"/>
    <n v="28879.600000000002"/>
    <n v="5"/>
    <n v="3"/>
    <n v="4"/>
    <s v="534"/>
    <x v="0"/>
  </r>
  <r>
    <x v="280"/>
    <d v="2026-02-28T09:00:07"/>
    <x v="6"/>
    <x v="5"/>
    <x v="1"/>
    <n v="5310.67"/>
    <n v="55"/>
    <n v="16"/>
    <n v="64716.249999999985"/>
    <n v="5"/>
    <n v="1"/>
    <n v="1"/>
    <s v="511"/>
    <x v="4"/>
  </r>
  <r>
    <x v="180"/>
    <d v="2026-03-01T09:00:07"/>
    <x v="8"/>
    <x v="0"/>
    <x v="0"/>
    <n v="1433.5"/>
    <n v="54"/>
    <n v="8"/>
    <n v="26424.119999999995"/>
    <n v="5"/>
    <n v="3"/>
    <n v="4"/>
    <s v="534"/>
    <x v="0"/>
  </r>
  <r>
    <x v="26"/>
    <d v="2026-03-01T09:00:07"/>
    <x v="5"/>
    <x v="1"/>
    <x v="1"/>
    <n v="5152.08"/>
    <n v="54"/>
    <n v="6"/>
    <n v="22201.78"/>
    <n v="5"/>
    <n v="4"/>
    <n v="4"/>
    <s v="544"/>
    <x v="0"/>
  </r>
  <r>
    <x v="95"/>
    <d v="2026-03-01T09:00:07"/>
    <x v="2"/>
    <x v="5"/>
    <x v="1"/>
    <n v="4961.72"/>
    <n v="54"/>
    <n v="6"/>
    <n v="16595.620000000003"/>
    <n v="5"/>
    <n v="4"/>
    <n v="5"/>
    <s v="545"/>
    <x v="0"/>
  </r>
  <r>
    <x v="181"/>
    <d v="2026-03-01T09:00:07"/>
    <x v="6"/>
    <x v="0"/>
    <x v="2"/>
    <n v="10187.370000000001"/>
    <n v="54"/>
    <n v="7"/>
    <n v="25155.31"/>
    <n v="5"/>
    <n v="4"/>
    <n v="4"/>
    <s v="544"/>
    <x v="0"/>
  </r>
  <r>
    <x v="96"/>
    <d v="2026-03-02T09:00:07"/>
    <x v="3"/>
    <x v="4"/>
    <x v="1"/>
    <n v="6137.44"/>
    <n v="53"/>
    <n v="11"/>
    <n v="62038.55"/>
    <n v="5"/>
    <n v="1"/>
    <n v="1"/>
    <s v="511"/>
    <x v="4"/>
  </r>
  <r>
    <x v="332"/>
    <d v="2026-03-02T09:00:07"/>
    <x v="0"/>
    <x v="2"/>
    <x v="2"/>
    <n v="501.48"/>
    <n v="53"/>
    <n v="9"/>
    <n v="27857.719999999998"/>
    <n v="5"/>
    <n v="2"/>
    <n v="4"/>
    <s v="524"/>
    <x v="4"/>
  </r>
  <r>
    <x v="53"/>
    <d v="2026-03-02T09:00:07"/>
    <x v="4"/>
    <x v="3"/>
    <x v="1"/>
    <n v="3258.25"/>
    <n v="53"/>
    <n v="8"/>
    <n v="23394.15"/>
    <n v="5"/>
    <n v="3"/>
    <n v="4"/>
    <s v="534"/>
    <x v="0"/>
  </r>
  <r>
    <x v="229"/>
    <d v="2026-03-02T09:00:07"/>
    <x v="4"/>
    <x v="1"/>
    <x v="0"/>
    <n v="2398.12"/>
    <n v="53"/>
    <n v="10"/>
    <n v="27359.329999999998"/>
    <n v="5"/>
    <n v="2"/>
    <n v="4"/>
    <s v="524"/>
    <x v="4"/>
  </r>
  <r>
    <x v="28"/>
    <d v="2026-03-03T09:00:07"/>
    <x v="7"/>
    <x v="0"/>
    <x v="1"/>
    <n v="682.14"/>
    <n v="52"/>
    <n v="10"/>
    <n v="39472.789999999994"/>
    <n v="5"/>
    <n v="2"/>
    <n v="2"/>
    <s v="522"/>
    <x v="4"/>
  </r>
  <r>
    <x v="288"/>
    <d v="2026-03-03T09:00:07"/>
    <x v="7"/>
    <x v="0"/>
    <x v="1"/>
    <n v="13434.9"/>
    <n v="52"/>
    <n v="5"/>
    <n v="22112.27"/>
    <n v="5"/>
    <n v="5"/>
    <n v="4"/>
    <s v="554"/>
    <x v="0"/>
  </r>
  <r>
    <x v="80"/>
    <d v="2026-03-03T09:00:07"/>
    <x v="7"/>
    <x v="6"/>
    <x v="1"/>
    <n v="2266.71"/>
    <n v="52"/>
    <n v="10"/>
    <n v="38608.230000000003"/>
    <n v="5"/>
    <n v="2"/>
    <n v="2"/>
    <s v="522"/>
    <x v="4"/>
  </r>
  <r>
    <x v="144"/>
    <d v="2026-03-03T09:00:07"/>
    <x v="5"/>
    <x v="5"/>
    <x v="0"/>
    <n v="2608.08"/>
    <n v="52"/>
    <n v="6"/>
    <n v="27159.870000000003"/>
    <n v="5"/>
    <n v="4"/>
    <n v="4"/>
    <s v="544"/>
    <x v="0"/>
  </r>
  <r>
    <x v="282"/>
    <d v="2026-03-03T09:00:07"/>
    <x v="2"/>
    <x v="2"/>
    <x v="1"/>
    <n v="1083.46"/>
    <n v="52"/>
    <n v="7"/>
    <n v="25906.9"/>
    <n v="5"/>
    <n v="4"/>
    <n v="4"/>
    <s v="544"/>
    <x v="0"/>
  </r>
  <r>
    <x v="105"/>
    <d v="2026-03-03T09:00:07"/>
    <x v="6"/>
    <x v="2"/>
    <x v="2"/>
    <n v="912.38"/>
    <n v="52"/>
    <n v="3"/>
    <n v="7775.1900000000005"/>
    <n v="5"/>
    <n v="5"/>
    <n v="5"/>
    <s v="555"/>
    <x v="0"/>
  </r>
  <r>
    <x v="272"/>
    <d v="2026-03-04T09:00:07"/>
    <x v="4"/>
    <x v="6"/>
    <x v="2"/>
    <n v="3820.64"/>
    <n v="51"/>
    <n v="13"/>
    <n v="49471.75"/>
    <n v="5"/>
    <n v="1"/>
    <n v="1"/>
    <s v="511"/>
    <x v="4"/>
  </r>
  <r>
    <x v="37"/>
    <d v="2026-03-04T09:00:07"/>
    <x v="9"/>
    <x v="3"/>
    <x v="2"/>
    <n v="2072.2600000000002"/>
    <n v="51"/>
    <n v="7"/>
    <n v="24825.78"/>
    <n v="5"/>
    <n v="4"/>
    <n v="4"/>
    <s v="544"/>
    <x v="0"/>
  </r>
  <r>
    <x v="77"/>
    <d v="2026-03-04T09:00:07"/>
    <x v="5"/>
    <x v="3"/>
    <x v="1"/>
    <n v="2841.08"/>
    <n v="51"/>
    <n v="4"/>
    <n v="13576.4"/>
    <n v="5"/>
    <n v="5"/>
    <n v="5"/>
    <s v="555"/>
    <x v="0"/>
  </r>
  <r>
    <x v="131"/>
    <d v="2026-03-04T09:00:07"/>
    <x v="3"/>
    <x v="2"/>
    <x v="0"/>
    <n v="6783.46"/>
    <n v="51"/>
    <n v="5"/>
    <n v="26657.089999999997"/>
    <n v="5"/>
    <n v="5"/>
    <n v="4"/>
    <s v="554"/>
    <x v="0"/>
  </r>
  <r>
    <x v="398"/>
    <d v="2026-03-05T09:00:07"/>
    <x v="5"/>
    <x v="3"/>
    <x v="2"/>
    <n v="4894.3100000000004"/>
    <n v="50"/>
    <n v="5"/>
    <n v="17355.699999999997"/>
    <n v="5"/>
    <n v="5"/>
    <n v="5"/>
    <s v="555"/>
    <x v="0"/>
  </r>
  <r>
    <x v="265"/>
    <d v="2026-03-05T09:00:07"/>
    <x v="0"/>
    <x v="0"/>
    <x v="0"/>
    <n v="2647.48"/>
    <n v="50"/>
    <n v="8"/>
    <n v="37946.1"/>
    <n v="5"/>
    <n v="3"/>
    <n v="2"/>
    <s v="532"/>
    <x v="0"/>
  </r>
  <r>
    <x v="190"/>
    <d v="2026-03-05T09:00:07"/>
    <x v="8"/>
    <x v="0"/>
    <x v="1"/>
    <n v="9499.7900000000009"/>
    <n v="50"/>
    <n v="13"/>
    <n v="51409.87"/>
    <n v="5"/>
    <n v="1"/>
    <n v="1"/>
    <s v="511"/>
    <x v="4"/>
  </r>
  <r>
    <x v="126"/>
    <d v="2026-03-05T09:00:07"/>
    <x v="3"/>
    <x v="1"/>
    <x v="0"/>
    <n v="4451.97"/>
    <n v="50"/>
    <n v="11"/>
    <n v="46795.570000000007"/>
    <n v="5"/>
    <n v="1"/>
    <n v="1"/>
    <s v="511"/>
    <x v="4"/>
  </r>
  <r>
    <x v="147"/>
    <d v="2026-03-05T09:00:07"/>
    <x v="7"/>
    <x v="5"/>
    <x v="0"/>
    <n v="1252.96"/>
    <n v="50"/>
    <n v="8"/>
    <n v="21286.739999999998"/>
    <n v="5"/>
    <n v="3"/>
    <n v="5"/>
    <s v="535"/>
    <x v="0"/>
  </r>
  <r>
    <x v="172"/>
    <d v="2026-03-05T09:00:07"/>
    <x v="4"/>
    <x v="3"/>
    <x v="2"/>
    <n v="6864.78"/>
    <n v="50"/>
    <n v="9"/>
    <n v="51674.6"/>
    <n v="5"/>
    <n v="2"/>
    <n v="1"/>
    <s v="521"/>
    <x v="4"/>
  </r>
  <r>
    <x v="394"/>
    <d v="2026-03-06T09:00:07"/>
    <x v="0"/>
    <x v="4"/>
    <x v="1"/>
    <n v="9791.33"/>
    <n v="49"/>
    <n v="5"/>
    <n v="29762.12"/>
    <n v="5"/>
    <n v="5"/>
    <n v="3"/>
    <s v="553"/>
    <x v="0"/>
  </r>
  <r>
    <x v="394"/>
    <d v="2026-03-06T09:00:07"/>
    <x v="7"/>
    <x v="5"/>
    <x v="0"/>
    <n v="2502.09"/>
    <n v="49"/>
    <n v="5"/>
    <n v="29762.12"/>
    <n v="5"/>
    <n v="5"/>
    <n v="3"/>
    <s v="553"/>
    <x v="0"/>
  </r>
  <r>
    <x v="73"/>
    <d v="2026-03-07T09:00:07"/>
    <x v="4"/>
    <x v="5"/>
    <x v="0"/>
    <n v="2788.07"/>
    <n v="48"/>
    <n v="6"/>
    <n v="20804.55"/>
    <n v="5"/>
    <n v="4"/>
    <n v="5"/>
    <s v="545"/>
    <x v="0"/>
  </r>
  <r>
    <x v="398"/>
    <d v="2026-03-07T09:00:07"/>
    <x v="1"/>
    <x v="2"/>
    <x v="0"/>
    <n v="2668.23"/>
    <n v="48"/>
    <n v="5"/>
    <n v="17355.699999999997"/>
    <n v="5"/>
    <n v="5"/>
    <n v="5"/>
    <s v="555"/>
    <x v="0"/>
  </r>
  <r>
    <x v="71"/>
    <d v="2026-03-07T09:00:07"/>
    <x v="8"/>
    <x v="5"/>
    <x v="2"/>
    <n v="5149.12"/>
    <n v="48"/>
    <n v="10"/>
    <n v="49420.710000000006"/>
    <n v="5"/>
    <n v="2"/>
    <n v="1"/>
    <s v="521"/>
    <x v="4"/>
  </r>
  <r>
    <x v="135"/>
    <d v="2026-03-08T09:00:07"/>
    <x v="3"/>
    <x v="2"/>
    <x v="1"/>
    <n v="2015.88"/>
    <n v="47"/>
    <n v="9"/>
    <n v="34982.139999999992"/>
    <n v="5"/>
    <n v="2"/>
    <n v="3"/>
    <s v="523"/>
    <x v="4"/>
  </r>
  <r>
    <x v="146"/>
    <d v="2026-03-09T09:00:07"/>
    <x v="8"/>
    <x v="6"/>
    <x v="1"/>
    <n v="435.2"/>
    <n v="46"/>
    <n v="12"/>
    <n v="42776.80999999999"/>
    <n v="5"/>
    <n v="1"/>
    <n v="2"/>
    <s v="512"/>
    <x v="4"/>
  </r>
  <r>
    <x v="352"/>
    <d v="2026-03-09T09:00:07"/>
    <x v="4"/>
    <x v="5"/>
    <x v="0"/>
    <n v="3783.78"/>
    <n v="46"/>
    <n v="7"/>
    <n v="27438.3"/>
    <n v="5"/>
    <n v="4"/>
    <n v="4"/>
    <s v="544"/>
    <x v="0"/>
  </r>
  <r>
    <x v="126"/>
    <d v="2026-03-09T09:00:07"/>
    <x v="0"/>
    <x v="0"/>
    <x v="2"/>
    <n v="2534.4899999999998"/>
    <n v="46"/>
    <n v="11"/>
    <n v="46795.570000000007"/>
    <n v="5"/>
    <n v="1"/>
    <n v="1"/>
    <s v="511"/>
    <x v="4"/>
  </r>
  <r>
    <x v="274"/>
    <d v="2026-03-09T09:00:07"/>
    <x v="3"/>
    <x v="1"/>
    <x v="0"/>
    <n v="477.47"/>
    <n v="46"/>
    <n v="11"/>
    <n v="73437.08"/>
    <n v="5"/>
    <n v="1"/>
    <n v="1"/>
    <s v="511"/>
    <x v="4"/>
  </r>
  <r>
    <x v="287"/>
    <d v="2026-03-09T09:00:07"/>
    <x v="0"/>
    <x v="0"/>
    <x v="1"/>
    <n v="2746.02"/>
    <n v="46"/>
    <n v="9"/>
    <n v="35759.83"/>
    <n v="5"/>
    <n v="2"/>
    <n v="3"/>
    <s v="523"/>
    <x v="4"/>
  </r>
  <r>
    <x v="324"/>
    <d v="2026-03-09T09:00:07"/>
    <x v="6"/>
    <x v="3"/>
    <x v="1"/>
    <n v="3825.28"/>
    <n v="46"/>
    <n v="8"/>
    <n v="31330.839999999997"/>
    <n v="5"/>
    <n v="3"/>
    <n v="3"/>
    <s v="533"/>
    <x v="0"/>
  </r>
  <r>
    <x v="259"/>
    <d v="2026-03-09T09:00:07"/>
    <x v="7"/>
    <x v="0"/>
    <x v="1"/>
    <n v="854.54"/>
    <n v="46"/>
    <n v="10"/>
    <n v="33545.49"/>
    <n v="5"/>
    <n v="2"/>
    <n v="3"/>
    <s v="523"/>
    <x v="4"/>
  </r>
  <r>
    <x v="286"/>
    <d v="2026-03-10T09:00:07"/>
    <x v="3"/>
    <x v="2"/>
    <x v="1"/>
    <n v="2107.13"/>
    <n v="45"/>
    <n v="14"/>
    <n v="60099.840000000004"/>
    <n v="5"/>
    <n v="1"/>
    <n v="1"/>
    <s v="511"/>
    <x v="4"/>
  </r>
  <r>
    <x v="47"/>
    <d v="2026-03-10T09:00:07"/>
    <x v="3"/>
    <x v="1"/>
    <x v="1"/>
    <n v="1937.87"/>
    <n v="45"/>
    <n v="11"/>
    <n v="58842.799999999996"/>
    <n v="5"/>
    <n v="1"/>
    <n v="1"/>
    <s v="511"/>
    <x v="4"/>
  </r>
  <r>
    <x v="245"/>
    <d v="2026-03-10T09:00:07"/>
    <x v="8"/>
    <x v="0"/>
    <x v="2"/>
    <n v="6411.36"/>
    <n v="45"/>
    <n v="4"/>
    <n v="13595.329999999998"/>
    <n v="5"/>
    <n v="5"/>
    <n v="5"/>
    <s v="555"/>
    <x v="0"/>
  </r>
  <r>
    <x v="256"/>
    <d v="2026-03-10T09:00:07"/>
    <x v="4"/>
    <x v="2"/>
    <x v="1"/>
    <n v="3462.05"/>
    <n v="45"/>
    <n v="8"/>
    <n v="28559.850000000002"/>
    <n v="5"/>
    <n v="3"/>
    <n v="4"/>
    <s v="534"/>
    <x v="0"/>
  </r>
  <r>
    <x v="213"/>
    <d v="2026-03-11T09:00:07"/>
    <x v="1"/>
    <x v="4"/>
    <x v="1"/>
    <n v="495.75"/>
    <n v="44"/>
    <n v="12"/>
    <n v="36909.899999999994"/>
    <n v="5"/>
    <n v="1"/>
    <n v="2"/>
    <s v="512"/>
    <x v="4"/>
  </r>
  <r>
    <x v="12"/>
    <d v="2026-03-11T09:00:07"/>
    <x v="3"/>
    <x v="5"/>
    <x v="0"/>
    <n v="2358.5300000000002"/>
    <n v="44"/>
    <n v="9"/>
    <n v="24509.48"/>
    <n v="5"/>
    <n v="2"/>
    <n v="4"/>
    <s v="524"/>
    <x v="4"/>
  </r>
  <r>
    <x v="176"/>
    <d v="2026-03-11T09:00:07"/>
    <x v="5"/>
    <x v="5"/>
    <x v="2"/>
    <n v="4656.3"/>
    <n v="44"/>
    <n v="9"/>
    <n v="48978.57"/>
    <n v="5"/>
    <n v="2"/>
    <n v="1"/>
    <s v="521"/>
    <x v="4"/>
  </r>
  <r>
    <x v="310"/>
    <d v="2026-03-11T09:00:07"/>
    <x v="9"/>
    <x v="1"/>
    <x v="0"/>
    <n v="1927.55"/>
    <n v="44"/>
    <n v="8"/>
    <n v="43723.900000000009"/>
    <n v="5"/>
    <n v="3"/>
    <n v="2"/>
    <s v="532"/>
    <x v="0"/>
  </r>
  <r>
    <x v="92"/>
    <d v="2026-03-11T09:00:07"/>
    <x v="6"/>
    <x v="4"/>
    <x v="1"/>
    <n v="10150.81"/>
    <n v="44"/>
    <n v="7"/>
    <n v="33778.21"/>
    <n v="5"/>
    <n v="4"/>
    <n v="3"/>
    <s v="543"/>
    <x v="0"/>
  </r>
  <r>
    <x v="344"/>
    <d v="2026-03-11T09:00:07"/>
    <x v="3"/>
    <x v="1"/>
    <x v="2"/>
    <n v="2565.87"/>
    <n v="44"/>
    <n v="8"/>
    <n v="29788.7"/>
    <n v="5"/>
    <n v="3"/>
    <n v="3"/>
    <s v="533"/>
    <x v="0"/>
  </r>
  <r>
    <x v="349"/>
    <d v="2026-03-12T09:00:07"/>
    <x v="5"/>
    <x v="4"/>
    <x v="0"/>
    <n v="2150.37"/>
    <n v="43"/>
    <n v="8"/>
    <n v="22493.960000000003"/>
    <n v="5"/>
    <n v="3"/>
    <n v="4"/>
    <s v="534"/>
    <x v="0"/>
  </r>
  <r>
    <x v="197"/>
    <d v="2026-03-12T09:00:07"/>
    <x v="6"/>
    <x v="2"/>
    <x v="1"/>
    <n v="10621.69"/>
    <n v="43"/>
    <n v="7"/>
    <n v="27796.990000000005"/>
    <n v="5"/>
    <n v="4"/>
    <n v="4"/>
    <s v="544"/>
    <x v="0"/>
  </r>
  <r>
    <x v="61"/>
    <d v="2026-03-12T09:00:07"/>
    <x v="1"/>
    <x v="5"/>
    <x v="1"/>
    <n v="4385.34"/>
    <n v="43"/>
    <n v="11"/>
    <n v="52771.959999999992"/>
    <n v="5"/>
    <n v="1"/>
    <n v="1"/>
    <s v="511"/>
    <x v="4"/>
  </r>
  <r>
    <x v="172"/>
    <d v="2026-03-12T09:00:07"/>
    <x v="5"/>
    <x v="2"/>
    <x v="2"/>
    <n v="6665.17"/>
    <n v="43"/>
    <n v="9"/>
    <n v="51674.6"/>
    <n v="5"/>
    <n v="2"/>
    <n v="1"/>
    <s v="521"/>
    <x v="4"/>
  </r>
  <r>
    <x v="162"/>
    <d v="2026-03-12T09:00:07"/>
    <x v="4"/>
    <x v="2"/>
    <x v="0"/>
    <n v="3584.88"/>
    <n v="43"/>
    <n v="7"/>
    <n v="20657.780000000002"/>
    <n v="5"/>
    <n v="4"/>
    <n v="5"/>
    <s v="545"/>
    <x v="0"/>
  </r>
  <r>
    <x v="122"/>
    <d v="2026-03-12T09:00:07"/>
    <x v="4"/>
    <x v="1"/>
    <x v="0"/>
    <n v="4105.34"/>
    <n v="43"/>
    <n v="10"/>
    <n v="45537.319999999992"/>
    <n v="5"/>
    <n v="2"/>
    <n v="1"/>
    <s v="521"/>
    <x v="4"/>
  </r>
  <r>
    <x v="330"/>
    <d v="2026-03-13T09:00:07"/>
    <x v="6"/>
    <x v="2"/>
    <x v="2"/>
    <n v="5559.67"/>
    <n v="42"/>
    <n v="9"/>
    <n v="39538.21"/>
    <n v="5"/>
    <n v="2"/>
    <n v="2"/>
    <s v="522"/>
    <x v="4"/>
  </r>
  <r>
    <x v="332"/>
    <d v="2026-03-13T09:00:07"/>
    <x v="4"/>
    <x v="1"/>
    <x v="0"/>
    <n v="4066.03"/>
    <n v="42"/>
    <n v="9"/>
    <n v="27857.719999999998"/>
    <n v="5"/>
    <n v="2"/>
    <n v="4"/>
    <s v="524"/>
    <x v="4"/>
  </r>
  <r>
    <x v="269"/>
    <d v="2026-03-13T09:00:07"/>
    <x v="3"/>
    <x v="4"/>
    <x v="0"/>
    <n v="843.19"/>
    <n v="42"/>
    <n v="9"/>
    <n v="32843.11"/>
    <n v="5"/>
    <n v="2"/>
    <n v="3"/>
    <s v="523"/>
    <x v="4"/>
  </r>
  <r>
    <x v="361"/>
    <d v="2026-03-14T09:00:07"/>
    <x v="5"/>
    <x v="3"/>
    <x v="1"/>
    <n v="2349.5"/>
    <n v="41"/>
    <n v="6"/>
    <n v="16743.59"/>
    <n v="5"/>
    <n v="4"/>
    <n v="5"/>
    <s v="545"/>
    <x v="0"/>
  </r>
  <r>
    <x v="378"/>
    <d v="2026-03-14T09:00:07"/>
    <x v="7"/>
    <x v="4"/>
    <x v="2"/>
    <n v="7857.24"/>
    <n v="41"/>
    <n v="3"/>
    <n v="24687.369999999995"/>
    <n v="5"/>
    <n v="5"/>
    <n v="4"/>
    <s v="554"/>
    <x v="0"/>
  </r>
  <r>
    <x v="11"/>
    <d v="2026-03-14T09:00:07"/>
    <x v="8"/>
    <x v="6"/>
    <x v="1"/>
    <n v="4146.58"/>
    <n v="41"/>
    <n v="9"/>
    <n v="29151.88"/>
    <n v="5"/>
    <n v="2"/>
    <n v="4"/>
    <s v="524"/>
    <x v="4"/>
  </r>
  <r>
    <x v="349"/>
    <d v="2026-03-15T09:00:07"/>
    <x v="6"/>
    <x v="0"/>
    <x v="0"/>
    <n v="2972.46"/>
    <n v="40"/>
    <n v="8"/>
    <n v="22493.960000000003"/>
    <n v="5"/>
    <n v="3"/>
    <n v="4"/>
    <s v="534"/>
    <x v="0"/>
  </r>
  <r>
    <x v="183"/>
    <d v="2026-03-15T09:00:07"/>
    <x v="3"/>
    <x v="0"/>
    <x v="1"/>
    <n v="2194.9299999999998"/>
    <n v="40"/>
    <n v="12"/>
    <n v="34222.5"/>
    <n v="5"/>
    <n v="1"/>
    <n v="3"/>
    <s v="513"/>
    <x v="4"/>
  </r>
  <r>
    <x v="211"/>
    <d v="2026-03-15T09:00:07"/>
    <x v="8"/>
    <x v="3"/>
    <x v="1"/>
    <n v="11165.63"/>
    <n v="40"/>
    <n v="8"/>
    <n v="29088.159999999996"/>
    <n v="5"/>
    <n v="3"/>
    <n v="4"/>
    <s v="534"/>
    <x v="0"/>
  </r>
  <r>
    <x v="230"/>
    <d v="2026-03-15T09:00:07"/>
    <x v="3"/>
    <x v="6"/>
    <x v="0"/>
    <n v="3026.3"/>
    <n v="40"/>
    <n v="6"/>
    <n v="11900.869999999999"/>
    <n v="5"/>
    <n v="4"/>
    <n v="5"/>
    <s v="545"/>
    <x v="0"/>
  </r>
  <r>
    <x v="194"/>
    <d v="2026-03-16T09:00:07"/>
    <x v="2"/>
    <x v="4"/>
    <x v="1"/>
    <n v="2264.13"/>
    <n v="39"/>
    <n v="9"/>
    <n v="56095.37999999999"/>
    <n v="5"/>
    <n v="2"/>
    <n v="1"/>
    <s v="521"/>
    <x v="4"/>
  </r>
  <r>
    <x v="44"/>
    <d v="2026-03-16T09:00:07"/>
    <x v="0"/>
    <x v="2"/>
    <x v="1"/>
    <n v="7907.19"/>
    <n v="39"/>
    <n v="8"/>
    <n v="28879.600000000002"/>
    <n v="5"/>
    <n v="3"/>
    <n v="4"/>
    <s v="534"/>
    <x v="0"/>
  </r>
  <r>
    <x v="196"/>
    <d v="2026-03-16T09:00:07"/>
    <x v="7"/>
    <x v="5"/>
    <x v="0"/>
    <n v="4062.29"/>
    <n v="39"/>
    <n v="10"/>
    <n v="44305.600000000006"/>
    <n v="5"/>
    <n v="2"/>
    <n v="2"/>
    <s v="522"/>
    <x v="4"/>
  </r>
  <r>
    <x v="75"/>
    <d v="2026-03-17T09:00:07"/>
    <x v="1"/>
    <x v="0"/>
    <x v="1"/>
    <n v="7269.77"/>
    <n v="38"/>
    <n v="9"/>
    <n v="37864.199999999997"/>
    <n v="5"/>
    <n v="2"/>
    <n v="2"/>
    <s v="522"/>
    <x v="4"/>
  </r>
  <r>
    <x v="372"/>
    <d v="2026-03-17T09:00:07"/>
    <x v="7"/>
    <x v="2"/>
    <x v="2"/>
    <n v="504.26"/>
    <n v="38"/>
    <n v="4"/>
    <n v="7399.6200000000008"/>
    <n v="5"/>
    <n v="5"/>
    <n v="5"/>
    <s v="555"/>
    <x v="0"/>
  </r>
  <r>
    <x v="104"/>
    <d v="2026-03-17T09:00:07"/>
    <x v="8"/>
    <x v="2"/>
    <x v="0"/>
    <n v="6278.3"/>
    <n v="38"/>
    <n v="9"/>
    <n v="42109.760000000002"/>
    <n v="5"/>
    <n v="2"/>
    <n v="2"/>
    <s v="522"/>
    <x v="4"/>
  </r>
  <r>
    <x v="12"/>
    <d v="2026-03-17T09:00:07"/>
    <x v="8"/>
    <x v="6"/>
    <x v="0"/>
    <n v="2493.13"/>
    <n v="38"/>
    <n v="9"/>
    <n v="24509.48"/>
    <n v="5"/>
    <n v="2"/>
    <n v="4"/>
    <s v="524"/>
    <x v="4"/>
  </r>
  <r>
    <x v="113"/>
    <d v="2026-03-17T09:00:07"/>
    <x v="0"/>
    <x v="2"/>
    <x v="1"/>
    <n v="1118.1099999999999"/>
    <n v="38"/>
    <n v="10"/>
    <n v="41704.25"/>
    <n v="5"/>
    <n v="2"/>
    <n v="2"/>
    <s v="522"/>
    <x v="4"/>
  </r>
  <r>
    <x v="24"/>
    <d v="2026-03-17T09:00:07"/>
    <x v="2"/>
    <x v="2"/>
    <x v="1"/>
    <n v="3042.92"/>
    <n v="38"/>
    <n v="10"/>
    <n v="34623.81"/>
    <n v="5"/>
    <n v="2"/>
    <n v="3"/>
    <s v="523"/>
    <x v="4"/>
  </r>
  <r>
    <x v="183"/>
    <d v="2026-03-18T09:00:07"/>
    <x v="0"/>
    <x v="3"/>
    <x v="2"/>
    <n v="1009.87"/>
    <n v="37"/>
    <n v="12"/>
    <n v="34222.5"/>
    <n v="5"/>
    <n v="1"/>
    <n v="3"/>
    <s v="513"/>
    <x v="4"/>
  </r>
  <r>
    <x v="370"/>
    <d v="2026-03-18T09:00:07"/>
    <x v="9"/>
    <x v="4"/>
    <x v="2"/>
    <n v="6194.09"/>
    <n v="37"/>
    <n v="12"/>
    <n v="83986.299999999988"/>
    <n v="5"/>
    <n v="1"/>
    <n v="1"/>
    <s v="511"/>
    <x v="4"/>
  </r>
  <r>
    <x v="116"/>
    <d v="2026-03-18T09:00:07"/>
    <x v="4"/>
    <x v="3"/>
    <x v="2"/>
    <n v="9619.35"/>
    <n v="37"/>
    <n v="16"/>
    <n v="76962.720000000001"/>
    <n v="5"/>
    <n v="1"/>
    <n v="1"/>
    <s v="511"/>
    <x v="4"/>
  </r>
  <r>
    <x v="9"/>
    <d v="2026-03-18T09:00:07"/>
    <x v="8"/>
    <x v="3"/>
    <x v="1"/>
    <n v="5811.57"/>
    <n v="37"/>
    <n v="10"/>
    <n v="67378.48000000001"/>
    <n v="5"/>
    <n v="2"/>
    <n v="1"/>
    <s v="521"/>
    <x v="4"/>
  </r>
  <r>
    <x v="398"/>
    <d v="2026-03-18T09:00:07"/>
    <x v="5"/>
    <x v="2"/>
    <x v="0"/>
    <n v="4464.01"/>
    <n v="37"/>
    <n v="5"/>
    <n v="17355.699999999997"/>
    <n v="5"/>
    <n v="5"/>
    <n v="5"/>
    <s v="555"/>
    <x v="0"/>
  </r>
  <r>
    <x v="198"/>
    <d v="2026-03-18T09:00:07"/>
    <x v="0"/>
    <x v="5"/>
    <x v="2"/>
    <n v="2425.4"/>
    <n v="37"/>
    <n v="9"/>
    <n v="30846.7"/>
    <n v="5"/>
    <n v="2"/>
    <n v="3"/>
    <s v="523"/>
    <x v="4"/>
  </r>
  <r>
    <x v="315"/>
    <d v="2026-03-19T09:00:07"/>
    <x v="8"/>
    <x v="5"/>
    <x v="0"/>
    <n v="6883.02"/>
    <n v="36"/>
    <n v="7"/>
    <n v="18314.88"/>
    <n v="5"/>
    <n v="4"/>
    <n v="5"/>
    <s v="545"/>
    <x v="0"/>
  </r>
  <r>
    <x v="392"/>
    <d v="2026-03-19T09:00:07"/>
    <x v="0"/>
    <x v="5"/>
    <x v="2"/>
    <n v="3135.98"/>
    <n v="36"/>
    <n v="9"/>
    <n v="33344.589999999997"/>
    <n v="5"/>
    <n v="2"/>
    <n v="3"/>
    <s v="523"/>
    <x v="4"/>
  </r>
  <r>
    <x v="242"/>
    <d v="2026-03-19T09:00:07"/>
    <x v="6"/>
    <x v="0"/>
    <x v="1"/>
    <n v="4665.43"/>
    <n v="36"/>
    <n v="7"/>
    <n v="32869.479999999996"/>
    <n v="5"/>
    <n v="4"/>
    <n v="3"/>
    <s v="543"/>
    <x v="0"/>
  </r>
  <r>
    <x v="273"/>
    <d v="2026-03-19T09:00:07"/>
    <x v="6"/>
    <x v="5"/>
    <x v="0"/>
    <n v="2255.73"/>
    <n v="36"/>
    <n v="11"/>
    <n v="38976.650000000009"/>
    <n v="5"/>
    <n v="1"/>
    <n v="2"/>
    <s v="512"/>
    <x v="4"/>
  </r>
  <r>
    <x v="184"/>
    <d v="2026-03-20T09:00:07"/>
    <x v="6"/>
    <x v="1"/>
    <x v="2"/>
    <n v="6712.04"/>
    <n v="35"/>
    <n v="9"/>
    <n v="45498.270000000004"/>
    <n v="5"/>
    <n v="2"/>
    <n v="1"/>
    <s v="521"/>
    <x v="4"/>
  </r>
  <r>
    <x v="392"/>
    <d v="2026-03-20T09:00:07"/>
    <x v="7"/>
    <x v="3"/>
    <x v="0"/>
    <n v="7232.62"/>
    <n v="35"/>
    <n v="9"/>
    <n v="33344.589999999997"/>
    <n v="5"/>
    <n v="2"/>
    <n v="3"/>
    <s v="523"/>
    <x v="4"/>
  </r>
  <r>
    <x v="348"/>
    <d v="2026-03-20T09:00:07"/>
    <x v="2"/>
    <x v="1"/>
    <x v="1"/>
    <n v="3643.44"/>
    <n v="35"/>
    <n v="8"/>
    <n v="27090.329999999998"/>
    <n v="5"/>
    <n v="3"/>
    <n v="4"/>
    <s v="534"/>
    <x v="0"/>
  </r>
  <r>
    <x v="328"/>
    <d v="2026-03-20T09:00:07"/>
    <x v="5"/>
    <x v="3"/>
    <x v="2"/>
    <n v="1348.36"/>
    <n v="35"/>
    <n v="9"/>
    <n v="23905.670000000002"/>
    <n v="5"/>
    <n v="2"/>
    <n v="4"/>
    <s v="524"/>
    <x v="4"/>
  </r>
  <r>
    <x v="307"/>
    <d v="2026-03-20T09:00:07"/>
    <x v="7"/>
    <x v="4"/>
    <x v="0"/>
    <n v="1792.77"/>
    <n v="35"/>
    <n v="9"/>
    <n v="39434.269999999997"/>
    <n v="5"/>
    <n v="2"/>
    <n v="2"/>
    <s v="522"/>
    <x v="4"/>
  </r>
  <r>
    <x v="107"/>
    <d v="2026-03-22T09:00:07"/>
    <x v="3"/>
    <x v="5"/>
    <x v="0"/>
    <n v="2596.7800000000002"/>
    <n v="33"/>
    <n v="4"/>
    <n v="10594.94"/>
    <n v="5"/>
    <n v="5"/>
    <n v="5"/>
    <s v="555"/>
    <x v="0"/>
  </r>
  <r>
    <x v="76"/>
    <d v="2026-03-22T09:00:07"/>
    <x v="0"/>
    <x v="6"/>
    <x v="2"/>
    <n v="11218.14"/>
    <n v="33"/>
    <n v="11"/>
    <n v="39808.47"/>
    <n v="5"/>
    <n v="1"/>
    <n v="2"/>
    <s v="512"/>
    <x v="4"/>
  </r>
  <r>
    <x v="190"/>
    <d v="2026-03-22T09:00:07"/>
    <x v="4"/>
    <x v="5"/>
    <x v="0"/>
    <n v="4805.71"/>
    <n v="33"/>
    <n v="13"/>
    <n v="51409.87"/>
    <n v="5"/>
    <n v="1"/>
    <n v="1"/>
    <s v="511"/>
    <x v="4"/>
  </r>
  <r>
    <x v="168"/>
    <d v="2026-03-22T09:00:07"/>
    <x v="7"/>
    <x v="5"/>
    <x v="2"/>
    <n v="380.13"/>
    <n v="33"/>
    <n v="8"/>
    <n v="26119.000000000004"/>
    <n v="5"/>
    <n v="3"/>
    <n v="4"/>
    <s v="534"/>
    <x v="0"/>
  </r>
  <r>
    <x v="182"/>
    <d v="2026-03-23T09:00:07"/>
    <x v="6"/>
    <x v="0"/>
    <x v="2"/>
    <n v="5593.41"/>
    <n v="32"/>
    <n v="13"/>
    <n v="49208.94"/>
    <n v="5"/>
    <n v="1"/>
    <n v="1"/>
    <s v="511"/>
    <x v="4"/>
  </r>
  <r>
    <x v="40"/>
    <d v="2026-03-23T09:00:07"/>
    <x v="9"/>
    <x v="3"/>
    <x v="2"/>
    <n v="1482.73"/>
    <n v="32"/>
    <n v="7"/>
    <n v="17825.52"/>
    <n v="5"/>
    <n v="4"/>
    <n v="5"/>
    <s v="545"/>
    <x v="0"/>
  </r>
  <r>
    <x v="7"/>
    <d v="2026-03-23T09:00:07"/>
    <x v="1"/>
    <x v="4"/>
    <x v="2"/>
    <n v="12356.45"/>
    <n v="32"/>
    <n v="8"/>
    <n v="43799.990000000005"/>
    <n v="5"/>
    <n v="3"/>
    <n v="2"/>
    <s v="532"/>
    <x v="0"/>
  </r>
  <r>
    <x v="312"/>
    <d v="2026-03-23T09:00:07"/>
    <x v="0"/>
    <x v="2"/>
    <x v="2"/>
    <n v="4305.72"/>
    <n v="32"/>
    <n v="8"/>
    <n v="27291.54"/>
    <n v="5"/>
    <n v="3"/>
    <n v="4"/>
    <s v="534"/>
    <x v="0"/>
  </r>
  <r>
    <x v="344"/>
    <d v="2026-03-23T09:00:07"/>
    <x v="9"/>
    <x v="1"/>
    <x v="0"/>
    <n v="1127.18"/>
    <n v="32"/>
    <n v="8"/>
    <n v="29788.7"/>
    <n v="5"/>
    <n v="3"/>
    <n v="3"/>
    <s v="533"/>
    <x v="0"/>
  </r>
  <r>
    <x v="189"/>
    <d v="2026-03-23T09:00:07"/>
    <x v="5"/>
    <x v="2"/>
    <x v="0"/>
    <n v="2821.25"/>
    <n v="32"/>
    <n v="11"/>
    <n v="45651.77"/>
    <n v="5"/>
    <n v="1"/>
    <n v="1"/>
    <s v="511"/>
    <x v="4"/>
  </r>
  <r>
    <x v="58"/>
    <d v="2026-03-24T09:00:07"/>
    <x v="4"/>
    <x v="2"/>
    <x v="1"/>
    <n v="6394.39"/>
    <n v="31"/>
    <n v="9"/>
    <n v="47571.369999999995"/>
    <n v="5"/>
    <n v="2"/>
    <n v="1"/>
    <s v="521"/>
    <x v="4"/>
  </r>
  <r>
    <x v="41"/>
    <d v="2026-03-24T09:00:07"/>
    <x v="8"/>
    <x v="5"/>
    <x v="0"/>
    <n v="7433.38"/>
    <n v="31"/>
    <n v="10"/>
    <n v="40587.47"/>
    <n v="5"/>
    <n v="2"/>
    <n v="2"/>
    <s v="522"/>
    <x v="4"/>
  </r>
  <r>
    <x v="321"/>
    <d v="2026-03-24T09:00:07"/>
    <x v="9"/>
    <x v="6"/>
    <x v="1"/>
    <n v="1401.77"/>
    <n v="31"/>
    <n v="11"/>
    <n v="40714.880000000005"/>
    <n v="5"/>
    <n v="1"/>
    <n v="2"/>
    <s v="512"/>
    <x v="4"/>
  </r>
  <r>
    <x v="34"/>
    <d v="2026-03-24T09:00:07"/>
    <x v="1"/>
    <x v="2"/>
    <x v="0"/>
    <n v="13004.58"/>
    <n v="31"/>
    <n v="8"/>
    <n v="40213.310000000005"/>
    <n v="5"/>
    <n v="3"/>
    <n v="2"/>
    <s v="532"/>
    <x v="0"/>
  </r>
  <r>
    <x v="279"/>
    <d v="2026-03-24T09:00:07"/>
    <x v="4"/>
    <x v="6"/>
    <x v="2"/>
    <n v="834.94"/>
    <n v="31"/>
    <n v="7"/>
    <n v="29446.02"/>
    <n v="5"/>
    <n v="4"/>
    <n v="4"/>
    <s v="544"/>
    <x v="0"/>
  </r>
  <r>
    <x v="177"/>
    <d v="2026-03-24T09:00:07"/>
    <x v="9"/>
    <x v="1"/>
    <x v="0"/>
    <n v="4074.59"/>
    <n v="31"/>
    <n v="11"/>
    <n v="45526.78"/>
    <n v="5"/>
    <n v="1"/>
    <n v="1"/>
    <s v="511"/>
    <x v="4"/>
  </r>
  <r>
    <x v="251"/>
    <d v="2026-03-25T09:00:07"/>
    <x v="2"/>
    <x v="1"/>
    <x v="1"/>
    <n v="5843.63"/>
    <n v="30"/>
    <n v="4"/>
    <n v="18876.47"/>
    <n v="5"/>
    <n v="5"/>
    <n v="5"/>
    <s v="555"/>
    <x v="0"/>
  </r>
  <r>
    <x v="30"/>
    <d v="2026-03-25T09:00:07"/>
    <x v="6"/>
    <x v="3"/>
    <x v="0"/>
    <n v="1138.42"/>
    <n v="30"/>
    <n v="5"/>
    <n v="27766.260000000002"/>
    <n v="5"/>
    <n v="5"/>
    <n v="4"/>
    <s v="554"/>
    <x v="0"/>
  </r>
  <r>
    <x v="126"/>
    <d v="2026-03-25T09:00:07"/>
    <x v="5"/>
    <x v="2"/>
    <x v="1"/>
    <n v="2675.87"/>
    <n v="30"/>
    <n v="11"/>
    <n v="46795.570000000007"/>
    <n v="5"/>
    <n v="1"/>
    <n v="1"/>
    <s v="511"/>
    <x v="4"/>
  </r>
  <r>
    <x v="319"/>
    <d v="2026-03-25T09:00:07"/>
    <x v="8"/>
    <x v="1"/>
    <x v="1"/>
    <n v="1439.91"/>
    <n v="30"/>
    <n v="9"/>
    <n v="39183.29"/>
    <n v="5"/>
    <n v="2"/>
    <n v="2"/>
    <s v="522"/>
    <x v="4"/>
  </r>
  <r>
    <x v="24"/>
    <d v="2026-03-25T09:00:07"/>
    <x v="3"/>
    <x v="1"/>
    <x v="0"/>
    <n v="7469.89"/>
    <n v="30"/>
    <n v="10"/>
    <n v="34623.81"/>
    <n v="5"/>
    <n v="2"/>
    <n v="3"/>
    <s v="523"/>
    <x v="4"/>
  </r>
  <r>
    <x v="396"/>
    <d v="2026-03-26T09:00:07"/>
    <x v="6"/>
    <x v="0"/>
    <x v="2"/>
    <n v="5879.74"/>
    <n v="29"/>
    <n v="7"/>
    <n v="27876.53"/>
    <n v="5"/>
    <n v="4"/>
    <n v="4"/>
    <s v="544"/>
    <x v="0"/>
  </r>
  <r>
    <x v="322"/>
    <d v="2026-03-26T09:00:07"/>
    <x v="0"/>
    <x v="1"/>
    <x v="2"/>
    <n v="581.46"/>
    <n v="29"/>
    <n v="10"/>
    <n v="36855.5"/>
    <n v="5"/>
    <n v="2"/>
    <n v="2"/>
    <s v="522"/>
    <x v="4"/>
  </r>
  <r>
    <x v="126"/>
    <d v="2026-03-26T09:00:07"/>
    <x v="5"/>
    <x v="4"/>
    <x v="2"/>
    <n v="2829.51"/>
    <n v="29"/>
    <n v="11"/>
    <n v="46795.570000000007"/>
    <n v="5"/>
    <n v="1"/>
    <n v="1"/>
    <s v="511"/>
    <x v="4"/>
  </r>
  <r>
    <x v="240"/>
    <d v="2026-03-26T09:00:07"/>
    <x v="6"/>
    <x v="3"/>
    <x v="2"/>
    <n v="1413.21"/>
    <n v="29"/>
    <n v="10"/>
    <n v="27910.07"/>
    <n v="5"/>
    <n v="2"/>
    <n v="4"/>
    <s v="524"/>
    <x v="4"/>
  </r>
  <r>
    <x v="36"/>
    <d v="2026-03-26T09:00:07"/>
    <x v="4"/>
    <x v="4"/>
    <x v="2"/>
    <n v="5711.44"/>
    <n v="29"/>
    <n v="12"/>
    <n v="44897.450000000004"/>
    <n v="5"/>
    <n v="1"/>
    <n v="1"/>
    <s v="511"/>
    <x v="4"/>
  </r>
  <r>
    <x v="93"/>
    <d v="2026-03-27T09:00:07"/>
    <x v="7"/>
    <x v="0"/>
    <x v="1"/>
    <n v="2750.06"/>
    <n v="28"/>
    <n v="9"/>
    <n v="32520.350000000002"/>
    <n v="5"/>
    <n v="2"/>
    <n v="3"/>
    <s v="523"/>
    <x v="4"/>
  </r>
  <r>
    <x v="234"/>
    <d v="2026-03-27T09:00:07"/>
    <x v="8"/>
    <x v="5"/>
    <x v="1"/>
    <n v="4471.03"/>
    <n v="28"/>
    <n v="6"/>
    <n v="29261.35"/>
    <n v="5"/>
    <n v="4"/>
    <n v="4"/>
    <s v="544"/>
    <x v="0"/>
  </r>
  <r>
    <x v="0"/>
    <d v="2026-03-27T09:00:07"/>
    <x v="5"/>
    <x v="5"/>
    <x v="0"/>
    <n v="561"/>
    <n v="28"/>
    <n v="7"/>
    <n v="37031.050000000003"/>
    <n v="5"/>
    <n v="4"/>
    <n v="2"/>
    <s v="542"/>
    <x v="0"/>
  </r>
  <r>
    <x v="23"/>
    <d v="2026-03-28T09:00:07"/>
    <x v="7"/>
    <x v="2"/>
    <x v="0"/>
    <n v="2959.31"/>
    <n v="27"/>
    <n v="11"/>
    <n v="44004.459999999992"/>
    <n v="5"/>
    <n v="1"/>
    <n v="2"/>
    <s v="512"/>
    <x v="4"/>
  </r>
  <r>
    <x v="14"/>
    <d v="2026-03-28T09:00:07"/>
    <x v="1"/>
    <x v="0"/>
    <x v="0"/>
    <n v="1003.18"/>
    <n v="27"/>
    <n v="13"/>
    <n v="40219.18"/>
    <n v="5"/>
    <n v="1"/>
    <n v="2"/>
    <s v="512"/>
    <x v="4"/>
  </r>
  <r>
    <x v="304"/>
    <d v="2026-03-28T09:00:07"/>
    <x v="4"/>
    <x v="0"/>
    <x v="2"/>
    <n v="7421.13"/>
    <n v="27"/>
    <n v="9"/>
    <n v="27990.980000000003"/>
    <n v="5"/>
    <n v="2"/>
    <n v="4"/>
    <s v="524"/>
    <x v="4"/>
  </r>
  <r>
    <x v="54"/>
    <d v="2026-03-28T09:00:07"/>
    <x v="7"/>
    <x v="1"/>
    <x v="1"/>
    <n v="4479.42"/>
    <n v="27"/>
    <n v="5"/>
    <n v="20723.400000000001"/>
    <n v="5"/>
    <n v="5"/>
    <n v="5"/>
    <s v="555"/>
    <x v="0"/>
  </r>
  <r>
    <x v="362"/>
    <d v="2026-03-28T09:00:07"/>
    <x v="5"/>
    <x v="4"/>
    <x v="2"/>
    <n v="666.03"/>
    <n v="27"/>
    <n v="6"/>
    <n v="21995.52"/>
    <n v="5"/>
    <n v="4"/>
    <n v="4"/>
    <s v="544"/>
    <x v="0"/>
  </r>
  <r>
    <x v="72"/>
    <d v="2026-03-28T09:00:07"/>
    <x v="2"/>
    <x v="6"/>
    <x v="1"/>
    <n v="5652.29"/>
    <n v="27"/>
    <n v="4"/>
    <n v="47975.93"/>
    <n v="5"/>
    <n v="5"/>
    <n v="1"/>
    <s v="551"/>
    <x v="0"/>
  </r>
  <r>
    <x v="361"/>
    <d v="2026-03-28T09:00:07"/>
    <x v="5"/>
    <x v="6"/>
    <x v="0"/>
    <n v="1136.26"/>
    <n v="27"/>
    <n v="6"/>
    <n v="16743.59"/>
    <n v="5"/>
    <n v="4"/>
    <n v="5"/>
    <s v="545"/>
    <x v="0"/>
  </r>
  <r>
    <x v="56"/>
    <d v="2026-03-31T09:00:07"/>
    <x v="8"/>
    <x v="2"/>
    <x v="0"/>
    <n v="3856.36"/>
    <n v="24"/>
    <n v="12"/>
    <n v="38950.210000000006"/>
    <n v="5"/>
    <n v="1"/>
    <n v="2"/>
    <s v="512"/>
    <x v="4"/>
  </r>
  <r>
    <x v="291"/>
    <d v="2026-04-01T09:00:07"/>
    <x v="3"/>
    <x v="3"/>
    <x v="0"/>
    <n v="2893.61"/>
    <n v="23"/>
    <n v="9"/>
    <n v="27888.809999999998"/>
    <n v="5"/>
    <n v="2"/>
    <n v="4"/>
    <s v="524"/>
    <x v="4"/>
  </r>
  <r>
    <x v="317"/>
    <d v="2026-04-01T09:00:07"/>
    <x v="4"/>
    <x v="4"/>
    <x v="1"/>
    <n v="5426.79"/>
    <n v="23"/>
    <n v="10"/>
    <n v="45640.06"/>
    <n v="5"/>
    <n v="2"/>
    <n v="1"/>
    <s v="521"/>
    <x v="4"/>
  </r>
  <r>
    <x v="92"/>
    <d v="2026-04-01T09:00:07"/>
    <x v="3"/>
    <x v="6"/>
    <x v="1"/>
    <n v="1937.83"/>
    <n v="23"/>
    <n v="7"/>
    <n v="33778.21"/>
    <n v="5"/>
    <n v="4"/>
    <n v="3"/>
    <s v="543"/>
    <x v="0"/>
  </r>
  <r>
    <x v="11"/>
    <d v="2026-04-01T09:00:07"/>
    <x v="7"/>
    <x v="0"/>
    <x v="0"/>
    <n v="2078.12"/>
    <n v="23"/>
    <n v="9"/>
    <n v="29151.88"/>
    <n v="5"/>
    <n v="2"/>
    <n v="4"/>
    <s v="524"/>
    <x v="4"/>
  </r>
  <r>
    <x v="146"/>
    <d v="2026-04-02T09:00:07"/>
    <x v="5"/>
    <x v="6"/>
    <x v="0"/>
    <n v="1243.95"/>
    <n v="22"/>
    <n v="12"/>
    <n v="42776.80999999999"/>
    <n v="5"/>
    <n v="1"/>
    <n v="2"/>
    <s v="512"/>
    <x v="4"/>
  </r>
  <r>
    <x v="19"/>
    <d v="2026-04-02T09:00:07"/>
    <x v="7"/>
    <x v="2"/>
    <x v="1"/>
    <n v="6064.92"/>
    <n v="22"/>
    <n v="5"/>
    <n v="15744.06"/>
    <n v="5"/>
    <n v="5"/>
    <n v="5"/>
    <s v="555"/>
    <x v="0"/>
  </r>
  <r>
    <x v="119"/>
    <d v="2026-04-02T09:00:07"/>
    <x v="1"/>
    <x v="5"/>
    <x v="1"/>
    <n v="466.56"/>
    <n v="22"/>
    <n v="11"/>
    <n v="29238.53"/>
    <n v="5"/>
    <n v="1"/>
    <n v="4"/>
    <s v="514"/>
    <x v="4"/>
  </r>
  <r>
    <x v="274"/>
    <d v="2026-04-02T09:00:07"/>
    <x v="9"/>
    <x v="3"/>
    <x v="2"/>
    <n v="11694.59"/>
    <n v="22"/>
    <n v="11"/>
    <n v="73437.08"/>
    <n v="5"/>
    <n v="1"/>
    <n v="1"/>
    <s v="511"/>
    <x v="4"/>
  </r>
  <r>
    <x v="275"/>
    <d v="2026-04-02T09:00:07"/>
    <x v="4"/>
    <x v="2"/>
    <x v="1"/>
    <n v="6498.04"/>
    <n v="22"/>
    <n v="9"/>
    <n v="36963.729999999996"/>
    <n v="5"/>
    <n v="2"/>
    <n v="2"/>
    <s v="522"/>
    <x v="4"/>
  </r>
  <r>
    <x v="219"/>
    <d v="2026-04-03T09:00:07"/>
    <x v="8"/>
    <x v="1"/>
    <x v="1"/>
    <n v="7665.02"/>
    <n v="21"/>
    <n v="9"/>
    <n v="35283.15"/>
    <n v="5"/>
    <n v="2"/>
    <n v="3"/>
    <s v="523"/>
    <x v="4"/>
  </r>
  <r>
    <x v="38"/>
    <d v="2026-04-03T09:00:07"/>
    <x v="4"/>
    <x v="0"/>
    <x v="1"/>
    <n v="3953.29"/>
    <n v="21"/>
    <n v="7"/>
    <n v="21298.79"/>
    <n v="5"/>
    <n v="4"/>
    <n v="5"/>
    <s v="545"/>
    <x v="0"/>
  </r>
  <r>
    <x v="220"/>
    <d v="2026-04-03T09:00:07"/>
    <x v="7"/>
    <x v="6"/>
    <x v="0"/>
    <n v="2316.62"/>
    <n v="21"/>
    <n v="5"/>
    <n v="20686.43"/>
    <n v="5"/>
    <n v="5"/>
    <n v="5"/>
    <s v="555"/>
    <x v="0"/>
  </r>
  <r>
    <x v="286"/>
    <d v="2026-04-04T09:00:07"/>
    <x v="2"/>
    <x v="3"/>
    <x v="0"/>
    <n v="1950.74"/>
    <n v="20"/>
    <n v="14"/>
    <n v="60099.840000000004"/>
    <n v="5"/>
    <n v="1"/>
    <n v="1"/>
    <s v="511"/>
    <x v="4"/>
  </r>
  <r>
    <x v="150"/>
    <d v="2026-04-05T09:00:07"/>
    <x v="0"/>
    <x v="6"/>
    <x v="2"/>
    <n v="923.08"/>
    <n v="19"/>
    <n v="7"/>
    <n v="24998.240000000005"/>
    <n v="5"/>
    <n v="4"/>
    <n v="4"/>
    <s v="544"/>
    <x v="0"/>
  </r>
  <r>
    <x v="316"/>
    <d v="2026-04-05T09:00:07"/>
    <x v="9"/>
    <x v="3"/>
    <x v="0"/>
    <n v="1353.94"/>
    <n v="19"/>
    <n v="6"/>
    <n v="12660.78"/>
    <n v="5"/>
    <n v="4"/>
    <n v="5"/>
    <s v="545"/>
    <x v="0"/>
  </r>
  <r>
    <x v="67"/>
    <d v="2026-04-05T09:00:07"/>
    <x v="7"/>
    <x v="5"/>
    <x v="2"/>
    <n v="4680.96"/>
    <n v="19"/>
    <n v="8"/>
    <n v="35204.92"/>
    <n v="5"/>
    <n v="3"/>
    <n v="3"/>
    <s v="533"/>
    <x v="0"/>
  </r>
  <r>
    <x v="94"/>
    <d v="2026-04-06T09:00:07"/>
    <x v="5"/>
    <x v="1"/>
    <x v="1"/>
    <n v="1318.24"/>
    <n v="18"/>
    <n v="13"/>
    <n v="56128.799999999996"/>
    <n v="5"/>
    <n v="1"/>
    <n v="1"/>
    <s v="511"/>
    <x v="4"/>
  </r>
  <r>
    <x v="266"/>
    <d v="2026-04-06T09:00:07"/>
    <x v="1"/>
    <x v="1"/>
    <x v="0"/>
    <n v="1078.1600000000001"/>
    <n v="18"/>
    <n v="9"/>
    <n v="35145.360000000001"/>
    <n v="5"/>
    <n v="2"/>
    <n v="3"/>
    <s v="523"/>
    <x v="4"/>
  </r>
  <r>
    <x v="108"/>
    <d v="2026-04-06T09:00:07"/>
    <x v="1"/>
    <x v="0"/>
    <x v="1"/>
    <n v="6557.01"/>
    <n v="18"/>
    <n v="8"/>
    <n v="45571.029999999992"/>
    <n v="5"/>
    <n v="3"/>
    <n v="1"/>
    <s v="531"/>
    <x v="0"/>
  </r>
  <r>
    <x v="322"/>
    <d v="2026-04-06T09:00:07"/>
    <x v="6"/>
    <x v="0"/>
    <x v="2"/>
    <n v="9011.23"/>
    <n v="18"/>
    <n v="10"/>
    <n v="36855.5"/>
    <n v="5"/>
    <n v="2"/>
    <n v="2"/>
    <s v="522"/>
    <x v="4"/>
  </r>
  <r>
    <x v="7"/>
    <d v="2026-04-07T09:00:07"/>
    <x v="6"/>
    <x v="1"/>
    <x v="1"/>
    <n v="2546.73"/>
    <n v="17"/>
    <n v="8"/>
    <n v="43799.990000000005"/>
    <n v="5"/>
    <n v="3"/>
    <n v="2"/>
    <s v="532"/>
    <x v="0"/>
  </r>
  <r>
    <x v="28"/>
    <d v="2026-04-07T09:00:07"/>
    <x v="9"/>
    <x v="4"/>
    <x v="1"/>
    <n v="3309.66"/>
    <n v="17"/>
    <n v="10"/>
    <n v="39472.789999999994"/>
    <n v="5"/>
    <n v="2"/>
    <n v="2"/>
    <s v="522"/>
    <x v="4"/>
  </r>
  <r>
    <x v="204"/>
    <d v="2026-04-07T09:00:07"/>
    <x v="9"/>
    <x v="1"/>
    <x v="1"/>
    <n v="1209.17"/>
    <n v="17"/>
    <n v="9"/>
    <n v="36233.340000000004"/>
    <n v="5"/>
    <n v="2"/>
    <n v="3"/>
    <s v="523"/>
    <x v="4"/>
  </r>
  <r>
    <x v="273"/>
    <d v="2026-04-07T09:00:07"/>
    <x v="0"/>
    <x v="5"/>
    <x v="0"/>
    <n v="342.66"/>
    <n v="17"/>
    <n v="11"/>
    <n v="38976.650000000009"/>
    <n v="5"/>
    <n v="1"/>
    <n v="2"/>
    <s v="512"/>
    <x v="4"/>
  </r>
  <r>
    <x v="381"/>
    <d v="2026-04-07T09:00:07"/>
    <x v="1"/>
    <x v="2"/>
    <x v="0"/>
    <n v="4000.92"/>
    <n v="17"/>
    <n v="4"/>
    <n v="16140.15"/>
    <n v="5"/>
    <n v="5"/>
    <n v="5"/>
    <s v="555"/>
    <x v="0"/>
  </r>
  <r>
    <x v="273"/>
    <d v="2026-04-08T09:00:07"/>
    <x v="6"/>
    <x v="4"/>
    <x v="2"/>
    <n v="1670.47"/>
    <n v="16"/>
    <n v="11"/>
    <n v="38976.650000000009"/>
    <n v="5"/>
    <n v="1"/>
    <n v="2"/>
    <s v="512"/>
    <x v="4"/>
  </r>
  <r>
    <x v="123"/>
    <d v="2026-04-08T09:00:07"/>
    <x v="3"/>
    <x v="0"/>
    <x v="0"/>
    <n v="6727.64"/>
    <n v="16"/>
    <n v="9"/>
    <n v="28813.449999999997"/>
    <n v="5"/>
    <n v="2"/>
    <n v="4"/>
    <s v="524"/>
    <x v="4"/>
  </r>
  <r>
    <x v="328"/>
    <d v="2026-04-08T09:00:07"/>
    <x v="7"/>
    <x v="4"/>
    <x v="0"/>
    <n v="4194.8"/>
    <n v="16"/>
    <n v="9"/>
    <n v="23905.670000000002"/>
    <n v="5"/>
    <n v="2"/>
    <n v="4"/>
    <s v="524"/>
    <x v="4"/>
  </r>
  <r>
    <x v="130"/>
    <d v="2026-04-09T09:00:07"/>
    <x v="3"/>
    <x v="2"/>
    <x v="2"/>
    <n v="3441.21"/>
    <n v="15"/>
    <n v="8"/>
    <n v="35723.81"/>
    <n v="5"/>
    <n v="3"/>
    <n v="3"/>
    <s v="533"/>
    <x v="0"/>
  </r>
  <r>
    <x v="202"/>
    <d v="2026-04-09T09:00:07"/>
    <x v="5"/>
    <x v="1"/>
    <x v="1"/>
    <n v="1738.08"/>
    <n v="15"/>
    <n v="7"/>
    <n v="13087.390000000001"/>
    <n v="5"/>
    <n v="4"/>
    <n v="5"/>
    <s v="545"/>
    <x v="0"/>
  </r>
  <r>
    <x v="363"/>
    <d v="2026-04-09T09:00:07"/>
    <x v="6"/>
    <x v="5"/>
    <x v="2"/>
    <n v="2652.31"/>
    <n v="15"/>
    <n v="10"/>
    <n v="29994.030000000002"/>
    <n v="5"/>
    <n v="2"/>
    <n v="3"/>
    <s v="523"/>
    <x v="4"/>
  </r>
  <r>
    <x v="362"/>
    <d v="2026-04-09T09:00:07"/>
    <x v="8"/>
    <x v="2"/>
    <x v="2"/>
    <n v="7436.62"/>
    <n v="15"/>
    <n v="6"/>
    <n v="21995.52"/>
    <n v="5"/>
    <n v="4"/>
    <n v="4"/>
    <s v="544"/>
    <x v="0"/>
  </r>
  <r>
    <x v="134"/>
    <d v="2026-04-10T09:00:07"/>
    <x v="1"/>
    <x v="5"/>
    <x v="2"/>
    <n v="2172.3000000000002"/>
    <n v="14"/>
    <n v="6"/>
    <n v="15936.029999999999"/>
    <n v="5"/>
    <n v="4"/>
    <n v="5"/>
    <s v="545"/>
    <x v="0"/>
  </r>
  <r>
    <x v="323"/>
    <d v="2026-04-10T09:00:07"/>
    <x v="5"/>
    <x v="2"/>
    <x v="0"/>
    <n v="3451.96"/>
    <n v="14"/>
    <n v="6"/>
    <n v="15612.87"/>
    <n v="5"/>
    <n v="4"/>
    <n v="5"/>
    <s v="545"/>
    <x v="0"/>
  </r>
  <r>
    <x v="310"/>
    <d v="2026-04-11T09:00:07"/>
    <x v="8"/>
    <x v="0"/>
    <x v="1"/>
    <n v="6058.15"/>
    <n v="13"/>
    <n v="8"/>
    <n v="43723.900000000009"/>
    <n v="5"/>
    <n v="3"/>
    <n v="2"/>
    <s v="532"/>
    <x v="0"/>
  </r>
  <r>
    <x v="292"/>
    <d v="2026-04-11T09:00:07"/>
    <x v="2"/>
    <x v="2"/>
    <x v="1"/>
    <n v="2265.98"/>
    <n v="13"/>
    <n v="4"/>
    <n v="13232.439999999999"/>
    <n v="5"/>
    <n v="5"/>
    <n v="5"/>
    <s v="555"/>
    <x v="0"/>
  </r>
  <r>
    <x v="41"/>
    <d v="2026-04-11T09:00:07"/>
    <x v="3"/>
    <x v="1"/>
    <x v="0"/>
    <n v="1041.72"/>
    <n v="13"/>
    <n v="10"/>
    <n v="40587.47"/>
    <n v="5"/>
    <n v="2"/>
    <n v="2"/>
    <s v="522"/>
    <x v="4"/>
  </r>
  <r>
    <x v="322"/>
    <d v="2026-04-11T09:00:07"/>
    <x v="3"/>
    <x v="4"/>
    <x v="1"/>
    <n v="2002.94"/>
    <n v="13"/>
    <n v="10"/>
    <n v="36855.5"/>
    <n v="5"/>
    <n v="2"/>
    <n v="2"/>
    <s v="522"/>
    <x v="4"/>
  </r>
  <r>
    <x v="391"/>
    <d v="2026-04-12T09:00:07"/>
    <x v="5"/>
    <x v="0"/>
    <x v="1"/>
    <n v="1963.52"/>
    <n v="12"/>
    <n v="5"/>
    <n v="14717.050000000001"/>
    <n v="5"/>
    <n v="5"/>
    <n v="5"/>
    <s v="555"/>
    <x v="0"/>
  </r>
  <r>
    <x v="257"/>
    <d v="2026-04-12T09:00:07"/>
    <x v="7"/>
    <x v="1"/>
    <x v="2"/>
    <n v="6073.94"/>
    <n v="12"/>
    <n v="3"/>
    <n v="11609.24"/>
    <n v="5"/>
    <n v="5"/>
    <n v="5"/>
    <s v="555"/>
    <x v="0"/>
  </r>
  <r>
    <x v="64"/>
    <d v="2026-04-13T09:00:07"/>
    <x v="6"/>
    <x v="0"/>
    <x v="2"/>
    <n v="1869.21"/>
    <n v="11"/>
    <n v="5"/>
    <n v="21964.689999999995"/>
    <n v="5"/>
    <n v="5"/>
    <n v="4"/>
    <s v="554"/>
    <x v="0"/>
  </r>
  <r>
    <x v="203"/>
    <d v="2026-04-13T09:00:07"/>
    <x v="7"/>
    <x v="3"/>
    <x v="0"/>
    <n v="3424.24"/>
    <n v="11"/>
    <n v="7"/>
    <n v="24539.160000000003"/>
    <n v="5"/>
    <n v="4"/>
    <n v="4"/>
    <s v="544"/>
    <x v="0"/>
  </r>
  <r>
    <x v="56"/>
    <d v="2026-04-13T09:00:07"/>
    <x v="2"/>
    <x v="0"/>
    <x v="0"/>
    <n v="3030.26"/>
    <n v="11"/>
    <n v="12"/>
    <n v="38950.210000000006"/>
    <n v="5"/>
    <n v="1"/>
    <n v="2"/>
    <s v="512"/>
    <x v="4"/>
  </r>
  <r>
    <x v="8"/>
    <d v="2026-04-13T09:00:07"/>
    <x v="1"/>
    <x v="6"/>
    <x v="1"/>
    <n v="1141.51"/>
    <n v="11"/>
    <n v="7"/>
    <n v="18694.46"/>
    <n v="5"/>
    <n v="4"/>
    <n v="5"/>
    <s v="545"/>
    <x v="0"/>
  </r>
  <r>
    <x v="136"/>
    <d v="2026-04-13T09:00:07"/>
    <x v="6"/>
    <x v="1"/>
    <x v="2"/>
    <n v="1038.32"/>
    <n v="11"/>
    <n v="7"/>
    <n v="26629.329999999998"/>
    <n v="5"/>
    <n v="4"/>
    <n v="4"/>
    <s v="544"/>
    <x v="0"/>
  </r>
  <r>
    <x v="366"/>
    <d v="2026-04-13T09:00:07"/>
    <x v="7"/>
    <x v="4"/>
    <x v="1"/>
    <n v="1592.94"/>
    <n v="11"/>
    <n v="4"/>
    <n v="16880.16"/>
    <n v="5"/>
    <n v="5"/>
    <n v="5"/>
    <s v="555"/>
    <x v="0"/>
  </r>
  <r>
    <x v="204"/>
    <d v="2026-04-13T09:00:07"/>
    <x v="8"/>
    <x v="0"/>
    <x v="2"/>
    <n v="4204.03"/>
    <n v="11"/>
    <n v="9"/>
    <n v="36233.340000000004"/>
    <n v="5"/>
    <n v="2"/>
    <n v="3"/>
    <s v="523"/>
    <x v="4"/>
  </r>
  <r>
    <x v="268"/>
    <d v="2026-04-13T09:00:07"/>
    <x v="9"/>
    <x v="3"/>
    <x v="0"/>
    <n v="1452"/>
    <n v="11"/>
    <n v="8"/>
    <n v="22978.19"/>
    <n v="5"/>
    <n v="3"/>
    <n v="4"/>
    <s v="534"/>
    <x v="0"/>
  </r>
  <r>
    <x v="183"/>
    <d v="2026-04-14T09:00:07"/>
    <x v="4"/>
    <x v="0"/>
    <x v="0"/>
    <n v="3386.35"/>
    <n v="10"/>
    <n v="12"/>
    <n v="34222.5"/>
    <n v="5"/>
    <n v="1"/>
    <n v="3"/>
    <s v="513"/>
    <x v="4"/>
  </r>
  <r>
    <x v="208"/>
    <d v="2026-04-14T09:00:07"/>
    <x v="7"/>
    <x v="4"/>
    <x v="0"/>
    <n v="1195.6400000000001"/>
    <n v="10"/>
    <n v="8"/>
    <n v="27084.66"/>
    <n v="5"/>
    <n v="3"/>
    <n v="4"/>
    <s v="534"/>
    <x v="0"/>
  </r>
  <r>
    <x v="295"/>
    <d v="2026-04-14T09:00:07"/>
    <x v="9"/>
    <x v="4"/>
    <x v="0"/>
    <n v="5403.43"/>
    <n v="10"/>
    <n v="9"/>
    <n v="26580.030000000002"/>
    <n v="5"/>
    <n v="2"/>
    <n v="4"/>
    <s v="524"/>
    <x v="4"/>
  </r>
  <r>
    <x v="387"/>
    <d v="2026-04-14T09:00:07"/>
    <x v="3"/>
    <x v="3"/>
    <x v="0"/>
    <n v="2516.44"/>
    <n v="10"/>
    <n v="3"/>
    <n v="7049.0300000000007"/>
    <n v="5"/>
    <n v="5"/>
    <n v="5"/>
    <s v="555"/>
    <x v="0"/>
  </r>
  <r>
    <x v="136"/>
    <d v="2026-04-14T09:00:07"/>
    <x v="9"/>
    <x v="1"/>
    <x v="1"/>
    <n v="1083.45"/>
    <n v="10"/>
    <n v="7"/>
    <n v="26629.329999999998"/>
    <n v="5"/>
    <n v="4"/>
    <n v="4"/>
    <s v="544"/>
    <x v="0"/>
  </r>
  <r>
    <x v="103"/>
    <d v="2026-04-14T09:00:07"/>
    <x v="7"/>
    <x v="4"/>
    <x v="1"/>
    <n v="664.33"/>
    <n v="10"/>
    <n v="15"/>
    <n v="55867.080000000016"/>
    <n v="5"/>
    <n v="1"/>
    <n v="1"/>
    <s v="511"/>
    <x v="4"/>
  </r>
  <r>
    <x v="279"/>
    <d v="2026-04-14T09:00:07"/>
    <x v="4"/>
    <x v="0"/>
    <x v="1"/>
    <n v="8065.18"/>
    <n v="10"/>
    <n v="7"/>
    <n v="29446.02"/>
    <n v="5"/>
    <n v="4"/>
    <n v="4"/>
    <s v="544"/>
    <x v="0"/>
  </r>
  <r>
    <x v="349"/>
    <d v="2026-04-14T09:00:07"/>
    <x v="8"/>
    <x v="3"/>
    <x v="0"/>
    <n v="4894.45"/>
    <n v="10"/>
    <n v="8"/>
    <n v="22493.960000000003"/>
    <n v="5"/>
    <n v="3"/>
    <n v="4"/>
    <s v="534"/>
    <x v="0"/>
  </r>
  <r>
    <x v="209"/>
    <d v="2026-04-15T09:00:07"/>
    <x v="4"/>
    <x v="4"/>
    <x v="0"/>
    <n v="3804.48"/>
    <n v="9"/>
    <n v="11"/>
    <n v="43753.86"/>
    <n v="5"/>
    <n v="1"/>
    <n v="2"/>
    <s v="512"/>
    <x v="4"/>
  </r>
  <r>
    <x v="260"/>
    <d v="2026-04-15T09:00:07"/>
    <x v="8"/>
    <x v="2"/>
    <x v="2"/>
    <n v="519.92999999999995"/>
    <n v="9"/>
    <n v="7"/>
    <n v="12366.910000000002"/>
    <n v="5"/>
    <n v="4"/>
    <n v="5"/>
    <s v="545"/>
    <x v="0"/>
  </r>
  <r>
    <x v="241"/>
    <d v="2026-04-15T09:00:07"/>
    <x v="9"/>
    <x v="4"/>
    <x v="0"/>
    <n v="9955.11"/>
    <n v="9"/>
    <n v="12"/>
    <n v="43413.4"/>
    <n v="5"/>
    <n v="1"/>
    <n v="2"/>
    <s v="512"/>
    <x v="4"/>
  </r>
  <r>
    <x v="337"/>
    <d v="2026-04-16T09:00:07"/>
    <x v="4"/>
    <x v="3"/>
    <x v="0"/>
    <n v="10484.07"/>
    <n v="8"/>
    <n v="6"/>
    <n v="33607.29"/>
    <n v="5"/>
    <n v="4"/>
    <n v="3"/>
    <s v="543"/>
    <x v="0"/>
  </r>
  <r>
    <x v="284"/>
    <d v="2026-04-17T09:00:07"/>
    <x v="1"/>
    <x v="4"/>
    <x v="0"/>
    <n v="12452.53"/>
    <n v="7"/>
    <n v="7"/>
    <n v="24204.07"/>
    <n v="5"/>
    <n v="4"/>
    <n v="4"/>
    <s v="544"/>
    <x v="0"/>
  </r>
  <r>
    <x v="223"/>
    <d v="2026-04-18T09:00:07"/>
    <x v="7"/>
    <x v="4"/>
    <x v="2"/>
    <n v="3873.36"/>
    <n v="6"/>
    <n v="9"/>
    <n v="26752.640000000003"/>
    <n v="5"/>
    <n v="2"/>
    <n v="4"/>
    <s v="524"/>
    <x v="4"/>
  </r>
  <r>
    <x v="363"/>
    <d v="2026-04-18T09:00:07"/>
    <x v="5"/>
    <x v="0"/>
    <x v="1"/>
    <n v="2042.21"/>
    <n v="6"/>
    <n v="10"/>
    <n v="29994.030000000002"/>
    <n v="5"/>
    <n v="2"/>
    <n v="3"/>
    <s v="523"/>
    <x v="4"/>
  </r>
  <r>
    <x v="194"/>
    <d v="2026-04-18T09:00:07"/>
    <x v="4"/>
    <x v="4"/>
    <x v="0"/>
    <n v="7409.04"/>
    <n v="6"/>
    <n v="9"/>
    <n v="56095.37999999999"/>
    <n v="5"/>
    <n v="2"/>
    <n v="1"/>
    <s v="521"/>
    <x v="4"/>
  </r>
  <r>
    <x v="323"/>
    <d v="2026-04-18T09:00:07"/>
    <x v="6"/>
    <x v="2"/>
    <x v="2"/>
    <n v="4477.01"/>
    <n v="6"/>
    <n v="6"/>
    <n v="15612.87"/>
    <n v="5"/>
    <n v="4"/>
    <n v="5"/>
    <s v="545"/>
    <x v="0"/>
  </r>
  <r>
    <x v="213"/>
    <d v="2026-04-18T09:00:07"/>
    <x v="2"/>
    <x v="5"/>
    <x v="2"/>
    <n v="3430.6"/>
    <n v="6"/>
    <n v="12"/>
    <n v="36909.899999999994"/>
    <n v="5"/>
    <n v="1"/>
    <n v="2"/>
    <s v="512"/>
    <x v="4"/>
  </r>
  <r>
    <x v="41"/>
    <d v="2026-04-19T09:00:07"/>
    <x v="7"/>
    <x v="0"/>
    <x v="0"/>
    <n v="6926.27"/>
    <n v="5"/>
    <n v="10"/>
    <n v="40587.47"/>
    <n v="5"/>
    <n v="2"/>
    <n v="2"/>
    <s v="522"/>
    <x v="4"/>
  </r>
  <r>
    <x v="145"/>
    <d v="2026-04-19T09:00:07"/>
    <x v="6"/>
    <x v="3"/>
    <x v="0"/>
    <n v="4771.8999999999996"/>
    <n v="5"/>
    <n v="6"/>
    <n v="24862.18"/>
    <n v="5"/>
    <n v="4"/>
    <n v="4"/>
    <s v="544"/>
    <x v="0"/>
  </r>
  <r>
    <x v="123"/>
    <d v="2026-04-19T09:00:07"/>
    <x v="8"/>
    <x v="5"/>
    <x v="1"/>
    <n v="789.26"/>
    <n v="5"/>
    <n v="9"/>
    <n v="28813.449999999997"/>
    <n v="5"/>
    <n v="2"/>
    <n v="4"/>
    <s v="524"/>
    <x v="4"/>
  </r>
  <r>
    <x v="309"/>
    <d v="2026-04-19T09:00:07"/>
    <x v="2"/>
    <x v="4"/>
    <x v="0"/>
    <n v="11751.55"/>
    <n v="5"/>
    <n v="3"/>
    <n v="16365.279999999999"/>
    <n v="5"/>
    <n v="5"/>
    <n v="5"/>
    <s v="555"/>
    <x v="0"/>
  </r>
  <r>
    <x v="89"/>
    <d v="2026-04-19T09:00:07"/>
    <x v="7"/>
    <x v="5"/>
    <x v="2"/>
    <n v="786.6"/>
    <n v="5"/>
    <n v="12"/>
    <n v="54905.279999999992"/>
    <n v="5"/>
    <n v="1"/>
    <n v="1"/>
    <s v="511"/>
    <x v="4"/>
  </r>
  <r>
    <x v="79"/>
    <d v="2026-04-19T09:00:07"/>
    <x v="0"/>
    <x v="1"/>
    <x v="2"/>
    <n v="7027.26"/>
    <n v="5"/>
    <n v="6"/>
    <n v="28898.239999999998"/>
    <n v="5"/>
    <n v="4"/>
    <n v="4"/>
    <s v="544"/>
    <x v="0"/>
  </r>
  <r>
    <x v="114"/>
    <d v="2026-04-19T09:00:07"/>
    <x v="2"/>
    <x v="2"/>
    <x v="2"/>
    <n v="2051.06"/>
    <n v="5"/>
    <n v="6"/>
    <n v="22984.870000000003"/>
    <n v="5"/>
    <n v="4"/>
    <n v="4"/>
    <s v="544"/>
    <x v="0"/>
  </r>
  <r>
    <x v="380"/>
    <d v="2026-04-19T09:00:07"/>
    <x v="6"/>
    <x v="0"/>
    <x v="1"/>
    <n v="1724.81"/>
    <n v="5"/>
    <n v="6"/>
    <n v="13299.439999999999"/>
    <n v="5"/>
    <n v="4"/>
    <n v="5"/>
    <s v="545"/>
    <x v="0"/>
  </r>
  <r>
    <x v="105"/>
    <d v="2026-04-19T09:00:07"/>
    <x v="2"/>
    <x v="2"/>
    <x v="0"/>
    <n v="4631.66"/>
    <n v="5"/>
    <n v="3"/>
    <n v="7775.1900000000005"/>
    <n v="5"/>
    <n v="5"/>
    <n v="5"/>
    <s v="555"/>
    <x v="0"/>
  </r>
  <r>
    <x v="115"/>
    <d v="2026-04-19T09:00:07"/>
    <x v="2"/>
    <x v="3"/>
    <x v="0"/>
    <n v="5750.09"/>
    <n v="5"/>
    <n v="7"/>
    <n v="28040.249999999996"/>
    <n v="5"/>
    <n v="4"/>
    <n v="4"/>
    <s v="544"/>
    <x v="0"/>
  </r>
  <r>
    <x v="296"/>
    <d v="2026-04-19T09:00:07"/>
    <x v="8"/>
    <x v="2"/>
    <x v="0"/>
    <n v="2574.41"/>
    <n v="5"/>
    <n v="3"/>
    <n v="7274.86"/>
    <n v="5"/>
    <n v="5"/>
    <n v="5"/>
    <s v="555"/>
    <x v="0"/>
  </r>
  <r>
    <x v="396"/>
    <d v="2026-04-19T09:00:07"/>
    <x v="3"/>
    <x v="3"/>
    <x v="0"/>
    <n v="6164.22"/>
    <n v="5"/>
    <n v="7"/>
    <n v="27876.53"/>
    <n v="5"/>
    <n v="4"/>
    <n v="4"/>
    <s v="544"/>
    <x v="0"/>
  </r>
  <r>
    <x v="308"/>
    <d v="2026-04-20T09:00:07"/>
    <x v="5"/>
    <x v="2"/>
    <x v="2"/>
    <n v="3204.32"/>
    <n v="4"/>
    <n v="9"/>
    <n v="34800.239999999998"/>
    <n v="5"/>
    <n v="2"/>
    <n v="3"/>
    <s v="523"/>
    <x v="4"/>
  </r>
  <r>
    <x v="340"/>
    <d v="2026-04-20T09:00:07"/>
    <x v="8"/>
    <x v="3"/>
    <x v="0"/>
    <n v="2966.76"/>
    <n v="4"/>
    <n v="7"/>
    <n v="36778.530000000006"/>
    <n v="5"/>
    <n v="4"/>
    <n v="3"/>
    <s v="543"/>
    <x v="0"/>
  </r>
  <r>
    <x v="113"/>
    <d v="2026-04-20T09:00:07"/>
    <x v="7"/>
    <x v="3"/>
    <x v="0"/>
    <n v="6104.86"/>
    <n v="4"/>
    <n v="10"/>
    <n v="41704.25"/>
    <n v="5"/>
    <n v="2"/>
    <n v="2"/>
    <s v="522"/>
    <x v="4"/>
  </r>
  <r>
    <x v="14"/>
    <d v="2026-04-20T09:00:07"/>
    <x v="3"/>
    <x v="4"/>
    <x v="1"/>
    <n v="3357.15"/>
    <n v="4"/>
    <n v="13"/>
    <n v="40219.18"/>
    <n v="5"/>
    <n v="1"/>
    <n v="2"/>
    <s v="512"/>
    <x v="4"/>
  </r>
  <r>
    <x v="287"/>
    <d v="2026-04-21T09:00:07"/>
    <x v="9"/>
    <x v="3"/>
    <x v="1"/>
    <n v="5551.37"/>
    <n v="3"/>
    <n v="9"/>
    <n v="35759.83"/>
    <n v="5"/>
    <n v="2"/>
    <n v="3"/>
    <s v="523"/>
    <x v="4"/>
  </r>
  <r>
    <x v="183"/>
    <d v="2026-04-21T09:00:07"/>
    <x v="8"/>
    <x v="0"/>
    <x v="0"/>
    <n v="4559.57"/>
    <n v="3"/>
    <n v="12"/>
    <n v="34222.5"/>
    <n v="5"/>
    <n v="1"/>
    <n v="3"/>
    <s v="513"/>
    <x v="4"/>
  </r>
  <r>
    <x v="87"/>
    <d v="2026-04-21T09:00:07"/>
    <x v="1"/>
    <x v="6"/>
    <x v="0"/>
    <n v="7050.3"/>
    <n v="3"/>
    <n v="13"/>
    <n v="72511.88"/>
    <n v="5"/>
    <n v="1"/>
    <n v="1"/>
    <s v="511"/>
    <x v="4"/>
  </r>
  <r>
    <x v="177"/>
    <d v="2026-04-21T09:00:07"/>
    <x v="1"/>
    <x v="5"/>
    <x v="1"/>
    <n v="4773.7299999999996"/>
    <n v="3"/>
    <n v="11"/>
    <n v="45526.78"/>
    <n v="5"/>
    <n v="1"/>
    <n v="1"/>
    <s v="511"/>
    <x v="4"/>
  </r>
  <r>
    <x v="102"/>
    <d v="2026-04-21T09:00:07"/>
    <x v="7"/>
    <x v="0"/>
    <x v="0"/>
    <n v="4762.2299999999996"/>
    <n v="3"/>
    <n v="6"/>
    <n v="40190.459999999992"/>
    <n v="5"/>
    <n v="4"/>
    <n v="2"/>
    <s v="542"/>
    <x v="0"/>
  </r>
  <r>
    <x v="39"/>
    <d v="2026-04-21T09:00:07"/>
    <x v="8"/>
    <x v="2"/>
    <x v="2"/>
    <n v="2202.4699999999998"/>
    <n v="3"/>
    <n v="11"/>
    <n v="43110.84"/>
    <n v="5"/>
    <n v="1"/>
    <n v="2"/>
    <s v="512"/>
    <x v="4"/>
  </r>
  <r>
    <x v="343"/>
    <d v="2026-04-22T09:00:07"/>
    <x v="7"/>
    <x v="5"/>
    <x v="1"/>
    <n v="2829.26"/>
    <n v="2"/>
    <n v="4"/>
    <n v="11144.500000000002"/>
    <n v="5"/>
    <n v="5"/>
    <n v="5"/>
    <s v="555"/>
    <x v="0"/>
  </r>
  <r>
    <x v="242"/>
    <d v="2026-04-22T09:00:07"/>
    <x v="3"/>
    <x v="1"/>
    <x v="2"/>
    <n v="6896.09"/>
    <n v="2"/>
    <n v="7"/>
    <n v="32869.479999999996"/>
    <n v="5"/>
    <n v="4"/>
    <n v="3"/>
    <s v="543"/>
    <x v="0"/>
  </r>
  <r>
    <x v="312"/>
    <d v="2026-04-22T09:00:07"/>
    <x v="6"/>
    <x v="2"/>
    <x v="1"/>
    <n v="8730"/>
    <n v="2"/>
    <n v="8"/>
    <n v="27291.54"/>
    <n v="5"/>
    <n v="3"/>
    <n v="4"/>
    <s v="534"/>
    <x v="0"/>
  </r>
  <r>
    <x v="219"/>
    <d v="2026-04-22T09:00:07"/>
    <x v="6"/>
    <x v="6"/>
    <x v="2"/>
    <n v="1509.35"/>
    <n v="2"/>
    <n v="9"/>
    <n v="35283.15"/>
    <n v="5"/>
    <n v="2"/>
    <n v="3"/>
    <s v="523"/>
    <x v="4"/>
  </r>
  <r>
    <x v="349"/>
    <d v="2026-04-23T09:00:07"/>
    <x v="7"/>
    <x v="4"/>
    <x v="2"/>
    <n v="1618.45"/>
    <n v="1"/>
    <n v="8"/>
    <n v="22493.960000000003"/>
    <n v="5"/>
    <n v="3"/>
    <n v="4"/>
    <s v="534"/>
    <x v="0"/>
  </r>
  <r>
    <x v="42"/>
    <d v="2026-04-23T09:00:07"/>
    <x v="0"/>
    <x v="3"/>
    <x v="1"/>
    <n v="3249.38"/>
    <n v="1"/>
    <n v="6"/>
    <n v="32030.929999999997"/>
    <n v="5"/>
    <n v="4"/>
    <n v="3"/>
    <s v="543"/>
    <x v="0"/>
  </r>
  <r>
    <x v="240"/>
    <d v="2026-04-23T09:00:07"/>
    <x v="2"/>
    <x v="4"/>
    <x v="0"/>
    <n v="54.19"/>
    <n v="1"/>
    <n v="10"/>
    <n v="27910.07"/>
    <n v="5"/>
    <n v="2"/>
    <n v="4"/>
    <s v="52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66:C72" firstHeaderRow="0" firstDataRow="1" firstDataCol="1"/>
  <pivotFields count="14">
    <pivotField dataField="1" showAll="0"/>
    <pivotField numFmtId="14" showAll="0"/>
    <pivotField showAll="0">
      <items count="11">
        <item x="8"/>
        <item x="0"/>
        <item x="7"/>
        <item x="9"/>
        <item x="2"/>
        <item x="5"/>
        <item x="6"/>
        <item x="4"/>
        <item x="1"/>
        <item x="3"/>
        <item t="default"/>
      </items>
    </pivotField>
    <pivotField showAll="0">
      <items count="8">
        <item x="3"/>
        <item x="4"/>
        <item x="2"/>
        <item x="0"/>
        <item x="5"/>
        <item x="6"/>
        <item x="1"/>
        <item t="default"/>
      </items>
    </pivotField>
    <pivotField showAll="0">
      <items count="4">
        <item x="2"/>
        <item x="1"/>
        <item x="0"/>
        <item t="default"/>
      </items>
    </pivotField>
    <pivotField dataField="1" showAll="0"/>
    <pivotField showAll="0"/>
    <pivotField showAll="0"/>
    <pivotField showAll="0"/>
    <pivotField showAll="0"/>
    <pivotField showAll="0"/>
    <pivotField showAll="0"/>
    <pivotField showAll="0"/>
    <pivotField axis="axisRow" showAll="0">
      <items count="6">
        <item x="3"/>
        <item x="2"/>
        <item x="1"/>
        <item x="4"/>
        <item x="0"/>
        <item t="default"/>
      </items>
    </pivotField>
  </pivotFields>
  <rowFields count="1">
    <field x="13"/>
  </rowFields>
  <rowItems count="6">
    <i>
      <x/>
    </i>
    <i>
      <x v="1"/>
    </i>
    <i>
      <x v="2"/>
    </i>
    <i>
      <x v="3"/>
    </i>
    <i>
      <x v="4"/>
    </i>
    <i t="grand">
      <x/>
    </i>
  </rowItems>
  <colFields count="1">
    <field x="-2"/>
  </colFields>
  <colItems count="2">
    <i>
      <x/>
    </i>
    <i i="1">
      <x v="1"/>
    </i>
  </colItems>
  <dataFields count="2">
    <dataField name="Count of CustomerID" fld="0" subtotal="count" baseField="13" baseItem="0"/>
    <dataField name="Sum of OrderValue" fld="5" baseField="0" baseItem="0"/>
  </dataFields>
  <chartFormats count="12">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13" count="1" selected="0">
            <x v="0"/>
          </reference>
        </references>
      </pivotArea>
    </chartFormat>
    <chartFormat chart="15" format="26">
      <pivotArea type="data" outline="0" fieldPosition="0">
        <references count="2">
          <reference field="4294967294" count="1" selected="0">
            <x v="0"/>
          </reference>
          <reference field="13" count="1" selected="0">
            <x v="1"/>
          </reference>
        </references>
      </pivotArea>
    </chartFormat>
    <chartFormat chart="15" format="27">
      <pivotArea type="data" outline="0" fieldPosition="0">
        <references count="2">
          <reference field="4294967294" count="1" selected="0">
            <x v="0"/>
          </reference>
          <reference field="13" count="1" selected="0">
            <x v="2"/>
          </reference>
        </references>
      </pivotArea>
    </chartFormat>
    <chartFormat chart="15" format="28">
      <pivotArea type="data" outline="0" fieldPosition="0">
        <references count="2">
          <reference field="4294967294" count="1" selected="0">
            <x v="0"/>
          </reference>
          <reference field="13" count="1" selected="0">
            <x v="3"/>
          </reference>
        </references>
      </pivotArea>
    </chartFormat>
    <chartFormat chart="15" format="29">
      <pivotArea type="data" outline="0" fieldPosition="0">
        <references count="2">
          <reference field="4294967294" count="1" selected="0">
            <x v="0"/>
          </reference>
          <reference field="13" count="1" selected="0">
            <x v="4"/>
          </reference>
        </references>
      </pivotArea>
    </chartFormat>
    <chartFormat chart="15" format="30" series="1">
      <pivotArea type="data" outline="0" fieldPosition="0">
        <references count="1">
          <reference field="4294967294" count="1" selected="0">
            <x v="1"/>
          </reference>
        </references>
      </pivotArea>
    </chartFormat>
    <chartFormat chart="15" format="31">
      <pivotArea type="data" outline="0" fieldPosition="0">
        <references count="2">
          <reference field="4294967294" count="1" selected="0">
            <x v="1"/>
          </reference>
          <reference field="13" count="1" selected="0">
            <x v="0"/>
          </reference>
        </references>
      </pivotArea>
    </chartFormat>
    <chartFormat chart="15" format="32">
      <pivotArea type="data" outline="0" fieldPosition="0">
        <references count="2">
          <reference field="4294967294" count="1" selected="0">
            <x v="1"/>
          </reference>
          <reference field="13" count="1" selected="0">
            <x v="1"/>
          </reference>
        </references>
      </pivotArea>
    </chartFormat>
    <chartFormat chart="15" format="33">
      <pivotArea type="data" outline="0" fieldPosition="0">
        <references count="2">
          <reference field="4294967294" count="1" selected="0">
            <x v="1"/>
          </reference>
          <reference field="13" count="1" selected="0">
            <x v="2"/>
          </reference>
        </references>
      </pivotArea>
    </chartFormat>
    <chartFormat chart="15" format="34">
      <pivotArea type="data" outline="0" fieldPosition="0">
        <references count="2">
          <reference field="4294967294" count="1" selected="0">
            <x v="1"/>
          </reference>
          <reference field="13" count="1" selected="0">
            <x v="3"/>
          </reference>
        </references>
      </pivotArea>
    </chartFormat>
    <chartFormat chart="15" format="35">
      <pivotArea type="data" outline="0" fieldPosition="0">
        <references count="2">
          <reference field="4294967294" count="1" selected="0">
            <x v="1"/>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53:B57" firstHeaderRow="1" firstDataRow="1" firstDataCol="1"/>
  <pivotFields count="14">
    <pivotField showAll="0"/>
    <pivotField numFmtId="14" showAll="0"/>
    <pivotField showAll="0">
      <items count="11">
        <item x="8"/>
        <item x="0"/>
        <item x="7"/>
        <item x="9"/>
        <item x="2"/>
        <item x="5"/>
        <item x="6"/>
        <item x="4"/>
        <item x="1"/>
        <item x="3"/>
        <item t="default"/>
      </items>
    </pivotField>
    <pivotField showAll="0">
      <items count="8">
        <item x="3"/>
        <item x="4"/>
        <item x="2"/>
        <item x="0"/>
        <item x="5"/>
        <item x="6"/>
        <item x="1"/>
        <item t="default"/>
      </items>
    </pivotField>
    <pivotField axis="axisRow" showAll="0">
      <items count="4">
        <item x="2"/>
        <item x="1"/>
        <item x="0"/>
        <item t="default"/>
      </items>
    </pivotField>
    <pivotField dataField="1"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Total Sales" fld="5" baseField="4" baseItem="0" numFmtId="166"/>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ustomers Per City"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7:B48" firstHeaderRow="1" firstDataRow="1" firstDataCol="1"/>
  <pivotFields count="14">
    <pivotField dataField="1" showAll="0"/>
    <pivotField numFmtId="14" showAll="0"/>
    <pivotField axis="axisRow" showAll="0">
      <items count="11">
        <item x="8"/>
        <item x="0"/>
        <item x="7"/>
        <item x="9"/>
        <item x="2"/>
        <item x="5"/>
        <item x="6"/>
        <item x="4"/>
        <item x="1"/>
        <item x="3"/>
        <item t="default"/>
      </items>
    </pivotField>
    <pivotField showAll="0">
      <items count="8">
        <item x="3"/>
        <item x="4"/>
        <item x="2"/>
        <item x="0"/>
        <item x="5"/>
        <item x="6"/>
        <item x="1"/>
        <item t="default"/>
      </items>
    </pivotField>
    <pivotField showAll="0">
      <items count="4">
        <item x="2"/>
        <item h="1" x="1"/>
        <item h="1" x="0"/>
        <item t="default"/>
      </items>
    </pivotField>
    <pivotField showAl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CustomerID" fld="0" subtotal="count" baseField="2"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20:B31" firstHeaderRow="1" firstDataRow="1" firstDataCol="1"/>
  <pivotFields count="14">
    <pivotField axis="axisRow" showAll="0" measureFilter="1">
      <items count="401">
        <item x="88"/>
        <item x="98"/>
        <item x="266"/>
        <item x="176"/>
        <item x="183"/>
        <item x="156"/>
        <item x="201"/>
        <item x="58"/>
        <item x="161"/>
        <item x="163"/>
        <item x="136"/>
        <item x="57"/>
        <item x="253"/>
        <item x="286"/>
        <item x="348"/>
        <item x="243"/>
        <item x="210"/>
        <item x="292"/>
        <item x="112"/>
        <item x="48"/>
        <item x="314"/>
        <item x="202"/>
        <item x="26"/>
        <item x="140"/>
        <item x="218"/>
        <item x="236"/>
        <item x="157"/>
        <item x="305"/>
        <item x="195"/>
        <item x="374"/>
        <item x="360"/>
        <item x="257"/>
        <item x="297"/>
        <item x="8"/>
        <item x="349"/>
        <item x="392"/>
        <item x="249"/>
        <item x="104"/>
        <item x="116"/>
        <item x="147"/>
        <item x="242"/>
        <item x="117"/>
        <item x="217"/>
        <item x="262"/>
        <item x="105"/>
        <item x="396"/>
        <item x="295"/>
        <item x="299"/>
        <item x="308"/>
        <item x="362"/>
        <item x="2"/>
        <item x="316"/>
        <item x="219"/>
        <item x="368"/>
        <item x="38"/>
        <item x="347"/>
        <item x="387"/>
        <item x="221"/>
        <item x="235"/>
        <item x="356"/>
        <item x="306"/>
        <item x="12"/>
        <item x="341"/>
        <item x="393"/>
        <item x="353"/>
        <item x="181"/>
        <item x="238"/>
        <item x="323"/>
        <item x="302"/>
        <item x="149"/>
        <item x="386"/>
        <item x="44"/>
        <item x="63"/>
        <item x="379"/>
        <item x="53"/>
        <item x="208"/>
        <item x="339"/>
        <item x="74"/>
        <item x="60"/>
        <item x="54"/>
        <item x="25"/>
        <item x="344"/>
        <item x="29"/>
        <item x="229"/>
        <item x="179"/>
        <item x="45"/>
        <item x="21"/>
        <item x="326"/>
        <item x="34"/>
        <item x="322"/>
        <item x="397"/>
        <item x="76"/>
        <item x="85"/>
        <item x="388"/>
        <item x="113"/>
        <item x="139"/>
        <item x="230"/>
        <item x="172"/>
        <item x="213"/>
        <item x="73"/>
        <item x="89"/>
        <item x="250"/>
        <item x="82"/>
        <item x="196"/>
        <item x="384"/>
        <item x="203"/>
        <item x="285"/>
        <item x="194"/>
        <item x="327"/>
        <item x="154"/>
        <item x="87"/>
        <item x="351"/>
        <item x="56"/>
        <item x="153"/>
        <item x="216"/>
        <item x="215"/>
        <item x="321"/>
        <item x="99"/>
        <item x="41"/>
        <item x="244"/>
        <item x="260"/>
        <item x="169"/>
        <item x="107"/>
        <item x="16"/>
        <item x="101"/>
        <item x="93"/>
        <item x="313"/>
        <item x="129"/>
        <item x="252"/>
        <item x="20"/>
        <item x="275"/>
        <item x="283"/>
        <item x="61"/>
        <item x="248"/>
        <item x="52"/>
        <item x="225"/>
        <item x="258"/>
        <item x="371"/>
        <item x="378"/>
        <item x="77"/>
        <item x="184"/>
        <item x="239"/>
        <item x="122"/>
        <item x="23"/>
        <item x="96"/>
        <item x="204"/>
        <item x="39"/>
        <item x="187"/>
        <item x="370"/>
        <item x="268"/>
        <item x="33"/>
        <item x="182"/>
        <item x="135"/>
        <item x="232"/>
        <item x="220"/>
        <item x="19"/>
        <item x="7"/>
        <item x="189"/>
        <item x="391"/>
        <item x="70"/>
        <item x="94"/>
        <item x="245"/>
        <item x="310"/>
        <item x="209"/>
        <item x="121"/>
        <item x="365"/>
        <item x="301"/>
        <item x="311"/>
        <item x="18"/>
        <item x="317"/>
        <item x="127"/>
        <item x="298"/>
        <item x="50"/>
        <item x="151"/>
        <item x="166"/>
        <item x="66"/>
        <item x="69"/>
        <item x="332"/>
        <item x="13"/>
        <item x="282"/>
        <item x="237"/>
        <item x="390"/>
        <item x="162"/>
        <item x="148"/>
        <item x="369"/>
        <item x="293"/>
        <item x="49"/>
        <item x="143"/>
        <item x="141"/>
        <item x="363"/>
        <item x="83"/>
        <item x="318"/>
        <item x="118"/>
        <item x="394"/>
        <item x="0"/>
        <item x="173"/>
        <item x="137"/>
        <item x="123"/>
        <item x="334"/>
        <item x="10"/>
        <item x="145"/>
        <item x="246"/>
        <item x="247"/>
        <item x="120"/>
        <item x="296"/>
        <item x="128"/>
        <item x="214"/>
        <item x="284"/>
        <item x="171"/>
        <item x="372"/>
        <item x="375"/>
        <item x="389"/>
        <item x="125"/>
        <item x="312"/>
        <item x="1"/>
        <item x="223"/>
        <item x="80"/>
        <item x="106"/>
        <item x="270"/>
        <item x="273"/>
        <item x="289"/>
        <item x="35"/>
        <item x="192"/>
        <item x="263"/>
        <item x="37"/>
        <item x="55"/>
        <item x="272"/>
        <item x="109"/>
        <item x="142"/>
        <item x="281"/>
        <item x="119"/>
        <item x="338"/>
        <item x="199"/>
        <item x="84"/>
        <item x="377"/>
        <item x="198"/>
        <item x="277"/>
        <item x="337"/>
        <item x="333"/>
        <item x="72"/>
        <item x="398"/>
        <item x="278"/>
        <item x="180"/>
        <item x="167"/>
        <item x="132"/>
        <item x="4"/>
        <item x="185"/>
        <item x="350"/>
        <item x="197"/>
        <item x="234"/>
        <item x="158"/>
        <item x="319"/>
        <item x="211"/>
        <item x="111"/>
        <item x="131"/>
        <item x="188"/>
        <item x="329"/>
        <item x="62"/>
        <item x="256"/>
        <item x="358"/>
        <item x="9"/>
        <item x="376"/>
        <item x="134"/>
        <item x="103"/>
        <item x="366"/>
        <item x="150"/>
        <item x="68"/>
        <item x="330"/>
        <item x="138"/>
        <item x="59"/>
        <item x="24"/>
        <item x="251"/>
        <item x="193"/>
        <item x="22"/>
        <item x="206"/>
        <item x="309"/>
        <item x="133"/>
        <item x="288"/>
        <item x="178"/>
        <item x="224"/>
        <item x="90"/>
        <item x="71"/>
        <item x="186"/>
        <item x="264"/>
        <item x="27"/>
        <item x="304"/>
        <item x="102"/>
        <item x="280"/>
        <item x="14"/>
        <item x="64"/>
        <item x="75"/>
        <item x="92"/>
        <item x="3"/>
        <item x="352"/>
        <item x="315"/>
        <item x="342"/>
        <item x="395"/>
        <item x="385"/>
        <item x="345"/>
        <item x="380"/>
        <item x="222"/>
        <item x="36"/>
        <item x="190"/>
        <item x="291"/>
        <item x="28"/>
        <item x="335"/>
        <item x="155"/>
        <item x="170"/>
        <item x="361"/>
        <item x="124"/>
        <item x="331"/>
        <item x="267"/>
        <item x="324"/>
        <item x="287"/>
        <item x="254"/>
        <item x="146"/>
        <item x="200"/>
        <item x="241"/>
        <item x="108"/>
        <item x="207"/>
        <item x="15"/>
        <item x="355"/>
        <item x="294"/>
        <item x="152"/>
        <item x="325"/>
        <item x="159"/>
        <item x="261"/>
        <item x="78"/>
        <item x="367"/>
        <item x="212"/>
        <item x="95"/>
        <item x="227"/>
        <item x="343"/>
        <item x="300"/>
        <item x="40"/>
        <item x="174"/>
        <item x="100"/>
        <item x="276"/>
        <item x="364"/>
        <item x="346"/>
        <item x="114"/>
        <item x="177"/>
        <item x="17"/>
        <item x="110"/>
        <item x="328"/>
        <item x="31"/>
        <item x="226"/>
        <item x="97"/>
        <item x="81"/>
        <item x="205"/>
        <item x="320"/>
        <item x="86"/>
        <item x="67"/>
        <item x="279"/>
        <item x="399"/>
        <item x="290"/>
        <item x="354"/>
        <item x="382"/>
        <item x="11"/>
        <item x="32"/>
        <item x="255"/>
        <item x="30"/>
        <item x="233"/>
        <item x="165"/>
        <item x="43"/>
        <item x="79"/>
        <item x="303"/>
        <item x="357"/>
        <item x="168"/>
        <item x="42"/>
        <item x="65"/>
        <item x="383"/>
        <item x="269"/>
        <item x="126"/>
        <item x="164"/>
        <item x="160"/>
        <item x="271"/>
        <item x="5"/>
        <item x="47"/>
        <item x="259"/>
        <item x="231"/>
        <item x="6"/>
        <item x="359"/>
        <item x="144"/>
        <item x="307"/>
        <item x="274"/>
        <item x="51"/>
        <item x="46"/>
        <item x="381"/>
        <item x="130"/>
        <item x="265"/>
        <item x="91"/>
        <item x="240"/>
        <item x="373"/>
        <item x="175"/>
        <item x="340"/>
        <item x="191"/>
        <item x="228"/>
        <item x="115"/>
        <item x="336"/>
        <item t="default"/>
      </items>
    </pivotField>
    <pivotField numFmtId="14" showAll="0"/>
    <pivotField showAll="0">
      <items count="11">
        <item x="8"/>
        <item x="0"/>
        <item x="7"/>
        <item x="9"/>
        <item x="2"/>
        <item x="5"/>
        <item x="6"/>
        <item x="4"/>
        <item x="1"/>
        <item x="3"/>
        <item t="default"/>
      </items>
    </pivotField>
    <pivotField showAll="0">
      <items count="8">
        <item x="3"/>
        <item x="4"/>
        <item x="2"/>
        <item x="0"/>
        <item x="5"/>
        <item x="6"/>
        <item x="1"/>
        <item t="default"/>
      </items>
    </pivotField>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s>
  <rowFields count="1">
    <field x="0"/>
  </rowFields>
  <rowItems count="11">
    <i>
      <x/>
    </i>
    <i>
      <x v="13"/>
    </i>
    <i>
      <x v="38"/>
    </i>
    <i>
      <x v="110"/>
    </i>
    <i>
      <x v="144"/>
    </i>
    <i>
      <x v="148"/>
    </i>
    <i>
      <x v="172"/>
    </i>
    <i>
      <x v="260"/>
    </i>
    <i>
      <x v="287"/>
    </i>
    <i>
      <x v="385"/>
    </i>
    <i t="grand">
      <x/>
    </i>
  </rowItems>
  <colItems count="1">
    <i/>
  </colItems>
  <dataFields count="1">
    <dataField name="Sum of OrderValue" fld="5"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location ref="A1:C7" firstHeaderRow="0" firstDataRow="1" firstDataCol="1"/>
  <pivotFields count="14">
    <pivotField dataField="1" showAll="0"/>
    <pivotField numFmtId="14" showAll="0"/>
    <pivotField showAll="0">
      <items count="11">
        <item x="8"/>
        <item x="0"/>
        <item x="7"/>
        <item x="9"/>
        <item x="2"/>
        <item x="5"/>
        <item x="6"/>
        <item x="4"/>
        <item x="1"/>
        <item x="3"/>
        <item t="default"/>
      </items>
    </pivotField>
    <pivotField showAll="0">
      <items count="8">
        <item x="3"/>
        <item x="4"/>
        <item x="2"/>
        <item x="0"/>
        <item x="5"/>
        <item x="6"/>
        <item x="1"/>
        <item t="default"/>
      </items>
    </pivotField>
    <pivotField showAll="0">
      <items count="4">
        <item x="2"/>
        <item x="1"/>
        <item x="0"/>
        <item t="default"/>
      </items>
    </pivotField>
    <pivotField dataField="1" showAll="0"/>
    <pivotField showAll="0"/>
    <pivotField showAll="0"/>
    <pivotField showAll="0"/>
    <pivotField showAll="0"/>
    <pivotField showAll="0"/>
    <pivotField showAll="0"/>
    <pivotField showAll="0"/>
    <pivotField axis="axisRow" showAll="0" sortType="ascending">
      <items count="6">
        <item x="3"/>
        <item x="2"/>
        <item x="1"/>
        <item x="4"/>
        <item x="0"/>
        <item t="default"/>
      </items>
      <autoSortScope>
        <pivotArea dataOnly="0" outline="0" fieldPosition="0">
          <references count="1">
            <reference field="4294967294" count="1" selected="0">
              <x v="1"/>
            </reference>
          </references>
        </pivotArea>
      </autoSortScope>
    </pivotField>
  </pivotFields>
  <rowFields count="1">
    <field x="13"/>
  </rowFields>
  <rowItems count="6">
    <i>
      <x v="1"/>
    </i>
    <i>
      <x v="2"/>
    </i>
    <i>
      <x/>
    </i>
    <i>
      <x v="3"/>
    </i>
    <i>
      <x v="4"/>
    </i>
    <i t="grand">
      <x/>
    </i>
  </rowItems>
  <colFields count="1">
    <field x="-2"/>
  </colFields>
  <colItems count="2">
    <i>
      <x/>
    </i>
    <i i="1">
      <x v="1"/>
    </i>
  </colItems>
  <dataFields count="2">
    <dataField name="Count of CustomerID" fld="0" subtotal="count" baseField="13" baseItem="1"/>
    <dataField name="Total Sales" fld="5" baseField="13" baseItem="0" numFmtId="165"/>
  </dataFields>
  <formats count="1">
    <format dxfId="1">
      <pivotArea outline="0" collapsedLevelsAreSubtotals="1" fieldPosition="0"/>
    </format>
  </format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4" name="PivotTable1"/>
    <pivotTable tabId="4" name="PivotTable2"/>
    <pivotTable tabId="4" name="PivotTable4"/>
    <pivotTable tabId="4" name="PivotTable5"/>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4" name="PivotTable1"/>
    <pivotTable tabId="4" name="PivotTable2"/>
    <pivotTable tabId="4" name="PivotTable4"/>
    <pivotTable tabId="4" name="PivotTable5"/>
  </pivotTables>
  <data>
    <tabular pivotCacheId="1">
      <items count="7">
        <i x="3" s="1"/>
        <i x="4" s="1"/>
        <i x="2" s="1"/>
        <i x="0" s="1"/>
        <i x="5"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4" name="PivotTable1"/>
    <pivotTable tabId="4" name="PivotTable2"/>
    <pivotTable tabId="4" name="Customers Per City"/>
    <pivotTable tabId="4" name="PivotTable4"/>
    <pivotTable tabId="4" name="PivotTable5"/>
  </pivotTables>
  <data>
    <tabular pivotCacheId="1">
      <items count="10">
        <i x="8" s="1"/>
        <i x="0" s="1"/>
        <i x="7" s="1"/>
        <i x="9" s="1"/>
        <i x="2" s="1"/>
        <i x="5" s="1"/>
        <i x="6"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 cache="Slicer_Channel" caption="Channel" lockedPosition="1" rowHeight="241300"/>
  <slicer name="ProductCategory" cache="Slicer_ProductCategory" caption="ProductCategory" lockedPosition="1" rowHeight="241300"/>
  <slicer name="City" cache="Slicer_City" caption="City" lockedPosition="1" rowHeight="241300"/>
</slicers>
</file>

<file path=xl/tables/table1.xml><?xml version="1.0" encoding="utf-8"?>
<table xmlns="http://schemas.openxmlformats.org/spreadsheetml/2006/main" id="1" name="Table1" displayName="Table1" ref="A1:N3001" totalsRowShown="0" headerRowDxfId="4">
  <autoFilter ref="A1:N3001"/>
  <tableColumns count="14">
    <tableColumn id="1" name="CustomerID"/>
    <tableColumn id="2" name="OrderDate" dataDxfId="3"/>
    <tableColumn id="3" name="City"/>
    <tableColumn id="4" name="ProductCategory"/>
    <tableColumn id="5" name="Channel"/>
    <tableColumn id="6" name="OrderValue"/>
    <tableColumn id="7" name="Recency">
      <calculatedColumnFormula array="1">SalesData!$I$2 - 'RFM Table'!B2</calculatedColumnFormula>
    </tableColumn>
    <tableColumn id="8" name="Frequency">
      <calculatedColumnFormula array="1">COUNTIF(A:A,A2)</calculatedColumnFormula>
    </tableColumn>
    <tableColumn id="9" name="Monetary">
      <calculatedColumnFormula array="1">SUMIF(A:A,A2,F:F)</calculatedColumnFormula>
    </tableColumn>
    <tableColumn id="10" name="R">
      <calculatedColumnFormula array="1">5 - INT(5 * (RANK(G2,G:G, 1) - 1) / COUNT(G:G))</calculatedColumnFormula>
    </tableColumn>
    <tableColumn id="11" name="F">
      <calculatedColumnFormula array="1">INT(5 * (RANK(H2,H:H, 0) - 1) / COUNT(H:H)) + 1</calculatedColumnFormula>
    </tableColumn>
    <tableColumn id="12" name="M">
      <calculatedColumnFormula array="1">INT(5 * (RANK(I2,I:I, 0) - 1) / COUNT(I:I)) + 1</calculatedColumnFormula>
    </tableColumn>
    <tableColumn id="13" name="Combine_scores">
      <calculatedColumnFormula>J2 &amp; K2 &amp; L2</calculatedColumnFormula>
    </tableColumn>
    <tableColumn id="14" name="Segments" dataDxfId="2">
      <calculatedColumnFormula>IF(AND(J2&gt;=4,K2&lt;=2),"New Customers",
IF(AND(J2&lt;=2,K2&gt;=3,L2&gt;=3),"At Risk",
IF(AND(J2&lt;=2,K2&lt;=2,L2&gt;=3),"Can't Lose Them",
IF(AND(J2&lt;=2,K2&lt;=2,L2&lt;=2),"Lost",
"Others"))))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1"/>
  <sheetViews>
    <sheetView workbookViewId="0">
      <selection activeCell="B8" sqref="B8"/>
    </sheetView>
  </sheetViews>
  <sheetFormatPr defaultRowHeight="14.5" x14ac:dyDescent="0.35"/>
  <cols>
    <col min="2" max="2" width="17.81640625" bestFit="1" customWidth="1"/>
    <col min="4" max="4" width="15" bestFit="1" customWidth="1"/>
    <col min="5" max="6" width="10.453125" bestFit="1" customWidth="1"/>
  </cols>
  <sheetData>
    <row r="1" spans="1:6" x14ac:dyDescent="0.35">
      <c r="A1" s="1" t="s">
        <v>0</v>
      </c>
      <c r="B1" s="1" t="s">
        <v>1</v>
      </c>
      <c r="C1" s="1" t="s">
        <v>2</v>
      </c>
      <c r="D1" s="1" t="s">
        <v>3</v>
      </c>
      <c r="E1" s="1" t="s">
        <v>4</v>
      </c>
      <c r="F1" s="1" t="s">
        <v>5</v>
      </c>
    </row>
    <row r="2" spans="1:6" x14ac:dyDescent="0.35">
      <c r="A2">
        <v>1194</v>
      </c>
      <c r="B2" s="2">
        <v>45406.375085336993</v>
      </c>
      <c r="C2" t="s">
        <v>6</v>
      </c>
      <c r="D2" t="s">
        <v>16</v>
      </c>
      <c r="E2" t="s">
        <v>23</v>
      </c>
      <c r="F2">
        <v>10942.56</v>
      </c>
    </row>
    <row r="3" spans="1:6" x14ac:dyDescent="0.35">
      <c r="A3">
        <v>1214</v>
      </c>
      <c r="B3" s="2">
        <v>45406.375085336993</v>
      </c>
      <c r="C3" t="s">
        <v>7</v>
      </c>
      <c r="D3" t="s">
        <v>17</v>
      </c>
      <c r="E3" t="s">
        <v>23</v>
      </c>
      <c r="F3">
        <v>4652.84</v>
      </c>
    </row>
    <row r="4" spans="1:6" x14ac:dyDescent="0.35">
      <c r="A4">
        <v>1050</v>
      </c>
      <c r="B4" s="2">
        <v>45406.375085336993</v>
      </c>
      <c r="C4" t="s">
        <v>8</v>
      </c>
      <c r="D4" t="s">
        <v>18</v>
      </c>
      <c r="E4" t="s">
        <v>24</v>
      </c>
      <c r="F4">
        <v>5521.47</v>
      </c>
    </row>
    <row r="5" spans="1:6" x14ac:dyDescent="0.35">
      <c r="A5">
        <v>1292</v>
      </c>
      <c r="B5" s="2">
        <v>45406.375085336993</v>
      </c>
      <c r="C5" t="s">
        <v>9</v>
      </c>
      <c r="D5" t="s">
        <v>19</v>
      </c>
      <c r="E5" t="s">
        <v>23</v>
      </c>
      <c r="F5">
        <v>13925.76</v>
      </c>
    </row>
    <row r="6" spans="1:6" x14ac:dyDescent="0.35">
      <c r="A6">
        <v>1245</v>
      </c>
      <c r="B6" s="2">
        <v>45406.375085336993</v>
      </c>
      <c r="C6" t="s">
        <v>10</v>
      </c>
      <c r="D6" t="s">
        <v>16</v>
      </c>
      <c r="E6" t="s">
        <v>25</v>
      </c>
      <c r="F6">
        <v>3502.98</v>
      </c>
    </row>
    <row r="7" spans="1:6" x14ac:dyDescent="0.35">
      <c r="A7">
        <v>1377</v>
      </c>
      <c r="B7" s="2">
        <v>45407.375085336993</v>
      </c>
      <c r="C7" t="s">
        <v>9</v>
      </c>
      <c r="D7" t="s">
        <v>17</v>
      </c>
      <c r="E7" t="s">
        <v>24</v>
      </c>
      <c r="F7">
        <v>9424.15</v>
      </c>
    </row>
    <row r="8" spans="1:6" x14ac:dyDescent="0.35">
      <c r="A8">
        <v>1381</v>
      </c>
      <c r="B8" s="2">
        <v>45408.375085336993</v>
      </c>
      <c r="C8" t="s">
        <v>10</v>
      </c>
      <c r="D8" t="s">
        <v>16</v>
      </c>
      <c r="E8" t="s">
        <v>24</v>
      </c>
      <c r="F8">
        <v>2804.96</v>
      </c>
    </row>
    <row r="9" spans="1:6" x14ac:dyDescent="0.35">
      <c r="A9">
        <v>1156</v>
      </c>
      <c r="B9" s="2">
        <v>45408.375085336993</v>
      </c>
      <c r="C9" t="s">
        <v>11</v>
      </c>
      <c r="D9" t="s">
        <v>19</v>
      </c>
      <c r="E9" t="s">
        <v>24</v>
      </c>
      <c r="F9">
        <v>676.55</v>
      </c>
    </row>
    <row r="10" spans="1:6" x14ac:dyDescent="0.35">
      <c r="A10">
        <v>1033</v>
      </c>
      <c r="B10" s="2">
        <v>45408.375085336993</v>
      </c>
      <c r="C10" t="s">
        <v>7</v>
      </c>
      <c r="D10" t="s">
        <v>16</v>
      </c>
      <c r="E10" t="s">
        <v>24</v>
      </c>
      <c r="F10">
        <v>1221.2</v>
      </c>
    </row>
    <row r="11" spans="1:6" x14ac:dyDescent="0.35">
      <c r="A11">
        <v>1260</v>
      </c>
      <c r="B11" s="2">
        <v>45408.375085336993</v>
      </c>
      <c r="C11" t="s">
        <v>12</v>
      </c>
      <c r="D11" t="s">
        <v>19</v>
      </c>
      <c r="E11" t="s">
        <v>23</v>
      </c>
      <c r="F11">
        <v>4306.28</v>
      </c>
    </row>
    <row r="12" spans="1:6" x14ac:dyDescent="0.35">
      <c r="A12">
        <v>1199</v>
      </c>
      <c r="B12" s="2">
        <v>45409.375085336993</v>
      </c>
      <c r="C12" t="s">
        <v>9</v>
      </c>
      <c r="D12" t="s">
        <v>20</v>
      </c>
      <c r="E12" t="s">
        <v>25</v>
      </c>
      <c r="F12">
        <v>6020.75</v>
      </c>
    </row>
    <row r="13" spans="1:6" x14ac:dyDescent="0.35">
      <c r="A13">
        <v>1358</v>
      </c>
      <c r="B13" s="2">
        <v>45409.375085336993</v>
      </c>
      <c r="C13" t="s">
        <v>11</v>
      </c>
      <c r="D13" t="s">
        <v>19</v>
      </c>
      <c r="E13" t="s">
        <v>24</v>
      </c>
      <c r="F13">
        <v>1958.78</v>
      </c>
    </row>
    <row r="14" spans="1:6" x14ac:dyDescent="0.35">
      <c r="A14">
        <v>1358</v>
      </c>
      <c r="B14" s="2">
        <v>45409.375085336993</v>
      </c>
      <c r="C14" t="s">
        <v>11</v>
      </c>
      <c r="D14" t="s">
        <v>21</v>
      </c>
      <c r="E14" t="s">
        <v>25</v>
      </c>
      <c r="F14">
        <v>1557.18</v>
      </c>
    </row>
    <row r="15" spans="1:6" x14ac:dyDescent="0.35">
      <c r="A15">
        <v>1061</v>
      </c>
      <c r="B15" s="2">
        <v>45410.375085336993</v>
      </c>
      <c r="C15" t="s">
        <v>7</v>
      </c>
      <c r="D15" t="s">
        <v>20</v>
      </c>
      <c r="E15" t="s">
        <v>23</v>
      </c>
      <c r="F15">
        <v>6085.25</v>
      </c>
    </row>
    <row r="16" spans="1:6" x14ac:dyDescent="0.35">
      <c r="A16">
        <v>1178</v>
      </c>
      <c r="B16" s="2">
        <v>45410.375085336993</v>
      </c>
      <c r="C16" t="s">
        <v>13</v>
      </c>
      <c r="D16" t="s">
        <v>21</v>
      </c>
      <c r="E16" t="s">
        <v>24</v>
      </c>
      <c r="F16">
        <v>4042.32</v>
      </c>
    </row>
    <row r="17" spans="1:6" x14ac:dyDescent="0.35">
      <c r="A17">
        <v>1288</v>
      </c>
      <c r="B17" s="2">
        <v>45410.375085336993</v>
      </c>
      <c r="C17" t="s">
        <v>6</v>
      </c>
      <c r="D17" t="s">
        <v>22</v>
      </c>
      <c r="E17" t="s">
        <v>24</v>
      </c>
      <c r="F17">
        <v>4648.1499999999996</v>
      </c>
    </row>
    <row r="18" spans="1:6" x14ac:dyDescent="0.35">
      <c r="A18">
        <v>1320</v>
      </c>
      <c r="B18" s="2">
        <v>45410.375085336993</v>
      </c>
      <c r="C18" t="s">
        <v>14</v>
      </c>
      <c r="D18" t="s">
        <v>17</v>
      </c>
      <c r="E18" t="s">
        <v>24</v>
      </c>
      <c r="F18">
        <v>3462.18</v>
      </c>
    </row>
    <row r="19" spans="1:6" x14ac:dyDescent="0.35">
      <c r="A19">
        <v>1123</v>
      </c>
      <c r="B19" s="2">
        <v>45411.375085336993</v>
      </c>
      <c r="C19" t="s">
        <v>9</v>
      </c>
      <c r="D19" t="s">
        <v>20</v>
      </c>
      <c r="E19" t="s">
        <v>24</v>
      </c>
      <c r="F19">
        <v>3798.4</v>
      </c>
    </row>
    <row r="20" spans="1:6" x14ac:dyDescent="0.35">
      <c r="A20">
        <v>1342</v>
      </c>
      <c r="B20" s="2">
        <v>45411.375085336993</v>
      </c>
      <c r="C20" t="s">
        <v>10</v>
      </c>
      <c r="D20" t="s">
        <v>19</v>
      </c>
      <c r="E20" t="s">
        <v>23</v>
      </c>
      <c r="F20">
        <v>3965.52</v>
      </c>
    </row>
    <row r="21" spans="1:6" x14ac:dyDescent="0.35">
      <c r="A21">
        <v>1168</v>
      </c>
      <c r="B21" s="2">
        <v>45411.375085336993</v>
      </c>
      <c r="C21" t="s">
        <v>12</v>
      </c>
      <c r="D21" t="s">
        <v>18</v>
      </c>
      <c r="E21" t="s">
        <v>24</v>
      </c>
      <c r="F21">
        <v>1274.6199999999999</v>
      </c>
    </row>
    <row r="22" spans="1:6" x14ac:dyDescent="0.35">
      <c r="A22">
        <v>1155</v>
      </c>
      <c r="B22" s="2">
        <v>45411.375085336993</v>
      </c>
      <c r="C22" t="s">
        <v>11</v>
      </c>
      <c r="D22" t="s">
        <v>21</v>
      </c>
      <c r="E22" t="s">
        <v>24</v>
      </c>
      <c r="F22">
        <v>4308.95</v>
      </c>
    </row>
    <row r="23" spans="1:6" x14ac:dyDescent="0.35">
      <c r="A23">
        <v>1129</v>
      </c>
      <c r="B23" s="2">
        <v>45411.375085336993</v>
      </c>
      <c r="C23" t="s">
        <v>11</v>
      </c>
      <c r="D23" t="s">
        <v>22</v>
      </c>
      <c r="E23" t="s">
        <v>23</v>
      </c>
      <c r="F23">
        <v>5063.2299999999996</v>
      </c>
    </row>
    <row r="24" spans="1:6" x14ac:dyDescent="0.35">
      <c r="A24">
        <v>1086</v>
      </c>
      <c r="B24" s="2">
        <v>45411.375085336993</v>
      </c>
      <c r="C24" t="s">
        <v>10</v>
      </c>
      <c r="D24" t="s">
        <v>20</v>
      </c>
      <c r="E24" t="s">
        <v>25</v>
      </c>
      <c r="F24">
        <v>4207.42</v>
      </c>
    </row>
    <row r="25" spans="1:6" x14ac:dyDescent="0.35">
      <c r="A25">
        <v>1273</v>
      </c>
      <c r="B25" s="2">
        <v>45412.375085336993</v>
      </c>
      <c r="C25" t="s">
        <v>10</v>
      </c>
      <c r="D25" t="s">
        <v>19</v>
      </c>
      <c r="E25" t="s">
        <v>24</v>
      </c>
      <c r="F25">
        <v>3220.63</v>
      </c>
    </row>
    <row r="26" spans="1:6" x14ac:dyDescent="0.35">
      <c r="A26">
        <v>1143</v>
      </c>
      <c r="B26" s="2">
        <v>45412.375085336993</v>
      </c>
      <c r="C26" t="s">
        <v>15</v>
      </c>
      <c r="D26" t="s">
        <v>19</v>
      </c>
      <c r="E26" t="s">
        <v>23</v>
      </c>
      <c r="F26">
        <v>3998.91</v>
      </c>
    </row>
    <row r="27" spans="1:6" x14ac:dyDescent="0.35">
      <c r="A27">
        <v>1270</v>
      </c>
      <c r="B27" s="2">
        <v>45412.375085336993</v>
      </c>
      <c r="C27" t="s">
        <v>11</v>
      </c>
      <c r="D27" t="s">
        <v>16</v>
      </c>
      <c r="E27" t="s">
        <v>24</v>
      </c>
      <c r="F27">
        <v>6274.7</v>
      </c>
    </row>
    <row r="28" spans="1:6" x14ac:dyDescent="0.35">
      <c r="A28">
        <v>1080</v>
      </c>
      <c r="B28" s="2">
        <v>45413.375085336993</v>
      </c>
      <c r="C28" t="s">
        <v>9</v>
      </c>
      <c r="D28" t="s">
        <v>21</v>
      </c>
      <c r="E28" t="s">
        <v>23</v>
      </c>
      <c r="F28">
        <v>1502.61</v>
      </c>
    </row>
    <row r="29" spans="1:6" x14ac:dyDescent="0.35">
      <c r="A29">
        <v>1022</v>
      </c>
      <c r="B29" s="2">
        <v>45413.375085336993</v>
      </c>
      <c r="C29" t="s">
        <v>6</v>
      </c>
      <c r="D29" t="s">
        <v>22</v>
      </c>
      <c r="E29" t="s">
        <v>24</v>
      </c>
      <c r="F29">
        <v>6875.66</v>
      </c>
    </row>
    <row r="30" spans="1:6" x14ac:dyDescent="0.35">
      <c r="A30">
        <v>1284</v>
      </c>
      <c r="B30" s="2">
        <v>45413.375085336993</v>
      </c>
      <c r="C30" t="s">
        <v>14</v>
      </c>
      <c r="D30" t="s">
        <v>19</v>
      </c>
      <c r="E30" t="s">
        <v>24</v>
      </c>
      <c r="F30">
        <v>3284.86</v>
      </c>
    </row>
    <row r="31" spans="1:6" x14ac:dyDescent="0.35">
      <c r="A31">
        <v>1304</v>
      </c>
      <c r="B31" s="2">
        <v>45413.375085336993</v>
      </c>
      <c r="C31" t="s">
        <v>6</v>
      </c>
      <c r="D31" t="s">
        <v>16</v>
      </c>
      <c r="E31" t="s">
        <v>23</v>
      </c>
      <c r="F31">
        <v>2919.46</v>
      </c>
    </row>
    <row r="32" spans="1:6" x14ac:dyDescent="0.35">
      <c r="A32">
        <v>1082</v>
      </c>
      <c r="B32" s="2">
        <v>45413.375085336993</v>
      </c>
      <c r="C32" t="s">
        <v>8</v>
      </c>
      <c r="D32" t="s">
        <v>17</v>
      </c>
      <c r="E32" t="s">
        <v>24</v>
      </c>
      <c r="F32">
        <v>11954.68</v>
      </c>
    </row>
    <row r="33" spans="1:6" x14ac:dyDescent="0.35">
      <c r="A33">
        <v>1361</v>
      </c>
      <c r="B33" s="2">
        <v>45414.375085336993</v>
      </c>
      <c r="C33" t="s">
        <v>15</v>
      </c>
      <c r="D33" t="s">
        <v>22</v>
      </c>
      <c r="E33" t="s">
        <v>24</v>
      </c>
      <c r="F33">
        <v>8151.42</v>
      </c>
    </row>
    <row r="34" spans="1:6" x14ac:dyDescent="0.35">
      <c r="A34">
        <v>1194</v>
      </c>
      <c r="B34" s="2">
        <v>45415.375085336993</v>
      </c>
      <c r="C34" t="s">
        <v>12</v>
      </c>
      <c r="D34" t="s">
        <v>16</v>
      </c>
      <c r="E34" t="s">
        <v>25</v>
      </c>
      <c r="F34">
        <v>1197.45</v>
      </c>
    </row>
    <row r="35" spans="1:6" x14ac:dyDescent="0.35">
      <c r="A35">
        <v>1345</v>
      </c>
      <c r="B35" s="2">
        <v>45415.375085336993</v>
      </c>
      <c r="C35" t="s">
        <v>14</v>
      </c>
      <c r="D35" t="s">
        <v>16</v>
      </c>
      <c r="E35" t="s">
        <v>24</v>
      </c>
      <c r="F35">
        <v>4298.17</v>
      </c>
    </row>
    <row r="36" spans="1:6" x14ac:dyDescent="0.35">
      <c r="A36">
        <v>1359</v>
      </c>
      <c r="B36" s="2">
        <v>45415.375085336993</v>
      </c>
      <c r="C36" t="s">
        <v>12</v>
      </c>
      <c r="D36" t="s">
        <v>18</v>
      </c>
      <c r="E36" t="s">
        <v>24</v>
      </c>
      <c r="F36">
        <v>1292.8499999999999</v>
      </c>
    </row>
    <row r="37" spans="1:6" x14ac:dyDescent="0.35">
      <c r="A37">
        <v>1150</v>
      </c>
      <c r="B37" s="2">
        <v>45415.375085336993</v>
      </c>
      <c r="C37" t="s">
        <v>10</v>
      </c>
      <c r="D37" t="s">
        <v>22</v>
      </c>
      <c r="E37" t="s">
        <v>25</v>
      </c>
      <c r="F37">
        <v>3260.52</v>
      </c>
    </row>
    <row r="38" spans="1:6" x14ac:dyDescent="0.35">
      <c r="A38">
        <v>1088</v>
      </c>
      <c r="B38" s="2">
        <v>45416.375085336993</v>
      </c>
      <c r="C38" t="s">
        <v>14</v>
      </c>
      <c r="D38" t="s">
        <v>20</v>
      </c>
      <c r="E38" t="s">
        <v>24</v>
      </c>
      <c r="F38">
        <v>10928.04</v>
      </c>
    </row>
    <row r="39" spans="1:6" x14ac:dyDescent="0.35">
      <c r="A39">
        <v>1221</v>
      </c>
      <c r="B39" s="2">
        <v>45416.375085336993</v>
      </c>
      <c r="C39" t="s">
        <v>9</v>
      </c>
      <c r="D39" t="s">
        <v>19</v>
      </c>
      <c r="E39" t="s">
        <v>24</v>
      </c>
      <c r="F39">
        <v>3123.49</v>
      </c>
    </row>
    <row r="40" spans="1:6" x14ac:dyDescent="0.35">
      <c r="A40">
        <v>1301</v>
      </c>
      <c r="B40" s="2">
        <v>45417.375085336993</v>
      </c>
      <c r="C40" t="s">
        <v>9</v>
      </c>
      <c r="D40" t="s">
        <v>21</v>
      </c>
      <c r="E40" t="s">
        <v>23</v>
      </c>
      <c r="F40">
        <v>3436.72</v>
      </c>
    </row>
    <row r="41" spans="1:6" x14ac:dyDescent="0.35">
      <c r="A41">
        <v>1224</v>
      </c>
      <c r="B41" s="2">
        <v>45417.375085336993</v>
      </c>
      <c r="C41" t="s">
        <v>10</v>
      </c>
      <c r="D41" t="s">
        <v>21</v>
      </c>
      <c r="E41" t="s">
        <v>24</v>
      </c>
      <c r="F41">
        <v>993.45</v>
      </c>
    </row>
    <row r="42" spans="1:6" x14ac:dyDescent="0.35">
      <c r="A42">
        <v>1050</v>
      </c>
      <c r="B42" s="2">
        <v>45417.375085336993</v>
      </c>
      <c r="C42" t="s">
        <v>14</v>
      </c>
      <c r="D42" t="s">
        <v>19</v>
      </c>
      <c r="E42" t="s">
        <v>23</v>
      </c>
      <c r="F42">
        <v>1890.21</v>
      </c>
    </row>
    <row r="43" spans="1:6" x14ac:dyDescent="0.35">
      <c r="A43">
        <v>1054</v>
      </c>
      <c r="B43" s="2">
        <v>45417.375085336993</v>
      </c>
      <c r="C43" t="s">
        <v>8</v>
      </c>
      <c r="D43" t="s">
        <v>19</v>
      </c>
      <c r="E43" t="s">
        <v>24</v>
      </c>
      <c r="F43">
        <v>2457.88</v>
      </c>
    </row>
    <row r="44" spans="1:6" x14ac:dyDescent="0.35">
      <c r="A44">
        <v>1061</v>
      </c>
      <c r="B44" s="2">
        <v>45418.375085336993</v>
      </c>
      <c r="C44" t="s">
        <v>6</v>
      </c>
      <c r="D44" t="s">
        <v>22</v>
      </c>
      <c r="E44" t="s">
        <v>24</v>
      </c>
      <c r="F44">
        <v>695.99</v>
      </c>
    </row>
    <row r="45" spans="1:6" x14ac:dyDescent="0.35">
      <c r="A45">
        <v>1146</v>
      </c>
      <c r="B45" s="2">
        <v>45418.375085336993</v>
      </c>
      <c r="C45" t="s">
        <v>6</v>
      </c>
      <c r="D45" t="s">
        <v>21</v>
      </c>
      <c r="E45" t="s">
        <v>24</v>
      </c>
      <c r="F45">
        <v>4347.7</v>
      </c>
    </row>
    <row r="46" spans="1:6" x14ac:dyDescent="0.35">
      <c r="A46">
        <v>1334</v>
      </c>
      <c r="B46" s="2">
        <v>45418.375085336993</v>
      </c>
      <c r="C46" t="s">
        <v>8</v>
      </c>
      <c r="D46" t="s">
        <v>17</v>
      </c>
      <c r="E46" t="s">
        <v>24</v>
      </c>
      <c r="F46">
        <v>2056.62</v>
      </c>
    </row>
    <row r="47" spans="1:6" x14ac:dyDescent="0.35">
      <c r="A47">
        <v>1118</v>
      </c>
      <c r="B47" s="2">
        <v>45418.375085336993</v>
      </c>
      <c r="C47" t="s">
        <v>6</v>
      </c>
      <c r="D47" t="s">
        <v>18</v>
      </c>
      <c r="E47" t="s">
        <v>25</v>
      </c>
      <c r="F47">
        <v>1665.04</v>
      </c>
    </row>
    <row r="48" spans="1:6" x14ac:dyDescent="0.35">
      <c r="A48">
        <v>1369</v>
      </c>
      <c r="B48" s="2">
        <v>45418.375085336993</v>
      </c>
      <c r="C48" t="s">
        <v>8</v>
      </c>
      <c r="D48" t="s">
        <v>19</v>
      </c>
      <c r="E48" t="s">
        <v>24</v>
      </c>
      <c r="F48">
        <v>2279.6</v>
      </c>
    </row>
    <row r="49" spans="1:6" x14ac:dyDescent="0.35">
      <c r="A49">
        <v>1364</v>
      </c>
      <c r="B49" s="2">
        <v>45418.375085336993</v>
      </c>
      <c r="C49" t="s">
        <v>6</v>
      </c>
      <c r="D49" t="s">
        <v>16</v>
      </c>
      <c r="E49" t="s">
        <v>24</v>
      </c>
      <c r="F49">
        <v>4524.59</v>
      </c>
    </row>
    <row r="50" spans="1:6" x14ac:dyDescent="0.35">
      <c r="A50">
        <v>1071</v>
      </c>
      <c r="B50" s="2">
        <v>45418.375085336993</v>
      </c>
      <c r="C50" t="s">
        <v>7</v>
      </c>
      <c r="D50" t="s">
        <v>19</v>
      </c>
      <c r="E50" t="s">
        <v>25</v>
      </c>
      <c r="F50">
        <v>1238.23</v>
      </c>
    </row>
    <row r="51" spans="1:6" x14ac:dyDescent="0.35">
      <c r="A51">
        <v>1085</v>
      </c>
      <c r="B51" s="2">
        <v>45418.375085336993</v>
      </c>
      <c r="C51" t="s">
        <v>8</v>
      </c>
      <c r="D51" t="s">
        <v>17</v>
      </c>
      <c r="E51" t="s">
        <v>23</v>
      </c>
      <c r="F51">
        <v>12242.87</v>
      </c>
    </row>
    <row r="52" spans="1:6" x14ac:dyDescent="0.35">
      <c r="A52">
        <v>1387</v>
      </c>
      <c r="B52" s="2">
        <v>45419.375085336993</v>
      </c>
      <c r="C52" t="s">
        <v>13</v>
      </c>
      <c r="D52" t="s">
        <v>22</v>
      </c>
      <c r="E52" t="s">
        <v>24</v>
      </c>
      <c r="F52">
        <v>385.77</v>
      </c>
    </row>
    <row r="53" spans="1:6" x14ac:dyDescent="0.35">
      <c r="A53">
        <v>1378</v>
      </c>
      <c r="B53" s="2">
        <v>45419.375085336993</v>
      </c>
      <c r="C53" t="s">
        <v>12</v>
      </c>
      <c r="D53" t="s">
        <v>17</v>
      </c>
      <c r="E53" t="s">
        <v>25</v>
      </c>
      <c r="F53">
        <v>6206.88</v>
      </c>
    </row>
    <row r="54" spans="1:6" x14ac:dyDescent="0.35">
      <c r="A54">
        <v>1224</v>
      </c>
      <c r="B54" s="2">
        <v>45420.375085336993</v>
      </c>
      <c r="C54" t="s">
        <v>10</v>
      </c>
      <c r="D54" t="s">
        <v>22</v>
      </c>
      <c r="E54" t="s">
        <v>24</v>
      </c>
      <c r="F54">
        <v>7313.38</v>
      </c>
    </row>
    <row r="55" spans="1:6" x14ac:dyDescent="0.35">
      <c r="A55">
        <v>1019</v>
      </c>
      <c r="B55" s="2">
        <v>45421.375085336993</v>
      </c>
      <c r="C55" t="s">
        <v>10</v>
      </c>
      <c r="D55" t="s">
        <v>19</v>
      </c>
      <c r="E55" t="s">
        <v>25</v>
      </c>
      <c r="F55">
        <v>1179.18</v>
      </c>
    </row>
    <row r="56" spans="1:6" x14ac:dyDescent="0.35">
      <c r="A56">
        <v>1186</v>
      </c>
      <c r="B56" s="2">
        <v>45421.375085336993</v>
      </c>
      <c r="C56" t="s">
        <v>11</v>
      </c>
      <c r="D56" t="s">
        <v>16</v>
      </c>
      <c r="E56" t="s">
        <v>25</v>
      </c>
      <c r="F56">
        <v>1679.46</v>
      </c>
    </row>
    <row r="57" spans="1:6" x14ac:dyDescent="0.35">
      <c r="A57">
        <v>1172</v>
      </c>
      <c r="B57" s="2">
        <v>45421.375085336993</v>
      </c>
      <c r="C57" t="s">
        <v>12</v>
      </c>
      <c r="D57" t="s">
        <v>16</v>
      </c>
      <c r="E57" t="s">
        <v>24</v>
      </c>
      <c r="F57">
        <v>8273.7199999999993</v>
      </c>
    </row>
    <row r="58" spans="1:6" x14ac:dyDescent="0.35">
      <c r="A58">
        <v>1386</v>
      </c>
      <c r="B58" s="2">
        <v>45422.375085336993</v>
      </c>
      <c r="C58" t="s">
        <v>15</v>
      </c>
      <c r="D58" t="s">
        <v>16</v>
      </c>
      <c r="E58" t="s">
        <v>23</v>
      </c>
      <c r="F58">
        <v>9890.69</v>
      </c>
    </row>
    <row r="59" spans="1:6" x14ac:dyDescent="0.35">
      <c r="A59">
        <v>1134</v>
      </c>
      <c r="B59" s="2">
        <v>45422.375085336993</v>
      </c>
      <c r="C59" t="s">
        <v>13</v>
      </c>
      <c r="D59" t="s">
        <v>16</v>
      </c>
      <c r="E59" t="s">
        <v>23</v>
      </c>
      <c r="F59">
        <v>2360.89</v>
      </c>
    </row>
    <row r="60" spans="1:6" x14ac:dyDescent="0.35">
      <c r="A60">
        <v>1074</v>
      </c>
      <c r="B60" s="2">
        <v>45422.375085336993</v>
      </c>
      <c r="C60" t="s">
        <v>9</v>
      </c>
      <c r="D60" t="s">
        <v>21</v>
      </c>
      <c r="E60" t="s">
        <v>25</v>
      </c>
      <c r="F60">
        <v>2902.37</v>
      </c>
    </row>
    <row r="61" spans="1:6" x14ac:dyDescent="0.35">
      <c r="A61">
        <v>1079</v>
      </c>
      <c r="B61" s="2">
        <v>45422.375085336993</v>
      </c>
      <c r="C61" t="s">
        <v>13</v>
      </c>
      <c r="D61" t="s">
        <v>20</v>
      </c>
      <c r="E61" t="s">
        <v>24</v>
      </c>
      <c r="F61">
        <v>9858.5499999999993</v>
      </c>
    </row>
    <row r="62" spans="1:6" x14ac:dyDescent="0.35">
      <c r="A62">
        <v>1225</v>
      </c>
      <c r="B62" s="2">
        <v>45422.375085336993</v>
      </c>
      <c r="C62" t="s">
        <v>11</v>
      </c>
      <c r="D62" t="s">
        <v>22</v>
      </c>
      <c r="E62" t="s">
        <v>25</v>
      </c>
      <c r="F62">
        <v>4402.2700000000004</v>
      </c>
    </row>
    <row r="63" spans="1:6" x14ac:dyDescent="0.35">
      <c r="A63">
        <v>1112</v>
      </c>
      <c r="B63" s="2">
        <v>45423.375085336993</v>
      </c>
      <c r="C63" t="s">
        <v>10</v>
      </c>
      <c r="D63" t="s">
        <v>20</v>
      </c>
      <c r="E63" t="s">
        <v>23</v>
      </c>
      <c r="F63">
        <v>1249.8699999999999</v>
      </c>
    </row>
    <row r="64" spans="1:6" x14ac:dyDescent="0.35">
      <c r="A64">
        <v>1011</v>
      </c>
      <c r="B64" s="2">
        <v>45423.375085336993</v>
      </c>
      <c r="C64" t="s">
        <v>12</v>
      </c>
      <c r="D64" t="s">
        <v>18</v>
      </c>
      <c r="E64" t="s">
        <v>25</v>
      </c>
      <c r="F64">
        <v>1477.77</v>
      </c>
    </row>
    <row r="65" spans="1:6" x14ac:dyDescent="0.35">
      <c r="A65">
        <v>1007</v>
      </c>
      <c r="B65" s="2">
        <v>45424.375085336993</v>
      </c>
      <c r="C65" t="s">
        <v>11</v>
      </c>
      <c r="D65" t="s">
        <v>18</v>
      </c>
      <c r="E65" t="s">
        <v>23</v>
      </c>
      <c r="F65">
        <v>3729.51</v>
      </c>
    </row>
    <row r="66" spans="1:6" x14ac:dyDescent="0.35">
      <c r="A66">
        <v>1269</v>
      </c>
      <c r="B66" s="2">
        <v>45424.375085336993</v>
      </c>
      <c r="C66" t="s">
        <v>7</v>
      </c>
      <c r="D66" t="s">
        <v>19</v>
      </c>
      <c r="E66" t="s">
        <v>23</v>
      </c>
      <c r="F66">
        <v>4031.39</v>
      </c>
    </row>
    <row r="67" spans="1:6" x14ac:dyDescent="0.35">
      <c r="A67">
        <v>1078</v>
      </c>
      <c r="B67" s="2">
        <v>45424.375085336993</v>
      </c>
      <c r="C67" t="s">
        <v>10</v>
      </c>
      <c r="D67" t="s">
        <v>17</v>
      </c>
      <c r="E67" t="s">
        <v>25</v>
      </c>
      <c r="F67">
        <v>2910.88</v>
      </c>
    </row>
    <row r="68" spans="1:6" x14ac:dyDescent="0.35">
      <c r="A68">
        <v>1132</v>
      </c>
      <c r="B68" s="2">
        <v>45424.375085336993</v>
      </c>
      <c r="C68" t="s">
        <v>12</v>
      </c>
      <c r="D68" t="s">
        <v>19</v>
      </c>
      <c r="E68" t="s">
        <v>25</v>
      </c>
      <c r="F68">
        <v>1875.57</v>
      </c>
    </row>
    <row r="69" spans="1:6" x14ac:dyDescent="0.35">
      <c r="A69">
        <v>1257</v>
      </c>
      <c r="B69" s="2">
        <v>45424.375085336993</v>
      </c>
      <c r="C69" t="s">
        <v>7</v>
      </c>
      <c r="D69" t="s">
        <v>22</v>
      </c>
      <c r="E69" t="s">
        <v>23</v>
      </c>
      <c r="F69">
        <v>4234.41</v>
      </c>
    </row>
    <row r="70" spans="1:6" x14ac:dyDescent="0.35">
      <c r="A70">
        <v>1072</v>
      </c>
      <c r="B70" s="2">
        <v>45424.375085336993</v>
      </c>
      <c r="C70" t="s">
        <v>15</v>
      </c>
      <c r="D70" t="s">
        <v>21</v>
      </c>
      <c r="E70" t="s">
        <v>25</v>
      </c>
      <c r="F70">
        <v>5645.29</v>
      </c>
    </row>
    <row r="71" spans="1:6" x14ac:dyDescent="0.35">
      <c r="A71">
        <v>1129</v>
      </c>
      <c r="B71" s="2">
        <v>45424.375085336993</v>
      </c>
      <c r="C71" t="s">
        <v>9</v>
      </c>
      <c r="D71" t="s">
        <v>19</v>
      </c>
      <c r="E71" t="s">
        <v>24</v>
      </c>
      <c r="F71">
        <v>1872.72</v>
      </c>
    </row>
    <row r="72" spans="1:6" x14ac:dyDescent="0.35">
      <c r="A72">
        <v>1289</v>
      </c>
      <c r="B72" s="2">
        <v>45424.375085336993</v>
      </c>
      <c r="C72" t="s">
        <v>9</v>
      </c>
      <c r="D72" t="s">
        <v>18</v>
      </c>
      <c r="E72" t="s">
        <v>24</v>
      </c>
      <c r="F72">
        <v>3284.02</v>
      </c>
    </row>
    <row r="73" spans="1:6" x14ac:dyDescent="0.35">
      <c r="A73">
        <v>1370</v>
      </c>
      <c r="B73" s="2">
        <v>45425.375085336993</v>
      </c>
      <c r="C73" t="s">
        <v>14</v>
      </c>
      <c r="D73" t="s">
        <v>19</v>
      </c>
      <c r="E73" t="s">
        <v>25</v>
      </c>
      <c r="F73">
        <v>4571.95</v>
      </c>
    </row>
    <row r="74" spans="1:6" x14ac:dyDescent="0.35">
      <c r="A74">
        <v>1007</v>
      </c>
      <c r="B74" s="2">
        <v>45425.375085336993</v>
      </c>
      <c r="C74" t="s">
        <v>15</v>
      </c>
      <c r="D74" t="s">
        <v>16</v>
      </c>
      <c r="E74" t="s">
        <v>25</v>
      </c>
      <c r="F74">
        <v>7682.58</v>
      </c>
    </row>
    <row r="75" spans="1:6" x14ac:dyDescent="0.35">
      <c r="A75">
        <v>1175</v>
      </c>
      <c r="B75" s="2">
        <v>45426.375085336993</v>
      </c>
      <c r="C75" t="s">
        <v>15</v>
      </c>
      <c r="D75" t="s">
        <v>18</v>
      </c>
      <c r="E75" t="s">
        <v>23</v>
      </c>
      <c r="F75">
        <v>3661.72</v>
      </c>
    </row>
    <row r="76" spans="1:6" x14ac:dyDescent="0.35">
      <c r="A76">
        <v>1352</v>
      </c>
      <c r="B76" s="2">
        <v>45426.375085336993</v>
      </c>
      <c r="C76" t="s">
        <v>10</v>
      </c>
      <c r="D76" t="s">
        <v>22</v>
      </c>
      <c r="E76" t="s">
        <v>24</v>
      </c>
      <c r="F76">
        <v>1297.73</v>
      </c>
    </row>
    <row r="77" spans="1:6" x14ac:dyDescent="0.35">
      <c r="A77">
        <v>1292</v>
      </c>
      <c r="B77" s="2">
        <v>45426.375085336993</v>
      </c>
      <c r="C77" t="s">
        <v>11</v>
      </c>
      <c r="D77" t="s">
        <v>16</v>
      </c>
      <c r="E77" t="s">
        <v>24</v>
      </c>
      <c r="F77">
        <v>5638.33</v>
      </c>
    </row>
    <row r="78" spans="1:6" x14ac:dyDescent="0.35">
      <c r="A78">
        <v>1266</v>
      </c>
      <c r="B78" s="2">
        <v>45427.375085336993</v>
      </c>
      <c r="C78" t="s">
        <v>7</v>
      </c>
      <c r="D78" t="s">
        <v>20</v>
      </c>
      <c r="E78" t="s">
        <v>25</v>
      </c>
      <c r="F78">
        <v>13167.57</v>
      </c>
    </row>
    <row r="79" spans="1:6" x14ac:dyDescent="0.35">
      <c r="A79">
        <v>1176</v>
      </c>
      <c r="B79" s="2">
        <v>45427.375085336993</v>
      </c>
      <c r="C79" t="s">
        <v>6</v>
      </c>
      <c r="D79" t="s">
        <v>18</v>
      </c>
      <c r="E79" t="s">
        <v>23</v>
      </c>
      <c r="F79">
        <v>3528.15</v>
      </c>
    </row>
    <row r="80" spans="1:6" x14ac:dyDescent="0.35">
      <c r="A80">
        <v>1159</v>
      </c>
      <c r="B80" s="2">
        <v>45427.375085336993</v>
      </c>
      <c r="C80" t="s">
        <v>6</v>
      </c>
      <c r="D80" t="s">
        <v>17</v>
      </c>
      <c r="E80" t="s">
        <v>23</v>
      </c>
      <c r="F80">
        <v>1730.6</v>
      </c>
    </row>
    <row r="81" spans="1:6" x14ac:dyDescent="0.35">
      <c r="A81">
        <v>1146</v>
      </c>
      <c r="B81" s="2">
        <v>45427.375085336993</v>
      </c>
      <c r="C81" t="s">
        <v>12</v>
      </c>
      <c r="D81" t="s">
        <v>16</v>
      </c>
      <c r="E81" t="s">
        <v>23</v>
      </c>
      <c r="F81">
        <v>3458.94</v>
      </c>
    </row>
    <row r="82" spans="1:6" x14ac:dyDescent="0.35">
      <c r="A82">
        <v>1281</v>
      </c>
      <c r="B82" s="2">
        <v>45427.375085336993</v>
      </c>
      <c r="C82" t="s">
        <v>12</v>
      </c>
      <c r="D82" t="s">
        <v>22</v>
      </c>
      <c r="E82" t="s">
        <v>24</v>
      </c>
      <c r="F82">
        <v>2795.89</v>
      </c>
    </row>
    <row r="83" spans="1:6" x14ac:dyDescent="0.35">
      <c r="A83">
        <v>1194</v>
      </c>
      <c r="B83" s="2">
        <v>45427.375085336993</v>
      </c>
      <c r="C83" t="s">
        <v>14</v>
      </c>
      <c r="D83" t="s">
        <v>21</v>
      </c>
      <c r="E83" t="s">
        <v>25</v>
      </c>
      <c r="F83">
        <v>2183.9299999999998</v>
      </c>
    </row>
    <row r="84" spans="1:6" x14ac:dyDescent="0.35">
      <c r="A84">
        <v>1085</v>
      </c>
      <c r="B84" s="2">
        <v>45427.375085336993</v>
      </c>
      <c r="C84" t="s">
        <v>11</v>
      </c>
      <c r="D84" t="s">
        <v>21</v>
      </c>
      <c r="E84" t="s">
        <v>25</v>
      </c>
      <c r="F84">
        <v>854.56</v>
      </c>
    </row>
    <row r="85" spans="1:6" x14ac:dyDescent="0.35">
      <c r="A85">
        <v>1239</v>
      </c>
      <c r="B85" s="2">
        <v>45428.375085336993</v>
      </c>
      <c r="C85" t="s">
        <v>14</v>
      </c>
      <c r="D85" t="s">
        <v>16</v>
      </c>
      <c r="E85" t="s">
        <v>23</v>
      </c>
      <c r="F85">
        <v>28564.55</v>
      </c>
    </row>
    <row r="86" spans="1:6" x14ac:dyDescent="0.35">
      <c r="A86">
        <v>1099</v>
      </c>
      <c r="B86" s="2">
        <v>45428.375085336993</v>
      </c>
      <c r="C86" t="s">
        <v>10</v>
      </c>
      <c r="D86" t="s">
        <v>20</v>
      </c>
      <c r="E86" t="s">
        <v>24</v>
      </c>
      <c r="F86">
        <v>3852.61</v>
      </c>
    </row>
    <row r="87" spans="1:6" x14ac:dyDescent="0.35">
      <c r="A87">
        <v>1077</v>
      </c>
      <c r="B87" s="2">
        <v>45428.375085336993</v>
      </c>
      <c r="C87" t="s">
        <v>7</v>
      </c>
      <c r="D87" t="s">
        <v>21</v>
      </c>
      <c r="E87" t="s">
        <v>25</v>
      </c>
      <c r="F87">
        <v>1818.08</v>
      </c>
    </row>
    <row r="88" spans="1:6" x14ac:dyDescent="0.35">
      <c r="A88">
        <v>1290</v>
      </c>
      <c r="B88" s="2">
        <v>45430.375085336993</v>
      </c>
      <c r="C88" t="s">
        <v>15</v>
      </c>
      <c r="D88" t="s">
        <v>16</v>
      </c>
      <c r="E88" t="s">
        <v>25</v>
      </c>
      <c r="F88">
        <v>6053.16</v>
      </c>
    </row>
    <row r="89" spans="1:6" x14ac:dyDescent="0.35">
      <c r="A89">
        <v>1091</v>
      </c>
      <c r="B89" s="2">
        <v>45430.375085336993</v>
      </c>
      <c r="C89" t="s">
        <v>8</v>
      </c>
      <c r="D89" t="s">
        <v>17</v>
      </c>
      <c r="E89" t="s">
        <v>24</v>
      </c>
      <c r="F89">
        <v>6656.72</v>
      </c>
    </row>
    <row r="90" spans="1:6" x14ac:dyDescent="0.35">
      <c r="A90">
        <v>1033</v>
      </c>
      <c r="B90" s="2">
        <v>45430.375085336993</v>
      </c>
      <c r="C90" t="s">
        <v>15</v>
      </c>
      <c r="D90" t="s">
        <v>18</v>
      </c>
      <c r="E90" t="s">
        <v>24</v>
      </c>
      <c r="F90">
        <v>797.21</v>
      </c>
    </row>
    <row r="91" spans="1:6" x14ac:dyDescent="0.35">
      <c r="A91">
        <v>1139</v>
      </c>
      <c r="B91" s="2">
        <v>45430.375085336993</v>
      </c>
      <c r="C91" t="s">
        <v>7</v>
      </c>
      <c r="D91" t="s">
        <v>21</v>
      </c>
      <c r="E91" t="s">
        <v>25</v>
      </c>
      <c r="F91">
        <v>2825.85</v>
      </c>
    </row>
    <row r="92" spans="1:6" x14ac:dyDescent="0.35">
      <c r="A92">
        <v>1327</v>
      </c>
      <c r="B92" s="2">
        <v>45430.375085336993</v>
      </c>
      <c r="C92" t="s">
        <v>15</v>
      </c>
      <c r="D92" t="s">
        <v>16</v>
      </c>
      <c r="E92" t="s">
        <v>25</v>
      </c>
      <c r="F92">
        <v>53.58</v>
      </c>
    </row>
    <row r="93" spans="1:6" x14ac:dyDescent="0.35">
      <c r="A93">
        <v>1365</v>
      </c>
      <c r="B93" s="2">
        <v>45430.375085336993</v>
      </c>
      <c r="C93" t="s">
        <v>11</v>
      </c>
      <c r="D93" t="s">
        <v>18</v>
      </c>
      <c r="E93" t="s">
        <v>24</v>
      </c>
      <c r="F93">
        <v>2028.6</v>
      </c>
    </row>
    <row r="94" spans="1:6" x14ac:dyDescent="0.35">
      <c r="A94">
        <v>1216</v>
      </c>
      <c r="B94" s="2">
        <v>45430.375085336993</v>
      </c>
      <c r="C94" t="s">
        <v>14</v>
      </c>
      <c r="D94" t="s">
        <v>22</v>
      </c>
      <c r="E94" t="s">
        <v>24</v>
      </c>
      <c r="F94">
        <v>1127.81</v>
      </c>
    </row>
    <row r="95" spans="1:6" x14ac:dyDescent="0.35">
      <c r="A95">
        <v>1348</v>
      </c>
      <c r="B95" s="2">
        <v>45431.375085336993</v>
      </c>
      <c r="C95" t="s">
        <v>7</v>
      </c>
      <c r="D95" t="s">
        <v>18</v>
      </c>
      <c r="E95" t="s">
        <v>23</v>
      </c>
      <c r="F95">
        <v>1634.98</v>
      </c>
    </row>
    <row r="96" spans="1:6" x14ac:dyDescent="0.35">
      <c r="A96">
        <v>1102</v>
      </c>
      <c r="B96" s="2">
        <v>45431.375085336993</v>
      </c>
      <c r="C96" t="s">
        <v>6</v>
      </c>
      <c r="D96" t="s">
        <v>20</v>
      </c>
      <c r="E96" t="s">
        <v>23</v>
      </c>
      <c r="F96">
        <v>6084.42</v>
      </c>
    </row>
    <row r="97" spans="1:6" x14ac:dyDescent="0.35">
      <c r="A97">
        <v>1190</v>
      </c>
      <c r="B97" s="2">
        <v>45431.375085336993</v>
      </c>
      <c r="C97" t="s">
        <v>8</v>
      </c>
      <c r="D97" t="s">
        <v>22</v>
      </c>
      <c r="E97" t="s">
        <v>23</v>
      </c>
      <c r="F97">
        <v>1974.1</v>
      </c>
    </row>
    <row r="98" spans="1:6" x14ac:dyDescent="0.35">
      <c r="A98">
        <v>1233</v>
      </c>
      <c r="B98" s="2">
        <v>45431.375085336993</v>
      </c>
      <c r="C98" t="s">
        <v>7</v>
      </c>
      <c r="D98" t="s">
        <v>20</v>
      </c>
      <c r="E98" t="s">
        <v>25</v>
      </c>
      <c r="F98">
        <v>9827.3700000000008</v>
      </c>
    </row>
    <row r="99" spans="1:6" x14ac:dyDescent="0.35">
      <c r="A99">
        <v>1092</v>
      </c>
      <c r="B99" s="2">
        <v>45432.375085336993</v>
      </c>
      <c r="C99" t="s">
        <v>13</v>
      </c>
      <c r="D99" t="s">
        <v>21</v>
      </c>
      <c r="E99" t="s">
        <v>24</v>
      </c>
      <c r="F99">
        <v>4222.49</v>
      </c>
    </row>
    <row r="100" spans="1:6" x14ac:dyDescent="0.35">
      <c r="A100">
        <v>1080</v>
      </c>
      <c r="B100" s="2">
        <v>45432.375085336993</v>
      </c>
      <c r="C100" t="s">
        <v>10</v>
      </c>
      <c r="D100" t="s">
        <v>18</v>
      </c>
      <c r="E100" t="s">
        <v>25</v>
      </c>
      <c r="F100">
        <v>3141</v>
      </c>
    </row>
    <row r="101" spans="1:6" x14ac:dyDescent="0.35">
      <c r="A101">
        <v>1190</v>
      </c>
      <c r="B101" s="2">
        <v>45432.375085336993</v>
      </c>
      <c r="C101" t="s">
        <v>14</v>
      </c>
      <c r="D101" t="s">
        <v>19</v>
      </c>
      <c r="E101" t="s">
        <v>23</v>
      </c>
      <c r="F101">
        <v>3665.5</v>
      </c>
    </row>
    <row r="102" spans="1:6" x14ac:dyDescent="0.35">
      <c r="A102">
        <v>1351</v>
      </c>
      <c r="B102" s="2">
        <v>45433.375085336993</v>
      </c>
      <c r="C102" t="s">
        <v>12</v>
      </c>
      <c r="D102" t="s">
        <v>17</v>
      </c>
      <c r="E102" t="s">
        <v>25</v>
      </c>
      <c r="F102">
        <v>2365.39</v>
      </c>
    </row>
    <row r="103" spans="1:6" x14ac:dyDescent="0.35">
      <c r="A103">
        <v>1110</v>
      </c>
      <c r="B103" s="2">
        <v>45433.375085336993</v>
      </c>
      <c r="C103" t="s">
        <v>6</v>
      </c>
      <c r="D103" t="s">
        <v>22</v>
      </c>
      <c r="E103" t="s">
        <v>25</v>
      </c>
      <c r="F103">
        <v>1214.3499999999999</v>
      </c>
    </row>
    <row r="104" spans="1:6" x14ac:dyDescent="0.35">
      <c r="A104">
        <v>1159</v>
      </c>
      <c r="B104" s="2">
        <v>45433.375085336993</v>
      </c>
      <c r="C104" t="s">
        <v>10</v>
      </c>
      <c r="D104" t="s">
        <v>22</v>
      </c>
      <c r="E104" t="s">
        <v>24</v>
      </c>
      <c r="F104">
        <v>6303.45</v>
      </c>
    </row>
    <row r="105" spans="1:6" x14ac:dyDescent="0.35">
      <c r="A105">
        <v>1000</v>
      </c>
      <c r="B105" s="2">
        <v>45434.375085336993</v>
      </c>
      <c r="C105" t="s">
        <v>10</v>
      </c>
      <c r="D105" t="s">
        <v>18</v>
      </c>
      <c r="E105" t="s">
        <v>23</v>
      </c>
      <c r="F105">
        <v>15024.97</v>
      </c>
    </row>
    <row r="106" spans="1:6" x14ac:dyDescent="0.35">
      <c r="A106">
        <v>1100</v>
      </c>
      <c r="B106" s="2">
        <v>45434.375085336993</v>
      </c>
      <c r="C106" t="s">
        <v>8</v>
      </c>
      <c r="D106" t="s">
        <v>19</v>
      </c>
      <c r="E106" t="s">
        <v>23</v>
      </c>
      <c r="F106">
        <v>10524.71</v>
      </c>
    </row>
    <row r="107" spans="1:6" x14ac:dyDescent="0.35">
      <c r="A107">
        <v>1061</v>
      </c>
      <c r="B107" s="2">
        <v>45435.375085336993</v>
      </c>
      <c r="C107" t="s">
        <v>11</v>
      </c>
      <c r="D107" t="s">
        <v>18</v>
      </c>
      <c r="E107" t="s">
        <v>24</v>
      </c>
      <c r="F107">
        <v>486.74</v>
      </c>
    </row>
    <row r="108" spans="1:6" x14ac:dyDescent="0.35">
      <c r="A108">
        <v>1280</v>
      </c>
      <c r="B108" s="2">
        <v>45435.375085336993</v>
      </c>
      <c r="C108" t="s">
        <v>7</v>
      </c>
      <c r="D108" t="s">
        <v>20</v>
      </c>
      <c r="E108" t="s">
        <v>23</v>
      </c>
      <c r="F108">
        <v>6320.2</v>
      </c>
    </row>
    <row r="109" spans="1:6" x14ac:dyDescent="0.35">
      <c r="A109">
        <v>1391</v>
      </c>
      <c r="B109" s="2">
        <v>45435.375085336993</v>
      </c>
      <c r="C109" t="s">
        <v>15</v>
      </c>
      <c r="D109" t="s">
        <v>20</v>
      </c>
      <c r="E109" t="s">
        <v>23</v>
      </c>
      <c r="F109">
        <v>392.84</v>
      </c>
    </row>
    <row r="110" spans="1:6" x14ac:dyDescent="0.35">
      <c r="A110">
        <v>1291</v>
      </c>
      <c r="B110" s="2">
        <v>45435.375085336993</v>
      </c>
      <c r="C110" t="s">
        <v>12</v>
      </c>
      <c r="D110" t="s">
        <v>18</v>
      </c>
      <c r="E110" t="s">
        <v>24</v>
      </c>
      <c r="F110">
        <v>6867.61</v>
      </c>
    </row>
    <row r="111" spans="1:6" x14ac:dyDescent="0.35">
      <c r="A111">
        <v>1351</v>
      </c>
      <c r="B111" s="2">
        <v>45435.375085336993</v>
      </c>
      <c r="C111" t="s">
        <v>9</v>
      </c>
      <c r="D111" t="s">
        <v>16</v>
      </c>
      <c r="E111" t="s">
        <v>23</v>
      </c>
      <c r="F111">
        <v>1129.3599999999999</v>
      </c>
    </row>
    <row r="112" spans="1:6" x14ac:dyDescent="0.35">
      <c r="A112">
        <v>1125</v>
      </c>
      <c r="B112" s="2">
        <v>45436.375085336993</v>
      </c>
      <c r="C112" t="s">
        <v>14</v>
      </c>
      <c r="D112" t="s">
        <v>21</v>
      </c>
      <c r="E112" t="s">
        <v>23</v>
      </c>
      <c r="F112">
        <v>3832.89</v>
      </c>
    </row>
    <row r="113" spans="1:6" x14ac:dyDescent="0.35">
      <c r="A113">
        <v>1160</v>
      </c>
      <c r="B113" s="2">
        <v>45436.375085336993</v>
      </c>
      <c r="C113" t="s">
        <v>9</v>
      </c>
      <c r="D113" t="s">
        <v>20</v>
      </c>
      <c r="E113" t="s">
        <v>23</v>
      </c>
      <c r="F113">
        <v>4273.7</v>
      </c>
    </row>
    <row r="114" spans="1:6" x14ac:dyDescent="0.35">
      <c r="A114">
        <v>1330</v>
      </c>
      <c r="B114" s="2">
        <v>45436.375085336993</v>
      </c>
      <c r="C114" t="s">
        <v>6</v>
      </c>
      <c r="D114" t="s">
        <v>17</v>
      </c>
      <c r="E114" t="s">
        <v>24</v>
      </c>
      <c r="F114">
        <v>5559.11</v>
      </c>
    </row>
    <row r="115" spans="1:6" x14ac:dyDescent="0.35">
      <c r="A115">
        <v>1144</v>
      </c>
      <c r="B115" s="2">
        <v>45436.375085336993</v>
      </c>
      <c r="C115" t="s">
        <v>10</v>
      </c>
      <c r="D115" t="s">
        <v>18</v>
      </c>
      <c r="E115" t="s">
        <v>23</v>
      </c>
      <c r="F115">
        <v>2814.91</v>
      </c>
    </row>
    <row r="116" spans="1:6" x14ac:dyDescent="0.35">
      <c r="A116">
        <v>1290</v>
      </c>
      <c r="B116" s="2">
        <v>45437.375085336993</v>
      </c>
      <c r="C116" t="s">
        <v>13</v>
      </c>
      <c r="D116" t="s">
        <v>17</v>
      </c>
      <c r="E116" t="s">
        <v>25</v>
      </c>
      <c r="F116">
        <v>1138</v>
      </c>
    </row>
    <row r="117" spans="1:6" x14ac:dyDescent="0.35">
      <c r="A117">
        <v>1347</v>
      </c>
      <c r="B117" s="2">
        <v>45437.375085336993</v>
      </c>
      <c r="C117" t="s">
        <v>14</v>
      </c>
      <c r="D117" t="s">
        <v>19</v>
      </c>
      <c r="E117" t="s">
        <v>25</v>
      </c>
      <c r="F117">
        <v>3435.46</v>
      </c>
    </row>
    <row r="118" spans="1:6" x14ac:dyDescent="0.35">
      <c r="A118">
        <v>1001</v>
      </c>
      <c r="B118" s="2">
        <v>45437.375085336993</v>
      </c>
      <c r="C118" t="s">
        <v>14</v>
      </c>
      <c r="D118" t="s">
        <v>22</v>
      </c>
      <c r="E118" t="s">
        <v>24</v>
      </c>
      <c r="F118">
        <v>7241.84</v>
      </c>
    </row>
    <row r="119" spans="1:6" x14ac:dyDescent="0.35">
      <c r="A119">
        <v>1117</v>
      </c>
      <c r="B119" s="2">
        <v>45438.375085336993</v>
      </c>
      <c r="C119" t="s">
        <v>10</v>
      </c>
      <c r="D119" t="s">
        <v>22</v>
      </c>
      <c r="E119" t="s">
        <v>25</v>
      </c>
      <c r="F119">
        <v>4032.32</v>
      </c>
    </row>
    <row r="120" spans="1:6" x14ac:dyDescent="0.35">
      <c r="A120">
        <v>1336</v>
      </c>
      <c r="B120" s="2">
        <v>45438.375085336993</v>
      </c>
      <c r="C120" t="s">
        <v>13</v>
      </c>
      <c r="D120" t="s">
        <v>16</v>
      </c>
      <c r="E120" t="s">
        <v>24</v>
      </c>
      <c r="F120">
        <v>7972.8</v>
      </c>
    </row>
    <row r="121" spans="1:6" x14ac:dyDescent="0.35">
      <c r="A121">
        <v>1110</v>
      </c>
      <c r="B121" s="2">
        <v>45439.375085336993</v>
      </c>
      <c r="C121" t="s">
        <v>8</v>
      </c>
      <c r="D121" t="s">
        <v>16</v>
      </c>
      <c r="E121" t="s">
        <v>24</v>
      </c>
      <c r="F121">
        <v>12599.54</v>
      </c>
    </row>
    <row r="122" spans="1:6" x14ac:dyDescent="0.35">
      <c r="A122">
        <v>1216</v>
      </c>
      <c r="B122" s="2">
        <v>45440.375085336993</v>
      </c>
      <c r="C122" t="s">
        <v>8</v>
      </c>
      <c r="D122" t="s">
        <v>16</v>
      </c>
      <c r="E122" t="s">
        <v>24</v>
      </c>
      <c r="F122">
        <v>2206.52</v>
      </c>
    </row>
    <row r="123" spans="1:6" x14ac:dyDescent="0.35">
      <c r="A123">
        <v>1370</v>
      </c>
      <c r="B123" s="2">
        <v>45440.375085336993</v>
      </c>
      <c r="C123" t="s">
        <v>15</v>
      </c>
      <c r="D123" t="s">
        <v>18</v>
      </c>
      <c r="E123" t="s">
        <v>23</v>
      </c>
      <c r="F123">
        <v>1897.84</v>
      </c>
    </row>
    <row r="124" spans="1:6" x14ac:dyDescent="0.35">
      <c r="A124">
        <v>1124</v>
      </c>
      <c r="B124" s="2">
        <v>45440.375085336993</v>
      </c>
      <c r="C124" t="s">
        <v>12</v>
      </c>
      <c r="D124" t="s">
        <v>17</v>
      </c>
      <c r="E124" t="s">
        <v>23</v>
      </c>
      <c r="F124">
        <v>8891</v>
      </c>
    </row>
    <row r="125" spans="1:6" x14ac:dyDescent="0.35">
      <c r="A125">
        <v>1286</v>
      </c>
      <c r="B125" s="2">
        <v>45441.375085336993</v>
      </c>
      <c r="C125" t="s">
        <v>8</v>
      </c>
      <c r="D125" t="s">
        <v>16</v>
      </c>
      <c r="E125" t="s">
        <v>23</v>
      </c>
      <c r="F125">
        <v>5758.48</v>
      </c>
    </row>
    <row r="126" spans="1:6" x14ac:dyDescent="0.35">
      <c r="A126">
        <v>1263</v>
      </c>
      <c r="B126" s="2">
        <v>45443.375085336993</v>
      </c>
      <c r="C126" t="s">
        <v>14</v>
      </c>
      <c r="D126" t="s">
        <v>19</v>
      </c>
      <c r="E126" t="s">
        <v>25</v>
      </c>
      <c r="F126">
        <v>1230.45</v>
      </c>
    </row>
    <row r="127" spans="1:6" x14ac:dyDescent="0.35">
      <c r="A127">
        <v>1037</v>
      </c>
      <c r="B127" s="2">
        <v>45443.375085336993</v>
      </c>
      <c r="C127" t="s">
        <v>8</v>
      </c>
      <c r="D127" t="s">
        <v>18</v>
      </c>
      <c r="E127" t="s">
        <v>25</v>
      </c>
      <c r="F127">
        <v>10927.78</v>
      </c>
    </row>
    <row r="128" spans="1:6" x14ac:dyDescent="0.35">
      <c r="A128">
        <v>1327</v>
      </c>
      <c r="B128" s="2">
        <v>45443.375085336993</v>
      </c>
      <c r="C128" t="s">
        <v>12</v>
      </c>
      <c r="D128" t="s">
        <v>16</v>
      </c>
      <c r="E128" t="s">
        <v>23</v>
      </c>
      <c r="F128">
        <v>11499.81</v>
      </c>
    </row>
    <row r="129" spans="1:6" x14ac:dyDescent="0.35">
      <c r="A129">
        <v>1044</v>
      </c>
      <c r="B129" s="2">
        <v>45444.375085336993</v>
      </c>
      <c r="C129" t="s">
        <v>12</v>
      </c>
      <c r="D129" t="s">
        <v>17</v>
      </c>
      <c r="E129" t="s">
        <v>25</v>
      </c>
      <c r="F129">
        <v>2231.15</v>
      </c>
    </row>
    <row r="130" spans="1:6" x14ac:dyDescent="0.35">
      <c r="A130">
        <v>1186</v>
      </c>
      <c r="B130" s="2">
        <v>45444.375085336993</v>
      </c>
      <c r="C130" t="s">
        <v>9</v>
      </c>
      <c r="D130" t="s">
        <v>21</v>
      </c>
      <c r="E130" t="s">
        <v>23</v>
      </c>
      <c r="F130">
        <v>2515.79</v>
      </c>
    </row>
    <row r="131" spans="1:6" x14ac:dyDescent="0.35">
      <c r="A131">
        <v>1217</v>
      </c>
      <c r="B131" s="2">
        <v>45444.375085336993</v>
      </c>
      <c r="C131" t="s">
        <v>9</v>
      </c>
      <c r="D131" t="s">
        <v>18</v>
      </c>
      <c r="E131" t="s">
        <v>24</v>
      </c>
      <c r="F131">
        <v>5946.52</v>
      </c>
    </row>
    <row r="132" spans="1:6" x14ac:dyDescent="0.35">
      <c r="A132">
        <v>1327</v>
      </c>
      <c r="B132" s="2">
        <v>45444.375085336993</v>
      </c>
      <c r="C132" t="s">
        <v>9</v>
      </c>
      <c r="D132" t="s">
        <v>19</v>
      </c>
      <c r="E132" t="s">
        <v>24</v>
      </c>
      <c r="F132">
        <v>995.45</v>
      </c>
    </row>
    <row r="133" spans="1:6" x14ac:dyDescent="0.35">
      <c r="A133">
        <v>1122</v>
      </c>
      <c r="B133" s="2">
        <v>45445.375085336993</v>
      </c>
      <c r="C133" t="s">
        <v>9</v>
      </c>
      <c r="D133" t="s">
        <v>17</v>
      </c>
      <c r="E133" t="s">
        <v>23</v>
      </c>
      <c r="F133">
        <v>3059.18</v>
      </c>
    </row>
    <row r="134" spans="1:6" x14ac:dyDescent="0.35">
      <c r="A134">
        <v>1318</v>
      </c>
      <c r="B134" s="2">
        <v>45445.375085336993</v>
      </c>
      <c r="C134" t="s">
        <v>6</v>
      </c>
      <c r="D134" t="s">
        <v>19</v>
      </c>
      <c r="E134" t="s">
        <v>24</v>
      </c>
      <c r="F134">
        <v>3446.54</v>
      </c>
    </row>
    <row r="135" spans="1:6" x14ac:dyDescent="0.35">
      <c r="A135">
        <v>1227</v>
      </c>
      <c r="B135" s="2">
        <v>45445.375085336993</v>
      </c>
      <c r="C135" t="s">
        <v>6</v>
      </c>
      <c r="D135" t="s">
        <v>22</v>
      </c>
      <c r="E135" t="s">
        <v>25</v>
      </c>
      <c r="F135">
        <v>6166.78</v>
      </c>
    </row>
    <row r="136" spans="1:6" x14ac:dyDescent="0.35">
      <c r="A136">
        <v>1304</v>
      </c>
      <c r="B136" s="2">
        <v>45445.375085336993</v>
      </c>
      <c r="C136" t="s">
        <v>12</v>
      </c>
      <c r="D136" t="s">
        <v>21</v>
      </c>
      <c r="E136" t="s">
        <v>24</v>
      </c>
      <c r="F136">
        <v>1825.58</v>
      </c>
    </row>
    <row r="137" spans="1:6" x14ac:dyDescent="0.35">
      <c r="A137">
        <v>1266</v>
      </c>
      <c r="B137" s="2">
        <v>45445.375085336993</v>
      </c>
      <c r="C137" t="s">
        <v>12</v>
      </c>
      <c r="D137" t="s">
        <v>18</v>
      </c>
      <c r="E137" t="s">
        <v>25</v>
      </c>
      <c r="F137">
        <v>2909.8</v>
      </c>
    </row>
    <row r="138" spans="1:6" x14ac:dyDescent="0.35">
      <c r="A138">
        <v>1343</v>
      </c>
      <c r="B138" s="2">
        <v>45446.375085336993</v>
      </c>
      <c r="C138" t="s">
        <v>7</v>
      </c>
      <c r="D138" t="s">
        <v>18</v>
      </c>
      <c r="E138" t="s">
        <v>23</v>
      </c>
      <c r="F138">
        <v>1907.43</v>
      </c>
    </row>
    <row r="139" spans="1:6" x14ac:dyDescent="0.35">
      <c r="A139">
        <v>1253</v>
      </c>
      <c r="B139" s="2">
        <v>45446.375085336993</v>
      </c>
      <c r="C139" t="s">
        <v>12</v>
      </c>
      <c r="D139" t="s">
        <v>20</v>
      </c>
      <c r="E139" t="s">
        <v>24</v>
      </c>
      <c r="F139">
        <v>7166.5</v>
      </c>
    </row>
    <row r="140" spans="1:6" x14ac:dyDescent="0.35">
      <c r="A140">
        <v>1018</v>
      </c>
      <c r="B140" s="2">
        <v>45446.375085336993</v>
      </c>
      <c r="C140" t="s">
        <v>7</v>
      </c>
      <c r="D140" t="s">
        <v>17</v>
      </c>
      <c r="E140" t="s">
        <v>24</v>
      </c>
      <c r="F140">
        <v>443.07</v>
      </c>
    </row>
    <row r="141" spans="1:6" x14ac:dyDescent="0.35">
      <c r="A141">
        <v>1094</v>
      </c>
      <c r="B141" s="2">
        <v>45446.375085336993</v>
      </c>
      <c r="C141" t="s">
        <v>9</v>
      </c>
      <c r="D141" t="s">
        <v>20</v>
      </c>
      <c r="E141" t="s">
        <v>25</v>
      </c>
      <c r="F141">
        <v>6162.83</v>
      </c>
    </row>
    <row r="142" spans="1:6" x14ac:dyDescent="0.35">
      <c r="A142">
        <v>1340</v>
      </c>
      <c r="B142" s="2">
        <v>45446.375085336993</v>
      </c>
      <c r="C142" t="s">
        <v>14</v>
      </c>
      <c r="D142" t="s">
        <v>22</v>
      </c>
      <c r="E142" t="s">
        <v>23</v>
      </c>
      <c r="F142">
        <v>389.12</v>
      </c>
    </row>
    <row r="143" spans="1:6" x14ac:dyDescent="0.35">
      <c r="A143">
        <v>1398</v>
      </c>
      <c r="B143" s="2">
        <v>45446.375085336993</v>
      </c>
      <c r="C143" t="s">
        <v>14</v>
      </c>
      <c r="D143" t="s">
        <v>19</v>
      </c>
      <c r="E143" t="s">
        <v>23</v>
      </c>
      <c r="F143">
        <v>5843.07</v>
      </c>
    </row>
    <row r="144" spans="1:6" x14ac:dyDescent="0.35">
      <c r="A144">
        <v>1038</v>
      </c>
      <c r="B144" s="2">
        <v>45446.375085336993</v>
      </c>
      <c r="C144" t="s">
        <v>9</v>
      </c>
      <c r="D144" t="s">
        <v>19</v>
      </c>
      <c r="E144" t="s">
        <v>25</v>
      </c>
      <c r="F144">
        <v>5942.58</v>
      </c>
    </row>
    <row r="145" spans="1:6" x14ac:dyDescent="0.35">
      <c r="A145">
        <v>1041</v>
      </c>
      <c r="B145" s="2">
        <v>45447.375085336993</v>
      </c>
      <c r="C145" t="s">
        <v>14</v>
      </c>
      <c r="D145" t="s">
        <v>18</v>
      </c>
      <c r="E145" t="s">
        <v>24</v>
      </c>
      <c r="F145">
        <v>1503.57</v>
      </c>
    </row>
    <row r="146" spans="1:6" x14ac:dyDescent="0.35">
      <c r="A146">
        <v>1192</v>
      </c>
      <c r="B146" s="2">
        <v>45448.375085336993</v>
      </c>
      <c r="C146" t="s">
        <v>7</v>
      </c>
      <c r="D146" t="s">
        <v>20</v>
      </c>
      <c r="E146" t="s">
        <v>25</v>
      </c>
      <c r="F146">
        <v>6685.87</v>
      </c>
    </row>
    <row r="147" spans="1:6" x14ac:dyDescent="0.35">
      <c r="A147">
        <v>1230</v>
      </c>
      <c r="B147" s="2">
        <v>45448.375085336993</v>
      </c>
      <c r="C147" t="s">
        <v>9</v>
      </c>
      <c r="D147" t="s">
        <v>21</v>
      </c>
      <c r="E147" t="s">
        <v>24</v>
      </c>
      <c r="F147">
        <v>6447.82</v>
      </c>
    </row>
    <row r="148" spans="1:6" x14ac:dyDescent="0.35">
      <c r="A148">
        <v>1203</v>
      </c>
      <c r="B148" s="2">
        <v>45448.375085336993</v>
      </c>
      <c r="C148" t="s">
        <v>9</v>
      </c>
      <c r="D148" t="s">
        <v>17</v>
      </c>
      <c r="E148" t="s">
        <v>25</v>
      </c>
      <c r="F148">
        <v>1201.46</v>
      </c>
    </row>
    <row r="149" spans="1:6" x14ac:dyDescent="0.35">
      <c r="A149">
        <v>1164</v>
      </c>
      <c r="B149" s="2">
        <v>45448.375085336993</v>
      </c>
      <c r="C149" t="s">
        <v>14</v>
      </c>
      <c r="D149" t="s">
        <v>20</v>
      </c>
      <c r="E149" t="s">
        <v>25</v>
      </c>
      <c r="F149">
        <v>6979.66</v>
      </c>
    </row>
    <row r="150" spans="1:6" x14ac:dyDescent="0.35">
      <c r="A150">
        <v>1142</v>
      </c>
      <c r="B150" s="2">
        <v>45449.375085336993</v>
      </c>
      <c r="C150" t="s">
        <v>9</v>
      </c>
      <c r="D150" t="s">
        <v>22</v>
      </c>
      <c r="E150" t="s">
        <v>23</v>
      </c>
      <c r="F150">
        <v>3862.76</v>
      </c>
    </row>
    <row r="151" spans="1:6" x14ac:dyDescent="0.35">
      <c r="A151">
        <v>1197</v>
      </c>
      <c r="B151" s="2">
        <v>45449.375085336993</v>
      </c>
      <c r="C151" t="s">
        <v>15</v>
      </c>
      <c r="D151" t="s">
        <v>16</v>
      </c>
      <c r="E151" t="s">
        <v>25</v>
      </c>
      <c r="F151">
        <v>3260.65</v>
      </c>
    </row>
    <row r="152" spans="1:6" x14ac:dyDescent="0.35">
      <c r="A152">
        <v>1309</v>
      </c>
      <c r="B152" s="2">
        <v>45449.375085336993</v>
      </c>
      <c r="C152" t="s">
        <v>15</v>
      </c>
      <c r="D152" t="s">
        <v>20</v>
      </c>
      <c r="E152" t="s">
        <v>25</v>
      </c>
      <c r="F152">
        <v>5996.76</v>
      </c>
    </row>
    <row r="153" spans="1:6" x14ac:dyDescent="0.35">
      <c r="A153">
        <v>1212</v>
      </c>
      <c r="B153" s="2">
        <v>45449.375085336993</v>
      </c>
      <c r="C153" t="s">
        <v>14</v>
      </c>
      <c r="D153" t="s">
        <v>19</v>
      </c>
      <c r="E153" t="s">
        <v>25</v>
      </c>
      <c r="F153">
        <v>410.07</v>
      </c>
    </row>
    <row r="154" spans="1:6" x14ac:dyDescent="0.35">
      <c r="A154">
        <v>1373</v>
      </c>
      <c r="B154" s="2">
        <v>45449.375085336993</v>
      </c>
      <c r="C154" t="s">
        <v>10</v>
      </c>
      <c r="D154" t="s">
        <v>20</v>
      </c>
      <c r="E154" t="s">
        <v>25</v>
      </c>
      <c r="F154">
        <v>3441.29</v>
      </c>
    </row>
    <row r="155" spans="1:6" x14ac:dyDescent="0.35">
      <c r="A155">
        <v>1170</v>
      </c>
      <c r="B155" s="2">
        <v>45449.375085336993</v>
      </c>
      <c r="C155" t="s">
        <v>6</v>
      </c>
      <c r="D155" t="s">
        <v>19</v>
      </c>
      <c r="E155" t="s">
        <v>24</v>
      </c>
      <c r="F155">
        <v>4475.55</v>
      </c>
    </row>
    <row r="156" spans="1:6" x14ac:dyDescent="0.35">
      <c r="A156">
        <v>1205</v>
      </c>
      <c r="B156" s="2">
        <v>45450.375085336993</v>
      </c>
      <c r="C156" t="s">
        <v>10</v>
      </c>
      <c r="D156" t="s">
        <v>19</v>
      </c>
      <c r="E156" t="s">
        <v>23</v>
      </c>
      <c r="F156">
        <v>8411.81</v>
      </c>
    </row>
    <row r="157" spans="1:6" x14ac:dyDescent="0.35">
      <c r="A157">
        <v>1127</v>
      </c>
      <c r="B157" s="2">
        <v>45450.375085336993</v>
      </c>
      <c r="C157" t="s">
        <v>8</v>
      </c>
      <c r="D157" t="s">
        <v>20</v>
      </c>
      <c r="E157" t="s">
        <v>24</v>
      </c>
      <c r="F157">
        <v>7614.89</v>
      </c>
    </row>
    <row r="158" spans="1:6" x14ac:dyDescent="0.35">
      <c r="A158">
        <v>1257</v>
      </c>
      <c r="B158" s="2">
        <v>45450.375085336993</v>
      </c>
      <c r="C158" t="s">
        <v>8</v>
      </c>
      <c r="D158" t="s">
        <v>20</v>
      </c>
      <c r="E158" t="s">
        <v>23</v>
      </c>
      <c r="F158">
        <v>55.04</v>
      </c>
    </row>
    <row r="159" spans="1:6" x14ac:dyDescent="0.35">
      <c r="A159">
        <v>1389</v>
      </c>
      <c r="B159" s="2">
        <v>45450.375085336993</v>
      </c>
      <c r="C159" t="s">
        <v>8</v>
      </c>
      <c r="D159" t="s">
        <v>20</v>
      </c>
      <c r="E159" t="s">
        <v>24</v>
      </c>
      <c r="F159">
        <v>8002.28</v>
      </c>
    </row>
    <row r="160" spans="1:6" x14ac:dyDescent="0.35">
      <c r="A160">
        <v>1254</v>
      </c>
      <c r="B160" s="2">
        <v>45450.375085336993</v>
      </c>
      <c r="C160" t="s">
        <v>9</v>
      </c>
      <c r="D160" t="s">
        <v>18</v>
      </c>
      <c r="E160" t="s">
        <v>25</v>
      </c>
      <c r="F160">
        <v>3100.95</v>
      </c>
    </row>
    <row r="161" spans="1:6" x14ac:dyDescent="0.35">
      <c r="A161">
        <v>1244</v>
      </c>
      <c r="B161" s="2">
        <v>45451.375085336993</v>
      </c>
      <c r="C161" t="s">
        <v>6</v>
      </c>
      <c r="D161" t="s">
        <v>16</v>
      </c>
      <c r="E161" t="s">
        <v>24</v>
      </c>
      <c r="F161">
        <v>1873.14</v>
      </c>
    </row>
    <row r="162" spans="1:6" x14ac:dyDescent="0.35">
      <c r="A162">
        <v>1318</v>
      </c>
      <c r="B162" s="2">
        <v>45452.375085336993</v>
      </c>
      <c r="C162" t="s">
        <v>7</v>
      </c>
      <c r="D162" t="s">
        <v>22</v>
      </c>
      <c r="E162" t="s">
        <v>24</v>
      </c>
      <c r="F162">
        <v>2171.9</v>
      </c>
    </row>
    <row r="163" spans="1:6" x14ac:dyDescent="0.35">
      <c r="A163">
        <v>1050</v>
      </c>
      <c r="B163" s="2">
        <v>45452.375085336993</v>
      </c>
      <c r="C163" t="s">
        <v>9</v>
      </c>
      <c r="D163" t="s">
        <v>19</v>
      </c>
      <c r="E163" t="s">
        <v>23</v>
      </c>
      <c r="F163">
        <v>437.69</v>
      </c>
    </row>
    <row r="164" spans="1:6" x14ac:dyDescent="0.35">
      <c r="A164">
        <v>1276</v>
      </c>
      <c r="B164" s="2">
        <v>45452.375085336993</v>
      </c>
      <c r="C164" t="s">
        <v>13</v>
      </c>
      <c r="D164" t="s">
        <v>18</v>
      </c>
      <c r="E164" t="s">
        <v>24</v>
      </c>
      <c r="F164">
        <v>1971.22</v>
      </c>
    </row>
    <row r="165" spans="1:6" x14ac:dyDescent="0.35">
      <c r="A165">
        <v>1262</v>
      </c>
      <c r="B165" s="2">
        <v>45452.375085336993</v>
      </c>
      <c r="C165" t="s">
        <v>8</v>
      </c>
      <c r="D165" t="s">
        <v>21</v>
      </c>
      <c r="E165" t="s">
        <v>23</v>
      </c>
      <c r="F165">
        <v>1366.83</v>
      </c>
    </row>
    <row r="166" spans="1:6" x14ac:dyDescent="0.35">
      <c r="A166">
        <v>1359</v>
      </c>
      <c r="B166" s="2">
        <v>45452.375085336993</v>
      </c>
      <c r="C166" t="s">
        <v>12</v>
      </c>
      <c r="D166" t="s">
        <v>21</v>
      </c>
      <c r="E166" t="s">
        <v>23</v>
      </c>
      <c r="F166">
        <v>1046.7</v>
      </c>
    </row>
    <row r="167" spans="1:6" x14ac:dyDescent="0.35">
      <c r="A167">
        <v>1152</v>
      </c>
      <c r="B167" s="2">
        <v>45453.375085336993</v>
      </c>
      <c r="C167" t="s">
        <v>7</v>
      </c>
      <c r="D167" t="s">
        <v>17</v>
      </c>
      <c r="E167" t="s">
        <v>25</v>
      </c>
      <c r="F167">
        <v>2179.54</v>
      </c>
    </row>
    <row r="168" spans="1:6" x14ac:dyDescent="0.35">
      <c r="A168">
        <v>1010</v>
      </c>
      <c r="B168" s="2">
        <v>45453.375085336993</v>
      </c>
      <c r="C168" t="s">
        <v>8</v>
      </c>
      <c r="D168" t="s">
        <v>18</v>
      </c>
      <c r="E168" t="s">
        <v>24</v>
      </c>
      <c r="F168">
        <v>4735.92</v>
      </c>
    </row>
    <row r="169" spans="1:6" x14ac:dyDescent="0.35">
      <c r="A169">
        <v>1196</v>
      </c>
      <c r="B169" s="2">
        <v>45453.375085336993</v>
      </c>
      <c r="C169" t="s">
        <v>15</v>
      </c>
      <c r="D169" t="s">
        <v>22</v>
      </c>
      <c r="E169" t="s">
        <v>25</v>
      </c>
      <c r="F169">
        <v>6094.64</v>
      </c>
    </row>
    <row r="170" spans="1:6" x14ac:dyDescent="0.35">
      <c r="A170">
        <v>1001</v>
      </c>
      <c r="B170" s="2">
        <v>45453.375085336993</v>
      </c>
      <c r="C170" t="s">
        <v>13</v>
      </c>
      <c r="D170" t="s">
        <v>19</v>
      </c>
      <c r="E170" t="s">
        <v>24</v>
      </c>
      <c r="F170">
        <v>7329.48</v>
      </c>
    </row>
    <row r="171" spans="1:6" x14ac:dyDescent="0.35">
      <c r="A171">
        <v>1268</v>
      </c>
      <c r="B171" s="2">
        <v>45453.375085336993</v>
      </c>
      <c r="C171" t="s">
        <v>7</v>
      </c>
      <c r="D171" t="s">
        <v>18</v>
      </c>
      <c r="E171" t="s">
        <v>23</v>
      </c>
      <c r="F171">
        <v>4684.7299999999996</v>
      </c>
    </row>
    <row r="172" spans="1:6" x14ac:dyDescent="0.35">
      <c r="A172">
        <v>1095</v>
      </c>
      <c r="B172" s="2">
        <v>45454.375085336993</v>
      </c>
      <c r="C172" t="s">
        <v>11</v>
      </c>
      <c r="D172" t="s">
        <v>16</v>
      </c>
      <c r="E172" t="s">
        <v>23</v>
      </c>
      <c r="F172">
        <v>1903.07</v>
      </c>
    </row>
    <row r="173" spans="1:6" x14ac:dyDescent="0.35">
      <c r="A173">
        <v>1301</v>
      </c>
      <c r="B173" s="2">
        <v>45454.375085336993</v>
      </c>
      <c r="C173" t="s">
        <v>7</v>
      </c>
      <c r="D173" t="s">
        <v>17</v>
      </c>
      <c r="E173" t="s">
        <v>23</v>
      </c>
      <c r="F173">
        <v>3279.15</v>
      </c>
    </row>
    <row r="174" spans="1:6" x14ac:dyDescent="0.35">
      <c r="A174">
        <v>1023</v>
      </c>
      <c r="B174" s="2">
        <v>45454.375085336993</v>
      </c>
      <c r="C174" t="s">
        <v>14</v>
      </c>
      <c r="D174" t="s">
        <v>17</v>
      </c>
      <c r="E174" t="s">
        <v>24</v>
      </c>
      <c r="F174">
        <v>4175.9399999999996</v>
      </c>
    </row>
    <row r="175" spans="1:6" x14ac:dyDescent="0.35">
      <c r="A175">
        <v>1205</v>
      </c>
      <c r="B175" s="2">
        <v>45454.375085336993</v>
      </c>
      <c r="C175" t="s">
        <v>15</v>
      </c>
      <c r="D175" t="s">
        <v>17</v>
      </c>
      <c r="E175" t="s">
        <v>23</v>
      </c>
      <c r="F175">
        <v>2890.76</v>
      </c>
    </row>
    <row r="176" spans="1:6" x14ac:dyDescent="0.35">
      <c r="A176">
        <v>1188</v>
      </c>
      <c r="B176" s="2">
        <v>45454.375085336993</v>
      </c>
      <c r="C176" t="s">
        <v>12</v>
      </c>
      <c r="D176" t="s">
        <v>16</v>
      </c>
      <c r="E176" t="s">
        <v>24</v>
      </c>
      <c r="F176">
        <v>5260.45</v>
      </c>
    </row>
    <row r="177" spans="1:6" x14ac:dyDescent="0.35">
      <c r="A177">
        <v>1228</v>
      </c>
      <c r="B177" s="2">
        <v>45454.375085336993</v>
      </c>
      <c r="C177" t="s">
        <v>15</v>
      </c>
      <c r="D177" t="s">
        <v>22</v>
      </c>
      <c r="E177" t="s">
        <v>24</v>
      </c>
      <c r="F177">
        <v>6021.4</v>
      </c>
    </row>
    <row r="178" spans="1:6" x14ac:dyDescent="0.35">
      <c r="A178">
        <v>1077</v>
      </c>
      <c r="B178" s="2">
        <v>45454.375085336993</v>
      </c>
      <c r="C178" t="s">
        <v>6</v>
      </c>
      <c r="D178" t="s">
        <v>20</v>
      </c>
      <c r="E178" t="s">
        <v>23</v>
      </c>
      <c r="F178">
        <v>4427.26</v>
      </c>
    </row>
    <row r="179" spans="1:6" x14ac:dyDescent="0.35">
      <c r="A179">
        <v>1351</v>
      </c>
      <c r="B179" s="2">
        <v>45455.375085336993</v>
      </c>
      <c r="C179" t="s">
        <v>10</v>
      </c>
      <c r="D179" t="s">
        <v>16</v>
      </c>
      <c r="E179" t="s">
        <v>25</v>
      </c>
      <c r="F179">
        <v>7983.15</v>
      </c>
    </row>
    <row r="180" spans="1:6" x14ac:dyDescent="0.35">
      <c r="A180">
        <v>1187</v>
      </c>
      <c r="B180" s="2">
        <v>45455.375085336993</v>
      </c>
      <c r="C180" t="s">
        <v>7</v>
      </c>
      <c r="D180" t="s">
        <v>20</v>
      </c>
      <c r="E180" t="s">
        <v>25</v>
      </c>
      <c r="F180">
        <v>6304.55</v>
      </c>
    </row>
    <row r="181" spans="1:6" x14ac:dyDescent="0.35">
      <c r="A181">
        <v>1352</v>
      </c>
      <c r="B181" s="2">
        <v>45455.375085336993</v>
      </c>
      <c r="C181" t="s">
        <v>7</v>
      </c>
      <c r="D181" t="s">
        <v>21</v>
      </c>
      <c r="E181" t="s">
        <v>24</v>
      </c>
      <c r="F181">
        <v>8482.3700000000008</v>
      </c>
    </row>
    <row r="182" spans="1:6" x14ac:dyDescent="0.35">
      <c r="A182">
        <v>1383</v>
      </c>
      <c r="B182" s="2">
        <v>45455.375085336993</v>
      </c>
      <c r="C182" t="s">
        <v>7</v>
      </c>
      <c r="D182" t="s">
        <v>16</v>
      </c>
      <c r="E182" t="s">
        <v>23</v>
      </c>
      <c r="F182">
        <v>5043.3999999999996</v>
      </c>
    </row>
    <row r="183" spans="1:6" x14ac:dyDescent="0.35">
      <c r="A183">
        <v>1200</v>
      </c>
      <c r="B183" s="2">
        <v>45455.375085336993</v>
      </c>
      <c r="C183" t="s">
        <v>15</v>
      </c>
      <c r="D183" t="s">
        <v>20</v>
      </c>
      <c r="E183" t="s">
        <v>23</v>
      </c>
      <c r="F183">
        <v>4248.8999999999996</v>
      </c>
    </row>
    <row r="184" spans="1:6" x14ac:dyDescent="0.35">
      <c r="A184">
        <v>1315</v>
      </c>
      <c r="B184" s="2">
        <v>45455.375085336993</v>
      </c>
      <c r="C184" t="s">
        <v>9</v>
      </c>
      <c r="D184" t="s">
        <v>18</v>
      </c>
      <c r="E184" t="s">
        <v>24</v>
      </c>
      <c r="F184">
        <v>4703.8100000000004</v>
      </c>
    </row>
    <row r="185" spans="1:6" x14ac:dyDescent="0.35">
      <c r="A185">
        <v>1039</v>
      </c>
      <c r="B185" s="2">
        <v>45457.375085336993</v>
      </c>
      <c r="C185" t="s">
        <v>13</v>
      </c>
      <c r="D185" t="s">
        <v>20</v>
      </c>
      <c r="E185" t="s">
        <v>25</v>
      </c>
      <c r="F185">
        <v>3211.08</v>
      </c>
    </row>
    <row r="186" spans="1:6" x14ac:dyDescent="0.35">
      <c r="A186">
        <v>1033</v>
      </c>
      <c r="B186" s="2">
        <v>45458.375085336993</v>
      </c>
      <c r="C186" t="s">
        <v>11</v>
      </c>
      <c r="D186" t="s">
        <v>18</v>
      </c>
      <c r="E186" t="s">
        <v>24</v>
      </c>
      <c r="F186">
        <v>4203.72</v>
      </c>
    </row>
    <row r="187" spans="1:6" x14ac:dyDescent="0.35">
      <c r="A187">
        <v>1183</v>
      </c>
      <c r="B187" s="2">
        <v>45458.375085336993</v>
      </c>
      <c r="C187" t="s">
        <v>15</v>
      </c>
      <c r="D187" t="s">
        <v>16</v>
      </c>
      <c r="E187" t="s">
        <v>23</v>
      </c>
      <c r="F187">
        <v>5398.96</v>
      </c>
    </row>
    <row r="188" spans="1:6" x14ac:dyDescent="0.35">
      <c r="A188">
        <v>1069</v>
      </c>
      <c r="B188" s="2">
        <v>45458.375085336993</v>
      </c>
      <c r="C188" t="s">
        <v>13</v>
      </c>
      <c r="D188" t="s">
        <v>17</v>
      </c>
      <c r="E188" t="s">
        <v>23</v>
      </c>
      <c r="F188">
        <v>3793.51</v>
      </c>
    </row>
    <row r="189" spans="1:6" x14ac:dyDescent="0.35">
      <c r="A189">
        <v>1270</v>
      </c>
      <c r="B189" s="2">
        <v>45458.375085336993</v>
      </c>
      <c r="C189" t="s">
        <v>12</v>
      </c>
      <c r="D189" t="s">
        <v>18</v>
      </c>
      <c r="E189" t="s">
        <v>23</v>
      </c>
      <c r="F189">
        <v>1619.62</v>
      </c>
    </row>
    <row r="190" spans="1:6" x14ac:dyDescent="0.35">
      <c r="A190">
        <v>1265</v>
      </c>
      <c r="B190" s="2">
        <v>45459.375085336993</v>
      </c>
      <c r="C190" t="s">
        <v>6</v>
      </c>
      <c r="D190" t="s">
        <v>20</v>
      </c>
      <c r="E190" t="s">
        <v>23</v>
      </c>
      <c r="F190">
        <v>1668.24</v>
      </c>
    </row>
    <row r="191" spans="1:6" x14ac:dyDescent="0.35">
      <c r="A191">
        <v>1173</v>
      </c>
      <c r="B191" s="2">
        <v>45459.375085336993</v>
      </c>
      <c r="C191" t="s">
        <v>10</v>
      </c>
      <c r="D191" t="s">
        <v>19</v>
      </c>
      <c r="E191" t="s">
        <v>25</v>
      </c>
      <c r="F191">
        <v>4757.49</v>
      </c>
    </row>
    <row r="192" spans="1:6" x14ac:dyDescent="0.35">
      <c r="A192">
        <v>1152</v>
      </c>
      <c r="B192" s="2">
        <v>45459.375085336993</v>
      </c>
      <c r="C192" t="s">
        <v>13</v>
      </c>
      <c r="D192" t="s">
        <v>17</v>
      </c>
      <c r="E192" t="s">
        <v>25</v>
      </c>
      <c r="F192">
        <v>3621.72</v>
      </c>
    </row>
    <row r="193" spans="1:6" x14ac:dyDescent="0.35">
      <c r="A193">
        <v>1288</v>
      </c>
      <c r="B193" s="2">
        <v>45459.375085336993</v>
      </c>
      <c r="C193" t="s">
        <v>12</v>
      </c>
      <c r="D193" t="s">
        <v>18</v>
      </c>
      <c r="E193" t="s">
        <v>25</v>
      </c>
      <c r="F193">
        <v>4471.75</v>
      </c>
    </row>
    <row r="194" spans="1:6" x14ac:dyDescent="0.35">
      <c r="A194">
        <v>1102</v>
      </c>
      <c r="B194" s="2">
        <v>45460.375085336993</v>
      </c>
      <c r="C194" t="s">
        <v>6</v>
      </c>
      <c r="D194" t="s">
        <v>18</v>
      </c>
      <c r="E194" t="s">
        <v>23</v>
      </c>
      <c r="F194">
        <v>2162.16</v>
      </c>
    </row>
    <row r="195" spans="1:6" x14ac:dyDescent="0.35">
      <c r="A195">
        <v>1323</v>
      </c>
      <c r="B195" s="2">
        <v>45460.375085336993</v>
      </c>
      <c r="C195" t="s">
        <v>6</v>
      </c>
      <c r="D195" t="s">
        <v>17</v>
      </c>
      <c r="E195" t="s">
        <v>24</v>
      </c>
      <c r="F195">
        <v>423.83</v>
      </c>
    </row>
    <row r="196" spans="1:6" x14ac:dyDescent="0.35">
      <c r="A196">
        <v>1113</v>
      </c>
      <c r="B196" s="2">
        <v>45461.375085336993</v>
      </c>
      <c r="C196" t="s">
        <v>12</v>
      </c>
      <c r="D196" t="s">
        <v>16</v>
      </c>
      <c r="E196" t="s">
        <v>25</v>
      </c>
      <c r="F196">
        <v>1877.81</v>
      </c>
    </row>
    <row r="197" spans="1:6" x14ac:dyDescent="0.35">
      <c r="A197">
        <v>1109</v>
      </c>
      <c r="B197" s="2">
        <v>45461.375085336993</v>
      </c>
      <c r="C197" t="s">
        <v>9</v>
      </c>
      <c r="D197" t="s">
        <v>22</v>
      </c>
      <c r="E197" t="s">
        <v>24</v>
      </c>
      <c r="F197">
        <v>1321.69</v>
      </c>
    </row>
    <row r="198" spans="1:6" x14ac:dyDescent="0.35">
      <c r="A198">
        <v>1306</v>
      </c>
      <c r="B198" s="2">
        <v>45461.375085336993</v>
      </c>
      <c r="C198" t="s">
        <v>12</v>
      </c>
      <c r="D198" t="s">
        <v>17</v>
      </c>
      <c r="E198" t="s">
        <v>25</v>
      </c>
      <c r="F198">
        <v>3058.73</v>
      </c>
    </row>
    <row r="199" spans="1:6" x14ac:dyDescent="0.35">
      <c r="A199">
        <v>1186</v>
      </c>
      <c r="B199" s="2">
        <v>45462.375085336993</v>
      </c>
      <c r="C199" t="s">
        <v>6</v>
      </c>
      <c r="D199" t="s">
        <v>20</v>
      </c>
      <c r="E199" t="s">
        <v>25</v>
      </c>
      <c r="F199">
        <v>4187.8500000000004</v>
      </c>
    </row>
    <row r="200" spans="1:6" x14ac:dyDescent="0.35">
      <c r="A200">
        <v>1005</v>
      </c>
      <c r="B200" s="2">
        <v>45462.375085336993</v>
      </c>
      <c r="C200" t="s">
        <v>8</v>
      </c>
      <c r="D200" t="s">
        <v>20</v>
      </c>
      <c r="E200" t="s">
        <v>25</v>
      </c>
      <c r="F200">
        <v>7192.84</v>
      </c>
    </row>
    <row r="201" spans="1:6" x14ac:dyDescent="0.35">
      <c r="A201">
        <v>1026</v>
      </c>
      <c r="B201" s="2">
        <v>45462.375085336993</v>
      </c>
      <c r="C201" t="s">
        <v>14</v>
      </c>
      <c r="D201" t="s">
        <v>16</v>
      </c>
      <c r="E201" t="s">
        <v>23</v>
      </c>
      <c r="F201">
        <v>3385.73</v>
      </c>
    </row>
    <row r="202" spans="1:6" x14ac:dyDescent="0.35">
      <c r="A202">
        <v>1250</v>
      </c>
      <c r="B202" s="2">
        <v>45463.375085336993</v>
      </c>
      <c r="C202" t="s">
        <v>13</v>
      </c>
      <c r="D202" t="s">
        <v>19</v>
      </c>
      <c r="E202" t="s">
        <v>24</v>
      </c>
      <c r="F202">
        <v>1134.49</v>
      </c>
    </row>
    <row r="203" spans="1:6" x14ac:dyDescent="0.35">
      <c r="A203">
        <v>1325</v>
      </c>
      <c r="B203" s="2">
        <v>45463.375085336993</v>
      </c>
      <c r="C203" t="s">
        <v>10</v>
      </c>
      <c r="D203" t="s">
        <v>18</v>
      </c>
      <c r="E203" t="s">
        <v>25</v>
      </c>
      <c r="F203">
        <v>4014.39</v>
      </c>
    </row>
    <row r="204" spans="1:6" x14ac:dyDescent="0.35">
      <c r="A204">
        <v>1306</v>
      </c>
      <c r="B204" s="2">
        <v>45463.375085336993</v>
      </c>
      <c r="C204" t="s">
        <v>7</v>
      </c>
      <c r="D204" t="s">
        <v>17</v>
      </c>
      <c r="E204" t="s">
        <v>24</v>
      </c>
      <c r="F204">
        <v>9416.25</v>
      </c>
    </row>
    <row r="205" spans="1:6" x14ac:dyDescent="0.35">
      <c r="A205">
        <v>1375</v>
      </c>
      <c r="B205" s="2">
        <v>45463.375085336993</v>
      </c>
      <c r="C205" t="s">
        <v>6</v>
      </c>
      <c r="D205" t="s">
        <v>17</v>
      </c>
      <c r="E205" t="s">
        <v>23</v>
      </c>
      <c r="F205">
        <v>4111.53</v>
      </c>
    </row>
    <row r="206" spans="1:6" x14ac:dyDescent="0.35">
      <c r="A206">
        <v>1008</v>
      </c>
      <c r="B206" s="2">
        <v>45464.375085336993</v>
      </c>
      <c r="C206" t="s">
        <v>14</v>
      </c>
      <c r="D206" t="s">
        <v>19</v>
      </c>
      <c r="E206" t="s">
        <v>25</v>
      </c>
      <c r="F206">
        <v>3754.65</v>
      </c>
    </row>
    <row r="207" spans="1:6" x14ac:dyDescent="0.35">
      <c r="A207">
        <v>1182</v>
      </c>
      <c r="B207" s="2">
        <v>45464.375085336993</v>
      </c>
      <c r="C207" t="s">
        <v>8</v>
      </c>
      <c r="D207" t="s">
        <v>21</v>
      </c>
      <c r="E207" t="s">
        <v>23</v>
      </c>
      <c r="F207">
        <v>160.81</v>
      </c>
    </row>
    <row r="208" spans="1:6" x14ac:dyDescent="0.35">
      <c r="A208">
        <v>1159</v>
      </c>
      <c r="B208" s="2">
        <v>45464.375085336993</v>
      </c>
      <c r="C208" t="s">
        <v>12</v>
      </c>
      <c r="D208" t="s">
        <v>21</v>
      </c>
      <c r="E208" t="s">
        <v>24</v>
      </c>
      <c r="F208">
        <v>3396.12</v>
      </c>
    </row>
    <row r="209" spans="1:6" x14ac:dyDescent="0.35">
      <c r="A209">
        <v>1009</v>
      </c>
      <c r="B209" s="2">
        <v>45464.375085336993</v>
      </c>
      <c r="C209" t="s">
        <v>14</v>
      </c>
      <c r="D209" t="s">
        <v>16</v>
      </c>
      <c r="E209" t="s">
        <v>25</v>
      </c>
      <c r="F209">
        <v>1738.61</v>
      </c>
    </row>
    <row r="210" spans="1:6" x14ac:dyDescent="0.35">
      <c r="A210">
        <v>1374</v>
      </c>
      <c r="B210" s="2">
        <v>45464.375085336993</v>
      </c>
      <c r="C210" t="s">
        <v>13</v>
      </c>
      <c r="D210" t="s">
        <v>18</v>
      </c>
      <c r="E210" t="s">
        <v>24</v>
      </c>
      <c r="F210">
        <v>2873.04</v>
      </c>
    </row>
    <row r="211" spans="1:6" x14ac:dyDescent="0.35">
      <c r="A211">
        <v>1363</v>
      </c>
      <c r="B211" s="2">
        <v>45464.375085336993</v>
      </c>
      <c r="C211" t="s">
        <v>13</v>
      </c>
      <c r="D211" t="s">
        <v>16</v>
      </c>
      <c r="E211" t="s">
        <v>25</v>
      </c>
      <c r="F211">
        <v>3297.01</v>
      </c>
    </row>
    <row r="212" spans="1:6" x14ac:dyDescent="0.35">
      <c r="A212">
        <v>1174</v>
      </c>
      <c r="B212" s="2">
        <v>45464.375085336993</v>
      </c>
      <c r="C212" t="s">
        <v>7</v>
      </c>
      <c r="D212" t="s">
        <v>22</v>
      </c>
      <c r="E212" t="s">
        <v>25</v>
      </c>
      <c r="F212">
        <v>2903.17</v>
      </c>
    </row>
    <row r="213" spans="1:6" x14ac:dyDescent="0.35">
      <c r="A213">
        <v>1243</v>
      </c>
      <c r="B213" s="2">
        <v>45464.375085336993</v>
      </c>
      <c r="C213" t="s">
        <v>15</v>
      </c>
      <c r="D213" t="s">
        <v>19</v>
      </c>
      <c r="E213" t="s">
        <v>23</v>
      </c>
      <c r="F213">
        <v>1298.53</v>
      </c>
    </row>
    <row r="214" spans="1:6" x14ac:dyDescent="0.35">
      <c r="A214">
        <v>1368</v>
      </c>
      <c r="B214" s="2">
        <v>45465.375085336993</v>
      </c>
      <c r="C214" t="s">
        <v>12</v>
      </c>
      <c r="D214" t="s">
        <v>17</v>
      </c>
      <c r="E214" t="s">
        <v>24</v>
      </c>
      <c r="F214">
        <v>6215.76</v>
      </c>
    </row>
    <row r="215" spans="1:6" x14ac:dyDescent="0.35">
      <c r="A215">
        <v>1121</v>
      </c>
      <c r="B215" s="2">
        <v>45465.375085336993</v>
      </c>
      <c r="C215" t="s">
        <v>9</v>
      </c>
      <c r="D215" t="s">
        <v>16</v>
      </c>
      <c r="E215" t="s">
        <v>23</v>
      </c>
      <c r="F215">
        <v>1908.19</v>
      </c>
    </row>
    <row r="216" spans="1:6" x14ac:dyDescent="0.35">
      <c r="A216">
        <v>1307</v>
      </c>
      <c r="B216" s="2">
        <v>45465.375085336993</v>
      </c>
      <c r="C216" t="s">
        <v>12</v>
      </c>
      <c r="D216" t="s">
        <v>17</v>
      </c>
      <c r="E216" t="s">
        <v>24</v>
      </c>
      <c r="F216">
        <v>2295.9</v>
      </c>
    </row>
    <row r="217" spans="1:6" x14ac:dyDescent="0.35">
      <c r="A217">
        <v>1152</v>
      </c>
      <c r="B217" s="2">
        <v>45466.375085336993</v>
      </c>
      <c r="C217" t="s">
        <v>7</v>
      </c>
      <c r="D217" t="s">
        <v>21</v>
      </c>
      <c r="E217" t="s">
        <v>23</v>
      </c>
      <c r="F217">
        <v>6778.61</v>
      </c>
    </row>
    <row r="218" spans="1:6" x14ac:dyDescent="0.35">
      <c r="A218">
        <v>1039</v>
      </c>
      <c r="B218" s="2">
        <v>45466.375085336993</v>
      </c>
      <c r="C218" t="s">
        <v>14</v>
      </c>
      <c r="D218" t="s">
        <v>19</v>
      </c>
      <c r="E218" t="s">
        <v>23</v>
      </c>
      <c r="F218">
        <v>2794.55</v>
      </c>
    </row>
    <row r="219" spans="1:6" x14ac:dyDescent="0.35">
      <c r="A219">
        <v>1387</v>
      </c>
      <c r="B219" s="2">
        <v>45466.375085336993</v>
      </c>
      <c r="C219" t="s">
        <v>13</v>
      </c>
      <c r="D219" t="s">
        <v>22</v>
      </c>
      <c r="E219" t="s">
        <v>25</v>
      </c>
      <c r="F219">
        <v>7009.89</v>
      </c>
    </row>
    <row r="220" spans="1:6" x14ac:dyDescent="0.35">
      <c r="A220">
        <v>1208</v>
      </c>
      <c r="B220" s="2">
        <v>45467.375085336993</v>
      </c>
      <c r="C220" t="s">
        <v>6</v>
      </c>
      <c r="D220" t="s">
        <v>19</v>
      </c>
      <c r="E220" t="s">
        <v>23</v>
      </c>
      <c r="F220">
        <v>5376.2</v>
      </c>
    </row>
    <row r="221" spans="1:6" x14ac:dyDescent="0.35">
      <c r="A221">
        <v>1110</v>
      </c>
      <c r="B221" s="2">
        <v>45467.375085336993</v>
      </c>
      <c r="C221" t="s">
        <v>8</v>
      </c>
      <c r="D221" t="s">
        <v>20</v>
      </c>
      <c r="E221" t="s">
        <v>25</v>
      </c>
      <c r="F221">
        <v>6488.12</v>
      </c>
    </row>
    <row r="222" spans="1:6" x14ac:dyDescent="0.35">
      <c r="A222">
        <v>1320</v>
      </c>
      <c r="B222" s="2">
        <v>45467.375085336993</v>
      </c>
      <c r="C222" t="s">
        <v>13</v>
      </c>
      <c r="D222" t="s">
        <v>22</v>
      </c>
      <c r="E222" t="s">
        <v>24</v>
      </c>
      <c r="F222">
        <v>6687.91</v>
      </c>
    </row>
    <row r="223" spans="1:6" x14ac:dyDescent="0.35">
      <c r="A223">
        <v>1150</v>
      </c>
      <c r="B223" s="2">
        <v>45468.375085336993</v>
      </c>
      <c r="C223" t="s">
        <v>15</v>
      </c>
      <c r="D223" t="s">
        <v>20</v>
      </c>
      <c r="E223" t="s">
        <v>24</v>
      </c>
      <c r="F223">
        <v>2230.63</v>
      </c>
    </row>
    <row r="224" spans="1:6" x14ac:dyDescent="0.35">
      <c r="A224">
        <v>1097</v>
      </c>
      <c r="B224" s="2">
        <v>45468.375085336993</v>
      </c>
      <c r="C224" t="s">
        <v>7</v>
      </c>
      <c r="D224" t="s">
        <v>17</v>
      </c>
      <c r="E224" t="s">
        <v>25</v>
      </c>
      <c r="F224">
        <v>7460.13</v>
      </c>
    </row>
    <row r="225" spans="1:6" x14ac:dyDescent="0.35">
      <c r="A225">
        <v>1195</v>
      </c>
      <c r="B225" s="2">
        <v>45468.375085336993</v>
      </c>
      <c r="C225" t="s">
        <v>8</v>
      </c>
      <c r="D225" t="s">
        <v>16</v>
      </c>
      <c r="E225" t="s">
        <v>25</v>
      </c>
      <c r="F225">
        <v>1416.23</v>
      </c>
    </row>
    <row r="226" spans="1:6" x14ac:dyDescent="0.35">
      <c r="A226">
        <v>1280</v>
      </c>
      <c r="B226" s="2">
        <v>45468.375085336993</v>
      </c>
      <c r="C226" t="s">
        <v>8</v>
      </c>
      <c r="D226" t="s">
        <v>22</v>
      </c>
      <c r="E226" t="s">
        <v>23</v>
      </c>
      <c r="F226">
        <v>3294.42</v>
      </c>
    </row>
    <row r="227" spans="1:6" x14ac:dyDescent="0.35">
      <c r="A227">
        <v>1176</v>
      </c>
      <c r="B227" s="2">
        <v>45468.375085336993</v>
      </c>
      <c r="C227" t="s">
        <v>7</v>
      </c>
      <c r="D227" t="s">
        <v>16</v>
      </c>
      <c r="E227" t="s">
        <v>25</v>
      </c>
      <c r="F227">
        <v>3313.79</v>
      </c>
    </row>
    <row r="228" spans="1:6" x14ac:dyDescent="0.35">
      <c r="A228">
        <v>1183</v>
      </c>
      <c r="B228" s="2">
        <v>45469.375085336993</v>
      </c>
      <c r="C228" t="s">
        <v>14</v>
      </c>
      <c r="D228" t="s">
        <v>21</v>
      </c>
      <c r="E228" t="s">
        <v>24</v>
      </c>
      <c r="F228">
        <v>6596.74</v>
      </c>
    </row>
    <row r="229" spans="1:6" x14ac:dyDescent="0.35">
      <c r="A229">
        <v>1335</v>
      </c>
      <c r="B229" s="2">
        <v>45469.375085336993</v>
      </c>
      <c r="C229" t="s">
        <v>7</v>
      </c>
      <c r="D229" t="s">
        <v>22</v>
      </c>
      <c r="E229" t="s">
        <v>25</v>
      </c>
      <c r="F229">
        <v>1526.34</v>
      </c>
    </row>
    <row r="230" spans="1:6" x14ac:dyDescent="0.35">
      <c r="A230">
        <v>1142</v>
      </c>
      <c r="B230" s="2">
        <v>45469.375085336993</v>
      </c>
      <c r="C230" t="s">
        <v>13</v>
      </c>
      <c r="D230" t="s">
        <v>19</v>
      </c>
      <c r="E230" t="s">
        <v>25</v>
      </c>
      <c r="F230">
        <v>3433.45</v>
      </c>
    </row>
    <row r="231" spans="1:6" x14ac:dyDescent="0.35">
      <c r="A231">
        <v>1265</v>
      </c>
      <c r="B231" s="2">
        <v>45469.375085336993</v>
      </c>
      <c r="C231" t="s">
        <v>15</v>
      </c>
      <c r="D231" t="s">
        <v>18</v>
      </c>
      <c r="E231" t="s">
        <v>23</v>
      </c>
      <c r="F231">
        <v>2746.84</v>
      </c>
    </row>
    <row r="232" spans="1:6" x14ac:dyDescent="0.35">
      <c r="A232">
        <v>1100</v>
      </c>
      <c r="B232" s="2">
        <v>45470.375085336993</v>
      </c>
      <c r="C232" t="s">
        <v>6</v>
      </c>
      <c r="D232" t="s">
        <v>20</v>
      </c>
      <c r="E232" t="s">
        <v>25</v>
      </c>
      <c r="F232">
        <v>5503.84</v>
      </c>
    </row>
    <row r="233" spans="1:6" x14ac:dyDescent="0.35">
      <c r="A233">
        <v>1394</v>
      </c>
      <c r="B233" s="2">
        <v>45470.375085336993</v>
      </c>
      <c r="C233" t="s">
        <v>13</v>
      </c>
      <c r="D233" t="s">
        <v>19</v>
      </c>
      <c r="E233" t="s">
        <v>23</v>
      </c>
      <c r="F233">
        <v>2337.29</v>
      </c>
    </row>
    <row r="234" spans="1:6" x14ac:dyDescent="0.35">
      <c r="A234">
        <v>1003</v>
      </c>
      <c r="B234" s="2">
        <v>45470.375085336993</v>
      </c>
      <c r="C234" t="s">
        <v>6</v>
      </c>
      <c r="D234" t="s">
        <v>16</v>
      </c>
      <c r="E234" t="s">
        <v>24</v>
      </c>
      <c r="F234">
        <v>5651.68</v>
      </c>
    </row>
    <row r="235" spans="1:6" x14ac:dyDescent="0.35">
      <c r="A235">
        <v>1127</v>
      </c>
      <c r="B235" s="2">
        <v>45470.375085336993</v>
      </c>
      <c r="C235" t="s">
        <v>7</v>
      </c>
      <c r="D235" t="s">
        <v>17</v>
      </c>
      <c r="E235" t="s">
        <v>24</v>
      </c>
      <c r="F235">
        <v>4833.3100000000004</v>
      </c>
    </row>
    <row r="236" spans="1:6" x14ac:dyDescent="0.35">
      <c r="A236">
        <v>1341</v>
      </c>
      <c r="B236" s="2">
        <v>45470.375085336993</v>
      </c>
      <c r="C236" t="s">
        <v>9</v>
      </c>
      <c r="D236" t="s">
        <v>17</v>
      </c>
      <c r="E236" t="s">
        <v>23</v>
      </c>
      <c r="F236">
        <v>8645.77</v>
      </c>
    </row>
    <row r="237" spans="1:6" x14ac:dyDescent="0.35">
      <c r="A237">
        <v>1278</v>
      </c>
      <c r="B237" s="2">
        <v>45470.375085336993</v>
      </c>
      <c r="C237" t="s">
        <v>7</v>
      </c>
      <c r="D237" t="s">
        <v>18</v>
      </c>
      <c r="E237" t="s">
        <v>23</v>
      </c>
      <c r="F237">
        <v>5124.1000000000004</v>
      </c>
    </row>
    <row r="238" spans="1:6" x14ac:dyDescent="0.35">
      <c r="A238">
        <v>1084</v>
      </c>
      <c r="B238" s="2">
        <v>45470.375085336993</v>
      </c>
      <c r="C238" t="s">
        <v>8</v>
      </c>
      <c r="D238" t="s">
        <v>21</v>
      </c>
      <c r="E238" t="s">
        <v>25</v>
      </c>
      <c r="F238">
        <v>3413.51</v>
      </c>
    </row>
    <row r="239" spans="1:6" x14ac:dyDescent="0.35">
      <c r="A239">
        <v>1160</v>
      </c>
      <c r="B239" s="2">
        <v>45471.375085336993</v>
      </c>
      <c r="C239" t="s">
        <v>13</v>
      </c>
      <c r="D239" t="s">
        <v>22</v>
      </c>
      <c r="E239" t="s">
        <v>24</v>
      </c>
      <c r="F239">
        <v>7734.05</v>
      </c>
    </row>
    <row r="240" spans="1:6" x14ac:dyDescent="0.35">
      <c r="A240">
        <v>1242</v>
      </c>
      <c r="B240" s="2">
        <v>45471.375085336993</v>
      </c>
      <c r="C240" t="s">
        <v>9</v>
      </c>
      <c r="D240" t="s">
        <v>19</v>
      </c>
      <c r="E240" t="s">
        <v>23</v>
      </c>
      <c r="F240">
        <v>5796.15</v>
      </c>
    </row>
    <row r="241" spans="1:6" x14ac:dyDescent="0.35">
      <c r="A241">
        <v>1065</v>
      </c>
      <c r="B241" s="2">
        <v>45471.375085336993</v>
      </c>
      <c r="C241" t="s">
        <v>15</v>
      </c>
      <c r="D241" t="s">
        <v>20</v>
      </c>
      <c r="E241" t="s">
        <v>24</v>
      </c>
      <c r="F241">
        <v>1572.5</v>
      </c>
    </row>
    <row r="242" spans="1:6" x14ac:dyDescent="0.35">
      <c r="A242">
        <v>1151</v>
      </c>
      <c r="B242" s="2">
        <v>45471.375085336993</v>
      </c>
      <c r="C242" t="s">
        <v>6</v>
      </c>
      <c r="D242" t="s">
        <v>19</v>
      </c>
      <c r="E242" t="s">
        <v>23</v>
      </c>
      <c r="F242">
        <v>1648.21</v>
      </c>
    </row>
    <row r="243" spans="1:6" x14ac:dyDescent="0.35">
      <c r="A243">
        <v>1004</v>
      </c>
      <c r="B243" s="2">
        <v>45473.375085336993</v>
      </c>
      <c r="C243" t="s">
        <v>6</v>
      </c>
      <c r="D243" t="s">
        <v>17</v>
      </c>
      <c r="E243" t="s">
        <v>25</v>
      </c>
      <c r="F243">
        <v>1193.79</v>
      </c>
    </row>
    <row r="244" spans="1:6" x14ac:dyDescent="0.35">
      <c r="A244">
        <v>1140</v>
      </c>
      <c r="B244" s="2">
        <v>45473.375085336993</v>
      </c>
      <c r="C244" t="s">
        <v>11</v>
      </c>
      <c r="D244" t="s">
        <v>17</v>
      </c>
      <c r="E244" t="s">
        <v>25</v>
      </c>
      <c r="F244">
        <v>10213.35</v>
      </c>
    </row>
    <row r="245" spans="1:6" x14ac:dyDescent="0.35">
      <c r="A245">
        <v>1018</v>
      </c>
      <c r="B245" s="2">
        <v>45473.375085336993</v>
      </c>
      <c r="C245" t="s">
        <v>12</v>
      </c>
      <c r="D245" t="s">
        <v>16</v>
      </c>
      <c r="E245" t="s">
        <v>23</v>
      </c>
      <c r="F245">
        <v>5082.2</v>
      </c>
    </row>
    <row r="246" spans="1:6" x14ac:dyDescent="0.35">
      <c r="A246">
        <v>1398</v>
      </c>
      <c r="B246" s="2">
        <v>45473.375085336993</v>
      </c>
      <c r="C246" t="s">
        <v>6</v>
      </c>
      <c r="D246" t="s">
        <v>22</v>
      </c>
      <c r="E246" t="s">
        <v>25</v>
      </c>
      <c r="F246">
        <v>1174.6500000000001</v>
      </c>
    </row>
    <row r="247" spans="1:6" x14ac:dyDescent="0.35">
      <c r="A247">
        <v>1246</v>
      </c>
      <c r="B247" s="2">
        <v>45473.375085336993</v>
      </c>
      <c r="C247" t="s">
        <v>13</v>
      </c>
      <c r="D247" t="s">
        <v>21</v>
      </c>
      <c r="E247" t="s">
        <v>25</v>
      </c>
      <c r="F247">
        <v>3750.61</v>
      </c>
    </row>
    <row r="248" spans="1:6" x14ac:dyDescent="0.35">
      <c r="A248">
        <v>1282</v>
      </c>
      <c r="B248" s="2">
        <v>45473.375085336993</v>
      </c>
      <c r="C248" t="s">
        <v>13</v>
      </c>
      <c r="D248" t="s">
        <v>18</v>
      </c>
      <c r="E248" t="s">
        <v>24</v>
      </c>
      <c r="F248">
        <v>3633.55</v>
      </c>
    </row>
    <row r="249" spans="1:6" x14ac:dyDescent="0.35">
      <c r="A249">
        <v>1038</v>
      </c>
      <c r="B249" s="2">
        <v>45474.375085336993</v>
      </c>
      <c r="C249" t="s">
        <v>15</v>
      </c>
      <c r="D249" t="s">
        <v>21</v>
      </c>
      <c r="E249" t="s">
        <v>25</v>
      </c>
      <c r="F249">
        <v>5985.58</v>
      </c>
    </row>
    <row r="250" spans="1:6" x14ac:dyDescent="0.35">
      <c r="A250">
        <v>1147</v>
      </c>
      <c r="B250" s="2">
        <v>45474.375085336993</v>
      </c>
      <c r="C250" t="s">
        <v>11</v>
      </c>
      <c r="D250" t="s">
        <v>16</v>
      </c>
      <c r="E250" t="s">
        <v>25</v>
      </c>
      <c r="F250">
        <v>2017.22</v>
      </c>
    </row>
    <row r="251" spans="1:6" x14ac:dyDescent="0.35">
      <c r="A251">
        <v>1255</v>
      </c>
      <c r="B251" s="2">
        <v>45474.375085336993</v>
      </c>
      <c r="C251" t="s">
        <v>12</v>
      </c>
      <c r="D251" t="s">
        <v>21</v>
      </c>
      <c r="E251" t="s">
        <v>23</v>
      </c>
      <c r="F251">
        <v>2045.97</v>
      </c>
    </row>
    <row r="252" spans="1:6" x14ac:dyDescent="0.35">
      <c r="A252">
        <v>1113</v>
      </c>
      <c r="B252" s="2">
        <v>45474.375085336993</v>
      </c>
      <c r="C252" t="s">
        <v>12</v>
      </c>
      <c r="D252" t="s">
        <v>19</v>
      </c>
      <c r="E252" t="s">
        <v>25</v>
      </c>
      <c r="F252">
        <v>1883.98</v>
      </c>
    </row>
    <row r="253" spans="1:6" x14ac:dyDescent="0.35">
      <c r="A253">
        <v>1010</v>
      </c>
      <c r="B253" s="2">
        <v>45474.375085336993</v>
      </c>
      <c r="C253" t="s">
        <v>13</v>
      </c>
      <c r="D253" t="s">
        <v>19</v>
      </c>
      <c r="E253" t="s">
        <v>23</v>
      </c>
      <c r="F253">
        <v>5028.38</v>
      </c>
    </row>
    <row r="254" spans="1:6" x14ac:dyDescent="0.35">
      <c r="A254">
        <v>1054</v>
      </c>
      <c r="B254" s="2">
        <v>45475.375085336993</v>
      </c>
      <c r="C254" t="s">
        <v>15</v>
      </c>
      <c r="D254" t="s">
        <v>16</v>
      </c>
      <c r="E254" t="s">
        <v>25</v>
      </c>
      <c r="F254">
        <v>2787.68</v>
      </c>
    </row>
    <row r="255" spans="1:6" x14ac:dyDescent="0.35">
      <c r="A255">
        <v>1157</v>
      </c>
      <c r="B255" s="2">
        <v>45475.375085336993</v>
      </c>
      <c r="C255" t="s">
        <v>8</v>
      </c>
      <c r="D255" t="s">
        <v>17</v>
      </c>
      <c r="E255" t="s">
        <v>24</v>
      </c>
      <c r="F255">
        <v>9170.14</v>
      </c>
    </row>
    <row r="256" spans="1:6" x14ac:dyDescent="0.35">
      <c r="A256">
        <v>1391</v>
      </c>
      <c r="B256" s="2">
        <v>45475.375085336993</v>
      </c>
      <c r="C256" t="s">
        <v>15</v>
      </c>
      <c r="D256" t="s">
        <v>16</v>
      </c>
      <c r="E256" t="s">
        <v>24</v>
      </c>
      <c r="F256">
        <v>6123.01</v>
      </c>
    </row>
    <row r="257" spans="1:6" x14ac:dyDescent="0.35">
      <c r="A257">
        <v>1340</v>
      </c>
      <c r="B257" s="2">
        <v>45476.375085336993</v>
      </c>
      <c r="C257" t="s">
        <v>9</v>
      </c>
      <c r="D257" t="s">
        <v>19</v>
      </c>
      <c r="E257" t="s">
        <v>24</v>
      </c>
      <c r="F257">
        <v>3546.46</v>
      </c>
    </row>
    <row r="258" spans="1:6" x14ac:dyDescent="0.35">
      <c r="A258">
        <v>1257</v>
      </c>
      <c r="B258" s="2">
        <v>45476.375085336993</v>
      </c>
      <c r="C258" t="s">
        <v>6</v>
      </c>
      <c r="D258" t="s">
        <v>17</v>
      </c>
      <c r="E258" t="s">
        <v>24</v>
      </c>
      <c r="F258">
        <v>3270.31</v>
      </c>
    </row>
    <row r="259" spans="1:6" x14ac:dyDescent="0.35">
      <c r="A259">
        <v>1284</v>
      </c>
      <c r="B259" s="2">
        <v>45476.375085336993</v>
      </c>
      <c r="C259" t="s">
        <v>11</v>
      </c>
      <c r="D259" t="s">
        <v>17</v>
      </c>
      <c r="E259" t="s">
        <v>23</v>
      </c>
      <c r="F259">
        <v>3898.72</v>
      </c>
    </row>
    <row r="260" spans="1:6" x14ac:dyDescent="0.35">
      <c r="A260">
        <v>1342</v>
      </c>
      <c r="B260" s="2">
        <v>45477.375085336993</v>
      </c>
      <c r="C260" t="s">
        <v>15</v>
      </c>
      <c r="D260" t="s">
        <v>17</v>
      </c>
      <c r="E260" t="s">
        <v>24</v>
      </c>
      <c r="F260">
        <v>4746.53</v>
      </c>
    </row>
    <row r="261" spans="1:6" x14ac:dyDescent="0.35">
      <c r="A261">
        <v>1156</v>
      </c>
      <c r="B261" s="2">
        <v>45477.375085336993</v>
      </c>
      <c r="C261" t="s">
        <v>8</v>
      </c>
      <c r="D261" t="s">
        <v>17</v>
      </c>
      <c r="E261" t="s">
        <v>24</v>
      </c>
      <c r="F261">
        <v>5595</v>
      </c>
    </row>
    <row r="262" spans="1:6" x14ac:dyDescent="0.35">
      <c r="A262">
        <v>1257</v>
      </c>
      <c r="B262" s="2">
        <v>45477.375085336993</v>
      </c>
      <c r="C262" t="s">
        <v>6</v>
      </c>
      <c r="D262" t="s">
        <v>21</v>
      </c>
      <c r="E262" t="s">
        <v>23</v>
      </c>
      <c r="F262">
        <v>3800.31</v>
      </c>
    </row>
    <row r="263" spans="1:6" x14ac:dyDescent="0.35">
      <c r="A263">
        <v>1102</v>
      </c>
      <c r="B263" s="2">
        <v>45477.375085336993</v>
      </c>
      <c r="C263" t="s">
        <v>12</v>
      </c>
      <c r="D263" t="s">
        <v>21</v>
      </c>
      <c r="E263" t="s">
        <v>24</v>
      </c>
      <c r="F263">
        <v>7149.85</v>
      </c>
    </row>
    <row r="264" spans="1:6" x14ac:dyDescent="0.35">
      <c r="A264">
        <v>1302</v>
      </c>
      <c r="B264" s="2">
        <v>45477.375085336993</v>
      </c>
      <c r="C264" t="s">
        <v>15</v>
      </c>
      <c r="D264" t="s">
        <v>17</v>
      </c>
      <c r="E264" t="s">
        <v>25</v>
      </c>
      <c r="F264">
        <v>2104.67</v>
      </c>
    </row>
    <row r="265" spans="1:6" x14ac:dyDescent="0.35">
      <c r="A265">
        <v>1396</v>
      </c>
      <c r="B265" s="2">
        <v>45477.375085336993</v>
      </c>
      <c r="C265" t="s">
        <v>15</v>
      </c>
      <c r="D265" t="s">
        <v>21</v>
      </c>
      <c r="E265" t="s">
        <v>24</v>
      </c>
      <c r="F265">
        <v>4742.8500000000004</v>
      </c>
    </row>
    <row r="266" spans="1:6" x14ac:dyDescent="0.35">
      <c r="A266">
        <v>1222</v>
      </c>
      <c r="B266" s="2">
        <v>45478.375085336993</v>
      </c>
      <c r="C266" t="s">
        <v>11</v>
      </c>
      <c r="D266" t="s">
        <v>17</v>
      </c>
      <c r="E266" t="s">
        <v>25</v>
      </c>
      <c r="F266">
        <v>196.8</v>
      </c>
    </row>
    <row r="267" spans="1:6" x14ac:dyDescent="0.35">
      <c r="A267">
        <v>1272</v>
      </c>
      <c r="B267" s="2">
        <v>45478.375085336993</v>
      </c>
      <c r="C267" t="s">
        <v>7</v>
      </c>
      <c r="D267" t="s">
        <v>17</v>
      </c>
      <c r="E267" t="s">
        <v>24</v>
      </c>
      <c r="F267">
        <v>3745.11</v>
      </c>
    </row>
    <row r="268" spans="1:6" x14ac:dyDescent="0.35">
      <c r="A268">
        <v>1292</v>
      </c>
      <c r="B268" s="2">
        <v>45478.375085336993</v>
      </c>
      <c r="C268" t="s">
        <v>10</v>
      </c>
      <c r="D268" t="s">
        <v>21</v>
      </c>
      <c r="E268" t="s">
        <v>23</v>
      </c>
      <c r="F268">
        <v>1062.68</v>
      </c>
    </row>
    <row r="269" spans="1:6" x14ac:dyDescent="0.35">
      <c r="A269">
        <v>1107</v>
      </c>
      <c r="B269" s="2">
        <v>45478.375085336993</v>
      </c>
      <c r="C269" t="s">
        <v>10</v>
      </c>
      <c r="D269" t="s">
        <v>20</v>
      </c>
      <c r="E269" t="s">
        <v>25</v>
      </c>
      <c r="F269">
        <v>10144.81</v>
      </c>
    </row>
    <row r="270" spans="1:6" x14ac:dyDescent="0.35">
      <c r="A270">
        <v>1028</v>
      </c>
      <c r="B270" s="2">
        <v>45478.375085336993</v>
      </c>
      <c r="C270" t="s">
        <v>15</v>
      </c>
      <c r="D270" t="s">
        <v>22</v>
      </c>
      <c r="E270" t="s">
        <v>25</v>
      </c>
      <c r="F270">
        <v>3964.84</v>
      </c>
    </row>
    <row r="271" spans="1:6" x14ac:dyDescent="0.35">
      <c r="A271">
        <v>1125</v>
      </c>
      <c r="B271" s="2">
        <v>45478.375085336993</v>
      </c>
      <c r="C271" t="s">
        <v>10</v>
      </c>
      <c r="D271" t="s">
        <v>22</v>
      </c>
      <c r="E271" t="s">
        <v>23</v>
      </c>
      <c r="F271">
        <v>81.7</v>
      </c>
    </row>
    <row r="272" spans="1:6" x14ac:dyDescent="0.35">
      <c r="A272">
        <v>1214</v>
      </c>
      <c r="B272" s="2">
        <v>45478.375085336993</v>
      </c>
      <c r="C272" t="s">
        <v>6</v>
      </c>
      <c r="D272" t="s">
        <v>21</v>
      </c>
      <c r="E272" t="s">
        <v>25</v>
      </c>
      <c r="F272">
        <v>4784.0200000000004</v>
      </c>
    </row>
    <row r="273" spans="1:6" x14ac:dyDescent="0.35">
      <c r="A273">
        <v>1280</v>
      </c>
      <c r="B273" s="2">
        <v>45478.375085336993</v>
      </c>
      <c r="C273" t="s">
        <v>9</v>
      </c>
      <c r="D273" t="s">
        <v>21</v>
      </c>
      <c r="E273" t="s">
        <v>25</v>
      </c>
      <c r="F273">
        <v>3477.44</v>
      </c>
    </row>
    <row r="274" spans="1:6" x14ac:dyDescent="0.35">
      <c r="A274">
        <v>1103</v>
      </c>
      <c r="B274" s="2">
        <v>45478.375085336993</v>
      </c>
      <c r="C274" t="s">
        <v>6</v>
      </c>
      <c r="D274" t="s">
        <v>21</v>
      </c>
      <c r="E274" t="s">
        <v>24</v>
      </c>
      <c r="F274">
        <v>5529.17</v>
      </c>
    </row>
    <row r="275" spans="1:6" x14ac:dyDescent="0.35">
      <c r="A275">
        <v>1302</v>
      </c>
      <c r="B275" s="2">
        <v>45478.375085336993</v>
      </c>
      <c r="C275" t="s">
        <v>7</v>
      </c>
      <c r="D275" t="s">
        <v>21</v>
      </c>
      <c r="E275" t="s">
        <v>24</v>
      </c>
      <c r="F275">
        <v>1217.26</v>
      </c>
    </row>
    <row r="276" spans="1:6" x14ac:dyDescent="0.35">
      <c r="A276">
        <v>1086</v>
      </c>
      <c r="B276" s="2">
        <v>45479.375085336993</v>
      </c>
      <c r="C276" t="s">
        <v>10</v>
      </c>
      <c r="D276" t="s">
        <v>19</v>
      </c>
      <c r="E276" t="s">
        <v>25</v>
      </c>
      <c r="F276">
        <v>1159.24</v>
      </c>
    </row>
    <row r="277" spans="1:6" x14ac:dyDescent="0.35">
      <c r="A277">
        <v>1080</v>
      </c>
      <c r="B277" s="2">
        <v>45479.375085336993</v>
      </c>
      <c r="C277" t="s">
        <v>14</v>
      </c>
      <c r="D277" t="s">
        <v>22</v>
      </c>
      <c r="E277" t="s">
        <v>24</v>
      </c>
      <c r="F277">
        <v>9267.98</v>
      </c>
    </row>
    <row r="278" spans="1:6" x14ac:dyDescent="0.35">
      <c r="A278">
        <v>1132</v>
      </c>
      <c r="B278" s="2">
        <v>45479.375085336993</v>
      </c>
      <c r="C278" t="s">
        <v>15</v>
      </c>
      <c r="D278" t="s">
        <v>21</v>
      </c>
      <c r="E278" t="s">
        <v>25</v>
      </c>
      <c r="F278">
        <v>10499.29</v>
      </c>
    </row>
    <row r="279" spans="1:6" x14ac:dyDescent="0.35">
      <c r="A279">
        <v>1248</v>
      </c>
      <c r="B279" s="2">
        <v>45479.375085336993</v>
      </c>
      <c r="C279" t="s">
        <v>11</v>
      </c>
      <c r="D279" t="s">
        <v>18</v>
      </c>
      <c r="E279" t="s">
        <v>25</v>
      </c>
      <c r="F279">
        <v>3278.32</v>
      </c>
    </row>
    <row r="280" spans="1:6" x14ac:dyDescent="0.35">
      <c r="A280">
        <v>1152</v>
      </c>
      <c r="B280" s="2">
        <v>45480.375085336993</v>
      </c>
      <c r="C280" t="s">
        <v>7</v>
      </c>
      <c r="D280" t="s">
        <v>18</v>
      </c>
      <c r="E280" t="s">
        <v>23</v>
      </c>
      <c r="F280">
        <v>3100.55</v>
      </c>
    </row>
    <row r="281" spans="1:6" x14ac:dyDescent="0.35">
      <c r="A281">
        <v>1302</v>
      </c>
      <c r="B281" s="2">
        <v>45480.375085336993</v>
      </c>
      <c r="C281" t="s">
        <v>8</v>
      </c>
      <c r="D281" t="s">
        <v>21</v>
      </c>
      <c r="E281" t="s">
        <v>25</v>
      </c>
      <c r="F281">
        <v>2445.5300000000002</v>
      </c>
    </row>
    <row r="282" spans="1:6" x14ac:dyDescent="0.35">
      <c r="A282">
        <v>1306</v>
      </c>
      <c r="B282" s="2">
        <v>45480.375085336993</v>
      </c>
      <c r="C282" t="s">
        <v>15</v>
      </c>
      <c r="D282" t="s">
        <v>19</v>
      </c>
      <c r="E282" t="s">
        <v>25</v>
      </c>
      <c r="F282">
        <v>2880.82</v>
      </c>
    </row>
    <row r="283" spans="1:6" x14ac:dyDescent="0.35">
      <c r="A283">
        <v>1235</v>
      </c>
      <c r="B283" s="2">
        <v>45480.375085336993</v>
      </c>
      <c r="C283" t="s">
        <v>10</v>
      </c>
      <c r="D283" t="s">
        <v>22</v>
      </c>
      <c r="E283" t="s">
        <v>23</v>
      </c>
      <c r="F283">
        <v>2216.9699999999998</v>
      </c>
    </row>
    <row r="284" spans="1:6" x14ac:dyDescent="0.35">
      <c r="A284">
        <v>1232</v>
      </c>
      <c r="B284" s="2">
        <v>45480.375085336993</v>
      </c>
      <c r="C284" t="s">
        <v>14</v>
      </c>
      <c r="D284" t="s">
        <v>22</v>
      </c>
      <c r="E284" t="s">
        <v>25</v>
      </c>
      <c r="F284">
        <v>1079.98</v>
      </c>
    </row>
    <row r="285" spans="1:6" x14ac:dyDescent="0.35">
      <c r="A285">
        <v>1316</v>
      </c>
      <c r="B285" s="2">
        <v>45480.375085336993</v>
      </c>
      <c r="C285" t="s">
        <v>12</v>
      </c>
      <c r="D285" t="s">
        <v>20</v>
      </c>
      <c r="E285" t="s">
        <v>25</v>
      </c>
      <c r="F285">
        <v>1555.7</v>
      </c>
    </row>
    <row r="286" spans="1:6" x14ac:dyDescent="0.35">
      <c r="A286">
        <v>1006</v>
      </c>
      <c r="B286" s="2">
        <v>45480.375085336993</v>
      </c>
      <c r="C286" t="s">
        <v>10</v>
      </c>
      <c r="D286" t="s">
        <v>18</v>
      </c>
      <c r="E286" t="s">
        <v>23</v>
      </c>
      <c r="F286">
        <v>1410.36</v>
      </c>
    </row>
    <row r="287" spans="1:6" x14ac:dyDescent="0.35">
      <c r="A287">
        <v>1021</v>
      </c>
      <c r="B287" s="2">
        <v>45481.375085336993</v>
      </c>
      <c r="C287" t="s">
        <v>7</v>
      </c>
      <c r="D287" t="s">
        <v>19</v>
      </c>
      <c r="E287" t="s">
        <v>23</v>
      </c>
      <c r="F287">
        <v>490.15</v>
      </c>
    </row>
    <row r="288" spans="1:6" x14ac:dyDescent="0.35">
      <c r="A288">
        <v>1214</v>
      </c>
      <c r="B288" s="2">
        <v>45481.375085336993</v>
      </c>
      <c r="C288" t="s">
        <v>8</v>
      </c>
      <c r="D288" t="s">
        <v>22</v>
      </c>
      <c r="E288" t="s">
        <v>23</v>
      </c>
      <c r="F288">
        <v>953.51</v>
      </c>
    </row>
    <row r="289" spans="1:6" x14ac:dyDescent="0.35">
      <c r="A289">
        <v>1221</v>
      </c>
      <c r="B289" s="2">
        <v>45481.375085336993</v>
      </c>
      <c r="C289" t="s">
        <v>9</v>
      </c>
      <c r="D289" t="s">
        <v>18</v>
      </c>
      <c r="E289" t="s">
        <v>24</v>
      </c>
      <c r="F289">
        <v>3093.32</v>
      </c>
    </row>
    <row r="290" spans="1:6" x14ac:dyDescent="0.35">
      <c r="A290">
        <v>1359</v>
      </c>
      <c r="B290" s="2">
        <v>45481.375085336993</v>
      </c>
      <c r="C290" t="s">
        <v>7</v>
      </c>
      <c r="D290" t="s">
        <v>22</v>
      </c>
      <c r="E290" t="s">
        <v>24</v>
      </c>
      <c r="F290">
        <v>5449.02</v>
      </c>
    </row>
    <row r="291" spans="1:6" x14ac:dyDescent="0.35">
      <c r="A291">
        <v>1006</v>
      </c>
      <c r="B291" s="2">
        <v>45481.375085336993</v>
      </c>
      <c r="C291" t="s">
        <v>10</v>
      </c>
      <c r="D291" t="s">
        <v>20</v>
      </c>
      <c r="E291" t="s">
        <v>25</v>
      </c>
      <c r="F291">
        <v>3275.42</v>
      </c>
    </row>
    <row r="292" spans="1:6" x14ac:dyDescent="0.35">
      <c r="A292">
        <v>1105</v>
      </c>
      <c r="B292" s="2">
        <v>45481.375085336993</v>
      </c>
      <c r="C292" t="s">
        <v>6</v>
      </c>
      <c r="D292" t="s">
        <v>22</v>
      </c>
      <c r="E292" t="s">
        <v>24</v>
      </c>
      <c r="F292">
        <v>1567.2</v>
      </c>
    </row>
    <row r="293" spans="1:6" x14ac:dyDescent="0.35">
      <c r="A293">
        <v>1145</v>
      </c>
      <c r="B293" s="2">
        <v>45481.375085336993</v>
      </c>
      <c r="C293" t="s">
        <v>15</v>
      </c>
      <c r="D293" t="s">
        <v>22</v>
      </c>
      <c r="E293" t="s">
        <v>24</v>
      </c>
      <c r="F293">
        <v>5298.95</v>
      </c>
    </row>
    <row r="294" spans="1:6" x14ac:dyDescent="0.35">
      <c r="A294">
        <v>1349</v>
      </c>
      <c r="B294" s="2">
        <v>45481.375085336993</v>
      </c>
      <c r="C294" t="s">
        <v>7</v>
      </c>
      <c r="D294" t="s">
        <v>19</v>
      </c>
      <c r="E294" t="s">
        <v>25</v>
      </c>
      <c r="F294">
        <v>1897.88</v>
      </c>
    </row>
    <row r="295" spans="1:6" x14ac:dyDescent="0.35">
      <c r="A295">
        <v>1351</v>
      </c>
      <c r="B295" s="2">
        <v>45482.375085336993</v>
      </c>
      <c r="C295" t="s">
        <v>6</v>
      </c>
      <c r="D295" t="s">
        <v>17</v>
      </c>
      <c r="E295" t="s">
        <v>24</v>
      </c>
      <c r="F295">
        <v>4209.6899999999996</v>
      </c>
    </row>
    <row r="296" spans="1:6" x14ac:dyDescent="0.35">
      <c r="A296">
        <v>1274</v>
      </c>
      <c r="B296" s="2">
        <v>45482.375085336993</v>
      </c>
      <c r="C296" t="s">
        <v>6</v>
      </c>
      <c r="D296" t="s">
        <v>21</v>
      </c>
      <c r="E296" t="s">
        <v>23</v>
      </c>
      <c r="F296">
        <v>6167.02</v>
      </c>
    </row>
    <row r="297" spans="1:6" x14ac:dyDescent="0.35">
      <c r="A297">
        <v>1319</v>
      </c>
      <c r="B297" s="2">
        <v>45483.375085336993</v>
      </c>
      <c r="C297" t="s">
        <v>6</v>
      </c>
      <c r="D297" t="s">
        <v>19</v>
      </c>
      <c r="E297" t="s">
        <v>24</v>
      </c>
      <c r="F297">
        <v>180.45</v>
      </c>
    </row>
    <row r="298" spans="1:6" x14ac:dyDescent="0.35">
      <c r="A298">
        <v>1075</v>
      </c>
      <c r="B298" s="2">
        <v>45483.375085336993</v>
      </c>
      <c r="C298" t="s">
        <v>12</v>
      </c>
      <c r="D298" t="s">
        <v>22</v>
      </c>
      <c r="E298" t="s">
        <v>24</v>
      </c>
      <c r="F298">
        <v>641.19000000000005</v>
      </c>
    </row>
    <row r="299" spans="1:6" x14ac:dyDescent="0.35">
      <c r="A299">
        <v>1318</v>
      </c>
      <c r="B299" s="2">
        <v>45484.375085336993</v>
      </c>
      <c r="C299" t="s">
        <v>7</v>
      </c>
      <c r="D299" t="s">
        <v>21</v>
      </c>
      <c r="E299" t="s">
        <v>25</v>
      </c>
      <c r="F299">
        <v>15258.77</v>
      </c>
    </row>
    <row r="300" spans="1:6" x14ac:dyDescent="0.35">
      <c r="A300">
        <v>1358</v>
      </c>
      <c r="B300" s="2">
        <v>45484.375085336993</v>
      </c>
      <c r="C300" t="s">
        <v>12</v>
      </c>
      <c r="D300" t="s">
        <v>17</v>
      </c>
      <c r="E300" t="s">
        <v>24</v>
      </c>
      <c r="F300">
        <v>6719.77</v>
      </c>
    </row>
    <row r="301" spans="1:6" x14ac:dyDescent="0.35">
      <c r="A301">
        <v>1160</v>
      </c>
      <c r="B301" s="2">
        <v>45484.375085336993</v>
      </c>
      <c r="C301" t="s">
        <v>13</v>
      </c>
      <c r="D301" t="s">
        <v>21</v>
      </c>
      <c r="E301" t="s">
        <v>25</v>
      </c>
      <c r="F301">
        <v>6466.79</v>
      </c>
    </row>
    <row r="302" spans="1:6" x14ac:dyDescent="0.35">
      <c r="A302">
        <v>1341</v>
      </c>
      <c r="B302" s="2">
        <v>45486.375085336993</v>
      </c>
      <c r="C302" t="s">
        <v>14</v>
      </c>
      <c r="D302" t="s">
        <v>18</v>
      </c>
      <c r="E302" t="s">
        <v>24</v>
      </c>
      <c r="F302">
        <v>4512.8900000000003</v>
      </c>
    </row>
    <row r="303" spans="1:6" x14ac:dyDescent="0.35">
      <c r="A303">
        <v>1163</v>
      </c>
      <c r="B303" s="2">
        <v>45486.375085336993</v>
      </c>
      <c r="C303" t="s">
        <v>7</v>
      </c>
      <c r="D303" t="s">
        <v>18</v>
      </c>
      <c r="E303" t="s">
        <v>24</v>
      </c>
      <c r="F303">
        <v>2745.29</v>
      </c>
    </row>
    <row r="304" spans="1:6" x14ac:dyDescent="0.35">
      <c r="A304">
        <v>1197</v>
      </c>
      <c r="B304" s="2">
        <v>45487.375085336993</v>
      </c>
      <c r="C304" t="s">
        <v>10</v>
      </c>
      <c r="D304" t="s">
        <v>21</v>
      </c>
      <c r="E304" t="s">
        <v>23</v>
      </c>
      <c r="F304">
        <v>1445.49</v>
      </c>
    </row>
    <row r="305" spans="1:6" x14ac:dyDescent="0.35">
      <c r="A305">
        <v>1016</v>
      </c>
      <c r="B305" s="2">
        <v>45487.375085336993</v>
      </c>
      <c r="C305" t="s">
        <v>13</v>
      </c>
      <c r="D305" t="s">
        <v>19</v>
      </c>
      <c r="E305" t="s">
        <v>23</v>
      </c>
      <c r="F305">
        <v>9558.11</v>
      </c>
    </row>
    <row r="306" spans="1:6" x14ac:dyDescent="0.35">
      <c r="A306">
        <v>1252</v>
      </c>
      <c r="B306" s="2">
        <v>45487.375085336993</v>
      </c>
      <c r="C306" t="s">
        <v>12</v>
      </c>
      <c r="D306" t="s">
        <v>22</v>
      </c>
      <c r="E306" t="s">
        <v>25</v>
      </c>
      <c r="F306">
        <v>2074.21</v>
      </c>
    </row>
    <row r="307" spans="1:6" x14ac:dyDescent="0.35">
      <c r="A307">
        <v>1377</v>
      </c>
      <c r="B307" s="2">
        <v>45487.375085336993</v>
      </c>
      <c r="C307" t="s">
        <v>8</v>
      </c>
      <c r="D307" t="s">
        <v>17</v>
      </c>
      <c r="E307" t="s">
        <v>23</v>
      </c>
      <c r="F307">
        <v>4414.51</v>
      </c>
    </row>
    <row r="308" spans="1:6" x14ac:dyDescent="0.35">
      <c r="A308">
        <v>1329</v>
      </c>
      <c r="B308" s="2">
        <v>45487.375085336993</v>
      </c>
      <c r="C308" t="s">
        <v>10</v>
      </c>
      <c r="D308" t="s">
        <v>19</v>
      </c>
      <c r="E308" t="s">
        <v>25</v>
      </c>
      <c r="F308">
        <v>392.21</v>
      </c>
    </row>
    <row r="309" spans="1:6" x14ac:dyDescent="0.35">
      <c r="A309">
        <v>1098</v>
      </c>
      <c r="B309" s="2">
        <v>45487.375085336993</v>
      </c>
      <c r="C309" t="s">
        <v>12</v>
      </c>
      <c r="D309" t="s">
        <v>17</v>
      </c>
      <c r="E309" t="s">
        <v>23</v>
      </c>
      <c r="F309">
        <v>4574.99</v>
      </c>
    </row>
    <row r="310" spans="1:6" x14ac:dyDescent="0.35">
      <c r="A310">
        <v>1291</v>
      </c>
      <c r="B310" s="2">
        <v>45488.375085336993</v>
      </c>
      <c r="C310" t="s">
        <v>7</v>
      </c>
      <c r="D310" t="s">
        <v>18</v>
      </c>
      <c r="E310" t="s">
        <v>25</v>
      </c>
      <c r="F310">
        <v>7226.64</v>
      </c>
    </row>
    <row r="311" spans="1:6" x14ac:dyDescent="0.35">
      <c r="A311">
        <v>1187</v>
      </c>
      <c r="B311" s="2">
        <v>45488.375085336993</v>
      </c>
      <c r="C311" t="s">
        <v>10</v>
      </c>
      <c r="D311" t="s">
        <v>22</v>
      </c>
      <c r="E311" t="s">
        <v>23</v>
      </c>
      <c r="F311">
        <v>4657.91</v>
      </c>
    </row>
    <row r="312" spans="1:6" x14ac:dyDescent="0.35">
      <c r="A312">
        <v>1378</v>
      </c>
      <c r="B312" s="2">
        <v>45488.375085336993</v>
      </c>
      <c r="C312" t="s">
        <v>14</v>
      </c>
      <c r="D312" t="s">
        <v>22</v>
      </c>
      <c r="E312" t="s">
        <v>25</v>
      </c>
      <c r="F312">
        <v>3898.24</v>
      </c>
    </row>
    <row r="313" spans="1:6" x14ac:dyDescent="0.35">
      <c r="A313">
        <v>1206</v>
      </c>
      <c r="B313" s="2">
        <v>45488.375085336993</v>
      </c>
      <c r="C313" t="s">
        <v>7</v>
      </c>
      <c r="D313" t="s">
        <v>17</v>
      </c>
      <c r="E313" t="s">
        <v>24</v>
      </c>
      <c r="F313">
        <v>5812.49</v>
      </c>
    </row>
    <row r="314" spans="1:6" x14ac:dyDescent="0.35">
      <c r="A314">
        <v>1336</v>
      </c>
      <c r="B314" s="2">
        <v>45488.375085336993</v>
      </c>
      <c r="C314" t="s">
        <v>11</v>
      </c>
      <c r="D314" t="s">
        <v>19</v>
      </c>
      <c r="E314" t="s">
        <v>24</v>
      </c>
      <c r="F314">
        <v>2449.85</v>
      </c>
    </row>
    <row r="315" spans="1:6" x14ac:dyDescent="0.35">
      <c r="A315">
        <v>1115</v>
      </c>
      <c r="B315" s="2">
        <v>45488.375085336993</v>
      </c>
      <c r="C315" t="s">
        <v>15</v>
      </c>
      <c r="D315" t="s">
        <v>22</v>
      </c>
      <c r="E315" t="s">
        <v>25</v>
      </c>
      <c r="F315">
        <v>1709.76</v>
      </c>
    </row>
    <row r="316" spans="1:6" x14ac:dyDescent="0.35">
      <c r="A316">
        <v>1378</v>
      </c>
      <c r="B316" s="2">
        <v>45489.375085336993</v>
      </c>
      <c r="C316" t="s">
        <v>13</v>
      </c>
      <c r="D316" t="s">
        <v>17</v>
      </c>
      <c r="E316" t="s">
        <v>23</v>
      </c>
      <c r="F316">
        <v>11973.75</v>
      </c>
    </row>
    <row r="317" spans="1:6" x14ac:dyDescent="0.35">
      <c r="A317">
        <v>1114</v>
      </c>
      <c r="B317" s="2">
        <v>45489.375085336993</v>
      </c>
      <c r="C317" t="s">
        <v>10</v>
      </c>
      <c r="D317" t="s">
        <v>17</v>
      </c>
      <c r="E317" t="s">
        <v>24</v>
      </c>
      <c r="F317">
        <v>3132.18</v>
      </c>
    </row>
    <row r="318" spans="1:6" x14ac:dyDescent="0.35">
      <c r="A318">
        <v>1042</v>
      </c>
      <c r="B318" s="2">
        <v>45489.375085336993</v>
      </c>
      <c r="C318" t="s">
        <v>12</v>
      </c>
      <c r="D318" t="s">
        <v>20</v>
      </c>
      <c r="E318" t="s">
        <v>24</v>
      </c>
      <c r="F318">
        <v>3103.22</v>
      </c>
    </row>
    <row r="319" spans="1:6" x14ac:dyDescent="0.35">
      <c r="A319">
        <v>1289</v>
      </c>
      <c r="B319" s="2">
        <v>45489.375085336993</v>
      </c>
      <c r="C319" t="s">
        <v>13</v>
      </c>
      <c r="D319" t="s">
        <v>18</v>
      </c>
      <c r="E319" t="s">
        <v>25</v>
      </c>
      <c r="F319">
        <v>4877.7</v>
      </c>
    </row>
    <row r="320" spans="1:6" x14ac:dyDescent="0.35">
      <c r="A320">
        <v>1024</v>
      </c>
      <c r="B320" s="2">
        <v>45489.375085336993</v>
      </c>
      <c r="C320" t="s">
        <v>8</v>
      </c>
      <c r="D320" t="s">
        <v>18</v>
      </c>
      <c r="E320" t="s">
        <v>25</v>
      </c>
      <c r="F320">
        <v>2974.35</v>
      </c>
    </row>
    <row r="321" spans="1:6" x14ac:dyDescent="0.35">
      <c r="A321">
        <v>1248</v>
      </c>
      <c r="B321" s="2">
        <v>45490.375085336993</v>
      </c>
      <c r="C321" t="s">
        <v>6</v>
      </c>
      <c r="D321" t="s">
        <v>16</v>
      </c>
      <c r="E321" t="s">
        <v>25</v>
      </c>
      <c r="F321">
        <v>2088</v>
      </c>
    </row>
    <row r="322" spans="1:6" x14ac:dyDescent="0.35">
      <c r="A322">
        <v>1061</v>
      </c>
      <c r="B322" s="2">
        <v>45491.375085336993</v>
      </c>
      <c r="C322" t="s">
        <v>11</v>
      </c>
      <c r="D322" t="s">
        <v>20</v>
      </c>
      <c r="E322" t="s">
        <v>24</v>
      </c>
      <c r="F322">
        <v>1356.07</v>
      </c>
    </row>
    <row r="323" spans="1:6" x14ac:dyDescent="0.35">
      <c r="A323">
        <v>1052</v>
      </c>
      <c r="B323" s="2">
        <v>45491.375085336993</v>
      </c>
      <c r="C323" t="s">
        <v>15</v>
      </c>
      <c r="D323" t="s">
        <v>21</v>
      </c>
      <c r="E323" t="s">
        <v>24</v>
      </c>
      <c r="F323">
        <v>8422.39</v>
      </c>
    </row>
    <row r="324" spans="1:6" x14ac:dyDescent="0.35">
      <c r="A324">
        <v>1315</v>
      </c>
      <c r="B324" s="2">
        <v>45491.375085336993</v>
      </c>
      <c r="C324" t="s">
        <v>7</v>
      </c>
      <c r="D324" t="s">
        <v>16</v>
      </c>
      <c r="E324" t="s">
        <v>24</v>
      </c>
      <c r="F324">
        <v>6559.63</v>
      </c>
    </row>
    <row r="325" spans="1:6" x14ac:dyDescent="0.35">
      <c r="A325">
        <v>1154</v>
      </c>
      <c r="B325" s="2">
        <v>45492.375085336993</v>
      </c>
      <c r="C325" t="s">
        <v>11</v>
      </c>
      <c r="D325" t="s">
        <v>20</v>
      </c>
      <c r="E325" t="s">
        <v>24</v>
      </c>
      <c r="F325">
        <v>6216.99</v>
      </c>
    </row>
    <row r="326" spans="1:6" x14ac:dyDescent="0.35">
      <c r="A326">
        <v>1257</v>
      </c>
      <c r="B326" s="2">
        <v>45492.375085336993</v>
      </c>
      <c r="C326" t="s">
        <v>14</v>
      </c>
      <c r="D326" t="s">
        <v>16</v>
      </c>
      <c r="E326" t="s">
        <v>23</v>
      </c>
      <c r="F326">
        <v>1072.6199999999999</v>
      </c>
    </row>
    <row r="327" spans="1:6" x14ac:dyDescent="0.35">
      <c r="A327">
        <v>1057</v>
      </c>
      <c r="B327" s="2">
        <v>45492.375085336993</v>
      </c>
      <c r="C327" t="s">
        <v>10</v>
      </c>
      <c r="D327" t="s">
        <v>16</v>
      </c>
      <c r="E327" t="s">
        <v>25</v>
      </c>
      <c r="F327">
        <v>4471.58</v>
      </c>
    </row>
    <row r="328" spans="1:6" x14ac:dyDescent="0.35">
      <c r="A328">
        <v>1300</v>
      </c>
      <c r="B328" s="2">
        <v>45492.375085336993</v>
      </c>
      <c r="C328" t="s">
        <v>13</v>
      </c>
      <c r="D328" t="s">
        <v>16</v>
      </c>
      <c r="E328" t="s">
        <v>25</v>
      </c>
      <c r="F328">
        <v>3690</v>
      </c>
    </row>
    <row r="329" spans="1:6" x14ac:dyDescent="0.35">
      <c r="A329">
        <v>1300</v>
      </c>
      <c r="B329" s="2">
        <v>45493.375085336993</v>
      </c>
      <c r="C329" t="s">
        <v>8</v>
      </c>
      <c r="D329" t="s">
        <v>18</v>
      </c>
      <c r="E329" t="s">
        <v>24</v>
      </c>
      <c r="F329">
        <v>9389.9699999999993</v>
      </c>
    </row>
    <row r="330" spans="1:6" x14ac:dyDescent="0.35">
      <c r="A330">
        <v>1215</v>
      </c>
      <c r="B330" s="2">
        <v>45493.375085336993</v>
      </c>
      <c r="C330" t="s">
        <v>10</v>
      </c>
      <c r="D330" t="s">
        <v>18</v>
      </c>
      <c r="E330" t="s">
        <v>23</v>
      </c>
      <c r="F330">
        <v>7551.75</v>
      </c>
    </row>
    <row r="331" spans="1:6" x14ac:dyDescent="0.35">
      <c r="A331">
        <v>1292</v>
      </c>
      <c r="B331" s="2">
        <v>45493.375085336993</v>
      </c>
      <c r="C331" t="s">
        <v>11</v>
      </c>
      <c r="D331" t="s">
        <v>17</v>
      </c>
      <c r="E331" t="s">
        <v>24</v>
      </c>
      <c r="F331">
        <v>2583.4299999999998</v>
      </c>
    </row>
    <row r="332" spans="1:6" x14ac:dyDescent="0.35">
      <c r="A332">
        <v>1008</v>
      </c>
      <c r="B332" s="2">
        <v>45493.375085336993</v>
      </c>
      <c r="C332" t="s">
        <v>10</v>
      </c>
      <c r="D332" t="s">
        <v>18</v>
      </c>
      <c r="E332" t="s">
        <v>23</v>
      </c>
      <c r="F332">
        <v>542.91</v>
      </c>
    </row>
    <row r="333" spans="1:6" x14ac:dyDescent="0.35">
      <c r="A333">
        <v>1279</v>
      </c>
      <c r="B333" s="2">
        <v>45493.375085336993</v>
      </c>
      <c r="C333" t="s">
        <v>7</v>
      </c>
      <c r="D333" t="s">
        <v>20</v>
      </c>
      <c r="E333" t="s">
        <v>25</v>
      </c>
      <c r="F333">
        <v>5294.88</v>
      </c>
    </row>
    <row r="334" spans="1:6" x14ac:dyDescent="0.35">
      <c r="A334">
        <v>1212</v>
      </c>
      <c r="B334" s="2">
        <v>45494.375085336993</v>
      </c>
      <c r="C334" t="s">
        <v>9</v>
      </c>
      <c r="D334" t="s">
        <v>21</v>
      </c>
      <c r="E334" t="s">
        <v>23</v>
      </c>
      <c r="F334">
        <v>3632.2</v>
      </c>
    </row>
    <row r="335" spans="1:6" x14ac:dyDescent="0.35">
      <c r="A335">
        <v>1103</v>
      </c>
      <c r="B335" s="2">
        <v>45494.375085336993</v>
      </c>
      <c r="C335" t="s">
        <v>11</v>
      </c>
      <c r="D335" t="s">
        <v>21</v>
      </c>
      <c r="E335" t="s">
        <v>24</v>
      </c>
      <c r="F335">
        <v>6745.87</v>
      </c>
    </row>
    <row r="336" spans="1:6" x14ac:dyDescent="0.35">
      <c r="A336">
        <v>1129</v>
      </c>
      <c r="B336" s="2">
        <v>45494.375085336993</v>
      </c>
      <c r="C336" t="s">
        <v>14</v>
      </c>
      <c r="D336" t="s">
        <v>21</v>
      </c>
      <c r="E336" t="s">
        <v>25</v>
      </c>
      <c r="F336">
        <v>4037.88</v>
      </c>
    </row>
    <row r="337" spans="1:6" x14ac:dyDescent="0.35">
      <c r="A337">
        <v>1000</v>
      </c>
      <c r="B337" s="2">
        <v>45495.375085336993</v>
      </c>
      <c r="C337" t="s">
        <v>10</v>
      </c>
      <c r="D337" t="s">
        <v>17</v>
      </c>
      <c r="E337" t="s">
        <v>24</v>
      </c>
      <c r="F337">
        <v>7698.96</v>
      </c>
    </row>
    <row r="338" spans="1:6" x14ac:dyDescent="0.35">
      <c r="A338">
        <v>1085</v>
      </c>
      <c r="B338" s="2">
        <v>45495.375085336993</v>
      </c>
      <c r="C338" t="s">
        <v>8</v>
      </c>
      <c r="D338" t="s">
        <v>18</v>
      </c>
      <c r="E338" t="s">
        <v>23</v>
      </c>
      <c r="F338">
        <v>4433.66</v>
      </c>
    </row>
    <row r="339" spans="1:6" x14ac:dyDescent="0.35">
      <c r="A339">
        <v>1135</v>
      </c>
      <c r="B339" s="2">
        <v>45495.375085336993</v>
      </c>
      <c r="C339" t="s">
        <v>10</v>
      </c>
      <c r="D339" t="s">
        <v>22</v>
      </c>
      <c r="E339" t="s">
        <v>23</v>
      </c>
      <c r="F339">
        <v>2778.16</v>
      </c>
    </row>
    <row r="340" spans="1:6" x14ac:dyDescent="0.35">
      <c r="A340">
        <v>1107</v>
      </c>
      <c r="B340" s="2">
        <v>45495.375085336993</v>
      </c>
      <c r="C340" t="s">
        <v>10</v>
      </c>
      <c r="D340" t="s">
        <v>20</v>
      </c>
      <c r="E340" t="s">
        <v>24</v>
      </c>
      <c r="F340">
        <v>316.27999999999997</v>
      </c>
    </row>
    <row r="341" spans="1:6" x14ac:dyDescent="0.35">
      <c r="A341">
        <v>1000</v>
      </c>
      <c r="B341" s="2">
        <v>45496.375085336993</v>
      </c>
      <c r="C341" t="s">
        <v>14</v>
      </c>
      <c r="D341" t="s">
        <v>22</v>
      </c>
      <c r="E341" t="s">
        <v>23</v>
      </c>
      <c r="F341">
        <v>1241.18</v>
      </c>
    </row>
    <row r="342" spans="1:6" x14ac:dyDescent="0.35">
      <c r="A342">
        <v>1346</v>
      </c>
      <c r="B342" s="2">
        <v>45496.375085336993</v>
      </c>
      <c r="C342" t="s">
        <v>11</v>
      </c>
      <c r="D342" t="s">
        <v>21</v>
      </c>
      <c r="E342" t="s">
        <v>23</v>
      </c>
      <c r="F342">
        <v>3880.86</v>
      </c>
    </row>
    <row r="343" spans="1:6" x14ac:dyDescent="0.35">
      <c r="A343">
        <v>1331</v>
      </c>
      <c r="B343" s="2">
        <v>45496.375085336993</v>
      </c>
      <c r="C343" t="s">
        <v>10</v>
      </c>
      <c r="D343" t="s">
        <v>17</v>
      </c>
      <c r="E343" t="s">
        <v>23</v>
      </c>
      <c r="F343">
        <v>4155.68</v>
      </c>
    </row>
    <row r="344" spans="1:6" x14ac:dyDescent="0.35">
      <c r="A344">
        <v>1006</v>
      </c>
      <c r="B344" s="2">
        <v>45496.375085336993</v>
      </c>
      <c r="C344" t="s">
        <v>14</v>
      </c>
      <c r="D344" t="s">
        <v>22</v>
      </c>
      <c r="E344" t="s">
        <v>23</v>
      </c>
      <c r="F344">
        <v>7055.43</v>
      </c>
    </row>
    <row r="345" spans="1:6" x14ac:dyDescent="0.35">
      <c r="A345">
        <v>1397</v>
      </c>
      <c r="B345" s="2">
        <v>45497.375085336993</v>
      </c>
      <c r="C345" t="s">
        <v>12</v>
      </c>
      <c r="D345" t="s">
        <v>19</v>
      </c>
      <c r="E345" t="s">
        <v>24</v>
      </c>
      <c r="F345">
        <v>4151.67</v>
      </c>
    </row>
    <row r="346" spans="1:6" x14ac:dyDescent="0.35">
      <c r="A346">
        <v>1160</v>
      </c>
      <c r="B346" s="2">
        <v>45497.375085336993</v>
      </c>
      <c r="C346" t="s">
        <v>6</v>
      </c>
      <c r="D346" t="s">
        <v>17</v>
      </c>
      <c r="E346" t="s">
        <v>24</v>
      </c>
      <c r="F346">
        <v>6854.64</v>
      </c>
    </row>
    <row r="347" spans="1:6" x14ac:dyDescent="0.35">
      <c r="A347">
        <v>1078</v>
      </c>
      <c r="B347" s="2">
        <v>45498.375085336993</v>
      </c>
      <c r="C347" t="s">
        <v>7</v>
      </c>
      <c r="D347" t="s">
        <v>17</v>
      </c>
      <c r="E347" t="s">
        <v>24</v>
      </c>
      <c r="F347">
        <v>1571.55</v>
      </c>
    </row>
    <row r="348" spans="1:6" x14ac:dyDescent="0.35">
      <c r="A348">
        <v>1083</v>
      </c>
      <c r="B348" s="2">
        <v>45498.375085336993</v>
      </c>
      <c r="C348" t="s">
        <v>14</v>
      </c>
      <c r="D348" t="s">
        <v>16</v>
      </c>
      <c r="E348" t="s">
        <v>24</v>
      </c>
      <c r="F348">
        <v>2328.5100000000002</v>
      </c>
    </row>
    <row r="349" spans="1:6" x14ac:dyDescent="0.35">
      <c r="A349">
        <v>1170</v>
      </c>
      <c r="B349" s="2">
        <v>45498.375085336993</v>
      </c>
      <c r="C349" t="s">
        <v>11</v>
      </c>
      <c r="D349" t="s">
        <v>17</v>
      </c>
      <c r="E349" t="s">
        <v>25</v>
      </c>
      <c r="F349">
        <v>4250.49</v>
      </c>
    </row>
    <row r="350" spans="1:6" x14ac:dyDescent="0.35">
      <c r="A350">
        <v>1095</v>
      </c>
      <c r="B350" s="2">
        <v>45498.375085336993</v>
      </c>
      <c r="C350" t="s">
        <v>7</v>
      </c>
      <c r="D350" t="s">
        <v>21</v>
      </c>
      <c r="E350" t="s">
        <v>25</v>
      </c>
      <c r="F350">
        <v>8074.14</v>
      </c>
    </row>
    <row r="351" spans="1:6" x14ac:dyDescent="0.35">
      <c r="A351">
        <v>1096</v>
      </c>
      <c r="B351" s="2">
        <v>45498.375085336993</v>
      </c>
      <c r="C351" t="s">
        <v>10</v>
      </c>
      <c r="D351" t="s">
        <v>17</v>
      </c>
      <c r="E351" t="s">
        <v>23</v>
      </c>
      <c r="F351">
        <v>636.16</v>
      </c>
    </row>
    <row r="352" spans="1:6" x14ac:dyDescent="0.35">
      <c r="A352">
        <v>1380</v>
      </c>
      <c r="B352" s="2">
        <v>45498.375085336993</v>
      </c>
      <c r="C352" t="s">
        <v>7</v>
      </c>
      <c r="D352" t="s">
        <v>21</v>
      </c>
      <c r="E352" t="s">
        <v>23</v>
      </c>
      <c r="F352">
        <v>1820.46</v>
      </c>
    </row>
    <row r="353" spans="1:6" x14ac:dyDescent="0.35">
      <c r="A353">
        <v>1302</v>
      </c>
      <c r="B353" s="2">
        <v>45498.375085336993</v>
      </c>
      <c r="C353" t="s">
        <v>14</v>
      </c>
      <c r="D353" t="s">
        <v>16</v>
      </c>
      <c r="E353" t="s">
        <v>25</v>
      </c>
      <c r="F353">
        <v>758.86</v>
      </c>
    </row>
    <row r="354" spans="1:6" x14ac:dyDescent="0.35">
      <c r="A354">
        <v>1103</v>
      </c>
      <c r="B354" s="2">
        <v>45498.375085336993</v>
      </c>
      <c r="C354" t="s">
        <v>8</v>
      </c>
      <c r="D354" t="s">
        <v>18</v>
      </c>
      <c r="E354" t="s">
        <v>24</v>
      </c>
      <c r="F354">
        <v>2826.13</v>
      </c>
    </row>
    <row r="355" spans="1:6" x14ac:dyDescent="0.35">
      <c r="A355">
        <v>1250</v>
      </c>
      <c r="B355" s="2">
        <v>45499.375085336993</v>
      </c>
      <c r="C355" t="s">
        <v>12</v>
      </c>
      <c r="D355" t="s">
        <v>20</v>
      </c>
      <c r="E355" t="s">
        <v>23</v>
      </c>
      <c r="F355">
        <v>4750.09</v>
      </c>
    </row>
    <row r="356" spans="1:6" x14ac:dyDescent="0.35">
      <c r="A356">
        <v>1153</v>
      </c>
      <c r="B356" s="2">
        <v>45499.375085336993</v>
      </c>
      <c r="C356" t="s">
        <v>10</v>
      </c>
      <c r="D356" t="s">
        <v>22</v>
      </c>
      <c r="E356" t="s">
        <v>25</v>
      </c>
      <c r="F356">
        <v>3219.89</v>
      </c>
    </row>
    <row r="357" spans="1:6" x14ac:dyDescent="0.35">
      <c r="A357">
        <v>1362</v>
      </c>
      <c r="B357" s="2">
        <v>45500.375085336993</v>
      </c>
      <c r="C357" t="s">
        <v>15</v>
      </c>
      <c r="D357" t="s">
        <v>16</v>
      </c>
      <c r="E357" t="s">
        <v>25</v>
      </c>
      <c r="F357">
        <v>6884.27</v>
      </c>
    </row>
    <row r="358" spans="1:6" x14ac:dyDescent="0.35">
      <c r="A358">
        <v>1345</v>
      </c>
      <c r="B358" s="2">
        <v>45501.375085336993</v>
      </c>
      <c r="C358" t="s">
        <v>7</v>
      </c>
      <c r="D358" t="s">
        <v>20</v>
      </c>
      <c r="E358" t="s">
        <v>23</v>
      </c>
      <c r="F358">
        <v>2434.04</v>
      </c>
    </row>
    <row r="359" spans="1:6" x14ac:dyDescent="0.35">
      <c r="A359">
        <v>1268</v>
      </c>
      <c r="B359" s="2">
        <v>45501.375085336993</v>
      </c>
      <c r="C359" t="s">
        <v>11</v>
      </c>
      <c r="D359" t="s">
        <v>19</v>
      </c>
      <c r="E359" t="s">
        <v>23</v>
      </c>
      <c r="F359">
        <v>5135.6499999999996</v>
      </c>
    </row>
    <row r="360" spans="1:6" x14ac:dyDescent="0.35">
      <c r="A360">
        <v>1157</v>
      </c>
      <c r="B360" s="2">
        <v>45501.375085336993</v>
      </c>
      <c r="C360" t="s">
        <v>15</v>
      </c>
      <c r="D360" t="s">
        <v>19</v>
      </c>
      <c r="E360" t="s">
        <v>24</v>
      </c>
      <c r="F360">
        <v>2686.74</v>
      </c>
    </row>
    <row r="361" spans="1:6" x14ac:dyDescent="0.35">
      <c r="A361">
        <v>1147</v>
      </c>
      <c r="B361" s="2">
        <v>45501.375085336993</v>
      </c>
      <c r="C361" t="s">
        <v>15</v>
      </c>
      <c r="D361" t="s">
        <v>21</v>
      </c>
      <c r="E361" t="s">
        <v>23</v>
      </c>
      <c r="F361">
        <v>3857.23</v>
      </c>
    </row>
    <row r="362" spans="1:6" x14ac:dyDescent="0.35">
      <c r="A362">
        <v>1394</v>
      </c>
      <c r="B362" s="2">
        <v>45501.375085336993</v>
      </c>
      <c r="C362" t="s">
        <v>13</v>
      </c>
      <c r="D362" t="s">
        <v>20</v>
      </c>
      <c r="E362" t="s">
        <v>24</v>
      </c>
      <c r="F362">
        <v>4473.55</v>
      </c>
    </row>
    <row r="363" spans="1:6" x14ac:dyDescent="0.35">
      <c r="A363">
        <v>1249</v>
      </c>
      <c r="B363" s="2">
        <v>45502.375085336993</v>
      </c>
      <c r="C363" t="s">
        <v>9</v>
      </c>
      <c r="D363" t="s">
        <v>16</v>
      </c>
      <c r="E363" t="s">
        <v>25</v>
      </c>
      <c r="F363">
        <v>6417.38</v>
      </c>
    </row>
    <row r="364" spans="1:6" x14ac:dyDescent="0.35">
      <c r="A364">
        <v>1058</v>
      </c>
      <c r="B364" s="2">
        <v>45502.375085336993</v>
      </c>
      <c r="C364" t="s">
        <v>8</v>
      </c>
      <c r="D364" t="s">
        <v>20</v>
      </c>
      <c r="E364" t="s">
        <v>24</v>
      </c>
      <c r="F364">
        <v>2460.7199999999998</v>
      </c>
    </row>
    <row r="365" spans="1:6" x14ac:dyDescent="0.35">
      <c r="A365">
        <v>1159</v>
      </c>
      <c r="B365" s="2">
        <v>45502.375085336993</v>
      </c>
      <c r="C365" t="s">
        <v>9</v>
      </c>
      <c r="D365" t="s">
        <v>19</v>
      </c>
      <c r="E365" t="s">
        <v>24</v>
      </c>
      <c r="F365">
        <v>6632.92</v>
      </c>
    </row>
    <row r="366" spans="1:6" x14ac:dyDescent="0.35">
      <c r="A366">
        <v>1007</v>
      </c>
      <c r="B366" s="2">
        <v>45503.375085336993</v>
      </c>
      <c r="C366" t="s">
        <v>6</v>
      </c>
      <c r="D366" t="s">
        <v>18</v>
      </c>
      <c r="E366" t="s">
        <v>24</v>
      </c>
      <c r="F366">
        <v>4982.91</v>
      </c>
    </row>
    <row r="367" spans="1:6" x14ac:dyDescent="0.35">
      <c r="A367">
        <v>1159</v>
      </c>
      <c r="B367" s="2">
        <v>45503.375085336993</v>
      </c>
      <c r="C367" t="s">
        <v>14</v>
      </c>
      <c r="D367" t="s">
        <v>19</v>
      </c>
      <c r="E367" t="s">
        <v>23</v>
      </c>
      <c r="F367">
        <v>964.48</v>
      </c>
    </row>
    <row r="368" spans="1:6" x14ac:dyDescent="0.35">
      <c r="A368">
        <v>1025</v>
      </c>
      <c r="B368" s="2">
        <v>45503.375085336993</v>
      </c>
      <c r="C368" t="s">
        <v>7</v>
      </c>
      <c r="D368" t="s">
        <v>21</v>
      </c>
      <c r="E368" t="s">
        <v>23</v>
      </c>
      <c r="F368">
        <v>4373.87</v>
      </c>
    </row>
    <row r="369" spans="1:6" x14ac:dyDescent="0.35">
      <c r="A369">
        <v>1085</v>
      </c>
      <c r="B369" s="2">
        <v>45503.375085336993</v>
      </c>
      <c r="C369" t="s">
        <v>7</v>
      </c>
      <c r="D369" t="s">
        <v>22</v>
      </c>
      <c r="E369" t="s">
        <v>23</v>
      </c>
      <c r="F369">
        <v>7222.74</v>
      </c>
    </row>
    <row r="370" spans="1:6" x14ac:dyDescent="0.35">
      <c r="A370">
        <v>1180</v>
      </c>
      <c r="B370" s="2">
        <v>45504.375085336993</v>
      </c>
      <c r="C370" t="s">
        <v>9</v>
      </c>
      <c r="D370" t="s">
        <v>17</v>
      </c>
      <c r="E370" t="s">
        <v>24</v>
      </c>
      <c r="F370">
        <v>5988.3</v>
      </c>
    </row>
    <row r="371" spans="1:6" x14ac:dyDescent="0.35">
      <c r="A371">
        <v>1212</v>
      </c>
      <c r="B371" s="2">
        <v>45504.375085336993</v>
      </c>
      <c r="C371" t="s">
        <v>12</v>
      </c>
      <c r="D371" t="s">
        <v>22</v>
      </c>
      <c r="E371" t="s">
        <v>25</v>
      </c>
      <c r="F371">
        <v>7890.35</v>
      </c>
    </row>
    <row r="372" spans="1:6" x14ac:dyDescent="0.35">
      <c r="A372">
        <v>1083</v>
      </c>
      <c r="B372" s="2">
        <v>45504.375085336993</v>
      </c>
      <c r="C372" t="s">
        <v>10</v>
      </c>
      <c r="D372" t="s">
        <v>17</v>
      </c>
      <c r="E372" t="s">
        <v>24</v>
      </c>
      <c r="F372">
        <v>3573.84</v>
      </c>
    </row>
    <row r="373" spans="1:6" x14ac:dyDescent="0.35">
      <c r="A373">
        <v>1041</v>
      </c>
      <c r="B373" s="2">
        <v>45505.375085336993</v>
      </c>
      <c r="C373" t="s">
        <v>15</v>
      </c>
      <c r="D373" t="s">
        <v>21</v>
      </c>
      <c r="E373" t="s">
        <v>25</v>
      </c>
      <c r="F373">
        <v>3245.23</v>
      </c>
    </row>
    <row r="374" spans="1:6" x14ac:dyDescent="0.35">
      <c r="A374">
        <v>1170</v>
      </c>
      <c r="B374" s="2">
        <v>45505.375085336993</v>
      </c>
      <c r="C374" t="s">
        <v>9</v>
      </c>
      <c r="D374" t="s">
        <v>21</v>
      </c>
      <c r="E374" t="s">
        <v>25</v>
      </c>
      <c r="F374">
        <v>5184.45</v>
      </c>
    </row>
    <row r="375" spans="1:6" x14ac:dyDescent="0.35">
      <c r="A375">
        <v>1066</v>
      </c>
      <c r="B375" s="2">
        <v>45505.375085336993</v>
      </c>
      <c r="C375" t="s">
        <v>14</v>
      </c>
      <c r="D375" t="s">
        <v>18</v>
      </c>
      <c r="E375" t="s">
        <v>23</v>
      </c>
      <c r="F375">
        <v>2169.4699999999998</v>
      </c>
    </row>
    <row r="376" spans="1:6" x14ac:dyDescent="0.35">
      <c r="A376">
        <v>1024</v>
      </c>
      <c r="B376" s="2">
        <v>45505.375085336993</v>
      </c>
      <c r="C376" t="s">
        <v>10</v>
      </c>
      <c r="D376" t="s">
        <v>20</v>
      </c>
      <c r="E376" t="s">
        <v>25</v>
      </c>
      <c r="F376">
        <v>2715.35</v>
      </c>
    </row>
    <row r="377" spans="1:6" x14ac:dyDescent="0.35">
      <c r="A377">
        <v>1273</v>
      </c>
      <c r="B377" s="2">
        <v>45506.375085336993</v>
      </c>
      <c r="C377" t="s">
        <v>15</v>
      </c>
      <c r="D377" t="s">
        <v>22</v>
      </c>
      <c r="E377" t="s">
        <v>23</v>
      </c>
      <c r="F377">
        <v>1484.7</v>
      </c>
    </row>
    <row r="378" spans="1:6" x14ac:dyDescent="0.35">
      <c r="A378">
        <v>1153</v>
      </c>
      <c r="B378" s="2">
        <v>45506.375085336993</v>
      </c>
      <c r="C378" t="s">
        <v>11</v>
      </c>
      <c r="D378" t="s">
        <v>21</v>
      </c>
      <c r="E378" t="s">
        <v>25</v>
      </c>
      <c r="F378">
        <v>2146.2399999999998</v>
      </c>
    </row>
    <row r="379" spans="1:6" x14ac:dyDescent="0.35">
      <c r="A379">
        <v>1141</v>
      </c>
      <c r="B379" s="2">
        <v>45506.375085336993</v>
      </c>
      <c r="C379" t="s">
        <v>12</v>
      </c>
      <c r="D379" t="s">
        <v>19</v>
      </c>
      <c r="E379" t="s">
        <v>25</v>
      </c>
      <c r="F379">
        <v>2764.68</v>
      </c>
    </row>
    <row r="380" spans="1:6" x14ac:dyDescent="0.35">
      <c r="A380">
        <v>1088</v>
      </c>
      <c r="B380" s="2">
        <v>45507.375085336993</v>
      </c>
      <c r="C380" t="s">
        <v>14</v>
      </c>
      <c r="D380" t="s">
        <v>16</v>
      </c>
      <c r="E380" t="s">
        <v>25</v>
      </c>
      <c r="F380">
        <v>1339.48</v>
      </c>
    </row>
    <row r="381" spans="1:6" x14ac:dyDescent="0.35">
      <c r="A381">
        <v>1351</v>
      </c>
      <c r="B381" s="2">
        <v>45507.375085336993</v>
      </c>
      <c r="C381" t="s">
        <v>15</v>
      </c>
      <c r="D381" t="s">
        <v>22</v>
      </c>
      <c r="E381" t="s">
        <v>25</v>
      </c>
      <c r="F381">
        <v>2180.73</v>
      </c>
    </row>
    <row r="382" spans="1:6" x14ac:dyDescent="0.35">
      <c r="A382">
        <v>1392</v>
      </c>
      <c r="B382" s="2">
        <v>45507.375085336993</v>
      </c>
      <c r="C382" t="s">
        <v>8</v>
      </c>
      <c r="D382" t="s">
        <v>22</v>
      </c>
      <c r="E382" t="s">
        <v>24</v>
      </c>
      <c r="F382">
        <v>4507.1400000000003</v>
      </c>
    </row>
    <row r="383" spans="1:6" x14ac:dyDescent="0.35">
      <c r="A383">
        <v>1317</v>
      </c>
      <c r="B383" s="2">
        <v>45507.375085336993</v>
      </c>
      <c r="C383" t="s">
        <v>15</v>
      </c>
      <c r="D383" t="s">
        <v>17</v>
      </c>
      <c r="E383" t="s">
        <v>24</v>
      </c>
      <c r="F383">
        <v>3408.36</v>
      </c>
    </row>
    <row r="384" spans="1:6" x14ac:dyDescent="0.35">
      <c r="A384">
        <v>1040</v>
      </c>
      <c r="B384" s="2">
        <v>45507.375085336993</v>
      </c>
      <c r="C384" t="s">
        <v>11</v>
      </c>
      <c r="D384" t="s">
        <v>16</v>
      </c>
      <c r="E384" t="s">
        <v>25</v>
      </c>
      <c r="F384">
        <v>11048.72</v>
      </c>
    </row>
    <row r="385" spans="1:6" x14ac:dyDescent="0.35">
      <c r="A385">
        <v>1015</v>
      </c>
      <c r="B385" s="2">
        <v>45508.375085336993</v>
      </c>
      <c r="C385" t="s">
        <v>7</v>
      </c>
      <c r="D385" t="s">
        <v>20</v>
      </c>
      <c r="E385" t="s">
        <v>23</v>
      </c>
      <c r="F385">
        <v>1663.8</v>
      </c>
    </row>
    <row r="386" spans="1:6" x14ac:dyDescent="0.35">
      <c r="A386">
        <v>1119</v>
      </c>
      <c r="B386" s="2">
        <v>45508.375085336993</v>
      </c>
      <c r="C386" t="s">
        <v>12</v>
      </c>
      <c r="D386" t="s">
        <v>19</v>
      </c>
      <c r="E386" t="s">
        <v>23</v>
      </c>
      <c r="F386">
        <v>1423.72</v>
      </c>
    </row>
    <row r="387" spans="1:6" x14ac:dyDescent="0.35">
      <c r="A387">
        <v>1284</v>
      </c>
      <c r="B387" s="2">
        <v>45508.375085336993</v>
      </c>
      <c r="C387" t="s">
        <v>10</v>
      </c>
      <c r="D387" t="s">
        <v>19</v>
      </c>
      <c r="E387" t="s">
        <v>23</v>
      </c>
      <c r="F387">
        <v>6403.89</v>
      </c>
    </row>
    <row r="388" spans="1:6" x14ac:dyDescent="0.35">
      <c r="A388">
        <v>1161</v>
      </c>
      <c r="B388" s="2">
        <v>45509.375085336993</v>
      </c>
      <c r="C388" t="s">
        <v>15</v>
      </c>
      <c r="D388" t="s">
        <v>19</v>
      </c>
      <c r="E388" t="s">
        <v>23</v>
      </c>
      <c r="F388">
        <v>3921.31</v>
      </c>
    </row>
    <row r="389" spans="1:6" x14ac:dyDescent="0.35">
      <c r="A389">
        <v>1201</v>
      </c>
      <c r="B389" s="2">
        <v>45509.375085336993</v>
      </c>
      <c r="C389" t="s">
        <v>9</v>
      </c>
      <c r="D389" t="s">
        <v>19</v>
      </c>
      <c r="E389" t="s">
        <v>23</v>
      </c>
      <c r="F389">
        <v>2669.55</v>
      </c>
    </row>
    <row r="390" spans="1:6" x14ac:dyDescent="0.35">
      <c r="A390">
        <v>1202</v>
      </c>
      <c r="B390" s="2">
        <v>45509.375085336993</v>
      </c>
      <c r="C390" t="s">
        <v>9</v>
      </c>
      <c r="D390" t="s">
        <v>22</v>
      </c>
      <c r="E390" t="s">
        <v>23</v>
      </c>
      <c r="F390">
        <v>3527.05</v>
      </c>
    </row>
    <row r="391" spans="1:6" x14ac:dyDescent="0.35">
      <c r="A391">
        <v>1133</v>
      </c>
      <c r="B391" s="2">
        <v>45509.375085336993</v>
      </c>
      <c r="C391" t="s">
        <v>6</v>
      </c>
      <c r="D391" t="s">
        <v>22</v>
      </c>
      <c r="E391" t="s">
        <v>24</v>
      </c>
      <c r="F391">
        <v>5710.57</v>
      </c>
    </row>
    <row r="392" spans="1:6" x14ac:dyDescent="0.35">
      <c r="A392">
        <v>1268</v>
      </c>
      <c r="B392" s="2">
        <v>45509.375085336993</v>
      </c>
      <c r="C392" t="s">
        <v>9</v>
      </c>
      <c r="D392" t="s">
        <v>21</v>
      </c>
      <c r="E392" t="s">
        <v>24</v>
      </c>
      <c r="F392">
        <v>2043.25</v>
      </c>
    </row>
    <row r="393" spans="1:6" x14ac:dyDescent="0.35">
      <c r="A393">
        <v>1037</v>
      </c>
      <c r="B393" s="2">
        <v>45509.375085336993</v>
      </c>
      <c r="C393" t="s">
        <v>14</v>
      </c>
      <c r="D393" t="s">
        <v>17</v>
      </c>
      <c r="E393" t="s">
        <v>23</v>
      </c>
      <c r="F393">
        <v>5349.19</v>
      </c>
    </row>
    <row r="394" spans="1:6" x14ac:dyDescent="0.35">
      <c r="A394">
        <v>1125</v>
      </c>
      <c r="B394" s="2">
        <v>45509.375085336993</v>
      </c>
      <c r="C394" t="s">
        <v>14</v>
      </c>
      <c r="D394" t="s">
        <v>19</v>
      </c>
      <c r="E394" t="s">
        <v>24</v>
      </c>
      <c r="F394">
        <v>3748.33</v>
      </c>
    </row>
    <row r="395" spans="1:6" x14ac:dyDescent="0.35">
      <c r="A395">
        <v>1036</v>
      </c>
      <c r="B395" s="2">
        <v>45509.375085336993</v>
      </c>
      <c r="C395" t="s">
        <v>15</v>
      </c>
      <c r="D395" t="s">
        <v>20</v>
      </c>
      <c r="E395" t="s">
        <v>25</v>
      </c>
      <c r="F395">
        <v>368.86</v>
      </c>
    </row>
    <row r="396" spans="1:6" x14ac:dyDescent="0.35">
      <c r="A396">
        <v>1160</v>
      </c>
      <c r="B396" s="2">
        <v>45510.375085336993</v>
      </c>
      <c r="C396" t="s">
        <v>12</v>
      </c>
      <c r="D396" t="s">
        <v>18</v>
      </c>
      <c r="E396" t="s">
        <v>23</v>
      </c>
      <c r="F396">
        <v>4296.01</v>
      </c>
    </row>
    <row r="397" spans="1:6" x14ac:dyDescent="0.35">
      <c r="A397">
        <v>1101</v>
      </c>
      <c r="B397" s="2">
        <v>45510.375085336993</v>
      </c>
      <c r="C397" t="s">
        <v>11</v>
      </c>
      <c r="D397" t="s">
        <v>19</v>
      </c>
      <c r="E397" t="s">
        <v>24</v>
      </c>
      <c r="F397">
        <v>4075.55</v>
      </c>
    </row>
    <row r="398" spans="1:6" x14ac:dyDescent="0.35">
      <c r="A398">
        <v>1301</v>
      </c>
      <c r="B398" s="2">
        <v>45510.375085336993</v>
      </c>
      <c r="C398" t="s">
        <v>6</v>
      </c>
      <c r="D398" t="s">
        <v>22</v>
      </c>
      <c r="E398" t="s">
        <v>24</v>
      </c>
      <c r="F398">
        <v>4785.3</v>
      </c>
    </row>
    <row r="399" spans="1:6" x14ac:dyDescent="0.35">
      <c r="A399">
        <v>1271</v>
      </c>
      <c r="B399" s="2">
        <v>45510.375085336993</v>
      </c>
      <c r="C399" t="s">
        <v>13</v>
      </c>
      <c r="D399" t="s">
        <v>19</v>
      </c>
      <c r="E399" t="s">
        <v>23</v>
      </c>
      <c r="F399">
        <v>2762.08</v>
      </c>
    </row>
    <row r="400" spans="1:6" x14ac:dyDescent="0.35">
      <c r="A400">
        <v>1142</v>
      </c>
      <c r="B400" s="2">
        <v>45511.375085336993</v>
      </c>
      <c r="C400" t="s">
        <v>9</v>
      </c>
      <c r="D400" t="s">
        <v>20</v>
      </c>
      <c r="E400" t="s">
        <v>24</v>
      </c>
      <c r="F400">
        <v>11961.39</v>
      </c>
    </row>
    <row r="401" spans="1:6" x14ac:dyDescent="0.35">
      <c r="A401">
        <v>1151</v>
      </c>
      <c r="B401" s="2">
        <v>45511.375085336993</v>
      </c>
      <c r="C401" t="s">
        <v>11</v>
      </c>
      <c r="D401" t="s">
        <v>18</v>
      </c>
      <c r="E401" t="s">
        <v>24</v>
      </c>
      <c r="F401">
        <v>1073.77</v>
      </c>
    </row>
    <row r="402" spans="1:6" x14ac:dyDescent="0.35">
      <c r="A402">
        <v>1128</v>
      </c>
      <c r="B402" s="2">
        <v>45511.375085336993</v>
      </c>
      <c r="C402" t="s">
        <v>6</v>
      </c>
      <c r="D402" t="s">
        <v>18</v>
      </c>
      <c r="E402" t="s">
        <v>25</v>
      </c>
      <c r="F402">
        <v>5173.16</v>
      </c>
    </row>
    <row r="403" spans="1:6" x14ac:dyDescent="0.35">
      <c r="A403">
        <v>1012</v>
      </c>
      <c r="B403" s="2">
        <v>45512.375085336993</v>
      </c>
      <c r="C403" t="s">
        <v>6</v>
      </c>
      <c r="D403" t="s">
        <v>17</v>
      </c>
      <c r="E403" t="s">
        <v>24</v>
      </c>
      <c r="F403">
        <v>3681.81</v>
      </c>
    </row>
    <row r="404" spans="1:6" x14ac:dyDescent="0.35">
      <c r="A404">
        <v>1145</v>
      </c>
      <c r="B404" s="2">
        <v>45512.375085336993</v>
      </c>
      <c r="C404" t="s">
        <v>14</v>
      </c>
      <c r="D404" t="s">
        <v>19</v>
      </c>
      <c r="E404" t="s">
        <v>23</v>
      </c>
      <c r="F404">
        <v>5012.57</v>
      </c>
    </row>
    <row r="405" spans="1:6" x14ac:dyDescent="0.35">
      <c r="A405">
        <v>1153</v>
      </c>
      <c r="B405" s="2">
        <v>45512.375085336993</v>
      </c>
      <c r="C405" t="s">
        <v>15</v>
      </c>
      <c r="D405" t="s">
        <v>19</v>
      </c>
      <c r="E405" t="s">
        <v>23</v>
      </c>
      <c r="F405">
        <v>619.78</v>
      </c>
    </row>
    <row r="406" spans="1:6" x14ac:dyDescent="0.35">
      <c r="A406">
        <v>1228</v>
      </c>
      <c r="B406" s="2">
        <v>45513.375085336993</v>
      </c>
      <c r="C406" t="s">
        <v>15</v>
      </c>
      <c r="D406" t="s">
        <v>17</v>
      </c>
      <c r="E406" t="s">
        <v>23</v>
      </c>
      <c r="F406">
        <v>3641.84</v>
      </c>
    </row>
    <row r="407" spans="1:6" x14ac:dyDescent="0.35">
      <c r="A407">
        <v>1024</v>
      </c>
      <c r="B407" s="2">
        <v>45513.375085336993</v>
      </c>
      <c r="C407" t="s">
        <v>13</v>
      </c>
      <c r="D407" t="s">
        <v>17</v>
      </c>
      <c r="E407" t="s">
        <v>24</v>
      </c>
      <c r="F407">
        <v>4677.72</v>
      </c>
    </row>
    <row r="408" spans="1:6" x14ac:dyDescent="0.35">
      <c r="A408">
        <v>1314</v>
      </c>
      <c r="B408" s="2">
        <v>45513.375085336993</v>
      </c>
      <c r="C408" t="s">
        <v>15</v>
      </c>
      <c r="D408" t="s">
        <v>17</v>
      </c>
      <c r="E408" t="s">
        <v>23</v>
      </c>
      <c r="F408">
        <v>8381.77</v>
      </c>
    </row>
    <row r="409" spans="1:6" x14ac:dyDescent="0.35">
      <c r="A409">
        <v>1249</v>
      </c>
      <c r="B409" s="2">
        <v>45514.375085336993</v>
      </c>
      <c r="C409" t="s">
        <v>7</v>
      </c>
      <c r="D409" t="s">
        <v>16</v>
      </c>
      <c r="E409" t="s">
        <v>24</v>
      </c>
      <c r="F409">
        <v>5443.63</v>
      </c>
    </row>
    <row r="410" spans="1:6" x14ac:dyDescent="0.35">
      <c r="A410">
        <v>1360</v>
      </c>
      <c r="B410" s="2">
        <v>45514.375085336993</v>
      </c>
      <c r="C410" t="s">
        <v>6</v>
      </c>
      <c r="D410" t="s">
        <v>19</v>
      </c>
      <c r="E410" t="s">
        <v>25</v>
      </c>
      <c r="F410">
        <v>1539.64</v>
      </c>
    </row>
    <row r="411" spans="1:6" x14ac:dyDescent="0.35">
      <c r="A411">
        <v>1099</v>
      </c>
      <c r="B411" s="2">
        <v>45514.375085336993</v>
      </c>
      <c r="C411" t="s">
        <v>14</v>
      </c>
      <c r="D411" t="s">
        <v>21</v>
      </c>
      <c r="E411" t="s">
        <v>24</v>
      </c>
      <c r="F411">
        <v>4726.7700000000004</v>
      </c>
    </row>
    <row r="412" spans="1:6" x14ac:dyDescent="0.35">
      <c r="A412">
        <v>1268</v>
      </c>
      <c r="B412" s="2">
        <v>45514.375085336993</v>
      </c>
      <c r="C412" t="s">
        <v>6</v>
      </c>
      <c r="D412" t="s">
        <v>19</v>
      </c>
      <c r="E412" t="s">
        <v>23</v>
      </c>
      <c r="F412">
        <v>8398.9500000000007</v>
      </c>
    </row>
    <row r="413" spans="1:6" x14ac:dyDescent="0.35">
      <c r="A413">
        <v>1117</v>
      </c>
      <c r="B413" s="2">
        <v>45514.375085336993</v>
      </c>
      <c r="C413" t="s">
        <v>8</v>
      </c>
      <c r="D413" t="s">
        <v>20</v>
      </c>
      <c r="E413" t="s">
        <v>25</v>
      </c>
      <c r="F413">
        <v>5573.49</v>
      </c>
    </row>
    <row r="414" spans="1:6" x14ac:dyDescent="0.35">
      <c r="A414">
        <v>1361</v>
      </c>
      <c r="B414" s="2">
        <v>45514.375085336993</v>
      </c>
      <c r="C414" t="s">
        <v>6</v>
      </c>
      <c r="D414" t="s">
        <v>20</v>
      </c>
      <c r="E414" t="s">
        <v>23</v>
      </c>
      <c r="F414">
        <v>6107.4</v>
      </c>
    </row>
    <row r="415" spans="1:6" x14ac:dyDescent="0.35">
      <c r="A415">
        <v>1258</v>
      </c>
      <c r="B415" s="2">
        <v>45514.375085336993</v>
      </c>
      <c r="C415" t="s">
        <v>12</v>
      </c>
      <c r="D415" t="s">
        <v>19</v>
      </c>
      <c r="E415" t="s">
        <v>23</v>
      </c>
      <c r="F415">
        <v>2436.41</v>
      </c>
    </row>
    <row r="416" spans="1:6" x14ac:dyDescent="0.35">
      <c r="A416">
        <v>1201</v>
      </c>
      <c r="B416" s="2">
        <v>45514.375085336993</v>
      </c>
      <c r="C416" t="s">
        <v>6</v>
      </c>
      <c r="D416" t="s">
        <v>21</v>
      </c>
      <c r="E416" t="s">
        <v>23</v>
      </c>
      <c r="F416">
        <v>1016.95</v>
      </c>
    </row>
    <row r="417" spans="1:6" x14ac:dyDescent="0.35">
      <c r="A417">
        <v>1074</v>
      </c>
      <c r="B417" s="2">
        <v>45514.375085336993</v>
      </c>
      <c r="C417" t="s">
        <v>13</v>
      </c>
      <c r="D417" t="s">
        <v>17</v>
      </c>
      <c r="E417" t="s">
        <v>25</v>
      </c>
      <c r="F417">
        <v>4951.24</v>
      </c>
    </row>
    <row r="418" spans="1:6" x14ac:dyDescent="0.35">
      <c r="A418">
        <v>1031</v>
      </c>
      <c r="B418" s="2">
        <v>45514.375085336993</v>
      </c>
      <c r="C418" t="s">
        <v>14</v>
      </c>
      <c r="D418" t="s">
        <v>21</v>
      </c>
      <c r="E418" t="s">
        <v>23</v>
      </c>
      <c r="F418">
        <v>2634.61</v>
      </c>
    </row>
    <row r="419" spans="1:6" x14ac:dyDescent="0.35">
      <c r="A419">
        <v>1025</v>
      </c>
      <c r="B419" s="2">
        <v>45515.375085336993</v>
      </c>
      <c r="C419" t="s">
        <v>14</v>
      </c>
      <c r="D419" t="s">
        <v>18</v>
      </c>
      <c r="E419" t="s">
        <v>25</v>
      </c>
      <c r="F419">
        <v>4952.5200000000004</v>
      </c>
    </row>
    <row r="420" spans="1:6" x14ac:dyDescent="0.35">
      <c r="A420">
        <v>1276</v>
      </c>
      <c r="B420" s="2">
        <v>45516.375085336993</v>
      </c>
      <c r="C420" t="s">
        <v>6</v>
      </c>
      <c r="D420" t="s">
        <v>17</v>
      </c>
      <c r="E420" t="s">
        <v>23</v>
      </c>
      <c r="F420">
        <v>1493.69</v>
      </c>
    </row>
    <row r="421" spans="1:6" x14ac:dyDescent="0.35">
      <c r="A421">
        <v>1292</v>
      </c>
      <c r="B421" s="2">
        <v>45516.375085336993</v>
      </c>
      <c r="C421" t="s">
        <v>12</v>
      </c>
      <c r="D421" t="s">
        <v>21</v>
      </c>
      <c r="E421" t="s">
        <v>24</v>
      </c>
      <c r="F421">
        <v>409.85</v>
      </c>
    </row>
    <row r="422" spans="1:6" x14ac:dyDescent="0.35">
      <c r="A422">
        <v>1129</v>
      </c>
      <c r="B422" s="2">
        <v>45516.375085336993</v>
      </c>
      <c r="C422" t="s">
        <v>6</v>
      </c>
      <c r="D422" t="s">
        <v>20</v>
      </c>
      <c r="E422" t="s">
        <v>25</v>
      </c>
      <c r="F422">
        <v>8060.33</v>
      </c>
    </row>
    <row r="423" spans="1:6" x14ac:dyDescent="0.35">
      <c r="A423">
        <v>1316</v>
      </c>
      <c r="B423" s="2">
        <v>45516.375085336993</v>
      </c>
      <c r="C423" t="s">
        <v>14</v>
      </c>
      <c r="D423" t="s">
        <v>19</v>
      </c>
      <c r="E423" t="s">
        <v>24</v>
      </c>
      <c r="F423">
        <v>5925.93</v>
      </c>
    </row>
    <row r="424" spans="1:6" x14ac:dyDescent="0.35">
      <c r="A424">
        <v>1307</v>
      </c>
      <c r="B424" s="2">
        <v>45516.375085336993</v>
      </c>
      <c r="C424" t="s">
        <v>11</v>
      </c>
      <c r="D424" t="s">
        <v>19</v>
      </c>
      <c r="E424" t="s">
        <v>23</v>
      </c>
      <c r="F424">
        <v>4124.4799999999996</v>
      </c>
    </row>
    <row r="425" spans="1:6" x14ac:dyDescent="0.35">
      <c r="A425">
        <v>1136</v>
      </c>
      <c r="B425" s="2">
        <v>45516.375085336993</v>
      </c>
      <c r="C425" t="s">
        <v>15</v>
      </c>
      <c r="D425" t="s">
        <v>20</v>
      </c>
      <c r="E425" t="s">
        <v>23</v>
      </c>
      <c r="F425">
        <v>4368.8999999999996</v>
      </c>
    </row>
    <row r="426" spans="1:6" x14ac:dyDescent="0.35">
      <c r="A426">
        <v>1379</v>
      </c>
      <c r="B426" s="2">
        <v>45516.375085336993</v>
      </c>
      <c r="C426" t="s">
        <v>13</v>
      </c>
      <c r="D426" t="s">
        <v>19</v>
      </c>
      <c r="E426" t="s">
        <v>24</v>
      </c>
      <c r="F426">
        <v>5972.47</v>
      </c>
    </row>
    <row r="427" spans="1:6" x14ac:dyDescent="0.35">
      <c r="A427">
        <v>1164</v>
      </c>
      <c r="B427" s="2">
        <v>45517.375085336993</v>
      </c>
      <c r="C427" t="s">
        <v>13</v>
      </c>
      <c r="D427" t="s">
        <v>17</v>
      </c>
      <c r="E427" t="s">
        <v>23</v>
      </c>
      <c r="F427">
        <v>1539.58</v>
      </c>
    </row>
    <row r="428" spans="1:6" x14ac:dyDescent="0.35">
      <c r="A428">
        <v>1143</v>
      </c>
      <c r="B428" s="2">
        <v>45517.375085336993</v>
      </c>
      <c r="C428" t="s">
        <v>9</v>
      </c>
      <c r="D428" t="s">
        <v>21</v>
      </c>
      <c r="E428" t="s">
        <v>24</v>
      </c>
      <c r="F428">
        <v>4907.6499999999996</v>
      </c>
    </row>
    <row r="429" spans="1:6" x14ac:dyDescent="0.35">
      <c r="A429">
        <v>1157</v>
      </c>
      <c r="B429" s="2">
        <v>45517.375085336993</v>
      </c>
      <c r="C429" t="s">
        <v>14</v>
      </c>
      <c r="D429" t="s">
        <v>18</v>
      </c>
      <c r="E429" t="s">
        <v>25</v>
      </c>
      <c r="F429">
        <v>4339.04</v>
      </c>
    </row>
    <row r="430" spans="1:6" x14ac:dyDescent="0.35">
      <c r="A430">
        <v>1120</v>
      </c>
      <c r="B430" s="2">
        <v>45517.375085336993</v>
      </c>
      <c r="C430" t="s">
        <v>14</v>
      </c>
      <c r="D430" t="s">
        <v>17</v>
      </c>
      <c r="E430" t="s">
        <v>25</v>
      </c>
      <c r="F430">
        <v>4448.51</v>
      </c>
    </row>
    <row r="431" spans="1:6" x14ac:dyDescent="0.35">
      <c r="A431">
        <v>1326</v>
      </c>
      <c r="B431" s="2">
        <v>45517.375085336993</v>
      </c>
      <c r="C431" t="s">
        <v>7</v>
      </c>
      <c r="D431" t="s">
        <v>21</v>
      </c>
      <c r="E431" t="s">
        <v>25</v>
      </c>
      <c r="F431">
        <v>3433.75</v>
      </c>
    </row>
    <row r="432" spans="1:6" x14ac:dyDescent="0.35">
      <c r="A432">
        <v>1101</v>
      </c>
      <c r="B432" s="2">
        <v>45517.375085336993</v>
      </c>
      <c r="C432" t="s">
        <v>12</v>
      </c>
      <c r="D432" t="s">
        <v>17</v>
      </c>
      <c r="E432" t="s">
        <v>25</v>
      </c>
      <c r="F432">
        <v>8880.68</v>
      </c>
    </row>
    <row r="433" spans="1:6" x14ac:dyDescent="0.35">
      <c r="A433">
        <v>1022</v>
      </c>
      <c r="B433" s="2">
        <v>45518.375085336993</v>
      </c>
      <c r="C433" t="s">
        <v>9</v>
      </c>
      <c r="D433" t="s">
        <v>19</v>
      </c>
      <c r="E433" t="s">
        <v>24</v>
      </c>
      <c r="F433">
        <v>5226.6099999999997</v>
      </c>
    </row>
    <row r="434" spans="1:6" x14ac:dyDescent="0.35">
      <c r="A434">
        <v>1276</v>
      </c>
      <c r="B434" s="2">
        <v>45518.375085336993</v>
      </c>
      <c r="C434" t="s">
        <v>14</v>
      </c>
      <c r="D434" t="s">
        <v>16</v>
      </c>
      <c r="E434" t="s">
        <v>25</v>
      </c>
      <c r="F434">
        <v>6136.23</v>
      </c>
    </row>
    <row r="435" spans="1:6" x14ac:dyDescent="0.35">
      <c r="A435">
        <v>1235</v>
      </c>
      <c r="B435" s="2">
        <v>45518.375085336993</v>
      </c>
      <c r="C435" t="s">
        <v>8</v>
      </c>
      <c r="D435" t="s">
        <v>18</v>
      </c>
      <c r="E435" t="s">
        <v>25</v>
      </c>
      <c r="F435">
        <v>2455.02</v>
      </c>
    </row>
    <row r="436" spans="1:6" x14ac:dyDescent="0.35">
      <c r="A436">
        <v>1129</v>
      </c>
      <c r="B436" s="2">
        <v>45518.375085336993</v>
      </c>
      <c r="C436" t="s">
        <v>7</v>
      </c>
      <c r="D436" t="s">
        <v>21</v>
      </c>
      <c r="E436" t="s">
        <v>25</v>
      </c>
      <c r="F436">
        <v>902.5</v>
      </c>
    </row>
    <row r="437" spans="1:6" x14ac:dyDescent="0.35">
      <c r="A437">
        <v>1097</v>
      </c>
      <c r="B437" s="2">
        <v>45518.375085336993</v>
      </c>
      <c r="C437" t="s">
        <v>15</v>
      </c>
      <c r="D437" t="s">
        <v>21</v>
      </c>
      <c r="E437" t="s">
        <v>23</v>
      </c>
      <c r="F437">
        <v>3632.11</v>
      </c>
    </row>
    <row r="438" spans="1:6" x14ac:dyDescent="0.35">
      <c r="A438">
        <v>1037</v>
      </c>
      <c r="B438" s="2">
        <v>45518.375085336993</v>
      </c>
      <c r="C438" t="s">
        <v>6</v>
      </c>
      <c r="D438" t="s">
        <v>22</v>
      </c>
      <c r="E438" t="s">
        <v>23</v>
      </c>
      <c r="F438">
        <v>252.24</v>
      </c>
    </row>
    <row r="439" spans="1:6" x14ac:dyDescent="0.35">
      <c r="A439">
        <v>1043</v>
      </c>
      <c r="B439" s="2">
        <v>45518.375085336993</v>
      </c>
      <c r="C439" t="s">
        <v>14</v>
      </c>
      <c r="D439" t="s">
        <v>19</v>
      </c>
      <c r="E439" t="s">
        <v>23</v>
      </c>
      <c r="F439">
        <v>2419.09</v>
      </c>
    </row>
    <row r="440" spans="1:6" x14ac:dyDescent="0.35">
      <c r="A440">
        <v>1083</v>
      </c>
      <c r="B440" s="2">
        <v>45518.375085336993</v>
      </c>
      <c r="C440" t="s">
        <v>12</v>
      </c>
      <c r="D440" t="s">
        <v>17</v>
      </c>
      <c r="E440" t="s">
        <v>23</v>
      </c>
      <c r="F440">
        <v>6118.5</v>
      </c>
    </row>
    <row r="441" spans="1:6" x14ac:dyDescent="0.35">
      <c r="A441">
        <v>1223</v>
      </c>
      <c r="B441" s="2">
        <v>45519.375085336993</v>
      </c>
      <c r="C441" t="s">
        <v>11</v>
      </c>
      <c r="D441" t="s">
        <v>19</v>
      </c>
      <c r="E441" t="s">
        <v>23</v>
      </c>
      <c r="F441">
        <v>1529.63</v>
      </c>
    </row>
    <row r="442" spans="1:6" x14ac:dyDescent="0.35">
      <c r="A442">
        <v>1065</v>
      </c>
      <c r="B442" s="2">
        <v>45519.375085336993</v>
      </c>
      <c r="C442" t="s">
        <v>9</v>
      </c>
      <c r="D442" t="s">
        <v>16</v>
      </c>
      <c r="E442" t="s">
        <v>25</v>
      </c>
      <c r="F442">
        <v>781.69</v>
      </c>
    </row>
    <row r="443" spans="1:6" x14ac:dyDescent="0.35">
      <c r="A443">
        <v>1363</v>
      </c>
      <c r="B443" s="2">
        <v>45519.375085336993</v>
      </c>
      <c r="C443" t="s">
        <v>13</v>
      </c>
      <c r="D443" t="s">
        <v>20</v>
      </c>
      <c r="E443" t="s">
        <v>23</v>
      </c>
      <c r="F443">
        <v>1217.6500000000001</v>
      </c>
    </row>
    <row r="444" spans="1:6" x14ac:dyDescent="0.35">
      <c r="A444">
        <v>1232</v>
      </c>
      <c r="B444" s="2">
        <v>45520.375085336993</v>
      </c>
      <c r="C444" t="s">
        <v>13</v>
      </c>
      <c r="D444" t="s">
        <v>17</v>
      </c>
      <c r="E444" t="s">
        <v>24</v>
      </c>
      <c r="F444">
        <v>2383.35</v>
      </c>
    </row>
    <row r="445" spans="1:6" x14ac:dyDescent="0.35">
      <c r="A445">
        <v>1283</v>
      </c>
      <c r="B445" s="2">
        <v>45520.375085336993</v>
      </c>
      <c r="C445" t="s">
        <v>8</v>
      </c>
      <c r="D445" t="s">
        <v>21</v>
      </c>
      <c r="E445" t="s">
        <v>25</v>
      </c>
      <c r="F445">
        <v>962.19</v>
      </c>
    </row>
    <row r="446" spans="1:6" x14ac:dyDescent="0.35">
      <c r="A446">
        <v>1378</v>
      </c>
      <c r="B446" s="2">
        <v>45520.375085336993</v>
      </c>
      <c r="C446" t="s">
        <v>9</v>
      </c>
      <c r="D446" t="s">
        <v>22</v>
      </c>
      <c r="E446" t="s">
        <v>24</v>
      </c>
      <c r="F446">
        <v>8351.84</v>
      </c>
    </row>
    <row r="447" spans="1:6" x14ac:dyDescent="0.35">
      <c r="A447">
        <v>1180</v>
      </c>
      <c r="B447" s="2">
        <v>45521.375085336993</v>
      </c>
      <c r="C447" t="s">
        <v>6</v>
      </c>
      <c r="D447" t="s">
        <v>20</v>
      </c>
      <c r="E447" t="s">
        <v>24</v>
      </c>
      <c r="F447">
        <v>2489.35</v>
      </c>
    </row>
    <row r="448" spans="1:6" x14ac:dyDescent="0.35">
      <c r="A448">
        <v>1373</v>
      </c>
      <c r="B448" s="2">
        <v>45521.375085336993</v>
      </c>
      <c r="C448" t="s">
        <v>9</v>
      </c>
      <c r="D448" t="s">
        <v>18</v>
      </c>
      <c r="E448" t="s">
        <v>23</v>
      </c>
      <c r="F448">
        <v>9944.57</v>
      </c>
    </row>
    <row r="449" spans="1:6" x14ac:dyDescent="0.35">
      <c r="A449">
        <v>1390</v>
      </c>
      <c r="B449" s="2">
        <v>45521.375085336993</v>
      </c>
      <c r="C449" t="s">
        <v>14</v>
      </c>
      <c r="D449" t="s">
        <v>16</v>
      </c>
      <c r="E449" t="s">
        <v>25</v>
      </c>
      <c r="F449">
        <v>2478.02</v>
      </c>
    </row>
    <row r="450" spans="1:6" x14ac:dyDescent="0.35">
      <c r="A450">
        <v>1002</v>
      </c>
      <c r="B450" s="2">
        <v>45521.375085336993</v>
      </c>
      <c r="C450" t="s">
        <v>9</v>
      </c>
      <c r="D450" t="s">
        <v>19</v>
      </c>
      <c r="E450" t="s">
        <v>23</v>
      </c>
      <c r="F450">
        <v>7309.47</v>
      </c>
    </row>
    <row r="451" spans="1:6" x14ac:dyDescent="0.35">
      <c r="A451">
        <v>1311</v>
      </c>
      <c r="B451" s="2">
        <v>45521.375085336993</v>
      </c>
      <c r="C451" t="s">
        <v>7</v>
      </c>
      <c r="D451" t="s">
        <v>17</v>
      </c>
      <c r="E451" t="s">
        <v>25</v>
      </c>
      <c r="F451">
        <v>1544.69</v>
      </c>
    </row>
    <row r="452" spans="1:6" x14ac:dyDescent="0.35">
      <c r="A452">
        <v>1149</v>
      </c>
      <c r="B452" s="2">
        <v>45522.375085336993</v>
      </c>
      <c r="C452" t="s">
        <v>7</v>
      </c>
      <c r="D452" t="s">
        <v>20</v>
      </c>
      <c r="E452" t="s">
        <v>24</v>
      </c>
      <c r="F452">
        <v>4829.63</v>
      </c>
    </row>
    <row r="453" spans="1:6" x14ac:dyDescent="0.35">
      <c r="A453">
        <v>1372</v>
      </c>
      <c r="B453" s="2">
        <v>45522.375085336993</v>
      </c>
      <c r="C453" t="s">
        <v>13</v>
      </c>
      <c r="D453" t="s">
        <v>17</v>
      </c>
      <c r="E453" t="s">
        <v>23</v>
      </c>
      <c r="F453">
        <v>3333.59</v>
      </c>
    </row>
    <row r="454" spans="1:6" x14ac:dyDescent="0.35">
      <c r="A454">
        <v>1218</v>
      </c>
      <c r="B454" s="2">
        <v>45523.375085336993</v>
      </c>
      <c r="C454" t="s">
        <v>8</v>
      </c>
      <c r="D454" t="s">
        <v>21</v>
      </c>
      <c r="E454" t="s">
        <v>23</v>
      </c>
      <c r="F454">
        <v>10978.19</v>
      </c>
    </row>
    <row r="455" spans="1:6" x14ac:dyDescent="0.35">
      <c r="A455">
        <v>1283</v>
      </c>
      <c r="B455" s="2">
        <v>45523.375085336993</v>
      </c>
      <c r="C455" t="s">
        <v>10</v>
      </c>
      <c r="D455" t="s">
        <v>19</v>
      </c>
      <c r="E455" t="s">
        <v>25</v>
      </c>
      <c r="F455">
        <v>2044.55</v>
      </c>
    </row>
    <row r="456" spans="1:6" x14ac:dyDescent="0.35">
      <c r="A456">
        <v>1058</v>
      </c>
      <c r="B456" s="2">
        <v>45523.375085336993</v>
      </c>
      <c r="C456" t="s">
        <v>7</v>
      </c>
      <c r="D456" t="s">
        <v>22</v>
      </c>
      <c r="E456" t="s">
        <v>25</v>
      </c>
      <c r="F456">
        <v>3883.4</v>
      </c>
    </row>
    <row r="457" spans="1:6" x14ac:dyDescent="0.35">
      <c r="A457">
        <v>1119</v>
      </c>
      <c r="B457" s="2">
        <v>45523.375085336993</v>
      </c>
      <c r="C457" t="s">
        <v>12</v>
      </c>
      <c r="D457" t="s">
        <v>16</v>
      </c>
      <c r="E457" t="s">
        <v>23</v>
      </c>
      <c r="F457">
        <v>4964.6099999999997</v>
      </c>
    </row>
    <row r="458" spans="1:6" x14ac:dyDescent="0.35">
      <c r="A458">
        <v>1376</v>
      </c>
      <c r="B458" s="2">
        <v>45523.375085336993</v>
      </c>
      <c r="C458" t="s">
        <v>6</v>
      </c>
      <c r="D458" t="s">
        <v>16</v>
      </c>
      <c r="E458" t="s">
        <v>24</v>
      </c>
      <c r="F458">
        <v>6340.02</v>
      </c>
    </row>
    <row r="459" spans="1:6" x14ac:dyDescent="0.35">
      <c r="A459">
        <v>1226</v>
      </c>
      <c r="B459" s="2">
        <v>45523.375085336993</v>
      </c>
      <c r="C459" t="s">
        <v>12</v>
      </c>
      <c r="D459" t="s">
        <v>21</v>
      </c>
      <c r="E459" t="s">
        <v>24</v>
      </c>
      <c r="F459">
        <v>3217.8</v>
      </c>
    </row>
    <row r="460" spans="1:6" x14ac:dyDescent="0.35">
      <c r="A460">
        <v>1336</v>
      </c>
      <c r="B460" s="2">
        <v>45523.375085336993</v>
      </c>
      <c r="C460" t="s">
        <v>15</v>
      </c>
      <c r="D460" t="s">
        <v>19</v>
      </c>
      <c r="E460" t="s">
        <v>23</v>
      </c>
      <c r="F460">
        <v>3784.4</v>
      </c>
    </row>
    <row r="461" spans="1:6" x14ac:dyDescent="0.35">
      <c r="A461">
        <v>1263</v>
      </c>
      <c r="B461" s="2">
        <v>45524.375085336993</v>
      </c>
      <c r="C461" t="s">
        <v>6</v>
      </c>
      <c r="D461" t="s">
        <v>17</v>
      </c>
      <c r="E461" t="s">
        <v>25</v>
      </c>
      <c r="F461">
        <v>2812.54</v>
      </c>
    </row>
    <row r="462" spans="1:6" x14ac:dyDescent="0.35">
      <c r="A462">
        <v>1219</v>
      </c>
      <c r="B462" s="2">
        <v>45524.375085336993</v>
      </c>
      <c r="C462" t="s">
        <v>15</v>
      </c>
      <c r="D462" t="s">
        <v>20</v>
      </c>
      <c r="E462" t="s">
        <v>23</v>
      </c>
      <c r="F462">
        <v>3331.98</v>
      </c>
    </row>
    <row r="463" spans="1:6" x14ac:dyDescent="0.35">
      <c r="A463">
        <v>1279</v>
      </c>
      <c r="B463" s="2">
        <v>45525.375085336993</v>
      </c>
      <c r="C463" t="s">
        <v>9</v>
      </c>
      <c r="D463" t="s">
        <v>21</v>
      </c>
      <c r="E463" t="s">
        <v>25</v>
      </c>
      <c r="F463">
        <v>885.86</v>
      </c>
    </row>
    <row r="464" spans="1:6" x14ac:dyDescent="0.35">
      <c r="A464">
        <v>1118</v>
      </c>
      <c r="B464" s="2">
        <v>45525.375085336993</v>
      </c>
      <c r="C464" t="s">
        <v>6</v>
      </c>
      <c r="D464" t="s">
        <v>21</v>
      </c>
      <c r="E464" t="s">
        <v>25</v>
      </c>
      <c r="F464">
        <v>4506.1400000000003</v>
      </c>
    </row>
    <row r="465" spans="1:6" x14ac:dyDescent="0.35">
      <c r="A465">
        <v>1202</v>
      </c>
      <c r="B465" s="2">
        <v>45525.375085336993</v>
      </c>
      <c r="C465" t="s">
        <v>8</v>
      </c>
      <c r="D465" t="s">
        <v>17</v>
      </c>
      <c r="E465" t="s">
        <v>25</v>
      </c>
      <c r="F465">
        <v>279.93</v>
      </c>
    </row>
    <row r="466" spans="1:6" x14ac:dyDescent="0.35">
      <c r="A466">
        <v>1394</v>
      </c>
      <c r="B466" s="2">
        <v>45526.375085336993</v>
      </c>
      <c r="C466" t="s">
        <v>6</v>
      </c>
      <c r="D466" t="s">
        <v>20</v>
      </c>
      <c r="E466" t="s">
        <v>24</v>
      </c>
      <c r="F466">
        <v>970.98</v>
      </c>
    </row>
    <row r="467" spans="1:6" x14ac:dyDescent="0.35">
      <c r="A467">
        <v>1182</v>
      </c>
      <c r="B467" s="2">
        <v>45526.375085336993</v>
      </c>
      <c r="C467" t="s">
        <v>9</v>
      </c>
      <c r="D467" t="s">
        <v>16</v>
      </c>
      <c r="E467" t="s">
        <v>23</v>
      </c>
      <c r="F467">
        <v>10737.68</v>
      </c>
    </row>
    <row r="468" spans="1:6" x14ac:dyDescent="0.35">
      <c r="A468">
        <v>1364</v>
      </c>
      <c r="B468" s="2">
        <v>45527.375085336993</v>
      </c>
      <c r="C468" t="s">
        <v>14</v>
      </c>
      <c r="D468" t="s">
        <v>19</v>
      </c>
      <c r="E468" t="s">
        <v>25</v>
      </c>
      <c r="F468">
        <v>4977.1099999999997</v>
      </c>
    </row>
    <row r="469" spans="1:6" x14ac:dyDescent="0.35">
      <c r="A469">
        <v>1212</v>
      </c>
      <c r="B469" s="2">
        <v>45527.375085336993</v>
      </c>
      <c r="C469" t="s">
        <v>6</v>
      </c>
      <c r="D469" t="s">
        <v>18</v>
      </c>
      <c r="E469" t="s">
        <v>25</v>
      </c>
      <c r="F469">
        <v>3699.91</v>
      </c>
    </row>
    <row r="470" spans="1:6" x14ac:dyDescent="0.35">
      <c r="A470">
        <v>1385</v>
      </c>
      <c r="B470" s="2">
        <v>45527.375085336993</v>
      </c>
      <c r="C470" t="s">
        <v>7</v>
      </c>
      <c r="D470" t="s">
        <v>21</v>
      </c>
      <c r="E470" t="s">
        <v>23</v>
      </c>
      <c r="F470">
        <v>4599.0600000000004</v>
      </c>
    </row>
    <row r="471" spans="1:6" x14ac:dyDescent="0.35">
      <c r="A471">
        <v>1103</v>
      </c>
      <c r="B471" s="2">
        <v>45527.375085336993</v>
      </c>
      <c r="C471" t="s">
        <v>14</v>
      </c>
      <c r="D471" t="s">
        <v>19</v>
      </c>
      <c r="E471" t="s">
        <v>25</v>
      </c>
      <c r="F471">
        <v>4878.2700000000004</v>
      </c>
    </row>
    <row r="472" spans="1:6" x14ac:dyDescent="0.35">
      <c r="A472">
        <v>1228</v>
      </c>
      <c r="B472" s="2">
        <v>45528.375085336993</v>
      </c>
      <c r="C472" t="s">
        <v>11</v>
      </c>
      <c r="D472" t="s">
        <v>19</v>
      </c>
      <c r="E472" t="s">
        <v>23</v>
      </c>
      <c r="F472">
        <v>1406.84</v>
      </c>
    </row>
    <row r="473" spans="1:6" x14ac:dyDescent="0.35">
      <c r="A473">
        <v>1002</v>
      </c>
      <c r="B473" s="2">
        <v>45528.375085336993</v>
      </c>
      <c r="C473" t="s">
        <v>13</v>
      </c>
      <c r="D473" t="s">
        <v>21</v>
      </c>
      <c r="E473" t="s">
        <v>24</v>
      </c>
      <c r="F473">
        <v>1711.29</v>
      </c>
    </row>
    <row r="474" spans="1:6" x14ac:dyDescent="0.35">
      <c r="A474">
        <v>1309</v>
      </c>
      <c r="B474" s="2">
        <v>45529.375085336993</v>
      </c>
      <c r="C474" t="s">
        <v>13</v>
      </c>
      <c r="D474" t="s">
        <v>18</v>
      </c>
      <c r="E474" t="s">
        <v>24</v>
      </c>
      <c r="F474">
        <v>2536.9299999999998</v>
      </c>
    </row>
    <row r="475" spans="1:6" x14ac:dyDescent="0.35">
      <c r="A475">
        <v>1134</v>
      </c>
      <c r="B475" s="2">
        <v>45529.375085336993</v>
      </c>
      <c r="C475" t="s">
        <v>6</v>
      </c>
      <c r="D475" t="s">
        <v>20</v>
      </c>
      <c r="E475" t="s">
        <v>24</v>
      </c>
      <c r="F475">
        <v>3421.17</v>
      </c>
    </row>
    <row r="476" spans="1:6" x14ac:dyDescent="0.35">
      <c r="A476">
        <v>1100</v>
      </c>
      <c r="B476" s="2">
        <v>45529.375085336993</v>
      </c>
      <c r="C476" t="s">
        <v>13</v>
      </c>
      <c r="D476" t="s">
        <v>19</v>
      </c>
      <c r="E476" t="s">
        <v>23</v>
      </c>
      <c r="F476">
        <v>4588.13</v>
      </c>
    </row>
    <row r="477" spans="1:6" x14ac:dyDescent="0.35">
      <c r="A477">
        <v>1130</v>
      </c>
      <c r="B477" s="2">
        <v>45529.375085336993</v>
      </c>
      <c r="C477" t="s">
        <v>10</v>
      </c>
      <c r="D477" t="s">
        <v>19</v>
      </c>
      <c r="E477" t="s">
        <v>25</v>
      </c>
      <c r="F477">
        <v>1672.05</v>
      </c>
    </row>
    <row r="478" spans="1:6" x14ac:dyDescent="0.35">
      <c r="A478">
        <v>1337</v>
      </c>
      <c r="B478" s="2">
        <v>45529.375085336993</v>
      </c>
      <c r="C478" t="s">
        <v>8</v>
      </c>
      <c r="D478" t="s">
        <v>19</v>
      </c>
      <c r="E478" t="s">
        <v>24</v>
      </c>
      <c r="F478">
        <v>1275.23</v>
      </c>
    </row>
    <row r="479" spans="1:6" x14ac:dyDescent="0.35">
      <c r="A479">
        <v>1212</v>
      </c>
      <c r="B479" s="2">
        <v>45529.375085336993</v>
      </c>
      <c r="C479" t="s">
        <v>8</v>
      </c>
      <c r="D479" t="s">
        <v>22</v>
      </c>
      <c r="E479" t="s">
        <v>24</v>
      </c>
      <c r="F479">
        <v>1081.3</v>
      </c>
    </row>
    <row r="480" spans="1:6" x14ac:dyDescent="0.35">
      <c r="A480">
        <v>1326</v>
      </c>
      <c r="B480" s="2">
        <v>45529.375085336993</v>
      </c>
      <c r="C480" t="s">
        <v>8</v>
      </c>
      <c r="D480" t="s">
        <v>22</v>
      </c>
      <c r="E480" t="s">
        <v>23</v>
      </c>
      <c r="F480">
        <v>1950.61</v>
      </c>
    </row>
    <row r="481" spans="1:6" x14ac:dyDescent="0.35">
      <c r="A481">
        <v>1028</v>
      </c>
      <c r="B481" s="2">
        <v>45530.375085336993</v>
      </c>
      <c r="C481" t="s">
        <v>7</v>
      </c>
      <c r="D481" t="s">
        <v>20</v>
      </c>
      <c r="E481" t="s">
        <v>24</v>
      </c>
      <c r="F481">
        <v>1634.72</v>
      </c>
    </row>
    <row r="482" spans="1:6" x14ac:dyDescent="0.35">
      <c r="A482">
        <v>1320</v>
      </c>
      <c r="B482" s="2">
        <v>45530.375085336993</v>
      </c>
      <c r="C482" t="s">
        <v>10</v>
      </c>
      <c r="D482" t="s">
        <v>20</v>
      </c>
      <c r="E482" t="s">
        <v>24</v>
      </c>
      <c r="F482">
        <v>3086.28</v>
      </c>
    </row>
    <row r="483" spans="1:6" x14ac:dyDescent="0.35">
      <c r="A483">
        <v>1236</v>
      </c>
      <c r="B483" s="2">
        <v>45530.375085336993</v>
      </c>
      <c r="C483" t="s">
        <v>9</v>
      </c>
      <c r="D483" t="s">
        <v>20</v>
      </c>
      <c r="E483" t="s">
        <v>25</v>
      </c>
      <c r="F483">
        <v>2129.77</v>
      </c>
    </row>
    <row r="484" spans="1:6" x14ac:dyDescent="0.35">
      <c r="A484">
        <v>1222</v>
      </c>
      <c r="B484" s="2">
        <v>45530.375085336993</v>
      </c>
      <c r="C484" t="s">
        <v>15</v>
      </c>
      <c r="D484" t="s">
        <v>17</v>
      </c>
      <c r="E484" t="s">
        <v>23</v>
      </c>
      <c r="F484">
        <v>587.76</v>
      </c>
    </row>
    <row r="485" spans="1:6" x14ac:dyDescent="0.35">
      <c r="A485">
        <v>1282</v>
      </c>
      <c r="B485" s="2">
        <v>45530.375085336993</v>
      </c>
      <c r="C485" t="s">
        <v>10</v>
      </c>
      <c r="D485" t="s">
        <v>16</v>
      </c>
      <c r="E485" t="s">
        <v>25</v>
      </c>
      <c r="F485">
        <v>11716.62</v>
      </c>
    </row>
    <row r="486" spans="1:6" x14ac:dyDescent="0.35">
      <c r="A486">
        <v>1392</v>
      </c>
      <c r="B486" s="2">
        <v>45530.375085336993</v>
      </c>
      <c r="C486" t="s">
        <v>8</v>
      </c>
      <c r="D486" t="s">
        <v>19</v>
      </c>
      <c r="E486" t="s">
        <v>25</v>
      </c>
      <c r="F486">
        <v>2337.41</v>
      </c>
    </row>
    <row r="487" spans="1:6" x14ac:dyDescent="0.35">
      <c r="A487">
        <v>1110</v>
      </c>
      <c r="B487" s="2">
        <v>45531.375085336993</v>
      </c>
      <c r="C487" t="s">
        <v>6</v>
      </c>
      <c r="D487" t="s">
        <v>22</v>
      </c>
      <c r="E487" t="s">
        <v>24</v>
      </c>
      <c r="F487">
        <v>1954.87</v>
      </c>
    </row>
    <row r="488" spans="1:6" x14ac:dyDescent="0.35">
      <c r="A488">
        <v>1341</v>
      </c>
      <c r="B488" s="2">
        <v>45531.375085336993</v>
      </c>
      <c r="C488" t="s">
        <v>6</v>
      </c>
      <c r="D488" t="s">
        <v>21</v>
      </c>
      <c r="E488" t="s">
        <v>25</v>
      </c>
      <c r="F488">
        <v>3961.86</v>
      </c>
    </row>
    <row r="489" spans="1:6" x14ac:dyDescent="0.35">
      <c r="A489">
        <v>1041</v>
      </c>
      <c r="B489" s="2">
        <v>45531.375085336993</v>
      </c>
      <c r="C489" t="s">
        <v>11</v>
      </c>
      <c r="D489" t="s">
        <v>16</v>
      </c>
      <c r="E489" t="s">
        <v>25</v>
      </c>
      <c r="F489">
        <v>5044.1000000000004</v>
      </c>
    </row>
    <row r="490" spans="1:6" x14ac:dyDescent="0.35">
      <c r="A490">
        <v>1390</v>
      </c>
      <c r="B490" s="2">
        <v>45532.375085336993</v>
      </c>
      <c r="C490" t="s">
        <v>14</v>
      </c>
      <c r="D490" t="s">
        <v>20</v>
      </c>
      <c r="E490" t="s">
        <v>23</v>
      </c>
      <c r="F490">
        <v>8008.67</v>
      </c>
    </row>
    <row r="491" spans="1:6" x14ac:dyDescent="0.35">
      <c r="A491">
        <v>1241</v>
      </c>
      <c r="B491" s="2">
        <v>45532.375085336993</v>
      </c>
      <c r="C491" t="s">
        <v>10</v>
      </c>
      <c r="D491" t="s">
        <v>22</v>
      </c>
      <c r="E491" t="s">
        <v>25</v>
      </c>
      <c r="F491">
        <v>6074.49</v>
      </c>
    </row>
    <row r="492" spans="1:6" x14ac:dyDescent="0.35">
      <c r="A492">
        <v>1262</v>
      </c>
      <c r="B492" s="2">
        <v>45532.375085336993</v>
      </c>
      <c r="C492" t="s">
        <v>9</v>
      </c>
      <c r="D492" t="s">
        <v>16</v>
      </c>
      <c r="E492" t="s">
        <v>23</v>
      </c>
      <c r="F492">
        <v>3008.56</v>
      </c>
    </row>
    <row r="493" spans="1:6" x14ac:dyDescent="0.35">
      <c r="A493">
        <v>1022</v>
      </c>
      <c r="B493" s="2">
        <v>45532.375085336993</v>
      </c>
      <c r="C493" t="s">
        <v>12</v>
      </c>
      <c r="D493" t="s">
        <v>17</v>
      </c>
      <c r="E493" t="s">
        <v>24</v>
      </c>
      <c r="F493">
        <v>3002.45</v>
      </c>
    </row>
    <row r="494" spans="1:6" x14ac:dyDescent="0.35">
      <c r="A494">
        <v>1176</v>
      </c>
      <c r="B494" s="2">
        <v>45532.375085336993</v>
      </c>
      <c r="C494" t="s">
        <v>15</v>
      </c>
      <c r="D494" t="s">
        <v>17</v>
      </c>
      <c r="E494" t="s">
        <v>23</v>
      </c>
      <c r="F494">
        <v>1628.32</v>
      </c>
    </row>
    <row r="495" spans="1:6" x14ac:dyDescent="0.35">
      <c r="A495">
        <v>1151</v>
      </c>
      <c r="B495" s="2">
        <v>45532.375085336993</v>
      </c>
      <c r="C495" t="s">
        <v>9</v>
      </c>
      <c r="D495" t="s">
        <v>16</v>
      </c>
      <c r="E495" t="s">
        <v>25</v>
      </c>
      <c r="F495">
        <v>1833.82</v>
      </c>
    </row>
    <row r="496" spans="1:6" x14ac:dyDescent="0.35">
      <c r="A496">
        <v>1347</v>
      </c>
      <c r="B496" s="2">
        <v>45532.375085336993</v>
      </c>
      <c r="C496" t="s">
        <v>8</v>
      </c>
      <c r="D496" t="s">
        <v>21</v>
      </c>
      <c r="E496" t="s">
        <v>23</v>
      </c>
      <c r="F496">
        <v>923.45</v>
      </c>
    </row>
    <row r="497" spans="1:6" x14ac:dyDescent="0.35">
      <c r="A497">
        <v>1182</v>
      </c>
      <c r="B497" s="2">
        <v>45533.375085336993</v>
      </c>
      <c r="C497" t="s">
        <v>9</v>
      </c>
      <c r="D497" t="s">
        <v>22</v>
      </c>
      <c r="E497" t="s">
        <v>23</v>
      </c>
      <c r="F497">
        <v>2318.11</v>
      </c>
    </row>
    <row r="498" spans="1:6" x14ac:dyDescent="0.35">
      <c r="A498">
        <v>1353</v>
      </c>
      <c r="B498" s="2">
        <v>45533.375085336993</v>
      </c>
      <c r="C498" t="s">
        <v>7</v>
      </c>
      <c r="D498" t="s">
        <v>19</v>
      </c>
      <c r="E498" t="s">
        <v>23</v>
      </c>
      <c r="F498">
        <v>1268.03</v>
      </c>
    </row>
    <row r="499" spans="1:6" x14ac:dyDescent="0.35">
      <c r="A499">
        <v>1287</v>
      </c>
      <c r="B499" s="2">
        <v>45533.375085336993</v>
      </c>
      <c r="C499" t="s">
        <v>6</v>
      </c>
      <c r="D499" t="s">
        <v>21</v>
      </c>
      <c r="E499" t="s">
        <v>25</v>
      </c>
      <c r="F499">
        <v>3731.89</v>
      </c>
    </row>
    <row r="500" spans="1:6" x14ac:dyDescent="0.35">
      <c r="A500">
        <v>1040</v>
      </c>
      <c r="B500" s="2">
        <v>45533.375085336993</v>
      </c>
      <c r="C500" t="s">
        <v>14</v>
      </c>
      <c r="D500" t="s">
        <v>22</v>
      </c>
      <c r="E500" t="s">
        <v>24</v>
      </c>
      <c r="F500">
        <v>312.45</v>
      </c>
    </row>
    <row r="501" spans="1:6" x14ac:dyDescent="0.35">
      <c r="A501">
        <v>1380</v>
      </c>
      <c r="B501" s="2">
        <v>45533.375085336993</v>
      </c>
      <c r="C501" t="s">
        <v>7</v>
      </c>
      <c r="D501" t="s">
        <v>19</v>
      </c>
      <c r="E501" t="s">
        <v>23</v>
      </c>
      <c r="F501">
        <v>17398.810000000001</v>
      </c>
    </row>
    <row r="502" spans="1:6" x14ac:dyDescent="0.35">
      <c r="A502">
        <v>1370</v>
      </c>
      <c r="B502" s="2">
        <v>45534.375085336993</v>
      </c>
      <c r="C502" t="s">
        <v>6</v>
      </c>
      <c r="D502" t="s">
        <v>22</v>
      </c>
      <c r="E502" t="s">
        <v>23</v>
      </c>
      <c r="F502">
        <v>2372.88</v>
      </c>
    </row>
    <row r="503" spans="1:6" x14ac:dyDescent="0.35">
      <c r="A503">
        <v>1229</v>
      </c>
      <c r="B503" s="2">
        <v>45534.375085336993</v>
      </c>
      <c r="C503" t="s">
        <v>6</v>
      </c>
      <c r="D503" t="s">
        <v>21</v>
      </c>
      <c r="E503" t="s">
        <v>25</v>
      </c>
      <c r="F503">
        <v>1154.17</v>
      </c>
    </row>
    <row r="504" spans="1:6" x14ac:dyDescent="0.35">
      <c r="A504">
        <v>1325</v>
      </c>
      <c r="B504" s="2">
        <v>45534.375085336993</v>
      </c>
      <c r="C504" t="s">
        <v>15</v>
      </c>
      <c r="D504" t="s">
        <v>20</v>
      </c>
      <c r="E504" t="s">
        <v>25</v>
      </c>
      <c r="F504">
        <v>1250.83</v>
      </c>
    </row>
    <row r="505" spans="1:6" x14ac:dyDescent="0.35">
      <c r="A505">
        <v>1179</v>
      </c>
      <c r="B505" s="2">
        <v>45534.375085336993</v>
      </c>
      <c r="C505" t="s">
        <v>9</v>
      </c>
      <c r="D505" t="s">
        <v>21</v>
      </c>
      <c r="E505" t="s">
        <v>23</v>
      </c>
      <c r="F505">
        <v>2923.61</v>
      </c>
    </row>
    <row r="506" spans="1:6" x14ac:dyDescent="0.35">
      <c r="A506">
        <v>1279</v>
      </c>
      <c r="B506" s="2">
        <v>45534.375085336993</v>
      </c>
      <c r="C506" t="s">
        <v>9</v>
      </c>
      <c r="D506" t="s">
        <v>21</v>
      </c>
      <c r="E506" t="s">
        <v>23</v>
      </c>
      <c r="F506">
        <v>1730.61</v>
      </c>
    </row>
    <row r="507" spans="1:6" x14ac:dyDescent="0.35">
      <c r="A507">
        <v>1039</v>
      </c>
      <c r="B507" s="2">
        <v>45534.375085336993</v>
      </c>
      <c r="C507" t="s">
        <v>11</v>
      </c>
      <c r="D507" t="s">
        <v>22</v>
      </c>
      <c r="E507" t="s">
        <v>25</v>
      </c>
      <c r="F507">
        <v>1144.32</v>
      </c>
    </row>
    <row r="508" spans="1:6" x14ac:dyDescent="0.35">
      <c r="A508">
        <v>1389</v>
      </c>
      <c r="B508" s="2">
        <v>45534.375085336993</v>
      </c>
      <c r="C508" t="s">
        <v>10</v>
      </c>
      <c r="D508" t="s">
        <v>18</v>
      </c>
      <c r="E508" t="s">
        <v>25</v>
      </c>
      <c r="F508">
        <v>6381.2</v>
      </c>
    </row>
    <row r="509" spans="1:6" x14ac:dyDescent="0.35">
      <c r="A509">
        <v>1024</v>
      </c>
      <c r="B509" s="2">
        <v>45534.375085336993</v>
      </c>
      <c r="C509" t="s">
        <v>15</v>
      </c>
      <c r="D509" t="s">
        <v>19</v>
      </c>
      <c r="E509" t="s">
        <v>23</v>
      </c>
      <c r="F509">
        <v>1943.02</v>
      </c>
    </row>
    <row r="510" spans="1:6" x14ac:dyDescent="0.35">
      <c r="A510">
        <v>1131</v>
      </c>
      <c r="B510" s="2">
        <v>45535.375085336993</v>
      </c>
      <c r="C510" t="s">
        <v>14</v>
      </c>
      <c r="D510" t="s">
        <v>16</v>
      </c>
      <c r="E510" t="s">
        <v>24</v>
      </c>
      <c r="F510">
        <v>10288.950000000001</v>
      </c>
    </row>
    <row r="511" spans="1:6" x14ac:dyDescent="0.35">
      <c r="A511">
        <v>1359</v>
      </c>
      <c r="B511" s="2">
        <v>45536.375085336993</v>
      </c>
      <c r="C511" t="s">
        <v>12</v>
      </c>
      <c r="D511" t="s">
        <v>16</v>
      </c>
      <c r="E511" t="s">
        <v>25</v>
      </c>
      <c r="F511">
        <v>6763.74</v>
      </c>
    </row>
    <row r="512" spans="1:6" x14ac:dyDescent="0.35">
      <c r="A512">
        <v>1359</v>
      </c>
      <c r="B512" s="2">
        <v>45536.375085336993</v>
      </c>
      <c r="C512" t="s">
        <v>7</v>
      </c>
      <c r="D512" t="s">
        <v>22</v>
      </c>
      <c r="E512" t="s">
        <v>24</v>
      </c>
      <c r="F512">
        <v>4576.05</v>
      </c>
    </row>
    <row r="513" spans="1:6" x14ac:dyDescent="0.35">
      <c r="A513">
        <v>1207</v>
      </c>
      <c r="B513" s="2">
        <v>45536.375085336993</v>
      </c>
      <c r="C513" t="s">
        <v>15</v>
      </c>
      <c r="D513" t="s">
        <v>17</v>
      </c>
      <c r="E513" t="s">
        <v>24</v>
      </c>
      <c r="F513">
        <v>468.91</v>
      </c>
    </row>
    <row r="514" spans="1:6" x14ac:dyDescent="0.35">
      <c r="A514">
        <v>1340</v>
      </c>
      <c r="B514" s="2">
        <v>45537.375085336993</v>
      </c>
      <c r="C514" t="s">
        <v>15</v>
      </c>
      <c r="D514" t="s">
        <v>22</v>
      </c>
      <c r="E514" t="s">
        <v>25</v>
      </c>
      <c r="F514">
        <v>9441</v>
      </c>
    </row>
    <row r="515" spans="1:6" x14ac:dyDescent="0.35">
      <c r="A515">
        <v>1106</v>
      </c>
      <c r="B515" s="2">
        <v>45537.375085336993</v>
      </c>
      <c r="C515" t="s">
        <v>15</v>
      </c>
      <c r="D515" t="s">
        <v>19</v>
      </c>
      <c r="E515" t="s">
        <v>25</v>
      </c>
      <c r="F515">
        <v>3683.3</v>
      </c>
    </row>
    <row r="516" spans="1:6" x14ac:dyDescent="0.35">
      <c r="A516">
        <v>1214</v>
      </c>
      <c r="B516" s="2">
        <v>45537.375085336993</v>
      </c>
      <c r="C516" t="s">
        <v>11</v>
      </c>
      <c r="D516" t="s">
        <v>16</v>
      </c>
      <c r="E516" t="s">
        <v>23</v>
      </c>
      <c r="F516">
        <v>2026.19</v>
      </c>
    </row>
    <row r="517" spans="1:6" x14ac:dyDescent="0.35">
      <c r="A517">
        <v>1307</v>
      </c>
      <c r="B517" s="2">
        <v>45537.375085336993</v>
      </c>
      <c r="C517" t="s">
        <v>8</v>
      </c>
      <c r="D517" t="s">
        <v>20</v>
      </c>
      <c r="E517" t="s">
        <v>23</v>
      </c>
      <c r="F517">
        <v>6915.83</v>
      </c>
    </row>
    <row r="518" spans="1:6" x14ac:dyDescent="0.35">
      <c r="A518">
        <v>1172</v>
      </c>
      <c r="B518" s="2">
        <v>45539.375085336993</v>
      </c>
      <c r="C518" t="s">
        <v>12</v>
      </c>
      <c r="D518" t="s">
        <v>16</v>
      </c>
      <c r="E518" t="s">
        <v>24</v>
      </c>
      <c r="F518">
        <v>11824.72</v>
      </c>
    </row>
    <row r="519" spans="1:6" x14ac:dyDescent="0.35">
      <c r="A519">
        <v>1013</v>
      </c>
      <c r="B519" s="2">
        <v>45539.375085336993</v>
      </c>
      <c r="C519" t="s">
        <v>13</v>
      </c>
      <c r="D519" t="s">
        <v>21</v>
      </c>
      <c r="E519" t="s">
        <v>24</v>
      </c>
      <c r="F519">
        <v>3851.32</v>
      </c>
    </row>
    <row r="520" spans="1:6" x14ac:dyDescent="0.35">
      <c r="A520">
        <v>1331</v>
      </c>
      <c r="B520" s="2">
        <v>45540.375085336993</v>
      </c>
      <c r="C520" t="s">
        <v>12</v>
      </c>
      <c r="D520" t="s">
        <v>18</v>
      </c>
      <c r="E520" t="s">
        <v>25</v>
      </c>
      <c r="F520">
        <v>9078.66</v>
      </c>
    </row>
    <row r="521" spans="1:6" x14ac:dyDescent="0.35">
      <c r="A521">
        <v>1313</v>
      </c>
      <c r="B521" s="2">
        <v>45540.375085336993</v>
      </c>
      <c r="C521" t="s">
        <v>14</v>
      </c>
      <c r="D521" t="s">
        <v>17</v>
      </c>
      <c r="E521" t="s">
        <v>24</v>
      </c>
      <c r="F521">
        <v>7600.75</v>
      </c>
    </row>
    <row r="522" spans="1:6" x14ac:dyDescent="0.35">
      <c r="A522">
        <v>1216</v>
      </c>
      <c r="B522" s="2">
        <v>45541.375085336993</v>
      </c>
      <c r="C522" t="s">
        <v>13</v>
      </c>
      <c r="D522" t="s">
        <v>16</v>
      </c>
      <c r="E522" t="s">
        <v>25</v>
      </c>
      <c r="F522">
        <v>3512.07</v>
      </c>
    </row>
    <row r="523" spans="1:6" x14ac:dyDescent="0.35">
      <c r="A523">
        <v>1277</v>
      </c>
      <c r="B523" s="2">
        <v>45541.375085336993</v>
      </c>
      <c r="C523" t="s">
        <v>7</v>
      </c>
      <c r="D523" t="s">
        <v>21</v>
      </c>
      <c r="E523" t="s">
        <v>24</v>
      </c>
      <c r="F523">
        <v>2486.08</v>
      </c>
    </row>
    <row r="524" spans="1:6" x14ac:dyDescent="0.35">
      <c r="A524">
        <v>1220</v>
      </c>
      <c r="B524" s="2">
        <v>45541.375085336993</v>
      </c>
      <c r="C524" t="s">
        <v>14</v>
      </c>
      <c r="D524" t="s">
        <v>19</v>
      </c>
      <c r="E524" t="s">
        <v>25</v>
      </c>
      <c r="F524">
        <v>12491.92</v>
      </c>
    </row>
    <row r="525" spans="1:6" x14ac:dyDescent="0.35">
      <c r="A525">
        <v>1095</v>
      </c>
      <c r="B525" s="2">
        <v>45542.375085336993</v>
      </c>
      <c r="C525" t="s">
        <v>8</v>
      </c>
      <c r="D525" t="s">
        <v>21</v>
      </c>
      <c r="E525" t="s">
        <v>24</v>
      </c>
      <c r="F525">
        <v>16168.88</v>
      </c>
    </row>
    <row r="526" spans="1:6" x14ac:dyDescent="0.35">
      <c r="A526">
        <v>1355</v>
      </c>
      <c r="B526" s="2">
        <v>45542.375085336993</v>
      </c>
      <c r="C526" t="s">
        <v>11</v>
      </c>
      <c r="D526" t="s">
        <v>22</v>
      </c>
      <c r="E526" t="s">
        <v>23</v>
      </c>
      <c r="F526">
        <v>750.56</v>
      </c>
    </row>
    <row r="527" spans="1:6" x14ac:dyDescent="0.35">
      <c r="A527">
        <v>1054</v>
      </c>
      <c r="B527" s="2">
        <v>45542.375085336993</v>
      </c>
      <c r="C527" t="s">
        <v>8</v>
      </c>
      <c r="D527" t="s">
        <v>19</v>
      </c>
      <c r="E527" t="s">
        <v>25</v>
      </c>
      <c r="F527">
        <v>1808</v>
      </c>
    </row>
    <row r="528" spans="1:6" x14ac:dyDescent="0.35">
      <c r="A528">
        <v>1106</v>
      </c>
      <c r="B528" s="2">
        <v>45542.375085336993</v>
      </c>
      <c r="C528" t="s">
        <v>6</v>
      </c>
      <c r="D528" t="s">
        <v>22</v>
      </c>
      <c r="E528" t="s">
        <v>25</v>
      </c>
      <c r="F528">
        <v>3275.87</v>
      </c>
    </row>
    <row r="529" spans="1:6" x14ac:dyDescent="0.35">
      <c r="A529">
        <v>1134</v>
      </c>
      <c r="B529" s="2">
        <v>45542.375085336993</v>
      </c>
      <c r="C529" t="s">
        <v>8</v>
      </c>
      <c r="D529" t="s">
        <v>22</v>
      </c>
      <c r="E529" t="s">
        <v>23</v>
      </c>
      <c r="F529">
        <v>399.97</v>
      </c>
    </row>
    <row r="530" spans="1:6" x14ac:dyDescent="0.35">
      <c r="A530">
        <v>1021</v>
      </c>
      <c r="B530" s="2">
        <v>45542.375085336993</v>
      </c>
      <c r="C530" t="s">
        <v>8</v>
      </c>
      <c r="D530" t="s">
        <v>17</v>
      </c>
      <c r="E530" t="s">
        <v>23</v>
      </c>
      <c r="F530">
        <v>1584.15</v>
      </c>
    </row>
    <row r="531" spans="1:6" x14ac:dyDescent="0.35">
      <c r="A531">
        <v>1303</v>
      </c>
      <c r="B531" s="2">
        <v>45542.375085336993</v>
      </c>
      <c r="C531" t="s">
        <v>9</v>
      </c>
      <c r="D531" t="s">
        <v>16</v>
      </c>
      <c r="E531" t="s">
        <v>25</v>
      </c>
      <c r="F531">
        <v>1011.58</v>
      </c>
    </row>
    <row r="532" spans="1:6" x14ac:dyDescent="0.35">
      <c r="A532">
        <v>1088</v>
      </c>
      <c r="B532" s="2">
        <v>45543.375085336993</v>
      </c>
      <c r="C532" t="s">
        <v>12</v>
      </c>
      <c r="D532" t="s">
        <v>22</v>
      </c>
      <c r="E532" t="s">
        <v>25</v>
      </c>
      <c r="F532">
        <v>693.82</v>
      </c>
    </row>
    <row r="533" spans="1:6" x14ac:dyDescent="0.35">
      <c r="A533">
        <v>1017</v>
      </c>
      <c r="B533" s="2">
        <v>45543.375085336993</v>
      </c>
      <c r="C533" t="s">
        <v>9</v>
      </c>
      <c r="D533" t="s">
        <v>17</v>
      </c>
      <c r="E533" t="s">
        <v>24</v>
      </c>
      <c r="F533">
        <v>7665.01</v>
      </c>
    </row>
    <row r="534" spans="1:6" x14ac:dyDescent="0.35">
      <c r="A534">
        <v>1094</v>
      </c>
      <c r="B534" s="2">
        <v>45543.375085336993</v>
      </c>
      <c r="C534" t="s">
        <v>10</v>
      </c>
      <c r="D534" t="s">
        <v>19</v>
      </c>
      <c r="E534" t="s">
        <v>24</v>
      </c>
      <c r="F534">
        <v>6431.11</v>
      </c>
    </row>
    <row r="535" spans="1:6" x14ac:dyDescent="0.35">
      <c r="A535">
        <v>1185</v>
      </c>
      <c r="B535" s="2">
        <v>45543.375085336993</v>
      </c>
      <c r="C535" t="s">
        <v>11</v>
      </c>
      <c r="D535" t="s">
        <v>17</v>
      </c>
      <c r="E535" t="s">
        <v>24</v>
      </c>
      <c r="F535">
        <v>1606.59</v>
      </c>
    </row>
    <row r="536" spans="1:6" x14ac:dyDescent="0.35">
      <c r="A536">
        <v>1205</v>
      </c>
      <c r="B536" s="2">
        <v>45543.375085336993</v>
      </c>
      <c r="C536" t="s">
        <v>10</v>
      </c>
      <c r="D536" t="s">
        <v>19</v>
      </c>
      <c r="E536" t="s">
        <v>24</v>
      </c>
      <c r="F536">
        <v>4682.34</v>
      </c>
    </row>
    <row r="537" spans="1:6" x14ac:dyDescent="0.35">
      <c r="A537">
        <v>1135</v>
      </c>
      <c r="B537" s="2">
        <v>45544.375085336993</v>
      </c>
      <c r="C537" t="s">
        <v>10</v>
      </c>
      <c r="D537" t="s">
        <v>20</v>
      </c>
      <c r="E537" t="s">
        <v>23</v>
      </c>
      <c r="F537">
        <v>3307.85</v>
      </c>
    </row>
    <row r="538" spans="1:6" x14ac:dyDescent="0.35">
      <c r="A538">
        <v>1273</v>
      </c>
      <c r="B538" s="2">
        <v>45544.375085336993</v>
      </c>
      <c r="C538" t="s">
        <v>7</v>
      </c>
      <c r="D538" t="s">
        <v>20</v>
      </c>
      <c r="E538" t="s">
        <v>23</v>
      </c>
      <c r="F538">
        <v>4424.04</v>
      </c>
    </row>
    <row r="539" spans="1:6" x14ac:dyDescent="0.35">
      <c r="A539">
        <v>1322</v>
      </c>
      <c r="B539" s="2">
        <v>45544.375085336993</v>
      </c>
      <c r="C539" t="s">
        <v>8</v>
      </c>
      <c r="D539" t="s">
        <v>16</v>
      </c>
      <c r="E539" t="s">
        <v>25</v>
      </c>
      <c r="F539">
        <v>1748.66</v>
      </c>
    </row>
    <row r="540" spans="1:6" x14ac:dyDescent="0.35">
      <c r="A540">
        <v>1302</v>
      </c>
      <c r="B540" s="2">
        <v>45544.375085336993</v>
      </c>
      <c r="C540" t="s">
        <v>10</v>
      </c>
      <c r="D540" t="s">
        <v>19</v>
      </c>
      <c r="E540" t="s">
        <v>23</v>
      </c>
      <c r="F540">
        <v>3758.04</v>
      </c>
    </row>
    <row r="541" spans="1:6" x14ac:dyDescent="0.35">
      <c r="A541">
        <v>1311</v>
      </c>
      <c r="B541" s="2">
        <v>45544.375085336993</v>
      </c>
      <c r="C541" t="s">
        <v>10</v>
      </c>
      <c r="D541" t="s">
        <v>18</v>
      </c>
      <c r="E541" t="s">
        <v>23</v>
      </c>
      <c r="F541">
        <v>3694.87</v>
      </c>
    </row>
    <row r="542" spans="1:6" x14ac:dyDescent="0.35">
      <c r="A542">
        <v>1124</v>
      </c>
      <c r="B542" s="2">
        <v>45544.375085336993</v>
      </c>
      <c r="C542" t="s">
        <v>10</v>
      </c>
      <c r="D542" t="s">
        <v>17</v>
      </c>
      <c r="E542" t="s">
        <v>24</v>
      </c>
      <c r="F542">
        <v>1972.19</v>
      </c>
    </row>
    <row r="543" spans="1:6" x14ac:dyDescent="0.35">
      <c r="A543">
        <v>1046</v>
      </c>
      <c r="B543" s="2">
        <v>45544.375085336993</v>
      </c>
      <c r="C543" t="s">
        <v>11</v>
      </c>
      <c r="D543" t="s">
        <v>19</v>
      </c>
      <c r="E543" t="s">
        <v>24</v>
      </c>
      <c r="F543">
        <v>3838.32</v>
      </c>
    </row>
    <row r="544" spans="1:6" x14ac:dyDescent="0.35">
      <c r="A544">
        <v>1223</v>
      </c>
      <c r="B544" s="2">
        <v>45545.375085336993</v>
      </c>
      <c r="C544" t="s">
        <v>10</v>
      </c>
      <c r="D544" t="s">
        <v>22</v>
      </c>
      <c r="E544" t="s">
        <v>25</v>
      </c>
      <c r="F544">
        <v>1235.68</v>
      </c>
    </row>
    <row r="545" spans="1:6" x14ac:dyDescent="0.35">
      <c r="A545">
        <v>1065</v>
      </c>
      <c r="B545" s="2">
        <v>45545.375085336993</v>
      </c>
      <c r="C545" t="s">
        <v>8</v>
      </c>
      <c r="D545" t="s">
        <v>16</v>
      </c>
      <c r="E545" t="s">
        <v>24</v>
      </c>
      <c r="F545">
        <v>4652.12</v>
      </c>
    </row>
    <row r="546" spans="1:6" x14ac:dyDescent="0.35">
      <c r="A546">
        <v>1143</v>
      </c>
      <c r="B546" s="2">
        <v>45545.375085336993</v>
      </c>
      <c r="C546" t="s">
        <v>8</v>
      </c>
      <c r="D546" t="s">
        <v>17</v>
      </c>
      <c r="E546" t="s">
        <v>25</v>
      </c>
      <c r="F546">
        <v>2736.81</v>
      </c>
    </row>
    <row r="547" spans="1:6" x14ac:dyDescent="0.35">
      <c r="A547">
        <v>1311</v>
      </c>
      <c r="B547" s="2">
        <v>45545.375085336993</v>
      </c>
      <c r="C547" t="s">
        <v>12</v>
      </c>
      <c r="D547" t="s">
        <v>17</v>
      </c>
      <c r="E547" t="s">
        <v>24</v>
      </c>
      <c r="F547">
        <v>3846.03</v>
      </c>
    </row>
    <row r="548" spans="1:6" x14ac:dyDescent="0.35">
      <c r="A548">
        <v>1077</v>
      </c>
      <c r="B548" s="2">
        <v>45545.375085336993</v>
      </c>
      <c r="C548" t="s">
        <v>6</v>
      </c>
      <c r="D548" t="s">
        <v>19</v>
      </c>
      <c r="E548" t="s">
        <v>24</v>
      </c>
      <c r="F548">
        <v>932.71</v>
      </c>
    </row>
    <row r="549" spans="1:6" x14ac:dyDescent="0.35">
      <c r="A549">
        <v>1025</v>
      </c>
      <c r="B549" s="2">
        <v>45546.375085336993</v>
      </c>
      <c r="C549" t="s">
        <v>9</v>
      </c>
      <c r="D549" t="s">
        <v>19</v>
      </c>
      <c r="E549" t="s">
        <v>25</v>
      </c>
      <c r="F549">
        <v>1483.9</v>
      </c>
    </row>
    <row r="550" spans="1:6" x14ac:dyDescent="0.35">
      <c r="A550">
        <v>1226</v>
      </c>
      <c r="B550" s="2">
        <v>45546.375085336993</v>
      </c>
      <c r="C550" t="s">
        <v>15</v>
      </c>
      <c r="D550" t="s">
        <v>17</v>
      </c>
      <c r="E550" t="s">
        <v>24</v>
      </c>
      <c r="F550">
        <v>2273.85</v>
      </c>
    </row>
    <row r="551" spans="1:6" x14ac:dyDescent="0.35">
      <c r="A551">
        <v>1041</v>
      </c>
      <c r="B551" s="2">
        <v>45546.375085336993</v>
      </c>
      <c r="C551" t="s">
        <v>9</v>
      </c>
      <c r="D551" t="s">
        <v>20</v>
      </c>
      <c r="E551" t="s">
        <v>23</v>
      </c>
      <c r="F551">
        <v>4068.3</v>
      </c>
    </row>
    <row r="552" spans="1:6" x14ac:dyDescent="0.35">
      <c r="A552">
        <v>1133</v>
      </c>
      <c r="B552" s="2">
        <v>45546.375085336993</v>
      </c>
      <c r="C552" t="s">
        <v>8</v>
      </c>
      <c r="D552" t="s">
        <v>16</v>
      </c>
      <c r="E552" t="s">
        <v>24</v>
      </c>
      <c r="F552">
        <v>3144.87</v>
      </c>
    </row>
    <row r="553" spans="1:6" x14ac:dyDescent="0.35">
      <c r="A553">
        <v>1204</v>
      </c>
      <c r="B553" s="2">
        <v>45546.375085336993</v>
      </c>
      <c r="C553" t="s">
        <v>14</v>
      </c>
      <c r="D553" t="s">
        <v>16</v>
      </c>
      <c r="E553" t="s">
        <v>23</v>
      </c>
      <c r="F553">
        <v>1348.25</v>
      </c>
    </row>
    <row r="554" spans="1:6" x14ac:dyDescent="0.35">
      <c r="A554">
        <v>1255</v>
      </c>
      <c r="B554" s="2">
        <v>45546.375085336993</v>
      </c>
      <c r="C554" t="s">
        <v>15</v>
      </c>
      <c r="D554" t="s">
        <v>17</v>
      </c>
      <c r="E554" t="s">
        <v>25</v>
      </c>
      <c r="F554">
        <v>3300.37</v>
      </c>
    </row>
    <row r="555" spans="1:6" x14ac:dyDescent="0.35">
      <c r="A555">
        <v>1358</v>
      </c>
      <c r="B555" s="2">
        <v>45546.375085336993</v>
      </c>
      <c r="C555" t="s">
        <v>14</v>
      </c>
      <c r="D555" t="s">
        <v>20</v>
      </c>
      <c r="E555" t="s">
        <v>23</v>
      </c>
      <c r="F555">
        <v>2573.79</v>
      </c>
    </row>
    <row r="556" spans="1:6" x14ac:dyDescent="0.35">
      <c r="A556">
        <v>1359</v>
      </c>
      <c r="B556" s="2">
        <v>45546.375085336993</v>
      </c>
      <c r="C556" t="s">
        <v>11</v>
      </c>
      <c r="D556" t="s">
        <v>21</v>
      </c>
      <c r="E556" t="s">
        <v>23</v>
      </c>
      <c r="F556">
        <v>4354.3999999999996</v>
      </c>
    </row>
    <row r="557" spans="1:6" x14ac:dyDescent="0.35">
      <c r="A557">
        <v>1032</v>
      </c>
      <c r="B557" s="2">
        <v>45547.375085336993</v>
      </c>
      <c r="C557" t="s">
        <v>13</v>
      </c>
      <c r="D557" t="s">
        <v>17</v>
      </c>
      <c r="E557" t="s">
        <v>24</v>
      </c>
      <c r="F557">
        <v>2541.35</v>
      </c>
    </row>
    <row r="558" spans="1:6" x14ac:dyDescent="0.35">
      <c r="A558">
        <v>1171</v>
      </c>
      <c r="B558" s="2">
        <v>45547.375085336993</v>
      </c>
      <c r="C558" t="s">
        <v>10</v>
      </c>
      <c r="D558" t="s">
        <v>17</v>
      </c>
      <c r="E558" t="s">
        <v>23</v>
      </c>
      <c r="F558">
        <v>5226.6899999999996</v>
      </c>
    </row>
    <row r="559" spans="1:6" x14ac:dyDescent="0.35">
      <c r="A559">
        <v>1047</v>
      </c>
      <c r="B559" s="2">
        <v>45547.375085336993</v>
      </c>
      <c r="C559" t="s">
        <v>6</v>
      </c>
      <c r="D559" t="s">
        <v>19</v>
      </c>
      <c r="E559" t="s">
        <v>24</v>
      </c>
      <c r="F559">
        <v>1206.8</v>
      </c>
    </row>
    <row r="560" spans="1:6" x14ac:dyDescent="0.35">
      <c r="A560">
        <v>1333</v>
      </c>
      <c r="B560" s="2">
        <v>45548.375085336993</v>
      </c>
      <c r="C560" t="s">
        <v>7</v>
      </c>
      <c r="D560" t="s">
        <v>17</v>
      </c>
      <c r="E560" t="s">
        <v>24</v>
      </c>
      <c r="F560">
        <v>181.25</v>
      </c>
    </row>
    <row r="561" spans="1:6" x14ac:dyDescent="0.35">
      <c r="A561">
        <v>1041</v>
      </c>
      <c r="B561" s="2">
        <v>45548.375085336993</v>
      </c>
      <c r="C561" t="s">
        <v>9</v>
      </c>
      <c r="D561" t="s">
        <v>22</v>
      </c>
      <c r="E561" t="s">
        <v>25</v>
      </c>
      <c r="F561">
        <v>2431.41</v>
      </c>
    </row>
    <row r="562" spans="1:6" x14ac:dyDescent="0.35">
      <c r="A562">
        <v>1021</v>
      </c>
      <c r="B562" s="2">
        <v>45548.375085336993</v>
      </c>
      <c r="C562" t="s">
        <v>9</v>
      </c>
      <c r="D562" t="s">
        <v>16</v>
      </c>
      <c r="E562" t="s">
        <v>25</v>
      </c>
      <c r="F562">
        <v>4938.75</v>
      </c>
    </row>
    <row r="563" spans="1:6" x14ac:dyDescent="0.35">
      <c r="A563">
        <v>1166</v>
      </c>
      <c r="B563" s="2">
        <v>45548.375085336993</v>
      </c>
      <c r="C563" t="s">
        <v>14</v>
      </c>
      <c r="D563" t="s">
        <v>16</v>
      </c>
      <c r="E563" t="s">
        <v>24</v>
      </c>
      <c r="F563">
        <v>4051.83</v>
      </c>
    </row>
    <row r="564" spans="1:6" x14ac:dyDescent="0.35">
      <c r="A564">
        <v>1160</v>
      </c>
      <c r="B564" s="2">
        <v>45549.375085336993</v>
      </c>
      <c r="C564" t="s">
        <v>15</v>
      </c>
      <c r="D564" t="s">
        <v>21</v>
      </c>
      <c r="E564" t="s">
        <v>23</v>
      </c>
      <c r="F564">
        <v>4593.45</v>
      </c>
    </row>
    <row r="565" spans="1:6" x14ac:dyDescent="0.35">
      <c r="A565">
        <v>1235</v>
      </c>
      <c r="B565" s="2">
        <v>45549.375085336993</v>
      </c>
      <c r="C565" t="s">
        <v>14</v>
      </c>
      <c r="D565" t="s">
        <v>17</v>
      </c>
      <c r="E565" t="s">
        <v>23</v>
      </c>
      <c r="F565">
        <v>3020.23</v>
      </c>
    </row>
    <row r="566" spans="1:6" x14ac:dyDescent="0.35">
      <c r="A566">
        <v>1283</v>
      </c>
      <c r="B566" s="2">
        <v>45549.375085336993</v>
      </c>
      <c r="C566" t="s">
        <v>12</v>
      </c>
      <c r="D566" t="s">
        <v>18</v>
      </c>
      <c r="E566" t="s">
        <v>24</v>
      </c>
      <c r="F566">
        <v>11447.31</v>
      </c>
    </row>
    <row r="567" spans="1:6" x14ac:dyDescent="0.35">
      <c r="A567">
        <v>1131</v>
      </c>
      <c r="B567" s="2">
        <v>45549.375085336993</v>
      </c>
      <c r="C567" t="s">
        <v>8</v>
      </c>
      <c r="D567" t="s">
        <v>20</v>
      </c>
      <c r="E567" t="s">
        <v>24</v>
      </c>
      <c r="F567">
        <v>1702.85</v>
      </c>
    </row>
    <row r="568" spans="1:6" x14ac:dyDescent="0.35">
      <c r="A568">
        <v>1396</v>
      </c>
      <c r="B568" s="2">
        <v>45550.375085336993</v>
      </c>
      <c r="C568" t="s">
        <v>9</v>
      </c>
      <c r="D568" t="s">
        <v>18</v>
      </c>
      <c r="E568" t="s">
        <v>24</v>
      </c>
      <c r="F568">
        <v>9604.99</v>
      </c>
    </row>
    <row r="569" spans="1:6" x14ac:dyDescent="0.35">
      <c r="A569">
        <v>1172</v>
      </c>
      <c r="B569" s="2">
        <v>45550.375085336993</v>
      </c>
      <c r="C569" t="s">
        <v>11</v>
      </c>
      <c r="D569" t="s">
        <v>20</v>
      </c>
      <c r="E569" t="s">
        <v>24</v>
      </c>
      <c r="F569">
        <v>2723.46</v>
      </c>
    </row>
    <row r="570" spans="1:6" x14ac:dyDescent="0.35">
      <c r="A570">
        <v>1228</v>
      </c>
      <c r="B570" s="2">
        <v>45551.375085336993</v>
      </c>
      <c r="C570" t="s">
        <v>12</v>
      </c>
      <c r="D570" t="s">
        <v>19</v>
      </c>
      <c r="E570" t="s">
        <v>25</v>
      </c>
      <c r="F570">
        <v>3613.33</v>
      </c>
    </row>
    <row r="571" spans="1:6" x14ac:dyDescent="0.35">
      <c r="A571">
        <v>1068</v>
      </c>
      <c r="B571" s="2">
        <v>45551.375085336993</v>
      </c>
      <c r="C571" t="s">
        <v>8</v>
      </c>
      <c r="D571" t="s">
        <v>22</v>
      </c>
      <c r="E571" t="s">
        <v>23</v>
      </c>
      <c r="F571">
        <v>9285.91</v>
      </c>
    </row>
    <row r="572" spans="1:6" x14ac:dyDescent="0.35">
      <c r="A572">
        <v>1366</v>
      </c>
      <c r="B572" s="2">
        <v>45551.375085336993</v>
      </c>
      <c r="C572" t="s">
        <v>8</v>
      </c>
      <c r="D572" t="s">
        <v>19</v>
      </c>
      <c r="E572" t="s">
        <v>24</v>
      </c>
      <c r="F572">
        <v>4750.78</v>
      </c>
    </row>
    <row r="573" spans="1:6" x14ac:dyDescent="0.35">
      <c r="A573">
        <v>1021</v>
      </c>
      <c r="B573" s="2">
        <v>45551.375085336993</v>
      </c>
      <c r="C573" t="s">
        <v>10</v>
      </c>
      <c r="D573" t="s">
        <v>19</v>
      </c>
      <c r="E573" t="s">
        <v>23</v>
      </c>
      <c r="F573">
        <v>1649.98</v>
      </c>
    </row>
    <row r="574" spans="1:6" x14ac:dyDescent="0.35">
      <c r="A574">
        <v>1135</v>
      </c>
      <c r="B574" s="2">
        <v>45552.375085336993</v>
      </c>
      <c r="C574" t="s">
        <v>6</v>
      </c>
      <c r="D574" t="s">
        <v>17</v>
      </c>
      <c r="E574" t="s">
        <v>23</v>
      </c>
      <c r="F574">
        <v>1151.97</v>
      </c>
    </row>
    <row r="575" spans="1:6" x14ac:dyDescent="0.35">
      <c r="A575">
        <v>1004</v>
      </c>
      <c r="B575" s="2">
        <v>45552.375085336993</v>
      </c>
      <c r="C575" t="s">
        <v>8</v>
      </c>
      <c r="D575" t="s">
        <v>18</v>
      </c>
      <c r="E575" t="s">
        <v>23</v>
      </c>
      <c r="F575">
        <v>4906.71</v>
      </c>
    </row>
    <row r="576" spans="1:6" x14ac:dyDescent="0.35">
      <c r="A576">
        <v>1241</v>
      </c>
      <c r="B576" s="2">
        <v>45552.375085336993</v>
      </c>
      <c r="C576" t="s">
        <v>10</v>
      </c>
      <c r="D576" t="s">
        <v>18</v>
      </c>
      <c r="E576" t="s">
        <v>24</v>
      </c>
      <c r="F576">
        <v>888.11</v>
      </c>
    </row>
    <row r="577" spans="1:6" x14ac:dyDescent="0.35">
      <c r="A577">
        <v>1323</v>
      </c>
      <c r="B577" s="2">
        <v>45552.375085336993</v>
      </c>
      <c r="C577" t="s">
        <v>7</v>
      </c>
      <c r="D577" t="s">
        <v>16</v>
      </c>
      <c r="E577" t="s">
        <v>23</v>
      </c>
      <c r="F577">
        <v>562.58000000000004</v>
      </c>
    </row>
    <row r="578" spans="1:6" x14ac:dyDescent="0.35">
      <c r="A578">
        <v>1285</v>
      </c>
      <c r="B578" s="2">
        <v>45552.375085336993</v>
      </c>
      <c r="C578" t="s">
        <v>8</v>
      </c>
      <c r="D578" t="s">
        <v>17</v>
      </c>
      <c r="E578" t="s">
        <v>25</v>
      </c>
      <c r="F578">
        <v>2558.9699999999998</v>
      </c>
    </row>
    <row r="579" spans="1:6" x14ac:dyDescent="0.35">
      <c r="A579">
        <v>1011</v>
      </c>
      <c r="B579" s="2">
        <v>45552.375085336993</v>
      </c>
      <c r="C579" t="s">
        <v>8</v>
      </c>
      <c r="D579" t="s">
        <v>17</v>
      </c>
      <c r="E579" t="s">
        <v>25</v>
      </c>
      <c r="F579">
        <v>3291.71</v>
      </c>
    </row>
    <row r="580" spans="1:6" x14ac:dyDescent="0.35">
      <c r="A580">
        <v>1230</v>
      </c>
      <c r="B580" s="2">
        <v>45553.375085336993</v>
      </c>
      <c r="C580" t="s">
        <v>10</v>
      </c>
      <c r="D580" t="s">
        <v>20</v>
      </c>
      <c r="E580" t="s">
        <v>24</v>
      </c>
      <c r="F580">
        <v>3401.25</v>
      </c>
    </row>
    <row r="581" spans="1:6" x14ac:dyDescent="0.35">
      <c r="A581">
        <v>1378</v>
      </c>
      <c r="B581" s="2">
        <v>45553.375085336993</v>
      </c>
      <c r="C581" t="s">
        <v>10</v>
      </c>
      <c r="D581" t="s">
        <v>16</v>
      </c>
      <c r="E581" t="s">
        <v>25</v>
      </c>
      <c r="F581">
        <v>5989.13</v>
      </c>
    </row>
    <row r="582" spans="1:6" x14ac:dyDescent="0.35">
      <c r="A582">
        <v>1327</v>
      </c>
      <c r="B582" s="2">
        <v>45553.375085336993</v>
      </c>
      <c r="C582" t="s">
        <v>9</v>
      </c>
      <c r="D582" t="s">
        <v>19</v>
      </c>
      <c r="E582" t="s">
        <v>23</v>
      </c>
      <c r="F582">
        <v>2811.16</v>
      </c>
    </row>
    <row r="583" spans="1:6" x14ac:dyDescent="0.35">
      <c r="A583">
        <v>1319</v>
      </c>
      <c r="B583" s="2">
        <v>45553.375085336993</v>
      </c>
      <c r="C583" t="s">
        <v>11</v>
      </c>
      <c r="D583" t="s">
        <v>20</v>
      </c>
      <c r="E583" t="s">
        <v>25</v>
      </c>
      <c r="F583">
        <v>318.44</v>
      </c>
    </row>
    <row r="584" spans="1:6" x14ac:dyDescent="0.35">
      <c r="A584">
        <v>1352</v>
      </c>
      <c r="B584" s="2">
        <v>45554.375085336993</v>
      </c>
      <c r="C584" t="s">
        <v>7</v>
      </c>
      <c r="D584" t="s">
        <v>19</v>
      </c>
      <c r="E584" t="s">
        <v>24</v>
      </c>
      <c r="F584">
        <v>447.42</v>
      </c>
    </row>
    <row r="585" spans="1:6" x14ac:dyDescent="0.35">
      <c r="A585">
        <v>1142</v>
      </c>
      <c r="B585" s="2">
        <v>45554.375085336993</v>
      </c>
      <c r="C585" t="s">
        <v>9</v>
      </c>
      <c r="D585" t="s">
        <v>16</v>
      </c>
      <c r="E585" t="s">
        <v>25</v>
      </c>
      <c r="F585">
        <v>6881.74</v>
      </c>
    </row>
    <row r="586" spans="1:6" x14ac:dyDescent="0.35">
      <c r="A586">
        <v>1368</v>
      </c>
      <c r="B586" s="2">
        <v>45554.375085336993</v>
      </c>
      <c r="C586" t="s">
        <v>6</v>
      </c>
      <c r="D586" t="s">
        <v>21</v>
      </c>
      <c r="E586" t="s">
        <v>24</v>
      </c>
      <c r="F586">
        <v>3330.94</v>
      </c>
    </row>
    <row r="587" spans="1:6" x14ac:dyDescent="0.35">
      <c r="A587">
        <v>1027</v>
      </c>
      <c r="B587" s="2">
        <v>45555.375085336993</v>
      </c>
      <c r="C587" t="s">
        <v>15</v>
      </c>
      <c r="D587" t="s">
        <v>22</v>
      </c>
      <c r="E587" t="s">
        <v>25</v>
      </c>
      <c r="F587">
        <v>13924</v>
      </c>
    </row>
    <row r="588" spans="1:6" x14ac:dyDescent="0.35">
      <c r="A588">
        <v>1019</v>
      </c>
      <c r="B588" s="2">
        <v>45555.375085336993</v>
      </c>
      <c r="C588" t="s">
        <v>7</v>
      </c>
      <c r="D588" t="s">
        <v>19</v>
      </c>
      <c r="E588" t="s">
        <v>24</v>
      </c>
      <c r="F588">
        <v>2354.46</v>
      </c>
    </row>
    <row r="589" spans="1:6" x14ac:dyDescent="0.35">
      <c r="A589">
        <v>1180</v>
      </c>
      <c r="B589" s="2">
        <v>45556.375085336993</v>
      </c>
      <c r="C589" t="s">
        <v>14</v>
      </c>
      <c r="D589" t="s">
        <v>18</v>
      </c>
      <c r="E589" t="s">
        <v>24</v>
      </c>
      <c r="F589">
        <v>8488.6299999999992</v>
      </c>
    </row>
    <row r="590" spans="1:6" x14ac:dyDescent="0.35">
      <c r="A590">
        <v>1060</v>
      </c>
      <c r="B590" s="2">
        <v>45556.375085336993</v>
      </c>
      <c r="C590" t="s">
        <v>7</v>
      </c>
      <c r="D590" t="s">
        <v>17</v>
      </c>
      <c r="E590" t="s">
        <v>24</v>
      </c>
      <c r="F590">
        <v>5382.43</v>
      </c>
    </row>
    <row r="591" spans="1:6" x14ac:dyDescent="0.35">
      <c r="A591">
        <v>1363</v>
      </c>
      <c r="B591" s="2">
        <v>45557.375085336993</v>
      </c>
      <c r="C591" t="s">
        <v>6</v>
      </c>
      <c r="D591" t="s">
        <v>21</v>
      </c>
      <c r="E591" t="s">
        <v>24</v>
      </c>
      <c r="F591">
        <v>3407.44</v>
      </c>
    </row>
    <row r="592" spans="1:6" x14ac:dyDescent="0.35">
      <c r="A592">
        <v>1346</v>
      </c>
      <c r="B592" s="2">
        <v>45558.375085336993</v>
      </c>
      <c r="C592" t="s">
        <v>10</v>
      </c>
      <c r="D592" t="s">
        <v>22</v>
      </c>
      <c r="E592" t="s">
        <v>25</v>
      </c>
      <c r="F592">
        <v>5347.59</v>
      </c>
    </row>
    <row r="593" spans="1:6" x14ac:dyDescent="0.35">
      <c r="A593">
        <v>1257</v>
      </c>
      <c r="B593" s="2">
        <v>45558.375085336993</v>
      </c>
      <c r="C593" t="s">
        <v>11</v>
      </c>
      <c r="D593" t="s">
        <v>18</v>
      </c>
      <c r="E593" t="s">
        <v>24</v>
      </c>
      <c r="F593">
        <v>3413.82</v>
      </c>
    </row>
    <row r="594" spans="1:6" x14ac:dyDescent="0.35">
      <c r="A594">
        <v>1255</v>
      </c>
      <c r="B594" s="2">
        <v>45558.375085336993</v>
      </c>
      <c r="C594" t="s">
        <v>15</v>
      </c>
      <c r="D594" t="s">
        <v>21</v>
      </c>
      <c r="E594" t="s">
        <v>23</v>
      </c>
      <c r="F594">
        <v>1516.65</v>
      </c>
    </row>
    <row r="595" spans="1:6" x14ac:dyDescent="0.35">
      <c r="A595">
        <v>1384</v>
      </c>
      <c r="B595" s="2">
        <v>45559.375085336993</v>
      </c>
      <c r="C595" t="s">
        <v>10</v>
      </c>
      <c r="D595" t="s">
        <v>17</v>
      </c>
      <c r="E595" t="s">
        <v>25</v>
      </c>
      <c r="F595">
        <v>4229.37</v>
      </c>
    </row>
    <row r="596" spans="1:6" x14ac:dyDescent="0.35">
      <c r="A596">
        <v>1249</v>
      </c>
      <c r="B596" s="2">
        <v>45559.375085336993</v>
      </c>
      <c r="C596" t="s">
        <v>12</v>
      </c>
      <c r="D596" t="s">
        <v>17</v>
      </c>
      <c r="E596" t="s">
        <v>23</v>
      </c>
      <c r="F596">
        <v>6176.16</v>
      </c>
    </row>
    <row r="597" spans="1:6" x14ac:dyDescent="0.35">
      <c r="A597">
        <v>1301</v>
      </c>
      <c r="B597" s="2">
        <v>45559.375085336993</v>
      </c>
      <c r="C597" t="s">
        <v>8</v>
      </c>
      <c r="D597" t="s">
        <v>21</v>
      </c>
      <c r="E597" t="s">
        <v>23</v>
      </c>
      <c r="F597">
        <v>503.18</v>
      </c>
    </row>
    <row r="598" spans="1:6" x14ac:dyDescent="0.35">
      <c r="A598">
        <v>1178</v>
      </c>
      <c r="B598" s="2">
        <v>45559.375085336993</v>
      </c>
      <c r="C598" t="s">
        <v>12</v>
      </c>
      <c r="D598" t="s">
        <v>19</v>
      </c>
      <c r="E598" t="s">
        <v>25</v>
      </c>
      <c r="F598">
        <v>2967.77</v>
      </c>
    </row>
    <row r="599" spans="1:6" x14ac:dyDescent="0.35">
      <c r="A599">
        <v>1048</v>
      </c>
      <c r="B599" s="2">
        <v>45559.375085336993</v>
      </c>
      <c r="C599" t="s">
        <v>7</v>
      </c>
      <c r="D599" t="s">
        <v>17</v>
      </c>
      <c r="E599" t="s">
        <v>23</v>
      </c>
      <c r="F599">
        <v>3280.91</v>
      </c>
    </row>
    <row r="600" spans="1:6" x14ac:dyDescent="0.35">
      <c r="A600">
        <v>1011</v>
      </c>
      <c r="B600" s="2">
        <v>45559.375085336993</v>
      </c>
      <c r="C600" t="s">
        <v>10</v>
      </c>
      <c r="D600" t="s">
        <v>20</v>
      </c>
      <c r="E600" t="s">
        <v>23</v>
      </c>
      <c r="F600">
        <v>102.79</v>
      </c>
    </row>
    <row r="601" spans="1:6" x14ac:dyDescent="0.35">
      <c r="A601">
        <v>1396</v>
      </c>
      <c r="B601" s="2">
        <v>45559.375085336993</v>
      </c>
      <c r="C601" t="s">
        <v>6</v>
      </c>
      <c r="D601" t="s">
        <v>20</v>
      </c>
      <c r="E601" t="s">
        <v>23</v>
      </c>
      <c r="F601">
        <v>1264.28</v>
      </c>
    </row>
    <row r="602" spans="1:6" x14ac:dyDescent="0.35">
      <c r="A602">
        <v>1114</v>
      </c>
      <c r="B602" s="2">
        <v>45559.375085336993</v>
      </c>
      <c r="C602" t="s">
        <v>7</v>
      </c>
      <c r="D602" t="s">
        <v>22</v>
      </c>
      <c r="E602" t="s">
        <v>24</v>
      </c>
      <c r="F602">
        <v>5817.52</v>
      </c>
    </row>
    <row r="603" spans="1:6" x14ac:dyDescent="0.35">
      <c r="A603">
        <v>1275</v>
      </c>
      <c r="B603" s="2">
        <v>45560.375085336993</v>
      </c>
      <c r="C603" t="s">
        <v>14</v>
      </c>
      <c r="D603" t="s">
        <v>19</v>
      </c>
      <c r="E603" t="s">
        <v>25</v>
      </c>
      <c r="F603">
        <v>618.37</v>
      </c>
    </row>
    <row r="604" spans="1:6" x14ac:dyDescent="0.35">
      <c r="A604">
        <v>1162</v>
      </c>
      <c r="B604" s="2">
        <v>45560.375085336993</v>
      </c>
      <c r="C604" t="s">
        <v>8</v>
      </c>
      <c r="D604" t="s">
        <v>22</v>
      </c>
      <c r="E604" t="s">
        <v>23</v>
      </c>
      <c r="F604">
        <v>558.12</v>
      </c>
    </row>
    <row r="605" spans="1:6" x14ac:dyDescent="0.35">
      <c r="A605">
        <v>1167</v>
      </c>
      <c r="B605" s="2">
        <v>45560.375085336993</v>
      </c>
      <c r="C605" t="s">
        <v>12</v>
      </c>
      <c r="D605" t="s">
        <v>18</v>
      </c>
      <c r="E605" t="s">
        <v>24</v>
      </c>
      <c r="F605">
        <v>646.37</v>
      </c>
    </row>
    <row r="606" spans="1:6" x14ac:dyDescent="0.35">
      <c r="A606">
        <v>1213</v>
      </c>
      <c r="B606" s="2">
        <v>45560.375085336993</v>
      </c>
      <c r="C606" t="s">
        <v>13</v>
      </c>
      <c r="D606" t="s">
        <v>21</v>
      </c>
      <c r="E606" t="s">
        <v>23</v>
      </c>
      <c r="F606">
        <v>1164.3699999999999</v>
      </c>
    </row>
    <row r="607" spans="1:6" x14ac:dyDescent="0.35">
      <c r="A607">
        <v>1126</v>
      </c>
      <c r="B607" s="2">
        <v>45561.375085336993</v>
      </c>
      <c r="C607" t="s">
        <v>13</v>
      </c>
      <c r="D607" t="s">
        <v>18</v>
      </c>
      <c r="E607" t="s">
        <v>23</v>
      </c>
      <c r="F607">
        <v>6606.7</v>
      </c>
    </row>
    <row r="608" spans="1:6" x14ac:dyDescent="0.35">
      <c r="A608">
        <v>1396</v>
      </c>
      <c r="B608" s="2">
        <v>45561.375085336993</v>
      </c>
      <c r="C608" t="s">
        <v>10</v>
      </c>
      <c r="D608" t="s">
        <v>21</v>
      </c>
      <c r="E608" t="s">
        <v>23</v>
      </c>
      <c r="F608">
        <v>5884.93</v>
      </c>
    </row>
    <row r="609" spans="1:6" x14ac:dyDescent="0.35">
      <c r="A609">
        <v>1021</v>
      </c>
      <c r="B609" s="2">
        <v>45561.375085336993</v>
      </c>
      <c r="C609" t="s">
        <v>10</v>
      </c>
      <c r="D609" t="s">
        <v>20</v>
      </c>
      <c r="E609" t="s">
        <v>25</v>
      </c>
      <c r="F609">
        <v>1281.7</v>
      </c>
    </row>
    <row r="610" spans="1:6" x14ac:dyDescent="0.35">
      <c r="A610">
        <v>1074</v>
      </c>
      <c r="B610" s="2">
        <v>45561.375085336993</v>
      </c>
      <c r="C610" t="s">
        <v>7</v>
      </c>
      <c r="D610" t="s">
        <v>20</v>
      </c>
      <c r="E610" t="s">
        <v>24</v>
      </c>
      <c r="F610">
        <v>3483.18</v>
      </c>
    </row>
    <row r="611" spans="1:6" x14ac:dyDescent="0.35">
      <c r="A611">
        <v>1025</v>
      </c>
      <c r="B611" s="2">
        <v>45561.375085336993</v>
      </c>
      <c r="C611" t="s">
        <v>13</v>
      </c>
      <c r="D611" t="s">
        <v>19</v>
      </c>
      <c r="E611" t="s">
        <v>25</v>
      </c>
      <c r="F611">
        <v>2969.22</v>
      </c>
    </row>
    <row r="612" spans="1:6" x14ac:dyDescent="0.35">
      <c r="A612">
        <v>1119</v>
      </c>
      <c r="B612" s="2">
        <v>45561.375085336993</v>
      </c>
      <c r="C612" t="s">
        <v>12</v>
      </c>
      <c r="D612" t="s">
        <v>20</v>
      </c>
      <c r="E612" t="s">
        <v>24</v>
      </c>
      <c r="F612">
        <v>3625.59</v>
      </c>
    </row>
    <row r="613" spans="1:6" x14ac:dyDescent="0.35">
      <c r="A613">
        <v>1206</v>
      </c>
      <c r="B613" s="2">
        <v>45561.375085336993</v>
      </c>
      <c r="C613" t="s">
        <v>7</v>
      </c>
      <c r="D613" t="s">
        <v>16</v>
      </c>
      <c r="E613" t="s">
        <v>23</v>
      </c>
      <c r="F613">
        <v>1193.5899999999999</v>
      </c>
    </row>
    <row r="614" spans="1:6" x14ac:dyDescent="0.35">
      <c r="A614">
        <v>1397</v>
      </c>
      <c r="B614" s="2">
        <v>45561.375085336993</v>
      </c>
      <c r="C614" t="s">
        <v>11</v>
      </c>
      <c r="D614" t="s">
        <v>22</v>
      </c>
      <c r="E614" t="s">
        <v>23</v>
      </c>
      <c r="F614">
        <v>4287.6400000000003</v>
      </c>
    </row>
    <row r="615" spans="1:6" x14ac:dyDescent="0.35">
      <c r="A615">
        <v>1012</v>
      </c>
      <c r="B615" s="2">
        <v>45562.375085336993</v>
      </c>
      <c r="C615" t="s">
        <v>6</v>
      </c>
      <c r="D615" t="s">
        <v>16</v>
      </c>
      <c r="E615" t="s">
        <v>25</v>
      </c>
      <c r="F615">
        <v>1606.09</v>
      </c>
    </row>
    <row r="616" spans="1:6" x14ac:dyDescent="0.35">
      <c r="A616">
        <v>1248</v>
      </c>
      <c r="B616" s="2">
        <v>45562.375085336993</v>
      </c>
      <c r="C616" t="s">
        <v>11</v>
      </c>
      <c r="D616" t="s">
        <v>20</v>
      </c>
      <c r="E616" t="s">
        <v>24</v>
      </c>
      <c r="F616">
        <v>1197.17</v>
      </c>
    </row>
    <row r="617" spans="1:6" x14ac:dyDescent="0.35">
      <c r="A617">
        <v>1120</v>
      </c>
      <c r="B617" s="2">
        <v>45564.375085336993</v>
      </c>
      <c r="C617" t="s">
        <v>8</v>
      </c>
      <c r="D617" t="s">
        <v>16</v>
      </c>
      <c r="E617" t="s">
        <v>23</v>
      </c>
      <c r="F617">
        <v>1600.07</v>
      </c>
    </row>
    <row r="618" spans="1:6" x14ac:dyDescent="0.35">
      <c r="A618">
        <v>1020</v>
      </c>
      <c r="B618" s="2">
        <v>45564.375085336993</v>
      </c>
      <c r="C618" t="s">
        <v>10</v>
      </c>
      <c r="D618" t="s">
        <v>20</v>
      </c>
      <c r="E618" t="s">
        <v>23</v>
      </c>
      <c r="F618">
        <v>5711.15</v>
      </c>
    </row>
    <row r="619" spans="1:6" x14ac:dyDescent="0.35">
      <c r="A619">
        <v>1294</v>
      </c>
      <c r="B619" s="2">
        <v>45564.375085336993</v>
      </c>
      <c r="C619" t="s">
        <v>15</v>
      </c>
      <c r="D619" t="s">
        <v>20</v>
      </c>
      <c r="E619" t="s">
        <v>24</v>
      </c>
      <c r="F619">
        <v>1360.08</v>
      </c>
    </row>
    <row r="620" spans="1:6" x14ac:dyDescent="0.35">
      <c r="A620">
        <v>1020</v>
      </c>
      <c r="B620" s="2">
        <v>45564.375085336993</v>
      </c>
      <c r="C620" t="s">
        <v>9</v>
      </c>
      <c r="D620" t="s">
        <v>20</v>
      </c>
      <c r="E620" t="s">
        <v>24</v>
      </c>
      <c r="F620">
        <v>5340.42</v>
      </c>
    </row>
    <row r="621" spans="1:6" x14ac:dyDescent="0.35">
      <c r="A621">
        <v>1381</v>
      </c>
      <c r="B621" s="2">
        <v>45565.375085336993</v>
      </c>
      <c r="C621" t="s">
        <v>11</v>
      </c>
      <c r="D621" t="s">
        <v>20</v>
      </c>
      <c r="E621" t="s">
        <v>25</v>
      </c>
      <c r="F621">
        <v>10589.6</v>
      </c>
    </row>
    <row r="622" spans="1:6" x14ac:dyDescent="0.35">
      <c r="A622">
        <v>1007</v>
      </c>
      <c r="B622" s="2">
        <v>45565.375085336993</v>
      </c>
      <c r="C622" t="s">
        <v>9</v>
      </c>
      <c r="D622" t="s">
        <v>20</v>
      </c>
      <c r="E622" t="s">
        <v>23</v>
      </c>
      <c r="F622">
        <v>3754.92</v>
      </c>
    </row>
    <row r="623" spans="1:6" x14ac:dyDescent="0.35">
      <c r="A623">
        <v>1217</v>
      </c>
      <c r="B623" s="2">
        <v>45566.375085336993</v>
      </c>
      <c r="C623" t="s">
        <v>15</v>
      </c>
      <c r="D623" t="s">
        <v>21</v>
      </c>
      <c r="E623" t="s">
        <v>24</v>
      </c>
      <c r="F623">
        <v>5163.78</v>
      </c>
    </row>
    <row r="624" spans="1:6" x14ac:dyDescent="0.35">
      <c r="A624">
        <v>1396</v>
      </c>
      <c r="B624" s="2">
        <v>45566.375085336993</v>
      </c>
      <c r="C624" t="s">
        <v>6</v>
      </c>
      <c r="D624" t="s">
        <v>17</v>
      </c>
      <c r="E624" t="s">
        <v>25</v>
      </c>
      <c r="F624">
        <v>3660.36</v>
      </c>
    </row>
    <row r="625" spans="1:6" x14ac:dyDescent="0.35">
      <c r="A625">
        <v>1009</v>
      </c>
      <c r="B625" s="2">
        <v>45566.375085336993</v>
      </c>
      <c r="C625" t="s">
        <v>14</v>
      </c>
      <c r="D625" t="s">
        <v>16</v>
      </c>
      <c r="E625" t="s">
        <v>23</v>
      </c>
      <c r="F625">
        <v>1118.29</v>
      </c>
    </row>
    <row r="626" spans="1:6" x14ac:dyDescent="0.35">
      <c r="A626">
        <v>1051</v>
      </c>
      <c r="B626" s="2">
        <v>45566.375085336993</v>
      </c>
      <c r="C626" t="s">
        <v>12</v>
      </c>
      <c r="D626" t="s">
        <v>18</v>
      </c>
      <c r="E626" t="s">
        <v>23</v>
      </c>
      <c r="F626">
        <v>1923.21</v>
      </c>
    </row>
    <row r="627" spans="1:6" x14ac:dyDescent="0.35">
      <c r="A627">
        <v>1169</v>
      </c>
      <c r="B627" s="2">
        <v>45566.375085336993</v>
      </c>
      <c r="C627" t="s">
        <v>13</v>
      </c>
      <c r="D627" t="s">
        <v>21</v>
      </c>
      <c r="E627" t="s">
        <v>24</v>
      </c>
      <c r="F627">
        <v>2748.53</v>
      </c>
    </row>
    <row r="628" spans="1:6" x14ac:dyDescent="0.35">
      <c r="A628">
        <v>1302</v>
      </c>
      <c r="B628" s="2">
        <v>45567.375085336993</v>
      </c>
      <c r="C628" t="s">
        <v>6</v>
      </c>
      <c r="D628" t="s">
        <v>22</v>
      </c>
      <c r="E628" t="s">
        <v>25</v>
      </c>
      <c r="F628">
        <v>7317.73</v>
      </c>
    </row>
    <row r="629" spans="1:6" x14ac:dyDescent="0.35">
      <c r="A629">
        <v>1150</v>
      </c>
      <c r="B629" s="2">
        <v>45567.375085336993</v>
      </c>
      <c r="C629" t="s">
        <v>10</v>
      </c>
      <c r="D629" t="s">
        <v>20</v>
      </c>
      <c r="E629" t="s">
        <v>24</v>
      </c>
      <c r="F629">
        <v>1754.76</v>
      </c>
    </row>
    <row r="630" spans="1:6" x14ac:dyDescent="0.35">
      <c r="A630">
        <v>1119</v>
      </c>
      <c r="B630" s="2">
        <v>45567.375085336993</v>
      </c>
      <c r="C630" t="s">
        <v>7</v>
      </c>
      <c r="D630" t="s">
        <v>17</v>
      </c>
      <c r="E630" t="s">
        <v>23</v>
      </c>
      <c r="F630">
        <v>801.53</v>
      </c>
    </row>
    <row r="631" spans="1:6" x14ac:dyDescent="0.35">
      <c r="A631">
        <v>1145</v>
      </c>
      <c r="B631" s="2">
        <v>45567.375085336993</v>
      </c>
      <c r="C631" t="s">
        <v>7</v>
      </c>
      <c r="D631" t="s">
        <v>16</v>
      </c>
      <c r="E631" t="s">
        <v>23</v>
      </c>
      <c r="F631">
        <v>9129.56</v>
      </c>
    </row>
    <row r="632" spans="1:6" x14ac:dyDescent="0.35">
      <c r="A632">
        <v>1106</v>
      </c>
      <c r="B632" s="2">
        <v>45567.375085336993</v>
      </c>
      <c r="C632" t="s">
        <v>13</v>
      </c>
      <c r="D632" t="s">
        <v>17</v>
      </c>
      <c r="E632" t="s">
        <v>25</v>
      </c>
      <c r="F632">
        <v>2521.7399999999998</v>
      </c>
    </row>
    <row r="633" spans="1:6" x14ac:dyDescent="0.35">
      <c r="A633">
        <v>1146</v>
      </c>
      <c r="B633" s="2">
        <v>45567.375085336993</v>
      </c>
      <c r="C633" t="s">
        <v>7</v>
      </c>
      <c r="D633" t="s">
        <v>22</v>
      </c>
      <c r="E633" t="s">
        <v>25</v>
      </c>
      <c r="F633">
        <v>3845.09</v>
      </c>
    </row>
    <row r="634" spans="1:6" x14ac:dyDescent="0.35">
      <c r="A634">
        <v>1191</v>
      </c>
      <c r="B634" s="2">
        <v>45567.375085336993</v>
      </c>
      <c r="C634" t="s">
        <v>11</v>
      </c>
      <c r="D634" t="s">
        <v>21</v>
      </c>
      <c r="E634" t="s">
        <v>25</v>
      </c>
      <c r="F634">
        <v>1539.12</v>
      </c>
    </row>
    <row r="635" spans="1:6" x14ac:dyDescent="0.35">
      <c r="A635">
        <v>1251</v>
      </c>
      <c r="B635" s="2">
        <v>45568.375085336993</v>
      </c>
      <c r="C635" t="s">
        <v>15</v>
      </c>
      <c r="D635" t="s">
        <v>17</v>
      </c>
      <c r="E635" t="s">
        <v>25</v>
      </c>
      <c r="F635">
        <v>1844.37</v>
      </c>
    </row>
    <row r="636" spans="1:6" x14ac:dyDescent="0.35">
      <c r="A636">
        <v>1255</v>
      </c>
      <c r="B636" s="2">
        <v>45568.375085336993</v>
      </c>
      <c r="C636" t="s">
        <v>15</v>
      </c>
      <c r="D636" t="s">
        <v>17</v>
      </c>
      <c r="E636" t="s">
        <v>24</v>
      </c>
      <c r="F636">
        <v>8480.83</v>
      </c>
    </row>
    <row r="637" spans="1:6" x14ac:dyDescent="0.35">
      <c r="A637">
        <v>1350</v>
      </c>
      <c r="B637" s="2">
        <v>45568.375085336993</v>
      </c>
      <c r="C637" t="s">
        <v>8</v>
      </c>
      <c r="D637" t="s">
        <v>18</v>
      </c>
      <c r="E637" t="s">
        <v>24</v>
      </c>
      <c r="F637">
        <v>3969.58</v>
      </c>
    </row>
    <row r="638" spans="1:6" x14ac:dyDescent="0.35">
      <c r="A638">
        <v>1019</v>
      </c>
      <c r="B638" s="2">
        <v>45568.375085336993</v>
      </c>
      <c r="C638" t="s">
        <v>15</v>
      </c>
      <c r="D638" t="s">
        <v>22</v>
      </c>
      <c r="E638" t="s">
        <v>23</v>
      </c>
      <c r="F638">
        <v>2555.23</v>
      </c>
    </row>
    <row r="639" spans="1:6" x14ac:dyDescent="0.35">
      <c r="A639">
        <v>1366</v>
      </c>
      <c r="B639" s="2">
        <v>45568.375085336993</v>
      </c>
      <c r="C639" t="s">
        <v>13</v>
      </c>
      <c r="D639" t="s">
        <v>20</v>
      </c>
      <c r="E639" t="s">
        <v>25</v>
      </c>
      <c r="F639">
        <v>2366.69</v>
      </c>
    </row>
    <row r="640" spans="1:6" x14ac:dyDescent="0.35">
      <c r="A640">
        <v>1287</v>
      </c>
      <c r="B640" s="2">
        <v>45568.375085336993</v>
      </c>
      <c r="C640" t="s">
        <v>7</v>
      </c>
      <c r="D640" t="s">
        <v>18</v>
      </c>
      <c r="E640" t="s">
        <v>25</v>
      </c>
      <c r="F640">
        <v>4847.68</v>
      </c>
    </row>
    <row r="641" spans="1:6" x14ac:dyDescent="0.35">
      <c r="A641">
        <v>1226</v>
      </c>
      <c r="B641" s="2">
        <v>45569.375085336993</v>
      </c>
      <c r="C641" t="s">
        <v>10</v>
      </c>
      <c r="D641" t="s">
        <v>17</v>
      </c>
      <c r="E641" t="s">
        <v>24</v>
      </c>
      <c r="F641">
        <v>1858.01</v>
      </c>
    </row>
    <row r="642" spans="1:6" x14ac:dyDescent="0.35">
      <c r="A642">
        <v>1129</v>
      </c>
      <c r="B642" s="2">
        <v>45569.375085336993</v>
      </c>
      <c r="C642" t="s">
        <v>6</v>
      </c>
      <c r="D642" t="s">
        <v>20</v>
      </c>
      <c r="E642" t="s">
        <v>25</v>
      </c>
      <c r="F642">
        <v>2455.89</v>
      </c>
    </row>
    <row r="643" spans="1:6" x14ac:dyDescent="0.35">
      <c r="A643">
        <v>1384</v>
      </c>
      <c r="B643" s="2">
        <v>45569.375085336993</v>
      </c>
      <c r="C643" t="s">
        <v>10</v>
      </c>
      <c r="D643" t="s">
        <v>16</v>
      </c>
      <c r="E643" t="s">
        <v>23</v>
      </c>
      <c r="F643">
        <v>8828.5400000000009</v>
      </c>
    </row>
    <row r="644" spans="1:6" x14ac:dyDescent="0.35">
      <c r="A644">
        <v>1304</v>
      </c>
      <c r="B644" s="2">
        <v>45569.375085336993</v>
      </c>
      <c r="C644" t="s">
        <v>13</v>
      </c>
      <c r="D644" t="s">
        <v>17</v>
      </c>
      <c r="E644" t="s">
        <v>24</v>
      </c>
      <c r="F644">
        <v>1277.83</v>
      </c>
    </row>
    <row r="645" spans="1:6" x14ac:dyDescent="0.35">
      <c r="A645">
        <v>1106</v>
      </c>
      <c r="B645" s="2">
        <v>45569.375085336993</v>
      </c>
      <c r="C645" t="s">
        <v>9</v>
      </c>
      <c r="D645" t="s">
        <v>19</v>
      </c>
      <c r="E645" t="s">
        <v>25</v>
      </c>
      <c r="F645">
        <v>711.66</v>
      </c>
    </row>
    <row r="646" spans="1:6" x14ac:dyDescent="0.35">
      <c r="A646">
        <v>1307</v>
      </c>
      <c r="B646" s="2">
        <v>45569.375085336993</v>
      </c>
      <c r="C646" t="s">
        <v>8</v>
      </c>
      <c r="D646" t="s">
        <v>17</v>
      </c>
      <c r="E646" t="s">
        <v>25</v>
      </c>
      <c r="F646">
        <v>8344.2000000000007</v>
      </c>
    </row>
    <row r="647" spans="1:6" x14ac:dyDescent="0.35">
      <c r="A647">
        <v>1294</v>
      </c>
      <c r="B647" s="2">
        <v>45569.375085336993</v>
      </c>
      <c r="C647" t="s">
        <v>13</v>
      </c>
      <c r="D647" t="s">
        <v>17</v>
      </c>
      <c r="E647" t="s">
        <v>23</v>
      </c>
      <c r="F647">
        <v>892.64</v>
      </c>
    </row>
    <row r="648" spans="1:6" x14ac:dyDescent="0.35">
      <c r="A648">
        <v>1002</v>
      </c>
      <c r="B648" s="2">
        <v>45570.375085336993</v>
      </c>
      <c r="C648" t="s">
        <v>14</v>
      </c>
      <c r="D648" t="s">
        <v>21</v>
      </c>
      <c r="E648" t="s">
        <v>23</v>
      </c>
      <c r="F648">
        <v>8228.99</v>
      </c>
    </row>
    <row r="649" spans="1:6" x14ac:dyDescent="0.35">
      <c r="A649">
        <v>1125</v>
      </c>
      <c r="B649" s="2">
        <v>45570.375085336993</v>
      </c>
      <c r="C649" t="s">
        <v>13</v>
      </c>
      <c r="D649" t="s">
        <v>21</v>
      </c>
      <c r="E649" t="s">
        <v>25</v>
      </c>
      <c r="F649">
        <v>483.15</v>
      </c>
    </row>
    <row r="650" spans="1:6" x14ac:dyDescent="0.35">
      <c r="A650">
        <v>1061</v>
      </c>
      <c r="B650" s="2">
        <v>45570.375085336993</v>
      </c>
      <c r="C650" t="s">
        <v>13</v>
      </c>
      <c r="D650" t="s">
        <v>19</v>
      </c>
      <c r="E650" t="s">
        <v>25</v>
      </c>
      <c r="F650">
        <v>5010.1000000000004</v>
      </c>
    </row>
    <row r="651" spans="1:6" x14ac:dyDescent="0.35">
      <c r="A651">
        <v>1163</v>
      </c>
      <c r="B651" s="2">
        <v>45570.375085336993</v>
      </c>
      <c r="C651" t="s">
        <v>15</v>
      </c>
      <c r="D651" t="s">
        <v>16</v>
      </c>
      <c r="E651" t="s">
        <v>24</v>
      </c>
      <c r="F651">
        <v>5198.68</v>
      </c>
    </row>
    <row r="652" spans="1:6" x14ac:dyDescent="0.35">
      <c r="A652">
        <v>1155</v>
      </c>
      <c r="B652" s="2">
        <v>45571.375085336993</v>
      </c>
      <c r="C652" t="s">
        <v>15</v>
      </c>
      <c r="D652" t="s">
        <v>21</v>
      </c>
      <c r="E652" t="s">
        <v>23</v>
      </c>
      <c r="F652">
        <v>1910.86</v>
      </c>
    </row>
    <row r="653" spans="1:6" x14ac:dyDescent="0.35">
      <c r="A653">
        <v>1235</v>
      </c>
      <c r="B653" s="2">
        <v>45571.375085336993</v>
      </c>
      <c r="C653" t="s">
        <v>14</v>
      </c>
      <c r="D653" t="s">
        <v>17</v>
      </c>
      <c r="E653" t="s">
        <v>23</v>
      </c>
      <c r="F653">
        <v>6143.59</v>
      </c>
    </row>
    <row r="654" spans="1:6" x14ac:dyDescent="0.35">
      <c r="A654">
        <v>1116</v>
      </c>
      <c r="B654" s="2">
        <v>45571.375085336993</v>
      </c>
      <c r="C654" t="s">
        <v>10</v>
      </c>
      <c r="D654" t="s">
        <v>22</v>
      </c>
      <c r="E654" t="s">
        <v>23</v>
      </c>
      <c r="F654">
        <v>5131.9799999999996</v>
      </c>
    </row>
    <row r="655" spans="1:6" x14ac:dyDescent="0.35">
      <c r="A655">
        <v>1089</v>
      </c>
      <c r="B655" s="2">
        <v>45571.375085336993</v>
      </c>
      <c r="C655" t="s">
        <v>15</v>
      </c>
      <c r="D655" t="s">
        <v>19</v>
      </c>
      <c r="E655" t="s">
        <v>25</v>
      </c>
      <c r="F655">
        <v>214.17</v>
      </c>
    </row>
    <row r="656" spans="1:6" x14ac:dyDescent="0.35">
      <c r="A656">
        <v>1281</v>
      </c>
      <c r="B656" s="2">
        <v>45571.375085336993</v>
      </c>
      <c r="C656" t="s">
        <v>11</v>
      </c>
      <c r="D656" t="s">
        <v>16</v>
      </c>
      <c r="E656" t="s">
        <v>25</v>
      </c>
      <c r="F656">
        <v>5495.02</v>
      </c>
    </row>
    <row r="657" spans="1:6" x14ac:dyDescent="0.35">
      <c r="A657">
        <v>1370</v>
      </c>
      <c r="B657" s="2">
        <v>45571.375085336993</v>
      </c>
      <c r="C657" t="s">
        <v>7</v>
      </c>
      <c r="D657" t="s">
        <v>20</v>
      </c>
      <c r="E657" t="s">
        <v>23</v>
      </c>
      <c r="F657">
        <v>4869.3</v>
      </c>
    </row>
    <row r="658" spans="1:6" x14ac:dyDescent="0.35">
      <c r="A658">
        <v>1067</v>
      </c>
      <c r="B658" s="2">
        <v>45571.375085336993</v>
      </c>
      <c r="C658" t="s">
        <v>7</v>
      </c>
      <c r="D658" t="s">
        <v>19</v>
      </c>
      <c r="E658" t="s">
        <v>23</v>
      </c>
      <c r="F658">
        <v>540.57000000000005</v>
      </c>
    </row>
    <row r="659" spans="1:6" x14ac:dyDescent="0.35">
      <c r="A659">
        <v>1208</v>
      </c>
      <c r="B659" s="2">
        <v>45572.375085336993</v>
      </c>
      <c r="C659" t="s">
        <v>11</v>
      </c>
      <c r="D659" t="s">
        <v>19</v>
      </c>
      <c r="E659" t="s">
        <v>24</v>
      </c>
      <c r="F659">
        <v>3251.97</v>
      </c>
    </row>
    <row r="660" spans="1:6" x14ac:dyDescent="0.35">
      <c r="A660">
        <v>1312</v>
      </c>
      <c r="B660" s="2">
        <v>45573.375085336993</v>
      </c>
      <c r="C660" t="s">
        <v>7</v>
      </c>
      <c r="D660" t="s">
        <v>21</v>
      </c>
      <c r="E660" t="s">
        <v>23</v>
      </c>
      <c r="F660">
        <v>4245.67</v>
      </c>
    </row>
    <row r="661" spans="1:6" x14ac:dyDescent="0.35">
      <c r="A661">
        <v>1324</v>
      </c>
      <c r="B661" s="2">
        <v>45573.375085336993</v>
      </c>
      <c r="C661" t="s">
        <v>9</v>
      </c>
      <c r="D661" t="s">
        <v>16</v>
      </c>
      <c r="E661" t="s">
        <v>23</v>
      </c>
      <c r="F661">
        <v>615.82000000000005</v>
      </c>
    </row>
    <row r="662" spans="1:6" x14ac:dyDescent="0.35">
      <c r="A662">
        <v>1087</v>
      </c>
      <c r="B662" s="2">
        <v>45574.375085336993</v>
      </c>
      <c r="C662" t="s">
        <v>7</v>
      </c>
      <c r="D662" t="s">
        <v>18</v>
      </c>
      <c r="E662" t="s">
        <v>23</v>
      </c>
      <c r="F662">
        <v>4059.6</v>
      </c>
    </row>
    <row r="663" spans="1:6" x14ac:dyDescent="0.35">
      <c r="A663">
        <v>1304</v>
      </c>
      <c r="B663" s="2">
        <v>45575.375085336993</v>
      </c>
      <c r="C663" t="s">
        <v>7</v>
      </c>
      <c r="D663" t="s">
        <v>19</v>
      </c>
      <c r="E663" t="s">
        <v>24</v>
      </c>
      <c r="F663">
        <v>1706.79</v>
      </c>
    </row>
    <row r="664" spans="1:6" x14ac:dyDescent="0.35">
      <c r="A664">
        <v>1230</v>
      </c>
      <c r="B664" s="2">
        <v>45575.375085336993</v>
      </c>
      <c r="C664" t="s">
        <v>6</v>
      </c>
      <c r="D664" t="s">
        <v>16</v>
      </c>
      <c r="E664" t="s">
        <v>25</v>
      </c>
      <c r="F664">
        <v>5373.89</v>
      </c>
    </row>
    <row r="665" spans="1:6" x14ac:dyDescent="0.35">
      <c r="A665">
        <v>1377</v>
      </c>
      <c r="B665" s="2">
        <v>45575.375085336993</v>
      </c>
      <c r="C665" t="s">
        <v>11</v>
      </c>
      <c r="D665" t="s">
        <v>17</v>
      </c>
      <c r="E665" t="s">
        <v>23</v>
      </c>
      <c r="F665">
        <v>10578.27</v>
      </c>
    </row>
    <row r="666" spans="1:6" x14ac:dyDescent="0.35">
      <c r="A666">
        <v>1144</v>
      </c>
      <c r="B666" s="2">
        <v>45575.375085336993</v>
      </c>
      <c r="C666" t="s">
        <v>14</v>
      </c>
      <c r="D666" t="s">
        <v>18</v>
      </c>
      <c r="E666" t="s">
        <v>23</v>
      </c>
      <c r="F666">
        <v>5242.34</v>
      </c>
    </row>
    <row r="667" spans="1:6" x14ac:dyDescent="0.35">
      <c r="A667">
        <v>1287</v>
      </c>
      <c r="B667" s="2">
        <v>45576.375085336993</v>
      </c>
      <c r="C667" t="s">
        <v>14</v>
      </c>
      <c r="D667" t="s">
        <v>21</v>
      </c>
      <c r="E667" t="s">
        <v>24</v>
      </c>
      <c r="F667">
        <v>547.9</v>
      </c>
    </row>
    <row r="668" spans="1:6" x14ac:dyDescent="0.35">
      <c r="A668">
        <v>1041</v>
      </c>
      <c r="B668" s="2">
        <v>45576.375085336993</v>
      </c>
      <c r="C668" t="s">
        <v>9</v>
      </c>
      <c r="D668" t="s">
        <v>21</v>
      </c>
      <c r="E668" t="s">
        <v>23</v>
      </c>
      <c r="F668">
        <v>1680.93</v>
      </c>
    </row>
    <row r="669" spans="1:6" x14ac:dyDescent="0.35">
      <c r="A669">
        <v>1091</v>
      </c>
      <c r="B669" s="2">
        <v>45576.375085336993</v>
      </c>
      <c r="C669" t="s">
        <v>9</v>
      </c>
      <c r="D669" t="s">
        <v>22</v>
      </c>
      <c r="E669" t="s">
        <v>23</v>
      </c>
      <c r="F669">
        <v>1571.62</v>
      </c>
    </row>
    <row r="670" spans="1:6" x14ac:dyDescent="0.35">
      <c r="A670">
        <v>1228</v>
      </c>
      <c r="B670" s="2">
        <v>45576.375085336993</v>
      </c>
      <c r="C670" t="s">
        <v>11</v>
      </c>
      <c r="D670" t="s">
        <v>21</v>
      </c>
      <c r="E670" t="s">
        <v>25</v>
      </c>
      <c r="F670">
        <v>2532.69</v>
      </c>
    </row>
    <row r="671" spans="1:6" x14ac:dyDescent="0.35">
      <c r="A671">
        <v>1313</v>
      </c>
      <c r="B671" s="2">
        <v>45576.375085336993</v>
      </c>
      <c r="C671" t="s">
        <v>12</v>
      </c>
      <c r="D671" t="s">
        <v>22</v>
      </c>
      <c r="E671" t="s">
        <v>24</v>
      </c>
      <c r="F671">
        <v>3372.88</v>
      </c>
    </row>
    <row r="672" spans="1:6" x14ac:dyDescent="0.35">
      <c r="A672">
        <v>1292</v>
      </c>
      <c r="B672" s="2">
        <v>45576.375085336993</v>
      </c>
      <c r="C672" t="s">
        <v>15</v>
      </c>
      <c r="D672" t="s">
        <v>16</v>
      </c>
      <c r="E672" t="s">
        <v>24</v>
      </c>
      <c r="F672">
        <v>4205.08</v>
      </c>
    </row>
    <row r="673" spans="1:6" x14ac:dyDescent="0.35">
      <c r="A673">
        <v>1186</v>
      </c>
      <c r="B673" s="2">
        <v>45577.375085336993</v>
      </c>
      <c r="C673" t="s">
        <v>13</v>
      </c>
      <c r="D673" t="s">
        <v>18</v>
      </c>
      <c r="E673" t="s">
        <v>23</v>
      </c>
      <c r="F673">
        <v>1979.73</v>
      </c>
    </row>
    <row r="674" spans="1:6" x14ac:dyDescent="0.35">
      <c r="A674">
        <v>1322</v>
      </c>
      <c r="B674" s="2">
        <v>45578.375085336993</v>
      </c>
      <c r="C674" t="s">
        <v>11</v>
      </c>
      <c r="D674" t="s">
        <v>19</v>
      </c>
      <c r="E674" t="s">
        <v>25</v>
      </c>
      <c r="F674">
        <v>1169.5999999999999</v>
      </c>
    </row>
    <row r="675" spans="1:6" x14ac:dyDescent="0.35">
      <c r="A675">
        <v>1108</v>
      </c>
      <c r="B675" s="2">
        <v>45578.375085336993</v>
      </c>
      <c r="C675" t="s">
        <v>15</v>
      </c>
      <c r="D675" t="s">
        <v>18</v>
      </c>
      <c r="E675" t="s">
        <v>24</v>
      </c>
      <c r="F675">
        <v>6043.34</v>
      </c>
    </row>
    <row r="676" spans="1:6" x14ac:dyDescent="0.35">
      <c r="A676">
        <v>1276</v>
      </c>
      <c r="B676" s="2">
        <v>45578.375085336993</v>
      </c>
      <c r="C676" t="s">
        <v>9</v>
      </c>
      <c r="D676" t="s">
        <v>20</v>
      </c>
      <c r="E676" t="s">
        <v>25</v>
      </c>
      <c r="F676">
        <v>3107.87</v>
      </c>
    </row>
    <row r="677" spans="1:6" x14ac:dyDescent="0.35">
      <c r="A677">
        <v>1100</v>
      </c>
      <c r="B677" s="2">
        <v>45578.375085336993</v>
      </c>
      <c r="C677" t="s">
        <v>11</v>
      </c>
      <c r="D677" t="s">
        <v>20</v>
      </c>
      <c r="E677" t="s">
        <v>25</v>
      </c>
      <c r="F677">
        <v>2759.92</v>
      </c>
    </row>
    <row r="678" spans="1:6" x14ac:dyDescent="0.35">
      <c r="A678">
        <v>1052</v>
      </c>
      <c r="B678" s="2">
        <v>45579.375085336993</v>
      </c>
      <c r="C678" t="s">
        <v>11</v>
      </c>
      <c r="D678" t="s">
        <v>19</v>
      </c>
      <c r="E678" t="s">
        <v>24</v>
      </c>
      <c r="F678">
        <v>4085.51</v>
      </c>
    </row>
    <row r="679" spans="1:6" x14ac:dyDescent="0.35">
      <c r="A679">
        <v>1383</v>
      </c>
      <c r="B679" s="2">
        <v>45579.375085336993</v>
      </c>
      <c r="C679" t="s">
        <v>6</v>
      </c>
      <c r="D679" t="s">
        <v>18</v>
      </c>
      <c r="E679" t="s">
        <v>24</v>
      </c>
      <c r="F679">
        <v>2339.44</v>
      </c>
    </row>
    <row r="680" spans="1:6" x14ac:dyDescent="0.35">
      <c r="A680">
        <v>1284</v>
      </c>
      <c r="B680" s="2">
        <v>45580.375085336993</v>
      </c>
      <c r="C680" t="s">
        <v>11</v>
      </c>
      <c r="D680" t="s">
        <v>19</v>
      </c>
      <c r="E680" t="s">
        <v>23</v>
      </c>
      <c r="F680">
        <v>5610.62</v>
      </c>
    </row>
    <row r="681" spans="1:6" x14ac:dyDescent="0.35">
      <c r="A681">
        <v>1202</v>
      </c>
      <c r="B681" s="2">
        <v>45580.375085336993</v>
      </c>
      <c r="C681" t="s">
        <v>8</v>
      </c>
      <c r="D681" t="s">
        <v>21</v>
      </c>
      <c r="E681" t="s">
        <v>23</v>
      </c>
      <c r="F681">
        <v>4253.58</v>
      </c>
    </row>
    <row r="682" spans="1:6" x14ac:dyDescent="0.35">
      <c r="A682">
        <v>1027</v>
      </c>
      <c r="B682" s="2">
        <v>45580.375085336993</v>
      </c>
      <c r="C682" t="s">
        <v>13</v>
      </c>
      <c r="D682" t="s">
        <v>20</v>
      </c>
      <c r="E682" t="s">
        <v>24</v>
      </c>
      <c r="F682">
        <v>4195.79</v>
      </c>
    </row>
    <row r="683" spans="1:6" x14ac:dyDescent="0.35">
      <c r="A683">
        <v>1135</v>
      </c>
      <c r="B683" s="2">
        <v>45580.375085336993</v>
      </c>
      <c r="C683" t="s">
        <v>15</v>
      </c>
      <c r="D683" t="s">
        <v>21</v>
      </c>
      <c r="E683" t="s">
        <v>24</v>
      </c>
      <c r="F683">
        <v>1563.09</v>
      </c>
    </row>
    <row r="684" spans="1:6" x14ac:dyDescent="0.35">
      <c r="A684">
        <v>1344</v>
      </c>
      <c r="B684" s="2">
        <v>45580.375085336993</v>
      </c>
      <c r="C684" t="s">
        <v>7</v>
      </c>
      <c r="D684" t="s">
        <v>18</v>
      </c>
      <c r="E684" t="s">
        <v>25</v>
      </c>
      <c r="F684">
        <v>3303.64</v>
      </c>
    </row>
    <row r="685" spans="1:6" x14ac:dyDescent="0.35">
      <c r="A685">
        <v>1292</v>
      </c>
      <c r="B685" s="2">
        <v>45580.375085336993</v>
      </c>
      <c r="C685" t="s">
        <v>6</v>
      </c>
      <c r="D685" t="s">
        <v>21</v>
      </c>
      <c r="E685" t="s">
        <v>24</v>
      </c>
      <c r="F685">
        <v>3045.72</v>
      </c>
    </row>
    <row r="686" spans="1:6" x14ac:dyDescent="0.35">
      <c r="A686">
        <v>1119</v>
      </c>
      <c r="B686" s="2">
        <v>45580.375085336993</v>
      </c>
      <c r="C686" t="s">
        <v>9</v>
      </c>
      <c r="D686" t="s">
        <v>20</v>
      </c>
      <c r="E686" t="s">
        <v>23</v>
      </c>
      <c r="F686">
        <v>6086.33</v>
      </c>
    </row>
    <row r="687" spans="1:6" x14ac:dyDescent="0.35">
      <c r="A687">
        <v>1383</v>
      </c>
      <c r="B687" s="2">
        <v>45581.375085336993</v>
      </c>
      <c r="C687" t="s">
        <v>9</v>
      </c>
      <c r="D687" t="s">
        <v>17</v>
      </c>
      <c r="E687" t="s">
        <v>23</v>
      </c>
      <c r="F687">
        <v>1674.91</v>
      </c>
    </row>
    <row r="688" spans="1:6" x14ac:dyDescent="0.35">
      <c r="A688">
        <v>1271</v>
      </c>
      <c r="B688" s="2">
        <v>45581.375085336993</v>
      </c>
      <c r="C688" t="s">
        <v>14</v>
      </c>
      <c r="D688" t="s">
        <v>22</v>
      </c>
      <c r="E688" t="s">
        <v>25</v>
      </c>
      <c r="F688">
        <v>7503.85</v>
      </c>
    </row>
    <row r="689" spans="1:6" x14ac:dyDescent="0.35">
      <c r="A689">
        <v>1387</v>
      </c>
      <c r="B689" s="2">
        <v>45582.375085336993</v>
      </c>
      <c r="C689" t="s">
        <v>6</v>
      </c>
      <c r="D689" t="s">
        <v>19</v>
      </c>
      <c r="E689" t="s">
        <v>24</v>
      </c>
      <c r="F689">
        <v>4822.37</v>
      </c>
    </row>
    <row r="690" spans="1:6" x14ac:dyDescent="0.35">
      <c r="A690">
        <v>1167</v>
      </c>
      <c r="B690" s="2">
        <v>45582.375085336993</v>
      </c>
      <c r="C690" t="s">
        <v>11</v>
      </c>
      <c r="D690" t="s">
        <v>22</v>
      </c>
      <c r="E690" t="s">
        <v>24</v>
      </c>
      <c r="F690">
        <v>4110.18</v>
      </c>
    </row>
    <row r="691" spans="1:6" x14ac:dyDescent="0.35">
      <c r="A691">
        <v>1057</v>
      </c>
      <c r="B691" s="2">
        <v>45582.375085336993</v>
      </c>
      <c r="C691" t="s">
        <v>13</v>
      </c>
      <c r="D691" t="s">
        <v>17</v>
      </c>
      <c r="E691" t="s">
        <v>23</v>
      </c>
      <c r="F691">
        <v>4157.47</v>
      </c>
    </row>
    <row r="692" spans="1:6" x14ac:dyDescent="0.35">
      <c r="A692">
        <v>1256</v>
      </c>
      <c r="B692" s="2">
        <v>45582.375085336993</v>
      </c>
      <c r="C692" t="s">
        <v>8</v>
      </c>
      <c r="D692" t="s">
        <v>19</v>
      </c>
      <c r="E692" t="s">
        <v>23</v>
      </c>
      <c r="F692">
        <v>483.4</v>
      </c>
    </row>
    <row r="693" spans="1:6" x14ac:dyDescent="0.35">
      <c r="A693">
        <v>1001</v>
      </c>
      <c r="B693" s="2">
        <v>45582.375085336993</v>
      </c>
      <c r="C693" t="s">
        <v>13</v>
      </c>
      <c r="D693" t="s">
        <v>21</v>
      </c>
      <c r="E693" t="s">
        <v>23</v>
      </c>
      <c r="F693">
        <v>1341.05</v>
      </c>
    </row>
    <row r="694" spans="1:6" x14ac:dyDescent="0.35">
      <c r="A694">
        <v>1267</v>
      </c>
      <c r="B694" s="2">
        <v>45583.375085336993</v>
      </c>
      <c r="C694" t="s">
        <v>9</v>
      </c>
      <c r="D694" t="s">
        <v>16</v>
      </c>
      <c r="E694" t="s">
        <v>23</v>
      </c>
      <c r="F694">
        <v>2582.66</v>
      </c>
    </row>
    <row r="695" spans="1:6" x14ac:dyDescent="0.35">
      <c r="A695">
        <v>1254</v>
      </c>
      <c r="B695" s="2">
        <v>45583.375085336993</v>
      </c>
      <c r="C695" t="s">
        <v>10</v>
      </c>
      <c r="D695" t="s">
        <v>20</v>
      </c>
      <c r="E695" t="s">
        <v>25</v>
      </c>
      <c r="F695">
        <v>4878.6899999999996</v>
      </c>
    </row>
    <row r="696" spans="1:6" x14ac:dyDescent="0.35">
      <c r="A696">
        <v>1263</v>
      </c>
      <c r="B696" s="2">
        <v>45583.375085336993</v>
      </c>
      <c r="C696" t="s">
        <v>15</v>
      </c>
      <c r="D696" t="s">
        <v>19</v>
      </c>
      <c r="E696" t="s">
        <v>25</v>
      </c>
      <c r="F696">
        <v>1689.52</v>
      </c>
    </row>
    <row r="697" spans="1:6" x14ac:dyDescent="0.35">
      <c r="A697">
        <v>1359</v>
      </c>
      <c r="B697" s="2">
        <v>45583.375085336993</v>
      </c>
      <c r="C697" t="s">
        <v>10</v>
      </c>
      <c r="D697" t="s">
        <v>16</v>
      </c>
      <c r="E697" t="s">
        <v>24</v>
      </c>
      <c r="F697">
        <v>2900.25</v>
      </c>
    </row>
    <row r="698" spans="1:6" x14ac:dyDescent="0.35">
      <c r="A698">
        <v>1310</v>
      </c>
      <c r="B698" s="2">
        <v>45584.375085336993</v>
      </c>
      <c r="C698" t="s">
        <v>10</v>
      </c>
      <c r="D698" t="s">
        <v>20</v>
      </c>
      <c r="E698" t="s">
        <v>25</v>
      </c>
      <c r="F698">
        <v>4475.3599999999997</v>
      </c>
    </row>
    <row r="699" spans="1:6" x14ac:dyDescent="0.35">
      <c r="A699">
        <v>1216</v>
      </c>
      <c r="B699" s="2">
        <v>45584.375085336993</v>
      </c>
      <c r="C699" t="s">
        <v>12</v>
      </c>
      <c r="D699" t="s">
        <v>22</v>
      </c>
      <c r="E699" t="s">
        <v>25</v>
      </c>
      <c r="F699">
        <v>7092.94</v>
      </c>
    </row>
    <row r="700" spans="1:6" x14ac:dyDescent="0.35">
      <c r="A700">
        <v>1186</v>
      </c>
      <c r="B700" s="2">
        <v>45584.375085336993</v>
      </c>
      <c r="C700" t="s">
        <v>7</v>
      </c>
      <c r="D700" t="s">
        <v>19</v>
      </c>
      <c r="E700" t="s">
        <v>23</v>
      </c>
      <c r="F700">
        <v>2720.66</v>
      </c>
    </row>
    <row r="701" spans="1:6" x14ac:dyDescent="0.35">
      <c r="A701">
        <v>1255</v>
      </c>
      <c r="B701" s="2">
        <v>45585.375085336993</v>
      </c>
      <c r="C701" t="s">
        <v>11</v>
      </c>
      <c r="D701" t="s">
        <v>21</v>
      </c>
      <c r="E701" t="s">
        <v>24</v>
      </c>
      <c r="F701">
        <v>565.72</v>
      </c>
    </row>
    <row r="702" spans="1:6" x14ac:dyDescent="0.35">
      <c r="A702">
        <v>1344</v>
      </c>
      <c r="B702" s="2">
        <v>45585.375085336993</v>
      </c>
      <c r="C702" t="s">
        <v>6</v>
      </c>
      <c r="D702" t="s">
        <v>22</v>
      </c>
      <c r="E702" t="s">
        <v>24</v>
      </c>
      <c r="F702">
        <v>3333.15</v>
      </c>
    </row>
    <row r="703" spans="1:6" x14ac:dyDescent="0.35">
      <c r="A703">
        <v>1028</v>
      </c>
      <c r="B703" s="2">
        <v>45585.375085336993</v>
      </c>
      <c r="C703" t="s">
        <v>8</v>
      </c>
      <c r="D703" t="s">
        <v>19</v>
      </c>
      <c r="E703" t="s">
        <v>23</v>
      </c>
      <c r="F703">
        <v>6179.71</v>
      </c>
    </row>
    <row r="704" spans="1:6" x14ac:dyDescent="0.35">
      <c r="A704">
        <v>1311</v>
      </c>
      <c r="B704" s="2">
        <v>45586.375085336993</v>
      </c>
      <c r="C704" t="s">
        <v>12</v>
      </c>
      <c r="D704" t="s">
        <v>19</v>
      </c>
      <c r="E704" t="s">
        <v>24</v>
      </c>
      <c r="F704">
        <v>3305.42</v>
      </c>
    </row>
    <row r="705" spans="1:6" x14ac:dyDescent="0.35">
      <c r="A705">
        <v>1343</v>
      </c>
      <c r="B705" s="2">
        <v>45586.375085336993</v>
      </c>
      <c r="C705" t="s">
        <v>9</v>
      </c>
      <c r="D705" t="s">
        <v>21</v>
      </c>
      <c r="E705" t="s">
        <v>24</v>
      </c>
      <c r="F705">
        <v>2701.32</v>
      </c>
    </row>
    <row r="706" spans="1:6" x14ac:dyDescent="0.35">
      <c r="A706">
        <v>1365</v>
      </c>
      <c r="B706" s="2">
        <v>45586.375085336993</v>
      </c>
      <c r="C706" t="s">
        <v>11</v>
      </c>
      <c r="D706" t="s">
        <v>16</v>
      </c>
      <c r="E706" t="s">
        <v>24</v>
      </c>
      <c r="F706">
        <v>16763.490000000002</v>
      </c>
    </row>
    <row r="707" spans="1:6" x14ac:dyDescent="0.35">
      <c r="A707">
        <v>1180</v>
      </c>
      <c r="B707" s="2">
        <v>45586.375085336993</v>
      </c>
      <c r="C707" t="s">
        <v>14</v>
      </c>
      <c r="D707" t="s">
        <v>22</v>
      </c>
      <c r="E707" t="s">
        <v>23</v>
      </c>
      <c r="F707">
        <v>6173.43</v>
      </c>
    </row>
    <row r="708" spans="1:6" x14ac:dyDescent="0.35">
      <c r="A708">
        <v>1177</v>
      </c>
      <c r="B708" s="2">
        <v>45586.375085336993</v>
      </c>
      <c r="C708" t="s">
        <v>14</v>
      </c>
      <c r="D708" t="s">
        <v>20</v>
      </c>
      <c r="E708" t="s">
        <v>24</v>
      </c>
      <c r="F708">
        <v>2109</v>
      </c>
    </row>
    <row r="709" spans="1:6" x14ac:dyDescent="0.35">
      <c r="A709">
        <v>1003</v>
      </c>
      <c r="B709" s="2">
        <v>45586.375085336993</v>
      </c>
      <c r="C709" t="s">
        <v>10</v>
      </c>
      <c r="D709" t="s">
        <v>16</v>
      </c>
      <c r="E709" t="s">
        <v>25</v>
      </c>
      <c r="F709">
        <v>4109.4399999999996</v>
      </c>
    </row>
    <row r="710" spans="1:6" x14ac:dyDescent="0.35">
      <c r="A710">
        <v>1079</v>
      </c>
      <c r="B710" s="2">
        <v>45587.375085336993</v>
      </c>
      <c r="C710" t="s">
        <v>6</v>
      </c>
      <c r="D710" t="s">
        <v>21</v>
      </c>
      <c r="E710" t="s">
        <v>25</v>
      </c>
      <c r="F710">
        <v>3632.67</v>
      </c>
    </row>
    <row r="711" spans="1:6" x14ac:dyDescent="0.35">
      <c r="A711">
        <v>1187</v>
      </c>
      <c r="B711" s="2">
        <v>45587.375085336993</v>
      </c>
      <c r="C711" t="s">
        <v>8</v>
      </c>
      <c r="D711" t="s">
        <v>16</v>
      </c>
      <c r="E711" t="s">
        <v>24</v>
      </c>
      <c r="F711">
        <v>1235.22</v>
      </c>
    </row>
    <row r="712" spans="1:6" x14ac:dyDescent="0.35">
      <c r="A712">
        <v>1043</v>
      </c>
      <c r="B712" s="2">
        <v>45587.375085336993</v>
      </c>
      <c r="C712" t="s">
        <v>14</v>
      </c>
      <c r="D712" t="s">
        <v>20</v>
      </c>
      <c r="E712" t="s">
        <v>24</v>
      </c>
      <c r="F712">
        <v>491.47</v>
      </c>
    </row>
    <row r="713" spans="1:6" x14ac:dyDescent="0.35">
      <c r="A713">
        <v>1201</v>
      </c>
      <c r="B713" s="2">
        <v>45587.375085336993</v>
      </c>
      <c r="C713" t="s">
        <v>12</v>
      </c>
      <c r="D713" t="s">
        <v>19</v>
      </c>
      <c r="E713" t="s">
        <v>24</v>
      </c>
      <c r="F713">
        <v>2731.89</v>
      </c>
    </row>
    <row r="714" spans="1:6" x14ac:dyDescent="0.35">
      <c r="A714">
        <v>1242</v>
      </c>
      <c r="B714" s="2">
        <v>45587.375085336993</v>
      </c>
      <c r="C714" t="s">
        <v>8</v>
      </c>
      <c r="D714" t="s">
        <v>19</v>
      </c>
      <c r="E714" t="s">
        <v>25</v>
      </c>
      <c r="F714">
        <v>4064.16</v>
      </c>
    </row>
    <row r="715" spans="1:6" x14ac:dyDescent="0.35">
      <c r="A715">
        <v>1217</v>
      </c>
      <c r="B715" s="2">
        <v>45588.375085336993</v>
      </c>
      <c r="C715" t="s">
        <v>10</v>
      </c>
      <c r="D715" t="s">
        <v>16</v>
      </c>
      <c r="E715" t="s">
        <v>25</v>
      </c>
      <c r="F715">
        <v>1883.39</v>
      </c>
    </row>
    <row r="716" spans="1:6" x14ac:dyDescent="0.35">
      <c r="A716">
        <v>1191</v>
      </c>
      <c r="B716" s="2">
        <v>45588.375085336993</v>
      </c>
      <c r="C716" t="s">
        <v>13</v>
      </c>
      <c r="D716" t="s">
        <v>16</v>
      </c>
      <c r="E716" t="s">
        <v>23</v>
      </c>
      <c r="F716">
        <v>5493.83</v>
      </c>
    </row>
    <row r="717" spans="1:6" x14ac:dyDescent="0.35">
      <c r="A717">
        <v>1330</v>
      </c>
      <c r="B717" s="2">
        <v>45588.375085336993</v>
      </c>
      <c r="C717" t="s">
        <v>8</v>
      </c>
      <c r="D717" t="s">
        <v>19</v>
      </c>
      <c r="E717" t="s">
        <v>23</v>
      </c>
      <c r="F717">
        <v>3580.54</v>
      </c>
    </row>
    <row r="718" spans="1:6" x14ac:dyDescent="0.35">
      <c r="A718">
        <v>1160</v>
      </c>
      <c r="B718" s="2">
        <v>45588.375085336993</v>
      </c>
      <c r="C718" t="s">
        <v>14</v>
      </c>
      <c r="D718" t="s">
        <v>19</v>
      </c>
      <c r="E718" t="s">
        <v>24</v>
      </c>
      <c r="F718">
        <v>2207.1999999999998</v>
      </c>
    </row>
    <row r="719" spans="1:6" x14ac:dyDescent="0.35">
      <c r="A719">
        <v>1042</v>
      </c>
      <c r="B719" s="2">
        <v>45588.375085336993</v>
      </c>
      <c r="C719" t="s">
        <v>11</v>
      </c>
      <c r="D719" t="s">
        <v>21</v>
      </c>
      <c r="E719" t="s">
        <v>24</v>
      </c>
      <c r="F719">
        <v>2269.17</v>
      </c>
    </row>
    <row r="720" spans="1:6" x14ac:dyDescent="0.35">
      <c r="A720">
        <v>1325</v>
      </c>
      <c r="B720" s="2">
        <v>45588.375085336993</v>
      </c>
      <c r="C720" t="s">
        <v>6</v>
      </c>
      <c r="D720" t="s">
        <v>19</v>
      </c>
      <c r="E720" t="s">
        <v>24</v>
      </c>
      <c r="F720">
        <v>6155.47</v>
      </c>
    </row>
    <row r="721" spans="1:6" x14ac:dyDescent="0.35">
      <c r="A721">
        <v>1026</v>
      </c>
      <c r="B721" s="2">
        <v>45589.375085336993</v>
      </c>
      <c r="C721" t="s">
        <v>8</v>
      </c>
      <c r="D721" t="s">
        <v>22</v>
      </c>
      <c r="E721" t="s">
        <v>24</v>
      </c>
      <c r="F721">
        <v>3497.39</v>
      </c>
    </row>
    <row r="722" spans="1:6" x14ac:dyDescent="0.35">
      <c r="A722">
        <v>1389</v>
      </c>
      <c r="B722" s="2">
        <v>45589.375085336993</v>
      </c>
      <c r="C722" t="s">
        <v>9</v>
      </c>
      <c r="D722" t="s">
        <v>17</v>
      </c>
      <c r="E722" t="s">
        <v>23</v>
      </c>
      <c r="F722">
        <v>1894.01</v>
      </c>
    </row>
    <row r="723" spans="1:6" x14ac:dyDescent="0.35">
      <c r="A723">
        <v>1011</v>
      </c>
      <c r="B723" s="2">
        <v>45589.375085336993</v>
      </c>
      <c r="C723" t="s">
        <v>13</v>
      </c>
      <c r="D723" t="s">
        <v>16</v>
      </c>
      <c r="E723" t="s">
        <v>23</v>
      </c>
      <c r="F723">
        <v>7901.06</v>
      </c>
    </row>
    <row r="724" spans="1:6" x14ac:dyDescent="0.35">
      <c r="A724">
        <v>1309</v>
      </c>
      <c r="B724" s="2">
        <v>45589.375085336993</v>
      </c>
      <c r="C724" t="s">
        <v>11</v>
      </c>
      <c r="D724" t="s">
        <v>16</v>
      </c>
      <c r="E724" t="s">
        <v>25</v>
      </c>
      <c r="F724">
        <v>3034.64</v>
      </c>
    </row>
    <row r="725" spans="1:6" x14ac:dyDescent="0.35">
      <c r="A725">
        <v>1372</v>
      </c>
      <c r="B725" s="2">
        <v>45589.375085336993</v>
      </c>
      <c r="C725" t="s">
        <v>7</v>
      </c>
      <c r="D725" t="s">
        <v>21</v>
      </c>
      <c r="E725" t="s">
        <v>24</v>
      </c>
      <c r="F725">
        <v>6395.83</v>
      </c>
    </row>
    <row r="726" spans="1:6" x14ac:dyDescent="0.35">
      <c r="A726">
        <v>1346</v>
      </c>
      <c r="B726" s="2">
        <v>45589.375085336993</v>
      </c>
      <c r="C726" t="s">
        <v>7</v>
      </c>
      <c r="D726" t="s">
        <v>22</v>
      </c>
      <c r="E726" t="s">
        <v>25</v>
      </c>
      <c r="F726">
        <v>4291.9399999999996</v>
      </c>
    </row>
    <row r="727" spans="1:6" x14ac:dyDescent="0.35">
      <c r="A727">
        <v>1238</v>
      </c>
      <c r="B727" s="2">
        <v>45590.375085336993</v>
      </c>
      <c r="C727" t="s">
        <v>8</v>
      </c>
      <c r="D727" t="s">
        <v>19</v>
      </c>
      <c r="E727" t="s">
        <v>25</v>
      </c>
      <c r="F727">
        <v>991.23</v>
      </c>
    </row>
    <row r="728" spans="1:6" x14ac:dyDescent="0.35">
      <c r="A728">
        <v>1028</v>
      </c>
      <c r="B728" s="2">
        <v>45590.375085336993</v>
      </c>
      <c r="C728" t="s">
        <v>11</v>
      </c>
      <c r="D728" t="s">
        <v>21</v>
      </c>
      <c r="E728" t="s">
        <v>23</v>
      </c>
      <c r="F728">
        <v>3390.82</v>
      </c>
    </row>
    <row r="729" spans="1:6" x14ac:dyDescent="0.35">
      <c r="A729">
        <v>1222</v>
      </c>
      <c r="B729" s="2">
        <v>45590.375085336993</v>
      </c>
      <c r="C729" t="s">
        <v>15</v>
      </c>
      <c r="D729" t="s">
        <v>18</v>
      </c>
      <c r="E729" t="s">
        <v>25</v>
      </c>
      <c r="F729">
        <v>9047.32</v>
      </c>
    </row>
    <row r="730" spans="1:6" x14ac:dyDescent="0.35">
      <c r="A730">
        <v>1198</v>
      </c>
      <c r="B730" s="2">
        <v>45590.375085336993</v>
      </c>
      <c r="C730" t="s">
        <v>9</v>
      </c>
      <c r="D730" t="s">
        <v>18</v>
      </c>
      <c r="E730" t="s">
        <v>23</v>
      </c>
      <c r="F730">
        <v>1004.72</v>
      </c>
    </row>
    <row r="731" spans="1:6" x14ac:dyDescent="0.35">
      <c r="A731">
        <v>1263</v>
      </c>
      <c r="B731" s="2">
        <v>45591.375085336993</v>
      </c>
      <c r="C731" t="s">
        <v>6</v>
      </c>
      <c r="D731" t="s">
        <v>17</v>
      </c>
      <c r="E731" t="s">
        <v>23</v>
      </c>
      <c r="F731">
        <v>4110.53</v>
      </c>
    </row>
    <row r="732" spans="1:6" x14ac:dyDescent="0.35">
      <c r="A732">
        <v>1123</v>
      </c>
      <c r="B732" s="2">
        <v>45592.375085336993</v>
      </c>
      <c r="C732" t="s">
        <v>14</v>
      </c>
      <c r="D732" t="s">
        <v>19</v>
      </c>
      <c r="E732" t="s">
        <v>23</v>
      </c>
      <c r="F732">
        <v>6060.27</v>
      </c>
    </row>
    <row r="733" spans="1:6" x14ac:dyDescent="0.35">
      <c r="A733">
        <v>1292</v>
      </c>
      <c r="B733" s="2">
        <v>45592.375085336993</v>
      </c>
      <c r="C733" t="s">
        <v>9</v>
      </c>
      <c r="D733" t="s">
        <v>16</v>
      </c>
      <c r="E733" t="s">
        <v>23</v>
      </c>
      <c r="F733">
        <v>1456.42</v>
      </c>
    </row>
    <row r="734" spans="1:6" x14ac:dyDescent="0.35">
      <c r="A734">
        <v>1100</v>
      </c>
      <c r="B734" s="2">
        <v>45592.375085336993</v>
      </c>
      <c r="C734" t="s">
        <v>11</v>
      </c>
      <c r="D734" t="s">
        <v>17</v>
      </c>
      <c r="E734" t="s">
        <v>24</v>
      </c>
      <c r="F734">
        <v>1737.35</v>
      </c>
    </row>
    <row r="735" spans="1:6" x14ac:dyDescent="0.35">
      <c r="A735">
        <v>1103</v>
      </c>
      <c r="B735" s="2">
        <v>45592.375085336993</v>
      </c>
      <c r="C735" t="s">
        <v>11</v>
      </c>
      <c r="D735" t="s">
        <v>18</v>
      </c>
      <c r="E735" t="s">
        <v>24</v>
      </c>
      <c r="F735">
        <v>10148.09</v>
      </c>
    </row>
    <row r="736" spans="1:6" x14ac:dyDescent="0.35">
      <c r="A736">
        <v>1195</v>
      </c>
      <c r="B736" s="2">
        <v>45592.375085336993</v>
      </c>
      <c r="C736" t="s">
        <v>13</v>
      </c>
      <c r="D736" t="s">
        <v>22</v>
      </c>
      <c r="E736" t="s">
        <v>24</v>
      </c>
      <c r="F736">
        <v>9808.41</v>
      </c>
    </row>
    <row r="737" spans="1:6" x14ac:dyDescent="0.35">
      <c r="A737">
        <v>1337</v>
      </c>
      <c r="B737" s="2">
        <v>45592.375085336993</v>
      </c>
      <c r="C737" t="s">
        <v>8</v>
      </c>
      <c r="D737" t="s">
        <v>19</v>
      </c>
      <c r="E737" t="s">
        <v>23</v>
      </c>
      <c r="F737">
        <v>7651.6</v>
      </c>
    </row>
    <row r="738" spans="1:6" x14ac:dyDescent="0.35">
      <c r="A738">
        <v>1277</v>
      </c>
      <c r="B738" s="2">
        <v>45592.375085336993</v>
      </c>
      <c r="C738" t="s">
        <v>15</v>
      </c>
      <c r="D738" t="s">
        <v>18</v>
      </c>
      <c r="E738" t="s">
        <v>23</v>
      </c>
      <c r="F738">
        <v>2401.81</v>
      </c>
    </row>
    <row r="739" spans="1:6" x14ac:dyDescent="0.35">
      <c r="A739">
        <v>1159</v>
      </c>
      <c r="B739" s="2">
        <v>45593.375085336993</v>
      </c>
      <c r="C739" t="s">
        <v>14</v>
      </c>
      <c r="D739" t="s">
        <v>19</v>
      </c>
      <c r="E739" t="s">
        <v>23</v>
      </c>
      <c r="F739">
        <v>1250.46</v>
      </c>
    </row>
    <row r="740" spans="1:6" x14ac:dyDescent="0.35">
      <c r="A740">
        <v>1102</v>
      </c>
      <c r="B740" s="2">
        <v>45593.375085336993</v>
      </c>
      <c r="C740" t="s">
        <v>6</v>
      </c>
      <c r="D740" t="s">
        <v>18</v>
      </c>
      <c r="E740" t="s">
        <v>24</v>
      </c>
      <c r="F740">
        <v>1023.67</v>
      </c>
    </row>
    <row r="741" spans="1:6" x14ac:dyDescent="0.35">
      <c r="A741">
        <v>1269</v>
      </c>
      <c r="B741" s="2">
        <v>45593.375085336993</v>
      </c>
      <c r="C741" t="s">
        <v>9</v>
      </c>
      <c r="D741" t="s">
        <v>21</v>
      </c>
      <c r="E741" t="s">
        <v>24</v>
      </c>
      <c r="F741">
        <v>1794.95</v>
      </c>
    </row>
    <row r="742" spans="1:6" x14ac:dyDescent="0.35">
      <c r="A742">
        <v>1368</v>
      </c>
      <c r="B742" s="2">
        <v>45593.375085336993</v>
      </c>
      <c r="C742" t="s">
        <v>9</v>
      </c>
      <c r="D742" t="s">
        <v>22</v>
      </c>
      <c r="E742" t="s">
        <v>24</v>
      </c>
      <c r="F742">
        <v>1715.33</v>
      </c>
    </row>
    <row r="743" spans="1:6" x14ac:dyDescent="0.35">
      <c r="A743">
        <v>1250</v>
      </c>
      <c r="B743" s="2">
        <v>45593.375085336993</v>
      </c>
      <c r="C743" t="s">
        <v>13</v>
      </c>
      <c r="D743" t="s">
        <v>17</v>
      </c>
      <c r="E743" t="s">
        <v>24</v>
      </c>
      <c r="F743">
        <v>2544.6999999999998</v>
      </c>
    </row>
    <row r="744" spans="1:6" x14ac:dyDescent="0.35">
      <c r="A744">
        <v>1301</v>
      </c>
      <c r="B744" s="2">
        <v>45593.375085336993</v>
      </c>
      <c r="C744" t="s">
        <v>14</v>
      </c>
      <c r="D744" t="s">
        <v>20</v>
      </c>
      <c r="E744" t="s">
        <v>23</v>
      </c>
      <c r="F744">
        <v>1840.76</v>
      </c>
    </row>
    <row r="745" spans="1:6" x14ac:dyDescent="0.35">
      <c r="A745">
        <v>1305</v>
      </c>
      <c r="B745" s="2">
        <v>45593.375085336993</v>
      </c>
      <c r="C745" t="s">
        <v>12</v>
      </c>
      <c r="D745" t="s">
        <v>21</v>
      </c>
      <c r="E745" t="s">
        <v>25</v>
      </c>
      <c r="F745">
        <v>3918.51</v>
      </c>
    </row>
    <row r="746" spans="1:6" x14ac:dyDescent="0.35">
      <c r="A746">
        <v>1083</v>
      </c>
      <c r="B746" s="2">
        <v>45593.375085336993</v>
      </c>
      <c r="C746" t="s">
        <v>11</v>
      </c>
      <c r="D746" t="s">
        <v>20</v>
      </c>
      <c r="E746" t="s">
        <v>25</v>
      </c>
      <c r="F746">
        <v>772.19</v>
      </c>
    </row>
    <row r="747" spans="1:6" x14ac:dyDescent="0.35">
      <c r="A747">
        <v>1005</v>
      </c>
      <c r="B747" s="2">
        <v>45593.375085336993</v>
      </c>
      <c r="C747" t="s">
        <v>15</v>
      </c>
      <c r="D747" t="s">
        <v>17</v>
      </c>
      <c r="E747" t="s">
        <v>25</v>
      </c>
      <c r="F747">
        <v>2634.62</v>
      </c>
    </row>
    <row r="748" spans="1:6" x14ac:dyDescent="0.35">
      <c r="A748">
        <v>1065</v>
      </c>
      <c r="B748" s="2">
        <v>45594.375085336993</v>
      </c>
      <c r="C748" t="s">
        <v>6</v>
      </c>
      <c r="D748" t="s">
        <v>21</v>
      </c>
      <c r="E748" t="s">
        <v>23</v>
      </c>
      <c r="F748">
        <v>3620.1</v>
      </c>
    </row>
    <row r="749" spans="1:6" x14ac:dyDescent="0.35">
      <c r="A749">
        <v>1131</v>
      </c>
      <c r="B749" s="2">
        <v>45594.375085336993</v>
      </c>
      <c r="C749" t="s">
        <v>12</v>
      </c>
      <c r="D749" t="s">
        <v>22</v>
      </c>
      <c r="E749" t="s">
        <v>25</v>
      </c>
      <c r="F749">
        <v>13009.97</v>
      </c>
    </row>
    <row r="750" spans="1:6" x14ac:dyDescent="0.35">
      <c r="A750">
        <v>1399</v>
      </c>
      <c r="B750" s="2">
        <v>45594.375085336993</v>
      </c>
      <c r="C750" t="s">
        <v>15</v>
      </c>
      <c r="D750" t="s">
        <v>21</v>
      </c>
      <c r="E750" t="s">
        <v>23</v>
      </c>
      <c r="F750">
        <v>1331.23</v>
      </c>
    </row>
    <row r="751" spans="1:6" x14ac:dyDescent="0.35">
      <c r="A751">
        <v>1051</v>
      </c>
      <c r="B751" s="2">
        <v>45595.375085336993</v>
      </c>
      <c r="C751" t="s">
        <v>14</v>
      </c>
      <c r="D751" t="s">
        <v>19</v>
      </c>
      <c r="E751" t="s">
        <v>23</v>
      </c>
      <c r="F751">
        <v>2108.48</v>
      </c>
    </row>
    <row r="752" spans="1:6" x14ac:dyDescent="0.35">
      <c r="A752">
        <v>1072</v>
      </c>
      <c r="B752" s="2">
        <v>45595.375085336993</v>
      </c>
      <c r="C752" t="s">
        <v>7</v>
      </c>
      <c r="D752" t="s">
        <v>19</v>
      </c>
      <c r="E752" t="s">
        <v>25</v>
      </c>
      <c r="F752">
        <v>2943.81</v>
      </c>
    </row>
    <row r="753" spans="1:6" x14ac:dyDescent="0.35">
      <c r="A753">
        <v>1115</v>
      </c>
      <c r="B753" s="2">
        <v>45595.375085336993</v>
      </c>
      <c r="C753" t="s">
        <v>8</v>
      </c>
      <c r="D753" t="s">
        <v>18</v>
      </c>
      <c r="E753" t="s">
        <v>24</v>
      </c>
      <c r="F753">
        <v>1201.8599999999999</v>
      </c>
    </row>
    <row r="754" spans="1:6" x14ac:dyDescent="0.35">
      <c r="A754">
        <v>1290</v>
      </c>
      <c r="B754" s="2">
        <v>45595.375085336993</v>
      </c>
      <c r="C754" t="s">
        <v>10</v>
      </c>
      <c r="D754" t="s">
        <v>19</v>
      </c>
      <c r="E754" t="s">
        <v>24</v>
      </c>
      <c r="F754">
        <v>6052.22</v>
      </c>
    </row>
    <row r="755" spans="1:6" x14ac:dyDescent="0.35">
      <c r="A755">
        <v>1068</v>
      </c>
      <c r="B755" s="2">
        <v>45595.375085336993</v>
      </c>
      <c r="C755" t="s">
        <v>15</v>
      </c>
      <c r="D755" t="s">
        <v>16</v>
      </c>
      <c r="E755" t="s">
        <v>24</v>
      </c>
      <c r="F755">
        <v>4141.79</v>
      </c>
    </row>
    <row r="756" spans="1:6" x14ac:dyDescent="0.35">
      <c r="A756">
        <v>1150</v>
      </c>
      <c r="B756" s="2">
        <v>45596.375085336993</v>
      </c>
      <c r="C756" t="s">
        <v>8</v>
      </c>
      <c r="D756" t="s">
        <v>16</v>
      </c>
      <c r="E756" t="s">
        <v>24</v>
      </c>
      <c r="F756">
        <v>4617.8599999999997</v>
      </c>
    </row>
    <row r="757" spans="1:6" x14ac:dyDescent="0.35">
      <c r="A757">
        <v>1280</v>
      </c>
      <c r="B757" s="2">
        <v>45596.375085336993</v>
      </c>
      <c r="C757" t="s">
        <v>7</v>
      </c>
      <c r="D757" t="s">
        <v>16</v>
      </c>
      <c r="E757" t="s">
        <v>24</v>
      </c>
      <c r="F757">
        <v>3306</v>
      </c>
    </row>
    <row r="758" spans="1:6" x14ac:dyDescent="0.35">
      <c r="A758">
        <v>1225</v>
      </c>
      <c r="B758" s="2">
        <v>45596.375085336993</v>
      </c>
      <c r="C758" t="s">
        <v>9</v>
      </c>
      <c r="D758" t="s">
        <v>18</v>
      </c>
      <c r="E758" t="s">
        <v>24</v>
      </c>
      <c r="F758">
        <v>4086.92</v>
      </c>
    </row>
    <row r="759" spans="1:6" x14ac:dyDescent="0.35">
      <c r="A759">
        <v>1380</v>
      </c>
      <c r="B759" s="2">
        <v>45596.375085336993</v>
      </c>
      <c r="C759" t="s">
        <v>13</v>
      </c>
      <c r="D759" t="s">
        <v>22</v>
      </c>
      <c r="E759" t="s">
        <v>23</v>
      </c>
      <c r="F759">
        <v>3006.79</v>
      </c>
    </row>
    <row r="760" spans="1:6" x14ac:dyDescent="0.35">
      <c r="A760">
        <v>1237</v>
      </c>
      <c r="B760" s="2">
        <v>45596.375085336993</v>
      </c>
      <c r="C760" t="s">
        <v>13</v>
      </c>
      <c r="D760" t="s">
        <v>19</v>
      </c>
      <c r="E760" t="s">
        <v>25</v>
      </c>
      <c r="F760">
        <v>4014.99</v>
      </c>
    </row>
    <row r="761" spans="1:6" x14ac:dyDescent="0.35">
      <c r="A761">
        <v>1032</v>
      </c>
      <c r="B761" s="2">
        <v>45596.375085336993</v>
      </c>
      <c r="C761" t="s">
        <v>10</v>
      </c>
      <c r="D761" t="s">
        <v>21</v>
      </c>
      <c r="E761" t="s">
        <v>23</v>
      </c>
      <c r="F761">
        <v>13719.32</v>
      </c>
    </row>
    <row r="762" spans="1:6" x14ac:dyDescent="0.35">
      <c r="A762">
        <v>1231</v>
      </c>
      <c r="B762" s="2">
        <v>45597.375085336993</v>
      </c>
      <c r="C762" t="s">
        <v>8</v>
      </c>
      <c r="D762" t="s">
        <v>17</v>
      </c>
      <c r="E762" t="s">
        <v>25</v>
      </c>
      <c r="F762">
        <v>3505.26</v>
      </c>
    </row>
    <row r="763" spans="1:6" x14ac:dyDescent="0.35">
      <c r="A763">
        <v>1135</v>
      </c>
      <c r="B763" s="2">
        <v>45597.375085336993</v>
      </c>
      <c r="C763" t="s">
        <v>9</v>
      </c>
      <c r="D763" t="s">
        <v>21</v>
      </c>
      <c r="E763" t="s">
        <v>23</v>
      </c>
      <c r="F763">
        <v>1904.32</v>
      </c>
    </row>
    <row r="764" spans="1:6" x14ac:dyDescent="0.35">
      <c r="A764">
        <v>1145</v>
      </c>
      <c r="B764" s="2">
        <v>45597.375085336993</v>
      </c>
      <c r="C764" t="s">
        <v>7</v>
      </c>
      <c r="D764" t="s">
        <v>21</v>
      </c>
      <c r="E764" t="s">
        <v>23</v>
      </c>
      <c r="F764">
        <v>1881.2</v>
      </c>
    </row>
    <row r="765" spans="1:6" x14ac:dyDescent="0.35">
      <c r="A765">
        <v>1309</v>
      </c>
      <c r="B765" s="2">
        <v>45597.375085336993</v>
      </c>
      <c r="C765" t="s">
        <v>7</v>
      </c>
      <c r="D765" t="s">
        <v>20</v>
      </c>
      <c r="E765" t="s">
        <v>24</v>
      </c>
      <c r="F765">
        <v>554.97</v>
      </c>
    </row>
    <row r="766" spans="1:6" x14ac:dyDescent="0.35">
      <c r="A766">
        <v>1065</v>
      </c>
      <c r="B766" s="2">
        <v>45597.375085336993</v>
      </c>
      <c r="C766" t="s">
        <v>15</v>
      </c>
      <c r="D766" t="s">
        <v>19</v>
      </c>
      <c r="E766" t="s">
        <v>24</v>
      </c>
      <c r="F766">
        <v>3776.88</v>
      </c>
    </row>
    <row r="767" spans="1:6" x14ac:dyDescent="0.35">
      <c r="A767">
        <v>1076</v>
      </c>
      <c r="B767" s="2">
        <v>45597.375085336993</v>
      </c>
      <c r="C767" t="s">
        <v>12</v>
      </c>
      <c r="D767" t="s">
        <v>17</v>
      </c>
      <c r="E767" t="s">
        <v>23</v>
      </c>
      <c r="F767">
        <v>2013.02</v>
      </c>
    </row>
    <row r="768" spans="1:6" x14ac:dyDescent="0.35">
      <c r="A768">
        <v>1349</v>
      </c>
      <c r="B768" s="2">
        <v>45598.375085336993</v>
      </c>
      <c r="C768" t="s">
        <v>13</v>
      </c>
      <c r="D768" t="s">
        <v>17</v>
      </c>
      <c r="E768" t="s">
        <v>25</v>
      </c>
      <c r="F768">
        <v>8233.58</v>
      </c>
    </row>
    <row r="769" spans="1:6" x14ac:dyDescent="0.35">
      <c r="A769">
        <v>1133</v>
      </c>
      <c r="B769" s="2">
        <v>45598.375085336993</v>
      </c>
      <c r="C769" t="s">
        <v>8</v>
      </c>
      <c r="D769" t="s">
        <v>18</v>
      </c>
      <c r="E769" t="s">
        <v>25</v>
      </c>
      <c r="F769">
        <v>3208.36</v>
      </c>
    </row>
    <row r="770" spans="1:6" x14ac:dyDescent="0.35">
      <c r="A770">
        <v>1176</v>
      </c>
      <c r="B770" s="2">
        <v>45598.375085336993</v>
      </c>
      <c r="C770" t="s">
        <v>9</v>
      </c>
      <c r="D770" t="s">
        <v>19</v>
      </c>
      <c r="E770" t="s">
        <v>24</v>
      </c>
      <c r="F770">
        <v>4506.33</v>
      </c>
    </row>
    <row r="771" spans="1:6" x14ac:dyDescent="0.35">
      <c r="A771">
        <v>1390</v>
      </c>
      <c r="B771" s="2">
        <v>45598.375085336993</v>
      </c>
      <c r="C771" t="s">
        <v>10</v>
      </c>
      <c r="D771" t="s">
        <v>16</v>
      </c>
      <c r="E771" t="s">
        <v>24</v>
      </c>
      <c r="F771">
        <v>3072.22</v>
      </c>
    </row>
    <row r="772" spans="1:6" x14ac:dyDescent="0.35">
      <c r="A772">
        <v>1156</v>
      </c>
      <c r="B772" s="2">
        <v>45598.375085336993</v>
      </c>
      <c r="C772" t="s">
        <v>8</v>
      </c>
      <c r="D772" t="s">
        <v>17</v>
      </c>
      <c r="E772" t="s">
        <v>23</v>
      </c>
      <c r="F772">
        <v>7387.06</v>
      </c>
    </row>
    <row r="773" spans="1:6" x14ac:dyDescent="0.35">
      <c r="A773">
        <v>1395</v>
      </c>
      <c r="B773" s="2">
        <v>45598.375085336993</v>
      </c>
      <c r="C773" t="s">
        <v>12</v>
      </c>
      <c r="D773" t="s">
        <v>19</v>
      </c>
      <c r="E773" t="s">
        <v>23</v>
      </c>
      <c r="F773">
        <v>5677.59</v>
      </c>
    </row>
    <row r="774" spans="1:6" x14ac:dyDescent="0.35">
      <c r="A774">
        <v>1080</v>
      </c>
      <c r="B774" s="2">
        <v>45599.375085336993</v>
      </c>
      <c r="C774" t="s">
        <v>7</v>
      </c>
      <c r="D774" t="s">
        <v>20</v>
      </c>
      <c r="E774" t="s">
        <v>23</v>
      </c>
      <c r="F774">
        <v>7869.43</v>
      </c>
    </row>
    <row r="775" spans="1:6" x14ac:dyDescent="0.35">
      <c r="A775">
        <v>1153</v>
      </c>
      <c r="B775" s="2">
        <v>45599.375085336993</v>
      </c>
      <c r="C775" t="s">
        <v>14</v>
      </c>
      <c r="D775" t="s">
        <v>16</v>
      </c>
      <c r="E775" t="s">
        <v>23</v>
      </c>
      <c r="F775">
        <v>1905.17</v>
      </c>
    </row>
    <row r="776" spans="1:6" x14ac:dyDescent="0.35">
      <c r="A776">
        <v>1110</v>
      </c>
      <c r="B776" s="2">
        <v>45599.375085336993</v>
      </c>
      <c r="C776" t="s">
        <v>10</v>
      </c>
      <c r="D776" t="s">
        <v>17</v>
      </c>
      <c r="E776" t="s">
        <v>24</v>
      </c>
      <c r="F776">
        <v>6906.03</v>
      </c>
    </row>
    <row r="777" spans="1:6" x14ac:dyDescent="0.35">
      <c r="A777">
        <v>1176</v>
      </c>
      <c r="B777" s="2">
        <v>45599.375085336993</v>
      </c>
      <c r="C777" t="s">
        <v>10</v>
      </c>
      <c r="D777" t="s">
        <v>16</v>
      </c>
      <c r="E777" t="s">
        <v>25</v>
      </c>
      <c r="F777">
        <v>1297.0899999999999</v>
      </c>
    </row>
    <row r="778" spans="1:6" x14ac:dyDescent="0.35">
      <c r="A778">
        <v>1226</v>
      </c>
      <c r="B778" s="2">
        <v>45599.375085336993</v>
      </c>
      <c r="C778" t="s">
        <v>15</v>
      </c>
      <c r="D778" t="s">
        <v>20</v>
      </c>
      <c r="E778" t="s">
        <v>23</v>
      </c>
      <c r="F778">
        <v>914.2</v>
      </c>
    </row>
    <row r="779" spans="1:6" x14ac:dyDescent="0.35">
      <c r="A779">
        <v>1144</v>
      </c>
      <c r="B779" s="2">
        <v>45599.375085336993</v>
      </c>
      <c r="C779" t="s">
        <v>10</v>
      </c>
      <c r="D779" t="s">
        <v>22</v>
      </c>
      <c r="E779" t="s">
        <v>25</v>
      </c>
      <c r="F779">
        <v>6277.5</v>
      </c>
    </row>
    <row r="780" spans="1:6" x14ac:dyDescent="0.35">
      <c r="A780">
        <v>1007</v>
      </c>
      <c r="B780" s="2">
        <v>45599.375085336993</v>
      </c>
      <c r="C780" t="s">
        <v>15</v>
      </c>
      <c r="D780" t="s">
        <v>21</v>
      </c>
      <c r="E780" t="s">
        <v>25</v>
      </c>
      <c r="F780">
        <v>385.8</v>
      </c>
    </row>
    <row r="781" spans="1:6" x14ac:dyDescent="0.35">
      <c r="A781">
        <v>1094</v>
      </c>
      <c r="B781" s="2">
        <v>45600.375085336993</v>
      </c>
      <c r="C781" t="s">
        <v>9</v>
      </c>
      <c r="D781" t="s">
        <v>20</v>
      </c>
      <c r="E781" t="s">
        <v>25</v>
      </c>
      <c r="F781">
        <v>864.76</v>
      </c>
    </row>
    <row r="782" spans="1:6" x14ac:dyDescent="0.35">
      <c r="A782">
        <v>1006</v>
      </c>
      <c r="B782" s="2">
        <v>45600.375085336993</v>
      </c>
      <c r="C782" t="s">
        <v>8</v>
      </c>
      <c r="D782" t="s">
        <v>21</v>
      </c>
      <c r="E782" t="s">
        <v>24</v>
      </c>
      <c r="F782">
        <v>3610.47</v>
      </c>
    </row>
    <row r="783" spans="1:6" x14ac:dyDescent="0.35">
      <c r="A783">
        <v>1171</v>
      </c>
      <c r="B783" s="2">
        <v>45600.375085336993</v>
      </c>
      <c r="C783" t="s">
        <v>10</v>
      </c>
      <c r="D783" t="s">
        <v>17</v>
      </c>
      <c r="E783" t="s">
        <v>24</v>
      </c>
      <c r="F783">
        <v>2094.5500000000002</v>
      </c>
    </row>
    <row r="784" spans="1:6" x14ac:dyDescent="0.35">
      <c r="A784">
        <v>1341</v>
      </c>
      <c r="B784" s="2">
        <v>45600.375085336993</v>
      </c>
      <c r="C784" t="s">
        <v>13</v>
      </c>
      <c r="D784" t="s">
        <v>17</v>
      </c>
      <c r="E784" t="s">
        <v>24</v>
      </c>
      <c r="F784">
        <v>3154.06</v>
      </c>
    </row>
    <row r="785" spans="1:6" x14ac:dyDescent="0.35">
      <c r="A785">
        <v>1191</v>
      </c>
      <c r="B785" s="2">
        <v>45600.375085336993</v>
      </c>
      <c r="C785" t="s">
        <v>9</v>
      </c>
      <c r="D785" t="s">
        <v>21</v>
      </c>
      <c r="E785" t="s">
        <v>24</v>
      </c>
      <c r="F785">
        <v>3344.35</v>
      </c>
    </row>
    <row r="786" spans="1:6" x14ac:dyDescent="0.35">
      <c r="A786">
        <v>1120</v>
      </c>
      <c r="B786" s="2">
        <v>45600.375085336993</v>
      </c>
      <c r="C786" t="s">
        <v>12</v>
      </c>
      <c r="D786" t="s">
        <v>20</v>
      </c>
      <c r="E786" t="s">
        <v>24</v>
      </c>
      <c r="F786">
        <v>752.62</v>
      </c>
    </row>
    <row r="787" spans="1:6" x14ac:dyDescent="0.35">
      <c r="A787">
        <v>1266</v>
      </c>
      <c r="B787" s="2">
        <v>45601.375085336993</v>
      </c>
      <c r="C787" t="s">
        <v>12</v>
      </c>
      <c r="D787" t="s">
        <v>22</v>
      </c>
      <c r="E787" t="s">
        <v>24</v>
      </c>
      <c r="F787">
        <v>7578.52</v>
      </c>
    </row>
    <row r="788" spans="1:6" x14ac:dyDescent="0.35">
      <c r="A788">
        <v>1372</v>
      </c>
      <c r="B788" s="2">
        <v>45601.375085336993</v>
      </c>
      <c r="C788" t="s">
        <v>15</v>
      </c>
      <c r="D788" t="s">
        <v>20</v>
      </c>
      <c r="E788" t="s">
        <v>25</v>
      </c>
      <c r="F788">
        <v>4695.47</v>
      </c>
    </row>
    <row r="789" spans="1:6" x14ac:dyDescent="0.35">
      <c r="A789">
        <v>1300</v>
      </c>
      <c r="B789" s="2">
        <v>45601.375085336993</v>
      </c>
      <c r="C789" t="s">
        <v>11</v>
      </c>
      <c r="D789" t="s">
        <v>19</v>
      </c>
      <c r="E789" t="s">
        <v>24</v>
      </c>
      <c r="F789">
        <v>1993.03</v>
      </c>
    </row>
    <row r="790" spans="1:6" x14ac:dyDescent="0.35">
      <c r="A790">
        <v>1062</v>
      </c>
      <c r="B790" s="2">
        <v>45601.375085336993</v>
      </c>
      <c r="C790" t="s">
        <v>8</v>
      </c>
      <c r="D790" t="s">
        <v>18</v>
      </c>
      <c r="E790" t="s">
        <v>25</v>
      </c>
      <c r="F790">
        <v>4892.6499999999996</v>
      </c>
    </row>
    <row r="791" spans="1:6" x14ac:dyDescent="0.35">
      <c r="A791">
        <v>1237</v>
      </c>
      <c r="B791" s="2">
        <v>45602.375085336993</v>
      </c>
      <c r="C791" t="s">
        <v>7</v>
      </c>
      <c r="D791" t="s">
        <v>16</v>
      </c>
      <c r="E791" t="s">
        <v>24</v>
      </c>
      <c r="F791">
        <v>6439.28</v>
      </c>
    </row>
    <row r="792" spans="1:6" x14ac:dyDescent="0.35">
      <c r="A792">
        <v>1028</v>
      </c>
      <c r="B792" s="2">
        <v>45602.375085336993</v>
      </c>
      <c r="C792" t="s">
        <v>13</v>
      </c>
      <c r="D792" t="s">
        <v>22</v>
      </c>
      <c r="E792" t="s">
        <v>25</v>
      </c>
      <c r="F792">
        <v>1339.8</v>
      </c>
    </row>
    <row r="793" spans="1:6" x14ac:dyDescent="0.35">
      <c r="A793">
        <v>1295</v>
      </c>
      <c r="B793" s="2">
        <v>45602.375085336993</v>
      </c>
      <c r="C793" t="s">
        <v>8</v>
      </c>
      <c r="D793" t="s">
        <v>22</v>
      </c>
      <c r="E793" t="s">
        <v>25</v>
      </c>
      <c r="F793">
        <v>3106.78</v>
      </c>
    </row>
    <row r="794" spans="1:6" x14ac:dyDescent="0.35">
      <c r="A794">
        <v>1270</v>
      </c>
      <c r="B794" s="2">
        <v>45603.375085336993</v>
      </c>
      <c r="C794" t="s">
        <v>7</v>
      </c>
      <c r="D794" t="s">
        <v>16</v>
      </c>
      <c r="E794" t="s">
        <v>23</v>
      </c>
      <c r="F794">
        <v>1346.41</v>
      </c>
    </row>
    <row r="795" spans="1:6" x14ac:dyDescent="0.35">
      <c r="A795">
        <v>1058</v>
      </c>
      <c r="B795" s="2">
        <v>45603.375085336993</v>
      </c>
      <c r="C795" t="s">
        <v>11</v>
      </c>
      <c r="D795" t="s">
        <v>22</v>
      </c>
      <c r="E795" t="s">
        <v>23</v>
      </c>
      <c r="F795">
        <v>5042.59</v>
      </c>
    </row>
    <row r="796" spans="1:6" x14ac:dyDescent="0.35">
      <c r="A796">
        <v>1007</v>
      </c>
      <c r="B796" s="2">
        <v>45603.375085336993</v>
      </c>
      <c r="C796" t="s">
        <v>12</v>
      </c>
      <c r="D796" t="s">
        <v>16</v>
      </c>
      <c r="E796" t="s">
        <v>25</v>
      </c>
      <c r="F796">
        <v>5183.55</v>
      </c>
    </row>
    <row r="797" spans="1:6" x14ac:dyDescent="0.35">
      <c r="A797">
        <v>1142</v>
      </c>
      <c r="B797" s="2">
        <v>45603.375085336993</v>
      </c>
      <c r="C797" t="s">
        <v>14</v>
      </c>
      <c r="D797" t="s">
        <v>22</v>
      </c>
      <c r="E797" t="s">
        <v>24</v>
      </c>
      <c r="F797">
        <v>4554.72</v>
      </c>
    </row>
    <row r="798" spans="1:6" x14ac:dyDescent="0.35">
      <c r="A798">
        <v>1134</v>
      </c>
      <c r="B798" s="2">
        <v>45604.375085336993</v>
      </c>
      <c r="C798" t="s">
        <v>9</v>
      </c>
      <c r="D798" t="s">
        <v>16</v>
      </c>
      <c r="E798" t="s">
        <v>25</v>
      </c>
      <c r="F798">
        <v>5609.08</v>
      </c>
    </row>
    <row r="799" spans="1:6" x14ac:dyDescent="0.35">
      <c r="A799">
        <v>1319</v>
      </c>
      <c r="B799" s="2">
        <v>45604.375085336993</v>
      </c>
      <c r="C799" t="s">
        <v>12</v>
      </c>
      <c r="D799" t="s">
        <v>17</v>
      </c>
      <c r="E799" t="s">
        <v>23</v>
      </c>
      <c r="F799">
        <v>2238.34</v>
      </c>
    </row>
    <row r="800" spans="1:6" x14ac:dyDescent="0.35">
      <c r="A800">
        <v>1062</v>
      </c>
      <c r="B800" s="2">
        <v>45604.375085336993</v>
      </c>
      <c r="C800" t="s">
        <v>9</v>
      </c>
      <c r="D800" t="s">
        <v>17</v>
      </c>
      <c r="E800" t="s">
        <v>24</v>
      </c>
      <c r="F800">
        <v>15932.29</v>
      </c>
    </row>
    <row r="801" spans="1:6" x14ac:dyDescent="0.35">
      <c r="A801">
        <v>1161</v>
      </c>
      <c r="B801" s="2">
        <v>45604.375085336993</v>
      </c>
      <c r="C801" t="s">
        <v>13</v>
      </c>
      <c r="D801" t="s">
        <v>16</v>
      </c>
      <c r="E801" t="s">
        <v>23</v>
      </c>
      <c r="F801">
        <v>2546.7600000000002</v>
      </c>
    </row>
    <row r="802" spans="1:6" x14ac:dyDescent="0.35">
      <c r="A802">
        <v>1185</v>
      </c>
      <c r="B802" s="2">
        <v>45606.375085336993</v>
      </c>
      <c r="C802" t="s">
        <v>12</v>
      </c>
      <c r="D802" t="s">
        <v>21</v>
      </c>
      <c r="E802" t="s">
        <v>24</v>
      </c>
      <c r="F802">
        <v>3789.01</v>
      </c>
    </row>
    <row r="803" spans="1:6" x14ac:dyDescent="0.35">
      <c r="A803">
        <v>1033</v>
      </c>
      <c r="B803" s="2">
        <v>45606.375085336993</v>
      </c>
      <c r="C803" t="s">
        <v>8</v>
      </c>
      <c r="D803" t="s">
        <v>21</v>
      </c>
      <c r="E803" t="s">
        <v>23</v>
      </c>
      <c r="F803">
        <v>894.29</v>
      </c>
    </row>
    <row r="804" spans="1:6" x14ac:dyDescent="0.35">
      <c r="A804">
        <v>1383</v>
      </c>
      <c r="B804" s="2">
        <v>45606.375085336993</v>
      </c>
      <c r="C804" t="s">
        <v>9</v>
      </c>
      <c r="D804" t="s">
        <v>17</v>
      </c>
      <c r="E804" t="s">
        <v>25</v>
      </c>
      <c r="F804">
        <v>6245.04</v>
      </c>
    </row>
    <row r="805" spans="1:6" x14ac:dyDescent="0.35">
      <c r="A805">
        <v>1041</v>
      </c>
      <c r="B805" s="2">
        <v>45606.375085336993</v>
      </c>
      <c r="C805" t="s">
        <v>12</v>
      </c>
      <c r="D805" t="s">
        <v>18</v>
      </c>
      <c r="E805" t="s">
        <v>23</v>
      </c>
      <c r="F805">
        <v>5321.98</v>
      </c>
    </row>
    <row r="806" spans="1:6" x14ac:dyDescent="0.35">
      <c r="A806">
        <v>1201</v>
      </c>
      <c r="B806" s="2">
        <v>45606.375085336993</v>
      </c>
      <c r="C806" t="s">
        <v>9</v>
      </c>
      <c r="D806" t="s">
        <v>18</v>
      </c>
      <c r="E806" t="s">
        <v>24</v>
      </c>
      <c r="F806">
        <v>1157.58</v>
      </c>
    </row>
    <row r="807" spans="1:6" x14ac:dyDescent="0.35">
      <c r="A807">
        <v>1288</v>
      </c>
      <c r="B807" s="2">
        <v>45606.375085336993</v>
      </c>
      <c r="C807" t="s">
        <v>6</v>
      </c>
      <c r="D807" t="s">
        <v>22</v>
      </c>
      <c r="E807" t="s">
        <v>25</v>
      </c>
      <c r="F807">
        <v>742.57</v>
      </c>
    </row>
    <row r="808" spans="1:6" x14ac:dyDescent="0.35">
      <c r="A808">
        <v>1069</v>
      </c>
      <c r="B808" s="2">
        <v>45606.375085336993</v>
      </c>
      <c r="C808" t="s">
        <v>9</v>
      </c>
      <c r="D808" t="s">
        <v>18</v>
      </c>
      <c r="E808" t="s">
        <v>23</v>
      </c>
      <c r="F808">
        <v>3797.13</v>
      </c>
    </row>
    <row r="809" spans="1:6" x14ac:dyDescent="0.35">
      <c r="A809">
        <v>1002</v>
      </c>
      <c r="B809" s="2">
        <v>45606.375085336993</v>
      </c>
      <c r="C809" t="s">
        <v>15</v>
      </c>
      <c r="D809" t="s">
        <v>19</v>
      </c>
      <c r="E809" t="s">
        <v>23</v>
      </c>
      <c r="F809">
        <v>2122.46</v>
      </c>
    </row>
    <row r="810" spans="1:6" x14ac:dyDescent="0.35">
      <c r="A810">
        <v>1317</v>
      </c>
      <c r="B810" s="2">
        <v>45607.375085336993</v>
      </c>
      <c r="C810" t="s">
        <v>8</v>
      </c>
      <c r="D810" t="s">
        <v>20</v>
      </c>
      <c r="E810" t="s">
        <v>24</v>
      </c>
      <c r="F810">
        <v>2512.14</v>
      </c>
    </row>
    <row r="811" spans="1:6" x14ac:dyDescent="0.35">
      <c r="A811">
        <v>1150</v>
      </c>
      <c r="B811" s="2">
        <v>45607.375085336993</v>
      </c>
      <c r="C811" t="s">
        <v>15</v>
      </c>
      <c r="D811" t="s">
        <v>22</v>
      </c>
      <c r="E811" t="s">
        <v>24</v>
      </c>
      <c r="F811">
        <v>2926.64</v>
      </c>
    </row>
    <row r="812" spans="1:6" x14ac:dyDescent="0.35">
      <c r="A812">
        <v>1332</v>
      </c>
      <c r="B812" s="2">
        <v>45607.375085336993</v>
      </c>
      <c r="C812" t="s">
        <v>11</v>
      </c>
      <c r="D812" t="s">
        <v>18</v>
      </c>
      <c r="E812" t="s">
        <v>24</v>
      </c>
      <c r="F812">
        <v>1799.63</v>
      </c>
    </row>
    <row r="813" spans="1:6" x14ac:dyDescent="0.35">
      <c r="A813">
        <v>1385</v>
      </c>
      <c r="B813" s="2">
        <v>45607.375085336993</v>
      </c>
      <c r="C813" t="s">
        <v>10</v>
      </c>
      <c r="D813" t="s">
        <v>18</v>
      </c>
      <c r="E813" t="s">
        <v>23</v>
      </c>
      <c r="F813">
        <v>2535.3200000000002</v>
      </c>
    </row>
    <row r="814" spans="1:6" x14ac:dyDescent="0.35">
      <c r="A814">
        <v>1081</v>
      </c>
      <c r="B814" s="2">
        <v>45607.375085336993</v>
      </c>
      <c r="C814" t="s">
        <v>8</v>
      </c>
      <c r="D814" t="s">
        <v>19</v>
      </c>
      <c r="E814" t="s">
        <v>24</v>
      </c>
      <c r="F814">
        <v>7253.78</v>
      </c>
    </row>
    <row r="815" spans="1:6" x14ac:dyDescent="0.35">
      <c r="A815">
        <v>1280</v>
      </c>
      <c r="B815" s="2">
        <v>45608.375085336993</v>
      </c>
      <c r="C815" t="s">
        <v>15</v>
      </c>
      <c r="D815" t="s">
        <v>18</v>
      </c>
      <c r="E815" t="s">
        <v>24</v>
      </c>
      <c r="F815">
        <v>11425.45</v>
      </c>
    </row>
    <row r="816" spans="1:6" x14ac:dyDescent="0.35">
      <c r="A816">
        <v>1260</v>
      </c>
      <c r="B816" s="2">
        <v>45608.375085336993</v>
      </c>
      <c r="C816" t="s">
        <v>13</v>
      </c>
      <c r="D816" t="s">
        <v>18</v>
      </c>
      <c r="E816" t="s">
        <v>24</v>
      </c>
      <c r="F816">
        <v>4703.68</v>
      </c>
    </row>
    <row r="817" spans="1:6" x14ac:dyDescent="0.35">
      <c r="A817">
        <v>1298</v>
      </c>
      <c r="B817" s="2">
        <v>45608.375085336993</v>
      </c>
      <c r="C817" t="s">
        <v>6</v>
      </c>
      <c r="D817" t="s">
        <v>18</v>
      </c>
      <c r="E817" t="s">
        <v>25</v>
      </c>
      <c r="F817">
        <v>4437.08</v>
      </c>
    </row>
    <row r="818" spans="1:6" x14ac:dyDescent="0.35">
      <c r="A818">
        <v>1225</v>
      </c>
      <c r="B818" s="2">
        <v>45608.375085336993</v>
      </c>
      <c r="C818" t="s">
        <v>14</v>
      </c>
      <c r="D818" t="s">
        <v>19</v>
      </c>
      <c r="E818" t="s">
        <v>25</v>
      </c>
      <c r="F818">
        <v>4492.7700000000004</v>
      </c>
    </row>
    <row r="819" spans="1:6" x14ac:dyDescent="0.35">
      <c r="A819">
        <v>1142</v>
      </c>
      <c r="B819" s="2">
        <v>45609.375085336993</v>
      </c>
      <c r="C819" t="s">
        <v>14</v>
      </c>
      <c r="D819" t="s">
        <v>18</v>
      </c>
      <c r="E819" t="s">
        <v>25</v>
      </c>
      <c r="F819">
        <v>2628.67</v>
      </c>
    </row>
    <row r="820" spans="1:6" x14ac:dyDescent="0.35">
      <c r="A820">
        <v>1220</v>
      </c>
      <c r="B820" s="2">
        <v>45609.375085336993</v>
      </c>
      <c r="C820" t="s">
        <v>10</v>
      </c>
      <c r="D820" t="s">
        <v>19</v>
      </c>
      <c r="E820" t="s">
        <v>25</v>
      </c>
      <c r="F820">
        <v>1773.66</v>
      </c>
    </row>
    <row r="821" spans="1:6" x14ac:dyDescent="0.35">
      <c r="A821">
        <v>1011</v>
      </c>
      <c r="B821" s="2">
        <v>45609.375085336993</v>
      </c>
      <c r="C821" t="s">
        <v>15</v>
      </c>
      <c r="D821" t="s">
        <v>19</v>
      </c>
      <c r="E821" t="s">
        <v>25</v>
      </c>
      <c r="F821">
        <v>3815.39</v>
      </c>
    </row>
    <row r="822" spans="1:6" x14ac:dyDescent="0.35">
      <c r="A822">
        <v>1282</v>
      </c>
      <c r="B822" s="2">
        <v>45609.375085336993</v>
      </c>
      <c r="C822" t="s">
        <v>13</v>
      </c>
      <c r="D822" t="s">
        <v>18</v>
      </c>
      <c r="E822" t="s">
        <v>24</v>
      </c>
      <c r="F822">
        <v>6118.54</v>
      </c>
    </row>
    <row r="823" spans="1:6" x14ac:dyDescent="0.35">
      <c r="A823">
        <v>1092</v>
      </c>
      <c r="B823" s="2">
        <v>45610.375085336993</v>
      </c>
      <c r="C823" t="s">
        <v>7</v>
      </c>
      <c r="D823" t="s">
        <v>17</v>
      </c>
      <c r="E823" t="s">
        <v>25</v>
      </c>
      <c r="F823">
        <v>257.26</v>
      </c>
    </row>
    <row r="824" spans="1:6" x14ac:dyDescent="0.35">
      <c r="A824">
        <v>1156</v>
      </c>
      <c r="B824" s="2">
        <v>45610.375085336993</v>
      </c>
      <c r="C824" t="s">
        <v>10</v>
      </c>
      <c r="D824" t="s">
        <v>18</v>
      </c>
      <c r="E824" t="s">
        <v>24</v>
      </c>
      <c r="F824">
        <v>3784.84</v>
      </c>
    </row>
    <row r="825" spans="1:6" x14ac:dyDescent="0.35">
      <c r="A825">
        <v>1320</v>
      </c>
      <c r="B825" s="2">
        <v>45610.375085336993</v>
      </c>
      <c r="C825" t="s">
        <v>6</v>
      </c>
      <c r="D825" t="s">
        <v>17</v>
      </c>
      <c r="E825" t="s">
        <v>25</v>
      </c>
      <c r="F825">
        <v>5249.26</v>
      </c>
    </row>
    <row r="826" spans="1:6" x14ac:dyDescent="0.35">
      <c r="A826">
        <v>1136</v>
      </c>
      <c r="B826" s="2">
        <v>45610.375085336993</v>
      </c>
      <c r="C826" t="s">
        <v>15</v>
      </c>
      <c r="D826" t="s">
        <v>21</v>
      </c>
      <c r="E826" t="s">
        <v>25</v>
      </c>
      <c r="F826">
        <v>2176.58</v>
      </c>
    </row>
    <row r="827" spans="1:6" x14ac:dyDescent="0.35">
      <c r="A827">
        <v>1028</v>
      </c>
      <c r="B827" s="2">
        <v>45610.375085336993</v>
      </c>
      <c r="C827" t="s">
        <v>13</v>
      </c>
      <c r="D827" t="s">
        <v>19</v>
      </c>
      <c r="E827" t="s">
        <v>25</v>
      </c>
      <c r="F827">
        <v>3279.74</v>
      </c>
    </row>
    <row r="828" spans="1:6" x14ac:dyDescent="0.35">
      <c r="A828">
        <v>1036</v>
      </c>
      <c r="B828" s="2">
        <v>45611.375085336993</v>
      </c>
      <c r="C828" t="s">
        <v>12</v>
      </c>
      <c r="D828" t="s">
        <v>21</v>
      </c>
      <c r="E828" t="s">
        <v>23</v>
      </c>
      <c r="F828">
        <v>5896.51</v>
      </c>
    </row>
    <row r="829" spans="1:6" x14ac:dyDescent="0.35">
      <c r="A829">
        <v>1397</v>
      </c>
      <c r="B829" s="2">
        <v>45611.375085336993</v>
      </c>
      <c r="C829" t="s">
        <v>15</v>
      </c>
      <c r="D829" t="s">
        <v>19</v>
      </c>
      <c r="E829" t="s">
        <v>25</v>
      </c>
      <c r="F829">
        <v>3425.9</v>
      </c>
    </row>
    <row r="830" spans="1:6" x14ac:dyDescent="0.35">
      <c r="A830">
        <v>1339</v>
      </c>
      <c r="B830" s="2">
        <v>45611.375085336993</v>
      </c>
      <c r="C830" t="s">
        <v>9</v>
      </c>
      <c r="D830" t="s">
        <v>17</v>
      </c>
      <c r="E830" t="s">
        <v>25</v>
      </c>
      <c r="F830">
        <v>1316.52</v>
      </c>
    </row>
    <row r="831" spans="1:6" x14ac:dyDescent="0.35">
      <c r="A831">
        <v>1266</v>
      </c>
      <c r="B831" s="2">
        <v>45611.375085336993</v>
      </c>
      <c r="C831" t="s">
        <v>8</v>
      </c>
      <c r="D831" t="s">
        <v>17</v>
      </c>
      <c r="E831" t="s">
        <v>23</v>
      </c>
      <c r="F831">
        <v>3628.34</v>
      </c>
    </row>
    <row r="832" spans="1:6" x14ac:dyDescent="0.35">
      <c r="A832">
        <v>1290</v>
      </c>
      <c r="B832" s="2">
        <v>45611.375085336993</v>
      </c>
      <c r="C832" t="s">
        <v>12</v>
      </c>
      <c r="D832" t="s">
        <v>19</v>
      </c>
      <c r="E832" t="s">
        <v>25</v>
      </c>
      <c r="F832">
        <v>4049.3</v>
      </c>
    </row>
    <row r="833" spans="1:6" x14ac:dyDescent="0.35">
      <c r="A833">
        <v>1039</v>
      </c>
      <c r="B833" s="2">
        <v>45612.375085336993</v>
      </c>
      <c r="C833" t="s">
        <v>10</v>
      </c>
      <c r="D833" t="s">
        <v>21</v>
      </c>
      <c r="E833" t="s">
        <v>23</v>
      </c>
      <c r="F833">
        <v>739.92</v>
      </c>
    </row>
    <row r="834" spans="1:6" x14ac:dyDescent="0.35">
      <c r="A834">
        <v>1164</v>
      </c>
      <c r="B834" s="2">
        <v>45612.375085336993</v>
      </c>
      <c r="C834" t="s">
        <v>12</v>
      </c>
      <c r="D834" t="s">
        <v>18</v>
      </c>
      <c r="E834" t="s">
        <v>23</v>
      </c>
      <c r="F834">
        <v>10769.62</v>
      </c>
    </row>
    <row r="835" spans="1:6" x14ac:dyDescent="0.35">
      <c r="A835">
        <v>1187</v>
      </c>
      <c r="B835" s="2">
        <v>45612.375085336993</v>
      </c>
      <c r="C835" t="s">
        <v>14</v>
      </c>
      <c r="D835" t="s">
        <v>16</v>
      </c>
      <c r="E835" t="s">
        <v>25</v>
      </c>
      <c r="F835">
        <v>1977.58</v>
      </c>
    </row>
    <row r="836" spans="1:6" x14ac:dyDescent="0.35">
      <c r="A836">
        <v>1358</v>
      </c>
      <c r="B836" s="2">
        <v>45612.375085336993</v>
      </c>
      <c r="C836" t="s">
        <v>15</v>
      </c>
      <c r="D836" t="s">
        <v>18</v>
      </c>
      <c r="E836" t="s">
        <v>23</v>
      </c>
      <c r="F836">
        <v>2061.9899999999998</v>
      </c>
    </row>
    <row r="837" spans="1:6" x14ac:dyDescent="0.35">
      <c r="A837">
        <v>1285</v>
      </c>
      <c r="B837" s="2">
        <v>45612.375085336993</v>
      </c>
      <c r="C837" t="s">
        <v>12</v>
      </c>
      <c r="D837" t="s">
        <v>19</v>
      </c>
      <c r="E837" t="s">
        <v>23</v>
      </c>
      <c r="F837">
        <v>2165.4499999999998</v>
      </c>
    </row>
    <row r="838" spans="1:6" x14ac:dyDescent="0.35">
      <c r="A838">
        <v>1021</v>
      </c>
      <c r="B838" s="2">
        <v>45612.375085336993</v>
      </c>
      <c r="C838" t="s">
        <v>9</v>
      </c>
      <c r="D838" t="s">
        <v>20</v>
      </c>
      <c r="E838" t="s">
        <v>23</v>
      </c>
      <c r="F838">
        <v>1404.58</v>
      </c>
    </row>
    <row r="839" spans="1:6" x14ac:dyDescent="0.35">
      <c r="A839">
        <v>1177</v>
      </c>
      <c r="B839" s="2">
        <v>45612.375085336993</v>
      </c>
      <c r="C839" t="s">
        <v>9</v>
      </c>
      <c r="D839" t="s">
        <v>18</v>
      </c>
      <c r="E839" t="s">
        <v>24</v>
      </c>
      <c r="F839">
        <v>1170.99</v>
      </c>
    </row>
    <row r="840" spans="1:6" x14ac:dyDescent="0.35">
      <c r="A840">
        <v>1242</v>
      </c>
      <c r="B840" s="2">
        <v>45612.375085336993</v>
      </c>
      <c r="C840" t="s">
        <v>14</v>
      </c>
      <c r="D840" t="s">
        <v>21</v>
      </c>
      <c r="E840" t="s">
        <v>25</v>
      </c>
      <c r="F840">
        <v>5742.32</v>
      </c>
    </row>
    <row r="841" spans="1:6" x14ac:dyDescent="0.35">
      <c r="A841">
        <v>1287</v>
      </c>
      <c r="B841" s="2">
        <v>45613.375085336993</v>
      </c>
      <c r="C841" t="s">
        <v>10</v>
      </c>
      <c r="D841" t="s">
        <v>18</v>
      </c>
      <c r="E841" t="s">
        <v>25</v>
      </c>
      <c r="F841">
        <v>7621.23</v>
      </c>
    </row>
    <row r="842" spans="1:6" x14ac:dyDescent="0.35">
      <c r="A842">
        <v>1267</v>
      </c>
      <c r="B842" s="2">
        <v>45613.375085336993</v>
      </c>
      <c r="C842" t="s">
        <v>12</v>
      </c>
      <c r="D842" t="s">
        <v>20</v>
      </c>
      <c r="E842" t="s">
        <v>23</v>
      </c>
      <c r="F842">
        <v>11942.57</v>
      </c>
    </row>
    <row r="843" spans="1:6" x14ac:dyDescent="0.35">
      <c r="A843">
        <v>1055</v>
      </c>
      <c r="B843" s="2">
        <v>45613.375085336993</v>
      </c>
      <c r="C843" t="s">
        <v>11</v>
      </c>
      <c r="D843" t="s">
        <v>22</v>
      </c>
      <c r="E843" t="s">
        <v>25</v>
      </c>
      <c r="F843">
        <v>1882.44</v>
      </c>
    </row>
    <row r="844" spans="1:6" x14ac:dyDescent="0.35">
      <c r="A844">
        <v>1381</v>
      </c>
      <c r="B844" s="2">
        <v>45614.375085336993</v>
      </c>
      <c r="C844" t="s">
        <v>7</v>
      </c>
      <c r="D844" t="s">
        <v>22</v>
      </c>
      <c r="E844" t="s">
        <v>25</v>
      </c>
      <c r="F844">
        <v>2272.9899999999998</v>
      </c>
    </row>
    <row r="845" spans="1:6" x14ac:dyDescent="0.35">
      <c r="A845">
        <v>1077</v>
      </c>
      <c r="B845" s="2">
        <v>45614.375085336993</v>
      </c>
      <c r="C845" t="s">
        <v>15</v>
      </c>
      <c r="D845" t="s">
        <v>21</v>
      </c>
      <c r="E845" t="s">
        <v>25</v>
      </c>
      <c r="F845">
        <v>7690.7</v>
      </c>
    </row>
    <row r="846" spans="1:6" x14ac:dyDescent="0.35">
      <c r="A846">
        <v>1294</v>
      </c>
      <c r="B846" s="2">
        <v>45615.375085336993</v>
      </c>
      <c r="C846" t="s">
        <v>6</v>
      </c>
      <c r="D846" t="s">
        <v>22</v>
      </c>
      <c r="E846" t="s">
        <v>25</v>
      </c>
      <c r="F846">
        <v>4540.47</v>
      </c>
    </row>
    <row r="847" spans="1:6" x14ac:dyDescent="0.35">
      <c r="A847">
        <v>1096</v>
      </c>
      <c r="B847" s="2">
        <v>45615.375085336993</v>
      </c>
      <c r="C847" t="s">
        <v>7</v>
      </c>
      <c r="D847" t="s">
        <v>22</v>
      </c>
      <c r="E847" t="s">
        <v>24</v>
      </c>
      <c r="F847">
        <v>2439.38</v>
      </c>
    </row>
    <row r="848" spans="1:6" x14ac:dyDescent="0.35">
      <c r="A848">
        <v>1125</v>
      </c>
      <c r="B848" s="2">
        <v>45615.375085336993</v>
      </c>
      <c r="C848" t="s">
        <v>14</v>
      </c>
      <c r="D848" t="s">
        <v>18</v>
      </c>
      <c r="E848" t="s">
        <v>24</v>
      </c>
      <c r="F848">
        <v>6811.5</v>
      </c>
    </row>
    <row r="849" spans="1:6" x14ac:dyDescent="0.35">
      <c r="A849">
        <v>1014</v>
      </c>
      <c r="B849" s="2">
        <v>45615.375085336993</v>
      </c>
      <c r="C849" t="s">
        <v>14</v>
      </c>
      <c r="D849" t="s">
        <v>19</v>
      </c>
      <c r="E849" t="s">
        <v>23</v>
      </c>
      <c r="F849">
        <v>1268.07</v>
      </c>
    </row>
    <row r="850" spans="1:6" x14ac:dyDescent="0.35">
      <c r="A850">
        <v>1034</v>
      </c>
      <c r="B850" s="2">
        <v>45615.375085336993</v>
      </c>
      <c r="C850" t="s">
        <v>6</v>
      </c>
      <c r="D850" t="s">
        <v>17</v>
      </c>
      <c r="E850" t="s">
        <v>25</v>
      </c>
      <c r="F850">
        <v>2740.63</v>
      </c>
    </row>
    <row r="851" spans="1:6" x14ac:dyDescent="0.35">
      <c r="A851">
        <v>1129</v>
      </c>
      <c r="B851" s="2">
        <v>45615.375085336993</v>
      </c>
      <c r="C851" t="s">
        <v>14</v>
      </c>
      <c r="D851" t="s">
        <v>22</v>
      </c>
      <c r="E851" t="s">
        <v>23</v>
      </c>
      <c r="F851">
        <v>3626.37</v>
      </c>
    </row>
    <row r="852" spans="1:6" x14ac:dyDescent="0.35">
      <c r="A852">
        <v>1332</v>
      </c>
      <c r="B852" s="2">
        <v>45615.375085336993</v>
      </c>
      <c r="C852" t="s">
        <v>8</v>
      </c>
      <c r="D852" t="s">
        <v>16</v>
      </c>
      <c r="E852" t="s">
        <v>23</v>
      </c>
      <c r="F852">
        <v>2884.81</v>
      </c>
    </row>
    <row r="853" spans="1:6" x14ac:dyDescent="0.35">
      <c r="A853">
        <v>1303</v>
      </c>
      <c r="B853" s="2">
        <v>45616.375085336993</v>
      </c>
      <c r="C853" t="s">
        <v>13</v>
      </c>
      <c r="D853" t="s">
        <v>19</v>
      </c>
      <c r="E853" t="s">
        <v>25</v>
      </c>
      <c r="F853">
        <v>1632</v>
      </c>
    </row>
    <row r="854" spans="1:6" x14ac:dyDescent="0.35">
      <c r="A854">
        <v>1374</v>
      </c>
      <c r="B854" s="2">
        <v>45616.375085336993</v>
      </c>
      <c r="C854" t="s">
        <v>8</v>
      </c>
      <c r="D854" t="s">
        <v>16</v>
      </c>
      <c r="E854" t="s">
        <v>25</v>
      </c>
      <c r="F854">
        <v>1422.11</v>
      </c>
    </row>
    <row r="855" spans="1:6" x14ac:dyDescent="0.35">
      <c r="A855">
        <v>1159</v>
      </c>
      <c r="B855" s="2">
        <v>45616.375085336993</v>
      </c>
      <c r="C855" t="s">
        <v>15</v>
      </c>
      <c r="D855" t="s">
        <v>17</v>
      </c>
      <c r="E855" t="s">
        <v>25</v>
      </c>
      <c r="F855">
        <v>7412.08</v>
      </c>
    </row>
    <row r="856" spans="1:6" x14ac:dyDescent="0.35">
      <c r="A856">
        <v>1247</v>
      </c>
      <c r="B856" s="2">
        <v>45616.375085336993</v>
      </c>
      <c r="C856" t="s">
        <v>7</v>
      </c>
      <c r="D856" t="s">
        <v>17</v>
      </c>
      <c r="E856" t="s">
        <v>23</v>
      </c>
      <c r="F856">
        <v>1022.58</v>
      </c>
    </row>
    <row r="857" spans="1:6" x14ac:dyDescent="0.35">
      <c r="A857">
        <v>1303</v>
      </c>
      <c r="B857" s="2">
        <v>45616.375085336993</v>
      </c>
      <c r="C857" t="s">
        <v>7</v>
      </c>
      <c r="D857" t="s">
        <v>18</v>
      </c>
      <c r="E857" t="s">
        <v>24</v>
      </c>
      <c r="F857">
        <v>6156.72</v>
      </c>
    </row>
    <row r="858" spans="1:6" x14ac:dyDescent="0.35">
      <c r="A858">
        <v>1330</v>
      </c>
      <c r="B858" s="2">
        <v>45616.375085336993</v>
      </c>
      <c r="C858" t="s">
        <v>8</v>
      </c>
      <c r="D858" t="s">
        <v>16</v>
      </c>
      <c r="E858" t="s">
        <v>24</v>
      </c>
      <c r="F858">
        <v>678.86</v>
      </c>
    </row>
    <row r="859" spans="1:6" x14ac:dyDescent="0.35">
      <c r="A859">
        <v>1228</v>
      </c>
      <c r="B859" s="2">
        <v>45617.375085336993</v>
      </c>
      <c r="C859" t="s">
        <v>15</v>
      </c>
      <c r="D859" t="s">
        <v>20</v>
      </c>
      <c r="E859" t="s">
        <v>25</v>
      </c>
      <c r="F859">
        <v>7981.94</v>
      </c>
    </row>
    <row r="860" spans="1:6" x14ac:dyDescent="0.35">
      <c r="A860">
        <v>1376</v>
      </c>
      <c r="B860" s="2">
        <v>45617.375085336993</v>
      </c>
      <c r="C860" t="s">
        <v>12</v>
      </c>
      <c r="D860" t="s">
        <v>18</v>
      </c>
      <c r="E860" t="s">
        <v>25</v>
      </c>
      <c r="F860">
        <v>6194.19</v>
      </c>
    </row>
    <row r="861" spans="1:6" x14ac:dyDescent="0.35">
      <c r="A861">
        <v>1305</v>
      </c>
      <c r="B861" s="2">
        <v>45617.375085336993</v>
      </c>
      <c r="C861" t="s">
        <v>7</v>
      </c>
      <c r="D861" t="s">
        <v>20</v>
      </c>
      <c r="E861" t="s">
        <v>23</v>
      </c>
      <c r="F861">
        <v>3976.72</v>
      </c>
    </row>
    <row r="862" spans="1:6" x14ac:dyDescent="0.35">
      <c r="A862">
        <v>1199</v>
      </c>
      <c r="B862" s="2">
        <v>45617.375085336993</v>
      </c>
      <c r="C862" t="s">
        <v>11</v>
      </c>
      <c r="D862" t="s">
        <v>21</v>
      </c>
      <c r="E862" t="s">
        <v>23</v>
      </c>
      <c r="F862">
        <v>3470.15</v>
      </c>
    </row>
    <row r="863" spans="1:6" x14ac:dyDescent="0.35">
      <c r="A863">
        <v>1111</v>
      </c>
      <c r="B863" s="2">
        <v>45618.375085336993</v>
      </c>
      <c r="C863" t="s">
        <v>9</v>
      </c>
      <c r="D863" t="s">
        <v>17</v>
      </c>
      <c r="E863" t="s">
        <v>25</v>
      </c>
      <c r="F863">
        <v>7336.48</v>
      </c>
    </row>
    <row r="864" spans="1:6" x14ac:dyDescent="0.35">
      <c r="A864">
        <v>1258</v>
      </c>
      <c r="B864" s="2">
        <v>45618.375085336993</v>
      </c>
      <c r="C864" t="s">
        <v>9</v>
      </c>
      <c r="D864" t="s">
        <v>19</v>
      </c>
      <c r="E864" t="s">
        <v>24</v>
      </c>
      <c r="F864">
        <v>519.32000000000005</v>
      </c>
    </row>
    <row r="865" spans="1:6" x14ac:dyDescent="0.35">
      <c r="A865">
        <v>1058</v>
      </c>
      <c r="B865" s="2">
        <v>45618.375085336993</v>
      </c>
      <c r="C865" t="s">
        <v>15</v>
      </c>
      <c r="D865" t="s">
        <v>21</v>
      </c>
      <c r="E865" t="s">
        <v>25</v>
      </c>
      <c r="F865">
        <v>7424.7</v>
      </c>
    </row>
    <row r="866" spans="1:6" x14ac:dyDescent="0.35">
      <c r="A866">
        <v>1098</v>
      </c>
      <c r="B866" s="2">
        <v>45618.375085336993</v>
      </c>
      <c r="C866" t="s">
        <v>13</v>
      </c>
      <c r="D866" t="s">
        <v>16</v>
      </c>
      <c r="E866" t="s">
        <v>25</v>
      </c>
      <c r="F866">
        <v>2466.12</v>
      </c>
    </row>
    <row r="867" spans="1:6" x14ac:dyDescent="0.35">
      <c r="A867">
        <v>1287</v>
      </c>
      <c r="B867" s="2">
        <v>45619.375085336993</v>
      </c>
      <c r="C867" t="s">
        <v>15</v>
      </c>
      <c r="D867" t="s">
        <v>16</v>
      </c>
      <c r="E867" t="s">
        <v>23</v>
      </c>
      <c r="F867">
        <v>534.17999999999995</v>
      </c>
    </row>
    <row r="868" spans="1:6" x14ac:dyDescent="0.35">
      <c r="A868">
        <v>1194</v>
      </c>
      <c r="B868" s="2">
        <v>45619.375085336993</v>
      </c>
      <c r="C868" t="s">
        <v>15</v>
      </c>
      <c r="D868" t="s">
        <v>22</v>
      </c>
      <c r="E868" t="s">
        <v>23</v>
      </c>
      <c r="F868">
        <v>8717.9699999999993</v>
      </c>
    </row>
    <row r="869" spans="1:6" x14ac:dyDescent="0.35">
      <c r="A869">
        <v>1120</v>
      </c>
      <c r="B869" s="2">
        <v>45619.375085336993</v>
      </c>
      <c r="C869" t="s">
        <v>6</v>
      </c>
      <c r="D869" t="s">
        <v>22</v>
      </c>
      <c r="E869" t="s">
        <v>24</v>
      </c>
      <c r="F869">
        <v>1523.82</v>
      </c>
    </row>
    <row r="870" spans="1:6" x14ac:dyDescent="0.35">
      <c r="A870">
        <v>1251</v>
      </c>
      <c r="B870" s="2">
        <v>45619.375085336993</v>
      </c>
      <c r="C870" t="s">
        <v>7</v>
      </c>
      <c r="D870" t="s">
        <v>17</v>
      </c>
      <c r="E870" t="s">
        <v>24</v>
      </c>
      <c r="F870">
        <v>2990.37</v>
      </c>
    </row>
    <row r="871" spans="1:6" x14ac:dyDescent="0.35">
      <c r="A871">
        <v>1177</v>
      </c>
      <c r="B871" s="2">
        <v>45619.375085336993</v>
      </c>
      <c r="C871" t="s">
        <v>12</v>
      </c>
      <c r="D871" t="s">
        <v>19</v>
      </c>
      <c r="E871" t="s">
        <v>25</v>
      </c>
      <c r="F871">
        <v>3139.82</v>
      </c>
    </row>
    <row r="872" spans="1:6" x14ac:dyDescent="0.35">
      <c r="A872">
        <v>1228</v>
      </c>
      <c r="B872" s="2">
        <v>45619.375085336993</v>
      </c>
      <c r="C872" t="s">
        <v>8</v>
      </c>
      <c r="D872" t="s">
        <v>17</v>
      </c>
      <c r="E872" t="s">
        <v>23</v>
      </c>
      <c r="F872">
        <v>754.86</v>
      </c>
    </row>
    <row r="873" spans="1:6" x14ac:dyDescent="0.35">
      <c r="A873">
        <v>1171</v>
      </c>
      <c r="B873" s="2">
        <v>45620.375085336993</v>
      </c>
      <c r="C873" t="s">
        <v>10</v>
      </c>
      <c r="D873" t="s">
        <v>18</v>
      </c>
      <c r="E873" t="s">
        <v>23</v>
      </c>
      <c r="F873">
        <v>4566.4399999999996</v>
      </c>
    </row>
    <row r="874" spans="1:6" x14ac:dyDescent="0.35">
      <c r="A874">
        <v>1241</v>
      </c>
      <c r="B874" s="2">
        <v>45620.375085336993</v>
      </c>
      <c r="C874" t="s">
        <v>14</v>
      </c>
      <c r="D874" t="s">
        <v>16</v>
      </c>
      <c r="E874" t="s">
        <v>24</v>
      </c>
      <c r="F874">
        <v>5009.4799999999996</v>
      </c>
    </row>
    <row r="875" spans="1:6" x14ac:dyDescent="0.35">
      <c r="A875">
        <v>1246</v>
      </c>
      <c r="B875" s="2">
        <v>45620.375085336993</v>
      </c>
      <c r="C875" t="s">
        <v>6</v>
      </c>
      <c r="D875" t="s">
        <v>22</v>
      </c>
      <c r="E875" t="s">
        <v>23</v>
      </c>
      <c r="F875">
        <v>7422.04</v>
      </c>
    </row>
    <row r="876" spans="1:6" x14ac:dyDescent="0.35">
      <c r="A876">
        <v>1228</v>
      </c>
      <c r="B876" s="2">
        <v>45620.375085336993</v>
      </c>
      <c r="C876" t="s">
        <v>11</v>
      </c>
      <c r="D876" t="s">
        <v>16</v>
      </c>
      <c r="E876" t="s">
        <v>25</v>
      </c>
      <c r="F876">
        <v>1206.4100000000001</v>
      </c>
    </row>
    <row r="877" spans="1:6" x14ac:dyDescent="0.35">
      <c r="A877">
        <v>1236</v>
      </c>
      <c r="B877" s="2">
        <v>45621.375085336993</v>
      </c>
      <c r="C877" t="s">
        <v>10</v>
      </c>
      <c r="D877" t="s">
        <v>16</v>
      </c>
      <c r="E877" t="s">
        <v>23</v>
      </c>
      <c r="F877">
        <v>1791.33</v>
      </c>
    </row>
    <row r="878" spans="1:6" x14ac:dyDescent="0.35">
      <c r="A878">
        <v>1144</v>
      </c>
      <c r="B878" s="2">
        <v>45621.375085336993</v>
      </c>
      <c r="C878" t="s">
        <v>7</v>
      </c>
      <c r="D878" t="s">
        <v>22</v>
      </c>
      <c r="E878" t="s">
        <v>25</v>
      </c>
      <c r="F878">
        <v>9306.23</v>
      </c>
    </row>
    <row r="879" spans="1:6" x14ac:dyDescent="0.35">
      <c r="A879">
        <v>1115</v>
      </c>
      <c r="B879" s="2">
        <v>45622.375085336993</v>
      </c>
      <c r="C879" t="s">
        <v>6</v>
      </c>
      <c r="D879" t="s">
        <v>17</v>
      </c>
      <c r="E879" t="s">
        <v>24</v>
      </c>
      <c r="F879">
        <v>3742.49</v>
      </c>
    </row>
    <row r="880" spans="1:6" x14ac:dyDescent="0.35">
      <c r="A880">
        <v>1287</v>
      </c>
      <c r="B880" s="2">
        <v>45622.375085336993</v>
      </c>
      <c r="C880" t="s">
        <v>15</v>
      </c>
      <c r="D880" t="s">
        <v>18</v>
      </c>
      <c r="E880" t="s">
        <v>23</v>
      </c>
      <c r="F880">
        <v>6038.03</v>
      </c>
    </row>
    <row r="881" spans="1:6" x14ac:dyDescent="0.35">
      <c r="A881">
        <v>1272</v>
      </c>
      <c r="B881" s="2">
        <v>45623.375085336993</v>
      </c>
      <c r="C881" t="s">
        <v>13</v>
      </c>
      <c r="D881" t="s">
        <v>16</v>
      </c>
      <c r="E881" t="s">
        <v>23</v>
      </c>
      <c r="F881">
        <v>7783.95</v>
      </c>
    </row>
    <row r="882" spans="1:6" x14ac:dyDescent="0.35">
      <c r="A882">
        <v>1310</v>
      </c>
      <c r="B882" s="2">
        <v>45623.375085336993</v>
      </c>
      <c r="C882" t="s">
        <v>12</v>
      </c>
      <c r="D882" t="s">
        <v>18</v>
      </c>
      <c r="E882" t="s">
        <v>23</v>
      </c>
      <c r="F882">
        <v>1675.96</v>
      </c>
    </row>
    <row r="883" spans="1:6" x14ac:dyDescent="0.35">
      <c r="A883">
        <v>1055</v>
      </c>
      <c r="B883" s="2">
        <v>45623.375085336993</v>
      </c>
      <c r="C883" t="s">
        <v>12</v>
      </c>
      <c r="D883" t="s">
        <v>22</v>
      </c>
      <c r="E883" t="s">
        <v>24</v>
      </c>
      <c r="F883">
        <v>675.76</v>
      </c>
    </row>
    <row r="884" spans="1:6" x14ac:dyDescent="0.35">
      <c r="A884">
        <v>1380</v>
      </c>
      <c r="B884" s="2">
        <v>45623.375085336993</v>
      </c>
      <c r="C884" t="s">
        <v>11</v>
      </c>
      <c r="D884" t="s">
        <v>16</v>
      </c>
      <c r="E884" t="s">
        <v>23</v>
      </c>
      <c r="F884">
        <v>1074.49</v>
      </c>
    </row>
    <row r="885" spans="1:6" x14ac:dyDescent="0.35">
      <c r="A885">
        <v>1109</v>
      </c>
      <c r="B885" s="2">
        <v>45623.375085336993</v>
      </c>
      <c r="C885" t="s">
        <v>8</v>
      </c>
      <c r="D885" t="s">
        <v>16</v>
      </c>
      <c r="E885" t="s">
        <v>24</v>
      </c>
      <c r="F885">
        <v>2265.7399999999998</v>
      </c>
    </row>
    <row r="886" spans="1:6" x14ac:dyDescent="0.35">
      <c r="A886">
        <v>1160</v>
      </c>
      <c r="B886" s="2">
        <v>45623.375085336993</v>
      </c>
      <c r="C886" t="s">
        <v>8</v>
      </c>
      <c r="D886" t="s">
        <v>19</v>
      </c>
      <c r="E886" t="s">
        <v>24</v>
      </c>
      <c r="F886">
        <v>3640.8</v>
      </c>
    </row>
    <row r="887" spans="1:6" x14ac:dyDescent="0.35">
      <c r="A887">
        <v>1334</v>
      </c>
      <c r="B887" s="2">
        <v>45624.375085336993</v>
      </c>
      <c r="C887" t="s">
        <v>9</v>
      </c>
      <c r="D887" t="s">
        <v>20</v>
      </c>
      <c r="E887" t="s">
        <v>24</v>
      </c>
      <c r="F887">
        <v>1410.09</v>
      </c>
    </row>
    <row r="888" spans="1:6" x14ac:dyDescent="0.35">
      <c r="A888">
        <v>1303</v>
      </c>
      <c r="B888" s="2">
        <v>45624.375085336993</v>
      </c>
      <c r="C888" t="s">
        <v>11</v>
      </c>
      <c r="D888" t="s">
        <v>21</v>
      </c>
      <c r="E888" t="s">
        <v>24</v>
      </c>
      <c r="F888">
        <v>3919.55</v>
      </c>
    </row>
    <row r="889" spans="1:6" x14ac:dyDescent="0.35">
      <c r="A889">
        <v>1241</v>
      </c>
      <c r="B889" s="2">
        <v>45625.375085336993</v>
      </c>
      <c r="C889" t="s">
        <v>6</v>
      </c>
      <c r="D889" t="s">
        <v>20</v>
      </c>
      <c r="E889" t="s">
        <v>23</v>
      </c>
      <c r="F889">
        <v>7056.82</v>
      </c>
    </row>
    <row r="890" spans="1:6" x14ac:dyDescent="0.35">
      <c r="A890">
        <v>1293</v>
      </c>
      <c r="B890" s="2">
        <v>45625.375085336993</v>
      </c>
      <c r="C890" t="s">
        <v>8</v>
      </c>
      <c r="D890" t="s">
        <v>19</v>
      </c>
      <c r="E890" t="s">
        <v>23</v>
      </c>
      <c r="F890">
        <v>1825.44</v>
      </c>
    </row>
    <row r="891" spans="1:6" x14ac:dyDescent="0.35">
      <c r="A891">
        <v>1337</v>
      </c>
      <c r="B891" s="2">
        <v>45625.375085336993</v>
      </c>
      <c r="C891" t="s">
        <v>10</v>
      </c>
      <c r="D891" t="s">
        <v>16</v>
      </c>
      <c r="E891" t="s">
        <v>24</v>
      </c>
      <c r="F891">
        <v>3621.46</v>
      </c>
    </row>
    <row r="892" spans="1:6" x14ac:dyDescent="0.35">
      <c r="A892">
        <v>1052</v>
      </c>
      <c r="B892" s="2">
        <v>45625.375085336993</v>
      </c>
      <c r="C892" t="s">
        <v>8</v>
      </c>
      <c r="D892" t="s">
        <v>16</v>
      </c>
      <c r="E892" t="s">
        <v>24</v>
      </c>
      <c r="F892">
        <v>3029.78</v>
      </c>
    </row>
    <row r="893" spans="1:6" x14ac:dyDescent="0.35">
      <c r="A893">
        <v>1050</v>
      </c>
      <c r="B893" s="2">
        <v>45625.375085336993</v>
      </c>
      <c r="C893" t="s">
        <v>12</v>
      </c>
      <c r="D893" t="s">
        <v>16</v>
      </c>
      <c r="E893" t="s">
        <v>25</v>
      </c>
      <c r="F893">
        <v>8096.75</v>
      </c>
    </row>
    <row r="894" spans="1:6" x14ac:dyDescent="0.35">
      <c r="A894">
        <v>1185</v>
      </c>
      <c r="B894" s="2">
        <v>45626.375085336993</v>
      </c>
      <c r="C894" t="s">
        <v>8</v>
      </c>
      <c r="D894" t="s">
        <v>18</v>
      </c>
      <c r="E894" t="s">
        <v>25</v>
      </c>
      <c r="F894">
        <v>385.78</v>
      </c>
    </row>
    <row r="895" spans="1:6" x14ac:dyDescent="0.35">
      <c r="A895">
        <v>1157</v>
      </c>
      <c r="B895" s="2">
        <v>45626.375085336993</v>
      </c>
      <c r="C895" t="s">
        <v>14</v>
      </c>
      <c r="D895" t="s">
        <v>18</v>
      </c>
      <c r="E895" t="s">
        <v>25</v>
      </c>
      <c r="F895">
        <v>2691.03</v>
      </c>
    </row>
    <row r="896" spans="1:6" x14ac:dyDescent="0.35">
      <c r="A896">
        <v>1221</v>
      </c>
      <c r="B896" s="2">
        <v>45626.375085336993</v>
      </c>
      <c r="C896" t="s">
        <v>8</v>
      </c>
      <c r="D896" t="s">
        <v>20</v>
      </c>
      <c r="E896" t="s">
        <v>23</v>
      </c>
      <c r="F896">
        <v>9673.9500000000007</v>
      </c>
    </row>
    <row r="897" spans="1:6" x14ac:dyDescent="0.35">
      <c r="A897">
        <v>1207</v>
      </c>
      <c r="B897" s="2">
        <v>45627.375085336993</v>
      </c>
      <c r="C897" t="s">
        <v>15</v>
      </c>
      <c r="D897" t="s">
        <v>21</v>
      </c>
      <c r="E897" t="s">
        <v>23</v>
      </c>
      <c r="F897">
        <v>1696.78</v>
      </c>
    </row>
    <row r="898" spans="1:6" x14ac:dyDescent="0.35">
      <c r="A898">
        <v>1175</v>
      </c>
      <c r="B898" s="2">
        <v>45627.375085336993</v>
      </c>
      <c r="C898" t="s">
        <v>15</v>
      </c>
      <c r="D898" t="s">
        <v>20</v>
      </c>
      <c r="E898" t="s">
        <v>23</v>
      </c>
      <c r="F898">
        <v>1227.7</v>
      </c>
    </row>
    <row r="899" spans="1:6" x14ac:dyDescent="0.35">
      <c r="A899">
        <v>1311</v>
      </c>
      <c r="B899" s="2">
        <v>45627.375085336993</v>
      </c>
      <c r="C899" t="s">
        <v>6</v>
      </c>
      <c r="D899" t="s">
        <v>16</v>
      </c>
      <c r="E899" t="s">
        <v>25</v>
      </c>
      <c r="F899">
        <v>7059.31</v>
      </c>
    </row>
    <row r="900" spans="1:6" x14ac:dyDescent="0.35">
      <c r="A900">
        <v>1150</v>
      </c>
      <c r="B900" s="2">
        <v>45628.375085336993</v>
      </c>
      <c r="C900" t="s">
        <v>14</v>
      </c>
      <c r="D900" t="s">
        <v>18</v>
      </c>
      <c r="E900" t="s">
        <v>25</v>
      </c>
      <c r="F900">
        <v>5517.94</v>
      </c>
    </row>
    <row r="901" spans="1:6" x14ac:dyDescent="0.35">
      <c r="A901">
        <v>1230</v>
      </c>
      <c r="B901" s="2">
        <v>45628.375085336993</v>
      </c>
      <c r="C901" t="s">
        <v>11</v>
      </c>
      <c r="D901" t="s">
        <v>17</v>
      </c>
      <c r="E901" t="s">
        <v>24</v>
      </c>
      <c r="F901">
        <v>998.18</v>
      </c>
    </row>
    <row r="902" spans="1:6" x14ac:dyDescent="0.35">
      <c r="A902">
        <v>1068</v>
      </c>
      <c r="B902" s="2">
        <v>45628.375085336993</v>
      </c>
      <c r="C902" t="s">
        <v>14</v>
      </c>
      <c r="D902" t="s">
        <v>21</v>
      </c>
      <c r="E902" t="s">
        <v>24</v>
      </c>
      <c r="F902">
        <v>1304.8599999999999</v>
      </c>
    </row>
    <row r="903" spans="1:6" x14ac:dyDescent="0.35">
      <c r="A903">
        <v>1038</v>
      </c>
      <c r="B903" s="2">
        <v>45628.375085336993</v>
      </c>
      <c r="C903" t="s">
        <v>7</v>
      </c>
      <c r="D903" t="s">
        <v>16</v>
      </c>
      <c r="E903" t="s">
        <v>25</v>
      </c>
      <c r="F903">
        <v>4459.17</v>
      </c>
    </row>
    <row r="904" spans="1:6" x14ac:dyDescent="0.35">
      <c r="A904">
        <v>1227</v>
      </c>
      <c r="B904" s="2">
        <v>45629.375085336993</v>
      </c>
      <c r="C904" t="s">
        <v>12</v>
      </c>
      <c r="D904" t="s">
        <v>17</v>
      </c>
      <c r="E904" t="s">
        <v>25</v>
      </c>
      <c r="F904">
        <v>13304.08</v>
      </c>
    </row>
    <row r="905" spans="1:6" x14ac:dyDescent="0.35">
      <c r="A905">
        <v>1107</v>
      </c>
      <c r="B905" s="2">
        <v>45629.375085336993</v>
      </c>
      <c r="C905" t="s">
        <v>11</v>
      </c>
      <c r="D905" t="s">
        <v>21</v>
      </c>
      <c r="E905" t="s">
        <v>24</v>
      </c>
      <c r="F905">
        <v>3726.17</v>
      </c>
    </row>
    <row r="906" spans="1:6" x14ac:dyDescent="0.35">
      <c r="A906">
        <v>1019</v>
      </c>
      <c r="B906" s="2">
        <v>45630.375085336993</v>
      </c>
      <c r="C906" t="s">
        <v>6</v>
      </c>
      <c r="D906" t="s">
        <v>20</v>
      </c>
      <c r="E906" t="s">
        <v>24</v>
      </c>
      <c r="F906">
        <v>5583.04</v>
      </c>
    </row>
    <row r="907" spans="1:6" x14ac:dyDescent="0.35">
      <c r="A907">
        <v>1355</v>
      </c>
      <c r="B907" s="2">
        <v>45630.375085336993</v>
      </c>
      <c r="C907" t="s">
        <v>15</v>
      </c>
      <c r="D907" t="s">
        <v>22</v>
      </c>
      <c r="E907" t="s">
        <v>25</v>
      </c>
      <c r="F907">
        <v>4308.3900000000003</v>
      </c>
    </row>
    <row r="908" spans="1:6" x14ac:dyDescent="0.35">
      <c r="A908">
        <v>1319</v>
      </c>
      <c r="B908" s="2">
        <v>45630.375085336993</v>
      </c>
      <c r="C908" t="s">
        <v>14</v>
      </c>
      <c r="D908" t="s">
        <v>20</v>
      </c>
      <c r="E908" t="s">
        <v>25</v>
      </c>
      <c r="F908">
        <v>3421.4</v>
      </c>
    </row>
    <row r="909" spans="1:6" x14ac:dyDescent="0.35">
      <c r="A909">
        <v>1303</v>
      </c>
      <c r="B909" s="2">
        <v>45631.375085336993</v>
      </c>
      <c r="C909" t="s">
        <v>12</v>
      </c>
      <c r="D909" t="s">
        <v>18</v>
      </c>
      <c r="E909" t="s">
        <v>24</v>
      </c>
      <c r="F909">
        <v>5299.43</v>
      </c>
    </row>
    <row r="910" spans="1:6" x14ac:dyDescent="0.35">
      <c r="A910">
        <v>1129</v>
      </c>
      <c r="B910" s="2">
        <v>45631.375085336993</v>
      </c>
      <c r="C910" t="s">
        <v>6</v>
      </c>
      <c r="D910" t="s">
        <v>18</v>
      </c>
      <c r="E910" t="s">
        <v>25</v>
      </c>
      <c r="F910">
        <v>2662.28</v>
      </c>
    </row>
    <row r="911" spans="1:6" x14ac:dyDescent="0.35">
      <c r="A911">
        <v>1088</v>
      </c>
      <c r="B911" s="2">
        <v>45631.375085336993</v>
      </c>
      <c r="C911" t="s">
        <v>10</v>
      </c>
      <c r="D911" t="s">
        <v>22</v>
      </c>
      <c r="E911" t="s">
        <v>24</v>
      </c>
      <c r="F911">
        <v>2729.97</v>
      </c>
    </row>
    <row r="912" spans="1:6" x14ac:dyDescent="0.35">
      <c r="A912">
        <v>1037</v>
      </c>
      <c r="B912" s="2">
        <v>45632.375085336993</v>
      </c>
      <c r="C912" t="s">
        <v>14</v>
      </c>
      <c r="D912" t="s">
        <v>17</v>
      </c>
      <c r="E912" t="s">
        <v>24</v>
      </c>
      <c r="F912">
        <v>7225.53</v>
      </c>
    </row>
    <row r="913" spans="1:6" x14ac:dyDescent="0.35">
      <c r="A913">
        <v>1038</v>
      </c>
      <c r="B913" s="2">
        <v>45632.375085336993</v>
      </c>
      <c r="C913" t="s">
        <v>7</v>
      </c>
      <c r="D913" t="s">
        <v>19</v>
      </c>
      <c r="E913" t="s">
        <v>25</v>
      </c>
      <c r="F913">
        <v>8456.2900000000009</v>
      </c>
    </row>
    <row r="914" spans="1:6" x14ac:dyDescent="0.35">
      <c r="A914">
        <v>1386</v>
      </c>
      <c r="B914" s="2">
        <v>45632.375085336993</v>
      </c>
      <c r="C914" t="s">
        <v>11</v>
      </c>
      <c r="D914" t="s">
        <v>16</v>
      </c>
      <c r="E914" t="s">
        <v>25</v>
      </c>
      <c r="F914">
        <v>965.17</v>
      </c>
    </row>
    <row r="915" spans="1:6" x14ac:dyDescent="0.35">
      <c r="A915">
        <v>1153</v>
      </c>
      <c r="B915" s="2">
        <v>45632.375085336993</v>
      </c>
      <c r="C915" t="s">
        <v>12</v>
      </c>
      <c r="D915" t="s">
        <v>22</v>
      </c>
      <c r="E915" t="s">
        <v>25</v>
      </c>
      <c r="F915">
        <v>6279.67</v>
      </c>
    </row>
    <row r="916" spans="1:6" x14ac:dyDescent="0.35">
      <c r="A916">
        <v>1262</v>
      </c>
      <c r="B916" s="2">
        <v>45632.375085336993</v>
      </c>
      <c r="C916" t="s">
        <v>13</v>
      </c>
      <c r="D916" t="s">
        <v>19</v>
      </c>
      <c r="E916" t="s">
        <v>24</v>
      </c>
      <c r="F916">
        <v>3677.45</v>
      </c>
    </row>
    <row r="917" spans="1:6" x14ac:dyDescent="0.35">
      <c r="A917">
        <v>1232</v>
      </c>
      <c r="B917" s="2">
        <v>45632.375085336993</v>
      </c>
      <c r="C917" t="s">
        <v>13</v>
      </c>
      <c r="D917" t="s">
        <v>22</v>
      </c>
      <c r="E917" t="s">
        <v>23</v>
      </c>
      <c r="F917">
        <v>1562.03</v>
      </c>
    </row>
    <row r="918" spans="1:6" x14ac:dyDescent="0.35">
      <c r="A918">
        <v>1225</v>
      </c>
      <c r="B918" s="2">
        <v>45632.375085336993</v>
      </c>
      <c r="C918" t="s">
        <v>11</v>
      </c>
      <c r="D918" t="s">
        <v>17</v>
      </c>
      <c r="E918" t="s">
        <v>24</v>
      </c>
      <c r="F918">
        <v>790.41</v>
      </c>
    </row>
    <row r="919" spans="1:6" x14ac:dyDescent="0.35">
      <c r="A919">
        <v>1064</v>
      </c>
      <c r="B919" s="2">
        <v>45633.375085336993</v>
      </c>
      <c r="C919" t="s">
        <v>13</v>
      </c>
      <c r="D919" t="s">
        <v>18</v>
      </c>
      <c r="E919" t="s">
        <v>25</v>
      </c>
      <c r="F919">
        <v>1968.59</v>
      </c>
    </row>
    <row r="920" spans="1:6" x14ac:dyDescent="0.35">
      <c r="A920">
        <v>1087</v>
      </c>
      <c r="B920" s="2">
        <v>45633.375085336993</v>
      </c>
      <c r="C920" t="s">
        <v>12</v>
      </c>
      <c r="D920" t="s">
        <v>21</v>
      </c>
      <c r="E920" t="s">
        <v>25</v>
      </c>
      <c r="F920">
        <v>4295.3100000000004</v>
      </c>
    </row>
    <row r="921" spans="1:6" x14ac:dyDescent="0.35">
      <c r="A921">
        <v>1141</v>
      </c>
      <c r="B921" s="2">
        <v>45633.375085336993</v>
      </c>
      <c r="C921" t="s">
        <v>10</v>
      </c>
      <c r="D921" t="s">
        <v>19</v>
      </c>
      <c r="E921" t="s">
        <v>24</v>
      </c>
      <c r="F921">
        <v>5087.13</v>
      </c>
    </row>
    <row r="922" spans="1:6" x14ac:dyDescent="0.35">
      <c r="A922">
        <v>1208</v>
      </c>
      <c r="B922" s="2">
        <v>45633.375085336993</v>
      </c>
      <c r="C922" t="s">
        <v>13</v>
      </c>
      <c r="D922" t="s">
        <v>19</v>
      </c>
      <c r="E922" t="s">
        <v>25</v>
      </c>
      <c r="F922">
        <v>5242.17</v>
      </c>
    </row>
    <row r="923" spans="1:6" x14ac:dyDescent="0.35">
      <c r="A923">
        <v>1356</v>
      </c>
      <c r="B923" s="2">
        <v>45633.375085336993</v>
      </c>
      <c r="C923" t="s">
        <v>10</v>
      </c>
      <c r="D923" t="s">
        <v>20</v>
      </c>
      <c r="E923" t="s">
        <v>24</v>
      </c>
      <c r="F923">
        <v>3516.13</v>
      </c>
    </row>
    <row r="924" spans="1:6" x14ac:dyDescent="0.35">
      <c r="A924">
        <v>1219</v>
      </c>
      <c r="B924" s="2">
        <v>45634.375085336993</v>
      </c>
      <c r="C924" t="s">
        <v>8</v>
      </c>
      <c r="D924" t="s">
        <v>16</v>
      </c>
      <c r="E924" t="s">
        <v>24</v>
      </c>
      <c r="F924">
        <v>11051.73</v>
      </c>
    </row>
    <row r="925" spans="1:6" x14ac:dyDescent="0.35">
      <c r="A925">
        <v>1042</v>
      </c>
      <c r="B925" s="2">
        <v>45634.375085336993</v>
      </c>
      <c r="C925" t="s">
        <v>11</v>
      </c>
      <c r="D925" t="s">
        <v>20</v>
      </c>
      <c r="E925" t="s">
        <v>25</v>
      </c>
      <c r="F925">
        <v>4355.17</v>
      </c>
    </row>
    <row r="926" spans="1:6" x14ac:dyDescent="0.35">
      <c r="A926">
        <v>1321</v>
      </c>
      <c r="B926" s="2">
        <v>45635.375085336993</v>
      </c>
      <c r="C926" t="s">
        <v>10</v>
      </c>
      <c r="D926" t="s">
        <v>18</v>
      </c>
      <c r="E926" t="s">
        <v>24</v>
      </c>
      <c r="F926">
        <v>1792.37</v>
      </c>
    </row>
    <row r="927" spans="1:6" x14ac:dyDescent="0.35">
      <c r="A927">
        <v>1136</v>
      </c>
      <c r="B927" s="2">
        <v>45635.375085336993</v>
      </c>
      <c r="C927" t="s">
        <v>8</v>
      </c>
      <c r="D927" t="s">
        <v>22</v>
      </c>
      <c r="E927" t="s">
        <v>24</v>
      </c>
      <c r="F927">
        <v>3754.69</v>
      </c>
    </row>
    <row r="928" spans="1:6" x14ac:dyDescent="0.35">
      <c r="A928">
        <v>1059</v>
      </c>
      <c r="B928" s="2">
        <v>45635.375085336993</v>
      </c>
      <c r="C928" t="s">
        <v>12</v>
      </c>
      <c r="D928" t="s">
        <v>17</v>
      </c>
      <c r="E928" t="s">
        <v>24</v>
      </c>
      <c r="F928">
        <v>707.3</v>
      </c>
    </row>
    <row r="929" spans="1:6" x14ac:dyDescent="0.35">
      <c r="A929">
        <v>1311</v>
      </c>
      <c r="B929" s="2">
        <v>45635.375085336993</v>
      </c>
      <c r="C929" t="s">
        <v>8</v>
      </c>
      <c r="D929" t="s">
        <v>19</v>
      </c>
      <c r="E929" t="s">
        <v>25</v>
      </c>
      <c r="F929">
        <v>3257.06</v>
      </c>
    </row>
    <row r="930" spans="1:6" x14ac:dyDescent="0.35">
      <c r="A930">
        <v>1284</v>
      </c>
      <c r="B930" s="2">
        <v>45636.375085336993</v>
      </c>
      <c r="C930" t="s">
        <v>10</v>
      </c>
      <c r="D930" t="s">
        <v>22</v>
      </c>
      <c r="E930" t="s">
        <v>25</v>
      </c>
      <c r="F930">
        <v>1399.73</v>
      </c>
    </row>
    <row r="931" spans="1:6" x14ac:dyDescent="0.35">
      <c r="A931">
        <v>1364</v>
      </c>
      <c r="B931" s="2">
        <v>45637.375085336993</v>
      </c>
      <c r="C931" t="s">
        <v>13</v>
      </c>
      <c r="D931" t="s">
        <v>21</v>
      </c>
      <c r="E931" t="s">
        <v>24</v>
      </c>
      <c r="F931">
        <v>1052.31</v>
      </c>
    </row>
    <row r="932" spans="1:6" x14ac:dyDescent="0.35">
      <c r="A932">
        <v>1071</v>
      </c>
      <c r="B932" s="2">
        <v>45637.375085336993</v>
      </c>
      <c r="C932" t="s">
        <v>8</v>
      </c>
      <c r="D932" t="s">
        <v>19</v>
      </c>
      <c r="E932" t="s">
        <v>23</v>
      </c>
      <c r="F932">
        <v>3757.85</v>
      </c>
    </row>
    <row r="933" spans="1:6" x14ac:dyDescent="0.35">
      <c r="A933">
        <v>1322</v>
      </c>
      <c r="B933" s="2">
        <v>45637.375085336993</v>
      </c>
      <c r="C933" t="s">
        <v>15</v>
      </c>
      <c r="D933" t="s">
        <v>19</v>
      </c>
      <c r="E933" t="s">
        <v>24</v>
      </c>
      <c r="F933">
        <v>1389.92</v>
      </c>
    </row>
    <row r="934" spans="1:6" x14ac:dyDescent="0.35">
      <c r="A934">
        <v>1367</v>
      </c>
      <c r="B934" s="2">
        <v>45638.375085336993</v>
      </c>
      <c r="C934" t="s">
        <v>8</v>
      </c>
      <c r="D934" t="s">
        <v>17</v>
      </c>
      <c r="E934" t="s">
        <v>23</v>
      </c>
      <c r="F934">
        <v>2147.6999999999998</v>
      </c>
    </row>
    <row r="935" spans="1:6" x14ac:dyDescent="0.35">
      <c r="A935">
        <v>1068</v>
      </c>
      <c r="B935" s="2">
        <v>45638.375085336993</v>
      </c>
      <c r="C935" t="s">
        <v>9</v>
      </c>
      <c r="D935" t="s">
        <v>19</v>
      </c>
      <c r="E935" t="s">
        <v>25</v>
      </c>
      <c r="F935">
        <v>4411.46</v>
      </c>
    </row>
    <row r="936" spans="1:6" x14ac:dyDescent="0.35">
      <c r="A936">
        <v>1136</v>
      </c>
      <c r="B936" s="2">
        <v>45638.375085336993</v>
      </c>
      <c r="C936" t="s">
        <v>7</v>
      </c>
      <c r="D936" t="s">
        <v>20</v>
      </c>
      <c r="E936" t="s">
        <v>25</v>
      </c>
      <c r="F936">
        <v>2027.41</v>
      </c>
    </row>
    <row r="937" spans="1:6" x14ac:dyDescent="0.35">
      <c r="A937">
        <v>1183</v>
      </c>
      <c r="B937" s="2">
        <v>45638.375085336993</v>
      </c>
      <c r="C937" t="s">
        <v>14</v>
      </c>
      <c r="D937" t="s">
        <v>16</v>
      </c>
      <c r="E937" t="s">
        <v>24</v>
      </c>
      <c r="F937">
        <v>5222.54</v>
      </c>
    </row>
    <row r="938" spans="1:6" x14ac:dyDescent="0.35">
      <c r="A938">
        <v>1163</v>
      </c>
      <c r="B938" s="2">
        <v>45638.375085336993</v>
      </c>
      <c r="C938" t="s">
        <v>12</v>
      </c>
      <c r="D938" t="s">
        <v>19</v>
      </c>
      <c r="E938" t="s">
        <v>24</v>
      </c>
      <c r="F938">
        <v>6101.69</v>
      </c>
    </row>
    <row r="939" spans="1:6" x14ac:dyDescent="0.35">
      <c r="A939">
        <v>1059</v>
      </c>
      <c r="B939" s="2">
        <v>45639.375085336993</v>
      </c>
      <c r="C939" t="s">
        <v>9</v>
      </c>
      <c r="D939" t="s">
        <v>21</v>
      </c>
      <c r="E939" t="s">
        <v>23</v>
      </c>
      <c r="F939">
        <v>8057.56</v>
      </c>
    </row>
    <row r="940" spans="1:6" x14ac:dyDescent="0.35">
      <c r="A940">
        <v>1121</v>
      </c>
      <c r="B940" s="2">
        <v>45639.375085336993</v>
      </c>
      <c r="C940" t="s">
        <v>7</v>
      </c>
      <c r="D940" t="s">
        <v>16</v>
      </c>
      <c r="E940" t="s">
        <v>23</v>
      </c>
      <c r="F940">
        <v>1228.21</v>
      </c>
    </row>
    <row r="941" spans="1:6" x14ac:dyDescent="0.35">
      <c r="A941">
        <v>1284</v>
      </c>
      <c r="B941" s="2">
        <v>45639.375085336993</v>
      </c>
      <c r="C941" t="s">
        <v>12</v>
      </c>
      <c r="D941" t="s">
        <v>19</v>
      </c>
      <c r="E941" t="s">
        <v>25</v>
      </c>
      <c r="F941">
        <v>2474.96</v>
      </c>
    </row>
    <row r="942" spans="1:6" x14ac:dyDescent="0.35">
      <c r="A942">
        <v>1191</v>
      </c>
      <c r="B942" s="2">
        <v>45640.375085336993</v>
      </c>
      <c r="C942" t="s">
        <v>14</v>
      </c>
      <c r="D942" t="s">
        <v>21</v>
      </c>
      <c r="E942" t="s">
        <v>25</v>
      </c>
      <c r="F942">
        <v>1527.05</v>
      </c>
    </row>
    <row r="943" spans="1:6" x14ac:dyDescent="0.35">
      <c r="A943">
        <v>1343</v>
      </c>
      <c r="B943" s="2">
        <v>45640.375085336993</v>
      </c>
      <c r="C943" t="s">
        <v>11</v>
      </c>
      <c r="D943" t="s">
        <v>19</v>
      </c>
      <c r="E943" t="s">
        <v>23</v>
      </c>
      <c r="F943">
        <v>5197.47</v>
      </c>
    </row>
    <row r="944" spans="1:6" x14ac:dyDescent="0.35">
      <c r="A944">
        <v>1319</v>
      </c>
      <c r="B944" s="2">
        <v>45640.375085336993</v>
      </c>
      <c r="C944" t="s">
        <v>12</v>
      </c>
      <c r="D944" t="s">
        <v>21</v>
      </c>
      <c r="E944" t="s">
        <v>25</v>
      </c>
      <c r="F944">
        <v>2688</v>
      </c>
    </row>
    <row r="945" spans="1:6" x14ac:dyDescent="0.35">
      <c r="A945">
        <v>1385</v>
      </c>
      <c r="B945" s="2">
        <v>45640.375085336993</v>
      </c>
      <c r="C945" t="s">
        <v>12</v>
      </c>
      <c r="D945" t="s">
        <v>21</v>
      </c>
      <c r="E945" t="s">
        <v>23</v>
      </c>
      <c r="F945">
        <v>3807.56</v>
      </c>
    </row>
    <row r="946" spans="1:6" x14ac:dyDescent="0.35">
      <c r="A946">
        <v>1085</v>
      </c>
      <c r="B946" s="2">
        <v>45640.375085336993</v>
      </c>
      <c r="C946" t="s">
        <v>9</v>
      </c>
      <c r="D946" t="s">
        <v>19</v>
      </c>
      <c r="E946" t="s">
        <v>25</v>
      </c>
      <c r="F946">
        <v>398.99</v>
      </c>
    </row>
    <row r="947" spans="1:6" x14ac:dyDescent="0.35">
      <c r="A947">
        <v>1370</v>
      </c>
      <c r="B947" s="2">
        <v>45640.375085336993</v>
      </c>
      <c r="C947" t="s">
        <v>6</v>
      </c>
      <c r="D947" t="s">
        <v>19</v>
      </c>
      <c r="E947" t="s">
        <v>25</v>
      </c>
      <c r="F947">
        <v>5598.18</v>
      </c>
    </row>
    <row r="948" spans="1:6" x14ac:dyDescent="0.35">
      <c r="A948">
        <v>1204</v>
      </c>
      <c r="B948" s="2">
        <v>45640.375085336993</v>
      </c>
      <c r="C948" t="s">
        <v>10</v>
      </c>
      <c r="D948" t="s">
        <v>17</v>
      </c>
      <c r="E948" t="s">
        <v>23</v>
      </c>
      <c r="F948">
        <v>3352.2</v>
      </c>
    </row>
    <row r="949" spans="1:6" x14ac:dyDescent="0.35">
      <c r="A949">
        <v>1272</v>
      </c>
      <c r="B949" s="2">
        <v>45641.375085336993</v>
      </c>
      <c r="C949" t="s">
        <v>11</v>
      </c>
      <c r="D949" t="s">
        <v>20</v>
      </c>
      <c r="E949" t="s">
        <v>23</v>
      </c>
      <c r="F949">
        <v>3968.97</v>
      </c>
    </row>
    <row r="950" spans="1:6" x14ac:dyDescent="0.35">
      <c r="A950">
        <v>1217</v>
      </c>
      <c r="B950" s="2">
        <v>45641.375085336993</v>
      </c>
      <c r="C950" t="s">
        <v>9</v>
      </c>
      <c r="D950" t="s">
        <v>21</v>
      </c>
      <c r="E950" t="s">
        <v>24</v>
      </c>
      <c r="F950">
        <v>2486.9299999999998</v>
      </c>
    </row>
    <row r="951" spans="1:6" x14ac:dyDescent="0.35">
      <c r="A951">
        <v>1317</v>
      </c>
      <c r="B951" s="2">
        <v>45642.375085336993</v>
      </c>
      <c r="C951" t="s">
        <v>9</v>
      </c>
      <c r="D951" t="s">
        <v>16</v>
      </c>
      <c r="E951" t="s">
        <v>25</v>
      </c>
      <c r="F951">
        <v>7000.92</v>
      </c>
    </row>
    <row r="952" spans="1:6" x14ac:dyDescent="0.35">
      <c r="A952">
        <v>1323</v>
      </c>
      <c r="B952" s="2">
        <v>45642.375085336993</v>
      </c>
      <c r="C952" t="s">
        <v>13</v>
      </c>
      <c r="D952" t="s">
        <v>18</v>
      </c>
      <c r="E952" t="s">
        <v>25</v>
      </c>
      <c r="F952">
        <v>13218.86</v>
      </c>
    </row>
    <row r="953" spans="1:6" x14ac:dyDescent="0.35">
      <c r="A953">
        <v>1309</v>
      </c>
      <c r="B953" s="2">
        <v>45642.375085336993</v>
      </c>
      <c r="C953" t="s">
        <v>12</v>
      </c>
      <c r="D953" t="s">
        <v>16</v>
      </c>
      <c r="E953" t="s">
        <v>24</v>
      </c>
      <c r="F953">
        <v>4859.99</v>
      </c>
    </row>
    <row r="954" spans="1:6" x14ac:dyDescent="0.35">
      <c r="A954">
        <v>1253</v>
      </c>
      <c r="B954" s="2">
        <v>45642.375085336993</v>
      </c>
      <c r="C954" t="s">
        <v>12</v>
      </c>
      <c r="D954" t="s">
        <v>20</v>
      </c>
      <c r="E954" t="s">
        <v>25</v>
      </c>
      <c r="F954">
        <v>4940.2</v>
      </c>
    </row>
    <row r="955" spans="1:6" x14ac:dyDescent="0.35">
      <c r="A955">
        <v>1359</v>
      </c>
      <c r="B955" s="2">
        <v>45642.375085336993</v>
      </c>
      <c r="C955" t="s">
        <v>12</v>
      </c>
      <c r="D955" t="s">
        <v>20</v>
      </c>
      <c r="E955" t="s">
        <v>24</v>
      </c>
      <c r="F955">
        <v>3730.44</v>
      </c>
    </row>
    <row r="956" spans="1:6" x14ac:dyDescent="0.35">
      <c r="A956">
        <v>1231</v>
      </c>
      <c r="B956" s="2">
        <v>45642.375085336993</v>
      </c>
      <c r="C956" t="s">
        <v>12</v>
      </c>
      <c r="D956" t="s">
        <v>20</v>
      </c>
      <c r="E956" t="s">
        <v>24</v>
      </c>
      <c r="F956">
        <v>3987.39</v>
      </c>
    </row>
    <row r="957" spans="1:6" x14ac:dyDescent="0.35">
      <c r="A957">
        <v>1163</v>
      </c>
      <c r="B957" s="2">
        <v>45642.375085336993</v>
      </c>
      <c r="C957" t="s">
        <v>13</v>
      </c>
      <c r="D957" t="s">
        <v>22</v>
      </c>
      <c r="E957" t="s">
        <v>23</v>
      </c>
      <c r="F957">
        <v>5881.66</v>
      </c>
    </row>
    <row r="958" spans="1:6" x14ac:dyDescent="0.35">
      <c r="A958">
        <v>1274</v>
      </c>
      <c r="B958" s="2">
        <v>45642.375085336993</v>
      </c>
      <c r="C958" t="s">
        <v>10</v>
      </c>
      <c r="D958" t="s">
        <v>16</v>
      </c>
      <c r="E958" t="s">
        <v>23</v>
      </c>
      <c r="F958">
        <v>9640.73</v>
      </c>
    </row>
    <row r="959" spans="1:6" x14ac:dyDescent="0.35">
      <c r="A959">
        <v>1048</v>
      </c>
      <c r="B959" s="2">
        <v>45643.375085336993</v>
      </c>
      <c r="C959" t="s">
        <v>15</v>
      </c>
      <c r="D959" t="s">
        <v>22</v>
      </c>
      <c r="E959" t="s">
        <v>24</v>
      </c>
      <c r="F959">
        <v>2676.32</v>
      </c>
    </row>
    <row r="960" spans="1:6" x14ac:dyDescent="0.35">
      <c r="A960">
        <v>1101</v>
      </c>
      <c r="B960" s="2">
        <v>45643.375085336993</v>
      </c>
      <c r="C960" t="s">
        <v>14</v>
      </c>
      <c r="D960" t="s">
        <v>17</v>
      </c>
      <c r="E960" t="s">
        <v>25</v>
      </c>
      <c r="F960">
        <v>2596.81</v>
      </c>
    </row>
    <row r="961" spans="1:6" x14ac:dyDescent="0.35">
      <c r="A961">
        <v>1384</v>
      </c>
      <c r="B961" s="2">
        <v>45643.375085336993</v>
      </c>
      <c r="C961" t="s">
        <v>10</v>
      </c>
      <c r="D961" t="s">
        <v>17</v>
      </c>
      <c r="E961" t="s">
        <v>25</v>
      </c>
      <c r="F961">
        <v>1490.78</v>
      </c>
    </row>
    <row r="962" spans="1:6" x14ac:dyDescent="0.35">
      <c r="A962">
        <v>1011</v>
      </c>
      <c r="B962" s="2">
        <v>45644.375085336993</v>
      </c>
      <c r="C962" t="s">
        <v>13</v>
      </c>
      <c r="D962" t="s">
        <v>22</v>
      </c>
      <c r="E962" t="s">
        <v>25</v>
      </c>
      <c r="F962">
        <v>4048.75</v>
      </c>
    </row>
    <row r="963" spans="1:6" x14ac:dyDescent="0.35">
      <c r="A963">
        <v>1259</v>
      </c>
      <c r="B963" s="2">
        <v>45644.375085336993</v>
      </c>
      <c r="C963" t="s">
        <v>14</v>
      </c>
      <c r="D963" t="s">
        <v>22</v>
      </c>
      <c r="E963" t="s">
        <v>23</v>
      </c>
      <c r="F963">
        <v>3864.77</v>
      </c>
    </row>
    <row r="964" spans="1:6" x14ac:dyDescent="0.35">
      <c r="A964">
        <v>1375</v>
      </c>
      <c r="B964" s="2">
        <v>45644.375085336993</v>
      </c>
      <c r="C964" t="s">
        <v>6</v>
      </c>
      <c r="D964" t="s">
        <v>22</v>
      </c>
      <c r="E964" t="s">
        <v>23</v>
      </c>
      <c r="F964">
        <v>5289.78</v>
      </c>
    </row>
    <row r="965" spans="1:6" x14ac:dyDescent="0.35">
      <c r="A965">
        <v>1382</v>
      </c>
      <c r="B965" s="2">
        <v>45644.375085336993</v>
      </c>
      <c r="C965" t="s">
        <v>6</v>
      </c>
      <c r="D965" t="s">
        <v>17</v>
      </c>
      <c r="E965" t="s">
        <v>25</v>
      </c>
      <c r="F965">
        <v>1461.76</v>
      </c>
    </row>
    <row r="966" spans="1:6" x14ac:dyDescent="0.35">
      <c r="A966">
        <v>1030</v>
      </c>
      <c r="B966" s="2">
        <v>45644.375085336993</v>
      </c>
      <c r="C966" t="s">
        <v>15</v>
      </c>
      <c r="D966" t="s">
        <v>20</v>
      </c>
      <c r="E966" t="s">
        <v>23</v>
      </c>
      <c r="F966">
        <v>6015.21</v>
      </c>
    </row>
    <row r="967" spans="1:6" x14ac:dyDescent="0.35">
      <c r="A967">
        <v>1387</v>
      </c>
      <c r="B967" s="2">
        <v>45644.375085336993</v>
      </c>
      <c r="C967" t="s">
        <v>13</v>
      </c>
      <c r="D967" t="s">
        <v>22</v>
      </c>
      <c r="E967" t="s">
        <v>25</v>
      </c>
      <c r="F967">
        <v>3277.08</v>
      </c>
    </row>
    <row r="968" spans="1:6" x14ac:dyDescent="0.35">
      <c r="A968">
        <v>1006</v>
      </c>
      <c r="B968" s="2">
        <v>45644.375085336993</v>
      </c>
      <c r="C968" t="s">
        <v>11</v>
      </c>
      <c r="D968" t="s">
        <v>19</v>
      </c>
      <c r="E968" t="s">
        <v>24</v>
      </c>
      <c r="F968">
        <v>6102.35</v>
      </c>
    </row>
    <row r="969" spans="1:6" x14ac:dyDescent="0.35">
      <c r="A969">
        <v>1256</v>
      </c>
      <c r="B969" s="2">
        <v>45645.375085336993</v>
      </c>
      <c r="C969" t="s">
        <v>15</v>
      </c>
      <c r="D969" t="s">
        <v>16</v>
      </c>
      <c r="E969" t="s">
        <v>24</v>
      </c>
      <c r="F969">
        <v>2434.0100000000002</v>
      </c>
    </row>
    <row r="970" spans="1:6" x14ac:dyDescent="0.35">
      <c r="A970">
        <v>1308</v>
      </c>
      <c r="B970" s="2">
        <v>45645.375085336993</v>
      </c>
      <c r="C970" t="s">
        <v>9</v>
      </c>
      <c r="D970" t="s">
        <v>18</v>
      </c>
      <c r="E970" t="s">
        <v>25</v>
      </c>
      <c r="F970">
        <v>720.34</v>
      </c>
    </row>
    <row r="971" spans="1:6" x14ac:dyDescent="0.35">
      <c r="A971">
        <v>1232</v>
      </c>
      <c r="B971" s="2">
        <v>45646.375085336993</v>
      </c>
      <c r="C971" t="s">
        <v>8</v>
      </c>
      <c r="D971" t="s">
        <v>20</v>
      </c>
      <c r="E971" t="s">
        <v>23</v>
      </c>
      <c r="F971">
        <v>11256.17</v>
      </c>
    </row>
    <row r="972" spans="1:6" x14ac:dyDescent="0.35">
      <c r="A972">
        <v>1333</v>
      </c>
      <c r="B972" s="2">
        <v>45646.375085336993</v>
      </c>
      <c r="C972" t="s">
        <v>13</v>
      </c>
      <c r="D972" t="s">
        <v>16</v>
      </c>
      <c r="E972" t="s">
        <v>24</v>
      </c>
      <c r="F972">
        <v>3045.13</v>
      </c>
    </row>
    <row r="973" spans="1:6" x14ac:dyDescent="0.35">
      <c r="A973">
        <v>1287</v>
      </c>
      <c r="B973" s="2">
        <v>45647.375085336993</v>
      </c>
      <c r="C973" t="s">
        <v>11</v>
      </c>
      <c r="D973" t="s">
        <v>17</v>
      </c>
      <c r="E973" t="s">
        <v>25</v>
      </c>
      <c r="F973">
        <v>1283.67</v>
      </c>
    </row>
    <row r="974" spans="1:6" x14ac:dyDescent="0.35">
      <c r="A974">
        <v>1089</v>
      </c>
      <c r="B974" s="2">
        <v>45647.375085336993</v>
      </c>
      <c r="C974" t="s">
        <v>12</v>
      </c>
      <c r="D974" t="s">
        <v>17</v>
      </c>
      <c r="E974" t="s">
        <v>24</v>
      </c>
      <c r="F974">
        <v>3026.25</v>
      </c>
    </row>
    <row r="975" spans="1:6" x14ac:dyDescent="0.35">
      <c r="A975">
        <v>1129</v>
      </c>
      <c r="B975" s="2">
        <v>45647.375085336993</v>
      </c>
      <c r="C975" t="s">
        <v>11</v>
      </c>
      <c r="D975" t="s">
        <v>22</v>
      </c>
      <c r="E975" t="s">
        <v>23</v>
      </c>
      <c r="F975">
        <v>3122.17</v>
      </c>
    </row>
    <row r="976" spans="1:6" x14ac:dyDescent="0.35">
      <c r="A976">
        <v>1330</v>
      </c>
      <c r="B976" s="2">
        <v>45648.375085336993</v>
      </c>
      <c r="C976" t="s">
        <v>11</v>
      </c>
      <c r="D976" t="s">
        <v>21</v>
      </c>
      <c r="E976" t="s">
        <v>25</v>
      </c>
      <c r="F976">
        <v>1632.95</v>
      </c>
    </row>
    <row r="977" spans="1:6" x14ac:dyDescent="0.35">
      <c r="A977">
        <v>1049</v>
      </c>
      <c r="B977" s="2">
        <v>45649.375085336993</v>
      </c>
      <c r="C977" t="s">
        <v>12</v>
      </c>
      <c r="D977" t="s">
        <v>17</v>
      </c>
      <c r="E977" t="s">
        <v>25</v>
      </c>
      <c r="F977">
        <v>8078.08</v>
      </c>
    </row>
    <row r="978" spans="1:6" x14ac:dyDescent="0.35">
      <c r="A978">
        <v>1253</v>
      </c>
      <c r="B978" s="2">
        <v>45650.375085336993</v>
      </c>
      <c r="C978" t="s">
        <v>12</v>
      </c>
      <c r="D978" t="s">
        <v>19</v>
      </c>
      <c r="E978" t="s">
        <v>24</v>
      </c>
      <c r="F978">
        <v>5265.08</v>
      </c>
    </row>
    <row r="979" spans="1:6" x14ac:dyDescent="0.35">
      <c r="A979">
        <v>1164</v>
      </c>
      <c r="B979" s="2">
        <v>45650.375085336993</v>
      </c>
      <c r="C979" t="s">
        <v>8</v>
      </c>
      <c r="D979" t="s">
        <v>17</v>
      </c>
      <c r="E979" t="s">
        <v>24</v>
      </c>
      <c r="F979">
        <v>641.62</v>
      </c>
    </row>
    <row r="980" spans="1:6" x14ac:dyDescent="0.35">
      <c r="A980">
        <v>1003</v>
      </c>
      <c r="B980" s="2">
        <v>45650.375085336993</v>
      </c>
      <c r="C980" t="s">
        <v>11</v>
      </c>
      <c r="D980" t="s">
        <v>16</v>
      </c>
      <c r="E980" t="s">
        <v>23</v>
      </c>
      <c r="F980">
        <v>4873.67</v>
      </c>
    </row>
    <row r="981" spans="1:6" x14ac:dyDescent="0.35">
      <c r="A981">
        <v>1133</v>
      </c>
      <c r="B981" s="2">
        <v>45650.375085336993</v>
      </c>
      <c r="C981" t="s">
        <v>14</v>
      </c>
      <c r="D981" t="s">
        <v>20</v>
      </c>
      <c r="E981" t="s">
        <v>23</v>
      </c>
      <c r="F981">
        <v>1519.1</v>
      </c>
    </row>
    <row r="982" spans="1:6" x14ac:dyDescent="0.35">
      <c r="A982">
        <v>1226</v>
      </c>
      <c r="B982" s="2">
        <v>45650.375085336993</v>
      </c>
      <c r="C982" t="s">
        <v>11</v>
      </c>
      <c r="D982" t="s">
        <v>20</v>
      </c>
      <c r="E982" t="s">
        <v>23</v>
      </c>
      <c r="F982">
        <v>4247.1000000000004</v>
      </c>
    </row>
    <row r="983" spans="1:6" x14ac:dyDescent="0.35">
      <c r="A983">
        <v>1307</v>
      </c>
      <c r="B983" s="2">
        <v>45650.375085336993</v>
      </c>
      <c r="C983" t="s">
        <v>15</v>
      </c>
      <c r="D983" t="s">
        <v>17</v>
      </c>
      <c r="E983" t="s">
        <v>23</v>
      </c>
      <c r="F983">
        <v>3312.71</v>
      </c>
    </row>
    <row r="984" spans="1:6" x14ac:dyDescent="0.35">
      <c r="A984">
        <v>1189</v>
      </c>
      <c r="B984" s="2">
        <v>45651.375085336993</v>
      </c>
      <c r="C984" t="s">
        <v>6</v>
      </c>
      <c r="D984" t="s">
        <v>19</v>
      </c>
      <c r="E984" t="s">
        <v>23</v>
      </c>
      <c r="F984">
        <v>3414.28</v>
      </c>
    </row>
    <row r="985" spans="1:6" x14ac:dyDescent="0.35">
      <c r="A985">
        <v>1011</v>
      </c>
      <c r="B985" s="2">
        <v>45651.375085336993</v>
      </c>
      <c r="C985" t="s">
        <v>13</v>
      </c>
      <c r="D985" t="s">
        <v>20</v>
      </c>
      <c r="E985" t="s">
        <v>23</v>
      </c>
      <c r="F985">
        <v>4276.88</v>
      </c>
    </row>
    <row r="986" spans="1:6" x14ac:dyDescent="0.35">
      <c r="A986">
        <v>1127</v>
      </c>
      <c r="B986" s="2">
        <v>45652.375085336993</v>
      </c>
      <c r="C986" t="s">
        <v>15</v>
      </c>
      <c r="D986" t="s">
        <v>17</v>
      </c>
      <c r="E986" t="s">
        <v>24</v>
      </c>
      <c r="F986">
        <v>1940.59</v>
      </c>
    </row>
    <row r="987" spans="1:6" x14ac:dyDescent="0.35">
      <c r="A987">
        <v>1359</v>
      </c>
      <c r="B987" s="2">
        <v>45652.375085336993</v>
      </c>
      <c r="C987" t="s">
        <v>13</v>
      </c>
      <c r="D987" t="s">
        <v>17</v>
      </c>
      <c r="E987" t="s">
        <v>25</v>
      </c>
      <c r="F987">
        <v>4549.16</v>
      </c>
    </row>
    <row r="988" spans="1:6" x14ac:dyDescent="0.35">
      <c r="A988">
        <v>1312</v>
      </c>
      <c r="B988" s="2">
        <v>45652.375085336993</v>
      </c>
      <c r="C988" t="s">
        <v>10</v>
      </c>
      <c r="D988" t="s">
        <v>21</v>
      </c>
      <c r="E988" t="s">
        <v>24</v>
      </c>
      <c r="F988">
        <v>5577.82</v>
      </c>
    </row>
    <row r="989" spans="1:6" x14ac:dyDescent="0.35">
      <c r="A989">
        <v>1076</v>
      </c>
      <c r="B989" s="2">
        <v>45652.375085336993</v>
      </c>
      <c r="C989" t="s">
        <v>12</v>
      </c>
      <c r="D989" t="s">
        <v>17</v>
      </c>
      <c r="E989" t="s">
        <v>24</v>
      </c>
      <c r="F989">
        <v>4797.13</v>
      </c>
    </row>
    <row r="990" spans="1:6" x14ac:dyDescent="0.35">
      <c r="A990">
        <v>1019</v>
      </c>
      <c r="B990" s="2">
        <v>45652.375085336993</v>
      </c>
      <c r="C990" t="s">
        <v>13</v>
      </c>
      <c r="D990" t="s">
        <v>22</v>
      </c>
      <c r="E990" t="s">
        <v>25</v>
      </c>
      <c r="F990">
        <v>989.86</v>
      </c>
    </row>
    <row r="991" spans="1:6" x14ac:dyDescent="0.35">
      <c r="A991">
        <v>1026</v>
      </c>
      <c r="B991" s="2">
        <v>45652.375085336993</v>
      </c>
      <c r="C991" t="s">
        <v>11</v>
      </c>
      <c r="D991" t="s">
        <v>20</v>
      </c>
      <c r="E991" t="s">
        <v>24</v>
      </c>
      <c r="F991">
        <v>7779.86</v>
      </c>
    </row>
    <row r="992" spans="1:6" x14ac:dyDescent="0.35">
      <c r="A992">
        <v>1338</v>
      </c>
      <c r="B992" s="2">
        <v>45652.375085336993</v>
      </c>
      <c r="C992" t="s">
        <v>12</v>
      </c>
      <c r="D992" t="s">
        <v>18</v>
      </c>
      <c r="E992" t="s">
        <v>25</v>
      </c>
      <c r="F992">
        <v>6503.76</v>
      </c>
    </row>
    <row r="993" spans="1:6" x14ac:dyDescent="0.35">
      <c r="A993">
        <v>1195</v>
      </c>
      <c r="B993" s="2">
        <v>45652.375085336993</v>
      </c>
      <c r="C993" t="s">
        <v>7</v>
      </c>
      <c r="D993" t="s">
        <v>21</v>
      </c>
      <c r="E993" t="s">
        <v>24</v>
      </c>
      <c r="F993">
        <v>3338.16</v>
      </c>
    </row>
    <row r="994" spans="1:6" x14ac:dyDescent="0.35">
      <c r="A994">
        <v>1290</v>
      </c>
      <c r="B994" s="2">
        <v>45652.375085336993</v>
      </c>
      <c r="C994" t="s">
        <v>10</v>
      </c>
      <c r="D994" t="s">
        <v>19</v>
      </c>
      <c r="E994" t="s">
        <v>25</v>
      </c>
      <c r="F994">
        <v>5731.09</v>
      </c>
    </row>
    <row r="995" spans="1:6" x14ac:dyDescent="0.35">
      <c r="A995">
        <v>1161</v>
      </c>
      <c r="B995" s="2">
        <v>45653.375085336993</v>
      </c>
      <c r="C995" t="s">
        <v>13</v>
      </c>
      <c r="D995" t="s">
        <v>19</v>
      </c>
      <c r="E995" t="s">
        <v>25</v>
      </c>
      <c r="F995">
        <v>715.9</v>
      </c>
    </row>
    <row r="996" spans="1:6" x14ac:dyDescent="0.35">
      <c r="A996">
        <v>1062</v>
      </c>
      <c r="B996" s="2">
        <v>45653.375085336993</v>
      </c>
      <c r="C996" t="s">
        <v>10</v>
      </c>
      <c r="D996" t="s">
        <v>19</v>
      </c>
      <c r="E996" t="s">
        <v>24</v>
      </c>
      <c r="F996">
        <v>8565.9500000000007</v>
      </c>
    </row>
    <row r="997" spans="1:6" x14ac:dyDescent="0.35">
      <c r="A997">
        <v>1288</v>
      </c>
      <c r="B997" s="2">
        <v>45653.375085336993</v>
      </c>
      <c r="C997" t="s">
        <v>11</v>
      </c>
      <c r="D997" t="s">
        <v>16</v>
      </c>
      <c r="E997" t="s">
        <v>24</v>
      </c>
      <c r="F997">
        <v>1677.47</v>
      </c>
    </row>
    <row r="998" spans="1:6" x14ac:dyDescent="0.35">
      <c r="A998">
        <v>1152</v>
      </c>
      <c r="B998" s="2">
        <v>45653.375085336993</v>
      </c>
      <c r="C998" t="s">
        <v>13</v>
      </c>
      <c r="D998" t="s">
        <v>16</v>
      </c>
      <c r="E998" t="s">
        <v>25</v>
      </c>
      <c r="F998">
        <v>7945.62</v>
      </c>
    </row>
    <row r="999" spans="1:6" x14ac:dyDescent="0.35">
      <c r="A999">
        <v>1310</v>
      </c>
      <c r="B999" s="2">
        <v>45653.375085336993</v>
      </c>
      <c r="C999" t="s">
        <v>11</v>
      </c>
      <c r="D999" t="s">
        <v>18</v>
      </c>
      <c r="E999" t="s">
        <v>24</v>
      </c>
      <c r="F999">
        <v>3226.8</v>
      </c>
    </row>
    <row r="1000" spans="1:6" x14ac:dyDescent="0.35">
      <c r="A1000">
        <v>1077</v>
      </c>
      <c r="B1000" s="2">
        <v>45653.375085336993</v>
      </c>
      <c r="C1000" t="s">
        <v>12</v>
      </c>
      <c r="D1000" t="s">
        <v>18</v>
      </c>
      <c r="E1000" t="s">
        <v>24</v>
      </c>
      <c r="F1000">
        <v>4992.54</v>
      </c>
    </row>
    <row r="1001" spans="1:6" x14ac:dyDescent="0.35">
      <c r="A1001">
        <v>1132</v>
      </c>
      <c r="B1001" s="2">
        <v>45654.375085336993</v>
      </c>
      <c r="C1001" t="s">
        <v>6</v>
      </c>
      <c r="D1001" t="s">
        <v>18</v>
      </c>
      <c r="E1001" t="s">
        <v>24</v>
      </c>
      <c r="F1001">
        <v>5769.52</v>
      </c>
    </row>
    <row r="1002" spans="1:6" x14ac:dyDescent="0.35">
      <c r="A1002">
        <v>1279</v>
      </c>
      <c r="B1002" s="2">
        <v>45655.375085336993</v>
      </c>
      <c r="C1002" t="s">
        <v>8</v>
      </c>
      <c r="D1002" t="s">
        <v>19</v>
      </c>
      <c r="E1002" t="s">
        <v>25</v>
      </c>
      <c r="F1002">
        <v>1018.46</v>
      </c>
    </row>
    <row r="1003" spans="1:6" x14ac:dyDescent="0.35">
      <c r="A1003">
        <v>1101</v>
      </c>
      <c r="B1003" s="2">
        <v>45655.375085336993</v>
      </c>
      <c r="C1003" t="s">
        <v>14</v>
      </c>
      <c r="D1003" t="s">
        <v>16</v>
      </c>
      <c r="E1003" t="s">
        <v>23</v>
      </c>
      <c r="F1003">
        <v>3330.36</v>
      </c>
    </row>
    <row r="1004" spans="1:6" x14ac:dyDescent="0.35">
      <c r="A1004">
        <v>1343</v>
      </c>
      <c r="B1004" s="2">
        <v>45655.375085336993</v>
      </c>
      <c r="C1004" t="s">
        <v>15</v>
      </c>
      <c r="D1004" t="s">
        <v>20</v>
      </c>
      <c r="E1004" t="s">
        <v>23</v>
      </c>
      <c r="F1004">
        <v>1384.75</v>
      </c>
    </row>
    <row r="1005" spans="1:6" x14ac:dyDescent="0.35">
      <c r="A1005">
        <v>1165</v>
      </c>
      <c r="B1005" s="2">
        <v>45655.375085336993</v>
      </c>
      <c r="C1005" t="s">
        <v>6</v>
      </c>
      <c r="D1005" t="s">
        <v>22</v>
      </c>
      <c r="E1005" t="s">
        <v>25</v>
      </c>
      <c r="F1005">
        <v>1533.78</v>
      </c>
    </row>
    <row r="1006" spans="1:6" x14ac:dyDescent="0.35">
      <c r="A1006">
        <v>1278</v>
      </c>
      <c r="B1006" s="2">
        <v>45655.375085336993</v>
      </c>
      <c r="C1006" t="s">
        <v>11</v>
      </c>
      <c r="D1006" t="s">
        <v>19</v>
      </c>
      <c r="E1006" t="s">
        <v>24</v>
      </c>
      <c r="F1006">
        <v>6088.51</v>
      </c>
    </row>
    <row r="1007" spans="1:6" x14ac:dyDescent="0.35">
      <c r="A1007">
        <v>1174</v>
      </c>
      <c r="B1007" s="2">
        <v>45656.375085336993</v>
      </c>
      <c r="C1007" t="s">
        <v>9</v>
      </c>
      <c r="D1007" t="s">
        <v>20</v>
      </c>
      <c r="E1007" t="s">
        <v>25</v>
      </c>
      <c r="F1007">
        <v>3569.86</v>
      </c>
    </row>
    <row r="1008" spans="1:6" x14ac:dyDescent="0.35">
      <c r="A1008">
        <v>1110</v>
      </c>
      <c r="B1008" s="2">
        <v>45656.375085336993</v>
      </c>
      <c r="C1008" t="s">
        <v>11</v>
      </c>
      <c r="D1008" t="s">
        <v>22</v>
      </c>
      <c r="E1008" t="s">
        <v>23</v>
      </c>
      <c r="F1008">
        <v>6269.78</v>
      </c>
    </row>
    <row r="1009" spans="1:6" x14ac:dyDescent="0.35">
      <c r="A1009">
        <v>1316</v>
      </c>
      <c r="B1009" s="2">
        <v>45656.375085336993</v>
      </c>
      <c r="C1009" t="s">
        <v>12</v>
      </c>
      <c r="D1009" t="s">
        <v>21</v>
      </c>
      <c r="E1009" t="s">
        <v>25</v>
      </c>
      <c r="F1009">
        <v>5514.57</v>
      </c>
    </row>
    <row r="1010" spans="1:6" x14ac:dyDescent="0.35">
      <c r="A1010">
        <v>1215</v>
      </c>
      <c r="B1010" s="2">
        <v>45657.375085336993</v>
      </c>
      <c r="C1010" t="s">
        <v>13</v>
      </c>
      <c r="D1010" t="s">
        <v>19</v>
      </c>
      <c r="E1010" t="s">
        <v>25</v>
      </c>
      <c r="F1010">
        <v>494.94</v>
      </c>
    </row>
    <row r="1011" spans="1:6" x14ac:dyDescent="0.35">
      <c r="A1011">
        <v>1380</v>
      </c>
      <c r="B1011" s="2">
        <v>45657.375085336993</v>
      </c>
      <c r="C1011" t="s">
        <v>6</v>
      </c>
      <c r="D1011" t="s">
        <v>17</v>
      </c>
      <c r="E1011" t="s">
        <v>25</v>
      </c>
      <c r="F1011">
        <v>5130.17</v>
      </c>
    </row>
    <row r="1012" spans="1:6" x14ac:dyDescent="0.35">
      <c r="A1012">
        <v>1281</v>
      </c>
      <c r="B1012" s="2">
        <v>45657.375085336993</v>
      </c>
      <c r="C1012" t="s">
        <v>14</v>
      </c>
      <c r="D1012" t="s">
        <v>21</v>
      </c>
      <c r="E1012" t="s">
        <v>23</v>
      </c>
      <c r="F1012">
        <v>4651.29</v>
      </c>
    </row>
    <row r="1013" spans="1:6" x14ac:dyDescent="0.35">
      <c r="A1013">
        <v>1149</v>
      </c>
      <c r="B1013" s="2">
        <v>45657.375085336993</v>
      </c>
      <c r="C1013" t="s">
        <v>6</v>
      </c>
      <c r="D1013" t="s">
        <v>17</v>
      </c>
      <c r="E1013" t="s">
        <v>25</v>
      </c>
      <c r="F1013">
        <v>3094.98</v>
      </c>
    </row>
    <row r="1014" spans="1:6" x14ac:dyDescent="0.35">
      <c r="A1014">
        <v>1235</v>
      </c>
      <c r="B1014" s="2">
        <v>45658.375085336993</v>
      </c>
      <c r="C1014" t="s">
        <v>13</v>
      </c>
      <c r="D1014" t="s">
        <v>21</v>
      </c>
      <c r="E1014" t="s">
        <v>25</v>
      </c>
      <c r="F1014">
        <v>4436.8100000000004</v>
      </c>
    </row>
    <row r="1015" spans="1:6" x14ac:dyDescent="0.35">
      <c r="A1015">
        <v>1381</v>
      </c>
      <c r="B1015" s="2">
        <v>45658.375085336993</v>
      </c>
      <c r="C1015" t="s">
        <v>6</v>
      </c>
      <c r="D1015" t="s">
        <v>21</v>
      </c>
      <c r="E1015" t="s">
        <v>24</v>
      </c>
      <c r="F1015">
        <v>4598.88</v>
      </c>
    </row>
    <row r="1016" spans="1:6" x14ac:dyDescent="0.35">
      <c r="A1016">
        <v>1287</v>
      </c>
      <c r="B1016" s="2">
        <v>45659.375085336993</v>
      </c>
      <c r="C1016" t="s">
        <v>13</v>
      </c>
      <c r="D1016" t="s">
        <v>22</v>
      </c>
      <c r="E1016" t="s">
        <v>25</v>
      </c>
      <c r="F1016">
        <v>6628.2</v>
      </c>
    </row>
    <row r="1017" spans="1:6" x14ac:dyDescent="0.35">
      <c r="A1017">
        <v>1314</v>
      </c>
      <c r="B1017" s="2">
        <v>45659.375085336993</v>
      </c>
      <c r="C1017" t="s">
        <v>6</v>
      </c>
      <c r="D1017" t="s">
        <v>18</v>
      </c>
      <c r="E1017" t="s">
        <v>25</v>
      </c>
      <c r="F1017">
        <v>2719.02</v>
      </c>
    </row>
    <row r="1018" spans="1:6" x14ac:dyDescent="0.35">
      <c r="A1018">
        <v>1264</v>
      </c>
      <c r="B1018" s="2">
        <v>45659.375085336993</v>
      </c>
      <c r="C1018" t="s">
        <v>11</v>
      </c>
      <c r="D1018" t="s">
        <v>18</v>
      </c>
      <c r="E1018" t="s">
        <v>25</v>
      </c>
      <c r="F1018">
        <v>8628.0400000000009</v>
      </c>
    </row>
    <row r="1019" spans="1:6" x14ac:dyDescent="0.35">
      <c r="A1019">
        <v>1196</v>
      </c>
      <c r="B1019" s="2">
        <v>45659.375085336993</v>
      </c>
      <c r="C1019" t="s">
        <v>11</v>
      </c>
      <c r="D1019" t="s">
        <v>18</v>
      </c>
      <c r="E1019" t="s">
        <v>25</v>
      </c>
      <c r="F1019">
        <v>7953.45</v>
      </c>
    </row>
    <row r="1020" spans="1:6" x14ac:dyDescent="0.35">
      <c r="A1020">
        <v>1131</v>
      </c>
      <c r="B1020" s="2">
        <v>45660.375085336993</v>
      </c>
      <c r="C1020" t="s">
        <v>12</v>
      </c>
      <c r="D1020" t="s">
        <v>22</v>
      </c>
      <c r="E1020" t="s">
        <v>23</v>
      </c>
      <c r="F1020">
        <v>1894.72</v>
      </c>
    </row>
    <row r="1021" spans="1:6" x14ac:dyDescent="0.35">
      <c r="A1021">
        <v>1105</v>
      </c>
      <c r="B1021" s="2">
        <v>45660.375085336993</v>
      </c>
      <c r="C1021" t="s">
        <v>11</v>
      </c>
      <c r="D1021" t="s">
        <v>18</v>
      </c>
      <c r="E1021" t="s">
        <v>23</v>
      </c>
      <c r="F1021">
        <v>2473.7800000000002</v>
      </c>
    </row>
    <row r="1022" spans="1:6" x14ac:dyDescent="0.35">
      <c r="A1022">
        <v>1312</v>
      </c>
      <c r="B1022" s="2">
        <v>45660.375085336993</v>
      </c>
      <c r="C1022" t="s">
        <v>12</v>
      </c>
      <c r="D1022" t="s">
        <v>21</v>
      </c>
      <c r="E1022" t="s">
        <v>25</v>
      </c>
      <c r="F1022">
        <v>3684.99</v>
      </c>
    </row>
    <row r="1023" spans="1:6" x14ac:dyDescent="0.35">
      <c r="A1023">
        <v>1369</v>
      </c>
      <c r="B1023" s="2">
        <v>45661.375085336993</v>
      </c>
      <c r="C1023" t="s">
        <v>8</v>
      </c>
      <c r="D1023" t="s">
        <v>17</v>
      </c>
      <c r="E1023" t="s">
        <v>24</v>
      </c>
      <c r="F1023">
        <v>6088.06</v>
      </c>
    </row>
    <row r="1024" spans="1:6" x14ac:dyDescent="0.35">
      <c r="A1024">
        <v>1071</v>
      </c>
      <c r="B1024" s="2">
        <v>45661.375085336993</v>
      </c>
      <c r="C1024" t="s">
        <v>9</v>
      </c>
      <c r="D1024" t="s">
        <v>19</v>
      </c>
      <c r="E1024" t="s">
        <v>25</v>
      </c>
      <c r="F1024">
        <v>1047.77</v>
      </c>
    </row>
    <row r="1025" spans="1:6" x14ac:dyDescent="0.35">
      <c r="A1025">
        <v>1225</v>
      </c>
      <c r="B1025" s="2">
        <v>45661.375085336993</v>
      </c>
      <c r="C1025" t="s">
        <v>12</v>
      </c>
      <c r="D1025" t="s">
        <v>20</v>
      </c>
      <c r="E1025" t="s">
        <v>24</v>
      </c>
      <c r="F1025">
        <v>3022.4</v>
      </c>
    </row>
    <row r="1026" spans="1:6" x14ac:dyDescent="0.35">
      <c r="A1026">
        <v>1328</v>
      </c>
      <c r="B1026" s="2">
        <v>45661.375085336993</v>
      </c>
      <c r="C1026" t="s">
        <v>10</v>
      </c>
      <c r="D1026" t="s">
        <v>17</v>
      </c>
      <c r="E1026" t="s">
        <v>23</v>
      </c>
      <c r="F1026">
        <v>3122.12</v>
      </c>
    </row>
    <row r="1027" spans="1:6" x14ac:dyDescent="0.35">
      <c r="A1027">
        <v>1250</v>
      </c>
      <c r="B1027" s="2">
        <v>45661.375085336993</v>
      </c>
      <c r="C1027" t="s">
        <v>15</v>
      </c>
      <c r="D1027" t="s">
        <v>18</v>
      </c>
      <c r="E1027" t="s">
        <v>24</v>
      </c>
      <c r="F1027">
        <v>6090.06</v>
      </c>
    </row>
    <row r="1028" spans="1:6" x14ac:dyDescent="0.35">
      <c r="A1028">
        <v>1094</v>
      </c>
      <c r="B1028" s="2">
        <v>45662.375085336993</v>
      </c>
      <c r="C1028" t="s">
        <v>7</v>
      </c>
      <c r="D1028" t="s">
        <v>20</v>
      </c>
      <c r="E1028" t="s">
        <v>24</v>
      </c>
      <c r="F1028">
        <v>2023.36</v>
      </c>
    </row>
    <row r="1029" spans="1:6" x14ac:dyDescent="0.35">
      <c r="A1029">
        <v>1360</v>
      </c>
      <c r="B1029" s="2">
        <v>45663.375085336993</v>
      </c>
      <c r="C1029" t="s">
        <v>7</v>
      </c>
      <c r="D1029" t="s">
        <v>22</v>
      </c>
      <c r="E1029" t="s">
        <v>23</v>
      </c>
      <c r="F1029">
        <v>3070.44</v>
      </c>
    </row>
    <row r="1030" spans="1:6" x14ac:dyDescent="0.35">
      <c r="A1030">
        <v>1248</v>
      </c>
      <c r="B1030" s="2">
        <v>45663.375085336993</v>
      </c>
      <c r="C1030" t="s">
        <v>14</v>
      </c>
      <c r="D1030" t="s">
        <v>18</v>
      </c>
      <c r="E1030" t="s">
        <v>25</v>
      </c>
      <c r="F1030">
        <v>3344.96</v>
      </c>
    </row>
    <row r="1031" spans="1:6" x14ac:dyDescent="0.35">
      <c r="A1031">
        <v>1038</v>
      </c>
      <c r="B1031" s="2">
        <v>45663.375085336993</v>
      </c>
      <c r="C1031" t="s">
        <v>13</v>
      </c>
      <c r="D1031" t="s">
        <v>18</v>
      </c>
      <c r="E1031" t="s">
        <v>23</v>
      </c>
      <c r="F1031">
        <v>4450.3599999999997</v>
      </c>
    </row>
    <row r="1032" spans="1:6" x14ac:dyDescent="0.35">
      <c r="A1032">
        <v>1272</v>
      </c>
      <c r="B1032" s="2">
        <v>45663.375085336993</v>
      </c>
      <c r="C1032" t="s">
        <v>10</v>
      </c>
      <c r="D1032" t="s">
        <v>19</v>
      </c>
      <c r="E1032" t="s">
        <v>24</v>
      </c>
      <c r="F1032">
        <v>4878.29</v>
      </c>
    </row>
    <row r="1033" spans="1:6" x14ac:dyDescent="0.35">
      <c r="A1033">
        <v>1323</v>
      </c>
      <c r="B1033" s="2">
        <v>45664.375085336993</v>
      </c>
      <c r="C1033" t="s">
        <v>9</v>
      </c>
      <c r="D1033" t="s">
        <v>22</v>
      </c>
      <c r="E1033" t="s">
        <v>23</v>
      </c>
      <c r="F1033">
        <v>1743.01</v>
      </c>
    </row>
    <row r="1034" spans="1:6" x14ac:dyDescent="0.35">
      <c r="A1034">
        <v>1291</v>
      </c>
      <c r="B1034" s="2">
        <v>45665.375085336993</v>
      </c>
      <c r="C1034" t="s">
        <v>9</v>
      </c>
      <c r="D1034" t="s">
        <v>21</v>
      </c>
      <c r="E1034" t="s">
        <v>25</v>
      </c>
      <c r="F1034">
        <v>3901.12</v>
      </c>
    </row>
    <row r="1035" spans="1:6" x14ac:dyDescent="0.35">
      <c r="A1035">
        <v>1053</v>
      </c>
      <c r="B1035" s="2">
        <v>45665.375085336993</v>
      </c>
      <c r="C1035" t="s">
        <v>9</v>
      </c>
      <c r="D1035" t="s">
        <v>20</v>
      </c>
      <c r="E1035" t="s">
        <v>25</v>
      </c>
      <c r="F1035">
        <v>4230.5600000000004</v>
      </c>
    </row>
    <row r="1036" spans="1:6" x14ac:dyDescent="0.35">
      <c r="A1036">
        <v>1305</v>
      </c>
      <c r="B1036" s="2">
        <v>45665.375085336993</v>
      </c>
      <c r="C1036" t="s">
        <v>7</v>
      </c>
      <c r="D1036" t="s">
        <v>16</v>
      </c>
      <c r="E1036" t="s">
        <v>25</v>
      </c>
      <c r="F1036">
        <v>5360.43</v>
      </c>
    </row>
    <row r="1037" spans="1:6" x14ac:dyDescent="0.35">
      <c r="A1037">
        <v>1239</v>
      </c>
      <c r="B1037" s="2">
        <v>45665.375085336993</v>
      </c>
      <c r="C1037" t="s">
        <v>14</v>
      </c>
      <c r="D1037" t="s">
        <v>22</v>
      </c>
      <c r="E1037" t="s">
        <v>23</v>
      </c>
      <c r="F1037">
        <v>7042.52</v>
      </c>
    </row>
    <row r="1038" spans="1:6" x14ac:dyDescent="0.35">
      <c r="A1038">
        <v>1189</v>
      </c>
      <c r="B1038" s="2">
        <v>45665.375085336993</v>
      </c>
      <c r="C1038" t="s">
        <v>13</v>
      </c>
      <c r="D1038" t="s">
        <v>18</v>
      </c>
      <c r="E1038" t="s">
        <v>23</v>
      </c>
      <c r="F1038">
        <v>1273.2</v>
      </c>
    </row>
    <row r="1039" spans="1:6" x14ac:dyDescent="0.35">
      <c r="A1039">
        <v>1154</v>
      </c>
      <c r="B1039" s="2">
        <v>45665.375085336993</v>
      </c>
      <c r="C1039" t="s">
        <v>7</v>
      </c>
      <c r="D1039" t="s">
        <v>18</v>
      </c>
      <c r="E1039" t="s">
        <v>23</v>
      </c>
      <c r="F1039">
        <v>3460.77</v>
      </c>
    </row>
    <row r="1040" spans="1:6" x14ac:dyDescent="0.35">
      <c r="A1040">
        <v>1331</v>
      </c>
      <c r="B1040" s="2">
        <v>45665.375085336993</v>
      </c>
      <c r="C1040" t="s">
        <v>15</v>
      </c>
      <c r="D1040" t="s">
        <v>18</v>
      </c>
      <c r="E1040" t="s">
        <v>24</v>
      </c>
      <c r="F1040">
        <v>2605.12</v>
      </c>
    </row>
    <row r="1041" spans="1:6" x14ac:dyDescent="0.35">
      <c r="A1041">
        <v>1147</v>
      </c>
      <c r="B1041" s="2">
        <v>45665.375085336993</v>
      </c>
      <c r="C1041" t="s">
        <v>9</v>
      </c>
      <c r="D1041" t="s">
        <v>21</v>
      </c>
      <c r="E1041" t="s">
        <v>24</v>
      </c>
      <c r="F1041">
        <v>609.95000000000005</v>
      </c>
    </row>
    <row r="1042" spans="1:6" x14ac:dyDescent="0.35">
      <c r="A1042">
        <v>1359</v>
      </c>
      <c r="B1042" s="2">
        <v>45666.375085336993</v>
      </c>
      <c r="C1042" t="s">
        <v>15</v>
      </c>
      <c r="D1042" t="s">
        <v>18</v>
      </c>
      <c r="E1042" t="s">
        <v>23</v>
      </c>
      <c r="F1042">
        <v>3433.97</v>
      </c>
    </row>
    <row r="1043" spans="1:6" x14ac:dyDescent="0.35">
      <c r="A1043">
        <v>1355</v>
      </c>
      <c r="B1043" s="2">
        <v>45666.375085336993</v>
      </c>
      <c r="C1043" t="s">
        <v>15</v>
      </c>
      <c r="D1043" t="s">
        <v>18</v>
      </c>
      <c r="E1043" t="s">
        <v>25</v>
      </c>
      <c r="F1043">
        <v>2849.38</v>
      </c>
    </row>
    <row r="1044" spans="1:6" x14ac:dyDescent="0.35">
      <c r="A1044">
        <v>1184</v>
      </c>
      <c r="B1044" s="2">
        <v>45667.375085336993</v>
      </c>
      <c r="C1044" t="s">
        <v>9</v>
      </c>
      <c r="D1044" t="s">
        <v>20</v>
      </c>
      <c r="E1044" t="s">
        <v>23</v>
      </c>
      <c r="F1044">
        <v>2819.78</v>
      </c>
    </row>
    <row r="1045" spans="1:6" x14ac:dyDescent="0.35">
      <c r="A1045">
        <v>1004</v>
      </c>
      <c r="B1045" s="2">
        <v>45667.375085336993</v>
      </c>
      <c r="C1045" t="s">
        <v>10</v>
      </c>
      <c r="D1045" t="s">
        <v>19</v>
      </c>
      <c r="E1045" t="s">
        <v>25</v>
      </c>
      <c r="F1045">
        <v>3397.96</v>
      </c>
    </row>
    <row r="1046" spans="1:6" x14ac:dyDescent="0.35">
      <c r="A1046">
        <v>1245</v>
      </c>
      <c r="B1046" s="2">
        <v>45667.375085336993</v>
      </c>
      <c r="C1046" t="s">
        <v>8</v>
      </c>
      <c r="D1046" t="s">
        <v>18</v>
      </c>
      <c r="E1046" t="s">
        <v>25</v>
      </c>
      <c r="F1046">
        <v>1189.96</v>
      </c>
    </row>
    <row r="1047" spans="1:6" x14ac:dyDescent="0.35">
      <c r="A1047">
        <v>1126</v>
      </c>
      <c r="B1047" s="2">
        <v>45667.375085336993</v>
      </c>
      <c r="C1047" t="s">
        <v>11</v>
      </c>
      <c r="D1047" t="s">
        <v>18</v>
      </c>
      <c r="E1047" t="s">
        <v>23</v>
      </c>
      <c r="F1047">
        <v>1960.75</v>
      </c>
    </row>
    <row r="1048" spans="1:6" x14ac:dyDescent="0.35">
      <c r="A1048">
        <v>1345</v>
      </c>
      <c r="B1048" s="2">
        <v>45667.375085336993</v>
      </c>
      <c r="C1048" t="s">
        <v>15</v>
      </c>
      <c r="D1048" t="s">
        <v>18</v>
      </c>
      <c r="E1048" t="s">
        <v>25</v>
      </c>
      <c r="F1048">
        <v>4594.5</v>
      </c>
    </row>
    <row r="1049" spans="1:6" x14ac:dyDescent="0.35">
      <c r="A1049">
        <v>1171</v>
      </c>
      <c r="B1049" s="2">
        <v>45667.375085336993</v>
      </c>
      <c r="C1049" t="s">
        <v>15</v>
      </c>
      <c r="D1049" t="s">
        <v>20</v>
      </c>
      <c r="E1049" t="s">
        <v>25</v>
      </c>
      <c r="F1049">
        <v>3654.33</v>
      </c>
    </row>
    <row r="1050" spans="1:6" x14ac:dyDescent="0.35">
      <c r="A1050">
        <v>1227</v>
      </c>
      <c r="B1050" s="2">
        <v>45668.375085336993</v>
      </c>
      <c r="C1050" t="s">
        <v>9</v>
      </c>
      <c r="D1050" t="s">
        <v>22</v>
      </c>
      <c r="E1050" t="s">
        <v>23</v>
      </c>
      <c r="F1050">
        <v>4422.93</v>
      </c>
    </row>
    <row r="1051" spans="1:6" x14ac:dyDescent="0.35">
      <c r="A1051">
        <v>1148</v>
      </c>
      <c r="B1051" s="2">
        <v>45668.375085336993</v>
      </c>
      <c r="C1051" t="s">
        <v>15</v>
      </c>
      <c r="D1051" t="s">
        <v>21</v>
      </c>
      <c r="E1051" t="s">
        <v>24</v>
      </c>
      <c r="F1051">
        <v>2974.61</v>
      </c>
    </row>
    <row r="1052" spans="1:6" x14ac:dyDescent="0.35">
      <c r="A1052">
        <v>1183</v>
      </c>
      <c r="B1052" s="2">
        <v>45669.375085336993</v>
      </c>
      <c r="C1052" t="s">
        <v>13</v>
      </c>
      <c r="D1052" t="s">
        <v>21</v>
      </c>
      <c r="E1052" t="s">
        <v>25</v>
      </c>
      <c r="F1052">
        <v>1352.61</v>
      </c>
    </row>
    <row r="1053" spans="1:6" x14ac:dyDescent="0.35">
      <c r="A1053">
        <v>1058</v>
      </c>
      <c r="B1053" s="2">
        <v>45669.375085336993</v>
      </c>
      <c r="C1053" t="s">
        <v>15</v>
      </c>
      <c r="D1053" t="s">
        <v>17</v>
      </c>
      <c r="E1053" t="s">
        <v>24</v>
      </c>
      <c r="F1053">
        <v>1845.43</v>
      </c>
    </row>
    <row r="1054" spans="1:6" x14ac:dyDescent="0.35">
      <c r="A1054">
        <v>1258</v>
      </c>
      <c r="B1054" s="2">
        <v>45669.375085336993</v>
      </c>
      <c r="C1054" t="s">
        <v>11</v>
      </c>
      <c r="D1054" t="s">
        <v>20</v>
      </c>
      <c r="E1054" t="s">
        <v>24</v>
      </c>
      <c r="F1054">
        <v>1506.41</v>
      </c>
    </row>
    <row r="1055" spans="1:6" x14ac:dyDescent="0.35">
      <c r="A1055">
        <v>1109</v>
      </c>
      <c r="B1055" s="2">
        <v>45670.375085336993</v>
      </c>
      <c r="C1055" t="s">
        <v>7</v>
      </c>
      <c r="D1055" t="s">
        <v>21</v>
      </c>
      <c r="E1055" t="s">
        <v>25</v>
      </c>
      <c r="F1055">
        <v>4577.8900000000003</v>
      </c>
    </row>
    <row r="1056" spans="1:6" x14ac:dyDescent="0.35">
      <c r="A1056">
        <v>1201</v>
      </c>
      <c r="B1056" s="2">
        <v>45670.375085336993</v>
      </c>
      <c r="C1056" t="s">
        <v>11</v>
      </c>
      <c r="D1056" t="s">
        <v>18</v>
      </c>
      <c r="E1056" t="s">
        <v>25</v>
      </c>
      <c r="F1056">
        <v>4503.59</v>
      </c>
    </row>
    <row r="1057" spans="1:6" x14ac:dyDescent="0.35">
      <c r="A1057">
        <v>1126</v>
      </c>
      <c r="B1057" s="2">
        <v>45670.375085336993</v>
      </c>
      <c r="C1057" t="s">
        <v>12</v>
      </c>
      <c r="D1057" t="s">
        <v>18</v>
      </c>
      <c r="E1057" t="s">
        <v>23</v>
      </c>
      <c r="F1057">
        <v>4611.7700000000004</v>
      </c>
    </row>
    <row r="1058" spans="1:6" x14ac:dyDescent="0.35">
      <c r="A1058">
        <v>1258</v>
      </c>
      <c r="B1058" s="2">
        <v>45670.375085336993</v>
      </c>
      <c r="C1058" t="s">
        <v>10</v>
      </c>
      <c r="D1058" t="s">
        <v>20</v>
      </c>
      <c r="E1058" t="s">
        <v>25</v>
      </c>
      <c r="F1058">
        <v>3933.23</v>
      </c>
    </row>
    <row r="1059" spans="1:6" x14ac:dyDescent="0.35">
      <c r="A1059">
        <v>1137</v>
      </c>
      <c r="B1059" s="2">
        <v>45670.375085336993</v>
      </c>
      <c r="C1059" t="s">
        <v>7</v>
      </c>
      <c r="D1059" t="s">
        <v>21</v>
      </c>
      <c r="E1059" t="s">
        <v>25</v>
      </c>
      <c r="F1059">
        <v>8026.79</v>
      </c>
    </row>
    <row r="1060" spans="1:6" x14ac:dyDescent="0.35">
      <c r="A1060">
        <v>1111</v>
      </c>
      <c r="B1060" s="2">
        <v>45670.375085336993</v>
      </c>
      <c r="C1060" t="s">
        <v>13</v>
      </c>
      <c r="D1060" t="s">
        <v>16</v>
      </c>
      <c r="E1060" t="s">
        <v>23</v>
      </c>
      <c r="F1060">
        <v>1471.81</v>
      </c>
    </row>
    <row r="1061" spans="1:6" x14ac:dyDescent="0.35">
      <c r="A1061">
        <v>1024</v>
      </c>
      <c r="B1061" s="2">
        <v>45671.375085336993</v>
      </c>
      <c r="C1061" t="s">
        <v>11</v>
      </c>
      <c r="D1061" t="s">
        <v>22</v>
      </c>
      <c r="E1061" t="s">
        <v>23</v>
      </c>
      <c r="F1061">
        <v>2894.9</v>
      </c>
    </row>
    <row r="1062" spans="1:6" x14ac:dyDescent="0.35">
      <c r="A1062">
        <v>1241</v>
      </c>
      <c r="B1062" s="2">
        <v>45671.375085336993</v>
      </c>
      <c r="C1062" t="s">
        <v>8</v>
      </c>
      <c r="D1062" t="s">
        <v>21</v>
      </c>
      <c r="E1062" t="s">
        <v>23</v>
      </c>
      <c r="F1062">
        <v>2493.69</v>
      </c>
    </row>
    <row r="1063" spans="1:6" x14ac:dyDescent="0.35">
      <c r="A1063">
        <v>1209</v>
      </c>
      <c r="B1063" s="2">
        <v>45671.375085336993</v>
      </c>
      <c r="C1063" t="s">
        <v>6</v>
      </c>
      <c r="D1063" t="s">
        <v>20</v>
      </c>
      <c r="E1063" t="s">
        <v>23</v>
      </c>
      <c r="F1063">
        <v>2780.55</v>
      </c>
    </row>
    <row r="1064" spans="1:6" x14ac:dyDescent="0.35">
      <c r="A1064">
        <v>1323</v>
      </c>
      <c r="B1064" s="2">
        <v>45671.375085336993</v>
      </c>
      <c r="C1064" t="s">
        <v>13</v>
      </c>
      <c r="D1064" t="s">
        <v>22</v>
      </c>
      <c r="E1064" t="s">
        <v>23</v>
      </c>
      <c r="F1064">
        <v>6451.87</v>
      </c>
    </row>
    <row r="1065" spans="1:6" x14ac:dyDescent="0.35">
      <c r="A1065">
        <v>1053</v>
      </c>
      <c r="B1065" s="2">
        <v>45672.375085336993</v>
      </c>
      <c r="C1065" t="s">
        <v>9</v>
      </c>
      <c r="D1065" t="s">
        <v>18</v>
      </c>
      <c r="E1065" t="s">
        <v>23</v>
      </c>
      <c r="F1065">
        <v>3592.73</v>
      </c>
    </row>
    <row r="1066" spans="1:6" x14ac:dyDescent="0.35">
      <c r="A1066">
        <v>1089</v>
      </c>
      <c r="B1066" s="2">
        <v>45672.375085336993</v>
      </c>
      <c r="C1066" t="s">
        <v>10</v>
      </c>
      <c r="D1066" t="s">
        <v>20</v>
      </c>
      <c r="E1066" t="s">
        <v>24</v>
      </c>
      <c r="F1066">
        <v>5079.91</v>
      </c>
    </row>
    <row r="1067" spans="1:6" x14ac:dyDescent="0.35">
      <c r="A1067">
        <v>1315</v>
      </c>
      <c r="B1067" s="2">
        <v>45672.375085336993</v>
      </c>
      <c r="C1067" t="s">
        <v>15</v>
      </c>
      <c r="D1067" t="s">
        <v>16</v>
      </c>
      <c r="E1067" t="s">
        <v>23</v>
      </c>
      <c r="F1067">
        <v>4372.47</v>
      </c>
    </row>
    <row r="1068" spans="1:6" x14ac:dyDescent="0.35">
      <c r="A1068">
        <v>1307</v>
      </c>
      <c r="B1068" s="2">
        <v>45673.375085336993</v>
      </c>
      <c r="C1068" t="s">
        <v>14</v>
      </c>
      <c r="D1068" t="s">
        <v>16</v>
      </c>
      <c r="E1068" t="s">
        <v>25</v>
      </c>
      <c r="F1068">
        <v>5562.98</v>
      </c>
    </row>
    <row r="1069" spans="1:6" x14ac:dyDescent="0.35">
      <c r="A1069">
        <v>1159</v>
      </c>
      <c r="B1069" s="2">
        <v>45673.375085336993</v>
      </c>
      <c r="C1069" t="s">
        <v>10</v>
      </c>
      <c r="D1069" t="s">
        <v>21</v>
      </c>
      <c r="E1069" t="s">
        <v>24</v>
      </c>
      <c r="F1069">
        <v>6171.15</v>
      </c>
    </row>
    <row r="1070" spans="1:6" x14ac:dyDescent="0.35">
      <c r="A1070">
        <v>1146</v>
      </c>
      <c r="B1070" s="2">
        <v>45673.375085336993</v>
      </c>
      <c r="C1070" t="s">
        <v>13</v>
      </c>
      <c r="D1070" t="s">
        <v>20</v>
      </c>
      <c r="E1070" t="s">
        <v>25</v>
      </c>
      <c r="F1070">
        <v>9617.76</v>
      </c>
    </row>
    <row r="1071" spans="1:6" x14ac:dyDescent="0.35">
      <c r="A1071">
        <v>1393</v>
      </c>
      <c r="B1071" s="2">
        <v>45673.375085336993</v>
      </c>
      <c r="C1071" t="s">
        <v>8</v>
      </c>
      <c r="D1071" t="s">
        <v>21</v>
      </c>
      <c r="E1071" t="s">
        <v>24</v>
      </c>
      <c r="F1071">
        <v>2786.9</v>
      </c>
    </row>
    <row r="1072" spans="1:6" x14ac:dyDescent="0.35">
      <c r="A1072">
        <v>1141</v>
      </c>
      <c r="B1072" s="2">
        <v>45673.375085336993</v>
      </c>
      <c r="C1072" t="s">
        <v>7</v>
      </c>
      <c r="D1072" t="s">
        <v>22</v>
      </c>
      <c r="E1072" t="s">
        <v>25</v>
      </c>
      <c r="F1072">
        <v>686.24</v>
      </c>
    </row>
    <row r="1073" spans="1:6" x14ac:dyDescent="0.35">
      <c r="A1073">
        <v>1262</v>
      </c>
      <c r="B1073" s="2">
        <v>45673.375085336993</v>
      </c>
      <c r="C1073" t="s">
        <v>9</v>
      </c>
      <c r="D1073" t="s">
        <v>19</v>
      </c>
      <c r="E1073" t="s">
        <v>25</v>
      </c>
      <c r="F1073">
        <v>2907.7</v>
      </c>
    </row>
    <row r="1074" spans="1:6" x14ac:dyDescent="0.35">
      <c r="A1074">
        <v>1100</v>
      </c>
      <c r="B1074" s="2">
        <v>45673.375085336993</v>
      </c>
      <c r="C1074" t="s">
        <v>13</v>
      </c>
      <c r="D1074" t="s">
        <v>19</v>
      </c>
      <c r="E1074" t="s">
        <v>24</v>
      </c>
      <c r="F1074">
        <v>874.32</v>
      </c>
    </row>
    <row r="1075" spans="1:6" x14ac:dyDescent="0.35">
      <c r="A1075">
        <v>1129</v>
      </c>
      <c r="B1075" s="2">
        <v>45674.375085336993</v>
      </c>
      <c r="C1075" t="s">
        <v>10</v>
      </c>
      <c r="D1075" t="s">
        <v>18</v>
      </c>
      <c r="E1075" t="s">
        <v>23</v>
      </c>
      <c r="F1075">
        <v>7820.26</v>
      </c>
    </row>
    <row r="1076" spans="1:6" x14ac:dyDescent="0.35">
      <c r="A1076">
        <v>1358</v>
      </c>
      <c r="B1076" s="2">
        <v>45674.375085336993</v>
      </c>
      <c r="C1076" t="s">
        <v>10</v>
      </c>
      <c r="D1076" t="s">
        <v>22</v>
      </c>
      <c r="E1076" t="s">
        <v>25</v>
      </c>
      <c r="F1076">
        <v>4392.25</v>
      </c>
    </row>
    <row r="1077" spans="1:6" x14ac:dyDescent="0.35">
      <c r="A1077">
        <v>1345</v>
      </c>
      <c r="B1077" s="2">
        <v>45674.375085336993</v>
      </c>
      <c r="C1077" t="s">
        <v>6</v>
      </c>
      <c r="D1077" t="s">
        <v>16</v>
      </c>
      <c r="E1077" t="s">
        <v>23</v>
      </c>
      <c r="F1077">
        <v>4313.76</v>
      </c>
    </row>
    <row r="1078" spans="1:6" x14ac:dyDescent="0.35">
      <c r="A1078">
        <v>1003</v>
      </c>
      <c r="B1078" s="2">
        <v>45674.375085336993</v>
      </c>
      <c r="C1078" t="s">
        <v>9</v>
      </c>
      <c r="D1078" t="s">
        <v>16</v>
      </c>
      <c r="E1078" t="s">
        <v>23</v>
      </c>
      <c r="F1078">
        <v>4629.1400000000003</v>
      </c>
    </row>
    <row r="1079" spans="1:6" x14ac:dyDescent="0.35">
      <c r="A1079">
        <v>1358</v>
      </c>
      <c r="B1079" s="2">
        <v>45674.375085336993</v>
      </c>
      <c r="C1079" t="s">
        <v>7</v>
      </c>
      <c r="D1079" t="s">
        <v>16</v>
      </c>
      <c r="E1079" t="s">
        <v>24</v>
      </c>
      <c r="F1079">
        <v>3663.42</v>
      </c>
    </row>
    <row r="1080" spans="1:6" x14ac:dyDescent="0.35">
      <c r="A1080">
        <v>1007</v>
      </c>
      <c r="B1080" s="2">
        <v>45675.375085336993</v>
      </c>
      <c r="C1080" t="s">
        <v>9</v>
      </c>
      <c r="D1080" t="s">
        <v>17</v>
      </c>
      <c r="E1080" t="s">
        <v>23</v>
      </c>
      <c r="F1080">
        <v>5810.42</v>
      </c>
    </row>
    <row r="1081" spans="1:6" x14ac:dyDescent="0.35">
      <c r="A1081">
        <v>1086</v>
      </c>
      <c r="B1081" s="2">
        <v>45675.375085336993</v>
      </c>
      <c r="C1081" t="s">
        <v>13</v>
      </c>
      <c r="D1081" t="s">
        <v>21</v>
      </c>
      <c r="E1081" t="s">
        <v>23</v>
      </c>
      <c r="F1081">
        <v>2160.6999999999998</v>
      </c>
    </row>
    <row r="1082" spans="1:6" x14ac:dyDescent="0.35">
      <c r="A1082">
        <v>1279</v>
      </c>
      <c r="B1082" s="2">
        <v>45675.375085336993</v>
      </c>
      <c r="C1082" t="s">
        <v>7</v>
      </c>
      <c r="D1082" t="s">
        <v>20</v>
      </c>
      <c r="E1082" t="s">
        <v>25</v>
      </c>
      <c r="F1082">
        <v>2387.89</v>
      </c>
    </row>
    <row r="1083" spans="1:6" x14ac:dyDescent="0.35">
      <c r="A1083">
        <v>1363</v>
      </c>
      <c r="B1083" s="2">
        <v>45675.375085336993</v>
      </c>
      <c r="C1083" t="s">
        <v>6</v>
      </c>
      <c r="D1083" t="s">
        <v>18</v>
      </c>
      <c r="E1083" t="s">
        <v>23</v>
      </c>
      <c r="F1083">
        <v>3425.83</v>
      </c>
    </row>
    <row r="1084" spans="1:6" x14ac:dyDescent="0.35">
      <c r="A1084">
        <v>1348</v>
      </c>
      <c r="B1084" s="2">
        <v>45675.375085336993</v>
      </c>
      <c r="C1084" t="s">
        <v>15</v>
      </c>
      <c r="D1084" t="s">
        <v>18</v>
      </c>
      <c r="E1084" t="s">
        <v>24</v>
      </c>
      <c r="F1084">
        <v>4533.59</v>
      </c>
    </row>
    <row r="1085" spans="1:6" x14ac:dyDescent="0.35">
      <c r="A1085">
        <v>1375</v>
      </c>
      <c r="B1085" s="2">
        <v>45676.375085336993</v>
      </c>
      <c r="C1085" t="s">
        <v>9</v>
      </c>
      <c r="D1085" t="s">
        <v>17</v>
      </c>
      <c r="E1085" t="s">
        <v>24</v>
      </c>
      <c r="F1085">
        <v>1384.55</v>
      </c>
    </row>
    <row r="1086" spans="1:6" x14ac:dyDescent="0.35">
      <c r="A1086">
        <v>1315</v>
      </c>
      <c r="B1086" s="2">
        <v>45676.375085336993</v>
      </c>
      <c r="C1086" t="s">
        <v>10</v>
      </c>
      <c r="D1086" t="s">
        <v>21</v>
      </c>
      <c r="E1086" t="s">
        <v>23</v>
      </c>
      <c r="F1086">
        <v>2813.05</v>
      </c>
    </row>
    <row r="1087" spans="1:6" x14ac:dyDescent="0.35">
      <c r="A1087">
        <v>1230</v>
      </c>
      <c r="B1087" s="2">
        <v>45676.375085336993</v>
      </c>
      <c r="C1087" t="s">
        <v>8</v>
      </c>
      <c r="D1087" t="s">
        <v>19</v>
      </c>
      <c r="E1087" t="s">
        <v>23</v>
      </c>
      <c r="F1087">
        <v>940.75</v>
      </c>
    </row>
    <row r="1088" spans="1:6" x14ac:dyDescent="0.35">
      <c r="A1088">
        <v>1174</v>
      </c>
      <c r="B1088" s="2">
        <v>45676.375085336993</v>
      </c>
      <c r="C1088" t="s">
        <v>13</v>
      </c>
      <c r="D1088" t="s">
        <v>19</v>
      </c>
      <c r="E1088" t="s">
        <v>25</v>
      </c>
      <c r="F1088">
        <v>3047.63</v>
      </c>
    </row>
    <row r="1089" spans="1:6" x14ac:dyDescent="0.35">
      <c r="A1089">
        <v>1009</v>
      </c>
      <c r="B1089" s="2">
        <v>45677.375085336993</v>
      </c>
      <c r="C1089" t="s">
        <v>9</v>
      </c>
      <c r="D1089" t="s">
        <v>18</v>
      </c>
      <c r="E1089" t="s">
        <v>25</v>
      </c>
      <c r="F1089">
        <v>605.85</v>
      </c>
    </row>
    <row r="1090" spans="1:6" x14ac:dyDescent="0.35">
      <c r="A1090">
        <v>1168</v>
      </c>
      <c r="B1090" s="2">
        <v>45677.375085336993</v>
      </c>
      <c r="C1090" t="s">
        <v>13</v>
      </c>
      <c r="D1090" t="s">
        <v>21</v>
      </c>
      <c r="E1090" t="s">
        <v>25</v>
      </c>
      <c r="F1090">
        <v>1019.3</v>
      </c>
    </row>
    <row r="1091" spans="1:6" x14ac:dyDescent="0.35">
      <c r="A1091">
        <v>1284</v>
      </c>
      <c r="B1091" s="2">
        <v>45677.375085336993</v>
      </c>
      <c r="C1091" t="s">
        <v>11</v>
      </c>
      <c r="D1091" t="s">
        <v>22</v>
      </c>
      <c r="E1091" t="s">
        <v>25</v>
      </c>
      <c r="F1091">
        <v>1795.53</v>
      </c>
    </row>
    <row r="1092" spans="1:6" x14ac:dyDescent="0.35">
      <c r="A1092">
        <v>1227</v>
      </c>
      <c r="B1092" s="2">
        <v>45677.375085336993</v>
      </c>
      <c r="C1092" t="s">
        <v>7</v>
      </c>
      <c r="D1092" t="s">
        <v>21</v>
      </c>
      <c r="E1092" t="s">
        <v>24</v>
      </c>
      <c r="F1092">
        <v>2194.44</v>
      </c>
    </row>
    <row r="1093" spans="1:6" x14ac:dyDescent="0.35">
      <c r="A1093">
        <v>1315</v>
      </c>
      <c r="B1093" s="2">
        <v>45678.375085336993</v>
      </c>
      <c r="C1093" t="s">
        <v>10</v>
      </c>
      <c r="D1093" t="s">
        <v>22</v>
      </c>
      <c r="E1093" t="s">
        <v>24</v>
      </c>
      <c r="F1093">
        <v>8203.99</v>
      </c>
    </row>
    <row r="1094" spans="1:6" x14ac:dyDescent="0.35">
      <c r="A1094">
        <v>1373</v>
      </c>
      <c r="B1094" s="2">
        <v>45678.375085336993</v>
      </c>
      <c r="C1094" t="s">
        <v>6</v>
      </c>
      <c r="D1094" t="s">
        <v>16</v>
      </c>
      <c r="E1094" t="s">
        <v>23</v>
      </c>
      <c r="F1094">
        <v>5208.3999999999996</v>
      </c>
    </row>
    <row r="1095" spans="1:6" x14ac:dyDescent="0.35">
      <c r="A1095">
        <v>1279</v>
      </c>
      <c r="B1095" s="2">
        <v>45678.375085336993</v>
      </c>
      <c r="C1095" t="s">
        <v>7</v>
      </c>
      <c r="D1095" t="s">
        <v>21</v>
      </c>
      <c r="E1095" t="s">
        <v>23</v>
      </c>
      <c r="F1095">
        <v>3563.71</v>
      </c>
    </row>
    <row r="1096" spans="1:6" x14ac:dyDescent="0.35">
      <c r="A1096">
        <v>1171</v>
      </c>
      <c r="B1096" s="2">
        <v>45678.375085336993</v>
      </c>
      <c r="C1096" t="s">
        <v>15</v>
      </c>
      <c r="D1096" t="s">
        <v>20</v>
      </c>
      <c r="E1096" t="s">
        <v>23</v>
      </c>
      <c r="F1096">
        <v>8208.19</v>
      </c>
    </row>
    <row r="1097" spans="1:6" x14ac:dyDescent="0.35">
      <c r="A1097">
        <v>1147</v>
      </c>
      <c r="B1097" s="2">
        <v>45678.375085336993</v>
      </c>
      <c r="C1097" t="s">
        <v>13</v>
      </c>
      <c r="D1097" t="s">
        <v>17</v>
      </c>
      <c r="E1097" t="s">
        <v>24</v>
      </c>
      <c r="F1097">
        <v>3867.03</v>
      </c>
    </row>
    <row r="1098" spans="1:6" x14ac:dyDescent="0.35">
      <c r="A1098">
        <v>1337</v>
      </c>
      <c r="B1098" s="2">
        <v>45678.375085336993</v>
      </c>
      <c r="C1098" t="s">
        <v>6</v>
      </c>
      <c r="D1098" t="s">
        <v>21</v>
      </c>
      <c r="E1098" t="s">
        <v>24</v>
      </c>
      <c r="F1098">
        <v>3357.21</v>
      </c>
    </row>
    <row r="1099" spans="1:6" x14ac:dyDescent="0.35">
      <c r="A1099">
        <v>1110</v>
      </c>
      <c r="B1099" s="2">
        <v>45679.375085336993</v>
      </c>
      <c r="C1099" t="s">
        <v>7</v>
      </c>
      <c r="D1099" t="s">
        <v>18</v>
      </c>
      <c r="E1099" t="s">
        <v>25</v>
      </c>
      <c r="F1099">
        <v>5447.51</v>
      </c>
    </row>
    <row r="1100" spans="1:6" x14ac:dyDescent="0.35">
      <c r="A1100">
        <v>1172</v>
      </c>
      <c r="B1100" s="2">
        <v>45679.375085336993</v>
      </c>
      <c r="C1100" t="s">
        <v>15</v>
      </c>
      <c r="D1100" t="s">
        <v>18</v>
      </c>
      <c r="E1100" t="s">
        <v>24</v>
      </c>
      <c r="F1100">
        <v>4541.47</v>
      </c>
    </row>
    <row r="1101" spans="1:6" x14ac:dyDescent="0.35">
      <c r="A1101">
        <v>1293</v>
      </c>
      <c r="B1101" s="2">
        <v>45679.375085336993</v>
      </c>
      <c r="C1101" t="s">
        <v>6</v>
      </c>
      <c r="D1101" t="s">
        <v>20</v>
      </c>
      <c r="E1101" t="s">
        <v>24</v>
      </c>
      <c r="F1101">
        <v>3399.06</v>
      </c>
    </row>
    <row r="1102" spans="1:6" x14ac:dyDescent="0.35">
      <c r="A1102">
        <v>1252</v>
      </c>
      <c r="B1102" s="2">
        <v>45680.375085336993</v>
      </c>
      <c r="C1102" t="s">
        <v>15</v>
      </c>
      <c r="D1102" t="s">
        <v>22</v>
      </c>
      <c r="E1102" t="s">
        <v>23</v>
      </c>
      <c r="F1102">
        <v>3227.05</v>
      </c>
    </row>
    <row r="1103" spans="1:6" x14ac:dyDescent="0.35">
      <c r="A1103">
        <v>1329</v>
      </c>
      <c r="B1103" s="2">
        <v>45680.375085336993</v>
      </c>
      <c r="C1103" t="s">
        <v>13</v>
      </c>
      <c r="D1103" t="s">
        <v>16</v>
      </c>
      <c r="E1103" t="s">
        <v>24</v>
      </c>
      <c r="F1103">
        <v>5454.69</v>
      </c>
    </row>
    <row r="1104" spans="1:6" x14ac:dyDescent="0.35">
      <c r="A1104">
        <v>1156</v>
      </c>
      <c r="B1104" s="2">
        <v>45681.375085336993</v>
      </c>
      <c r="C1104" t="s">
        <v>7</v>
      </c>
      <c r="D1104" t="s">
        <v>20</v>
      </c>
      <c r="E1104" t="s">
        <v>25</v>
      </c>
      <c r="F1104">
        <v>6119.95</v>
      </c>
    </row>
    <row r="1105" spans="1:6" x14ac:dyDescent="0.35">
      <c r="A1105">
        <v>1333</v>
      </c>
      <c r="B1105" s="2">
        <v>45681.375085336993</v>
      </c>
      <c r="C1105" t="s">
        <v>13</v>
      </c>
      <c r="D1105" t="s">
        <v>19</v>
      </c>
      <c r="E1105" t="s">
        <v>24</v>
      </c>
      <c r="F1105">
        <v>2205.1799999999998</v>
      </c>
    </row>
    <row r="1106" spans="1:6" x14ac:dyDescent="0.35">
      <c r="A1106">
        <v>1083</v>
      </c>
      <c r="B1106" s="2">
        <v>45681.375085336993</v>
      </c>
      <c r="C1106" t="s">
        <v>15</v>
      </c>
      <c r="D1106" t="s">
        <v>17</v>
      </c>
      <c r="E1106" t="s">
        <v>24</v>
      </c>
      <c r="F1106">
        <v>3209.45</v>
      </c>
    </row>
    <row r="1107" spans="1:6" x14ac:dyDescent="0.35">
      <c r="A1107">
        <v>1150</v>
      </c>
      <c r="B1107" s="2">
        <v>45681.375085336993</v>
      </c>
      <c r="C1107" t="s">
        <v>11</v>
      </c>
      <c r="D1107" t="s">
        <v>21</v>
      </c>
      <c r="E1107" t="s">
        <v>24</v>
      </c>
      <c r="F1107">
        <v>1650.12</v>
      </c>
    </row>
    <row r="1108" spans="1:6" x14ac:dyDescent="0.35">
      <c r="A1108">
        <v>1206</v>
      </c>
      <c r="B1108" s="2">
        <v>45681.375085336993</v>
      </c>
      <c r="C1108" t="s">
        <v>13</v>
      </c>
      <c r="D1108" t="s">
        <v>16</v>
      </c>
      <c r="E1108" t="s">
        <v>25</v>
      </c>
      <c r="F1108">
        <v>3417.58</v>
      </c>
    </row>
    <row r="1109" spans="1:6" x14ac:dyDescent="0.35">
      <c r="A1109">
        <v>1050</v>
      </c>
      <c r="B1109" s="2">
        <v>45681.375085336993</v>
      </c>
      <c r="C1109" t="s">
        <v>13</v>
      </c>
      <c r="D1109" t="s">
        <v>18</v>
      </c>
      <c r="E1109" t="s">
        <v>24</v>
      </c>
      <c r="F1109">
        <v>3714.98</v>
      </c>
    </row>
    <row r="1110" spans="1:6" x14ac:dyDescent="0.35">
      <c r="A1110">
        <v>1103</v>
      </c>
      <c r="B1110" s="2">
        <v>45682.375085336993</v>
      </c>
      <c r="C1110" t="s">
        <v>14</v>
      </c>
      <c r="D1110" t="s">
        <v>20</v>
      </c>
      <c r="E1110" t="s">
        <v>25</v>
      </c>
      <c r="F1110">
        <v>1002.49</v>
      </c>
    </row>
    <row r="1111" spans="1:6" x14ac:dyDescent="0.35">
      <c r="A1111">
        <v>1286</v>
      </c>
      <c r="B1111" s="2">
        <v>45682.375085336993</v>
      </c>
      <c r="C1111" t="s">
        <v>13</v>
      </c>
      <c r="D1111" t="s">
        <v>20</v>
      </c>
      <c r="E1111" t="s">
        <v>24</v>
      </c>
      <c r="F1111">
        <v>9397.5499999999993</v>
      </c>
    </row>
    <row r="1112" spans="1:6" x14ac:dyDescent="0.35">
      <c r="A1112">
        <v>1189</v>
      </c>
      <c r="B1112" s="2">
        <v>45682.375085336993</v>
      </c>
      <c r="C1112" t="s">
        <v>10</v>
      </c>
      <c r="D1112" t="s">
        <v>16</v>
      </c>
      <c r="E1112" t="s">
        <v>25</v>
      </c>
      <c r="F1112">
        <v>5024.68</v>
      </c>
    </row>
    <row r="1113" spans="1:6" x14ac:dyDescent="0.35">
      <c r="A1113">
        <v>1368</v>
      </c>
      <c r="B1113" s="2">
        <v>45682.375085336993</v>
      </c>
      <c r="C1113" t="s">
        <v>9</v>
      </c>
      <c r="D1113" t="s">
        <v>22</v>
      </c>
      <c r="E1113" t="s">
        <v>24</v>
      </c>
      <c r="F1113">
        <v>966.42</v>
      </c>
    </row>
    <row r="1114" spans="1:6" x14ac:dyDescent="0.35">
      <c r="A1114">
        <v>1314</v>
      </c>
      <c r="B1114" s="2">
        <v>45682.375085336993</v>
      </c>
      <c r="C1114" t="s">
        <v>9</v>
      </c>
      <c r="D1114" t="s">
        <v>19</v>
      </c>
      <c r="E1114" t="s">
        <v>24</v>
      </c>
      <c r="F1114">
        <v>3211.68</v>
      </c>
    </row>
    <row r="1115" spans="1:6" x14ac:dyDescent="0.35">
      <c r="A1115">
        <v>1055</v>
      </c>
      <c r="B1115" s="2">
        <v>45682.375085336993</v>
      </c>
      <c r="C1115" t="s">
        <v>7</v>
      </c>
      <c r="D1115" t="s">
        <v>22</v>
      </c>
      <c r="E1115" t="s">
        <v>24</v>
      </c>
      <c r="F1115">
        <v>5360.77</v>
      </c>
    </row>
    <row r="1116" spans="1:6" x14ac:dyDescent="0.35">
      <c r="A1116">
        <v>1053</v>
      </c>
      <c r="B1116" s="2">
        <v>45682.375085336993</v>
      </c>
      <c r="C1116" t="s">
        <v>14</v>
      </c>
      <c r="D1116" t="s">
        <v>22</v>
      </c>
      <c r="E1116" t="s">
        <v>24</v>
      </c>
      <c r="F1116">
        <v>7223.49</v>
      </c>
    </row>
    <row r="1117" spans="1:6" x14ac:dyDescent="0.35">
      <c r="A1117">
        <v>1375</v>
      </c>
      <c r="B1117" s="2">
        <v>45683.375085336993</v>
      </c>
      <c r="C1117" t="s">
        <v>9</v>
      </c>
      <c r="D1117" t="s">
        <v>16</v>
      </c>
      <c r="E1117" t="s">
        <v>23</v>
      </c>
      <c r="F1117">
        <v>5152.74</v>
      </c>
    </row>
    <row r="1118" spans="1:6" x14ac:dyDescent="0.35">
      <c r="A1118">
        <v>1062</v>
      </c>
      <c r="B1118" s="2">
        <v>45683.375085336993</v>
      </c>
      <c r="C1118" t="s">
        <v>9</v>
      </c>
      <c r="D1118" t="s">
        <v>20</v>
      </c>
      <c r="E1118" t="s">
        <v>24</v>
      </c>
      <c r="F1118">
        <v>3235.69</v>
      </c>
    </row>
    <row r="1119" spans="1:6" x14ac:dyDescent="0.35">
      <c r="A1119">
        <v>1111</v>
      </c>
      <c r="B1119" s="2">
        <v>45683.375085336993</v>
      </c>
      <c r="C1119" t="s">
        <v>12</v>
      </c>
      <c r="D1119" t="s">
        <v>16</v>
      </c>
      <c r="E1119" t="s">
        <v>24</v>
      </c>
      <c r="F1119">
        <v>372.29</v>
      </c>
    </row>
    <row r="1120" spans="1:6" x14ac:dyDescent="0.35">
      <c r="A1120">
        <v>1348</v>
      </c>
      <c r="B1120" s="2">
        <v>45683.375085336993</v>
      </c>
      <c r="C1120" t="s">
        <v>13</v>
      </c>
      <c r="D1120" t="s">
        <v>19</v>
      </c>
      <c r="E1120" t="s">
        <v>25</v>
      </c>
      <c r="F1120">
        <v>1409.26</v>
      </c>
    </row>
    <row r="1121" spans="1:6" x14ac:dyDescent="0.35">
      <c r="A1121">
        <v>1345</v>
      </c>
      <c r="B1121" s="2">
        <v>45683.375085336993</v>
      </c>
      <c r="C1121" t="s">
        <v>7</v>
      </c>
      <c r="D1121" t="s">
        <v>18</v>
      </c>
      <c r="E1121" t="s">
        <v>24</v>
      </c>
      <c r="F1121">
        <v>1382.92</v>
      </c>
    </row>
    <row r="1122" spans="1:6" x14ac:dyDescent="0.35">
      <c r="A1122">
        <v>1348</v>
      </c>
      <c r="B1122" s="2">
        <v>45684.375085336993</v>
      </c>
      <c r="C1122" t="s">
        <v>14</v>
      </c>
      <c r="D1122" t="s">
        <v>19</v>
      </c>
      <c r="E1122" t="s">
        <v>25</v>
      </c>
      <c r="F1122">
        <v>987.89</v>
      </c>
    </row>
    <row r="1123" spans="1:6" x14ac:dyDescent="0.35">
      <c r="A1123">
        <v>1086</v>
      </c>
      <c r="B1123" s="2">
        <v>45684.375085336993</v>
      </c>
      <c r="C1123" t="s">
        <v>10</v>
      </c>
      <c r="D1123" t="s">
        <v>18</v>
      </c>
      <c r="E1123" t="s">
        <v>24</v>
      </c>
      <c r="F1123">
        <v>2795.69</v>
      </c>
    </row>
    <row r="1124" spans="1:6" x14ac:dyDescent="0.35">
      <c r="A1124">
        <v>1046</v>
      </c>
      <c r="B1124" s="2">
        <v>45684.375085336993</v>
      </c>
      <c r="C1124" t="s">
        <v>15</v>
      </c>
      <c r="D1124" t="s">
        <v>16</v>
      </c>
      <c r="E1124" t="s">
        <v>23</v>
      </c>
      <c r="F1124">
        <v>6077.68</v>
      </c>
    </row>
    <row r="1125" spans="1:6" x14ac:dyDescent="0.35">
      <c r="A1125">
        <v>1189</v>
      </c>
      <c r="B1125" s="2">
        <v>45684.375085336993</v>
      </c>
      <c r="C1125" t="s">
        <v>12</v>
      </c>
      <c r="D1125" t="s">
        <v>20</v>
      </c>
      <c r="E1125" t="s">
        <v>23</v>
      </c>
      <c r="F1125">
        <v>1225.78</v>
      </c>
    </row>
    <row r="1126" spans="1:6" x14ac:dyDescent="0.35">
      <c r="A1126">
        <v>1172</v>
      </c>
      <c r="B1126" s="2">
        <v>45685.375085336993</v>
      </c>
      <c r="C1126" t="s">
        <v>9</v>
      </c>
      <c r="D1126" t="s">
        <v>22</v>
      </c>
      <c r="E1126" t="s">
        <v>24</v>
      </c>
      <c r="F1126">
        <v>1353.97</v>
      </c>
    </row>
    <row r="1127" spans="1:6" x14ac:dyDescent="0.35">
      <c r="A1127">
        <v>1221</v>
      </c>
      <c r="B1127" s="2">
        <v>45685.375085336993</v>
      </c>
      <c r="C1127" t="s">
        <v>14</v>
      </c>
      <c r="D1127" t="s">
        <v>16</v>
      </c>
      <c r="E1127" t="s">
        <v>24</v>
      </c>
      <c r="F1127">
        <v>2690.39</v>
      </c>
    </row>
    <row r="1128" spans="1:6" x14ac:dyDescent="0.35">
      <c r="A1128">
        <v>1381</v>
      </c>
      <c r="B1128" s="2">
        <v>45686.375085336993</v>
      </c>
      <c r="C1128" t="s">
        <v>8</v>
      </c>
      <c r="D1128" t="s">
        <v>20</v>
      </c>
      <c r="E1128" t="s">
        <v>23</v>
      </c>
      <c r="F1128">
        <v>3151.22</v>
      </c>
    </row>
    <row r="1129" spans="1:6" x14ac:dyDescent="0.35">
      <c r="A1129">
        <v>1036</v>
      </c>
      <c r="B1129" s="2">
        <v>45686.375085336993</v>
      </c>
      <c r="C1129" t="s">
        <v>15</v>
      </c>
      <c r="D1129" t="s">
        <v>16</v>
      </c>
      <c r="E1129" t="s">
        <v>23</v>
      </c>
      <c r="F1129">
        <v>1548.29</v>
      </c>
    </row>
    <row r="1130" spans="1:6" x14ac:dyDescent="0.35">
      <c r="A1130">
        <v>1029</v>
      </c>
      <c r="B1130" s="2">
        <v>45686.375085336993</v>
      </c>
      <c r="C1130" t="s">
        <v>15</v>
      </c>
      <c r="D1130" t="s">
        <v>18</v>
      </c>
      <c r="E1130" t="s">
        <v>23</v>
      </c>
      <c r="F1130">
        <v>1215.55</v>
      </c>
    </row>
    <row r="1131" spans="1:6" x14ac:dyDescent="0.35">
      <c r="A1131">
        <v>1052</v>
      </c>
      <c r="B1131" s="2">
        <v>45686.375085336993</v>
      </c>
      <c r="C1131" t="s">
        <v>10</v>
      </c>
      <c r="D1131" t="s">
        <v>16</v>
      </c>
      <c r="E1131" t="s">
        <v>25</v>
      </c>
      <c r="F1131">
        <v>539.66</v>
      </c>
    </row>
    <row r="1132" spans="1:6" x14ac:dyDescent="0.35">
      <c r="A1132">
        <v>1176</v>
      </c>
      <c r="B1132" s="2">
        <v>45687.375085336993</v>
      </c>
      <c r="C1132" t="s">
        <v>11</v>
      </c>
      <c r="D1132" t="s">
        <v>16</v>
      </c>
      <c r="E1132" t="s">
        <v>23</v>
      </c>
      <c r="F1132">
        <v>6600.27</v>
      </c>
    </row>
    <row r="1133" spans="1:6" x14ac:dyDescent="0.35">
      <c r="A1133">
        <v>1141</v>
      </c>
      <c r="B1133" s="2">
        <v>45687.375085336993</v>
      </c>
      <c r="C1133" t="s">
        <v>11</v>
      </c>
      <c r="D1133" t="s">
        <v>17</v>
      </c>
      <c r="E1133" t="s">
        <v>24</v>
      </c>
      <c r="F1133">
        <v>2125.09</v>
      </c>
    </row>
    <row r="1134" spans="1:6" x14ac:dyDescent="0.35">
      <c r="A1134">
        <v>1025</v>
      </c>
      <c r="B1134" s="2">
        <v>45687.375085336993</v>
      </c>
      <c r="C1134" t="s">
        <v>10</v>
      </c>
      <c r="D1134" t="s">
        <v>18</v>
      </c>
      <c r="E1134" t="s">
        <v>23</v>
      </c>
      <c r="F1134">
        <v>1444.64</v>
      </c>
    </row>
    <row r="1135" spans="1:6" x14ac:dyDescent="0.35">
      <c r="A1135">
        <v>1117</v>
      </c>
      <c r="B1135" s="2">
        <v>45687.375085336993</v>
      </c>
      <c r="C1135" t="s">
        <v>11</v>
      </c>
      <c r="D1135" t="s">
        <v>16</v>
      </c>
      <c r="E1135" t="s">
        <v>25</v>
      </c>
      <c r="F1135">
        <v>8128.72</v>
      </c>
    </row>
    <row r="1136" spans="1:6" x14ac:dyDescent="0.35">
      <c r="A1136">
        <v>1017</v>
      </c>
      <c r="B1136" s="2">
        <v>45688.375085336993</v>
      </c>
      <c r="C1136" t="s">
        <v>14</v>
      </c>
      <c r="D1136" t="s">
        <v>18</v>
      </c>
      <c r="E1136" t="s">
        <v>23</v>
      </c>
      <c r="F1136">
        <v>1804.08</v>
      </c>
    </row>
    <row r="1137" spans="1:6" x14ac:dyDescent="0.35">
      <c r="A1137">
        <v>1151</v>
      </c>
      <c r="B1137" s="2">
        <v>45688.375085336993</v>
      </c>
      <c r="C1137" t="s">
        <v>13</v>
      </c>
      <c r="D1137" t="s">
        <v>18</v>
      </c>
      <c r="E1137" t="s">
        <v>23</v>
      </c>
      <c r="F1137">
        <v>4662.78</v>
      </c>
    </row>
    <row r="1138" spans="1:6" x14ac:dyDescent="0.35">
      <c r="A1138">
        <v>1202</v>
      </c>
      <c r="B1138" s="2">
        <v>45688.375085336993</v>
      </c>
      <c r="C1138" t="s">
        <v>11</v>
      </c>
      <c r="D1138" t="s">
        <v>20</v>
      </c>
      <c r="E1138" t="s">
        <v>23</v>
      </c>
      <c r="F1138">
        <v>1683.24</v>
      </c>
    </row>
    <row r="1139" spans="1:6" x14ac:dyDescent="0.35">
      <c r="A1139">
        <v>1165</v>
      </c>
      <c r="B1139" s="2">
        <v>45688.375085336993</v>
      </c>
      <c r="C1139" t="s">
        <v>8</v>
      </c>
      <c r="D1139" t="s">
        <v>18</v>
      </c>
      <c r="E1139" t="s">
        <v>25</v>
      </c>
      <c r="F1139">
        <v>4790.99</v>
      </c>
    </row>
    <row r="1140" spans="1:6" x14ac:dyDescent="0.35">
      <c r="A1140">
        <v>1348</v>
      </c>
      <c r="B1140" s="2">
        <v>45688.375085336993</v>
      </c>
      <c r="C1140" t="s">
        <v>13</v>
      </c>
      <c r="D1140" t="s">
        <v>20</v>
      </c>
      <c r="E1140" t="s">
        <v>23</v>
      </c>
      <c r="F1140">
        <v>1718.72</v>
      </c>
    </row>
    <row r="1141" spans="1:6" x14ac:dyDescent="0.35">
      <c r="A1141">
        <v>1395</v>
      </c>
      <c r="B1141" s="2">
        <v>45688.375085336993</v>
      </c>
      <c r="C1141" t="s">
        <v>9</v>
      </c>
      <c r="D1141" t="s">
        <v>18</v>
      </c>
      <c r="E1141" t="s">
        <v>25</v>
      </c>
      <c r="F1141">
        <v>11239.49</v>
      </c>
    </row>
    <row r="1142" spans="1:6" x14ac:dyDescent="0.35">
      <c r="A1142">
        <v>1068</v>
      </c>
      <c r="B1142" s="2">
        <v>45688.375085336993</v>
      </c>
      <c r="C1142" t="s">
        <v>6</v>
      </c>
      <c r="D1142" t="s">
        <v>21</v>
      </c>
      <c r="E1142" t="s">
        <v>24</v>
      </c>
      <c r="F1142">
        <v>8791.42</v>
      </c>
    </row>
    <row r="1143" spans="1:6" x14ac:dyDescent="0.35">
      <c r="A1143">
        <v>1167</v>
      </c>
      <c r="B1143" s="2">
        <v>45688.375085336993</v>
      </c>
      <c r="C1143" t="s">
        <v>14</v>
      </c>
      <c r="D1143" t="s">
        <v>21</v>
      </c>
      <c r="E1143" t="s">
        <v>23</v>
      </c>
      <c r="F1143">
        <v>1551.48</v>
      </c>
    </row>
    <row r="1144" spans="1:6" x14ac:dyDescent="0.35">
      <c r="A1144">
        <v>1285</v>
      </c>
      <c r="B1144" s="2">
        <v>45688.375085336993</v>
      </c>
      <c r="C1144" t="s">
        <v>9</v>
      </c>
      <c r="D1144" t="s">
        <v>18</v>
      </c>
      <c r="E1144" t="s">
        <v>25</v>
      </c>
      <c r="F1144">
        <v>713.67</v>
      </c>
    </row>
    <row r="1145" spans="1:6" x14ac:dyDescent="0.35">
      <c r="A1145">
        <v>1081</v>
      </c>
      <c r="B1145" s="2">
        <v>45689.375085336993</v>
      </c>
      <c r="C1145" t="s">
        <v>8</v>
      </c>
      <c r="D1145" t="s">
        <v>18</v>
      </c>
      <c r="E1145" t="s">
        <v>23</v>
      </c>
      <c r="F1145">
        <v>3558.31</v>
      </c>
    </row>
    <row r="1146" spans="1:6" x14ac:dyDescent="0.35">
      <c r="A1146">
        <v>1146</v>
      </c>
      <c r="B1146" s="2">
        <v>45689.375085336993</v>
      </c>
      <c r="C1146" t="s">
        <v>11</v>
      </c>
      <c r="D1146" t="s">
        <v>16</v>
      </c>
      <c r="E1146" t="s">
        <v>23</v>
      </c>
      <c r="F1146">
        <v>502.7</v>
      </c>
    </row>
    <row r="1147" spans="1:6" x14ac:dyDescent="0.35">
      <c r="A1147">
        <v>1255</v>
      </c>
      <c r="B1147" s="2">
        <v>45689.375085336993</v>
      </c>
      <c r="C1147" t="s">
        <v>12</v>
      </c>
      <c r="D1147" t="s">
        <v>19</v>
      </c>
      <c r="E1147" t="s">
        <v>25</v>
      </c>
      <c r="F1147">
        <v>14168.34</v>
      </c>
    </row>
    <row r="1148" spans="1:6" x14ac:dyDescent="0.35">
      <c r="A1148">
        <v>1250</v>
      </c>
      <c r="B1148" s="2">
        <v>45689.375085336993</v>
      </c>
      <c r="C1148" t="s">
        <v>14</v>
      </c>
      <c r="D1148" t="s">
        <v>20</v>
      </c>
      <c r="E1148" t="s">
        <v>25</v>
      </c>
      <c r="F1148">
        <v>2525.17</v>
      </c>
    </row>
    <row r="1149" spans="1:6" x14ac:dyDescent="0.35">
      <c r="A1149">
        <v>1018</v>
      </c>
      <c r="B1149" s="2">
        <v>45690.375085336993</v>
      </c>
      <c r="C1149" t="s">
        <v>12</v>
      </c>
      <c r="D1149" t="s">
        <v>18</v>
      </c>
      <c r="E1149" t="s">
        <v>23</v>
      </c>
      <c r="F1149">
        <v>2175.58</v>
      </c>
    </row>
    <row r="1150" spans="1:6" x14ac:dyDescent="0.35">
      <c r="A1150">
        <v>1248</v>
      </c>
      <c r="B1150" s="2">
        <v>45690.375085336993</v>
      </c>
      <c r="C1150" t="s">
        <v>15</v>
      </c>
      <c r="D1150" t="s">
        <v>16</v>
      </c>
      <c r="E1150" t="s">
        <v>25</v>
      </c>
      <c r="F1150">
        <v>4479.8100000000004</v>
      </c>
    </row>
    <row r="1151" spans="1:6" x14ac:dyDescent="0.35">
      <c r="A1151">
        <v>1150</v>
      </c>
      <c r="B1151" s="2">
        <v>45691.375085336993</v>
      </c>
      <c r="C1151" t="s">
        <v>12</v>
      </c>
      <c r="D1151" t="s">
        <v>17</v>
      </c>
      <c r="E1151" t="s">
        <v>25</v>
      </c>
      <c r="F1151">
        <v>5793.12</v>
      </c>
    </row>
    <row r="1152" spans="1:6" x14ac:dyDescent="0.35">
      <c r="A1152">
        <v>1310</v>
      </c>
      <c r="B1152" s="2">
        <v>45691.375085336993</v>
      </c>
      <c r="C1152" t="s">
        <v>12</v>
      </c>
      <c r="D1152" t="s">
        <v>16</v>
      </c>
      <c r="E1152" t="s">
        <v>23</v>
      </c>
      <c r="F1152">
        <v>5354.19</v>
      </c>
    </row>
    <row r="1153" spans="1:6" x14ac:dyDescent="0.35">
      <c r="A1153">
        <v>1169</v>
      </c>
      <c r="B1153" s="2">
        <v>45691.375085336993</v>
      </c>
      <c r="C1153" t="s">
        <v>11</v>
      </c>
      <c r="D1153" t="s">
        <v>16</v>
      </c>
      <c r="E1153" t="s">
        <v>23</v>
      </c>
      <c r="F1153">
        <v>3766.21</v>
      </c>
    </row>
    <row r="1154" spans="1:6" x14ac:dyDescent="0.35">
      <c r="A1154">
        <v>1350</v>
      </c>
      <c r="B1154" s="2">
        <v>45692.375085336993</v>
      </c>
      <c r="C1154" t="s">
        <v>11</v>
      </c>
      <c r="D1154" t="s">
        <v>18</v>
      </c>
      <c r="E1154" t="s">
        <v>24</v>
      </c>
      <c r="F1154">
        <v>5511.13</v>
      </c>
    </row>
    <row r="1155" spans="1:6" x14ac:dyDescent="0.35">
      <c r="A1155">
        <v>1232</v>
      </c>
      <c r="B1155" s="2">
        <v>45692.375085336993</v>
      </c>
      <c r="C1155" t="s">
        <v>6</v>
      </c>
      <c r="D1155" t="s">
        <v>17</v>
      </c>
      <c r="E1155" t="s">
        <v>23</v>
      </c>
      <c r="F1155">
        <v>4947.3999999999996</v>
      </c>
    </row>
    <row r="1156" spans="1:6" x14ac:dyDescent="0.35">
      <c r="A1156">
        <v>1064</v>
      </c>
      <c r="B1156" s="2">
        <v>45692.375085336993</v>
      </c>
      <c r="C1156" t="s">
        <v>10</v>
      </c>
      <c r="D1156" t="s">
        <v>18</v>
      </c>
      <c r="E1156" t="s">
        <v>23</v>
      </c>
      <c r="F1156">
        <v>6904.18</v>
      </c>
    </row>
    <row r="1157" spans="1:6" x14ac:dyDescent="0.35">
      <c r="A1157">
        <v>1399</v>
      </c>
      <c r="B1157" s="2">
        <v>45692.375085336993</v>
      </c>
      <c r="C1157" t="s">
        <v>9</v>
      </c>
      <c r="D1157" t="s">
        <v>17</v>
      </c>
      <c r="E1157" t="s">
        <v>23</v>
      </c>
      <c r="F1157">
        <v>4891.6899999999996</v>
      </c>
    </row>
    <row r="1158" spans="1:6" x14ac:dyDescent="0.35">
      <c r="A1158">
        <v>1257</v>
      </c>
      <c r="B1158" s="2">
        <v>45693.375085336993</v>
      </c>
      <c r="C1158" t="s">
        <v>7</v>
      </c>
      <c r="D1158" t="s">
        <v>20</v>
      </c>
      <c r="E1158" t="s">
        <v>23</v>
      </c>
      <c r="F1158">
        <v>811.49</v>
      </c>
    </row>
    <row r="1159" spans="1:6" x14ac:dyDescent="0.35">
      <c r="A1159">
        <v>1353</v>
      </c>
      <c r="B1159" s="2">
        <v>45693.375085336993</v>
      </c>
      <c r="C1159" t="s">
        <v>9</v>
      </c>
      <c r="D1159" t="s">
        <v>17</v>
      </c>
      <c r="E1159" t="s">
        <v>24</v>
      </c>
      <c r="F1159">
        <v>1790.97</v>
      </c>
    </row>
    <row r="1160" spans="1:6" x14ac:dyDescent="0.35">
      <c r="A1160">
        <v>1343</v>
      </c>
      <c r="B1160" s="2">
        <v>45693.375085336993</v>
      </c>
      <c r="C1160" t="s">
        <v>6</v>
      </c>
      <c r="D1160" t="s">
        <v>17</v>
      </c>
      <c r="E1160" t="s">
        <v>25</v>
      </c>
      <c r="F1160">
        <v>1172.08</v>
      </c>
    </row>
    <row r="1161" spans="1:6" x14ac:dyDescent="0.35">
      <c r="A1161">
        <v>1027</v>
      </c>
      <c r="B1161" s="2">
        <v>45693.375085336993</v>
      </c>
      <c r="C1161" t="s">
        <v>12</v>
      </c>
      <c r="D1161" t="s">
        <v>20</v>
      </c>
      <c r="E1161" t="s">
        <v>24</v>
      </c>
      <c r="F1161">
        <v>2935.98</v>
      </c>
    </row>
    <row r="1162" spans="1:6" x14ac:dyDescent="0.35">
      <c r="A1162">
        <v>1210</v>
      </c>
      <c r="B1162" s="2">
        <v>45693.375085336993</v>
      </c>
      <c r="C1162" t="s">
        <v>10</v>
      </c>
      <c r="D1162" t="s">
        <v>21</v>
      </c>
      <c r="E1162" t="s">
        <v>23</v>
      </c>
      <c r="F1162">
        <v>2661.8</v>
      </c>
    </row>
    <row r="1163" spans="1:6" x14ac:dyDescent="0.35">
      <c r="A1163">
        <v>1209</v>
      </c>
      <c r="B1163" s="2">
        <v>45694.375085336993</v>
      </c>
      <c r="C1163" t="s">
        <v>15</v>
      </c>
      <c r="D1163" t="s">
        <v>21</v>
      </c>
      <c r="E1163" t="s">
        <v>24</v>
      </c>
      <c r="F1163">
        <v>2301.0700000000002</v>
      </c>
    </row>
    <row r="1164" spans="1:6" x14ac:dyDescent="0.35">
      <c r="A1164">
        <v>1014</v>
      </c>
      <c r="B1164" s="2">
        <v>45694.375085336993</v>
      </c>
      <c r="C1164" t="s">
        <v>14</v>
      </c>
      <c r="D1164" t="s">
        <v>21</v>
      </c>
      <c r="E1164" t="s">
        <v>25</v>
      </c>
      <c r="F1164">
        <v>7126.07</v>
      </c>
    </row>
    <row r="1165" spans="1:6" x14ac:dyDescent="0.35">
      <c r="A1165">
        <v>1162</v>
      </c>
      <c r="B1165" s="2">
        <v>45694.375085336993</v>
      </c>
      <c r="C1165" t="s">
        <v>7</v>
      </c>
      <c r="D1165" t="s">
        <v>22</v>
      </c>
      <c r="E1165" t="s">
        <v>24</v>
      </c>
      <c r="F1165">
        <v>4000.76</v>
      </c>
    </row>
    <row r="1166" spans="1:6" x14ac:dyDescent="0.35">
      <c r="A1166">
        <v>1359</v>
      </c>
      <c r="B1166" s="2">
        <v>45694.375085336993</v>
      </c>
      <c r="C1166" t="s">
        <v>11</v>
      </c>
      <c r="D1166" t="s">
        <v>22</v>
      </c>
      <c r="E1166" t="s">
        <v>24</v>
      </c>
      <c r="F1166">
        <v>712.03</v>
      </c>
    </row>
    <row r="1167" spans="1:6" x14ac:dyDescent="0.35">
      <c r="A1167">
        <v>1103</v>
      </c>
      <c r="B1167" s="2">
        <v>45694.375085336993</v>
      </c>
      <c r="C1167" t="s">
        <v>14</v>
      </c>
      <c r="D1167" t="s">
        <v>16</v>
      </c>
      <c r="E1167" t="s">
        <v>23</v>
      </c>
      <c r="F1167">
        <v>3389.81</v>
      </c>
    </row>
    <row r="1168" spans="1:6" x14ac:dyDescent="0.35">
      <c r="A1168">
        <v>1004</v>
      </c>
      <c r="B1168" s="2">
        <v>45695.375085336993</v>
      </c>
      <c r="C1168" t="s">
        <v>12</v>
      </c>
      <c r="D1168" t="s">
        <v>18</v>
      </c>
      <c r="E1168" t="s">
        <v>25</v>
      </c>
      <c r="F1168">
        <v>1100.49</v>
      </c>
    </row>
    <row r="1169" spans="1:6" x14ac:dyDescent="0.35">
      <c r="A1169">
        <v>1111</v>
      </c>
      <c r="B1169" s="2">
        <v>45695.375085336993</v>
      </c>
      <c r="C1169" t="s">
        <v>7</v>
      </c>
      <c r="D1169" t="s">
        <v>20</v>
      </c>
      <c r="E1169" t="s">
        <v>24</v>
      </c>
      <c r="F1169">
        <v>482.67</v>
      </c>
    </row>
    <row r="1170" spans="1:6" x14ac:dyDescent="0.35">
      <c r="A1170">
        <v>1051</v>
      </c>
      <c r="B1170" s="2">
        <v>45695.375085336993</v>
      </c>
      <c r="C1170" t="s">
        <v>12</v>
      </c>
      <c r="D1170" t="s">
        <v>16</v>
      </c>
      <c r="E1170" t="s">
        <v>25</v>
      </c>
      <c r="F1170">
        <v>1383.89</v>
      </c>
    </row>
    <row r="1171" spans="1:6" x14ac:dyDescent="0.35">
      <c r="A1171">
        <v>1165</v>
      </c>
      <c r="B1171" s="2">
        <v>45695.375085336993</v>
      </c>
      <c r="C1171" t="s">
        <v>14</v>
      </c>
      <c r="D1171" t="s">
        <v>20</v>
      </c>
      <c r="E1171" t="s">
        <v>24</v>
      </c>
      <c r="F1171">
        <v>8947.8799999999992</v>
      </c>
    </row>
    <row r="1172" spans="1:6" x14ac:dyDescent="0.35">
      <c r="A1172">
        <v>1130</v>
      </c>
      <c r="B1172" s="2">
        <v>45695.375085336993</v>
      </c>
      <c r="C1172" t="s">
        <v>11</v>
      </c>
      <c r="D1172" t="s">
        <v>19</v>
      </c>
      <c r="E1172" t="s">
        <v>23</v>
      </c>
      <c r="F1172">
        <v>4820.6000000000004</v>
      </c>
    </row>
    <row r="1173" spans="1:6" x14ac:dyDescent="0.35">
      <c r="A1173">
        <v>1088</v>
      </c>
      <c r="B1173" s="2">
        <v>45696.375085336993</v>
      </c>
      <c r="C1173" t="s">
        <v>6</v>
      </c>
      <c r="D1173" t="s">
        <v>18</v>
      </c>
      <c r="E1173" t="s">
        <v>24</v>
      </c>
      <c r="F1173">
        <v>3249.64</v>
      </c>
    </row>
    <row r="1174" spans="1:6" x14ac:dyDescent="0.35">
      <c r="A1174">
        <v>1398</v>
      </c>
      <c r="B1174" s="2">
        <v>45696.375085336993</v>
      </c>
      <c r="C1174" t="s">
        <v>13</v>
      </c>
      <c r="D1174" t="s">
        <v>17</v>
      </c>
      <c r="E1174" t="s">
        <v>23</v>
      </c>
      <c r="F1174">
        <v>2157.54</v>
      </c>
    </row>
    <row r="1175" spans="1:6" x14ac:dyDescent="0.35">
      <c r="A1175">
        <v>1077</v>
      </c>
      <c r="B1175" s="2">
        <v>45697.375085336993</v>
      </c>
      <c r="C1175" t="s">
        <v>11</v>
      </c>
      <c r="D1175" t="s">
        <v>18</v>
      </c>
      <c r="E1175" t="s">
        <v>24</v>
      </c>
      <c r="F1175">
        <v>3012.8</v>
      </c>
    </row>
    <row r="1176" spans="1:6" x14ac:dyDescent="0.35">
      <c r="A1176">
        <v>1386</v>
      </c>
      <c r="B1176" s="2">
        <v>45697.375085336993</v>
      </c>
      <c r="C1176" t="s">
        <v>9</v>
      </c>
      <c r="D1176" t="s">
        <v>17</v>
      </c>
      <c r="E1176" t="s">
        <v>24</v>
      </c>
      <c r="F1176">
        <v>2239.02</v>
      </c>
    </row>
    <row r="1177" spans="1:6" x14ac:dyDescent="0.35">
      <c r="A1177">
        <v>1049</v>
      </c>
      <c r="B1177" s="2">
        <v>45698.375085336993</v>
      </c>
      <c r="C1177" t="s">
        <v>9</v>
      </c>
      <c r="D1177" t="s">
        <v>22</v>
      </c>
      <c r="E1177" t="s">
        <v>23</v>
      </c>
      <c r="F1177">
        <v>1262.6500000000001</v>
      </c>
    </row>
    <row r="1178" spans="1:6" x14ac:dyDescent="0.35">
      <c r="A1178">
        <v>1229</v>
      </c>
      <c r="B1178" s="2">
        <v>45698.375085336993</v>
      </c>
      <c r="C1178" t="s">
        <v>9</v>
      </c>
      <c r="D1178" t="s">
        <v>18</v>
      </c>
      <c r="E1178" t="s">
        <v>23</v>
      </c>
      <c r="F1178">
        <v>6253.7</v>
      </c>
    </row>
    <row r="1179" spans="1:6" x14ac:dyDescent="0.35">
      <c r="A1179">
        <v>1238</v>
      </c>
      <c r="B1179" s="2">
        <v>45698.375085336993</v>
      </c>
      <c r="C1179" t="s">
        <v>13</v>
      </c>
      <c r="D1179" t="s">
        <v>19</v>
      </c>
      <c r="E1179" t="s">
        <v>24</v>
      </c>
      <c r="F1179">
        <v>4908.7700000000004</v>
      </c>
    </row>
    <row r="1180" spans="1:6" x14ac:dyDescent="0.35">
      <c r="A1180">
        <v>1267</v>
      </c>
      <c r="B1180" s="2">
        <v>45699.375085336993</v>
      </c>
      <c r="C1180" t="s">
        <v>10</v>
      </c>
      <c r="D1180" t="s">
        <v>22</v>
      </c>
      <c r="E1180" t="s">
        <v>24</v>
      </c>
      <c r="F1180">
        <v>1473.6</v>
      </c>
    </row>
    <row r="1181" spans="1:6" x14ac:dyDescent="0.35">
      <c r="A1181">
        <v>1033</v>
      </c>
      <c r="B1181" s="2">
        <v>45699.375085336993</v>
      </c>
      <c r="C1181" t="s">
        <v>13</v>
      </c>
      <c r="D1181" t="s">
        <v>17</v>
      </c>
      <c r="E1181" t="s">
        <v>25</v>
      </c>
      <c r="F1181">
        <v>7481.09</v>
      </c>
    </row>
    <row r="1182" spans="1:6" x14ac:dyDescent="0.35">
      <c r="A1182">
        <v>1027</v>
      </c>
      <c r="B1182" s="2">
        <v>45699.375085336993</v>
      </c>
      <c r="C1182" t="s">
        <v>9</v>
      </c>
      <c r="D1182" t="s">
        <v>22</v>
      </c>
      <c r="E1182" t="s">
        <v>23</v>
      </c>
      <c r="F1182">
        <v>1214.7</v>
      </c>
    </row>
    <row r="1183" spans="1:6" x14ac:dyDescent="0.35">
      <c r="A1183">
        <v>1066</v>
      </c>
      <c r="B1183" s="2">
        <v>45699.375085336993</v>
      </c>
      <c r="C1183" t="s">
        <v>14</v>
      </c>
      <c r="D1183" t="s">
        <v>20</v>
      </c>
      <c r="E1183" t="s">
        <v>24</v>
      </c>
      <c r="F1183">
        <v>5597.07</v>
      </c>
    </row>
    <row r="1184" spans="1:6" x14ac:dyDescent="0.35">
      <c r="A1184">
        <v>1048</v>
      </c>
      <c r="B1184" s="2">
        <v>45699.375085336993</v>
      </c>
      <c r="C1184" t="s">
        <v>8</v>
      </c>
      <c r="D1184" t="s">
        <v>20</v>
      </c>
      <c r="E1184" t="s">
        <v>24</v>
      </c>
      <c r="F1184">
        <v>5381.97</v>
      </c>
    </row>
    <row r="1185" spans="1:6" x14ac:dyDescent="0.35">
      <c r="A1185">
        <v>1269</v>
      </c>
      <c r="B1185" s="2">
        <v>45700.375085336993</v>
      </c>
      <c r="C1185" t="s">
        <v>9</v>
      </c>
      <c r="D1185" t="s">
        <v>18</v>
      </c>
      <c r="E1185" t="s">
        <v>25</v>
      </c>
      <c r="F1185">
        <v>685.38</v>
      </c>
    </row>
    <row r="1186" spans="1:6" x14ac:dyDescent="0.35">
      <c r="A1186">
        <v>1259</v>
      </c>
      <c r="B1186" s="2">
        <v>45700.375085336993</v>
      </c>
      <c r="C1186" t="s">
        <v>14</v>
      </c>
      <c r="D1186" t="s">
        <v>18</v>
      </c>
      <c r="E1186" t="s">
        <v>25</v>
      </c>
      <c r="F1186">
        <v>5227.8900000000003</v>
      </c>
    </row>
    <row r="1187" spans="1:6" x14ac:dyDescent="0.35">
      <c r="A1187">
        <v>1019</v>
      </c>
      <c r="B1187" s="2">
        <v>45700.375085336993</v>
      </c>
      <c r="C1187" t="s">
        <v>8</v>
      </c>
      <c r="D1187" t="s">
        <v>18</v>
      </c>
      <c r="E1187" t="s">
        <v>24</v>
      </c>
      <c r="F1187">
        <v>5393.15</v>
      </c>
    </row>
    <row r="1188" spans="1:6" x14ac:dyDescent="0.35">
      <c r="A1188">
        <v>1334</v>
      </c>
      <c r="B1188" s="2">
        <v>45700.375085336993</v>
      </c>
      <c r="C1188" t="s">
        <v>14</v>
      </c>
      <c r="D1188" t="s">
        <v>16</v>
      </c>
      <c r="E1188" t="s">
        <v>25</v>
      </c>
      <c r="F1188">
        <v>8014.12</v>
      </c>
    </row>
    <row r="1189" spans="1:6" x14ac:dyDescent="0.35">
      <c r="A1189">
        <v>1078</v>
      </c>
      <c r="B1189" s="2">
        <v>45700.375085336993</v>
      </c>
      <c r="C1189" t="s">
        <v>13</v>
      </c>
      <c r="D1189" t="s">
        <v>16</v>
      </c>
      <c r="E1189" t="s">
        <v>25</v>
      </c>
      <c r="F1189">
        <v>4165.1400000000003</v>
      </c>
    </row>
    <row r="1190" spans="1:6" x14ac:dyDescent="0.35">
      <c r="A1190">
        <v>1118</v>
      </c>
      <c r="B1190" s="2">
        <v>45701.375085336993</v>
      </c>
      <c r="C1190" t="s">
        <v>12</v>
      </c>
      <c r="D1190" t="s">
        <v>17</v>
      </c>
      <c r="E1190" t="s">
        <v>25</v>
      </c>
      <c r="F1190">
        <v>871.39</v>
      </c>
    </row>
    <row r="1191" spans="1:6" x14ac:dyDescent="0.35">
      <c r="A1191">
        <v>1118</v>
      </c>
      <c r="B1191" s="2">
        <v>45701.375085336993</v>
      </c>
      <c r="C1191" t="s">
        <v>11</v>
      </c>
      <c r="D1191" t="s">
        <v>16</v>
      </c>
      <c r="E1191" t="s">
        <v>24</v>
      </c>
      <c r="F1191">
        <v>3413.38</v>
      </c>
    </row>
    <row r="1192" spans="1:6" x14ac:dyDescent="0.35">
      <c r="A1192">
        <v>1276</v>
      </c>
      <c r="B1192" s="2">
        <v>45701.375085336993</v>
      </c>
      <c r="C1192" t="s">
        <v>6</v>
      </c>
      <c r="D1192" t="s">
        <v>20</v>
      </c>
      <c r="E1192" t="s">
        <v>24</v>
      </c>
      <c r="F1192">
        <v>6373.37</v>
      </c>
    </row>
    <row r="1193" spans="1:6" x14ac:dyDescent="0.35">
      <c r="A1193">
        <v>1304</v>
      </c>
      <c r="B1193" s="2">
        <v>45701.375085336993</v>
      </c>
      <c r="C1193" t="s">
        <v>6</v>
      </c>
      <c r="D1193" t="s">
        <v>20</v>
      </c>
      <c r="E1193" t="s">
        <v>24</v>
      </c>
      <c r="F1193">
        <v>4694.58</v>
      </c>
    </row>
    <row r="1194" spans="1:6" x14ac:dyDescent="0.35">
      <c r="A1194">
        <v>1332</v>
      </c>
      <c r="B1194" s="2">
        <v>45701.375085336993</v>
      </c>
      <c r="C1194" t="s">
        <v>15</v>
      </c>
      <c r="D1194" t="s">
        <v>22</v>
      </c>
      <c r="E1194" t="s">
        <v>23</v>
      </c>
      <c r="F1194">
        <v>3630.8</v>
      </c>
    </row>
    <row r="1195" spans="1:6" x14ac:dyDescent="0.35">
      <c r="A1195">
        <v>1001</v>
      </c>
      <c r="B1195" s="2">
        <v>45702.375085336993</v>
      </c>
      <c r="C1195" t="s">
        <v>6</v>
      </c>
      <c r="D1195" t="s">
        <v>17</v>
      </c>
      <c r="E1195" t="s">
        <v>25</v>
      </c>
      <c r="F1195">
        <v>1368.78</v>
      </c>
    </row>
    <row r="1196" spans="1:6" x14ac:dyDescent="0.35">
      <c r="A1196">
        <v>1031</v>
      </c>
      <c r="B1196" s="2">
        <v>45703.375085336993</v>
      </c>
      <c r="C1196" t="s">
        <v>10</v>
      </c>
      <c r="D1196" t="s">
        <v>19</v>
      </c>
      <c r="E1196" t="s">
        <v>24</v>
      </c>
      <c r="F1196">
        <v>2900.69</v>
      </c>
    </row>
    <row r="1197" spans="1:6" x14ac:dyDescent="0.35">
      <c r="A1197">
        <v>1390</v>
      </c>
      <c r="B1197" s="2">
        <v>45704.375085336993</v>
      </c>
      <c r="C1197" t="s">
        <v>6</v>
      </c>
      <c r="D1197" t="s">
        <v>20</v>
      </c>
      <c r="E1197" t="s">
        <v>24</v>
      </c>
      <c r="F1197">
        <v>7099.75</v>
      </c>
    </row>
    <row r="1198" spans="1:6" x14ac:dyDescent="0.35">
      <c r="A1198">
        <v>1061</v>
      </c>
      <c r="B1198" s="2">
        <v>45704.375085336993</v>
      </c>
      <c r="C1198" t="s">
        <v>8</v>
      </c>
      <c r="D1198" t="s">
        <v>17</v>
      </c>
      <c r="E1198" t="s">
        <v>25</v>
      </c>
      <c r="F1198">
        <v>4042.48</v>
      </c>
    </row>
    <row r="1199" spans="1:6" x14ac:dyDescent="0.35">
      <c r="A1199">
        <v>1258</v>
      </c>
      <c r="B1199" s="2">
        <v>45704.375085336993</v>
      </c>
      <c r="C1199" t="s">
        <v>15</v>
      </c>
      <c r="D1199" t="s">
        <v>18</v>
      </c>
      <c r="E1199" t="s">
        <v>25</v>
      </c>
      <c r="F1199">
        <v>8485.7199999999993</v>
      </c>
    </row>
    <row r="1200" spans="1:6" x14ac:dyDescent="0.35">
      <c r="A1200">
        <v>1012</v>
      </c>
      <c r="B1200" s="2">
        <v>45705.375085336993</v>
      </c>
      <c r="C1200" t="s">
        <v>6</v>
      </c>
      <c r="D1200" t="s">
        <v>18</v>
      </c>
      <c r="E1200" t="s">
        <v>23</v>
      </c>
      <c r="F1200">
        <v>8729.25</v>
      </c>
    </row>
    <row r="1201" spans="1:6" x14ac:dyDescent="0.35">
      <c r="A1201">
        <v>1368</v>
      </c>
      <c r="B1201" s="2">
        <v>45705.375085336993</v>
      </c>
      <c r="C1201" t="s">
        <v>11</v>
      </c>
      <c r="D1201" t="s">
        <v>21</v>
      </c>
      <c r="E1201" t="s">
        <v>24</v>
      </c>
      <c r="F1201">
        <v>8001.63</v>
      </c>
    </row>
    <row r="1202" spans="1:6" x14ac:dyDescent="0.35">
      <c r="A1202">
        <v>1261</v>
      </c>
      <c r="B1202" s="2">
        <v>45705.375085336993</v>
      </c>
      <c r="C1202" t="s">
        <v>13</v>
      </c>
      <c r="D1202" t="s">
        <v>20</v>
      </c>
      <c r="E1202" t="s">
        <v>23</v>
      </c>
      <c r="F1202">
        <v>2553.12</v>
      </c>
    </row>
    <row r="1203" spans="1:6" x14ac:dyDescent="0.35">
      <c r="A1203">
        <v>1179</v>
      </c>
      <c r="B1203" s="2">
        <v>45706.375085336993</v>
      </c>
      <c r="C1203" t="s">
        <v>6</v>
      </c>
      <c r="D1203" t="s">
        <v>22</v>
      </c>
      <c r="E1203" t="s">
        <v>24</v>
      </c>
      <c r="F1203">
        <v>8777.11</v>
      </c>
    </row>
    <row r="1204" spans="1:6" x14ac:dyDescent="0.35">
      <c r="A1204">
        <v>1324</v>
      </c>
      <c r="B1204" s="2">
        <v>45706.375085336993</v>
      </c>
      <c r="C1204" t="s">
        <v>15</v>
      </c>
      <c r="D1204" t="s">
        <v>19</v>
      </c>
      <c r="E1204" t="s">
        <v>25</v>
      </c>
      <c r="F1204">
        <v>3126.18</v>
      </c>
    </row>
    <row r="1205" spans="1:6" x14ac:dyDescent="0.35">
      <c r="A1205">
        <v>1268</v>
      </c>
      <c r="B1205" s="2">
        <v>45706.375085336993</v>
      </c>
      <c r="C1205" t="s">
        <v>9</v>
      </c>
      <c r="D1205" t="s">
        <v>16</v>
      </c>
      <c r="E1205" t="s">
        <v>23</v>
      </c>
      <c r="F1205">
        <v>3975.02</v>
      </c>
    </row>
    <row r="1206" spans="1:6" x14ac:dyDescent="0.35">
      <c r="A1206">
        <v>1228</v>
      </c>
      <c r="B1206" s="2">
        <v>45706.375085336993</v>
      </c>
      <c r="C1206" t="s">
        <v>8</v>
      </c>
      <c r="D1206" t="s">
        <v>18</v>
      </c>
      <c r="E1206" t="s">
        <v>24</v>
      </c>
      <c r="F1206">
        <v>5894.52</v>
      </c>
    </row>
    <row r="1207" spans="1:6" x14ac:dyDescent="0.35">
      <c r="A1207">
        <v>1393</v>
      </c>
      <c r="B1207" s="2">
        <v>45707.375085336993</v>
      </c>
      <c r="C1207" t="s">
        <v>14</v>
      </c>
      <c r="D1207" t="s">
        <v>21</v>
      </c>
      <c r="E1207" t="s">
        <v>25</v>
      </c>
      <c r="F1207">
        <v>5550</v>
      </c>
    </row>
    <row r="1208" spans="1:6" x14ac:dyDescent="0.35">
      <c r="A1208">
        <v>1175</v>
      </c>
      <c r="B1208" s="2">
        <v>45707.375085336993</v>
      </c>
      <c r="C1208" t="s">
        <v>15</v>
      </c>
      <c r="D1208" t="s">
        <v>22</v>
      </c>
      <c r="E1208" t="s">
        <v>24</v>
      </c>
      <c r="F1208">
        <v>1672.82</v>
      </c>
    </row>
    <row r="1209" spans="1:6" x14ac:dyDescent="0.35">
      <c r="A1209">
        <v>1191</v>
      </c>
      <c r="B1209" s="2">
        <v>45707.375085336993</v>
      </c>
      <c r="C1209" t="s">
        <v>12</v>
      </c>
      <c r="D1209" t="s">
        <v>16</v>
      </c>
      <c r="E1209" t="s">
        <v>24</v>
      </c>
      <c r="F1209">
        <v>653.09</v>
      </c>
    </row>
    <row r="1210" spans="1:6" x14ac:dyDescent="0.35">
      <c r="A1210">
        <v>1050</v>
      </c>
      <c r="B1210" s="2">
        <v>45707.375085336993</v>
      </c>
      <c r="C1210" t="s">
        <v>15</v>
      </c>
      <c r="D1210" t="s">
        <v>16</v>
      </c>
      <c r="E1210" t="s">
        <v>24</v>
      </c>
      <c r="F1210">
        <v>751.57</v>
      </c>
    </row>
    <row r="1211" spans="1:6" x14ac:dyDescent="0.35">
      <c r="A1211">
        <v>1081</v>
      </c>
      <c r="B1211" s="2">
        <v>45707.375085336993</v>
      </c>
      <c r="C1211" t="s">
        <v>10</v>
      </c>
      <c r="D1211" t="s">
        <v>19</v>
      </c>
      <c r="E1211" t="s">
        <v>24</v>
      </c>
      <c r="F1211">
        <v>3533.07</v>
      </c>
    </row>
    <row r="1212" spans="1:6" x14ac:dyDescent="0.35">
      <c r="A1212">
        <v>1288</v>
      </c>
      <c r="B1212" s="2">
        <v>45707.375085336993</v>
      </c>
      <c r="C1212" t="s">
        <v>12</v>
      </c>
      <c r="D1212" t="s">
        <v>20</v>
      </c>
      <c r="E1212" t="s">
        <v>24</v>
      </c>
      <c r="F1212">
        <v>6820.2</v>
      </c>
    </row>
    <row r="1213" spans="1:6" x14ac:dyDescent="0.35">
      <c r="A1213">
        <v>1366</v>
      </c>
      <c r="B1213" s="2">
        <v>45707.375085336993</v>
      </c>
      <c r="C1213" t="s">
        <v>10</v>
      </c>
      <c r="D1213" t="s">
        <v>22</v>
      </c>
      <c r="E1213" t="s">
        <v>23</v>
      </c>
      <c r="F1213">
        <v>3271.81</v>
      </c>
    </row>
    <row r="1214" spans="1:6" x14ac:dyDescent="0.35">
      <c r="A1214">
        <v>1188</v>
      </c>
      <c r="B1214" s="2">
        <v>45708.375085336993</v>
      </c>
      <c r="C1214" t="s">
        <v>6</v>
      </c>
      <c r="D1214" t="s">
        <v>17</v>
      </c>
      <c r="E1214" t="s">
        <v>23</v>
      </c>
      <c r="F1214">
        <v>6645.75</v>
      </c>
    </row>
    <row r="1215" spans="1:6" x14ac:dyDescent="0.35">
      <c r="A1215">
        <v>1118</v>
      </c>
      <c r="B1215" s="2">
        <v>45708.375085336993</v>
      </c>
      <c r="C1215" t="s">
        <v>7</v>
      </c>
      <c r="D1215" t="s">
        <v>22</v>
      </c>
      <c r="E1215" t="s">
        <v>24</v>
      </c>
      <c r="F1215">
        <v>4349.08</v>
      </c>
    </row>
    <row r="1216" spans="1:6" x14ac:dyDescent="0.35">
      <c r="A1216">
        <v>1175</v>
      </c>
      <c r="B1216" s="2">
        <v>45708.375085336993</v>
      </c>
      <c r="C1216" t="s">
        <v>12</v>
      </c>
      <c r="D1216" t="s">
        <v>17</v>
      </c>
      <c r="E1216" t="s">
        <v>23</v>
      </c>
      <c r="F1216">
        <v>5009.1499999999996</v>
      </c>
    </row>
    <row r="1217" spans="1:6" x14ac:dyDescent="0.35">
      <c r="A1217">
        <v>1048</v>
      </c>
      <c r="B1217" s="2">
        <v>45708.375085336993</v>
      </c>
      <c r="C1217" t="s">
        <v>9</v>
      </c>
      <c r="D1217" t="s">
        <v>20</v>
      </c>
      <c r="E1217" t="s">
        <v>24</v>
      </c>
      <c r="F1217">
        <v>4139.43</v>
      </c>
    </row>
    <row r="1218" spans="1:6" x14ac:dyDescent="0.35">
      <c r="A1218">
        <v>1066</v>
      </c>
      <c r="B1218" s="2">
        <v>45708.375085336993</v>
      </c>
      <c r="C1218" t="s">
        <v>9</v>
      </c>
      <c r="D1218" t="s">
        <v>18</v>
      </c>
      <c r="E1218" t="s">
        <v>24</v>
      </c>
      <c r="F1218">
        <v>2723.3</v>
      </c>
    </row>
    <row r="1219" spans="1:6" x14ac:dyDescent="0.35">
      <c r="A1219">
        <v>1196</v>
      </c>
      <c r="B1219" s="2">
        <v>45708.375085336993</v>
      </c>
      <c r="C1219" t="s">
        <v>12</v>
      </c>
      <c r="D1219" t="s">
        <v>21</v>
      </c>
      <c r="E1219" t="s">
        <v>24</v>
      </c>
      <c r="F1219">
        <v>3638.76</v>
      </c>
    </row>
    <row r="1220" spans="1:6" x14ac:dyDescent="0.35">
      <c r="A1220">
        <v>1348</v>
      </c>
      <c r="B1220" s="2">
        <v>45709.375085336993</v>
      </c>
      <c r="C1220" t="s">
        <v>14</v>
      </c>
      <c r="D1220" t="s">
        <v>16</v>
      </c>
      <c r="E1220" t="s">
        <v>23</v>
      </c>
      <c r="F1220">
        <v>164.79</v>
      </c>
    </row>
    <row r="1221" spans="1:6" x14ac:dyDescent="0.35">
      <c r="A1221">
        <v>1095</v>
      </c>
      <c r="B1221" s="2">
        <v>45709.375085336993</v>
      </c>
      <c r="C1221" t="s">
        <v>9</v>
      </c>
      <c r="D1221" t="s">
        <v>17</v>
      </c>
      <c r="E1221" t="s">
        <v>23</v>
      </c>
      <c r="F1221">
        <v>4842.9799999999996</v>
      </c>
    </row>
    <row r="1222" spans="1:6" x14ac:dyDescent="0.35">
      <c r="A1222">
        <v>1341</v>
      </c>
      <c r="B1222" s="2">
        <v>45709.375085336993</v>
      </c>
      <c r="C1222" t="s">
        <v>13</v>
      </c>
      <c r="D1222" t="s">
        <v>19</v>
      </c>
      <c r="E1222" t="s">
        <v>24</v>
      </c>
      <c r="F1222">
        <v>3745.72</v>
      </c>
    </row>
    <row r="1223" spans="1:6" x14ac:dyDescent="0.35">
      <c r="A1223">
        <v>1315</v>
      </c>
      <c r="B1223" s="2">
        <v>45709.375085336993</v>
      </c>
      <c r="C1223" t="s">
        <v>6</v>
      </c>
      <c r="D1223" t="s">
        <v>22</v>
      </c>
      <c r="E1223" t="s">
        <v>24</v>
      </c>
      <c r="F1223">
        <v>3681.29</v>
      </c>
    </row>
    <row r="1224" spans="1:6" x14ac:dyDescent="0.35">
      <c r="A1224">
        <v>1226</v>
      </c>
      <c r="B1224" s="2">
        <v>45709.375085336993</v>
      </c>
      <c r="C1224" t="s">
        <v>13</v>
      </c>
      <c r="D1224" t="s">
        <v>21</v>
      </c>
      <c r="E1224" t="s">
        <v>25</v>
      </c>
      <c r="F1224">
        <v>10181.36</v>
      </c>
    </row>
    <row r="1225" spans="1:6" x14ac:dyDescent="0.35">
      <c r="A1225">
        <v>1121</v>
      </c>
      <c r="B1225" s="2">
        <v>45709.375085336993</v>
      </c>
      <c r="C1225" t="s">
        <v>11</v>
      </c>
      <c r="D1225" t="s">
        <v>16</v>
      </c>
      <c r="E1225" t="s">
        <v>23</v>
      </c>
      <c r="F1225">
        <v>2066.69</v>
      </c>
    </row>
    <row r="1226" spans="1:6" x14ac:dyDescent="0.35">
      <c r="A1226">
        <v>1396</v>
      </c>
      <c r="B1226" s="2">
        <v>45710.375085336993</v>
      </c>
      <c r="C1226" t="s">
        <v>7</v>
      </c>
      <c r="D1226" t="s">
        <v>19</v>
      </c>
      <c r="E1226" t="s">
        <v>24</v>
      </c>
      <c r="F1226">
        <v>7019.98</v>
      </c>
    </row>
    <row r="1227" spans="1:6" x14ac:dyDescent="0.35">
      <c r="A1227">
        <v>1140</v>
      </c>
      <c r="B1227" s="2">
        <v>45710.375085336993</v>
      </c>
      <c r="C1227" t="s">
        <v>13</v>
      </c>
      <c r="D1227" t="s">
        <v>16</v>
      </c>
      <c r="E1227" t="s">
        <v>25</v>
      </c>
      <c r="F1227">
        <v>1467.77</v>
      </c>
    </row>
    <row r="1228" spans="1:6" x14ac:dyDescent="0.35">
      <c r="A1228">
        <v>1226</v>
      </c>
      <c r="B1228" s="2">
        <v>45710.375085336993</v>
      </c>
      <c r="C1228" t="s">
        <v>14</v>
      </c>
      <c r="D1228" t="s">
        <v>22</v>
      </c>
      <c r="E1228" t="s">
        <v>24</v>
      </c>
      <c r="F1228">
        <v>1971.99</v>
      </c>
    </row>
    <row r="1229" spans="1:6" x14ac:dyDescent="0.35">
      <c r="A1229">
        <v>1259</v>
      </c>
      <c r="B1229" s="2">
        <v>45711.375085336993</v>
      </c>
      <c r="C1229" t="s">
        <v>10</v>
      </c>
      <c r="D1229" t="s">
        <v>21</v>
      </c>
      <c r="E1229" t="s">
        <v>23</v>
      </c>
      <c r="F1229">
        <v>1834.12</v>
      </c>
    </row>
    <row r="1230" spans="1:6" x14ac:dyDescent="0.35">
      <c r="A1230">
        <v>1287</v>
      </c>
      <c r="B1230" s="2">
        <v>45711.375085336993</v>
      </c>
      <c r="C1230" t="s">
        <v>11</v>
      </c>
      <c r="D1230" t="s">
        <v>16</v>
      </c>
      <c r="E1230" t="s">
        <v>23</v>
      </c>
      <c r="F1230">
        <v>892.62</v>
      </c>
    </row>
    <row r="1231" spans="1:6" x14ac:dyDescent="0.35">
      <c r="A1231">
        <v>1226</v>
      </c>
      <c r="B1231" s="2">
        <v>45712.375085336993</v>
      </c>
      <c r="C1231" t="s">
        <v>13</v>
      </c>
      <c r="D1231" t="s">
        <v>18</v>
      </c>
      <c r="E1231" t="s">
        <v>24</v>
      </c>
      <c r="F1231">
        <v>1096.8599999999999</v>
      </c>
    </row>
    <row r="1232" spans="1:6" x14ac:dyDescent="0.35">
      <c r="A1232">
        <v>1386</v>
      </c>
      <c r="B1232" s="2">
        <v>45712.375085336993</v>
      </c>
      <c r="C1232" t="s">
        <v>15</v>
      </c>
      <c r="D1232" t="s">
        <v>21</v>
      </c>
      <c r="E1232" t="s">
        <v>24</v>
      </c>
      <c r="F1232">
        <v>3697.44</v>
      </c>
    </row>
    <row r="1233" spans="1:6" x14ac:dyDescent="0.35">
      <c r="A1233">
        <v>1037</v>
      </c>
      <c r="B1233" s="2">
        <v>45712.375085336993</v>
      </c>
      <c r="C1233" t="s">
        <v>9</v>
      </c>
      <c r="D1233" t="s">
        <v>19</v>
      </c>
      <c r="E1233" t="s">
        <v>24</v>
      </c>
      <c r="F1233">
        <v>2365.88</v>
      </c>
    </row>
    <row r="1234" spans="1:6" x14ac:dyDescent="0.35">
      <c r="A1234">
        <v>1214</v>
      </c>
      <c r="B1234" s="2">
        <v>45713.375085336993</v>
      </c>
      <c r="C1234" t="s">
        <v>6</v>
      </c>
      <c r="D1234" t="s">
        <v>16</v>
      </c>
      <c r="E1234" t="s">
        <v>25</v>
      </c>
      <c r="F1234">
        <v>1564.63</v>
      </c>
    </row>
    <row r="1235" spans="1:6" x14ac:dyDescent="0.35">
      <c r="A1235">
        <v>1234</v>
      </c>
      <c r="B1235" s="2">
        <v>45713.375085336993</v>
      </c>
      <c r="C1235" t="s">
        <v>9</v>
      </c>
      <c r="D1235" t="s">
        <v>19</v>
      </c>
      <c r="E1235" t="s">
        <v>23</v>
      </c>
      <c r="F1235">
        <v>3199.58</v>
      </c>
    </row>
    <row r="1236" spans="1:6" x14ac:dyDescent="0.35">
      <c r="A1236">
        <v>1160</v>
      </c>
      <c r="B1236" s="2">
        <v>45713.375085336993</v>
      </c>
      <c r="C1236" t="s">
        <v>14</v>
      </c>
      <c r="D1236" t="s">
        <v>21</v>
      </c>
      <c r="E1236" t="s">
        <v>24</v>
      </c>
      <c r="F1236">
        <v>3022.21</v>
      </c>
    </row>
    <row r="1237" spans="1:6" x14ac:dyDescent="0.35">
      <c r="A1237">
        <v>1344</v>
      </c>
      <c r="B1237" s="2">
        <v>45713.375085336993</v>
      </c>
      <c r="C1237" t="s">
        <v>11</v>
      </c>
      <c r="D1237" t="s">
        <v>17</v>
      </c>
      <c r="E1237" t="s">
        <v>25</v>
      </c>
      <c r="F1237">
        <v>1370.41</v>
      </c>
    </row>
    <row r="1238" spans="1:6" x14ac:dyDescent="0.35">
      <c r="A1238">
        <v>1125</v>
      </c>
      <c r="B1238" s="2">
        <v>45714.375085336993</v>
      </c>
      <c r="C1238" t="s">
        <v>9</v>
      </c>
      <c r="D1238" t="s">
        <v>16</v>
      </c>
      <c r="E1238" t="s">
        <v>25</v>
      </c>
      <c r="F1238">
        <v>1815.7</v>
      </c>
    </row>
    <row r="1239" spans="1:6" x14ac:dyDescent="0.35">
      <c r="A1239">
        <v>1272</v>
      </c>
      <c r="B1239" s="2">
        <v>45714.375085336993</v>
      </c>
      <c r="C1239" t="s">
        <v>7</v>
      </c>
      <c r="D1239" t="s">
        <v>17</v>
      </c>
      <c r="E1239" t="s">
        <v>23</v>
      </c>
      <c r="F1239">
        <v>515.77</v>
      </c>
    </row>
    <row r="1240" spans="1:6" x14ac:dyDescent="0.35">
      <c r="A1240">
        <v>1020</v>
      </c>
      <c r="B1240" s="2">
        <v>45715.375085336993</v>
      </c>
      <c r="C1240" t="s">
        <v>15</v>
      </c>
      <c r="D1240" t="s">
        <v>18</v>
      </c>
      <c r="E1240" t="s">
        <v>25</v>
      </c>
      <c r="F1240">
        <v>1909.41</v>
      </c>
    </row>
    <row r="1241" spans="1:6" x14ac:dyDescent="0.35">
      <c r="A1241">
        <v>1380</v>
      </c>
      <c r="B1241" s="2">
        <v>45715.375085336993</v>
      </c>
      <c r="C1241" t="s">
        <v>6</v>
      </c>
      <c r="D1241" t="s">
        <v>19</v>
      </c>
      <c r="E1241" t="s">
        <v>24</v>
      </c>
      <c r="F1241">
        <v>446.64</v>
      </c>
    </row>
    <row r="1242" spans="1:6" x14ac:dyDescent="0.35">
      <c r="A1242">
        <v>1117</v>
      </c>
      <c r="B1242" s="2">
        <v>45716.375085336993</v>
      </c>
      <c r="C1242" t="s">
        <v>10</v>
      </c>
      <c r="D1242" t="s">
        <v>16</v>
      </c>
      <c r="E1242" t="s">
        <v>24</v>
      </c>
      <c r="F1242">
        <v>5084.26</v>
      </c>
    </row>
    <row r="1243" spans="1:6" x14ac:dyDescent="0.35">
      <c r="A1243">
        <v>1269</v>
      </c>
      <c r="B1243" s="2">
        <v>45716.375085336993</v>
      </c>
      <c r="C1243" t="s">
        <v>13</v>
      </c>
      <c r="D1243" t="s">
        <v>21</v>
      </c>
      <c r="E1243" t="s">
        <v>23</v>
      </c>
      <c r="F1243">
        <v>1552.25</v>
      </c>
    </row>
    <row r="1244" spans="1:6" x14ac:dyDescent="0.35">
      <c r="A1244">
        <v>1094</v>
      </c>
      <c r="B1244" s="2">
        <v>45716.375085336993</v>
      </c>
      <c r="C1244" t="s">
        <v>15</v>
      </c>
      <c r="D1244" t="s">
        <v>22</v>
      </c>
      <c r="E1244" t="s">
        <v>23</v>
      </c>
      <c r="F1244">
        <v>7713.57</v>
      </c>
    </row>
    <row r="1245" spans="1:6" x14ac:dyDescent="0.35">
      <c r="A1245">
        <v>1226</v>
      </c>
      <c r="B1245" s="2">
        <v>45716.375085336993</v>
      </c>
      <c r="C1245" t="s">
        <v>6</v>
      </c>
      <c r="D1245" t="s">
        <v>21</v>
      </c>
      <c r="E1245" t="s">
        <v>25</v>
      </c>
      <c r="F1245">
        <v>8221.7099999999991</v>
      </c>
    </row>
    <row r="1246" spans="1:6" x14ac:dyDescent="0.35">
      <c r="A1246">
        <v>1236</v>
      </c>
      <c r="B1246" s="2">
        <v>45716.375085336993</v>
      </c>
      <c r="C1246" t="s">
        <v>11</v>
      </c>
      <c r="D1246" t="s">
        <v>18</v>
      </c>
      <c r="E1246" t="s">
        <v>24</v>
      </c>
      <c r="F1246">
        <v>4134.09</v>
      </c>
    </row>
    <row r="1247" spans="1:6" x14ac:dyDescent="0.35">
      <c r="A1247">
        <v>1114</v>
      </c>
      <c r="B1247" s="2">
        <v>45717.375085336993</v>
      </c>
      <c r="C1247" t="s">
        <v>6</v>
      </c>
      <c r="D1247" t="s">
        <v>21</v>
      </c>
      <c r="E1247" t="s">
        <v>23</v>
      </c>
      <c r="F1247">
        <v>7695.18</v>
      </c>
    </row>
    <row r="1248" spans="1:6" x14ac:dyDescent="0.35">
      <c r="A1248">
        <v>1047</v>
      </c>
      <c r="B1248" s="2">
        <v>45718.375085336993</v>
      </c>
      <c r="C1248" t="s">
        <v>13</v>
      </c>
      <c r="D1248" t="s">
        <v>17</v>
      </c>
      <c r="E1248" t="s">
        <v>25</v>
      </c>
      <c r="F1248">
        <v>4795.17</v>
      </c>
    </row>
    <row r="1249" spans="1:6" x14ac:dyDescent="0.35">
      <c r="A1249">
        <v>1364</v>
      </c>
      <c r="B1249" s="2">
        <v>45718.375085336993</v>
      </c>
      <c r="C1249" t="s">
        <v>15</v>
      </c>
      <c r="D1249" t="s">
        <v>19</v>
      </c>
      <c r="E1249" t="s">
        <v>25</v>
      </c>
      <c r="F1249">
        <v>5630.95</v>
      </c>
    </row>
    <row r="1250" spans="1:6" x14ac:dyDescent="0.35">
      <c r="A1250">
        <v>1028</v>
      </c>
      <c r="B1250" s="2">
        <v>45718.375085336993</v>
      </c>
      <c r="C1250" t="s">
        <v>7</v>
      </c>
      <c r="D1250" t="s">
        <v>16</v>
      </c>
      <c r="E1250" t="s">
        <v>25</v>
      </c>
      <c r="F1250">
        <v>1242.3</v>
      </c>
    </row>
    <row r="1251" spans="1:6" x14ac:dyDescent="0.35">
      <c r="A1251">
        <v>1261</v>
      </c>
      <c r="B1251" s="2">
        <v>45718.375085336993</v>
      </c>
      <c r="C1251" t="s">
        <v>7</v>
      </c>
      <c r="D1251" t="s">
        <v>22</v>
      </c>
      <c r="E1251" t="s">
        <v>23</v>
      </c>
      <c r="F1251">
        <v>886.54</v>
      </c>
    </row>
    <row r="1252" spans="1:6" x14ac:dyDescent="0.35">
      <c r="A1252">
        <v>1190</v>
      </c>
      <c r="B1252" s="2">
        <v>45718.375085336993</v>
      </c>
      <c r="C1252" t="s">
        <v>11</v>
      </c>
      <c r="D1252" t="s">
        <v>21</v>
      </c>
      <c r="E1252" t="s">
        <v>24</v>
      </c>
      <c r="F1252">
        <v>5923.37</v>
      </c>
    </row>
    <row r="1253" spans="1:6" x14ac:dyDescent="0.35">
      <c r="A1253">
        <v>1208</v>
      </c>
      <c r="B1253" s="2">
        <v>45718.375085336993</v>
      </c>
      <c r="C1253" t="s">
        <v>11</v>
      </c>
      <c r="D1253" t="s">
        <v>22</v>
      </c>
      <c r="E1253" t="s">
        <v>23</v>
      </c>
      <c r="F1253">
        <v>6962.77</v>
      </c>
    </row>
    <row r="1254" spans="1:6" x14ac:dyDescent="0.35">
      <c r="A1254">
        <v>1128</v>
      </c>
      <c r="B1254" s="2">
        <v>45718.375085336993</v>
      </c>
      <c r="C1254" t="s">
        <v>10</v>
      </c>
      <c r="D1254" t="s">
        <v>18</v>
      </c>
      <c r="E1254" t="s">
        <v>23</v>
      </c>
      <c r="F1254">
        <v>5014.51</v>
      </c>
    </row>
    <row r="1255" spans="1:6" x14ac:dyDescent="0.35">
      <c r="A1255">
        <v>1229</v>
      </c>
      <c r="B1255" s="2">
        <v>45718.375085336993</v>
      </c>
      <c r="C1255" t="s">
        <v>14</v>
      </c>
      <c r="D1255" t="s">
        <v>21</v>
      </c>
      <c r="E1255" t="s">
        <v>24</v>
      </c>
      <c r="F1255">
        <v>4533.3599999999997</v>
      </c>
    </row>
    <row r="1256" spans="1:6" x14ac:dyDescent="0.35">
      <c r="A1256">
        <v>1374</v>
      </c>
      <c r="B1256" s="2">
        <v>45719.375085336993</v>
      </c>
      <c r="C1256" t="s">
        <v>8</v>
      </c>
      <c r="D1256" t="s">
        <v>18</v>
      </c>
      <c r="E1256" t="s">
        <v>25</v>
      </c>
      <c r="F1256">
        <v>709.51</v>
      </c>
    </row>
    <row r="1257" spans="1:6" x14ac:dyDescent="0.35">
      <c r="A1257">
        <v>1198</v>
      </c>
      <c r="B1257" s="2">
        <v>45719.375085336993</v>
      </c>
      <c r="C1257" t="s">
        <v>13</v>
      </c>
      <c r="D1257" t="s">
        <v>21</v>
      </c>
      <c r="E1257" t="s">
        <v>23</v>
      </c>
      <c r="F1257">
        <v>6244.94</v>
      </c>
    </row>
    <row r="1258" spans="1:6" x14ac:dyDescent="0.35">
      <c r="A1258">
        <v>1130</v>
      </c>
      <c r="B1258" s="2">
        <v>45719.375085336993</v>
      </c>
      <c r="C1258" t="s">
        <v>6</v>
      </c>
      <c r="D1258" t="s">
        <v>21</v>
      </c>
      <c r="E1258" t="s">
        <v>24</v>
      </c>
      <c r="F1258">
        <v>7345.14</v>
      </c>
    </row>
    <row r="1259" spans="1:6" x14ac:dyDescent="0.35">
      <c r="A1259">
        <v>1352</v>
      </c>
      <c r="B1259" s="2">
        <v>45719.375085336993</v>
      </c>
      <c r="C1259" t="s">
        <v>14</v>
      </c>
      <c r="D1259" t="s">
        <v>21</v>
      </c>
      <c r="E1259" t="s">
        <v>23</v>
      </c>
      <c r="F1259">
        <v>667.92</v>
      </c>
    </row>
    <row r="1260" spans="1:6" x14ac:dyDescent="0.35">
      <c r="A1260">
        <v>1098</v>
      </c>
      <c r="B1260" s="2">
        <v>45719.375085336993</v>
      </c>
      <c r="C1260" t="s">
        <v>10</v>
      </c>
      <c r="D1260" t="s">
        <v>16</v>
      </c>
      <c r="E1260" t="s">
        <v>25</v>
      </c>
      <c r="F1260">
        <v>6601.83</v>
      </c>
    </row>
    <row r="1261" spans="1:6" x14ac:dyDescent="0.35">
      <c r="A1261">
        <v>1369</v>
      </c>
      <c r="B1261" s="2">
        <v>45719.375085336993</v>
      </c>
      <c r="C1261" t="s">
        <v>7</v>
      </c>
      <c r="D1261" t="s">
        <v>22</v>
      </c>
      <c r="E1261" t="s">
        <v>24</v>
      </c>
      <c r="F1261">
        <v>3322.39</v>
      </c>
    </row>
    <row r="1262" spans="1:6" x14ac:dyDescent="0.35">
      <c r="A1262">
        <v>1215</v>
      </c>
      <c r="B1262" s="2">
        <v>45719.375085336993</v>
      </c>
      <c r="C1262" t="s">
        <v>6</v>
      </c>
      <c r="D1262" t="s">
        <v>20</v>
      </c>
      <c r="E1262" t="s">
        <v>25</v>
      </c>
      <c r="F1262">
        <v>280.11</v>
      </c>
    </row>
    <row r="1263" spans="1:6" x14ac:dyDescent="0.35">
      <c r="A1263">
        <v>1087</v>
      </c>
      <c r="B1263" s="2">
        <v>45719.375085336993</v>
      </c>
      <c r="C1263" t="s">
        <v>9</v>
      </c>
      <c r="D1263" t="s">
        <v>21</v>
      </c>
      <c r="E1263" t="s">
        <v>25</v>
      </c>
      <c r="F1263">
        <v>926.67</v>
      </c>
    </row>
    <row r="1264" spans="1:6" x14ac:dyDescent="0.35">
      <c r="A1264">
        <v>1391</v>
      </c>
      <c r="B1264" s="2">
        <v>45719.375085336993</v>
      </c>
      <c r="C1264" t="s">
        <v>13</v>
      </c>
      <c r="D1264" t="s">
        <v>22</v>
      </c>
      <c r="E1264" t="s">
        <v>24</v>
      </c>
      <c r="F1264">
        <v>987.72</v>
      </c>
    </row>
    <row r="1265" spans="1:6" x14ac:dyDescent="0.35">
      <c r="A1265">
        <v>1026</v>
      </c>
      <c r="B1265" s="2">
        <v>45720.375085336993</v>
      </c>
      <c r="C1265" t="s">
        <v>12</v>
      </c>
      <c r="D1265" t="s">
        <v>17</v>
      </c>
      <c r="E1265" t="s">
        <v>23</v>
      </c>
      <c r="F1265">
        <v>2283.79</v>
      </c>
    </row>
    <row r="1266" spans="1:6" x14ac:dyDescent="0.35">
      <c r="A1266">
        <v>1015</v>
      </c>
      <c r="B1266" s="2">
        <v>45720.375085336993</v>
      </c>
      <c r="C1266" t="s">
        <v>15</v>
      </c>
      <c r="D1266" t="s">
        <v>17</v>
      </c>
      <c r="E1266" t="s">
        <v>24</v>
      </c>
      <c r="F1266">
        <v>454.26</v>
      </c>
    </row>
    <row r="1267" spans="1:6" x14ac:dyDescent="0.35">
      <c r="A1267">
        <v>1110</v>
      </c>
      <c r="B1267" s="2">
        <v>45720.375085336993</v>
      </c>
      <c r="C1267" t="s">
        <v>11</v>
      </c>
      <c r="D1267" t="s">
        <v>22</v>
      </c>
      <c r="E1267" t="s">
        <v>25</v>
      </c>
      <c r="F1267">
        <v>12269.37</v>
      </c>
    </row>
    <row r="1268" spans="1:6" x14ac:dyDescent="0.35">
      <c r="A1268">
        <v>1374</v>
      </c>
      <c r="B1268" s="2">
        <v>45720.375085336993</v>
      </c>
      <c r="C1268" t="s">
        <v>8</v>
      </c>
      <c r="D1268" t="s">
        <v>19</v>
      </c>
      <c r="E1268" t="s">
        <v>25</v>
      </c>
      <c r="F1268">
        <v>5131.8</v>
      </c>
    </row>
    <row r="1269" spans="1:6" x14ac:dyDescent="0.35">
      <c r="A1269">
        <v>1179</v>
      </c>
      <c r="B1269" s="2">
        <v>45720.375085336993</v>
      </c>
      <c r="C1269" t="s">
        <v>15</v>
      </c>
      <c r="D1269" t="s">
        <v>19</v>
      </c>
      <c r="E1269" t="s">
        <v>24</v>
      </c>
      <c r="F1269">
        <v>1883.67</v>
      </c>
    </row>
    <row r="1270" spans="1:6" x14ac:dyDescent="0.35">
      <c r="A1270">
        <v>1260</v>
      </c>
      <c r="B1270" s="2">
        <v>45721.375085336993</v>
      </c>
      <c r="C1270" t="s">
        <v>11</v>
      </c>
      <c r="D1270" t="s">
        <v>16</v>
      </c>
      <c r="E1270" t="s">
        <v>24</v>
      </c>
      <c r="F1270">
        <v>2868.44</v>
      </c>
    </row>
    <row r="1271" spans="1:6" x14ac:dyDescent="0.35">
      <c r="A1271">
        <v>1380</v>
      </c>
      <c r="B1271" s="2">
        <v>45721.375085336993</v>
      </c>
      <c r="C1271" t="s">
        <v>12</v>
      </c>
      <c r="D1271" t="s">
        <v>20</v>
      </c>
      <c r="E1271" t="s">
        <v>25</v>
      </c>
      <c r="F1271">
        <v>4084.93</v>
      </c>
    </row>
    <row r="1272" spans="1:6" x14ac:dyDescent="0.35">
      <c r="A1272">
        <v>1366</v>
      </c>
      <c r="B1272" s="2">
        <v>45722.375085336993</v>
      </c>
      <c r="C1272" t="s">
        <v>11</v>
      </c>
      <c r="D1272" t="s">
        <v>22</v>
      </c>
      <c r="E1272" t="s">
        <v>23</v>
      </c>
      <c r="F1272">
        <v>614.48</v>
      </c>
    </row>
    <row r="1273" spans="1:6" x14ac:dyDescent="0.35">
      <c r="A1273">
        <v>1094</v>
      </c>
      <c r="B1273" s="2">
        <v>45722.375085336993</v>
      </c>
      <c r="C1273" t="s">
        <v>15</v>
      </c>
      <c r="D1273" t="s">
        <v>18</v>
      </c>
      <c r="E1273" t="s">
        <v>24</v>
      </c>
      <c r="F1273">
        <v>3330.31</v>
      </c>
    </row>
    <row r="1274" spans="1:6" x14ac:dyDescent="0.35">
      <c r="A1274">
        <v>1238</v>
      </c>
      <c r="B1274" s="2">
        <v>45722.375085336993</v>
      </c>
      <c r="C1274" t="s">
        <v>15</v>
      </c>
      <c r="D1274" t="s">
        <v>20</v>
      </c>
      <c r="E1274" t="s">
        <v>23</v>
      </c>
      <c r="F1274">
        <v>989.5</v>
      </c>
    </row>
    <row r="1275" spans="1:6" x14ac:dyDescent="0.35">
      <c r="A1275">
        <v>1180</v>
      </c>
      <c r="B1275" s="2">
        <v>45722.375085336993</v>
      </c>
      <c r="C1275" t="s">
        <v>6</v>
      </c>
      <c r="D1275" t="s">
        <v>20</v>
      </c>
      <c r="E1275" t="s">
        <v>25</v>
      </c>
      <c r="F1275">
        <v>2698.56</v>
      </c>
    </row>
    <row r="1276" spans="1:6" x14ac:dyDescent="0.35">
      <c r="A1276">
        <v>1085</v>
      </c>
      <c r="B1276" s="2">
        <v>45723.375085336993</v>
      </c>
      <c r="C1276" t="s">
        <v>14</v>
      </c>
      <c r="D1276" t="s">
        <v>20</v>
      </c>
      <c r="E1276" t="s">
        <v>23</v>
      </c>
      <c r="F1276">
        <v>4237.03</v>
      </c>
    </row>
    <row r="1277" spans="1:6" x14ac:dyDescent="0.35">
      <c r="A1277">
        <v>1317</v>
      </c>
      <c r="B1277" s="2">
        <v>45723.375085336993</v>
      </c>
      <c r="C1277" t="s">
        <v>14</v>
      </c>
      <c r="D1277" t="s">
        <v>17</v>
      </c>
      <c r="E1277" t="s">
        <v>23</v>
      </c>
      <c r="F1277">
        <v>306.01</v>
      </c>
    </row>
    <row r="1278" spans="1:6" x14ac:dyDescent="0.35">
      <c r="A1278">
        <v>1364</v>
      </c>
      <c r="B1278" s="2">
        <v>45723.375085336993</v>
      </c>
      <c r="C1278" t="s">
        <v>12</v>
      </c>
      <c r="D1278" t="s">
        <v>18</v>
      </c>
      <c r="E1278" t="s">
        <v>24</v>
      </c>
      <c r="F1278">
        <v>4140.2</v>
      </c>
    </row>
    <row r="1279" spans="1:6" x14ac:dyDescent="0.35">
      <c r="A1279">
        <v>1214</v>
      </c>
      <c r="B1279" s="2">
        <v>45723.375085336993</v>
      </c>
      <c r="C1279" t="s">
        <v>9</v>
      </c>
      <c r="D1279" t="s">
        <v>19</v>
      </c>
      <c r="E1279" t="s">
        <v>25</v>
      </c>
      <c r="F1279">
        <v>1624.38</v>
      </c>
    </row>
    <row r="1280" spans="1:6" x14ac:dyDescent="0.35">
      <c r="A1280">
        <v>1214</v>
      </c>
      <c r="B1280" s="2">
        <v>45724.375085336993</v>
      </c>
      <c r="C1280" t="s">
        <v>11</v>
      </c>
      <c r="D1280" t="s">
        <v>16</v>
      </c>
      <c r="E1280" t="s">
        <v>24</v>
      </c>
      <c r="F1280">
        <v>4297.72</v>
      </c>
    </row>
    <row r="1281" spans="1:6" x14ac:dyDescent="0.35">
      <c r="A1281">
        <v>1312</v>
      </c>
      <c r="B1281" s="2">
        <v>45724.375085336993</v>
      </c>
      <c r="C1281" t="s">
        <v>6</v>
      </c>
      <c r="D1281" t="s">
        <v>17</v>
      </c>
      <c r="E1281" t="s">
        <v>23</v>
      </c>
      <c r="F1281">
        <v>4520.07</v>
      </c>
    </row>
    <row r="1282" spans="1:6" x14ac:dyDescent="0.35">
      <c r="A1282">
        <v>1353</v>
      </c>
      <c r="B1282" s="2">
        <v>45724.375085336993</v>
      </c>
      <c r="C1282" t="s">
        <v>10</v>
      </c>
      <c r="D1282" t="s">
        <v>22</v>
      </c>
      <c r="E1282" t="s">
        <v>23</v>
      </c>
      <c r="F1282">
        <v>1481.45</v>
      </c>
    </row>
    <row r="1283" spans="1:6" x14ac:dyDescent="0.35">
      <c r="A1283">
        <v>1154</v>
      </c>
      <c r="B1283" s="2">
        <v>45725.375085336993</v>
      </c>
      <c r="C1283" t="s">
        <v>11</v>
      </c>
      <c r="D1283" t="s">
        <v>18</v>
      </c>
      <c r="E1283" t="s">
        <v>24</v>
      </c>
      <c r="F1283">
        <v>3401.77</v>
      </c>
    </row>
    <row r="1284" spans="1:6" x14ac:dyDescent="0.35">
      <c r="A1284">
        <v>1216</v>
      </c>
      <c r="B1284" s="2">
        <v>45725.375085336993</v>
      </c>
      <c r="C1284" t="s">
        <v>8</v>
      </c>
      <c r="D1284" t="s">
        <v>22</v>
      </c>
      <c r="E1284" t="s">
        <v>23</v>
      </c>
      <c r="F1284">
        <v>6989.23</v>
      </c>
    </row>
    <row r="1285" spans="1:6" x14ac:dyDescent="0.35">
      <c r="A1285">
        <v>1118</v>
      </c>
      <c r="B1285" s="2">
        <v>45726.375085336993</v>
      </c>
      <c r="C1285" t="s">
        <v>7</v>
      </c>
      <c r="D1285" t="s">
        <v>21</v>
      </c>
      <c r="E1285" t="s">
        <v>24</v>
      </c>
      <c r="F1285">
        <v>9134.5400000000009</v>
      </c>
    </row>
    <row r="1286" spans="1:6" x14ac:dyDescent="0.35">
      <c r="A1286">
        <v>1084</v>
      </c>
      <c r="B1286" s="2">
        <v>45726.375085336993</v>
      </c>
      <c r="C1286" t="s">
        <v>8</v>
      </c>
      <c r="D1286" t="s">
        <v>16</v>
      </c>
      <c r="E1286" t="s">
        <v>23</v>
      </c>
      <c r="F1286">
        <v>561.66999999999996</v>
      </c>
    </row>
    <row r="1287" spans="1:6" x14ac:dyDescent="0.35">
      <c r="A1287">
        <v>1137</v>
      </c>
      <c r="B1287" s="2">
        <v>45726.375085336993</v>
      </c>
      <c r="C1287" t="s">
        <v>14</v>
      </c>
      <c r="D1287" t="s">
        <v>17</v>
      </c>
      <c r="E1287" t="s">
        <v>25</v>
      </c>
      <c r="F1287">
        <v>1315.19</v>
      </c>
    </row>
    <row r="1288" spans="1:6" x14ac:dyDescent="0.35">
      <c r="A1288">
        <v>1215</v>
      </c>
      <c r="B1288" s="2">
        <v>45727.375085336993</v>
      </c>
      <c r="C1288" t="s">
        <v>12</v>
      </c>
      <c r="D1288" t="s">
        <v>22</v>
      </c>
      <c r="E1288" t="s">
        <v>25</v>
      </c>
      <c r="F1288">
        <v>1943.52</v>
      </c>
    </row>
    <row r="1289" spans="1:6" x14ac:dyDescent="0.35">
      <c r="A1289">
        <v>1097</v>
      </c>
      <c r="B1289" s="2">
        <v>45727.375085336993</v>
      </c>
      <c r="C1289" t="s">
        <v>11</v>
      </c>
      <c r="D1289" t="s">
        <v>22</v>
      </c>
      <c r="E1289" t="s">
        <v>24</v>
      </c>
      <c r="F1289">
        <v>10187.69</v>
      </c>
    </row>
    <row r="1290" spans="1:6" x14ac:dyDescent="0.35">
      <c r="A1290">
        <v>1392</v>
      </c>
      <c r="B1290" s="2">
        <v>45727.375085336993</v>
      </c>
      <c r="C1290" t="s">
        <v>12</v>
      </c>
      <c r="D1290" t="s">
        <v>20</v>
      </c>
      <c r="E1290" t="s">
        <v>23</v>
      </c>
      <c r="F1290">
        <v>2419.81</v>
      </c>
    </row>
    <row r="1291" spans="1:6" x14ac:dyDescent="0.35">
      <c r="A1291">
        <v>1272</v>
      </c>
      <c r="B1291" s="2">
        <v>45728.375085336993</v>
      </c>
      <c r="C1291" t="s">
        <v>13</v>
      </c>
      <c r="D1291" t="s">
        <v>18</v>
      </c>
      <c r="E1291" t="s">
        <v>23</v>
      </c>
      <c r="F1291">
        <v>13517.06</v>
      </c>
    </row>
    <row r="1292" spans="1:6" x14ac:dyDescent="0.35">
      <c r="A1292">
        <v>1364</v>
      </c>
      <c r="B1292" s="2">
        <v>45728.375085336993</v>
      </c>
      <c r="C1292" t="s">
        <v>11</v>
      </c>
      <c r="D1292" t="s">
        <v>22</v>
      </c>
      <c r="E1292" t="s">
        <v>23</v>
      </c>
      <c r="F1292">
        <v>4625.47</v>
      </c>
    </row>
    <row r="1293" spans="1:6" x14ac:dyDescent="0.35">
      <c r="A1293">
        <v>1127</v>
      </c>
      <c r="B1293" s="2">
        <v>45729.375085336993</v>
      </c>
      <c r="C1293" t="s">
        <v>8</v>
      </c>
      <c r="D1293" t="s">
        <v>21</v>
      </c>
      <c r="E1293" t="s">
        <v>23</v>
      </c>
      <c r="F1293">
        <v>3045.99</v>
      </c>
    </row>
    <row r="1294" spans="1:6" x14ac:dyDescent="0.35">
      <c r="A1294">
        <v>1189</v>
      </c>
      <c r="B1294" s="2">
        <v>45729.375085336993</v>
      </c>
      <c r="C1294" t="s">
        <v>14</v>
      </c>
      <c r="D1294" t="s">
        <v>22</v>
      </c>
      <c r="E1294" t="s">
        <v>23</v>
      </c>
      <c r="F1294">
        <v>2161.92</v>
      </c>
    </row>
    <row r="1295" spans="1:6" x14ac:dyDescent="0.35">
      <c r="A1295">
        <v>1032</v>
      </c>
      <c r="B1295" s="2">
        <v>45729.375085336993</v>
      </c>
      <c r="C1295" t="s">
        <v>10</v>
      </c>
      <c r="D1295" t="s">
        <v>16</v>
      </c>
      <c r="E1295" t="s">
        <v>23</v>
      </c>
      <c r="F1295">
        <v>319.85000000000002</v>
      </c>
    </row>
    <row r="1296" spans="1:6" x14ac:dyDescent="0.35">
      <c r="A1296">
        <v>1098</v>
      </c>
      <c r="B1296" s="2">
        <v>45730.375085336993</v>
      </c>
      <c r="C1296" t="s">
        <v>15</v>
      </c>
      <c r="D1296" t="s">
        <v>20</v>
      </c>
      <c r="E1296" t="s">
        <v>25</v>
      </c>
      <c r="F1296">
        <v>2415.4299999999998</v>
      </c>
    </row>
    <row r="1297" spans="1:6" x14ac:dyDescent="0.35">
      <c r="A1297">
        <v>1281</v>
      </c>
      <c r="B1297" s="2">
        <v>45730.375085336993</v>
      </c>
      <c r="C1297" t="s">
        <v>12</v>
      </c>
      <c r="D1297" t="s">
        <v>16</v>
      </c>
      <c r="E1297" t="s">
        <v>25</v>
      </c>
      <c r="F1297">
        <v>8461.2999999999993</v>
      </c>
    </row>
    <row r="1298" spans="1:6" x14ac:dyDescent="0.35">
      <c r="A1298">
        <v>1148</v>
      </c>
      <c r="B1298" s="2">
        <v>45730.375085336993</v>
      </c>
      <c r="C1298" t="s">
        <v>14</v>
      </c>
      <c r="D1298" t="s">
        <v>18</v>
      </c>
      <c r="E1298" t="s">
        <v>24</v>
      </c>
      <c r="F1298">
        <v>10309</v>
      </c>
    </row>
    <row r="1299" spans="1:6" x14ac:dyDescent="0.35">
      <c r="A1299">
        <v>1214</v>
      </c>
      <c r="B1299" s="2">
        <v>45730.375085336993</v>
      </c>
      <c r="C1299" t="s">
        <v>9</v>
      </c>
      <c r="D1299" t="s">
        <v>17</v>
      </c>
      <c r="E1299" t="s">
        <v>24</v>
      </c>
      <c r="F1299">
        <v>6089.71</v>
      </c>
    </row>
    <row r="1300" spans="1:6" x14ac:dyDescent="0.35">
      <c r="A1300">
        <v>1222</v>
      </c>
      <c r="B1300" s="2">
        <v>45730.375085336993</v>
      </c>
      <c r="C1300" t="s">
        <v>15</v>
      </c>
      <c r="D1300" t="s">
        <v>17</v>
      </c>
      <c r="E1300" t="s">
        <v>23</v>
      </c>
      <c r="F1300">
        <v>2261.5100000000002</v>
      </c>
    </row>
    <row r="1301" spans="1:6" x14ac:dyDescent="0.35">
      <c r="A1301">
        <v>1130</v>
      </c>
      <c r="B1301" s="2">
        <v>45731.375085336993</v>
      </c>
      <c r="C1301" t="s">
        <v>10</v>
      </c>
      <c r="D1301" t="s">
        <v>16</v>
      </c>
      <c r="E1301" t="s">
        <v>24</v>
      </c>
      <c r="F1301">
        <v>2764.08</v>
      </c>
    </row>
    <row r="1302" spans="1:6" x14ac:dyDescent="0.35">
      <c r="A1302">
        <v>1263</v>
      </c>
      <c r="B1302" s="2">
        <v>45731.375085336993</v>
      </c>
      <c r="C1302" t="s">
        <v>11</v>
      </c>
      <c r="D1302" t="s">
        <v>19</v>
      </c>
      <c r="E1302" t="s">
        <v>25</v>
      </c>
      <c r="F1302">
        <v>11403.51</v>
      </c>
    </row>
    <row r="1303" spans="1:6" x14ac:dyDescent="0.35">
      <c r="A1303">
        <v>1312</v>
      </c>
      <c r="B1303" s="2">
        <v>45731.375085336993</v>
      </c>
      <c r="C1303" t="s">
        <v>10</v>
      </c>
      <c r="D1303" t="s">
        <v>18</v>
      </c>
      <c r="E1303" t="s">
        <v>24</v>
      </c>
      <c r="F1303">
        <v>3903.76</v>
      </c>
    </row>
    <row r="1304" spans="1:6" x14ac:dyDescent="0.35">
      <c r="A1304">
        <v>1392</v>
      </c>
      <c r="B1304" s="2">
        <v>45732.375085336993</v>
      </c>
      <c r="C1304" t="s">
        <v>13</v>
      </c>
      <c r="D1304" t="s">
        <v>17</v>
      </c>
      <c r="E1304" t="s">
        <v>25</v>
      </c>
      <c r="F1304">
        <v>3133.34</v>
      </c>
    </row>
    <row r="1305" spans="1:6" x14ac:dyDescent="0.35">
      <c r="A1305">
        <v>1220</v>
      </c>
      <c r="B1305" s="2">
        <v>45732.375085336993</v>
      </c>
      <c r="C1305" t="s">
        <v>11</v>
      </c>
      <c r="D1305" t="s">
        <v>20</v>
      </c>
      <c r="E1305" t="s">
        <v>24</v>
      </c>
      <c r="F1305">
        <v>2207.19</v>
      </c>
    </row>
    <row r="1306" spans="1:6" x14ac:dyDescent="0.35">
      <c r="A1306">
        <v>1127</v>
      </c>
      <c r="B1306" s="2">
        <v>45732.375085336993</v>
      </c>
      <c r="C1306" t="s">
        <v>14</v>
      </c>
      <c r="D1306" t="s">
        <v>18</v>
      </c>
      <c r="E1306" t="s">
        <v>23</v>
      </c>
      <c r="F1306">
        <v>5333.95</v>
      </c>
    </row>
    <row r="1307" spans="1:6" x14ac:dyDescent="0.35">
      <c r="A1307">
        <v>1359</v>
      </c>
      <c r="B1307" s="2">
        <v>45732.375085336993</v>
      </c>
      <c r="C1307" t="s">
        <v>12</v>
      </c>
      <c r="D1307" t="s">
        <v>17</v>
      </c>
      <c r="E1307" t="s">
        <v>24</v>
      </c>
      <c r="F1307">
        <v>1512.49</v>
      </c>
    </row>
    <row r="1308" spans="1:6" x14ac:dyDescent="0.35">
      <c r="A1308">
        <v>1159</v>
      </c>
      <c r="B1308" s="2">
        <v>45732.375085336993</v>
      </c>
      <c r="C1308" t="s">
        <v>6</v>
      </c>
      <c r="D1308" t="s">
        <v>17</v>
      </c>
      <c r="E1308" t="s">
        <v>23</v>
      </c>
      <c r="F1308">
        <v>2804.06</v>
      </c>
    </row>
    <row r="1309" spans="1:6" x14ac:dyDescent="0.35">
      <c r="A1309">
        <v>1164</v>
      </c>
      <c r="B1309" s="2">
        <v>45732.375085336993</v>
      </c>
      <c r="C1309" t="s">
        <v>12</v>
      </c>
      <c r="D1309" t="s">
        <v>16</v>
      </c>
      <c r="E1309" t="s">
        <v>25</v>
      </c>
      <c r="F1309">
        <v>2038.65</v>
      </c>
    </row>
    <row r="1310" spans="1:6" x14ac:dyDescent="0.35">
      <c r="A1310">
        <v>1136</v>
      </c>
      <c r="B1310" s="2">
        <v>45732.375085336993</v>
      </c>
      <c r="C1310" t="s">
        <v>13</v>
      </c>
      <c r="D1310" t="s">
        <v>22</v>
      </c>
      <c r="E1310" t="s">
        <v>23</v>
      </c>
      <c r="F1310">
        <v>2943.06</v>
      </c>
    </row>
    <row r="1311" spans="1:6" x14ac:dyDescent="0.35">
      <c r="A1311">
        <v>1201</v>
      </c>
      <c r="B1311" s="2">
        <v>45732.375085336993</v>
      </c>
      <c r="C1311" t="s">
        <v>11</v>
      </c>
      <c r="D1311" t="s">
        <v>20</v>
      </c>
      <c r="E1311" t="s">
        <v>24</v>
      </c>
      <c r="F1311">
        <v>1186.8900000000001</v>
      </c>
    </row>
    <row r="1312" spans="1:6" x14ac:dyDescent="0.35">
      <c r="A1312">
        <v>1172</v>
      </c>
      <c r="B1312" s="2">
        <v>45733.375085336993</v>
      </c>
      <c r="C1312" t="s">
        <v>8</v>
      </c>
      <c r="D1312" t="s">
        <v>19</v>
      </c>
      <c r="E1312" t="s">
        <v>23</v>
      </c>
      <c r="F1312">
        <v>4716.53</v>
      </c>
    </row>
    <row r="1313" spans="1:6" x14ac:dyDescent="0.35">
      <c r="A1313">
        <v>1140</v>
      </c>
      <c r="B1313" s="2">
        <v>45733.375085336993</v>
      </c>
      <c r="C1313" t="s">
        <v>10</v>
      </c>
      <c r="D1313" t="s">
        <v>22</v>
      </c>
      <c r="E1313" t="s">
        <v>25</v>
      </c>
      <c r="F1313">
        <v>5054.87</v>
      </c>
    </row>
    <row r="1314" spans="1:6" x14ac:dyDescent="0.35">
      <c r="A1314">
        <v>1009</v>
      </c>
      <c r="B1314" s="2">
        <v>45734.375085336993</v>
      </c>
      <c r="C1314" t="s">
        <v>7</v>
      </c>
      <c r="D1314" t="s">
        <v>22</v>
      </c>
      <c r="E1314" t="s">
        <v>24</v>
      </c>
      <c r="F1314">
        <v>477.66</v>
      </c>
    </row>
    <row r="1315" spans="1:6" x14ac:dyDescent="0.35">
      <c r="A1315">
        <v>1024</v>
      </c>
      <c r="B1315" s="2">
        <v>45734.375085336993</v>
      </c>
      <c r="C1315" t="s">
        <v>7</v>
      </c>
      <c r="D1315" t="s">
        <v>16</v>
      </c>
      <c r="E1315" t="s">
        <v>25</v>
      </c>
      <c r="F1315">
        <v>6370.92</v>
      </c>
    </row>
    <row r="1316" spans="1:6" x14ac:dyDescent="0.35">
      <c r="A1316">
        <v>1174</v>
      </c>
      <c r="B1316" s="2">
        <v>45735.375085336993</v>
      </c>
      <c r="C1316" t="s">
        <v>11</v>
      </c>
      <c r="D1316" t="s">
        <v>17</v>
      </c>
      <c r="E1316" t="s">
        <v>24</v>
      </c>
      <c r="F1316">
        <v>3103.38</v>
      </c>
    </row>
    <row r="1317" spans="1:6" x14ac:dyDescent="0.35">
      <c r="A1317">
        <v>1235</v>
      </c>
      <c r="B1317" s="2">
        <v>45736.375085336993</v>
      </c>
      <c r="C1317" t="s">
        <v>14</v>
      </c>
      <c r="D1317" t="s">
        <v>21</v>
      </c>
      <c r="E1317" t="s">
        <v>25</v>
      </c>
      <c r="F1317">
        <v>4876.96</v>
      </c>
    </row>
    <row r="1318" spans="1:6" x14ac:dyDescent="0.35">
      <c r="A1318">
        <v>1245</v>
      </c>
      <c r="B1318" s="2">
        <v>45736.375085336993</v>
      </c>
      <c r="C1318" t="s">
        <v>6</v>
      </c>
      <c r="D1318" t="s">
        <v>20</v>
      </c>
      <c r="E1318" t="s">
        <v>25</v>
      </c>
      <c r="F1318">
        <v>1307.6099999999999</v>
      </c>
    </row>
    <row r="1319" spans="1:6" x14ac:dyDescent="0.35">
      <c r="A1319">
        <v>1138</v>
      </c>
      <c r="B1319" s="2">
        <v>45736.375085336993</v>
      </c>
      <c r="C1319" t="s">
        <v>14</v>
      </c>
      <c r="D1319" t="s">
        <v>18</v>
      </c>
      <c r="E1319" t="s">
        <v>25</v>
      </c>
      <c r="F1319">
        <v>12497.13</v>
      </c>
    </row>
    <row r="1320" spans="1:6" x14ac:dyDescent="0.35">
      <c r="A1320">
        <v>1130</v>
      </c>
      <c r="B1320" s="2">
        <v>45736.375085336993</v>
      </c>
      <c r="C1320" t="s">
        <v>14</v>
      </c>
      <c r="D1320" t="s">
        <v>19</v>
      </c>
      <c r="E1320" t="s">
        <v>25</v>
      </c>
      <c r="F1320">
        <v>4272.87</v>
      </c>
    </row>
    <row r="1321" spans="1:6" x14ac:dyDescent="0.35">
      <c r="A1321">
        <v>1314</v>
      </c>
      <c r="B1321" s="2">
        <v>45736.375085336993</v>
      </c>
      <c r="C1321" t="s">
        <v>13</v>
      </c>
      <c r="D1321" t="s">
        <v>22</v>
      </c>
      <c r="E1321" t="s">
        <v>24</v>
      </c>
      <c r="F1321">
        <v>2830.76</v>
      </c>
    </row>
    <row r="1322" spans="1:6" x14ac:dyDescent="0.35">
      <c r="A1322">
        <v>1259</v>
      </c>
      <c r="B1322" s="2">
        <v>45736.375085336993</v>
      </c>
      <c r="C1322" t="s">
        <v>12</v>
      </c>
      <c r="D1322" t="s">
        <v>22</v>
      </c>
      <c r="E1322" t="s">
        <v>25</v>
      </c>
      <c r="F1322">
        <v>2981.46</v>
      </c>
    </row>
    <row r="1323" spans="1:6" x14ac:dyDescent="0.35">
      <c r="A1323">
        <v>1122</v>
      </c>
      <c r="B1323" s="2">
        <v>45736.375085336993</v>
      </c>
      <c r="C1323" t="s">
        <v>14</v>
      </c>
      <c r="D1323" t="s">
        <v>22</v>
      </c>
      <c r="E1323" t="s">
        <v>23</v>
      </c>
      <c r="F1323">
        <v>1386.29</v>
      </c>
    </row>
    <row r="1324" spans="1:6" x14ac:dyDescent="0.35">
      <c r="A1324">
        <v>1179</v>
      </c>
      <c r="B1324" s="2">
        <v>45737.375085336993</v>
      </c>
      <c r="C1324" t="s">
        <v>13</v>
      </c>
      <c r="D1324" t="s">
        <v>16</v>
      </c>
      <c r="E1324" t="s">
        <v>25</v>
      </c>
      <c r="F1324">
        <v>3508.05</v>
      </c>
    </row>
    <row r="1325" spans="1:6" x14ac:dyDescent="0.35">
      <c r="A1325">
        <v>1284</v>
      </c>
      <c r="B1325" s="2">
        <v>45737.375085336993</v>
      </c>
      <c r="C1325" t="s">
        <v>7</v>
      </c>
      <c r="D1325" t="s">
        <v>19</v>
      </c>
      <c r="E1325" t="s">
        <v>24</v>
      </c>
      <c r="F1325">
        <v>1994.95</v>
      </c>
    </row>
    <row r="1326" spans="1:6" x14ac:dyDescent="0.35">
      <c r="A1326">
        <v>1156</v>
      </c>
      <c r="B1326" s="2">
        <v>45737.375085336993</v>
      </c>
      <c r="C1326" t="s">
        <v>14</v>
      </c>
      <c r="D1326" t="s">
        <v>16</v>
      </c>
      <c r="E1326" t="s">
        <v>23</v>
      </c>
      <c r="F1326">
        <v>5333.41</v>
      </c>
    </row>
    <row r="1327" spans="1:6" x14ac:dyDescent="0.35">
      <c r="A1327">
        <v>1053</v>
      </c>
      <c r="B1327" s="2">
        <v>45737.375085336993</v>
      </c>
      <c r="C1327" t="s">
        <v>12</v>
      </c>
      <c r="D1327" t="s">
        <v>21</v>
      </c>
      <c r="E1327" t="s">
        <v>25</v>
      </c>
      <c r="F1327">
        <v>2431.7600000000002</v>
      </c>
    </row>
    <row r="1328" spans="1:6" x14ac:dyDescent="0.35">
      <c r="A1328">
        <v>1356</v>
      </c>
      <c r="B1328" s="2">
        <v>45738.375085336993</v>
      </c>
      <c r="C1328" t="s">
        <v>8</v>
      </c>
      <c r="D1328" t="s">
        <v>20</v>
      </c>
      <c r="E1328" t="s">
        <v>23</v>
      </c>
      <c r="F1328">
        <v>5399.03</v>
      </c>
    </row>
    <row r="1329" spans="1:6" x14ac:dyDescent="0.35">
      <c r="A1329">
        <v>1038</v>
      </c>
      <c r="B1329" s="2">
        <v>45738.375085336993</v>
      </c>
      <c r="C1329" t="s">
        <v>8</v>
      </c>
      <c r="D1329" t="s">
        <v>17</v>
      </c>
      <c r="E1329" t="s">
        <v>23</v>
      </c>
      <c r="F1329">
        <v>1500.35</v>
      </c>
    </row>
    <row r="1330" spans="1:6" x14ac:dyDescent="0.35">
      <c r="A1330">
        <v>1386</v>
      </c>
      <c r="B1330" s="2">
        <v>45738.375085336993</v>
      </c>
      <c r="C1330" t="s">
        <v>15</v>
      </c>
      <c r="D1330" t="s">
        <v>16</v>
      </c>
      <c r="E1330" t="s">
        <v>23</v>
      </c>
      <c r="F1330">
        <v>9759.51</v>
      </c>
    </row>
    <row r="1331" spans="1:6" x14ac:dyDescent="0.35">
      <c r="A1331">
        <v>1329</v>
      </c>
      <c r="B1331" s="2">
        <v>45738.375085336993</v>
      </c>
      <c r="C1331" t="s">
        <v>8</v>
      </c>
      <c r="D1331" t="s">
        <v>20</v>
      </c>
      <c r="E1331" t="s">
        <v>23</v>
      </c>
      <c r="F1331">
        <v>846.11</v>
      </c>
    </row>
    <row r="1332" spans="1:6" x14ac:dyDescent="0.35">
      <c r="A1332">
        <v>1346</v>
      </c>
      <c r="B1332" s="2">
        <v>45739.375085336993</v>
      </c>
      <c r="C1332" t="s">
        <v>11</v>
      </c>
      <c r="D1332" t="s">
        <v>18</v>
      </c>
      <c r="E1332" t="s">
        <v>25</v>
      </c>
      <c r="F1332">
        <v>3598.42</v>
      </c>
    </row>
    <row r="1333" spans="1:6" x14ac:dyDescent="0.35">
      <c r="A1333">
        <v>1245</v>
      </c>
      <c r="B1333" s="2">
        <v>45739.375085336993</v>
      </c>
      <c r="C1333" t="s">
        <v>6</v>
      </c>
      <c r="D1333" t="s">
        <v>19</v>
      </c>
      <c r="E1333" t="s">
        <v>23</v>
      </c>
      <c r="F1333">
        <v>8292.19</v>
      </c>
    </row>
    <row r="1334" spans="1:6" x14ac:dyDescent="0.35">
      <c r="A1334">
        <v>1067</v>
      </c>
      <c r="B1334" s="2">
        <v>45740.375085336993</v>
      </c>
      <c r="C1334" t="s">
        <v>9</v>
      </c>
      <c r="D1334" t="s">
        <v>20</v>
      </c>
      <c r="E1334" t="s">
        <v>25</v>
      </c>
      <c r="F1334">
        <v>2574.6999999999998</v>
      </c>
    </row>
    <row r="1335" spans="1:6" x14ac:dyDescent="0.35">
      <c r="A1335">
        <v>1103</v>
      </c>
      <c r="B1335" s="2">
        <v>45740.375085336993</v>
      </c>
      <c r="C1335" t="s">
        <v>8</v>
      </c>
      <c r="D1335" t="s">
        <v>22</v>
      </c>
      <c r="E1335" t="s">
        <v>24</v>
      </c>
      <c r="F1335">
        <v>2053.7600000000002</v>
      </c>
    </row>
    <row r="1336" spans="1:6" x14ac:dyDescent="0.35">
      <c r="A1336">
        <v>1129</v>
      </c>
      <c r="B1336" s="2">
        <v>45740.375085336993</v>
      </c>
      <c r="C1336" t="s">
        <v>13</v>
      </c>
      <c r="D1336" t="s">
        <v>18</v>
      </c>
      <c r="E1336" t="s">
        <v>25</v>
      </c>
      <c r="F1336">
        <v>1676.66</v>
      </c>
    </row>
    <row r="1337" spans="1:6" x14ac:dyDescent="0.35">
      <c r="A1337">
        <v>1348</v>
      </c>
      <c r="B1337" s="2">
        <v>45740.375085336993</v>
      </c>
      <c r="C1337" t="s">
        <v>9</v>
      </c>
      <c r="D1337" t="s">
        <v>20</v>
      </c>
      <c r="E1337" t="s">
        <v>23</v>
      </c>
      <c r="F1337">
        <v>1543.32</v>
      </c>
    </row>
    <row r="1338" spans="1:6" x14ac:dyDescent="0.35">
      <c r="A1338">
        <v>1014</v>
      </c>
      <c r="B1338" s="2">
        <v>45740.375085336993</v>
      </c>
      <c r="C1338" t="s">
        <v>7</v>
      </c>
      <c r="D1338" t="s">
        <v>21</v>
      </c>
      <c r="E1338" t="s">
        <v>25</v>
      </c>
      <c r="F1338">
        <v>2882.75</v>
      </c>
    </row>
    <row r="1339" spans="1:6" x14ac:dyDescent="0.35">
      <c r="A1339">
        <v>1386</v>
      </c>
      <c r="B1339" s="2">
        <v>45741.375085336993</v>
      </c>
      <c r="C1339" t="s">
        <v>7</v>
      </c>
      <c r="D1339" t="s">
        <v>22</v>
      </c>
      <c r="E1339" t="s">
        <v>24</v>
      </c>
      <c r="F1339">
        <v>200.49</v>
      </c>
    </row>
    <row r="1340" spans="1:6" x14ac:dyDescent="0.35">
      <c r="A1340">
        <v>1222</v>
      </c>
      <c r="B1340" s="2">
        <v>45741.375085336993</v>
      </c>
      <c r="C1340" t="s">
        <v>9</v>
      </c>
      <c r="D1340" t="s">
        <v>20</v>
      </c>
      <c r="E1340" t="s">
        <v>25</v>
      </c>
      <c r="F1340">
        <v>6600.46</v>
      </c>
    </row>
    <row r="1341" spans="1:6" x14ac:dyDescent="0.35">
      <c r="A1341">
        <v>1097</v>
      </c>
      <c r="B1341" s="2">
        <v>45741.375085336993</v>
      </c>
      <c r="C1341" t="s">
        <v>7</v>
      </c>
      <c r="D1341" t="s">
        <v>16</v>
      </c>
      <c r="E1341" t="s">
        <v>25</v>
      </c>
      <c r="F1341">
        <v>3960.4</v>
      </c>
    </row>
    <row r="1342" spans="1:6" x14ac:dyDescent="0.35">
      <c r="A1342">
        <v>1234</v>
      </c>
      <c r="B1342" s="2">
        <v>45742.375085336993</v>
      </c>
      <c r="C1342" t="s">
        <v>14</v>
      </c>
      <c r="D1342" t="s">
        <v>19</v>
      </c>
      <c r="E1342" t="s">
        <v>25</v>
      </c>
      <c r="F1342">
        <v>6576.44</v>
      </c>
    </row>
    <row r="1343" spans="1:6" x14ac:dyDescent="0.35">
      <c r="A1343">
        <v>1285</v>
      </c>
      <c r="B1343" s="2">
        <v>45742.375085336993</v>
      </c>
      <c r="C1343" t="s">
        <v>6</v>
      </c>
      <c r="D1343" t="s">
        <v>19</v>
      </c>
      <c r="E1343" t="s">
        <v>23</v>
      </c>
      <c r="F1343">
        <v>2863.09</v>
      </c>
    </row>
    <row r="1344" spans="1:6" x14ac:dyDescent="0.35">
      <c r="A1344">
        <v>1375</v>
      </c>
      <c r="B1344" s="2">
        <v>45742.375085336993</v>
      </c>
      <c r="C1344" t="s">
        <v>15</v>
      </c>
      <c r="D1344" t="s">
        <v>20</v>
      </c>
      <c r="E1344" t="s">
        <v>24</v>
      </c>
      <c r="F1344">
        <v>9279</v>
      </c>
    </row>
    <row r="1345" spans="1:6" x14ac:dyDescent="0.35">
      <c r="A1345">
        <v>1309</v>
      </c>
      <c r="B1345" s="2">
        <v>45742.375085336993</v>
      </c>
      <c r="C1345" t="s">
        <v>14</v>
      </c>
      <c r="D1345" t="s">
        <v>19</v>
      </c>
      <c r="E1345" t="s">
        <v>24</v>
      </c>
      <c r="F1345">
        <v>2764.69</v>
      </c>
    </row>
    <row r="1346" spans="1:6" x14ac:dyDescent="0.35">
      <c r="A1346">
        <v>1028</v>
      </c>
      <c r="B1346" s="2">
        <v>45742.375085336993</v>
      </c>
      <c r="C1346" t="s">
        <v>7</v>
      </c>
      <c r="D1346" t="s">
        <v>22</v>
      </c>
      <c r="E1346" t="s">
        <v>24</v>
      </c>
      <c r="F1346">
        <v>4568.59</v>
      </c>
    </row>
    <row r="1347" spans="1:6" x14ac:dyDescent="0.35">
      <c r="A1347">
        <v>1346</v>
      </c>
      <c r="B1347" s="2">
        <v>45743.375085336993</v>
      </c>
      <c r="C1347" t="s">
        <v>10</v>
      </c>
      <c r="D1347" t="s">
        <v>20</v>
      </c>
      <c r="E1347" t="s">
        <v>24</v>
      </c>
      <c r="F1347">
        <v>4950.68</v>
      </c>
    </row>
    <row r="1348" spans="1:6" x14ac:dyDescent="0.35">
      <c r="A1348">
        <v>1372</v>
      </c>
      <c r="B1348" s="2">
        <v>45743.375085336993</v>
      </c>
      <c r="C1348" t="s">
        <v>11</v>
      </c>
      <c r="D1348" t="s">
        <v>20</v>
      </c>
      <c r="E1348" t="s">
        <v>23</v>
      </c>
      <c r="F1348">
        <v>1689.36</v>
      </c>
    </row>
    <row r="1349" spans="1:6" x14ac:dyDescent="0.35">
      <c r="A1349">
        <v>1043</v>
      </c>
      <c r="B1349" s="2">
        <v>45743.375085336993</v>
      </c>
      <c r="C1349" t="s">
        <v>10</v>
      </c>
      <c r="D1349" t="s">
        <v>21</v>
      </c>
      <c r="E1349" t="s">
        <v>24</v>
      </c>
      <c r="F1349">
        <v>5000.99</v>
      </c>
    </row>
    <row r="1350" spans="1:6" x14ac:dyDescent="0.35">
      <c r="A1350">
        <v>1111</v>
      </c>
      <c r="B1350" s="2">
        <v>45743.375085336993</v>
      </c>
      <c r="C1350" t="s">
        <v>7</v>
      </c>
      <c r="D1350" t="s">
        <v>22</v>
      </c>
      <c r="E1350" t="s">
        <v>25</v>
      </c>
      <c r="F1350">
        <v>1383.79</v>
      </c>
    </row>
    <row r="1351" spans="1:6" x14ac:dyDescent="0.35">
      <c r="A1351">
        <v>1071</v>
      </c>
      <c r="B1351" s="2">
        <v>45743.375085336993</v>
      </c>
      <c r="C1351" t="s">
        <v>15</v>
      </c>
      <c r="D1351" t="s">
        <v>22</v>
      </c>
      <c r="E1351" t="s">
        <v>23</v>
      </c>
      <c r="F1351">
        <v>3765.19</v>
      </c>
    </row>
    <row r="1352" spans="1:6" x14ac:dyDescent="0.35">
      <c r="A1352">
        <v>1360</v>
      </c>
      <c r="B1352" s="2">
        <v>45743.375085336993</v>
      </c>
      <c r="C1352" t="s">
        <v>6</v>
      </c>
      <c r="D1352" t="s">
        <v>17</v>
      </c>
      <c r="E1352" t="s">
        <v>24</v>
      </c>
      <c r="F1352">
        <v>7944.33</v>
      </c>
    </row>
    <row r="1353" spans="1:6" x14ac:dyDescent="0.35">
      <c r="A1353">
        <v>1222</v>
      </c>
      <c r="B1353" s="2">
        <v>45744.375085336993</v>
      </c>
      <c r="C1353" t="s">
        <v>13</v>
      </c>
      <c r="D1353" t="s">
        <v>19</v>
      </c>
      <c r="E1353" t="s">
        <v>23</v>
      </c>
      <c r="F1353">
        <v>2155.1999999999998</v>
      </c>
    </row>
    <row r="1354" spans="1:6" x14ac:dyDescent="0.35">
      <c r="A1354">
        <v>1280</v>
      </c>
      <c r="B1354" s="2">
        <v>45744.375085336993</v>
      </c>
      <c r="C1354" t="s">
        <v>11</v>
      </c>
      <c r="D1354" t="s">
        <v>20</v>
      </c>
      <c r="E1354" t="s">
        <v>23</v>
      </c>
      <c r="F1354">
        <v>4103.84</v>
      </c>
    </row>
    <row r="1355" spans="1:6" x14ac:dyDescent="0.35">
      <c r="A1355">
        <v>1269</v>
      </c>
      <c r="B1355" s="2">
        <v>45744.375085336993</v>
      </c>
      <c r="C1355" t="s">
        <v>12</v>
      </c>
      <c r="D1355" t="s">
        <v>21</v>
      </c>
      <c r="E1355" t="s">
        <v>23</v>
      </c>
      <c r="F1355">
        <v>8410.77</v>
      </c>
    </row>
    <row r="1356" spans="1:6" x14ac:dyDescent="0.35">
      <c r="A1356">
        <v>1286</v>
      </c>
      <c r="B1356" s="2">
        <v>45744.375085336993</v>
      </c>
      <c r="C1356" t="s">
        <v>10</v>
      </c>
      <c r="D1356" t="s">
        <v>19</v>
      </c>
      <c r="E1356" t="s">
        <v>25</v>
      </c>
      <c r="F1356">
        <v>4631.1899999999996</v>
      </c>
    </row>
    <row r="1357" spans="1:6" x14ac:dyDescent="0.35">
      <c r="A1357">
        <v>1039</v>
      </c>
      <c r="B1357" s="2">
        <v>45744.375085336993</v>
      </c>
      <c r="C1357" t="s">
        <v>13</v>
      </c>
      <c r="D1357" t="s">
        <v>21</v>
      </c>
      <c r="E1357" t="s">
        <v>24</v>
      </c>
      <c r="F1357">
        <v>5975.25</v>
      </c>
    </row>
    <row r="1358" spans="1:6" x14ac:dyDescent="0.35">
      <c r="A1358">
        <v>1086</v>
      </c>
      <c r="B1358" s="2">
        <v>45745.375085336993</v>
      </c>
      <c r="C1358" t="s">
        <v>13</v>
      </c>
      <c r="D1358" t="s">
        <v>17</v>
      </c>
      <c r="E1358" t="s">
        <v>23</v>
      </c>
      <c r="F1358">
        <v>2177.0300000000002</v>
      </c>
    </row>
    <row r="1359" spans="1:6" x14ac:dyDescent="0.35">
      <c r="A1359">
        <v>1244</v>
      </c>
      <c r="B1359" s="2">
        <v>45745.375085336993</v>
      </c>
      <c r="C1359" t="s">
        <v>6</v>
      </c>
      <c r="D1359" t="s">
        <v>20</v>
      </c>
      <c r="E1359" t="s">
        <v>24</v>
      </c>
      <c r="F1359">
        <v>3791.45</v>
      </c>
    </row>
    <row r="1360" spans="1:6" x14ac:dyDescent="0.35">
      <c r="A1360">
        <v>1011</v>
      </c>
      <c r="B1360" s="2">
        <v>45745.375085336993</v>
      </c>
      <c r="C1360" t="s">
        <v>9</v>
      </c>
      <c r="D1360" t="s">
        <v>17</v>
      </c>
      <c r="E1360" t="s">
        <v>23</v>
      </c>
      <c r="F1360">
        <v>2768.21</v>
      </c>
    </row>
    <row r="1361" spans="1:6" x14ac:dyDescent="0.35">
      <c r="A1361">
        <v>1277</v>
      </c>
      <c r="B1361" s="2">
        <v>45745.375085336993</v>
      </c>
      <c r="C1361" t="s">
        <v>9</v>
      </c>
      <c r="D1361" t="s">
        <v>17</v>
      </c>
      <c r="E1361" t="s">
        <v>25</v>
      </c>
      <c r="F1361">
        <v>3402.38</v>
      </c>
    </row>
    <row r="1362" spans="1:6" x14ac:dyDescent="0.35">
      <c r="A1362">
        <v>1153</v>
      </c>
      <c r="B1362" s="2">
        <v>45746.375085336993</v>
      </c>
      <c r="C1362" t="s">
        <v>14</v>
      </c>
      <c r="D1362" t="s">
        <v>19</v>
      </c>
      <c r="E1362" t="s">
        <v>23</v>
      </c>
      <c r="F1362">
        <v>290.64</v>
      </c>
    </row>
    <row r="1363" spans="1:6" x14ac:dyDescent="0.35">
      <c r="A1363">
        <v>1309</v>
      </c>
      <c r="B1363" s="2">
        <v>45746.375085336993</v>
      </c>
      <c r="C1363" t="s">
        <v>14</v>
      </c>
      <c r="D1363" t="s">
        <v>19</v>
      </c>
      <c r="E1363" t="s">
        <v>23</v>
      </c>
      <c r="F1363">
        <v>8701.2000000000007</v>
      </c>
    </row>
    <row r="1364" spans="1:6" x14ac:dyDescent="0.35">
      <c r="A1364">
        <v>1064</v>
      </c>
      <c r="B1364" s="2">
        <v>45746.375085336993</v>
      </c>
      <c r="C1364" t="s">
        <v>8</v>
      </c>
      <c r="D1364" t="s">
        <v>17</v>
      </c>
      <c r="E1364" t="s">
        <v>25</v>
      </c>
      <c r="F1364">
        <v>4075.15</v>
      </c>
    </row>
    <row r="1365" spans="1:6" x14ac:dyDescent="0.35">
      <c r="A1365">
        <v>1327</v>
      </c>
      <c r="B1365" s="2">
        <v>45746.375085336993</v>
      </c>
      <c r="C1365" t="s">
        <v>6</v>
      </c>
      <c r="D1365" t="s">
        <v>19</v>
      </c>
      <c r="E1365" t="s">
        <v>23</v>
      </c>
      <c r="F1365">
        <v>5612.88</v>
      </c>
    </row>
    <row r="1366" spans="1:6" x14ac:dyDescent="0.35">
      <c r="A1366">
        <v>1347</v>
      </c>
      <c r="B1366" s="2">
        <v>45746.375085336993</v>
      </c>
      <c r="C1366" t="s">
        <v>7</v>
      </c>
      <c r="D1366" t="s">
        <v>21</v>
      </c>
      <c r="E1366" t="s">
        <v>24</v>
      </c>
      <c r="F1366">
        <v>2542.85</v>
      </c>
    </row>
    <row r="1367" spans="1:6" x14ac:dyDescent="0.35">
      <c r="A1367">
        <v>1091</v>
      </c>
      <c r="B1367" s="2">
        <v>45747.375085336993</v>
      </c>
      <c r="C1367" t="s">
        <v>9</v>
      </c>
      <c r="D1367" t="s">
        <v>19</v>
      </c>
      <c r="E1367" t="s">
        <v>24</v>
      </c>
      <c r="F1367">
        <v>2806.27</v>
      </c>
    </row>
    <row r="1368" spans="1:6" x14ac:dyDescent="0.35">
      <c r="A1368">
        <v>1166</v>
      </c>
      <c r="B1368" s="2">
        <v>45747.375085336993</v>
      </c>
      <c r="C1368" t="s">
        <v>9</v>
      </c>
      <c r="D1368" t="s">
        <v>17</v>
      </c>
      <c r="E1368" t="s">
        <v>25</v>
      </c>
      <c r="F1368">
        <v>5064.58</v>
      </c>
    </row>
    <row r="1369" spans="1:6" x14ac:dyDescent="0.35">
      <c r="A1369">
        <v>1236</v>
      </c>
      <c r="B1369" s="2">
        <v>45747.375085336993</v>
      </c>
      <c r="C1369" t="s">
        <v>11</v>
      </c>
      <c r="D1369" t="s">
        <v>21</v>
      </c>
      <c r="E1369" t="s">
        <v>25</v>
      </c>
      <c r="F1369">
        <v>5597.09</v>
      </c>
    </row>
    <row r="1370" spans="1:6" x14ac:dyDescent="0.35">
      <c r="A1370">
        <v>1081</v>
      </c>
      <c r="B1370" s="2">
        <v>45748.375085336993</v>
      </c>
      <c r="C1370" t="s">
        <v>6</v>
      </c>
      <c r="D1370" t="s">
        <v>20</v>
      </c>
      <c r="E1370" t="s">
        <v>24</v>
      </c>
      <c r="F1370">
        <v>6811.67</v>
      </c>
    </row>
    <row r="1371" spans="1:6" x14ac:dyDescent="0.35">
      <c r="A1371">
        <v>1169</v>
      </c>
      <c r="B1371" s="2">
        <v>45748.375085336993</v>
      </c>
      <c r="C1371" t="s">
        <v>14</v>
      </c>
      <c r="D1371" t="s">
        <v>19</v>
      </c>
      <c r="E1371" t="s">
        <v>24</v>
      </c>
      <c r="F1371">
        <v>1683.61</v>
      </c>
    </row>
    <row r="1372" spans="1:6" x14ac:dyDescent="0.35">
      <c r="A1372">
        <v>1057</v>
      </c>
      <c r="B1372" s="2">
        <v>45748.375085336993</v>
      </c>
      <c r="C1372" t="s">
        <v>11</v>
      </c>
      <c r="D1372" t="s">
        <v>17</v>
      </c>
      <c r="E1372" t="s">
        <v>24</v>
      </c>
      <c r="F1372">
        <v>1955.95</v>
      </c>
    </row>
    <row r="1373" spans="1:6" x14ac:dyDescent="0.35">
      <c r="A1373">
        <v>1077</v>
      </c>
      <c r="B1373" s="2">
        <v>45748.375085336993</v>
      </c>
      <c r="C1373" t="s">
        <v>15</v>
      </c>
      <c r="D1373" t="s">
        <v>22</v>
      </c>
      <c r="E1373" t="s">
        <v>25</v>
      </c>
      <c r="F1373">
        <v>4979.3599999999997</v>
      </c>
    </row>
    <row r="1374" spans="1:6" x14ac:dyDescent="0.35">
      <c r="A1374">
        <v>1217</v>
      </c>
      <c r="B1374" s="2">
        <v>45748.375085336993</v>
      </c>
      <c r="C1374" t="s">
        <v>7</v>
      </c>
      <c r="D1374" t="s">
        <v>16</v>
      </c>
      <c r="E1374" t="s">
        <v>23</v>
      </c>
      <c r="F1374">
        <v>8405.2000000000007</v>
      </c>
    </row>
    <row r="1375" spans="1:6" x14ac:dyDescent="0.35">
      <c r="A1375">
        <v>1009</v>
      </c>
      <c r="B1375" s="2">
        <v>45748.375085336993</v>
      </c>
      <c r="C1375" t="s">
        <v>13</v>
      </c>
      <c r="D1375" t="s">
        <v>18</v>
      </c>
      <c r="E1375" t="s">
        <v>24</v>
      </c>
      <c r="F1375">
        <v>4494.74</v>
      </c>
    </row>
    <row r="1376" spans="1:6" x14ac:dyDescent="0.35">
      <c r="A1376">
        <v>1159</v>
      </c>
      <c r="B1376" s="2">
        <v>45748.375085336993</v>
      </c>
      <c r="C1376" t="s">
        <v>7</v>
      </c>
      <c r="D1376" t="s">
        <v>22</v>
      </c>
      <c r="E1376" t="s">
        <v>25</v>
      </c>
      <c r="F1376">
        <v>4535.1099999999997</v>
      </c>
    </row>
    <row r="1377" spans="1:6" x14ac:dyDescent="0.35">
      <c r="A1377">
        <v>1046</v>
      </c>
      <c r="B1377" s="2">
        <v>45749.375085336993</v>
      </c>
      <c r="C1377" t="s">
        <v>11</v>
      </c>
      <c r="D1377" t="s">
        <v>19</v>
      </c>
      <c r="E1377" t="s">
        <v>24</v>
      </c>
      <c r="F1377">
        <v>1577.88</v>
      </c>
    </row>
    <row r="1378" spans="1:6" x14ac:dyDescent="0.35">
      <c r="A1378">
        <v>1073</v>
      </c>
      <c r="B1378" s="2">
        <v>45749.375085336993</v>
      </c>
      <c r="C1378" t="s">
        <v>8</v>
      </c>
      <c r="D1378" t="s">
        <v>19</v>
      </c>
      <c r="E1378" t="s">
        <v>25</v>
      </c>
      <c r="F1378">
        <v>5784.35</v>
      </c>
    </row>
    <row r="1379" spans="1:6" x14ac:dyDescent="0.35">
      <c r="A1379">
        <v>1283</v>
      </c>
      <c r="B1379" s="2">
        <v>45749.375085336993</v>
      </c>
      <c r="C1379" t="s">
        <v>13</v>
      </c>
      <c r="D1379" t="s">
        <v>18</v>
      </c>
      <c r="E1379" t="s">
        <v>23</v>
      </c>
      <c r="F1379">
        <v>3686.84</v>
      </c>
    </row>
    <row r="1380" spans="1:6" x14ac:dyDescent="0.35">
      <c r="A1380">
        <v>1275</v>
      </c>
      <c r="B1380" s="2">
        <v>45750.375085336993</v>
      </c>
      <c r="C1380" t="s">
        <v>11</v>
      </c>
      <c r="D1380" t="s">
        <v>22</v>
      </c>
      <c r="E1380" t="s">
        <v>23</v>
      </c>
      <c r="F1380">
        <v>3995.36</v>
      </c>
    </row>
    <row r="1381" spans="1:6" x14ac:dyDescent="0.35">
      <c r="A1381">
        <v>1299</v>
      </c>
      <c r="B1381" s="2">
        <v>45750.375085336993</v>
      </c>
      <c r="C1381" t="s">
        <v>7</v>
      </c>
      <c r="D1381" t="s">
        <v>21</v>
      </c>
      <c r="E1381" t="s">
        <v>23</v>
      </c>
      <c r="F1381">
        <v>4700.29</v>
      </c>
    </row>
    <row r="1382" spans="1:6" x14ac:dyDescent="0.35">
      <c r="A1382">
        <v>1349</v>
      </c>
      <c r="B1382" s="2">
        <v>45750.375085336993</v>
      </c>
      <c r="C1382" t="s">
        <v>7</v>
      </c>
      <c r="D1382" t="s">
        <v>20</v>
      </c>
      <c r="E1382" t="s">
        <v>23</v>
      </c>
      <c r="F1382">
        <v>1812.45</v>
      </c>
    </row>
    <row r="1383" spans="1:6" x14ac:dyDescent="0.35">
      <c r="A1383">
        <v>1046</v>
      </c>
      <c r="B1383" s="2">
        <v>45750.375085336993</v>
      </c>
      <c r="C1383" t="s">
        <v>10</v>
      </c>
      <c r="D1383" t="s">
        <v>19</v>
      </c>
      <c r="E1383" t="s">
        <v>24</v>
      </c>
      <c r="F1383">
        <v>933.56</v>
      </c>
    </row>
    <row r="1384" spans="1:6" x14ac:dyDescent="0.35">
      <c r="A1384">
        <v>1318</v>
      </c>
      <c r="B1384" s="2">
        <v>45752.375085336993</v>
      </c>
      <c r="C1384" t="s">
        <v>6</v>
      </c>
      <c r="D1384" t="s">
        <v>16</v>
      </c>
      <c r="E1384" t="s">
        <v>23</v>
      </c>
      <c r="F1384">
        <v>5361.89</v>
      </c>
    </row>
    <row r="1385" spans="1:6" x14ac:dyDescent="0.35">
      <c r="A1385">
        <v>1268</v>
      </c>
      <c r="B1385" s="2">
        <v>45753.375085336993</v>
      </c>
      <c r="C1385" t="s">
        <v>11</v>
      </c>
      <c r="D1385" t="s">
        <v>17</v>
      </c>
      <c r="E1385" t="s">
        <v>23</v>
      </c>
      <c r="F1385">
        <v>5758.25</v>
      </c>
    </row>
    <row r="1386" spans="1:6" x14ac:dyDescent="0.35">
      <c r="A1386">
        <v>1272</v>
      </c>
      <c r="B1386" s="2">
        <v>45753.375085336993</v>
      </c>
      <c r="C1386" t="s">
        <v>15</v>
      </c>
      <c r="D1386" t="s">
        <v>16</v>
      </c>
      <c r="E1386" t="s">
        <v>24</v>
      </c>
      <c r="F1386">
        <v>4368.41</v>
      </c>
    </row>
    <row r="1387" spans="1:6" x14ac:dyDescent="0.35">
      <c r="A1387">
        <v>1273</v>
      </c>
      <c r="B1387" s="2">
        <v>45753.375085336993</v>
      </c>
      <c r="C1387" t="s">
        <v>12</v>
      </c>
      <c r="D1387" t="s">
        <v>18</v>
      </c>
      <c r="E1387" t="s">
        <v>24</v>
      </c>
      <c r="F1387">
        <v>3240.96</v>
      </c>
    </row>
    <row r="1388" spans="1:6" x14ac:dyDescent="0.35">
      <c r="A1388">
        <v>1266</v>
      </c>
      <c r="B1388" s="2">
        <v>45754.375085336993</v>
      </c>
      <c r="C1388" t="s">
        <v>14</v>
      </c>
      <c r="D1388" t="s">
        <v>21</v>
      </c>
      <c r="E1388" t="s">
        <v>24</v>
      </c>
      <c r="F1388">
        <v>3986.09</v>
      </c>
    </row>
    <row r="1389" spans="1:6" x14ac:dyDescent="0.35">
      <c r="A1389">
        <v>1076</v>
      </c>
      <c r="B1389" s="2">
        <v>45754.375085336993</v>
      </c>
      <c r="C1389" t="s">
        <v>12</v>
      </c>
      <c r="D1389" t="s">
        <v>19</v>
      </c>
      <c r="E1389" t="s">
        <v>23</v>
      </c>
      <c r="F1389">
        <v>2239.0700000000002</v>
      </c>
    </row>
    <row r="1390" spans="1:6" x14ac:dyDescent="0.35">
      <c r="A1390">
        <v>1266</v>
      </c>
      <c r="B1390" s="2">
        <v>45754.375085336993</v>
      </c>
      <c r="C1390" t="s">
        <v>7</v>
      </c>
      <c r="D1390" t="s">
        <v>22</v>
      </c>
      <c r="E1390" t="s">
        <v>24</v>
      </c>
      <c r="F1390">
        <v>5861.59</v>
      </c>
    </row>
    <row r="1391" spans="1:6" x14ac:dyDescent="0.35">
      <c r="A1391">
        <v>1034</v>
      </c>
      <c r="B1391" s="2">
        <v>45754.375085336993</v>
      </c>
      <c r="C1391" t="s">
        <v>7</v>
      </c>
      <c r="D1391" t="s">
        <v>16</v>
      </c>
      <c r="E1391" t="s">
        <v>24</v>
      </c>
      <c r="F1391">
        <v>4414.5200000000004</v>
      </c>
    </row>
    <row r="1392" spans="1:6" x14ac:dyDescent="0.35">
      <c r="A1392">
        <v>1233</v>
      </c>
      <c r="B1392" s="2">
        <v>45755.375085336993</v>
      </c>
      <c r="C1392" t="s">
        <v>7</v>
      </c>
      <c r="D1392" t="s">
        <v>22</v>
      </c>
      <c r="E1392" t="s">
        <v>24</v>
      </c>
      <c r="F1392">
        <v>1569.9</v>
      </c>
    </row>
    <row r="1393" spans="1:6" x14ac:dyDescent="0.35">
      <c r="A1393">
        <v>1385</v>
      </c>
      <c r="B1393" s="2">
        <v>45755.375085336993</v>
      </c>
      <c r="C1393" t="s">
        <v>12</v>
      </c>
      <c r="D1393" t="s">
        <v>20</v>
      </c>
      <c r="E1393" t="s">
        <v>23</v>
      </c>
      <c r="F1393">
        <v>6165.22</v>
      </c>
    </row>
    <row r="1394" spans="1:6" x14ac:dyDescent="0.35">
      <c r="A1394">
        <v>1246</v>
      </c>
      <c r="B1394" s="2">
        <v>45755.375085336993</v>
      </c>
      <c r="C1394" t="s">
        <v>6</v>
      </c>
      <c r="D1394" t="s">
        <v>19</v>
      </c>
      <c r="E1394" t="s">
        <v>25</v>
      </c>
      <c r="F1394">
        <v>5305.12</v>
      </c>
    </row>
    <row r="1395" spans="1:6" x14ac:dyDescent="0.35">
      <c r="A1395">
        <v>1216</v>
      </c>
      <c r="B1395" s="2">
        <v>45755.375085336993</v>
      </c>
      <c r="C1395" t="s">
        <v>10</v>
      </c>
      <c r="D1395" t="s">
        <v>17</v>
      </c>
      <c r="E1395" t="s">
        <v>25</v>
      </c>
      <c r="F1395">
        <v>1371.24</v>
      </c>
    </row>
    <row r="1396" spans="1:6" x14ac:dyDescent="0.35">
      <c r="A1396">
        <v>1113</v>
      </c>
      <c r="B1396" s="2">
        <v>45756.375085336993</v>
      </c>
      <c r="C1396" t="s">
        <v>7</v>
      </c>
      <c r="D1396" t="s">
        <v>20</v>
      </c>
      <c r="E1396" t="s">
        <v>24</v>
      </c>
      <c r="F1396">
        <v>5016.47</v>
      </c>
    </row>
    <row r="1397" spans="1:6" x14ac:dyDescent="0.35">
      <c r="A1397">
        <v>1003</v>
      </c>
      <c r="B1397" s="2">
        <v>45756.375085336993</v>
      </c>
      <c r="C1397" t="s">
        <v>10</v>
      </c>
      <c r="D1397" t="s">
        <v>17</v>
      </c>
      <c r="E1397" t="s">
        <v>24</v>
      </c>
      <c r="F1397">
        <v>6548.41</v>
      </c>
    </row>
    <row r="1398" spans="1:6" x14ac:dyDescent="0.35">
      <c r="A1398">
        <v>1345</v>
      </c>
      <c r="B1398" s="2">
        <v>45757.375085336993</v>
      </c>
      <c r="C1398" t="s">
        <v>10</v>
      </c>
      <c r="D1398" t="s">
        <v>20</v>
      </c>
      <c r="E1398" t="s">
        <v>23</v>
      </c>
      <c r="F1398">
        <v>2495.86</v>
      </c>
    </row>
    <row r="1399" spans="1:6" x14ac:dyDescent="0.35">
      <c r="A1399">
        <v>1300</v>
      </c>
      <c r="B1399" s="2">
        <v>45757.375085336993</v>
      </c>
      <c r="C1399" t="s">
        <v>9</v>
      </c>
      <c r="D1399" t="s">
        <v>18</v>
      </c>
      <c r="E1399" t="s">
        <v>23</v>
      </c>
      <c r="F1399">
        <v>976.4</v>
      </c>
    </row>
    <row r="1400" spans="1:6" x14ac:dyDescent="0.35">
      <c r="A1400">
        <v>1128</v>
      </c>
      <c r="B1400" s="2">
        <v>45758.375085336993</v>
      </c>
      <c r="C1400" t="s">
        <v>6</v>
      </c>
      <c r="D1400" t="s">
        <v>18</v>
      </c>
      <c r="E1400" t="s">
        <v>23</v>
      </c>
      <c r="F1400">
        <v>6153.84</v>
      </c>
    </row>
    <row r="1401" spans="1:6" x14ac:dyDescent="0.35">
      <c r="A1401">
        <v>1068</v>
      </c>
      <c r="B1401" s="2">
        <v>45759.375085336993</v>
      </c>
      <c r="C1401" t="s">
        <v>7</v>
      </c>
      <c r="D1401" t="s">
        <v>22</v>
      </c>
      <c r="E1401" t="s">
        <v>24</v>
      </c>
      <c r="F1401">
        <v>2899.13</v>
      </c>
    </row>
    <row r="1402" spans="1:6" x14ac:dyDescent="0.35">
      <c r="A1402">
        <v>1149</v>
      </c>
      <c r="B1402" s="2">
        <v>45759.375085336993</v>
      </c>
      <c r="C1402" t="s">
        <v>13</v>
      </c>
      <c r="D1402" t="s">
        <v>22</v>
      </c>
      <c r="E1402" t="s">
        <v>24</v>
      </c>
      <c r="F1402">
        <v>1711.94</v>
      </c>
    </row>
    <row r="1403" spans="1:6" x14ac:dyDescent="0.35">
      <c r="A1403">
        <v>1062</v>
      </c>
      <c r="B1403" s="2">
        <v>45759.375085336993</v>
      </c>
      <c r="C1403" t="s">
        <v>9</v>
      </c>
      <c r="D1403" t="s">
        <v>20</v>
      </c>
      <c r="E1403" t="s">
        <v>24</v>
      </c>
      <c r="F1403">
        <v>2939.57</v>
      </c>
    </row>
    <row r="1404" spans="1:6" x14ac:dyDescent="0.35">
      <c r="A1404">
        <v>1316</v>
      </c>
      <c r="B1404" s="2">
        <v>45759.375085336993</v>
      </c>
      <c r="C1404" t="s">
        <v>9</v>
      </c>
      <c r="D1404" t="s">
        <v>18</v>
      </c>
      <c r="E1404" t="s">
        <v>24</v>
      </c>
      <c r="F1404">
        <v>1049.05</v>
      </c>
    </row>
    <row r="1405" spans="1:6" x14ac:dyDescent="0.35">
      <c r="A1405">
        <v>1163</v>
      </c>
      <c r="B1405" s="2">
        <v>45759.375085336993</v>
      </c>
      <c r="C1405" t="s">
        <v>10</v>
      </c>
      <c r="D1405" t="s">
        <v>20</v>
      </c>
      <c r="E1405" t="s">
        <v>24</v>
      </c>
      <c r="F1405">
        <v>1479.06</v>
      </c>
    </row>
    <row r="1406" spans="1:6" x14ac:dyDescent="0.35">
      <c r="A1406">
        <v>1091</v>
      </c>
      <c r="B1406" s="2">
        <v>45759.375085336993</v>
      </c>
      <c r="C1406" t="s">
        <v>7</v>
      </c>
      <c r="D1406" t="s">
        <v>21</v>
      </c>
      <c r="E1406" t="s">
        <v>24</v>
      </c>
      <c r="F1406">
        <v>2602.27</v>
      </c>
    </row>
    <row r="1407" spans="1:6" x14ac:dyDescent="0.35">
      <c r="A1407">
        <v>1191</v>
      </c>
      <c r="B1407" s="2">
        <v>45759.375085336993</v>
      </c>
      <c r="C1407" t="s">
        <v>15</v>
      </c>
      <c r="D1407" t="s">
        <v>22</v>
      </c>
      <c r="E1407" t="s">
        <v>25</v>
      </c>
      <c r="F1407">
        <v>2128.87</v>
      </c>
    </row>
    <row r="1408" spans="1:6" x14ac:dyDescent="0.35">
      <c r="A1408">
        <v>1388</v>
      </c>
      <c r="B1408" s="2">
        <v>45760.375085336993</v>
      </c>
      <c r="C1408" t="s">
        <v>7</v>
      </c>
      <c r="D1408" t="s">
        <v>21</v>
      </c>
      <c r="E1408" t="s">
        <v>23</v>
      </c>
      <c r="F1408">
        <v>1611.61</v>
      </c>
    </row>
    <row r="1409" spans="1:6" x14ac:dyDescent="0.35">
      <c r="A1409">
        <v>1131</v>
      </c>
      <c r="B1409" s="2">
        <v>45760.375085336993</v>
      </c>
      <c r="C1409" t="s">
        <v>10</v>
      </c>
      <c r="D1409" t="s">
        <v>18</v>
      </c>
      <c r="E1409" t="s">
        <v>24</v>
      </c>
      <c r="F1409">
        <v>5845.46</v>
      </c>
    </row>
    <row r="1410" spans="1:6" x14ac:dyDescent="0.35">
      <c r="A1410">
        <v>1245</v>
      </c>
      <c r="B1410" s="2">
        <v>45760.375085336993</v>
      </c>
      <c r="C1410" t="s">
        <v>7</v>
      </c>
      <c r="D1410" t="s">
        <v>16</v>
      </c>
      <c r="E1410" t="s">
        <v>23</v>
      </c>
      <c r="F1410">
        <v>1486.65</v>
      </c>
    </row>
    <row r="1411" spans="1:6" x14ac:dyDescent="0.35">
      <c r="A1411">
        <v>1299</v>
      </c>
      <c r="B1411" s="2">
        <v>45760.375085336993</v>
      </c>
      <c r="C1411" t="s">
        <v>9</v>
      </c>
      <c r="D1411" t="s">
        <v>21</v>
      </c>
      <c r="E1411" t="s">
        <v>23</v>
      </c>
      <c r="F1411">
        <v>470.1</v>
      </c>
    </row>
    <row r="1412" spans="1:6" x14ac:dyDescent="0.35">
      <c r="A1412">
        <v>1257</v>
      </c>
      <c r="B1412" s="2">
        <v>45760.375085336993</v>
      </c>
      <c r="C1412" t="s">
        <v>9</v>
      </c>
      <c r="D1412" t="s">
        <v>19</v>
      </c>
      <c r="E1412" t="s">
        <v>25</v>
      </c>
      <c r="F1412">
        <v>892.6</v>
      </c>
    </row>
    <row r="1413" spans="1:6" x14ac:dyDescent="0.35">
      <c r="A1413">
        <v>1190</v>
      </c>
      <c r="B1413" s="2">
        <v>45760.375085336993</v>
      </c>
      <c r="C1413" t="s">
        <v>15</v>
      </c>
      <c r="D1413" t="s">
        <v>21</v>
      </c>
      <c r="E1413" t="s">
        <v>25</v>
      </c>
      <c r="F1413">
        <v>1647.59</v>
      </c>
    </row>
    <row r="1414" spans="1:6" x14ac:dyDescent="0.35">
      <c r="A1414">
        <v>1191</v>
      </c>
      <c r="B1414" s="2">
        <v>45760.375085336993</v>
      </c>
      <c r="C1414" t="s">
        <v>7</v>
      </c>
      <c r="D1414" t="s">
        <v>21</v>
      </c>
      <c r="E1414" t="s">
        <v>23</v>
      </c>
      <c r="F1414">
        <v>1410.82</v>
      </c>
    </row>
    <row r="1415" spans="1:6" x14ac:dyDescent="0.35">
      <c r="A1415">
        <v>1376</v>
      </c>
      <c r="B1415" s="2">
        <v>45760.375085336993</v>
      </c>
      <c r="C1415" t="s">
        <v>14</v>
      </c>
      <c r="D1415" t="s">
        <v>22</v>
      </c>
      <c r="E1415" t="s">
        <v>25</v>
      </c>
      <c r="F1415">
        <v>209.13</v>
      </c>
    </row>
    <row r="1416" spans="1:6" x14ac:dyDescent="0.35">
      <c r="A1416">
        <v>1005</v>
      </c>
      <c r="B1416" s="2">
        <v>45761.375085336993</v>
      </c>
      <c r="C1416" t="s">
        <v>7</v>
      </c>
      <c r="D1416" t="s">
        <v>16</v>
      </c>
      <c r="E1416" t="s">
        <v>24</v>
      </c>
      <c r="F1416">
        <v>4325.53</v>
      </c>
    </row>
    <row r="1417" spans="1:6" x14ac:dyDescent="0.35">
      <c r="A1417">
        <v>1261</v>
      </c>
      <c r="B1417" s="2">
        <v>45761.375085336993</v>
      </c>
      <c r="C1417" t="s">
        <v>15</v>
      </c>
      <c r="D1417" t="s">
        <v>22</v>
      </c>
      <c r="E1417" t="s">
        <v>25</v>
      </c>
      <c r="F1417">
        <v>8243.84</v>
      </c>
    </row>
    <row r="1418" spans="1:6" x14ac:dyDescent="0.35">
      <c r="A1418">
        <v>1387</v>
      </c>
      <c r="B1418" s="2">
        <v>45761.375085336993</v>
      </c>
      <c r="C1418" t="s">
        <v>12</v>
      </c>
      <c r="D1418" t="s">
        <v>18</v>
      </c>
      <c r="E1418" t="s">
        <v>24</v>
      </c>
      <c r="F1418">
        <v>4511.7</v>
      </c>
    </row>
    <row r="1419" spans="1:6" x14ac:dyDescent="0.35">
      <c r="A1419">
        <v>1176</v>
      </c>
      <c r="B1419" s="2">
        <v>45762.375085336993</v>
      </c>
      <c r="C1419" t="s">
        <v>8</v>
      </c>
      <c r="D1419" t="s">
        <v>22</v>
      </c>
      <c r="E1419" t="s">
        <v>24</v>
      </c>
      <c r="F1419">
        <v>3944.13</v>
      </c>
    </row>
    <row r="1420" spans="1:6" x14ac:dyDescent="0.35">
      <c r="A1420">
        <v>1246</v>
      </c>
      <c r="B1420" s="2">
        <v>45762.375085336993</v>
      </c>
      <c r="C1420" t="s">
        <v>7</v>
      </c>
      <c r="D1420" t="s">
        <v>16</v>
      </c>
      <c r="E1420" t="s">
        <v>24</v>
      </c>
      <c r="F1420">
        <v>2084.6</v>
      </c>
    </row>
    <row r="1421" spans="1:6" x14ac:dyDescent="0.35">
      <c r="A1421">
        <v>1323</v>
      </c>
      <c r="B1421" s="2">
        <v>45762.375085336993</v>
      </c>
      <c r="C1421" t="s">
        <v>9</v>
      </c>
      <c r="D1421" t="s">
        <v>20</v>
      </c>
      <c r="E1421" t="s">
        <v>25</v>
      </c>
      <c r="F1421">
        <v>2756.22</v>
      </c>
    </row>
    <row r="1422" spans="1:6" x14ac:dyDescent="0.35">
      <c r="A1422">
        <v>1357</v>
      </c>
      <c r="B1422" s="2">
        <v>45763.375085336993</v>
      </c>
      <c r="C1422" t="s">
        <v>14</v>
      </c>
      <c r="D1422" t="s">
        <v>19</v>
      </c>
      <c r="E1422" t="s">
        <v>25</v>
      </c>
      <c r="F1422">
        <v>3474.26</v>
      </c>
    </row>
    <row r="1423" spans="1:6" x14ac:dyDescent="0.35">
      <c r="A1423">
        <v>1340</v>
      </c>
      <c r="B1423" s="2">
        <v>45763.375085336993</v>
      </c>
      <c r="C1423" t="s">
        <v>10</v>
      </c>
      <c r="D1423" t="s">
        <v>21</v>
      </c>
      <c r="E1423" t="s">
        <v>23</v>
      </c>
      <c r="F1423">
        <v>5000.82</v>
      </c>
    </row>
    <row r="1424" spans="1:6" x14ac:dyDescent="0.35">
      <c r="A1424">
        <v>1053</v>
      </c>
      <c r="B1424" s="2">
        <v>45763.375085336993</v>
      </c>
      <c r="C1424" t="s">
        <v>13</v>
      </c>
      <c r="D1424" t="s">
        <v>21</v>
      </c>
      <c r="E1424" t="s">
        <v>24</v>
      </c>
      <c r="F1424">
        <v>2757.34</v>
      </c>
    </row>
    <row r="1425" spans="1:6" x14ac:dyDescent="0.35">
      <c r="A1425">
        <v>1293</v>
      </c>
      <c r="B1425" s="2">
        <v>45763.375085336993</v>
      </c>
      <c r="C1425" t="s">
        <v>13</v>
      </c>
      <c r="D1425" t="s">
        <v>17</v>
      </c>
      <c r="E1425" t="s">
        <v>23</v>
      </c>
      <c r="F1425">
        <v>6101.3</v>
      </c>
    </row>
    <row r="1426" spans="1:6" x14ac:dyDescent="0.35">
      <c r="A1426">
        <v>1116</v>
      </c>
      <c r="B1426" s="2">
        <v>45764.375085336993</v>
      </c>
      <c r="C1426" t="s">
        <v>10</v>
      </c>
      <c r="D1426" t="s">
        <v>16</v>
      </c>
      <c r="E1426" t="s">
        <v>24</v>
      </c>
      <c r="F1426">
        <v>1703.22</v>
      </c>
    </row>
    <row r="1427" spans="1:6" x14ac:dyDescent="0.35">
      <c r="A1427">
        <v>1243</v>
      </c>
      <c r="B1427" s="2">
        <v>45764.375085336993</v>
      </c>
      <c r="C1427" t="s">
        <v>10</v>
      </c>
      <c r="D1427" t="s">
        <v>17</v>
      </c>
      <c r="E1427" t="s">
        <v>24</v>
      </c>
      <c r="F1427">
        <v>1440.3</v>
      </c>
    </row>
    <row r="1428" spans="1:6" x14ac:dyDescent="0.35">
      <c r="A1428">
        <v>1164</v>
      </c>
      <c r="B1428" s="2">
        <v>45765.375085336993</v>
      </c>
      <c r="C1428" t="s">
        <v>10</v>
      </c>
      <c r="D1428" t="s">
        <v>18</v>
      </c>
      <c r="E1428" t="s">
        <v>23</v>
      </c>
      <c r="F1428">
        <v>2672.49</v>
      </c>
    </row>
    <row r="1429" spans="1:6" x14ac:dyDescent="0.35">
      <c r="A1429">
        <v>1140</v>
      </c>
      <c r="B1429" s="2">
        <v>45765.375085336993</v>
      </c>
      <c r="C1429" t="s">
        <v>8</v>
      </c>
      <c r="D1429" t="s">
        <v>22</v>
      </c>
      <c r="E1429" t="s">
        <v>25</v>
      </c>
      <c r="F1429">
        <v>483.43</v>
      </c>
    </row>
    <row r="1430" spans="1:6" x14ac:dyDescent="0.35">
      <c r="A1430">
        <v>1004</v>
      </c>
      <c r="B1430" s="2">
        <v>45765.375085336993</v>
      </c>
      <c r="C1430" t="s">
        <v>7</v>
      </c>
      <c r="D1430" t="s">
        <v>20</v>
      </c>
      <c r="E1430" t="s">
        <v>24</v>
      </c>
      <c r="F1430">
        <v>1704.53</v>
      </c>
    </row>
    <row r="1431" spans="1:6" x14ac:dyDescent="0.35">
      <c r="A1431">
        <v>1144</v>
      </c>
      <c r="B1431" s="2">
        <v>45765.375085336993</v>
      </c>
      <c r="C1431" t="s">
        <v>9</v>
      </c>
      <c r="D1431" t="s">
        <v>16</v>
      </c>
      <c r="E1431" t="s">
        <v>24</v>
      </c>
      <c r="F1431">
        <v>5906.14</v>
      </c>
    </row>
    <row r="1432" spans="1:6" x14ac:dyDescent="0.35">
      <c r="A1432">
        <v>1395</v>
      </c>
      <c r="B1432" s="2">
        <v>45765.375085336993</v>
      </c>
      <c r="C1432" t="s">
        <v>7</v>
      </c>
      <c r="D1432" t="s">
        <v>17</v>
      </c>
      <c r="E1432" t="s">
        <v>23</v>
      </c>
      <c r="F1432">
        <v>1517.59</v>
      </c>
    </row>
    <row r="1433" spans="1:6" x14ac:dyDescent="0.35">
      <c r="A1433">
        <v>1274</v>
      </c>
      <c r="B1433" s="2">
        <v>45766.375085336993</v>
      </c>
      <c r="C1433" t="s">
        <v>13</v>
      </c>
      <c r="D1433" t="s">
        <v>22</v>
      </c>
      <c r="E1433" t="s">
        <v>25</v>
      </c>
      <c r="F1433">
        <v>655.19000000000005</v>
      </c>
    </row>
    <row r="1434" spans="1:6" x14ac:dyDescent="0.35">
      <c r="A1434">
        <v>1352</v>
      </c>
      <c r="B1434" s="2">
        <v>45766.375085336993</v>
      </c>
      <c r="C1434" t="s">
        <v>11</v>
      </c>
      <c r="D1434" t="s">
        <v>17</v>
      </c>
      <c r="E1434" t="s">
        <v>24</v>
      </c>
      <c r="F1434">
        <v>5399.74</v>
      </c>
    </row>
    <row r="1435" spans="1:6" x14ac:dyDescent="0.35">
      <c r="A1435">
        <v>1016</v>
      </c>
      <c r="B1435" s="2">
        <v>45766.375085336993</v>
      </c>
      <c r="C1435" t="s">
        <v>9</v>
      </c>
      <c r="D1435" t="s">
        <v>21</v>
      </c>
      <c r="E1435" t="s">
        <v>25</v>
      </c>
      <c r="F1435">
        <v>2793.72</v>
      </c>
    </row>
    <row r="1436" spans="1:6" x14ac:dyDescent="0.35">
      <c r="A1436">
        <v>1000</v>
      </c>
      <c r="B1436" s="2">
        <v>45767.375085336993</v>
      </c>
      <c r="C1436" t="s">
        <v>14</v>
      </c>
      <c r="D1436" t="s">
        <v>20</v>
      </c>
      <c r="E1436" t="s">
        <v>24</v>
      </c>
      <c r="F1436">
        <v>3002.63</v>
      </c>
    </row>
    <row r="1437" spans="1:6" x14ac:dyDescent="0.35">
      <c r="A1437">
        <v>1059</v>
      </c>
      <c r="B1437" s="2">
        <v>45767.375085336993</v>
      </c>
      <c r="C1437" t="s">
        <v>15</v>
      </c>
      <c r="D1437" t="s">
        <v>21</v>
      </c>
      <c r="E1437" t="s">
        <v>25</v>
      </c>
      <c r="F1437">
        <v>864.32</v>
      </c>
    </row>
    <row r="1438" spans="1:6" x14ac:dyDescent="0.35">
      <c r="A1438">
        <v>1091</v>
      </c>
      <c r="B1438" s="2">
        <v>45767.375085336993</v>
      </c>
      <c r="C1438" t="s">
        <v>8</v>
      </c>
      <c r="D1438" t="s">
        <v>16</v>
      </c>
      <c r="E1438" t="s">
        <v>24</v>
      </c>
      <c r="F1438">
        <v>405.04</v>
      </c>
    </row>
    <row r="1439" spans="1:6" x14ac:dyDescent="0.35">
      <c r="A1439">
        <v>1199</v>
      </c>
      <c r="B1439" s="2">
        <v>45767.375085336993</v>
      </c>
      <c r="C1439" t="s">
        <v>8</v>
      </c>
      <c r="D1439" t="s">
        <v>22</v>
      </c>
      <c r="E1439" t="s">
        <v>25</v>
      </c>
      <c r="F1439">
        <v>1666.9</v>
      </c>
    </row>
    <row r="1440" spans="1:6" x14ac:dyDescent="0.35">
      <c r="A1440">
        <v>1163</v>
      </c>
      <c r="B1440" s="2">
        <v>45768.375085336993</v>
      </c>
      <c r="C1440" t="s">
        <v>11</v>
      </c>
      <c r="D1440" t="s">
        <v>19</v>
      </c>
      <c r="E1440" t="s">
        <v>23</v>
      </c>
      <c r="F1440">
        <v>4502.6099999999997</v>
      </c>
    </row>
    <row r="1441" spans="1:6" x14ac:dyDescent="0.35">
      <c r="A1441">
        <v>1215</v>
      </c>
      <c r="B1441" s="2">
        <v>45768.375085336993</v>
      </c>
      <c r="C1441" t="s">
        <v>14</v>
      </c>
      <c r="D1441" t="s">
        <v>19</v>
      </c>
      <c r="E1441" t="s">
        <v>23</v>
      </c>
      <c r="F1441">
        <v>1759.03</v>
      </c>
    </row>
    <row r="1442" spans="1:6" x14ac:dyDescent="0.35">
      <c r="A1442">
        <v>1373</v>
      </c>
      <c r="B1442" s="2">
        <v>45768.375085336993</v>
      </c>
      <c r="C1442" t="s">
        <v>10</v>
      </c>
      <c r="D1442" t="s">
        <v>16</v>
      </c>
      <c r="E1442" t="s">
        <v>25</v>
      </c>
      <c r="F1442">
        <v>4956.78</v>
      </c>
    </row>
    <row r="1443" spans="1:6" x14ac:dyDescent="0.35">
      <c r="A1443">
        <v>1392</v>
      </c>
      <c r="B1443" s="2">
        <v>45768.375085336993</v>
      </c>
      <c r="C1443" t="s">
        <v>15</v>
      </c>
      <c r="D1443" t="s">
        <v>18</v>
      </c>
      <c r="E1443" t="s">
        <v>25</v>
      </c>
      <c r="F1443">
        <v>5388.18</v>
      </c>
    </row>
    <row r="1444" spans="1:6" x14ac:dyDescent="0.35">
      <c r="A1444">
        <v>1284</v>
      </c>
      <c r="B1444" s="2">
        <v>45768.375085336993</v>
      </c>
      <c r="C1444" t="s">
        <v>12</v>
      </c>
      <c r="D1444" t="s">
        <v>20</v>
      </c>
      <c r="E1444" t="s">
        <v>23</v>
      </c>
      <c r="F1444">
        <v>4512.38</v>
      </c>
    </row>
    <row r="1445" spans="1:6" x14ac:dyDescent="0.35">
      <c r="A1445">
        <v>1133</v>
      </c>
      <c r="B1445" s="2">
        <v>45769.375085336993</v>
      </c>
      <c r="C1445" t="s">
        <v>11</v>
      </c>
      <c r="D1445" t="s">
        <v>18</v>
      </c>
      <c r="E1445" t="s">
        <v>23</v>
      </c>
      <c r="F1445">
        <v>4974.0200000000004</v>
      </c>
    </row>
    <row r="1446" spans="1:6" x14ac:dyDescent="0.35">
      <c r="A1446">
        <v>1163</v>
      </c>
      <c r="B1446" s="2">
        <v>45769.375085336993</v>
      </c>
      <c r="C1446" t="s">
        <v>9</v>
      </c>
      <c r="D1446" t="s">
        <v>20</v>
      </c>
      <c r="E1446" t="s">
        <v>25</v>
      </c>
      <c r="F1446">
        <v>2737.46</v>
      </c>
    </row>
    <row r="1447" spans="1:6" x14ac:dyDescent="0.35">
      <c r="A1447">
        <v>1367</v>
      </c>
      <c r="B1447" s="2">
        <v>45769.375085336993</v>
      </c>
      <c r="C1447" t="s">
        <v>9</v>
      </c>
      <c r="D1447" t="s">
        <v>17</v>
      </c>
      <c r="E1447" t="s">
        <v>24</v>
      </c>
      <c r="F1447">
        <v>6290.43</v>
      </c>
    </row>
    <row r="1448" spans="1:6" x14ac:dyDescent="0.35">
      <c r="A1448">
        <v>1287</v>
      </c>
      <c r="B1448" s="2">
        <v>45769.375085336993</v>
      </c>
      <c r="C1448" t="s">
        <v>6</v>
      </c>
      <c r="D1448" t="s">
        <v>21</v>
      </c>
      <c r="E1448" t="s">
        <v>23</v>
      </c>
      <c r="F1448">
        <v>4983.16</v>
      </c>
    </row>
    <row r="1449" spans="1:6" x14ac:dyDescent="0.35">
      <c r="A1449">
        <v>1201</v>
      </c>
      <c r="B1449" s="2">
        <v>45769.375085336993</v>
      </c>
      <c r="C1449" t="s">
        <v>7</v>
      </c>
      <c r="D1449" t="s">
        <v>18</v>
      </c>
      <c r="E1449" t="s">
        <v>24</v>
      </c>
      <c r="F1449">
        <v>3330.37</v>
      </c>
    </row>
    <row r="1450" spans="1:6" x14ac:dyDescent="0.35">
      <c r="A1450">
        <v>1128</v>
      </c>
      <c r="B1450" s="2">
        <v>45769.375085336993</v>
      </c>
      <c r="C1450" t="s">
        <v>14</v>
      </c>
      <c r="D1450" t="s">
        <v>16</v>
      </c>
      <c r="E1450" t="s">
        <v>23</v>
      </c>
      <c r="F1450">
        <v>7169.93</v>
      </c>
    </row>
    <row r="1451" spans="1:6" x14ac:dyDescent="0.35">
      <c r="A1451">
        <v>1379</v>
      </c>
      <c r="B1451" s="2">
        <v>45769.375085336993</v>
      </c>
      <c r="C1451" t="s">
        <v>12</v>
      </c>
      <c r="D1451" t="s">
        <v>16</v>
      </c>
      <c r="E1451" t="s">
        <v>24</v>
      </c>
      <c r="F1451">
        <v>1653.24</v>
      </c>
    </row>
    <row r="1452" spans="1:6" x14ac:dyDescent="0.35">
      <c r="A1452">
        <v>1008</v>
      </c>
      <c r="B1452" s="2">
        <v>45769.375085336993</v>
      </c>
      <c r="C1452" t="s">
        <v>9</v>
      </c>
      <c r="D1452" t="s">
        <v>16</v>
      </c>
      <c r="E1452" t="s">
        <v>24</v>
      </c>
      <c r="F1452">
        <v>3873.99</v>
      </c>
    </row>
    <row r="1453" spans="1:6" x14ac:dyDescent="0.35">
      <c r="A1453">
        <v>1219</v>
      </c>
      <c r="B1453" s="2">
        <v>45770.375085336993</v>
      </c>
      <c r="C1453" t="s">
        <v>6</v>
      </c>
      <c r="D1453" t="s">
        <v>16</v>
      </c>
      <c r="E1453" t="s">
        <v>24</v>
      </c>
      <c r="F1453">
        <v>7567.72</v>
      </c>
    </row>
    <row r="1454" spans="1:6" x14ac:dyDescent="0.35">
      <c r="A1454">
        <v>1023</v>
      </c>
      <c r="B1454" s="2">
        <v>45770.375085336993</v>
      </c>
      <c r="C1454" t="s">
        <v>15</v>
      </c>
      <c r="D1454" t="s">
        <v>16</v>
      </c>
      <c r="E1454" t="s">
        <v>25</v>
      </c>
      <c r="F1454">
        <v>8009.67</v>
      </c>
    </row>
    <row r="1455" spans="1:6" x14ac:dyDescent="0.35">
      <c r="A1455">
        <v>1370</v>
      </c>
      <c r="B1455" s="2">
        <v>45770.375085336993</v>
      </c>
      <c r="C1455" t="s">
        <v>15</v>
      </c>
      <c r="D1455" t="s">
        <v>21</v>
      </c>
      <c r="E1455" t="s">
        <v>24</v>
      </c>
      <c r="F1455">
        <v>3128.83</v>
      </c>
    </row>
    <row r="1456" spans="1:6" x14ac:dyDescent="0.35">
      <c r="A1456">
        <v>1299</v>
      </c>
      <c r="B1456" s="2">
        <v>45771.375085336993</v>
      </c>
      <c r="C1456" t="s">
        <v>14</v>
      </c>
      <c r="D1456" t="s">
        <v>18</v>
      </c>
      <c r="E1456" t="s">
        <v>23</v>
      </c>
      <c r="F1456">
        <v>1876.35</v>
      </c>
    </row>
    <row r="1457" spans="1:6" x14ac:dyDescent="0.35">
      <c r="A1457">
        <v>1096</v>
      </c>
      <c r="B1457" s="2">
        <v>45771.375085336993</v>
      </c>
      <c r="C1457" t="s">
        <v>11</v>
      </c>
      <c r="D1457" t="s">
        <v>17</v>
      </c>
      <c r="E1457" t="s">
        <v>23</v>
      </c>
      <c r="F1457">
        <v>1555.23</v>
      </c>
    </row>
    <row r="1458" spans="1:6" x14ac:dyDescent="0.35">
      <c r="A1458">
        <v>1343</v>
      </c>
      <c r="B1458" s="2">
        <v>45771.375085336993</v>
      </c>
      <c r="C1458" t="s">
        <v>7</v>
      </c>
      <c r="D1458" t="s">
        <v>16</v>
      </c>
      <c r="E1458" t="s">
        <v>23</v>
      </c>
      <c r="F1458">
        <v>5986.96</v>
      </c>
    </row>
    <row r="1459" spans="1:6" x14ac:dyDescent="0.35">
      <c r="A1459">
        <v>1339</v>
      </c>
      <c r="B1459" s="2">
        <v>45771.375085336993</v>
      </c>
      <c r="C1459" t="s">
        <v>9</v>
      </c>
      <c r="D1459" t="s">
        <v>17</v>
      </c>
      <c r="E1459" t="s">
        <v>25</v>
      </c>
      <c r="F1459">
        <v>2008.36</v>
      </c>
    </row>
    <row r="1460" spans="1:6" x14ac:dyDescent="0.35">
      <c r="A1460">
        <v>1143</v>
      </c>
      <c r="B1460" s="2">
        <v>45771.375085336993</v>
      </c>
      <c r="C1460" t="s">
        <v>7</v>
      </c>
      <c r="D1460" t="s">
        <v>19</v>
      </c>
      <c r="E1460" t="s">
        <v>24</v>
      </c>
      <c r="F1460">
        <v>8527.43</v>
      </c>
    </row>
    <row r="1461" spans="1:6" x14ac:dyDescent="0.35">
      <c r="A1461">
        <v>1149</v>
      </c>
      <c r="B1461" s="2">
        <v>45772.375085336993</v>
      </c>
      <c r="C1461" t="s">
        <v>10</v>
      </c>
      <c r="D1461" t="s">
        <v>22</v>
      </c>
      <c r="E1461" t="s">
        <v>25</v>
      </c>
      <c r="F1461">
        <v>2223.34</v>
      </c>
    </row>
    <row r="1462" spans="1:6" x14ac:dyDescent="0.35">
      <c r="A1462">
        <v>1399</v>
      </c>
      <c r="B1462" s="2">
        <v>45772.375085336993</v>
      </c>
      <c r="C1462" t="s">
        <v>8</v>
      </c>
      <c r="D1462" t="s">
        <v>20</v>
      </c>
      <c r="E1462" t="s">
        <v>24</v>
      </c>
      <c r="F1462">
        <v>6832.19</v>
      </c>
    </row>
    <row r="1463" spans="1:6" x14ac:dyDescent="0.35">
      <c r="A1463">
        <v>1128</v>
      </c>
      <c r="B1463" s="2">
        <v>45772.375085336993</v>
      </c>
      <c r="C1463" t="s">
        <v>10</v>
      </c>
      <c r="D1463" t="s">
        <v>18</v>
      </c>
      <c r="E1463" t="s">
        <v>24</v>
      </c>
      <c r="F1463">
        <v>2352.42</v>
      </c>
    </row>
    <row r="1464" spans="1:6" x14ac:dyDescent="0.35">
      <c r="A1464">
        <v>1141</v>
      </c>
      <c r="B1464" s="2">
        <v>45772.375085336993</v>
      </c>
      <c r="C1464" t="s">
        <v>11</v>
      </c>
      <c r="D1464" t="s">
        <v>20</v>
      </c>
      <c r="E1464" t="s">
        <v>24</v>
      </c>
      <c r="F1464">
        <v>7386.07</v>
      </c>
    </row>
    <row r="1465" spans="1:6" x14ac:dyDescent="0.35">
      <c r="A1465">
        <v>1371</v>
      </c>
      <c r="B1465" s="2">
        <v>45772.375085336993</v>
      </c>
      <c r="C1465" t="s">
        <v>8</v>
      </c>
      <c r="D1465" t="s">
        <v>16</v>
      </c>
      <c r="E1465" t="s">
        <v>24</v>
      </c>
      <c r="F1465">
        <v>946.49</v>
      </c>
    </row>
    <row r="1466" spans="1:6" x14ac:dyDescent="0.35">
      <c r="A1466">
        <v>1113</v>
      </c>
      <c r="B1466" s="2">
        <v>45772.375085336993</v>
      </c>
      <c r="C1466" t="s">
        <v>13</v>
      </c>
      <c r="D1466" t="s">
        <v>21</v>
      </c>
      <c r="E1466" t="s">
        <v>23</v>
      </c>
      <c r="F1466">
        <v>3402.41</v>
      </c>
    </row>
    <row r="1467" spans="1:6" x14ac:dyDescent="0.35">
      <c r="A1467">
        <v>1322</v>
      </c>
      <c r="B1467" s="2">
        <v>45773.375085336993</v>
      </c>
      <c r="C1467" t="s">
        <v>11</v>
      </c>
      <c r="D1467" t="s">
        <v>17</v>
      </c>
      <c r="E1467" t="s">
        <v>24</v>
      </c>
      <c r="F1467">
        <v>4534.63</v>
      </c>
    </row>
    <row r="1468" spans="1:6" x14ac:dyDescent="0.35">
      <c r="A1468">
        <v>1104</v>
      </c>
      <c r="B1468" s="2">
        <v>45773.375085336993</v>
      </c>
      <c r="C1468" t="s">
        <v>11</v>
      </c>
      <c r="D1468" t="s">
        <v>21</v>
      </c>
      <c r="E1468" t="s">
        <v>24</v>
      </c>
      <c r="F1468">
        <v>1389.7</v>
      </c>
    </row>
    <row r="1469" spans="1:6" x14ac:dyDescent="0.35">
      <c r="A1469">
        <v>1304</v>
      </c>
      <c r="B1469" s="2">
        <v>45773.375085336993</v>
      </c>
      <c r="C1469" t="s">
        <v>14</v>
      </c>
      <c r="D1469" t="s">
        <v>17</v>
      </c>
      <c r="E1469" t="s">
        <v>24</v>
      </c>
      <c r="F1469">
        <v>2300.77</v>
      </c>
    </row>
    <row r="1470" spans="1:6" x14ac:dyDescent="0.35">
      <c r="A1470">
        <v>1266</v>
      </c>
      <c r="B1470" s="2">
        <v>45773.375085336993</v>
      </c>
      <c r="C1470" t="s">
        <v>14</v>
      </c>
      <c r="D1470" t="s">
        <v>16</v>
      </c>
      <c r="E1470" t="s">
        <v>24</v>
      </c>
      <c r="F1470">
        <v>2826.99</v>
      </c>
    </row>
    <row r="1471" spans="1:6" x14ac:dyDescent="0.35">
      <c r="A1471">
        <v>1377</v>
      </c>
      <c r="B1471" s="2">
        <v>45774.375085336993</v>
      </c>
      <c r="C1471" t="s">
        <v>15</v>
      </c>
      <c r="D1471" t="s">
        <v>21</v>
      </c>
      <c r="E1471" t="s">
        <v>25</v>
      </c>
      <c r="F1471">
        <v>2103.4899999999998</v>
      </c>
    </row>
    <row r="1472" spans="1:6" x14ac:dyDescent="0.35">
      <c r="A1472">
        <v>1083</v>
      </c>
      <c r="B1472" s="2">
        <v>45774.375085336993</v>
      </c>
      <c r="C1472" t="s">
        <v>7</v>
      </c>
      <c r="D1472" t="s">
        <v>16</v>
      </c>
      <c r="E1472" t="s">
        <v>23</v>
      </c>
      <c r="F1472">
        <v>3089.78</v>
      </c>
    </row>
    <row r="1473" spans="1:6" x14ac:dyDescent="0.35">
      <c r="A1473">
        <v>1292</v>
      </c>
      <c r="B1473" s="2">
        <v>45774.375085336993</v>
      </c>
      <c r="C1473" t="s">
        <v>12</v>
      </c>
      <c r="D1473" t="s">
        <v>17</v>
      </c>
      <c r="E1473" t="s">
        <v>24</v>
      </c>
      <c r="F1473">
        <v>2752.94</v>
      </c>
    </row>
    <row r="1474" spans="1:6" x14ac:dyDescent="0.35">
      <c r="A1474">
        <v>1251</v>
      </c>
      <c r="B1474" s="2">
        <v>45774.375085336993</v>
      </c>
      <c r="C1474" t="s">
        <v>10</v>
      </c>
      <c r="D1474" t="s">
        <v>21</v>
      </c>
      <c r="E1474" t="s">
        <v>23</v>
      </c>
      <c r="F1474">
        <v>6311.98</v>
      </c>
    </row>
    <row r="1475" spans="1:6" x14ac:dyDescent="0.35">
      <c r="A1475">
        <v>1016</v>
      </c>
      <c r="B1475" s="2">
        <v>45774.375085336993</v>
      </c>
      <c r="C1475" t="s">
        <v>13</v>
      </c>
      <c r="D1475" t="s">
        <v>21</v>
      </c>
      <c r="E1475" t="s">
        <v>24</v>
      </c>
      <c r="F1475">
        <v>1888.41</v>
      </c>
    </row>
    <row r="1476" spans="1:6" x14ac:dyDescent="0.35">
      <c r="A1476">
        <v>1157</v>
      </c>
      <c r="B1476" s="2">
        <v>45775.375085336993</v>
      </c>
      <c r="C1476" t="s">
        <v>10</v>
      </c>
      <c r="D1476" t="s">
        <v>18</v>
      </c>
      <c r="E1476" t="s">
        <v>25</v>
      </c>
      <c r="F1476">
        <v>4595.3500000000004</v>
      </c>
    </row>
    <row r="1477" spans="1:6" x14ac:dyDescent="0.35">
      <c r="A1477">
        <v>1357</v>
      </c>
      <c r="B1477" s="2">
        <v>45775.375085336993</v>
      </c>
      <c r="C1477" t="s">
        <v>11</v>
      </c>
      <c r="D1477" t="s">
        <v>19</v>
      </c>
      <c r="E1477" t="s">
        <v>24</v>
      </c>
      <c r="F1477">
        <v>4138.1499999999996</v>
      </c>
    </row>
    <row r="1478" spans="1:6" x14ac:dyDescent="0.35">
      <c r="A1478">
        <v>1376</v>
      </c>
      <c r="B1478" s="2">
        <v>45775.375085336993</v>
      </c>
      <c r="C1478" t="s">
        <v>7</v>
      </c>
      <c r="D1478" t="s">
        <v>16</v>
      </c>
      <c r="E1478" t="s">
        <v>25</v>
      </c>
      <c r="F1478">
        <v>4978.43</v>
      </c>
    </row>
    <row r="1479" spans="1:6" x14ac:dyDescent="0.35">
      <c r="A1479">
        <v>1072</v>
      </c>
      <c r="B1479" s="2">
        <v>45776.375085336993</v>
      </c>
      <c r="C1479" t="s">
        <v>13</v>
      </c>
      <c r="D1479" t="s">
        <v>22</v>
      </c>
      <c r="E1479" t="s">
        <v>23</v>
      </c>
      <c r="F1479">
        <v>3874.08</v>
      </c>
    </row>
    <row r="1480" spans="1:6" x14ac:dyDescent="0.35">
      <c r="A1480">
        <v>1075</v>
      </c>
      <c r="B1480" s="2">
        <v>45776.375085336993</v>
      </c>
      <c r="C1480" t="s">
        <v>7</v>
      </c>
      <c r="D1480" t="s">
        <v>21</v>
      </c>
      <c r="E1480" t="s">
        <v>24</v>
      </c>
      <c r="F1480">
        <v>4862.41</v>
      </c>
    </row>
    <row r="1481" spans="1:6" x14ac:dyDescent="0.35">
      <c r="A1481">
        <v>1177</v>
      </c>
      <c r="B1481" s="2">
        <v>45776.375085336993</v>
      </c>
      <c r="C1481" t="s">
        <v>12</v>
      </c>
      <c r="D1481" t="s">
        <v>17</v>
      </c>
      <c r="E1481" t="s">
        <v>24</v>
      </c>
      <c r="F1481">
        <v>7938.33</v>
      </c>
    </row>
    <row r="1482" spans="1:6" x14ac:dyDescent="0.35">
      <c r="A1482">
        <v>1016</v>
      </c>
      <c r="B1482" s="2">
        <v>45776.375085336993</v>
      </c>
      <c r="C1482" t="s">
        <v>9</v>
      </c>
      <c r="D1482" t="s">
        <v>18</v>
      </c>
      <c r="E1482" t="s">
        <v>23</v>
      </c>
      <c r="F1482">
        <v>2625.84</v>
      </c>
    </row>
    <row r="1483" spans="1:6" x14ac:dyDescent="0.35">
      <c r="A1483">
        <v>1199</v>
      </c>
      <c r="B1483" s="2">
        <v>45776.375085336993</v>
      </c>
      <c r="C1483" t="s">
        <v>13</v>
      </c>
      <c r="D1483" t="s">
        <v>22</v>
      </c>
      <c r="E1483" t="s">
        <v>25</v>
      </c>
      <c r="F1483">
        <v>5993.76</v>
      </c>
    </row>
    <row r="1484" spans="1:6" x14ac:dyDescent="0.35">
      <c r="A1484">
        <v>1100</v>
      </c>
      <c r="B1484" s="2">
        <v>45776.375085336993</v>
      </c>
      <c r="C1484" t="s">
        <v>8</v>
      </c>
      <c r="D1484" t="s">
        <v>19</v>
      </c>
      <c r="E1484" t="s">
        <v>24</v>
      </c>
      <c r="F1484">
        <v>3459.55</v>
      </c>
    </row>
    <row r="1485" spans="1:6" x14ac:dyDescent="0.35">
      <c r="A1485">
        <v>1059</v>
      </c>
      <c r="B1485" s="2">
        <v>45777.375085336993</v>
      </c>
      <c r="C1485" t="s">
        <v>9</v>
      </c>
      <c r="D1485" t="s">
        <v>21</v>
      </c>
      <c r="E1485" t="s">
        <v>23</v>
      </c>
      <c r="F1485">
        <v>5733.57</v>
      </c>
    </row>
    <row r="1486" spans="1:6" x14ac:dyDescent="0.35">
      <c r="A1486">
        <v>1038</v>
      </c>
      <c r="B1486" s="2">
        <v>45777.375085336993</v>
      </c>
      <c r="C1486" t="s">
        <v>10</v>
      </c>
      <c r="D1486" t="s">
        <v>18</v>
      </c>
      <c r="E1486" t="s">
        <v>25</v>
      </c>
      <c r="F1486">
        <v>4291.32</v>
      </c>
    </row>
    <row r="1487" spans="1:6" x14ac:dyDescent="0.35">
      <c r="A1487">
        <v>1046</v>
      </c>
      <c r="B1487" s="2">
        <v>45778.375085336993</v>
      </c>
      <c r="C1487" t="s">
        <v>12</v>
      </c>
      <c r="D1487" t="s">
        <v>16</v>
      </c>
      <c r="E1487" t="s">
        <v>24</v>
      </c>
      <c r="F1487">
        <v>3607.94</v>
      </c>
    </row>
    <row r="1488" spans="1:6" x14ac:dyDescent="0.35">
      <c r="A1488">
        <v>1295</v>
      </c>
      <c r="B1488" s="2">
        <v>45780.375085336993</v>
      </c>
      <c r="C1488" t="s">
        <v>11</v>
      </c>
      <c r="D1488" t="s">
        <v>20</v>
      </c>
      <c r="E1488" t="s">
        <v>23</v>
      </c>
      <c r="F1488">
        <v>3703.62</v>
      </c>
    </row>
    <row r="1489" spans="1:6" x14ac:dyDescent="0.35">
      <c r="A1489">
        <v>1148</v>
      </c>
      <c r="B1489" s="2">
        <v>45780.375085336993</v>
      </c>
      <c r="C1489" t="s">
        <v>15</v>
      </c>
      <c r="D1489" t="s">
        <v>21</v>
      </c>
      <c r="E1489" t="s">
        <v>25</v>
      </c>
      <c r="F1489">
        <v>2443.67</v>
      </c>
    </row>
    <row r="1490" spans="1:6" x14ac:dyDescent="0.35">
      <c r="A1490">
        <v>1168</v>
      </c>
      <c r="B1490" s="2">
        <v>45780.375085336993</v>
      </c>
      <c r="C1490" t="s">
        <v>9</v>
      </c>
      <c r="D1490" t="s">
        <v>17</v>
      </c>
      <c r="E1490" t="s">
        <v>24</v>
      </c>
      <c r="F1490">
        <v>3655.67</v>
      </c>
    </row>
    <row r="1491" spans="1:6" x14ac:dyDescent="0.35">
      <c r="A1491">
        <v>1106</v>
      </c>
      <c r="B1491" s="2">
        <v>45780.375085336993</v>
      </c>
      <c r="C1491" t="s">
        <v>15</v>
      </c>
      <c r="D1491" t="s">
        <v>21</v>
      </c>
      <c r="E1491" t="s">
        <v>23</v>
      </c>
      <c r="F1491">
        <v>4950.84</v>
      </c>
    </row>
    <row r="1492" spans="1:6" x14ac:dyDescent="0.35">
      <c r="A1492">
        <v>1057</v>
      </c>
      <c r="B1492" s="2">
        <v>45780.375085336993</v>
      </c>
      <c r="C1492" t="s">
        <v>13</v>
      </c>
      <c r="D1492" t="s">
        <v>21</v>
      </c>
      <c r="E1492" t="s">
        <v>24</v>
      </c>
      <c r="F1492">
        <v>13263.6</v>
      </c>
    </row>
    <row r="1493" spans="1:6" x14ac:dyDescent="0.35">
      <c r="A1493">
        <v>1102</v>
      </c>
      <c r="B1493" s="2">
        <v>45780.375085336993</v>
      </c>
      <c r="C1493" t="s">
        <v>12</v>
      </c>
      <c r="D1493" t="s">
        <v>18</v>
      </c>
      <c r="E1493" t="s">
        <v>25</v>
      </c>
      <c r="F1493">
        <v>2552.16</v>
      </c>
    </row>
    <row r="1494" spans="1:6" x14ac:dyDescent="0.35">
      <c r="A1494">
        <v>1135</v>
      </c>
      <c r="B1494" s="2">
        <v>45780.375085336993</v>
      </c>
      <c r="C1494" t="s">
        <v>14</v>
      </c>
      <c r="D1494" t="s">
        <v>20</v>
      </c>
      <c r="E1494" t="s">
        <v>25</v>
      </c>
      <c r="F1494">
        <v>2958.57</v>
      </c>
    </row>
    <row r="1495" spans="1:6" x14ac:dyDescent="0.35">
      <c r="A1495">
        <v>1285</v>
      </c>
      <c r="B1495" s="2">
        <v>45780.375085336993</v>
      </c>
      <c r="C1495" t="s">
        <v>7</v>
      </c>
      <c r="D1495" t="s">
        <v>17</v>
      </c>
      <c r="E1495" t="s">
        <v>23</v>
      </c>
      <c r="F1495">
        <v>2301.65</v>
      </c>
    </row>
    <row r="1496" spans="1:6" x14ac:dyDescent="0.35">
      <c r="A1496">
        <v>1272</v>
      </c>
      <c r="B1496" s="2">
        <v>45781.375085336993</v>
      </c>
      <c r="C1496" t="s">
        <v>15</v>
      </c>
      <c r="D1496" t="s">
        <v>18</v>
      </c>
      <c r="E1496" t="s">
        <v>25</v>
      </c>
      <c r="F1496">
        <v>704.83</v>
      </c>
    </row>
    <row r="1497" spans="1:6" x14ac:dyDescent="0.35">
      <c r="A1497">
        <v>1384</v>
      </c>
      <c r="B1497" s="2">
        <v>45781.375085336993</v>
      </c>
      <c r="C1497" t="s">
        <v>13</v>
      </c>
      <c r="D1497" t="s">
        <v>18</v>
      </c>
      <c r="E1497" t="s">
        <v>25</v>
      </c>
      <c r="F1497">
        <v>2283.2800000000002</v>
      </c>
    </row>
    <row r="1498" spans="1:6" x14ac:dyDescent="0.35">
      <c r="A1498">
        <v>1008</v>
      </c>
      <c r="B1498" s="2">
        <v>45781.375085336993</v>
      </c>
      <c r="C1498" t="s">
        <v>11</v>
      </c>
      <c r="D1498" t="s">
        <v>16</v>
      </c>
      <c r="E1498" t="s">
        <v>23</v>
      </c>
      <c r="F1498">
        <v>10143.709999999999</v>
      </c>
    </row>
    <row r="1499" spans="1:6" x14ac:dyDescent="0.35">
      <c r="A1499">
        <v>1232</v>
      </c>
      <c r="B1499" s="2">
        <v>45781.375085336993</v>
      </c>
      <c r="C1499" t="s">
        <v>9</v>
      </c>
      <c r="D1499" t="s">
        <v>19</v>
      </c>
      <c r="E1499" t="s">
        <v>25</v>
      </c>
      <c r="F1499">
        <v>3221.85</v>
      </c>
    </row>
    <row r="1500" spans="1:6" x14ac:dyDescent="0.35">
      <c r="A1500">
        <v>1191</v>
      </c>
      <c r="B1500" s="2">
        <v>45781.375085336993</v>
      </c>
      <c r="C1500" t="s">
        <v>7</v>
      </c>
      <c r="D1500" t="s">
        <v>21</v>
      </c>
      <c r="E1500" t="s">
        <v>25</v>
      </c>
      <c r="F1500">
        <v>2500.5500000000002</v>
      </c>
    </row>
    <row r="1501" spans="1:6" x14ac:dyDescent="0.35">
      <c r="A1501">
        <v>1202</v>
      </c>
      <c r="B1501" s="2">
        <v>45781.375085336993</v>
      </c>
      <c r="C1501" t="s">
        <v>6</v>
      </c>
      <c r="D1501" t="s">
        <v>21</v>
      </c>
      <c r="E1501" t="s">
        <v>25</v>
      </c>
      <c r="F1501">
        <v>3653.59</v>
      </c>
    </row>
    <row r="1502" spans="1:6" x14ac:dyDescent="0.35">
      <c r="A1502">
        <v>1370</v>
      </c>
      <c r="B1502" s="2">
        <v>45781.375085336993</v>
      </c>
      <c r="C1502" t="s">
        <v>15</v>
      </c>
      <c r="D1502" t="s">
        <v>16</v>
      </c>
      <c r="E1502" t="s">
        <v>24</v>
      </c>
      <c r="F1502">
        <v>184.77</v>
      </c>
    </row>
    <row r="1503" spans="1:6" x14ac:dyDescent="0.35">
      <c r="A1503">
        <v>1139</v>
      </c>
      <c r="B1503" s="2">
        <v>45782.375085336993</v>
      </c>
      <c r="C1503" t="s">
        <v>14</v>
      </c>
      <c r="D1503" t="s">
        <v>16</v>
      </c>
      <c r="E1503" t="s">
        <v>24</v>
      </c>
      <c r="F1503">
        <v>1641.11</v>
      </c>
    </row>
    <row r="1504" spans="1:6" x14ac:dyDescent="0.35">
      <c r="A1504">
        <v>1072</v>
      </c>
      <c r="B1504" s="2">
        <v>45782.375085336993</v>
      </c>
      <c r="C1504" t="s">
        <v>11</v>
      </c>
      <c r="D1504" t="s">
        <v>22</v>
      </c>
      <c r="E1504" t="s">
        <v>23</v>
      </c>
      <c r="F1504">
        <v>5438.99</v>
      </c>
    </row>
    <row r="1505" spans="1:6" x14ac:dyDescent="0.35">
      <c r="A1505">
        <v>1263</v>
      </c>
      <c r="B1505" s="2">
        <v>45782.375085336993</v>
      </c>
      <c r="C1505" t="s">
        <v>7</v>
      </c>
      <c r="D1505" t="s">
        <v>19</v>
      </c>
      <c r="E1505" t="s">
        <v>25</v>
      </c>
      <c r="F1505">
        <v>3535.41</v>
      </c>
    </row>
    <row r="1506" spans="1:6" x14ac:dyDescent="0.35">
      <c r="A1506">
        <v>1396</v>
      </c>
      <c r="B1506" s="2">
        <v>45783.375085336993</v>
      </c>
      <c r="C1506" t="s">
        <v>7</v>
      </c>
      <c r="D1506" t="s">
        <v>22</v>
      </c>
      <c r="E1506" t="s">
        <v>23</v>
      </c>
      <c r="F1506">
        <v>4043.17</v>
      </c>
    </row>
    <row r="1507" spans="1:6" x14ac:dyDescent="0.35">
      <c r="A1507">
        <v>1261</v>
      </c>
      <c r="B1507" s="2">
        <v>45783.375085336993</v>
      </c>
      <c r="C1507" t="s">
        <v>13</v>
      </c>
      <c r="D1507" t="s">
        <v>20</v>
      </c>
      <c r="E1507" t="s">
        <v>23</v>
      </c>
      <c r="F1507">
        <v>3344.62</v>
      </c>
    </row>
    <row r="1508" spans="1:6" x14ac:dyDescent="0.35">
      <c r="A1508">
        <v>1223</v>
      </c>
      <c r="B1508" s="2">
        <v>45783.375085336993</v>
      </c>
      <c r="C1508" t="s">
        <v>9</v>
      </c>
      <c r="D1508" t="s">
        <v>19</v>
      </c>
      <c r="E1508" t="s">
        <v>23</v>
      </c>
      <c r="F1508">
        <v>4698.17</v>
      </c>
    </row>
    <row r="1509" spans="1:6" x14ac:dyDescent="0.35">
      <c r="A1509">
        <v>1222</v>
      </c>
      <c r="B1509" s="2">
        <v>45783.375085336993</v>
      </c>
      <c r="C1509" t="s">
        <v>15</v>
      </c>
      <c r="D1509" t="s">
        <v>19</v>
      </c>
      <c r="E1509" t="s">
        <v>23</v>
      </c>
      <c r="F1509">
        <v>2362.2600000000002</v>
      </c>
    </row>
    <row r="1510" spans="1:6" x14ac:dyDescent="0.35">
      <c r="A1510">
        <v>1382</v>
      </c>
      <c r="B1510" s="2">
        <v>45783.375085336993</v>
      </c>
      <c r="C1510" t="s">
        <v>9</v>
      </c>
      <c r="D1510" t="s">
        <v>18</v>
      </c>
      <c r="E1510" t="s">
        <v>25</v>
      </c>
      <c r="F1510">
        <v>4112.4399999999996</v>
      </c>
    </row>
    <row r="1511" spans="1:6" x14ac:dyDescent="0.35">
      <c r="A1511">
        <v>1329</v>
      </c>
      <c r="B1511" s="2">
        <v>45784.375085336993</v>
      </c>
      <c r="C1511" t="s">
        <v>10</v>
      </c>
      <c r="D1511" t="s">
        <v>22</v>
      </c>
      <c r="E1511" t="s">
        <v>25</v>
      </c>
      <c r="F1511">
        <v>2141.61</v>
      </c>
    </row>
    <row r="1512" spans="1:6" x14ac:dyDescent="0.35">
      <c r="A1512">
        <v>1145</v>
      </c>
      <c r="B1512" s="2">
        <v>45784.375085336993</v>
      </c>
      <c r="C1512" t="s">
        <v>15</v>
      </c>
      <c r="D1512" t="s">
        <v>16</v>
      </c>
      <c r="E1512" t="s">
        <v>25</v>
      </c>
      <c r="F1512">
        <v>5999.26</v>
      </c>
    </row>
    <row r="1513" spans="1:6" x14ac:dyDescent="0.35">
      <c r="A1513">
        <v>1051</v>
      </c>
      <c r="B1513" s="2">
        <v>45784.375085336993</v>
      </c>
      <c r="C1513" t="s">
        <v>7</v>
      </c>
      <c r="D1513" t="s">
        <v>17</v>
      </c>
      <c r="E1513" t="s">
        <v>25</v>
      </c>
      <c r="F1513">
        <v>2408.6999999999998</v>
      </c>
    </row>
    <row r="1514" spans="1:6" x14ac:dyDescent="0.35">
      <c r="A1514">
        <v>1125</v>
      </c>
      <c r="B1514" s="2">
        <v>45784.375085336993</v>
      </c>
      <c r="C1514" t="s">
        <v>8</v>
      </c>
      <c r="D1514" t="s">
        <v>16</v>
      </c>
      <c r="E1514" t="s">
        <v>23</v>
      </c>
      <c r="F1514">
        <v>1009.15</v>
      </c>
    </row>
    <row r="1515" spans="1:6" x14ac:dyDescent="0.35">
      <c r="A1515">
        <v>1383</v>
      </c>
      <c r="B1515" s="2">
        <v>45785.375085336993</v>
      </c>
      <c r="C1515" t="s">
        <v>11</v>
      </c>
      <c r="D1515" t="s">
        <v>19</v>
      </c>
      <c r="E1515" t="s">
        <v>24</v>
      </c>
      <c r="F1515">
        <v>9249</v>
      </c>
    </row>
    <row r="1516" spans="1:6" x14ac:dyDescent="0.35">
      <c r="A1516">
        <v>1381</v>
      </c>
      <c r="B1516" s="2">
        <v>45785.375085336993</v>
      </c>
      <c r="C1516" t="s">
        <v>13</v>
      </c>
      <c r="D1516" t="s">
        <v>17</v>
      </c>
      <c r="E1516" t="s">
        <v>25</v>
      </c>
      <c r="F1516">
        <v>5399.78</v>
      </c>
    </row>
    <row r="1517" spans="1:6" x14ac:dyDescent="0.35">
      <c r="A1517">
        <v>1121</v>
      </c>
      <c r="B1517" s="2">
        <v>45785.375085336993</v>
      </c>
      <c r="C1517" t="s">
        <v>6</v>
      </c>
      <c r="D1517" t="s">
        <v>22</v>
      </c>
      <c r="E1517" t="s">
        <v>23</v>
      </c>
      <c r="F1517">
        <v>653.61</v>
      </c>
    </row>
    <row r="1518" spans="1:6" x14ac:dyDescent="0.35">
      <c r="A1518">
        <v>1222</v>
      </c>
      <c r="B1518" s="2">
        <v>45785.375085336993</v>
      </c>
      <c r="C1518" t="s">
        <v>11</v>
      </c>
      <c r="D1518" t="s">
        <v>16</v>
      </c>
      <c r="E1518" t="s">
        <v>23</v>
      </c>
      <c r="F1518">
        <v>4994.6899999999996</v>
      </c>
    </row>
    <row r="1519" spans="1:6" x14ac:dyDescent="0.35">
      <c r="A1519">
        <v>1251</v>
      </c>
      <c r="B1519" s="2">
        <v>45785.375085336993</v>
      </c>
      <c r="C1519" t="s">
        <v>11</v>
      </c>
      <c r="D1519" t="s">
        <v>16</v>
      </c>
      <c r="E1519" t="s">
        <v>25</v>
      </c>
      <c r="F1519">
        <v>7301.62</v>
      </c>
    </row>
    <row r="1520" spans="1:6" x14ac:dyDescent="0.35">
      <c r="A1520">
        <v>1282</v>
      </c>
      <c r="B1520" s="2">
        <v>45786.375085336993</v>
      </c>
      <c r="C1520" t="s">
        <v>15</v>
      </c>
      <c r="D1520" t="s">
        <v>21</v>
      </c>
      <c r="E1520" t="s">
        <v>25</v>
      </c>
      <c r="F1520">
        <v>2588.37</v>
      </c>
    </row>
    <row r="1521" spans="1:6" x14ac:dyDescent="0.35">
      <c r="A1521">
        <v>1164</v>
      </c>
      <c r="B1521" s="2">
        <v>45786.375085336993</v>
      </c>
      <c r="C1521" t="s">
        <v>12</v>
      </c>
      <c r="D1521" t="s">
        <v>18</v>
      </c>
      <c r="E1521" t="s">
        <v>23</v>
      </c>
      <c r="F1521">
        <v>4855.74</v>
      </c>
    </row>
    <row r="1522" spans="1:6" x14ac:dyDescent="0.35">
      <c r="A1522">
        <v>1337</v>
      </c>
      <c r="B1522" s="2">
        <v>45786.375085336993</v>
      </c>
      <c r="C1522" t="s">
        <v>6</v>
      </c>
      <c r="D1522" t="s">
        <v>19</v>
      </c>
      <c r="E1522" t="s">
        <v>23</v>
      </c>
      <c r="F1522">
        <v>3922.92</v>
      </c>
    </row>
    <row r="1523" spans="1:6" x14ac:dyDescent="0.35">
      <c r="A1523">
        <v>1310</v>
      </c>
      <c r="B1523" s="2">
        <v>45787.375085336993</v>
      </c>
      <c r="C1523" t="s">
        <v>11</v>
      </c>
      <c r="D1523" t="s">
        <v>19</v>
      </c>
      <c r="E1523" t="s">
        <v>24</v>
      </c>
      <c r="F1523">
        <v>6811.9</v>
      </c>
    </row>
    <row r="1524" spans="1:6" x14ac:dyDescent="0.35">
      <c r="A1524">
        <v>1191</v>
      </c>
      <c r="B1524" s="2">
        <v>45787.375085336993</v>
      </c>
      <c r="C1524" t="s">
        <v>11</v>
      </c>
      <c r="D1524" t="s">
        <v>20</v>
      </c>
      <c r="E1524" t="s">
        <v>24</v>
      </c>
      <c r="F1524">
        <v>5450.79</v>
      </c>
    </row>
    <row r="1525" spans="1:6" x14ac:dyDescent="0.35">
      <c r="A1525">
        <v>1231</v>
      </c>
      <c r="B1525" s="2">
        <v>45787.375085336993</v>
      </c>
      <c r="C1525" t="s">
        <v>10</v>
      </c>
      <c r="D1525" t="s">
        <v>20</v>
      </c>
      <c r="E1525" t="s">
        <v>24</v>
      </c>
      <c r="F1525">
        <v>2477.4699999999998</v>
      </c>
    </row>
    <row r="1526" spans="1:6" x14ac:dyDescent="0.35">
      <c r="A1526">
        <v>1297</v>
      </c>
      <c r="B1526" s="2">
        <v>45787.375085336993</v>
      </c>
      <c r="C1526" t="s">
        <v>7</v>
      </c>
      <c r="D1526" t="s">
        <v>16</v>
      </c>
      <c r="E1526" t="s">
        <v>23</v>
      </c>
      <c r="F1526">
        <v>7115.01</v>
      </c>
    </row>
    <row r="1527" spans="1:6" x14ac:dyDescent="0.35">
      <c r="A1527">
        <v>1219</v>
      </c>
      <c r="B1527" s="2">
        <v>45787.375085336993</v>
      </c>
      <c r="C1527" t="s">
        <v>10</v>
      </c>
      <c r="D1527" t="s">
        <v>17</v>
      </c>
      <c r="E1527" t="s">
        <v>24</v>
      </c>
      <c r="F1527">
        <v>5222.0200000000004</v>
      </c>
    </row>
    <row r="1528" spans="1:6" x14ac:dyDescent="0.35">
      <c r="A1528">
        <v>1281</v>
      </c>
      <c r="B1528" s="2">
        <v>45788.375085336993</v>
      </c>
      <c r="C1528" t="s">
        <v>8</v>
      </c>
      <c r="D1528" t="s">
        <v>19</v>
      </c>
      <c r="E1528" t="s">
        <v>23</v>
      </c>
      <c r="F1528">
        <v>5764.55</v>
      </c>
    </row>
    <row r="1529" spans="1:6" x14ac:dyDescent="0.35">
      <c r="A1529">
        <v>1376</v>
      </c>
      <c r="B1529" s="2">
        <v>45788.375085336993</v>
      </c>
      <c r="C1529" t="s">
        <v>7</v>
      </c>
      <c r="D1529" t="s">
        <v>21</v>
      </c>
      <c r="E1529" t="s">
        <v>23</v>
      </c>
      <c r="F1529">
        <v>1882.65</v>
      </c>
    </row>
    <row r="1530" spans="1:6" x14ac:dyDescent="0.35">
      <c r="A1530">
        <v>1219</v>
      </c>
      <c r="B1530" s="2">
        <v>45788.375085336993</v>
      </c>
      <c r="C1530" t="s">
        <v>9</v>
      </c>
      <c r="D1530" t="s">
        <v>22</v>
      </c>
      <c r="E1530" t="s">
        <v>25</v>
      </c>
      <c r="F1530">
        <v>2099.87</v>
      </c>
    </row>
    <row r="1531" spans="1:6" x14ac:dyDescent="0.35">
      <c r="A1531">
        <v>1396</v>
      </c>
      <c r="B1531" s="2">
        <v>45788.375085336993</v>
      </c>
      <c r="C1531" t="s">
        <v>13</v>
      </c>
      <c r="D1531" t="s">
        <v>19</v>
      </c>
      <c r="E1531" t="s">
        <v>24</v>
      </c>
      <c r="F1531">
        <v>8795.68</v>
      </c>
    </row>
    <row r="1532" spans="1:6" x14ac:dyDescent="0.35">
      <c r="A1532">
        <v>1189</v>
      </c>
      <c r="B1532" s="2">
        <v>45788.375085336993</v>
      </c>
      <c r="C1532" t="s">
        <v>14</v>
      </c>
      <c r="D1532" t="s">
        <v>18</v>
      </c>
      <c r="E1532" t="s">
        <v>23</v>
      </c>
      <c r="F1532">
        <v>5048.8599999999997</v>
      </c>
    </row>
    <row r="1533" spans="1:6" x14ac:dyDescent="0.35">
      <c r="A1533">
        <v>1317</v>
      </c>
      <c r="B1533" s="2">
        <v>45789.375085336993</v>
      </c>
      <c r="C1533" t="s">
        <v>15</v>
      </c>
      <c r="D1533" t="s">
        <v>21</v>
      </c>
      <c r="E1533" t="s">
        <v>25</v>
      </c>
      <c r="F1533">
        <v>1616.53</v>
      </c>
    </row>
    <row r="1534" spans="1:6" x14ac:dyDescent="0.35">
      <c r="A1534">
        <v>1378</v>
      </c>
      <c r="B1534" s="2">
        <v>45789.375085336993</v>
      </c>
      <c r="C1534" t="s">
        <v>8</v>
      </c>
      <c r="D1534" t="s">
        <v>20</v>
      </c>
      <c r="E1534" t="s">
        <v>23</v>
      </c>
      <c r="F1534">
        <v>2593.9499999999998</v>
      </c>
    </row>
    <row r="1535" spans="1:6" x14ac:dyDescent="0.35">
      <c r="A1535">
        <v>1130</v>
      </c>
      <c r="B1535" s="2">
        <v>45789.375085336993</v>
      </c>
      <c r="C1535" t="s">
        <v>15</v>
      </c>
      <c r="D1535" t="s">
        <v>22</v>
      </c>
      <c r="E1535" t="s">
        <v>24</v>
      </c>
      <c r="F1535">
        <v>2342.58</v>
      </c>
    </row>
    <row r="1536" spans="1:6" x14ac:dyDescent="0.35">
      <c r="A1536">
        <v>1376</v>
      </c>
      <c r="B1536" s="2">
        <v>45789.375085336993</v>
      </c>
      <c r="C1536" t="s">
        <v>8</v>
      </c>
      <c r="D1536" t="s">
        <v>22</v>
      </c>
      <c r="E1536" t="s">
        <v>24</v>
      </c>
      <c r="F1536">
        <v>2211.6</v>
      </c>
    </row>
    <row r="1537" spans="1:6" x14ac:dyDescent="0.35">
      <c r="A1537">
        <v>1050</v>
      </c>
      <c r="B1537" s="2">
        <v>45789.375085336993</v>
      </c>
      <c r="C1537" t="s">
        <v>10</v>
      </c>
      <c r="D1537" t="s">
        <v>22</v>
      </c>
      <c r="E1537" t="s">
        <v>23</v>
      </c>
      <c r="F1537">
        <v>6242.6</v>
      </c>
    </row>
    <row r="1538" spans="1:6" x14ac:dyDescent="0.35">
      <c r="A1538">
        <v>1092</v>
      </c>
      <c r="B1538" s="2">
        <v>45789.375085336993</v>
      </c>
      <c r="C1538" t="s">
        <v>14</v>
      </c>
      <c r="D1538" t="s">
        <v>21</v>
      </c>
      <c r="E1538" t="s">
        <v>24</v>
      </c>
      <c r="F1538">
        <v>6765.46</v>
      </c>
    </row>
    <row r="1539" spans="1:6" x14ac:dyDescent="0.35">
      <c r="A1539">
        <v>1218</v>
      </c>
      <c r="B1539" s="2">
        <v>45789.375085336993</v>
      </c>
      <c r="C1539" t="s">
        <v>9</v>
      </c>
      <c r="D1539" t="s">
        <v>18</v>
      </c>
      <c r="E1539" t="s">
        <v>25</v>
      </c>
      <c r="F1539">
        <v>7590.59</v>
      </c>
    </row>
    <row r="1540" spans="1:6" x14ac:dyDescent="0.35">
      <c r="A1540">
        <v>1048</v>
      </c>
      <c r="B1540" s="2">
        <v>45789.375085336993</v>
      </c>
      <c r="C1540" t="s">
        <v>9</v>
      </c>
      <c r="D1540" t="s">
        <v>21</v>
      </c>
      <c r="E1540" t="s">
        <v>24</v>
      </c>
      <c r="F1540">
        <v>1214.58</v>
      </c>
    </row>
    <row r="1541" spans="1:6" x14ac:dyDescent="0.35">
      <c r="A1541">
        <v>1057</v>
      </c>
      <c r="B1541" s="2">
        <v>45790.375085336993</v>
      </c>
      <c r="C1541" t="s">
        <v>15</v>
      </c>
      <c r="D1541" t="s">
        <v>22</v>
      </c>
      <c r="E1541" t="s">
        <v>23</v>
      </c>
      <c r="F1541">
        <v>934.46</v>
      </c>
    </row>
    <row r="1542" spans="1:6" x14ac:dyDescent="0.35">
      <c r="A1542">
        <v>1059</v>
      </c>
      <c r="B1542" s="2">
        <v>45790.375085336993</v>
      </c>
      <c r="C1542" t="s">
        <v>10</v>
      </c>
      <c r="D1542" t="s">
        <v>19</v>
      </c>
      <c r="E1542" t="s">
        <v>25</v>
      </c>
      <c r="F1542">
        <v>6003.11</v>
      </c>
    </row>
    <row r="1543" spans="1:6" x14ac:dyDescent="0.35">
      <c r="A1543">
        <v>1225</v>
      </c>
      <c r="B1543" s="2">
        <v>45790.375085336993</v>
      </c>
      <c r="C1543" t="s">
        <v>13</v>
      </c>
      <c r="D1543" t="s">
        <v>19</v>
      </c>
      <c r="E1543" t="s">
        <v>25</v>
      </c>
      <c r="F1543">
        <v>1872.25</v>
      </c>
    </row>
    <row r="1544" spans="1:6" x14ac:dyDescent="0.35">
      <c r="A1544">
        <v>1002</v>
      </c>
      <c r="B1544" s="2">
        <v>45791.375085336993</v>
      </c>
      <c r="C1544" t="s">
        <v>11</v>
      </c>
      <c r="D1544" t="s">
        <v>22</v>
      </c>
      <c r="E1544" t="s">
        <v>25</v>
      </c>
      <c r="F1544">
        <v>4334.62</v>
      </c>
    </row>
    <row r="1545" spans="1:6" x14ac:dyDescent="0.35">
      <c r="A1545">
        <v>1197</v>
      </c>
      <c r="B1545" s="2">
        <v>45791.375085336993</v>
      </c>
      <c r="C1545" t="s">
        <v>14</v>
      </c>
      <c r="D1545" t="s">
        <v>21</v>
      </c>
      <c r="E1545" t="s">
        <v>24</v>
      </c>
      <c r="F1545">
        <v>2342.87</v>
      </c>
    </row>
    <row r="1546" spans="1:6" x14ac:dyDescent="0.35">
      <c r="A1546">
        <v>1316</v>
      </c>
      <c r="B1546" s="2">
        <v>45791.375085336993</v>
      </c>
      <c r="C1546" t="s">
        <v>12</v>
      </c>
      <c r="D1546" t="s">
        <v>18</v>
      </c>
      <c r="E1546" t="s">
        <v>25</v>
      </c>
      <c r="F1546">
        <v>6201.45</v>
      </c>
    </row>
    <row r="1547" spans="1:6" x14ac:dyDescent="0.35">
      <c r="A1547">
        <v>1310</v>
      </c>
      <c r="B1547" s="2">
        <v>45792.375085336993</v>
      </c>
      <c r="C1547" t="s">
        <v>15</v>
      </c>
      <c r="D1547" t="s">
        <v>21</v>
      </c>
      <c r="E1547" t="s">
        <v>23</v>
      </c>
      <c r="F1547">
        <v>2797.31</v>
      </c>
    </row>
    <row r="1548" spans="1:6" x14ac:dyDescent="0.35">
      <c r="A1548">
        <v>1105</v>
      </c>
      <c r="B1548" s="2">
        <v>45792.375085336993</v>
      </c>
      <c r="C1548" t="s">
        <v>8</v>
      </c>
      <c r="D1548" t="s">
        <v>17</v>
      </c>
      <c r="E1548" t="s">
        <v>25</v>
      </c>
      <c r="F1548">
        <v>7414.58</v>
      </c>
    </row>
    <row r="1549" spans="1:6" x14ac:dyDescent="0.35">
      <c r="A1549">
        <v>1246</v>
      </c>
      <c r="B1549" s="2">
        <v>45792.375085336993</v>
      </c>
      <c r="C1549" t="s">
        <v>12</v>
      </c>
      <c r="D1549" t="s">
        <v>20</v>
      </c>
      <c r="E1549" t="s">
        <v>23</v>
      </c>
      <c r="F1549">
        <v>6172.7</v>
      </c>
    </row>
    <row r="1550" spans="1:6" x14ac:dyDescent="0.35">
      <c r="A1550">
        <v>1375</v>
      </c>
      <c r="B1550" s="2">
        <v>45792.375085336993</v>
      </c>
      <c r="C1550" t="s">
        <v>6</v>
      </c>
      <c r="D1550" t="s">
        <v>22</v>
      </c>
      <c r="E1550" t="s">
        <v>25</v>
      </c>
      <c r="F1550">
        <v>1717.87</v>
      </c>
    </row>
    <row r="1551" spans="1:6" x14ac:dyDescent="0.35">
      <c r="A1551">
        <v>1375</v>
      </c>
      <c r="B1551" s="2">
        <v>45792.375085336993</v>
      </c>
      <c r="C1551" t="s">
        <v>11</v>
      </c>
      <c r="D1551" t="s">
        <v>21</v>
      </c>
      <c r="E1551" t="s">
        <v>24</v>
      </c>
      <c r="F1551">
        <v>5757.42</v>
      </c>
    </row>
    <row r="1552" spans="1:6" x14ac:dyDescent="0.35">
      <c r="A1552">
        <v>1083</v>
      </c>
      <c r="B1552" s="2">
        <v>45792.375085336993</v>
      </c>
      <c r="C1552" t="s">
        <v>7</v>
      </c>
      <c r="D1552" t="s">
        <v>19</v>
      </c>
      <c r="E1552" t="s">
        <v>23</v>
      </c>
      <c r="F1552">
        <v>3509.88</v>
      </c>
    </row>
    <row r="1553" spans="1:6" x14ac:dyDescent="0.35">
      <c r="A1553">
        <v>1364</v>
      </c>
      <c r="B1553" s="2">
        <v>45792.375085336993</v>
      </c>
      <c r="C1553" t="s">
        <v>13</v>
      </c>
      <c r="D1553" t="s">
        <v>22</v>
      </c>
      <c r="E1553" t="s">
        <v>24</v>
      </c>
      <c r="F1553">
        <v>3388.3</v>
      </c>
    </row>
    <row r="1554" spans="1:6" x14ac:dyDescent="0.35">
      <c r="A1554">
        <v>1276</v>
      </c>
      <c r="B1554" s="2">
        <v>45793.375085336993</v>
      </c>
      <c r="C1554" t="s">
        <v>6</v>
      </c>
      <c r="D1554" t="s">
        <v>18</v>
      </c>
      <c r="E1554" t="s">
        <v>23</v>
      </c>
      <c r="F1554">
        <v>7127.6</v>
      </c>
    </row>
    <row r="1555" spans="1:6" x14ac:dyDescent="0.35">
      <c r="A1555">
        <v>1009</v>
      </c>
      <c r="B1555" s="2">
        <v>45793.375085336993</v>
      </c>
      <c r="C1555" t="s">
        <v>15</v>
      </c>
      <c r="D1555" t="s">
        <v>19</v>
      </c>
      <c r="E1555" t="s">
        <v>23</v>
      </c>
      <c r="F1555">
        <v>10779.1</v>
      </c>
    </row>
    <row r="1556" spans="1:6" x14ac:dyDescent="0.35">
      <c r="A1556">
        <v>1070</v>
      </c>
      <c r="B1556" s="2">
        <v>45793.375085336993</v>
      </c>
      <c r="C1556" t="s">
        <v>6</v>
      </c>
      <c r="D1556" t="s">
        <v>18</v>
      </c>
      <c r="E1556" t="s">
        <v>23</v>
      </c>
      <c r="F1556">
        <v>6908.09</v>
      </c>
    </row>
    <row r="1557" spans="1:6" x14ac:dyDescent="0.35">
      <c r="A1557">
        <v>1085</v>
      </c>
      <c r="B1557" s="2">
        <v>45793.375085336993</v>
      </c>
      <c r="C1557" t="s">
        <v>9</v>
      </c>
      <c r="D1557" t="s">
        <v>19</v>
      </c>
      <c r="E1557" t="s">
        <v>25</v>
      </c>
      <c r="F1557">
        <v>1944.83</v>
      </c>
    </row>
    <row r="1558" spans="1:6" x14ac:dyDescent="0.35">
      <c r="A1558">
        <v>1111</v>
      </c>
      <c r="B1558" s="2">
        <v>45793.375085336993</v>
      </c>
      <c r="C1558" t="s">
        <v>9</v>
      </c>
      <c r="D1558" t="s">
        <v>21</v>
      </c>
      <c r="E1558" t="s">
        <v>25</v>
      </c>
      <c r="F1558">
        <v>3547.47</v>
      </c>
    </row>
    <row r="1559" spans="1:6" x14ac:dyDescent="0.35">
      <c r="A1559">
        <v>1361</v>
      </c>
      <c r="B1559" s="2">
        <v>45793.375085336993</v>
      </c>
      <c r="C1559" t="s">
        <v>8</v>
      </c>
      <c r="D1559" t="s">
        <v>16</v>
      </c>
      <c r="E1559" t="s">
        <v>23</v>
      </c>
      <c r="F1559">
        <v>7432.4</v>
      </c>
    </row>
    <row r="1560" spans="1:6" x14ac:dyDescent="0.35">
      <c r="A1560">
        <v>1145</v>
      </c>
      <c r="B1560" s="2">
        <v>45793.375085336993</v>
      </c>
      <c r="C1560" t="s">
        <v>6</v>
      </c>
      <c r="D1560" t="s">
        <v>22</v>
      </c>
      <c r="E1560" t="s">
        <v>24</v>
      </c>
      <c r="F1560">
        <v>921.49</v>
      </c>
    </row>
    <row r="1561" spans="1:6" x14ac:dyDescent="0.35">
      <c r="A1561">
        <v>1215</v>
      </c>
      <c r="B1561" s="2">
        <v>45794.375085336993</v>
      </c>
      <c r="C1561" t="s">
        <v>11</v>
      </c>
      <c r="D1561" t="s">
        <v>18</v>
      </c>
      <c r="E1561" t="s">
        <v>23</v>
      </c>
      <c r="F1561">
        <v>3773.52</v>
      </c>
    </row>
    <row r="1562" spans="1:6" x14ac:dyDescent="0.35">
      <c r="A1562">
        <v>1267</v>
      </c>
      <c r="B1562" s="2">
        <v>45795.375085336993</v>
      </c>
      <c r="C1562" t="s">
        <v>8</v>
      </c>
      <c r="D1562" t="s">
        <v>16</v>
      </c>
      <c r="E1562" t="s">
        <v>23</v>
      </c>
      <c r="F1562">
        <v>3597.9</v>
      </c>
    </row>
    <row r="1563" spans="1:6" x14ac:dyDescent="0.35">
      <c r="A1563">
        <v>1287</v>
      </c>
      <c r="B1563" s="2">
        <v>45795.375085336993</v>
      </c>
      <c r="C1563" t="s">
        <v>9</v>
      </c>
      <c r="D1563" t="s">
        <v>20</v>
      </c>
      <c r="E1563" t="s">
        <v>24</v>
      </c>
      <c r="F1563">
        <v>2556.31</v>
      </c>
    </row>
    <row r="1564" spans="1:6" x14ac:dyDescent="0.35">
      <c r="A1564">
        <v>1006</v>
      </c>
      <c r="B1564" s="2">
        <v>45795.375085336993</v>
      </c>
      <c r="C1564" t="s">
        <v>15</v>
      </c>
      <c r="D1564" t="s">
        <v>21</v>
      </c>
      <c r="E1564" t="s">
        <v>24</v>
      </c>
      <c r="F1564">
        <v>10586.38</v>
      </c>
    </row>
    <row r="1565" spans="1:6" x14ac:dyDescent="0.35">
      <c r="A1565">
        <v>1342</v>
      </c>
      <c r="B1565" s="2">
        <v>45795.375085336993</v>
      </c>
      <c r="C1565" t="s">
        <v>9</v>
      </c>
      <c r="D1565" t="s">
        <v>16</v>
      </c>
      <c r="E1565" t="s">
        <v>23</v>
      </c>
      <c r="F1565">
        <v>2488.36</v>
      </c>
    </row>
    <row r="1566" spans="1:6" x14ac:dyDescent="0.35">
      <c r="A1566">
        <v>1008</v>
      </c>
      <c r="B1566" s="2">
        <v>45795.375085336993</v>
      </c>
      <c r="C1566" t="s">
        <v>10</v>
      </c>
      <c r="D1566" t="s">
        <v>21</v>
      </c>
      <c r="E1566" t="s">
        <v>25</v>
      </c>
      <c r="F1566">
        <v>2891.88</v>
      </c>
    </row>
    <row r="1567" spans="1:6" x14ac:dyDescent="0.35">
      <c r="A1567">
        <v>1242</v>
      </c>
      <c r="B1567" s="2">
        <v>45795.375085336993</v>
      </c>
      <c r="C1567" t="s">
        <v>11</v>
      </c>
      <c r="D1567" t="s">
        <v>18</v>
      </c>
      <c r="E1567" t="s">
        <v>24</v>
      </c>
      <c r="F1567">
        <v>2749.97</v>
      </c>
    </row>
    <row r="1568" spans="1:6" x14ac:dyDescent="0.35">
      <c r="A1568">
        <v>1072</v>
      </c>
      <c r="B1568" s="2">
        <v>45795.375085336993</v>
      </c>
      <c r="C1568" t="s">
        <v>13</v>
      </c>
      <c r="D1568" t="s">
        <v>19</v>
      </c>
      <c r="E1568" t="s">
        <v>23</v>
      </c>
      <c r="F1568">
        <v>3440.94</v>
      </c>
    </row>
    <row r="1569" spans="1:6" x14ac:dyDescent="0.35">
      <c r="A1569">
        <v>1133</v>
      </c>
      <c r="B1569" s="2">
        <v>45795.375085336993</v>
      </c>
      <c r="C1569" t="s">
        <v>10</v>
      </c>
      <c r="D1569" t="s">
        <v>18</v>
      </c>
      <c r="E1569" t="s">
        <v>24</v>
      </c>
      <c r="F1569">
        <v>5030.1400000000003</v>
      </c>
    </row>
    <row r="1570" spans="1:6" x14ac:dyDescent="0.35">
      <c r="A1570">
        <v>1327</v>
      </c>
      <c r="B1570" s="2">
        <v>45796.375085336993</v>
      </c>
      <c r="C1570" t="s">
        <v>8</v>
      </c>
      <c r="D1570" t="s">
        <v>21</v>
      </c>
      <c r="E1570" t="s">
        <v>24</v>
      </c>
      <c r="F1570">
        <v>5417.66</v>
      </c>
    </row>
    <row r="1571" spans="1:6" x14ac:dyDescent="0.35">
      <c r="A1571">
        <v>1290</v>
      </c>
      <c r="B1571" s="2">
        <v>45796.375085336993</v>
      </c>
      <c r="C1571" t="s">
        <v>9</v>
      </c>
      <c r="D1571" t="s">
        <v>19</v>
      </c>
      <c r="E1571" t="s">
        <v>25</v>
      </c>
      <c r="F1571">
        <v>4414.71</v>
      </c>
    </row>
    <row r="1572" spans="1:6" x14ac:dyDescent="0.35">
      <c r="A1572">
        <v>1299</v>
      </c>
      <c r="B1572" s="2">
        <v>45796.375085336993</v>
      </c>
      <c r="C1572" t="s">
        <v>12</v>
      </c>
      <c r="D1572" t="s">
        <v>16</v>
      </c>
      <c r="E1572" t="s">
        <v>23</v>
      </c>
      <c r="F1572">
        <v>2931.66</v>
      </c>
    </row>
    <row r="1573" spans="1:6" x14ac:dyDescent="0.35">
      <c r="A1573">
        <v>1230</v>
      </c>
      <c r="B1573" s="2">
        <v>45796.375085336993</v>
      </c>
      <c r="C1573" t="s">
        <v>11</v>
      </c>
      <c r="D1573" t="s">
        <v>21</v>
      </c>
      <c r="E1573" t="s">
        <v>24</v>
      </c>
      <c r="F1573">
        <v>1464.96</v>
      </c>
    </row>
    <row r="1574" spans="1:6" x14ac:dyDescent="0.35">
      <c r="A1574">
        <v>1056</v>
      </c>
      <c r="B1574" s="2">
        <v>45797.375085336993</v>
      </c>
      <c r="C1574" t="s">
        <v>7</v>
      </c>
      <c r="D1574" t="s">
        <v>16</v>
      </c>
      <c r="E1574" t="s">
        <v>25</v>
      </c>
      <c r="F1574">
        <v>455.45</v>
      </c>
    </row>
    <row r="1575" spans="1:6" x14ac:dyDescent="0.35">
      <c r="A1575">
        <v>1300</v>
      </c>
      <c r="B1575" s="2">
        <v>45797.375085336993</v>
      </c>
      <c r="C1575" t="s">
        <v>10</v>
      </c>
      <c r="D1575" t="s">
        <v>20</v>
      </c>
      <c r="E1575" t="s">
        <v>24</v>
      </c>
      <c r="F1575">
        <v>3057.37</v>
      </c>
    </row>
    <row r="1576" spans="1:6" x14ac:dyDescent="0.35">
      <c r="A1576">
        <v>1121</v>
      </c>
      <c r="B1576" s="2">
        <v>45797.375085336993</v>
      </c>
      <c r="C1576" t="s">
        <v>15</v>
      </c>
      <c r="D1576" t="s">
        <v>18</v>
      </c>
      <c r="E1576" t="s">
        <v>23</v>
      </c>
      <c r="F1576">
        <v>3321.41</v>
      </c>
    </row>
    <row r="1577" spans="1:6" x14ac:dyDescent="0.35">
      <c r="A1577">
        <v>1093</v>
      </c>
      <c r="B1577" s="2">
        <v>45798.375085336993</v>
      </c>
      <c r="C1577" t="s">
        <v>15</v>
      </c>
      <c r="D1577" t="s">
        <v>17</v>
      </c>
      <c r="E1577" t="s">
        <v>24</v>
      </c>
      <c r="F1577">
        <v>6140.44</v>
      </c>
    </row>
    <row r="1578" spans="1:6" x14ac:dyDescent="0.35">
      <c r="A1578">
        <v>1276</v>
      </c>
      <c r="B1578" s="2">
        <v>45798.375085336993</v>
      </c>
      <c r="C1578" t="s">
        <v>8</v>
      </c>
      <c r="D1578" t="s">
        <v>21</v>
      </c>
      <c r="E1578" t="s">
        <v>23</v>
      </c>
      <c r="F1578">
        <v>224.12</v>
      </c>
    </row>
    <row r="1579" spans="1:6" x14ac:dyDescent="0.35">
      <c r="A1579">
        <v>1260</v>
      </c>
      <c r="B1579" s="2">
        <v>45798.375085336993</v>
      </c>
      <c r="C1579" t="s">
        <v>6</v>
      </c>
      <c r="D1579" t="s">
        <v>17</v>
      </c>
      <c r="E1579" t="s">
        <v>24</v>
      </c>
      <c r="F1579">
        <v>14190.43</v>
      </c>
    </row>
    <row r="1580" spans="1:6" x14ac:dyDescent="0.35">
      <c r="A1580">
        <v>1101</v>
      </c>
      <c r="B1580" s="2">
        <v>45798.375085336993</v>
      </c>
      <c r="C1580" t="s">
        <v>6</v>
      </c>
      <c r="D1580" t="s">
        <v>20</v>
      </c>
      <c r="E1580" t="s">
        <v>24</v>
      </c>
      <c r="F1580">
        <v>3426.57</v>
      </c>
    </row>
    <row r="1581" spans="1:6" x14ac:dyDescent="0.35">
      <c r="A1581">
        <v>1266</v>
      </c>
      <c r="B1581" s="2">
        <v>45799.375085336993</v>
      </c>
      <c r="C1581" t="s">
        <v>11</v>
      </c>
      <c r="D1581" t="s">
        <v>21</v>
      </c>
      <c r="E1581" t="s">
        <v>23</v>
      </c>
      <c r="F1581">
        <v>3118.55</v>
      </c>
    </row>
    <row r="1582" spans="1:6" x14ac:dyDescent="0.35">
      <c r="A1582">
        <v>1223</v>
      </c>
      <c r="B1582" s="2">
        <v>45800.375085336993</v>
      </c>
      <c r="C1582" t="s">
        <v>15</v>
      </c>
      <c r="D1582" t="s">
        <v>21</v>
      </c>
      <c r="E1582" t="s">
        <v>23</v>
      </c>
      <c r="F1582">
        <v>3520.32</v>
      </c>
    </row>
    <row r="1583" spans="1:6" x14ac:dyDescent="0.35">
      <c r="A1583">
        <v>1036</v>
      </c>
      <c r="B1583" s="2">
        <v>45800.375085336993</v>
      </c>
      <c r="C1583" t="s">
        <v>14</v>
      </c>
      <c r="D1583" t="s">
        <v>18</v>
      </c>
      <c r="E1583" t="s">
        <v>23</v>
      </c>
      <c r="F1583">
        <v>3097.26</v>
      </c>
    </row>
    <row r="1584" spans="1:6" x14ac:dyDescent="0.35">
      <c r="A1584">
        <v>1072</v>
      </c>
      <c r="B1584" s="2">
        <v>45800.375085336993</v>
      </c>
      <c r="C1584" t="s">
        <v>15</v>
      </c>
      <c r="D1584" t="s">
        <v>17</v>
      </c>
      <c r="E1584" t="s">
        <v>24</v>
      </c>
      <c r="F1584">
        <v>2051.5100000000002</v>
      </c>
    </row>
    <row r="1585" spans="1:6" x14ac:dyDescent="0.35">
      <c r="A1585">
        <v>1185</v>
      </c>
      <c r="B1585" s="2">
        <v>45800.375085336993</v>
      </c>
      <c r="C1585" t="s">
        <v>7</v>
      </c>
      <c r="D1585" t="s">
        <v>16</v>
      </c>
      <c r="E1585" t="s">
        <v>23</v>
      </c>
      <c r="F1585">
        <v>5589.34</v>
      </c>
    </row>
    <row r="1586" spans="1:6" x14ac:dyDescent="0.35">
      <c r="A1586">
        <v>1327</v>
      </c>
      <c r="B1586" s="2">
        <v>45801.375085336993</v>
      </c>
      <c r="C1586" t="s">
        <v>9</v>
      </c>
      <c r="D1586" t="s">
        <v>17</v>
      </c>
      <c r="E1586" t="s">
        <v>23</v>
      </c>
      <c r="F1586">
        <v>803.53</v>
      </c>
    </row>
    <row r="1587" spans="1:6" x14ac:dyDescent="0.35">
      <c r="A1587">
        <v>1099</v>
      </c>
      <c r="B1587" s="2">
        <v>45802.375085336993</v>
      </c>
      <c r="C1587" t="s">
        <v>8</v>
      </c>
      <c r="D1587" t="s">
        <v>17</v>
      </c>
      <c r="E1587" t="s">
        <v>25</v>
      </c>
      <c r="F1587">
        <v>1711.71</v>
      </c>
    </row>
    <row r="1588" spans="1:6" x14ac:dyDescent="0.35">
      <c r="A1588">
        <v>1299</v>
      </c>
      <c r="B1588" s="2">
        <v>45802.375085336993</v>
      </c>
      <c r="C1588" t="s">
        <v>10</v>
      </c>
      <c r="D1588" t="s">
        <v>21</v>
      </c>
      <c r="E1588" t="s">
        <v>24</v>
      </c>
      <c r="F1588">
        <v>1596.23</v>
      </c>
    </row>
    <row r="1589" spans="1:6" x14ac:dyDescent="0.35">
      <c r="A1589">
        <v>1116</v>
      </c>
      <c r="B1589" s="2">
        <v>45803.375085336993</v>
      </c>
      <c r="C1589" t="s">
        <v>14</v>
      </c>
      <c r="D1589" t="s">
        <v>17</v>
      </c>
      <c r="E1589" t="s">
        <v>23</v>
      </c>
      <c r="F1589">
        <v>6314.53</v>
      </c>
    </row>
    <row r="1590" spans="1:6" x14ac:dyDescent="0.35">
      <c r="A1590">
        <v>1173</v>
      </c>
      <c r="B1590" s="2">
        <v>45803.375085336993</v>
      </c>
      <c r="C1590" t="s">
        <v>12</v>
      </c>
      <c r="D1590" t="s">
        <v>20</v>
      </c>
      <c r="E1590" t="s">
        <v>24</v>
      </c>
      <c r="F1590">
        <v>4551.28</v>
      </c>
    </row>
    <row r="1591" spans="1:6" x14ac:dyDescent="0.35">
      <c r="A1591">
        <v>1349</v>
      </c>
      <c r="B1591" s="2">
        <v>45803.375085336993</v>
      </c>
      <c r="C1591" t="s">
        <v>6</v>
      </c>
      <c r="D1591" t="s">
        <v>19</v>
      </c>
      <c r="E1591" t="s">
        <v>23</v>
      </c>
      <c r="F1591">
        <v>1003.97</v>
      </c>
    </row>
    <row r="1592" spans="1:6" x14ac:dyDescent="0.35">
      <c r="A1592">
        <v>1211</v>
      </c>
      <c r="B1592" s="2">
        <v>45804.375085336993</v>
      </c>
      <c r="C1592" t="s">
        <v>9</v>
      </c>
      <c r="D1592" t="s">
        <v>22</v>
      </c>
      <c r="E1592" t="s">
        <v>23</v>
      </c>
      <c r="F1592">
        <v>1824.95</v>
      </c>
    </row>
    <row r="1593" spans="1:6" x14ac:dyDescent="0.35">
      <c r="A1593">
        <v>1288</v>
      </c>
      <c r="B1593" s="2">
        <v>45804.375085336993</v>
      </c>
      <c r="C1593" t="s">
        <v>15</v>
      </c>
      <c r="D1593" t="s">
        <v>17</v>
      </c>
      <c r="E1593" t="s">
        <v>25</v>
      </c>
      <c r="F1593">
        <v>915.43</v>
      </c>
    </row>
    <row r="1594" spans="1:6" x14ac:dyDescent="0.35">
      <c r="A1594">
        <v>1198</v>
      </c>
      <c r="B1594" s="2">
        <v>45804.375085336993</v>
      </c>
      <c r="C1594" t="s">
        <v>13</v>
      </c>
      <c r="D1594" t="s">
        <v>20</v>
      </c>
      <c r="E1594" t="s">
        <v>25</v>
      </c>
      <c r="F1594">
        <v>6543.95</v>
      </c>
    </row>
    <row r="1595" spans="1:6" x14ac:dyDescent="0.35">
      <c r="A1595">
        <v>1363</v>
      </c>
      <c r="B1595" s="2">
        <v>45804.375085336993</v>
      </c>
      <c r="C1595" t="s">
        <v>9</v>
      </c>
      <c r="D1595" t="s">
        <v>18</v>
      </c>
      <c r="E1595" t="s">
        <v>25</v>
      </c>
      <c r="F1595">
        <v>8091.84</v>
      </c>
    </row>
    <row r="1596" spans="1:6" x14ac:dyDescent="0.35">
      <c r="A1596">
        <v>1210</v>
      </c>
      <c r="B1596" s="2">
        <v>45804.375085336993</v>
      </c>
      <c r="C1596" t="s">
        <v>13</v>
      </c>
      <c r="D1596" t="s">
        <v>16</v>
      </c>
      <c r="E1596" t="s">
        <v>23</v>
      </c>
      <c r="F1596">
        <v>2948.05</v>
      </c>
    </row>
    <row r="1597" spans="1:6" x14ac:dyDescent="0.35">
      <c r="A1597">
        <v>1229</v>
      </c>
      <c r="B1597" s="2">
        <v>45804.375085336993</v>
      </c>
      <c r="C1597" t="s">
        <v>9</v>
      </c>
      <c r="D1597" t="s">
        <v>20</v>
      </c>
      <c r="E1597" t="s">
        <v>23</v>
      </c>
      <c r="F1597">
        <v>7786.42</v>
      </c>
    </row>
    <row r="1598" spans="1:6" x14ac:dyDescent="0.35">
      <c r="A1598">
        <v>1251</v>
      </c>
      <c r="B1598" s="2">
        <v>45805.375085336993</v>
      </c>
      <c r="C1598" t="s">
        <v>15</v>
      </c>
      <c r="D1598" t="s">
        <v>16</v>
      </c>
      <c r="E1598" t="s">
        <v>23</v>
      </c>
      <c r="F1598">
        <v>1321.33</v>
      </c>
    </row>
    <row r="1599" spans="1:6" x14ac:dyDescent="0.35">
      <c r="A1599">
        <v>1328</v>
      </c>
      <c r="B1599" s="2">
        <v>45805.375085336993</v>
      </c>
      <c r="C1599" t="s">
        <v>7</v>
      </c>
      <c r="D1599" t="s">
        <v>22</v>
      </c>
      <c r="E1599" t="s">
        <v>25</v>
      </c>
      <c r="F1599">
        <v>7259.02</v>
      </c>
    </row>
    <row r="1600" spans="1:6" x14ac:dyDescent="0.35">
      <c r="A1600">
        <v>1268</v>
      </c>
      <c r="B1600" s="2">
        <v>45805.375085336993</v>
      </c>
      <c r="C1600" t="s">
        <v>14</v>
      </c>
      <c r="D1600" t="s">
        <v>19</v>
      </c>
      <c r="E1600" t="s">
        <v>23</v>
      </c>
      <c r="F1600">
        <v>9215.98</v>
      </c>
    </row>
    <row r="1601" spans="1:6" x14ac:dyDescent="0.35">
      <c r="A1601">
        <v>1363</v>
      </c>
      <c r="B1601" s="2">
        <v>45805.375085336993</v>
      </c>
      <c r="C1601" t="s">
        <v>12</v>
      </c>
      <c r="D1601" t="s">
        <v>18</v>
      </c>
      <c r="E1601" t="s">
        <v>24</v>
      </c>
      <c r="F1601">
        <v>579.48</v>
      </c>
    </row>
    <row r="1602" spans="1:6" x14ac:dyDescent="0.35">
      <c r="A1602">
        <v>1224</v>
      </c>
      <c r="B1602" s="2">
        <v>45805.375085336993</v>
      </c>
      <c r="C1602" t="s">
        <v>7</v>
      </c>
      <c r="D1602" t="s">
        <v>22</v>
      </c>
      <c r="E1602" t="s">
        <v>24</v>
      </c>
      <c r="F1602">
        <v>4567.33</v>
      </c>
    </row>
    <row r="1603" spans="1:6" x14ac:dyDescent="0.35">
      <c r="A1603">
        <v>1284</v>
      </c>
      <c r="B1603" s="2">
        <v>45806.375085336993</v>
      </c>
      <c r="C1603" t="s">
        <v>11</v>
      </c>
      <c r="D1603" t="s">
        <v>20</v>
      </c>
      <c r="E1603" t="s">
        <v>23</v>
      </c>
      <c r="F1603">
        <v>8350.2000000000007</v>
      </c>
    </row>
    <row r="1604" spans="1:6" x14ac:dyDescent="0.35">
      <c r="A1604">
        <v>1026</v>
      </c>
      <c r="B1604" s="2">
        <v>45806.375085336993</v>
      </c>
      <c r="C1604" t="s">
        <v>7</v>
      </c>
      <c r="D1604" t="s">
        <v>21</v>
      </c>
      <c r="E1604" t="s">
        <v>23</v>
      </c>
      <c r="F1604">
        <v>5860.66</v>
      </c>
    </row>
    <row r="1605" spans="1:6" x14ac:dyDescent="0.35">
      <c r="A1605">
        <v>1206</v>
      </c>
      <c r="B1605" s="2">
        <v>45806.375085336993</v>
      </c>
      <c r="C1605" t="s">
        <v>12</v>
      </c>
      <c r="D1605" t="s">
        <v>21</v>
      </c>
      <c r="E1605" t="s">
        <v>25</v>
      </c>
      <c r="F1605">
        <v>2498.29</v>
      </c>
    </row>
    <row r="1606" spans="1:6" x14ac:dyDescent="0.35">
      <c r="A1606">
        <v>1205</v>
      </c>
      <c r="B1606" s="2">
        <v>45806.375085336993</v>
      </c>
      <c r="C1606" t="s">
        <v>6</v>
      </c>
      <c r="D1606" t="s">
        <v>16</v>
      </c>
      <c r="E1606" t="s">
        <v>24</v>
      </c>
      <c r="F1606">
        <v>4717.28</v>
      </c>
    </row>
    <row r="1607" spans="1:6" x14ac:dyDescent="0.35">
      <c r="A1607">
        <v>1288</v>
      </c>
      <c r="B1607" s="2">
        <v>45806.375085336993</v>
      </c>
      <c r="C1607" t="s">
        <v>8</v>
      </c>
      <c r="D1607" t="s">
        <v>19</v>
      </c>
      <c r="E1607" t="s">
        <v>24</v>
      </c>
      <c r="F1607">
        <v>1428.45</v>
      </c>
    </row>
    <row r="1608" spans="1:6" x14ac:dyDescent="0.35">
      <c r="A1608">
        <v>1132</v>
      </c>
      <c r="B1608" s="2">
        <v>45806.375085336993</v>
      </c>
      <c r="C1608" t="s">
        <v>14</v>
      </c>
      <c r="D1608" t="s">
        <v>22</v>
      </c>
      <c r="E1608" t="s">
        <v>25</v>
      </c>
      <c r="F1608">
        <v>3921.71</v>
      </c>
    </row>
    <row r="1609" spans="1:6" x14ac:dyDescent="0.35">
      <c r="A1609">
        <v>1001</v>
      </c>
      <c r="B1609" s="2">
        <v>45806.375085336993</v>
      </c>
      <c r="C1609" t="s">
        <v>8</v>
      </c>
      <c r="D1609" t="s">
        <v>17</v>
      </c>
      <c r="E1609" t="s">
        <v>24</v>
      </c>
      <c r="F1609">
        <v>10761.82</v>
      </c>
    </row>
    <row r="1610" spans="1:6" x14ac:dyDescent="0.35">
      <c r="A1610">
        <v>1187</v>
      </c>
      <c r="B1610" s="2">
        <v>45806.375085336993</v>
      </c>
      <c r="C1610" t="s">
        <v>12</v>
      </c>
      <c r="D1610" t="s">
        <v>18</v>
      </c>
      <c r="E1610" t="s">
        <v>23</v>
      </c>
      <c r="F1610">
        <v>3304.01</v>
      </c>
    </row>
    <row r="1611" spans="1:6" x14ac:dyDescent="0.35">
      <c r="A1611">
        <v>1214</v>
      </c>
      <c r="B1611" s="2">
        <v>45808.375085336993</v>
      </c>
      <c r="C1611" t="s">
        <v>12</v>
      </c>
      <c r="D1611" t="s">
        <v>19</v>
      </c>
      <c r="E1611" t="s">
        <v>24</v>
      </c>
      <c r="F1611">
        <v>3443.7</v>
      </c>
    </row>
    <row r="1612" spans="1:6" x14ac:dyDescent="0.35">
      <c r="A1612">
        <v>1101</v>
      </c>
      <c r="B1612" s="2">
        <v>45808.375085336993</v>
      </c>
      <c r="C1612" t="s">
        <v>6</v>
      </c>
      <c r="D1612" t="s">
        <v>21</v>
      </c>
      <c r="E1612" t="s">
        <v>24</v>
      </c>
      <c r="F1612">
        <v>3060.13</v>
      </c>
    </row>
    <row r="1613" spans="1:6" x14ac:dyDescent="0.35">
      <c r="A1613">
        <v>1147</v>
      </c>
      <c r="B1613" s="2">
        <v>45808.375085336993</v>
      </c>
      <c r="C1613" t="s">
        <v>15</v>
      </c>
      <c r="D1613" t="s">
        <v>16</v>
      </c>
      <c r="E1613" t="s">
        <v>25</v>
      </c>
      <c r="F1613">
        <v>1080.1400000000001</v>
      </c>
    </row>
    <row r="1614" spans="1:6" x14ac:dyDescent="0.35">
      <c r="A1614">
        <v>1068</v>
      </c>
      <c r="B1614" s="2">
        <v>45808.375085336993</v>
      </c>
      <c r="C1614" t="s">
        <v>9</v>
      </c>
      <c r="D1614" t="s">
        <v>21</v>
      </c>
      <c r="E1614" t="s">
        <v>23</v>
      </c>
      <c r="F1614">
        <v>4243.92</v>
      </c>
    </row>
    <row r="1615" spans="1:6" x14ac:dyDescent="0.35">
      <c r="A1615">
        <v>1201</v>
      </c>
      <c r="B1615" s="2">
        <v>45809.375085336993</v>
      </c>
      <c r="C1615" t="s">
        <v>7</v>
      </c>
      <c r="D1615" t="s">
        <v>17</v>
      </c>
      <c r="E1615" t="s">
        <v>24</v>
      </c>
      <c r="F1615">
        <v>1230.3800000000001</v>
      </c>
    </row>
    <row r="1616" spans="1:6" x14ac:dyDescent="0.35">
      <c r="A1616">
        <v>1274</v>
      </c>
      <c r="B1616" s="2">
        <v>45809.375085336993</v>
      </c>
      <c r="C1616" t="s">
        <v>8</v>
      </c>
      <c r="D1616" t="s">
        <v>21</v>
      </c>
      <c r="E1616" t="s">
        <v>24</v>
      </c>
      <c r="F1616">
        <v>1350.34</v>
      </c>
    </row>
    <row r="1617" spans="1:6" x14ac:dyDescent="0.35">
      <c r="A1617">
        <v>1373</v>
      </c>
      <c r="B1617" s="2">
        <v>45809.375085336993</v>
      </c>
      <c r="C1617" t="s">
        <v>14</v>
      </c>
      <c r="D1617" t="s">
        <v>19</v>
      </c>
      <c r="E1617" t="s">
        <v>25</v>
      </c>
      <c r="F1617">
        <v>4338.2299999999996</v>
      </c>
    </row>
    <row r="1618" spans="1:6" x14ac:dyDescent="0.35">
      <c r="A1618">
        <v>1181</v>
      </c>
      <c r="B1618" s="2">
        <v>45809.375085336993</v>
      </c>
      <c r="C1618" t="s">
        <v>11</v>
      </c>
      <c r="D1618" t="s">
        <v>22</v>
      </c>
      <c r="E1618" t="s">
        <v>23</v>
      </c>
      <c r="F1618">
        <v>393.07</v>
      </c>
    </row>
    <row r="1619" spans="1:6" x14ac:dyDescent="0.35">
      <c r="A1619">
        <v>1246</v>
      </c>
      <c r="B1619" s="2">
        <v>45809.375085336993</v>
      </c>
      <c r="C1619" t="s">
        <v>13</v>
      </c>
      <c r="D1619" t="s">
        <v>16</v>
      </c>
      <c r="E1619" t="s">
        <v>25</v>
      </c>
      <c r="F1619">
        <v>400.14</v>
      </c>
    </row>
    <row r="1620" spans="1:6" x14ac:dyDescent="0.35">
      <c r="A1620">
        <v>1287</v>
      </c>
      <c r="B1620" s="2">
        <v>45810.375085336993</v>
      </c>
      <c r="C1620" t="s">
        <v>8</v>
      </c>
      <c r="D1620" t="s">
        <v>18</v>
      </c>
      <c r="E1620" t="s">
        <v>25</v>
      </c>
      <c r="F1620">
        <v>608.49</v>
      </c>
    </row>
    <row r="1621" spans="1:6" x14ac:dyDescent="0.35">
      <c r="A1621">
        <v>1237</v>
      </c>
      <c r="B1621" s="2">
        <v>45810.375085336993</v>
      </c>
      <c r="C1621" t="s">
        <v>7</v>
      </c>
      <c r="D1621" t="s">
        <v>18</v>
      </c>
      <c r="E1621" t="s">
        <v>23</v>
      </c>
      <c r="F1621">
        <v>870.24</v>
      </c>
    </row>
    <row r="1622" spans="1:6" x14ac:dyDescent="0.35">
      <c r="A1622">
        <v>1223</v>
      </c>
      <c r="B1622" s="2">
        <v>45810.375085336993</v>
      </c>
      <c r="C1622" t="s">
        <v>11</v>
      </c>
      <c r="D1622" t="s">
        <v>17</v>
      </c>
      <c r="E1622" t="s">
        <v>25</v>
      </c>
      <c r="F1622">
        <v>2175.1999999999998</v>
      </c>
    </row>
    <row r="1623" spans="1:6" x14ac:dyDescent="0.35">
      <c r="A1623">
        <v>1344</v>
      </c>
      <c r="B1623" s="2">
        <v>45810.375085336993</v>
      </c>
      <c r="C1623" t="s">
        <v>7</v>
      </c>
      <c r="D1623" t="s">
        <v>20</v>
      </c>
      <c r="E1623" t="s">
        <v>25</v>
      </c>
      <c r="F1623">
        <v>1424.11</v>
      </c>
    </row>
    <row r="1624" spans="1:6" x14ac:dyDescent="0.35">
      <c r="A1624">
        <v>1261</v>
      </c>
      <c r="B1624" s="2">
        <v>45811.375085336993</v>
      </c>
      <c r="C1624" t="s">
        <v>9</v>
      </c>
      <c r="D1624" t="s">
        <v>16</v>
      </c>
      <c r="E1624" t="s">
        <v>25</v>
      </c>
      <c r="F1624">
        <v>2140.98</v>
      </c>
    </row>
    <row r="1625" spans="1:6" x14ac:dyDescent="0.35">
      <c r="A1625">
        <v>1158</v>
      </c>
      <c r="B1625" s="2">
        <v>45811.375085336993</v>
      </c>
      <c r="C1625" t="s">
        <v>10</v>
      </c>
      <c r="D1625" t="s">
        <v>18</v>
      </c>
      <c r="E1625" t="s">
        <v>24</v>
      </c>
      <c r="F1625">
        <v>3605.64</v>
      </c>
    </row>
    <row r="1626" spans="1:6" x14ac:dyDescent="0.35">
      <c r="A1626">
        <v>1333</v>
      </c>
      <c r="B1626" s="2">
        <v>45811.375085336993</v>
      </c>
      <c r="C1626" t="s">
        <v>11</v>
      </c>
      <c r="D1626" t="s">
        <v>22</v>
      </c>
      <c r="E1626" t="s">
        <v>24</v>
      </c>
      <c r="F1626">
        <v>1450.63</v>
      </c>
    </row>
    <row r="1627" spans="1:6" x14ac:dyDescent="0.35">
      <c r="A1627">
        <v>1123</v>
      </c>
      <c r="B1627" s="2">
        <v>45811.375085336993</v>
      </c>
      <c r="C1627" t="s">
        <v>14</v>
      </c>
      <c r="D1627" t="s">
        <v>21</v>
      </c>
      <c r="E1627" t="s">
        <v>25</v>
      </c>
      <c r="F1627">
        <v>5180.03</v>
      </c>
    </row>
    <row r="1628" spans="1:6" x14ac:dyDescent="0.35">
      <c r="A1628">
        <v>1087</v>
      </c>
      <c r="B1628" s="2">
        <v>45811.375085336993</v>
      </c>
      <c r="C1628" t="s">
        <v>7</v>
      </c>
      <c r="D1628" t="s">
        <v>16</v>
      </c>
      <c r="E1628" t="s">
        <v>23</v>
      </c>
      <c r="F1628">
        <v>9896.92</v>
      </c>
    </row>
    <row r="1629" spans="1:6" x14ac:dyDescent="0.35">
      <c r="A1629">
        <v>1132</v>
      </c>
      <c r="B1629" s="2">
        <v>45811.375085336993</v>
      </c>
      <c r="C1629" t="s">
        <v>11</v>
      </c>
      <c r="D1629" t="s">
        <v>19</v>
      </c>
      <c r="E1629" t="s">
        <v>25</v>
      </c>
      <c r="F1629">
        <v>6721.65</v>
      </c>
    </row>
    <row r="1630" spans="1:6" x14ac:dyDescent="0.35">
      <c r="A1630">
        <v>1127</v>
      </c>
      <c r="B1630" s="2">
        <v>45812.375085336993</v>
      </c>
      <c r="C1630" t="s">
        <v>11</v>
      </c>
      <c r="D1630" t="s">
        <v>17</v>
      </c>
      <c r="E1630" t="s">
        <v>23</v>
      </c>
      <c r="F1630">
        <v>2343.73</v>
      </c>
    </row>
    <row r="1631" spans="1:6" x14ac:dyDescent="0.35">
      <c r="A1631">
        <v>1200</v>
      </c>
      <c r="B1631" s="2">
        <v>45812.375085336993</v>
      </c>
      <c r="C1631" t="s">
        <v>15</v>
      </c>
      <c r="D1631" t="s">
        <v>18</v>
      </c>
      <c r="E1631" t="s">
        <v>23</v>
      </c>
      <c r="F1631">
        <v>5409.9</v>
      </c>
    </row>
    <row r="1632" spans="1:6" x14ac:dyDescent="0.35">
      <c r="A1632">
        <v>1101</v>
      </c>
      <c r="B1632" s="2">
        <v>45812.375085336993</v>
      </c>
      <c r="C1632" t="s">
        <v>9</v>
      </c>
      <c r="D1632" t="s">
        <v>19</v>
      </c>
      <c r="E1632" t="s">
        <v>25</v>
      </c>
      <c r="F1632">
        <v>2142.87</v>
      </c>
    </row>
    <row r="1633" spans="1:6" x14ac:dyDescent="0.35">
      <c r="A1633">
        <v>1146</v>
      </c>
      <c r="B1633" s="2">
        <v>45812.375085336993</v>
      </c>
      <c r="C1633" t="s">
        <v>10</v>
      </c>
      <c r="D1633" t="s">
        <v>16</v>
      </c>
      <c r="E1633" t="s">
        <v>25</v>
      </c>
      <c r="F1633">
        <v>860.38</v>
      </c>
    </row>
    <row r="1634" spans="1:6" x14ac:dyDescent="0.35">
      <c r="A1634">
        <v>1062</v>
      </c>
      <c r="B1634" s="2">
        <v>45812.375085336993</v>
      </c>
      <c r="C1634" t="s">
        <v>11</v>
      </c>
      <c r="D1634" t="s">
        <v>16</v>
      </c>
      <c r="E1634" t="s">
        <v>25</v>
      </c>
      <c r="F1634">
        <v>1105.48</v>
      </c>
    </row>
    <row r="1635" spans="1:6" x14ac:dyDescent="0.35">
      <c r="A1635">
        <v>1223</v>
      </c>
      <c r="B1635" s="2">
        <v>45813.375085336993</v>
      </c>
      <c r="C1635" t="s">
        <v>12</v>
      </c>
      <c r="D1635" t="s">
        <v>20</v>
      </c>
      <c r="E1635" t="s">
        <v>23</v>
      </c>
      <c r="F1635">
        <v>2915.99</v>
      </c>
    </row>
    <row r="1636" spans="1:6" x14ac:dyDescent="0.35">
      <c r="A1636">
        <v>1295</v>
      </c>
      <c r="B1636" s="2">
        <v>45813.375085336993</v>
      </c>
      <c r="C1636" t="s">
        <v>6</v>
      </c>
      <c r="D1636" t="s">
        <v>21</v>
      </c>
      <c r="E1636" t="s">
        <v>23</v>
      </c>
      <c r="F1636">
        <v>2068.23</v>
      </c>
    </row>
    <row r="1637" spans="1:6" x14ac:dyDescent="0.35">
      <c r="A1637">
        <v>1280</v>
      </c>
      <c r="B1637" s="2">
        <v>45813.375085336993</v>
      </c>
      <c r="C1637" t="s">
        <v>12</v>
      </c>
      <c r="D1637" t="s">
        <v>18</v>
      </c>
      <c r="E1637" t="s">
        <v>23</v>
      </c>
      <c r="F1637">
        <v>2619.37</v>
      </c>
    </row>
    <row r="1638" spans="1:6" x14ac:dyDescent="0.35">
      <c r="A1638">
        <v>1002</v>
      </c>
      <c r="B1638" s="2">
        <v>45814.375085336993</v>
      </c>
      <c r="C1638" t="s">
        <v>14</v>
      </c>
      <c r="D1638" t="s">
        <v>18</v>
      </c>
      <c r="E1638" t="s">
        <v>24</v>
      </c>
      <c r="F1638">
        <v>1497.79</v>
      </c>
    </row>
    <row r="1639" spans="1:6" x14ac:dyDescent="0.35">
      <c r="A1639">
        <v>1300</v>
      </c>
      <c r="B1639" s="2">
        <v>45814.375085336993</v>
      </c>
      <c r="C1639" t="s">
        <v>15</v>
      </c>
      <c r="D1639" t="s">
        <v>17</v>
      </c>
      <c r="E1639" t="s">
        <v>25</v>
      </c>
      <c r="F1639">
        <v>1322.65</v>
      </c>
    </row>
    <row r="1640" spans="1:6" x14ac:dyDescent="0.35">
      <c r="A1640">
        <v>1035</v>
      </c>
      <c r="B1640" s="2">
        <v>45814.375085336993</v>
      </c>
      <c r="C1640" t="s">
        <v>12</v>
      </c>
      <c r="D1640" t="s">
        <v>19</v>
      </c>
      <c r="E1640" t="s">
        <v>24</v>
      </c>
      <c r="F1640">
        <v>3848.35</v>
      </c>
    </row>
    <row r="1641" spans="1:6" x14ac:dyDescent="0.35">
      <c r="A1641">
        <v>1037</v>
      </c>
      <c r="B1641" s="2">
        <v>45815.375085336993</v>
      </c>
      <c r="C1641" t="s">
        <v>10</v>
      </c>
      <c r="D1641" t="s">
        <v>18</v>
      </c>
      <c r="E1641" t="s">
        <v>25</v>
      </c>
      <c r="F1641">
        <v>2365.13</v>
      </c>
    </row>
    <row r="1642" spans="1:6" x14ac:dyDescent="0.35">
      <c r="A1642">
        <v>1185</v>
      </c>
      <c r="B1642" s="2">
        <v>45815.375085336993</v>
      </c>
      <c r="C1642" t="s">
        <v>8</v>
      </c>
      <c r="D1642" t="s">
        <v>17</v>
      </c>
      <c r="E1642" t="s">
        <v>23</v>
      </c>
      <c r="F1642">
        <v>3577.69</v>
      </c>
    </row>
    <row r="1643" spans="1:6" x14ac:dyDescent="0.35">
      <c r="A1643">
        <v>1181</v>
      </c>
      <c r="B1643" s="2">
        <v>45816.375085336993</v>
      </c>
      <c r="C1643" t="s">
        <v>14</v>
      </c>
      <c r="D1643" t="s">
        <v>20</v>
      </c>
      <c r="E1643" t="s">
        <v>23</v>
      </c>
      <c r="F1643">
        <v>7894.67</v>
      </c>
    </row>
    <row r="1644" spans="1:6" x14ac:dyDescent="0.35">
      <c r="A1644">
        <v>1338</v>
      </c>
      <c r="B1644" s="2">
        <v>45817.375085336993</v>
      </c>
      <c r="C1644" t="s">
        <v>6</v>
      </c>
      <c r="D1644" t="s">
        <v>18</v>
      </c>
      <c r="E1644" t="s">
        <v>23</v>
      </c>
      <c r="F1644">
        <v>2883.76</v>
      </c>
    </row>
    <row r="1645" spans="1:6" x14ac:dyDescent="0.35">
      <c r="A1645">
        <v>1083</v>
      </c>
      <c r="B1645" s="2">
        <v>45817.375085336993</v>
      </c>
      <c r="C1645" t="s">
        <v>14</v>
      </c>
      <c r="D1645" t="s">
        <v>19</v>
      </c>
      <c r="E1645" t="s">
        <v>24</v>
      </c>
      <c r="F1645">
        <v>907.98</v>
      </c>
    </row>
    <row r="1646" spans="1:6" x14ac:dyDescent="0.35">
      <c r="A1646">
        <v>1387</v>
      </c>
      <c r="B1646" s="2">
        <v>45817.375085336993</v>
      </c>
      <c r="C1646" t="s">
        <v>12</v>
      </c>
      <c r="D1646" t="s">
        <v>21</v>
      </c>
      <c r="E1646" t="s">
        <v>23</v>
      </c>
      <c r="F1646">
        <v>4273.63</v>
      </c>
    </row>
    <row r="1647" spans="1:6" x14ac:dyDescent="0.35">
      <c r="A1647">
        <v>1276</v>
      </c>
      <c r="B1647" s="2">
        <v>45817.375085336993</v>
      </c>
      <c r="C1647" t="s">
        <v>14</v>
      </c>
      <c r="D1647" t="s">
        <v>20</v>
      </c>
      <c r="E1647" t="s">
        <v>23</v>
      </c>
      <c r="F1647">
        <v>1807.85</v>
      </c>
    </row>
    <row r="1648" spans="1:6" x14ac:dyDescent="0.35">
      <c r="A1648">
        <v>1016</v>
      </c>
      <c r="B1648" s="2">
        <v>45817.375085336993</v>
      </c>
      <c r="C1648" t="s">
        <v>8</v>
      </c>
      <c r="D1648" t="s">
        <v>22</v>
      </c>
      <c r="E1648" t="s">
        <v>23</v>
      </c>
      <c r="F1648">
        <v>5124.53</v>
      </c>
    </row>
    <row r="1649" spans="1:6" x14ac:dyDescent="0.35">
      <c r="A1649">
        <v>1329</v>
      </c>
      <c r="B1649" s="2">
        <v>45817.375085336993</v>
      </c>
      <c r="C1649" t="s">
        <v>6</v>
      </c>
      <c r="D1649" t="s">
        <v>19</v>
      </c>
      <c r="E1649" t="s">
        <v>24</v>
      </c>
      <c r="F1649">
        <v>5776.05</v>
      </c>
    </row>
    <row r="1650" spans="1:6" x14ac:dyDescent="0.35">
      <c r="A1650">
        <v>1080</v>
      </c>
      <c r="B1650" s="2">
        <v>45817.375085336993</v>
      </c>
      <c r="C1650" t="s">
        <v>12</v>
      </c>
      <c r="D1650" t="s">
        <v>22</v>
      </c>
      <c r="E1650" t="s">
        <v>23</v>
      </c>
      <c r="F1650">
        <v>3675.47</v>
      </c>
    </row>
    <row r="1651" spans="1:6" x14ac:dyDescent="0.35">
      <c r="A1651">
        <v>1319</v>
      </c>
      <c r="B1651" s="2">
        <v>45818.375085336993</v>
      </c>
      <c r="C1651" t="s">
        <v>10</v>
      </c>
      <c r="D1651" t="s">
        <v>19</v>
      </c>
      <c r="E1651" t="s">
        <v>25</v>
      </c>
      <c r="F1651">
        <v>7649.95</v>
      </c>
    </row>
    <row r="1652" spans="1:6" x14ac:dyDescent="0.35">
      <c r="A1652">
        <v>1014</v>
      </c>
      <c r="B1652" s="2">
        <v>45818.375085336993</v>
      </c>
      <c r="C1652" t="s">
        <v>12</v>
      </c>
      <c r="D1652" t="s">
        <v>17</v>
      </c>
      <c r="E1652" t="s">
        <v>24</v>
      </c>
      <c r="F1652">
        <v>1664.61</v>
      </c>
    </row>
    <row r="1653" spans="1:6" x14ac:dyDescent="0.35">
      <c r="A1653">
        <v>1169</v>
      </c>
      <c r="B1653" s="2">
        <v>45819.375085336993</v>
      </c>
      <c r="C1653" t="s">
        <v>13</v>
      </c>
      <c r="D1653" t="s">
        <v>22</v>
      </c>
      <c r="E1653" t="s">
        <v>23</v>
      </c>
      <c r="F1653">
        <v>5882.23</v>
      </c>
    </row>
    <row r="1654" spans="1:6" x14ac:dyDescent="0.35">
      <c r="A1654">
        <v>1063</v>
      </c>
      <c r="B1654" s="2">
        <v>45819.375085336993</v>
      </c>
      <c r="C1654" t="s">
        <v>13</v>
      </c>
      <c r="D1654" t="s">
        <v>18</v>
      </c>
      <c r="E1654" t="s">
        <v>23</v>
      </c>
      <c r="F1654">
        <v>3425.81</v>
      </c>
    </row>
    <row r="1655" spans="1:6" x14ac:dyDescent="0.35">
      <c r="A1655">
        <v>1267</v>
      </c>
      <c r="B1655" s="2">
        <v>45819.375085336993</v>
      </c>
      <c r="C1655" t="s">
        <v>7</v>
      </c>
      <c r="D1655" t="s">
        <v>16</v>
      </c>
      <c r="E1655" t="s">
        <v>25</v>
      </c>
      <c r="F1655">
        <v>1339.54</v>
      </c>
    </row>
    <row r="1656" spans="1:6" x14ac:dyDescent="0.35">
      <c r="A1656">
        <v>1234</v>
      </c>
      <c r="B1656" s="2">
        <v>45819.375085336993</v>
      </c>
      <c r="C1656" t="s">
        <v>6</v>
      </c>
      <c r="D1656" t="s">
        <v>21</v>
      </c>
      <c r="E1656" t="s">
        <v>23</v>
      </c>
      <c r="F1656">
        <v>1343.77</v>
      </c>
    </row>
    <row r="1657" spans="1:6" x14ac:dyDescent="0.35">
      <c r="A1657">
        <v>1207</v>
      </c>
      <c r="B1657" s="2">
        <v>45819.375085336993</v>
      </c>
      <c r="C1657" t="s">
        <v>10</v>
      </c>
      <c r="D1657" t="s">
        <v>21</v>
      </c>
      <c r="E1657" t="s">
        <v>23</v>
      </c>
      <c r="F1657">
        <v>2399.41</v>
      </c>
    </row>
    <row r="1658" spans="1:6" x14ac:dyDescent="0.35">
      <c r="A1658">
        <v>1102</v>
      </c>
      <c r="B1658" s="2">
        <v>45819.375085336993</v>
      </c>
      <c r="C1658" t="s">
        <v>15</v>
      </c>
      <c r="D1658" t="s">
        <v>18</v>
      </c>
      <c r="E1658" t="s">
        <v>23</v>
      </c>
      <c r="F1658">
        <v>7186.83</v>
      </c>
    </row>
    <row r="1659" spans="1:6" x14ac:dyDescent="0.35">
      <c r="A1659">
        <v>1222</v>
      </c>
      <c r="B1659" s="2">
        <v>45819.375085336993</v>
      </c>
      <c r="C1659" t="s">
        <v>10</v>
      </c>
      <c r="D1659" t="s">
        <v>20</v>
      </c>
      <c r="E1659" t="s">
        <v>23</v>
      </c>
      <c r="F1659">
        <v>1773.34</v>
      </c>
    </row>
    <row r="1660" spans="1:6" x14ac:dyDescent="0.35">
      <c r="A1660">
        <v>1353</v>
      </c>
      <c r="B1660" s="2">
        <v>45820.375085336993</v>
      </c>
      <c r="C1660" t="s">
        <v>11</v>
      </c>
      <c r="D1660" t="s">
        <v>21</v>
      </c>
      <c r="E1660" t="s">
        <v>23</v>
      </c>
      <c r="F1660">
        <v>8668.02</v>
      </c>
    </row>
    <row r="1661" spans="1:6" x14ac:dyDescent="0.35">
      <c r="A1661">
        <v>1379</v>
      </c>
      <c r="B1661" s="2">
        <v>45820.375085336993</v>
      </c>
      <c r="C1661" t="s">
        <v>13</v>
      </c>
      <c r="D1661" t="s">
        <v>17</v>
      </c>
      <c r="E1661" t="s">
        <v>25</v>
      </c>
      <c r="F1661">
        <v>2126.4</v>
      </c>
    </row>
    <row r="1662" spans="1:6" x14ac:dyDescent="0.35">
      <c r="A1662">
        <v>1242</v>
      </c>
      <c r="B1662" s="2">
        <v>45820.375085336993</v>
      </c>
      <c r="C1662" t="s">
        <v>13</v>
      </c>
      <c r="D1662" t="s">
        <v>16</v>
      </c>
      <c r="E1662" t="s">
        <v>24</v>
      </c>
      <c r="F1662">
        <v>1577.42</v>
      </c>
    </row>
    <row r="1663" spans="1:6" x14ac:dyDescent="0.35">
      <c r="A1663">
        <v>1313</v>
      </c>
      <c r="B1663" s="2">
        <v>45821.375085336993</v>
      </c>
      <c r="C1663" t="s">
        <v>11</v>
      </c>
      <c r="D1663" t="s">
        <v>18</v>
      </c>
      <c r="E1663" t="s">
        <v>25</v>
      </c>
      <c r="F1663">
        <v>1998.81</v>
      </c>
    </row>
    <row r="1664" spans="1:6" x14ac:dyDescent="0.35">
      <c r="A1664">
        <v>1364</v>
      </c>
      <c r="B1664" s="2">
        <v>45821.375085336993</v>
      </c>
      <c r="C1664" t="s">
        <v>13</v>
      </c>
      <c r="D1664" t="s">
        <v>22</v>
      </c>
      <c r="E1664" t="s">
        <v>25</v>
      </c>
      <c r="F1664">
        <v>4426.9799999999996</v>
      </c>
    </row>
    <row r="1665" spans="1:6" x14ac:dyDescent="0.35">
      <c r="A1665">
        <v>1382</v>
      </c>
      <c r="B1665" s="2">
        <v>45821.375085336993</v>
      </c>
      <c r="C1665" t="s">
        <v>13</v>
      </c>
      <c r="D1665" t="s">
        <v>18</v>
      </c>
      <c r="E1665" t="s">
        <v>23</v>
      </c>
      <c r="F1665">
        <v>475.24</v>
      </c>
    </row>
    <row r="1666" spans="1:6" x14ac:dyDescent="0.35">
      <c r="A1666">
        <v>1301</v>
      </c>
      <c r="B1666" s="2">
        <v>45821.375085336993</v>
      </c>
      <c r="C1666" t="s">
        <v>7</v>
      </c>
      <c r="D1666" t="s">
        <v>16</v>
      </c>
      <c r="E1666" t="s">
        <v>25</v>
      </c>
      <c r="F1666">
        <v>8734.5</v>
      </c>
    </row>
    <row r="1667" spans="1:6" x14ac:dyDescent="0.35">
      <c r="A1667">
        <v>1336</v>
      </c>
      <c r="B1667" s="2">
        <v>45821.375085336993</v>
      </c>
      <c r="C1667" t="s">
        <v>15</v>
      </c>
      <c r="D1667" t="s">
        <v>21</v>
      </c>
      <c r="E1667" t="s">
        <v>24</v>
      </c>
      <c r="F1667">
        <v>6704.42</v>
      </c>
    </row>
    <row r="1668" spans="1:6" x14ac:dyDescent="0.35">
      <c r="A1668">
        <v>1191</v>
      </c>
      <c r="B1668" s="2">
        <v>45822.375085336993</v>
      </c>
      <c r="C1668" t="s">
        <v>6</v>
      </c>
      <c r="D1668" t="s">
        <v>17</v>
      </c>
      <c r="E1668" t="s">
        <v>24</v>
      </c>
      <c r="F1668">
        <v>2403.2399999999998</v>
      </c>
    </row>
    <row r="1669" spans="1:6" x14ac:dyDescent="0.35">
      <c r="A1669">
        <v>1074</v>
      </c>
      <c r="B1669" s="2">
        <v>45822.375085336993</v>
      </c>
      <c r="C1669" t="s">
        <v>15</v>
      </c>
      <c r="D1669" t="s">
        <v>21</v>
      </c>
      <c r="E1669" t="s">
        <v>23</v>
      </c>
      <c r="F1669">
        <v>1509.59</v>
      </c>
    </row>
    <row r="1670" spans="1:6" x14ac:dyDescent="0.35">
      <c r="A1670">
        <v>1225</v>
      </c>
      <c r="B1670" s="2">
        <v>45822.375085336993</v>
      </c>
      <c r="C1670" t="s">
        <v>13</v>
      </c>
      <c r="D1670" t="s">
        <v>18</v>
      </c>
      <c r="E1670" t="s">
        <v>24</v>
      </c>
      <c r="F1670">
        <v>1406.97</v>
      </c>
    </row>
    <row r="1671" spans="1:6" x14ac:dyDescent="0.35">
      <c r="A1671">
        <v>1008</v>
      </c>
      <c r="B1671" s="2">
        <v>45823.375085336993</v>
      </c>
      <c r="C1671" t="s">
        <v>7</v>
      </c>
      <c r="D1671" t="s">
        <v>22</v>
      </c>
      <c r="E1671" t="s">
        <v>23</v>
      </c>
      <c r="F1671">
        <v>3782.77</v>
      </c>
    </row>
    <row r="1672" spans="1:6" x14ac:dyDescent="0.35">
      <c r="A1672">
        <v>1152</v>
      </c>
      <c r="B1672" s="2">
        <v>45824.375085336993</v>
      </c>
      <c r="C1672" t="s">
        <v>6</v>
      </c>
      <c r="D1672" t="s">
        <v>18</v>
      </c>
      <c r="E1672" t="s">
        <v>24</v>
      </c>
      <c r="F1672">
        <v>5429.31</v>
      </c>
    </row>
    <row r="1673" spans="1:6" x14ac:dyDescent="0.35">
      <c r="A1673">
        <v>1388</v>
      </c>
      <c r="B1673" s="2">
        <v>45824.375085336993</v>
      </c>
      <c r="C1673" t="s">
        <v>15</v>
      </c>
      <c r="D1673" t="s">
        <v>22</v>
      </c>
      <c r="E1673" t="s">
        <v>25</v>
      </c>
      <c r="F1673">
        <v>7509.13</v>
      </c>
    </row>
    <row r="1674" spans="1:6" x14ac:dyDescent="0.35">
      <c r="A1674">
        <v>1056</v>
      </c>
      <c r="B1674" s="2">
        <v>45824.375085336993</v>
      </c>
      <c r="C1674" t="s">
        <v>13</v>
      </c>
      <c r="D1674" t="s">
        <v>20</v>
      </c>
      <c r="E1674" t="s">
        <v>25</v>
      </c>
      <c r="F1674">
        <v>4077.14</v>
      </c>
    </row>
    <row r="1675" spans="1:6" x14ac:dyDescent="0.35">
      <c r="A1675">
        <v>1356</v>
      </c>
      <c r="B1675" s="2">
        <v>45824.375085336993</v>
      </c>
      <c r="C1675" t="s">
        <v>11</v>
      </c>
      <c r="D1675" t="s">
        <v>17</v>
      </c>
      <c r="E1675" t="s">
        <v>24</v>
      </c>
      <c r="F1675">
        <v>6725.99</v>
      </c>
    </row>
    <row r="1676" spans="1:6" x14ac:dyDescent="0.35">
      <c r="A1676">
        <v>1339</v>
      </c>
      <c r="B1676" s="2">
        <v>45824.375085336993</v>
      </c>
      <c r="C1676" t="s">
        <v>7</v>
      </c>
      <c r="D1676" t="s">
        <v>19</v>
      </c>
      <c r="E1676" t="s">
        <v>23</v>
      </c>
      <c r="F1676">
        <v>3205.57</v>
      </c>
    </row>
    <row r="1677" spans="1:6" x14ac:dyDescent="0.35">
      <c r="A1677">
        <v>1313</v>
      </c>
      <c r="B1677" s="2">
        <v>45824.375085336993</v>
      </c>
      <c r="C1677" t="s">
        <v>9</v>
      </c>
      <c r="D1677" t="s">
        <v>19</v>
      </c>
      <c r="E1677" t="s">
        <v>25</v>
      </c>
      <c r="F1677">
        <v>2898.86</v>
      </c>
    </row>
    <row r="1678" spans="1:6" x14ac:dyDescent="0.35">
      <c r="A1678">
        <v>1216</v>
      </c>
      <c r="B1678" s="2">
        <v>45825.375085336993</v>
      </c>
      <c r="C1678" t="s">
        <v>12</v>
      </c>
      <c r="D1678" t="s">
        <v>20</v>
      </c>
      <c r="E1678" t="s">
        <v>23</v>
      </c>
      <c r="F1678">
        <v>10324.959999999999</v>
      </c>
    </row>
    <row r="1679" spans="1:6" x14ac:dyDescent="0.35">
      <c r="A1679">
        <v>1267</v>
      </c>
      <c r="B1679" s="2">
        <v>45825.375085336993</v>
      </c>
      <c r="C1679" t="s">
        <v>10</v>
      </c>
      <c r="D1679" t="s">
        <v>17</v>
      </c>
      <c r="E1679" t="s">
        <v>23</v>
      </c>
      <c r="F1679">
        <v>2623.55</v>
      </c>
    </row>
    <row r="1680" spans="1:6" x14ac:dyDescent="0.35">
      <c r="A1680">
        <v>1301</v>
      </c>
      <c r="B1680" s="2">
        <v>45825.375085336993</v>
      </c>
      <c r="C1680" t="s">
        <v>6</v>
      </c>
      <c r="D1680" t="s">
        <v>22</v>
      </c>
      <c r="E1680" t="s">
        <v>23</v>
      </c>
      <c r="F1680">
        <v>3210.43</v>
      </c>
    </row>
    <row r="1681" spans="1:6" x14ac:dyDescent="0.35">
      <c r="A1681">
        <v>1288</v>
      </c>
      <c r="B1681" s="2">
        <v>45825.375085336993</v>
      </c>
      <c r="C1681" t="s">
        <v>10</v>
      </c>
      <c r="D1681" t="s">
        <v>22</v>
      </c>
      <c r="E1681" t="s">
        <v>23</v>
      </c>
      <c r="F1681">
        <v>4092.78</v>
      </c>
    </row>
    <row r="1682" spans="1:6" x14ac:dyDescent="0.35">
      <c r="A1682">
        <v>1268</v>
      </c>
      <c r="B1682" s="2">
        <v>45825.375085336993</v>
      </c>
      <c r="C1682" t="s">
        <v>12</v>
      </c>
      <c r="D1682" t="s">
        <v>20</v>
      </c>
      <c r="E1682" t="s">
        <v>24</v>
      </c>
      <c r="F1682">
        <v>8898.59</v>
      </c>
    </row>
    <row r="1683" spans="1:6" x14ac:dyDescent="0.35">
      <c r="A1683">
        <v>1095</v>
      </c>
      <c r="B1683" s="2">
        <v>45825.375085336993</v>
      </c>
      <c r="C1683" t="s">
        <v>13</v>
      </c>
      <c r="D1683" t="s">
        <v>21</v>
      </c>
      <c r="E1683" t="s">
        <v>23</v>
      </c>
      <c r="F1683">
        <v>1453.93</v>
      </c>
    </row>
    <row r="1684" spans="1:6" x14ac:dyDescent="0.35">
      <c r="A1684">
        <v>1068</v>
      </c>
      <c r="B1684" s="2">
        <v>45826.375085336993</v>
      </c>
      <c r="C1684" t="s">
        <v>15</v>
      </c>
      <c r="D1684" t="s">
        <v>20</v>
      </c>
      <c r="E1684" t="s">
        <v>25</v>
      </c>
      <c r="F1684">
        <v>557.27</v>
      </c>
    </row>
    <row r="1685" spans="1:6" x14ac:dyDescent="0.35">
      <c r="A1685">
        <v>1193</v>
      </c>
      <c r="B1685" s="2">
        <v>45826.375085336993</v>
      </c>
      <c r="C1685" t="s">
        <v>11</v>
      </c>
      <c r="D1685" t="s">
        <v>21</v>
      </c>
      <c r="E1685" t="s">
        <v>25</v>
      </c>
      <c r="F1685">
        <v>2680.46</v>
      </c>
    </row>
    <row r="1686" spans="1:6" x14ac:dyDescent="0.35">
      <c r="A1686">
        <v>1025</v>
      </c>
      <c r="B1686" s="2">
        <v>45826.375085336993</v>
      </c>
      <c r="C1686" t="s">
        <v>12</v>
      </c>
      <c r="D1686" t="s">
        <v>20</v>
      </c>
      <c r="E1686" t="s">
        <v>23</v>
      </c>
      <c r="F1686">
        <v>409.77</v>
      </c>
    </row>
    <row r="1687" spans="1:6" x14ac:dyDescent="0.35">
      <c r="A1687">
        <v>1179</v>
      </c>
      <c r="B1687" s="2">
        <v>45826.375085336993</v>
      </c>
      <c r="C1687" t="s">
        <v>15</v>
      </c>
      <c r="D1687" t="s">
        <v>16</v>
      </c>
      <c r="E1687" t="s">
        <v>24</v>
      </c>
      <c r="F1687">
        <v>1908.35</v>
      </c>
    </row>
    <row r="1688" spans="1:6" x14ac:dyDescent="0.35">
      <c r="A1688">
        <v>1323</v>
      </c>
      <c r="B1688" s="2">
        <v>45826.375085336993</v>
      </c>
      <c r="C1688" t="s">
        <v>9</v>
      </c>
      <c r="D1688" t="s">
        <v>17</v>
      </c>
      <c r="E1688" t="s">
        <v>25</v>
      </c>
      <c r="F1688">
        <v>1031.5</v>
      </c>
    </row>
    <row r="1689" spans="1:6" x14ac:dyDescent="0.35">
      <c r="A1689">
        <v>1144</v>
      </c>
      <c r="B1689" s="2">
        <v>45827.375085336993</v>
      </c>
      <c r="C1689" t="s">
        <v>6</v>
      </c>
      <c r="D1689" t="s">
        <v>17</v>
      </c>
      <c r="E1689" t="s">
        <v>24</v>
      </c>
      <c r="F1689">
        <v>10799.73</v>
      </c>
    </row>
    <row r="1690" spans="1:6" x14ac:dyDescent="0.35">
      <c r="A1690">
        <v>1291</v>
      </c>
      <c r="B1690" s="2">
        <v>45827.375085336993</v>
      </c>
      <c r="C1690" t="s">
        <v>8</v>
      </c>
      <c r="D1690" t="s">
        <v>17</v>
      </c>
      <c r="E1690" t="s">
        <v>25</v>
      </c>
      <c r="F1690">
        <v>2076.14</v>
      </c>
    </row>
    <row r="1691" spans="1:6" x14ac:dyDescent="0.35">
      <c r="A1691">
        <v>1372</v>
      </c>
      <c r="B1691" s="2">
        <v>45827.375085336993</v>
      </c>
      <c r="C1691" t="s">
        <v>10</v>
      </c>
      <c r="D1691" t="s">
        <v>21</v>
      </c>
      <c r="E1691" t="s">
        <v>25</v>
      </c>
      <c r="F1691">
        <v>2201.0300000000002</v>
      </c>
    </row>
    <row r="1692" spans="1:6" x14ac:dyDescent="0.35">
      <c r="A1692">
        <v>1051</v>
      </c>
      <c r="B1692" s="2">
        <v>45828.375085336993</v>
      </c>
      <c r="C1692" t="s">
        <v>15</v>
      </c>
      <c r="D1692" t="s">
        <v>17</v>
      </c>
      <c r="E1692" t="s">
        <v>25</v>
      </c>
      <c r="F1692">
        <v>3482.56</v>
      </c>
    </row>
    <row r="1693" spans="1:6" x14ac:dyDescent="0.35">
      <c r="A1693">
        <v>1119</v>
      </c>
      <c r="B1693" s="2">
        <v>45828.375085336993</v>
      </c>
      <c r="C1693" t="s">
        <v>8</v>
      </c>
      <c r="D1693" t="s">
        <v>18</v>
      </c>
      <c r="E1693" t="s">
        <v>24</v>
      </c>
      <c r="F1693">
        <v>8902.06</v>
      </c>
    </row>
    <row r="1694" spans="1:6" x14ac:dyDescent="0.35">
      <c r="A1694">
        <v>1023</v>
      </c>
      <c r="B1694" s="2">
        <v>45828.375085336993</v>
      </c>
      <c r="C1694" t="s">
        <v>7</v>
      </c>
      <c r="D1694" t="s">
        <v>22</v>
      </c>
      <c r="E1694" t="s">
        <v>24</v>
      </c>
      <c r="F1694">
        <v>2701.08</v>
      </c>
    </row>
    <row r="1695" spans="1:6" x14ac:dyDescent="0.35">
      <c r="A1695">
        <v>1096</v>
      </c>
      <c r="B1695" s="2">
        <v>45828.375085336993</v>
      </c>
      <c r="C1695" t="s">
        <v>14</v>
      </c>
      <c r="D1695" t="s">
        <v>16</v>
      </c>
      <c r="E1695" t="s">
        <v>25</v>
      </c>
      <c r="F1695">
        <v>1468.97</v>
      </c>
    </row>
    <row r="1696" spans="1:6" x14ac:dyDescent="0.35">
      <c r="A1696">
        <v>1097</v>
      </c>
      <c r="B1696" s="2">
        <v>45829.375085336993</v>
      </c>
      <c r="C1696" t="s">
        <v>10</v>
      </c>
      <c r="D1696" t="s">
        <v>16</v>
      </c>
      <c r="E1696" t="s">
        <v>25</v>
      </c>
      <c r="F1696">
        <v>4317.29</v>
      </c>
    </row>
    <row r="1697" spans="1:6" x14ac:dyDescent="0.35">
      <c r="A1697">
        <v>1086</v>
      </c>
      <c r="B1697" s="2">
        <v>45829.375085336993</v>
      </c>
      <c r="C1697" t="s">
        <v>8</v>
      </c>
      <c r="D1697" t="s">
        <v>18</v>
      </c>
      <c r="E1697" t="s">
        <v>23</v>
      </c>
      <c r="F1697">
        <v>5663.47</v>
      </c>
    </row>
    <row r="1698" spans="1:6" x14ac:dyDescent="0.35">
      <c r="A1698">
        <v>1117</v>
      </c>
      <c r="B1698" s="2">
        <v>45829.375085336993</v>
      </c>
      <c r="C1698" t="s">
        <v>10</v>
      </c>
      <c r="D1698" t="s">
        <v>21</v>
      </c>
      <c r="E1698" t="s">
        <v>23</v>
      </c>
      <c r="F1698">
        <v>5036.53</v>
      </c>
    </row>
    <row r="1699" spans="1:6" x14ac:dyDescent="0.35">
      <c r="A1699">
        <v>1217</v>
      </c>
      <c r="B1699" s="2">
        <v>45829.375085336993</v>
      </c>
      <c r="C1699" t="s">
        <v>8</v>
      </c>
      <c r="D1699" t="s">
        <v>16</v>
      </c>
      <c r="E1699" t="s">
        <v>23</v>
      </c>
      <c r="F1699">
        <v>2438.69</v>
      </c>
    </row>
    <row r="1700" spans="1:6" x14ac:dyDescent="0.35">
      <c r="A1700">
        <v>1279</v>
      </c>
      <c r="B1700" s="2">
        <v>45829.375085336993</v>
      </c>
      <c r="C1700" t="s">
        <v>6</v>
      </c>
      <c r="D1700" t="s">
        <v>18</v>
      </c>
      <c r="E1700" t="s">
        <v>25</v>
      </c>
      <c r="F1700">
        <v>7092.62</v>
      </c>
    </row>
    <row r="1701" spans="1:6" x14ac:dyDescent="0.35">
      <c r="A1701">
        <v>1270</v>
      </c>
      <c r="B1701" s="2">
        <v>45829.375085336993</v>
      </c>
      <c r="C1701" t="s">
        <v>10</v>
      </c>
      <c r="D1701" t="s">
        <v>18</v>
      </c>
      <c r="E1701" t="s">
        <v>23</v>
      </c>
      <c r="F1701">
        <v>2706.42</v>
      </c>
    </row>
    <row r="1702" spans="1:6" x14ac:dyDescent="0.35">
      <c r="A1702">
        <v>1004</v>
      </c>
      <c r="B1702" s="2">
        <v>45830.375085336993</v>
      </c>
      <c r="C1702" t="s">
        <v>14</v>
      </c>
      <c r="D1702" t="s">
        <v>19</v>
      </c>
      <c r="E1702" t="s">
        <v>23</v>
      </c>
      <c r="F1702">
        <v>1667.97</v>
      </c>
    </row>
    <row r="1703" spans="1:6" x14ac:dyDescent="0.35">
      <c r="A1703">
        <v>1256</v>
      </c>
      <c r="B1703" s="2">
        <v>45830.375085336993</v>
      </c>
      <c r="C1703" t="s">
        <v>7</v>
      </c>
      <c r="D1703" t="s">
        <v>16</v>
      </c>
      <c r="E1703" t="s">
        <v>25</v>
      </c>
      <c r="F1703">
        <v>5309.32</v>
      </c>
    </row>
    <row r="1704" spans="1:6" x14ac:dyDescent="0.35">
      <c r="A1704">
        <v>1088</v>
      </c>
      <c r="B1704" s="2">
        <v>45830.375085336993</v>
      </c>
      <c r="C1704" t="s">
        <v>8</v>
      </c>
      <c r="D1704" t="s">
        <v>16</v>
      </c>
      <c r="E1704" t="s">
        <v>25</v>
      </c>
      <c r="F1704">
        <v>2782.24</v>
      </c>
    </row>
    <row r="1705" spans="1:6" x14ac:dyDescent="0.35">
      <c r="A1705">
        <v>1194</v>
      </c>
      <c r="B1705" s="2">
        <v>45830.375085336993</v>
      </c>
      <c r="C1705" t="s">
        <v>6</v>
      </c>
      <c r="D1705" t="s">
        <v>17</v>
      </c>
      <c r="E1705" t="s">
        <v>23</v>
      </c>
      <c r="F1705">
        <v>6539.07</v>
      </c>
    </row>
    <row r="1706" spans="1:6" x14ac:dyDescent="0.35">
      <c r="A1706">
        <v>1180</v>
      </c>
      <c r="B1706" s="2">
        <v>45830.375085336993</v>
      </c>
      <c r="C1706" t="s">
        <v>6</v>
      </c>
      <c r="D1706" t="s">
        <v>19</v>
      </c>
      <c r="E1706" t="s">
        <v>23</v>
      </c>
      <c r="F1706">
        <v>1728.52</v>
      </c>
    </row>
    <row r="1707" spans="1:6" x14ac:dyDescent="0.35">
      <c r="A1707">
        <v>1190</v>
      </c>
      <c r="B1707" s="2">
        <v>45831.375085336993</v>
      </c>
      <c r="C1707" t="s">
        <v>12</v>
      </c>
      <c r="D1707" t="s">
        <v>17</v>
      </c>
      <c r="E1707" t="s">
        <v>23</v>
      </c>
      <c r="F1707">
        <v>2467.35</v>
      </c>
    </row>
    <row r="1708" spans="1:6" x14ac:dyDescent="0.35">
      <c r="A1708">
        <v>1339</v>
      </c>
      <c r="B1708" s="2">
        <v>45831.375085336993</v>
      </c>
      <c r="C1708" t="s">
        <v>6</v>
      </c>
      <c r="D1708" t="s">
        <v>21</v>
      </c>
      <c r="E1708" t="s">
        <v>25</v>
      </c>
      <c r="F1708">
        <v>6323.3</v>
      </c>
    </row>
    <row r="1709" spans="1:6" x14ac:dyDescent="0.35">
      <c r="A1709">
        <v>1190</v>
      </c>
      <c r="B1709" s="2">
        <v>45831.375085336993</v>
      </c>
      <c r="C1709" t="s">
        <v>7</v>
      </c>
      <c r="D1709" t="s">
        <v>22</v>
      </c>
      <c r="E1709" t="s">
        <v>25</v>
      </c>
      <c r="F1709">
        <v>2542.59</v>
      </c>
    </row>
    <row r="1710" spans="1:6" x14ac:dyDescent="0.35">
      <c r="A1710">
        <v>1265</v>
      </c>
      <c r="B1710" s="2">
        <v>45831.375085336993</v>
      </c>
      <c r="C1710" t="s">
        <v>15</v>
      </c>
      <c r="D1710" t="s">
        <v>18</v>
      </c>
      <c r="E1710" t="s">
        <v>24</v>
      </c>
      <c r="F1710">
        <v>3356.04</v>
      </c>
    </row>
    <row r="1711" spans="1:6" x14ac:dyDescent="0.35">
      <c r="A1711">
        <v>1200</v>
      </c>
      <c r="B1711" s="2">
        <v>45831.375085336993</v>
      </c>
      <c r="C1711" t="s">
        <v>7</v>
      </c>
      <c r="D1711" t="s">
        <v>20</v>
      </c>
      <c r="E1711" t="s">
        <v>24</v>
      </c>
      <c r="F1711">
        <v>5006.32</v>
      </c>
    </row>
    <row r="1712" spans="1:6" x14ac:dyDescent="0.35">
      <c r="A1712">
        <v>1395</v>
      </c>
      <c r="B1712" s="2">
        <v>45832.375085336993</v>
      </c>
      <c r="C1712" t="s">
        <v>12</v>
      </c>
      <c r="D1712" t="s">
        <v>20</v>
      </c>
      <c r="E1712" t="s">
        <v>24</v>
      </c>
      <c r="F1712">
        <v>4170.82</v>
      </c>
    </row>
    <row r="1713" spans="1:6" x14ac:dyDescent="0.35">
      <c r="A1713">
        <v>1038</v>
      </c>
      <c r="B1713" s="2">
        <v>45832.375085336993</v>
      </c>
      <c r="C1713" t="s">
        <v>9</v>
      </c>
      <c r="D1713" t="s">
        <v>22</v>
      </c>
      <c r="E1713" t="s">
        <v>23</v>
      </c>
      <c r="F1713">
        <v>4003.78</v>
      </c>
    </row>
    <row r="1714" spans="1:6" x14ac:dyDescent="0.35">
      <c r="A1714">
        <v>1361</v>
      </c>
      <c r="B1714" s="2">
        <v>45832.375085336993</v>
      </c>
      <c r="C1714" t="s">
        <v>8</v>
      </c>
      <c r="D1714" t="s">
        <v>20</v>
      </c>
      <c r="E1714" t="s">
        <v>23</v>
      </c>
      <c r="F1714">
        <v>4936.62</v>
      </c>
    </row>
    <row r="1715" spans="1:6" x14ac:dyDescent="0.35">
      <c r="A1715">
        <v>1294</v>
      </c>
      <c r="B1715" s="2">
        <v>45832.375085336993</v>
      </c>
      <c r="C1715" t="s">
        <v>6</v>
      </c>
      <c r="D1715" t="s">
        <v>20</v>
      </c>
      <c r="E1715" t="s">
        <v>24</v>
      </c>
      <c r="F1715">
        <v>1279.05</v>
      </c>
    </row>
    <row r="1716" spans="1:6" x14ac:dyDescent="0.35">
      <c r="A1716">
        <v>1253</v>
      </c>
      <c r="B1716" s="2">
        <v>45833.375085336993</v>
      </c>
      <c r="C1716" t="s">
        <v>12</v>
      </c>
      <c r="D1716" t="s">
        <v>18</v>
      </c>
      <c r="E1716" t="s">
        <v>23</v>
      </c>
      <c r="F1716">
        <v>9840.98</v>
      </c>
    </row>
    <row r="1717" spans="1:6" x14ac:dyDescent="0.35">
      <c r="A1717">
        <v>1281</v>
      </c>
      <c r="B1717" s="2">
        <v>45833.375085336993</v>
      </c>
      <c r="C1717" t="s">
        <v>14</v>
      </c>
      <c r="D1717" t="s">
        <v>16</v>
      </c>
      <c r="E1717" t="s">
        <v>25</v>
      </c>
      <c r="F1717">
        <v>1950.92</v>
      </c>
    </row>
    <row r="1718" spans="1:6" x14ac:dyDescent="0.35">
      <c r="A1718">
        <v>1047</v>
      </c>
      <c r="B1718" s="2">
        <v>45833.375085336993</v>
      </c>
      <c r="C1718" t="s">
        <v>10</v>
      </c>
      <c r="D1718" t="s">
        <v>17</v>
      </c>
      <c r="E1718" t="s">
        <v>23</v>
      </c>
      <c r="F1718">
        <v>4522.6099999999997</v>
      </c>
    </row>
    <row r="1719" spans="1:6" x14ac:dyDescent="0.35">
      <c r="A1719">
        <v>1306</v>
      </c>
      <c r="B1719" s="2">
        <v>45833.375085336993</v>
      </c>
      <c r="C1719" t="s">
        <v>12</v>
      </c>
      <c r="D1719" t="s">
        <v>19</v>
      </c>
      <c r="E1719" t="s">
        <v>25</v>
      </c>
      <c r="F1719">
        <v>5706.43</v>
      </c>
    </row>
    <row r="1720" spans="1:6" x14ac:dyDescent="0.35">
      <c r="A1720">
        <v>1213</v>
      </c>
      <c r="B1720" s="2">
        <v>45834.375085336993</v>
      </c>
      <c r="C1720" t="s">
        <v>8</v>
      </c>
      <c r="D1720" t="s">
        <v>22</v>
      </c>
      <c r="E1720" t="s">
        <v>23</v>
      </c>
      <c r="F1720">
        <v>2712.76</v>
      </c>
    </row>
    <row r="1721" spans="1:6" x14ac:dyDescent="0.35">
      <c r="A1721">
        <v>1011</v>
      </c>
      <c r="B1721" s="2">
        <v>45834.375085336993</v>
      </c>
      <c r="C1721" t="s">
        <v>14</v>
      </c>
      <c r="D1721" t="s">
        <v>22</v>
      </c>
      <c r="E1721" t="s">
        <v>24</v>
      </c>
      <c r="F1721">
        <v>4596.6499999999996</v>
      </c>
    </row>
    <row r="1722" spans="1:6" x14ac:dyDescent="0.35">
      <c r="A1722">
        <v>1399</v>
      </c>
      <c r="B1722" s="2">
        <v>45834.375085336993</v>
      </c>
      <c r="C1722" t="s">
        <v>6</v>
      </c>
      <c r="D1722" t="s">
        <v>16</v>
      </c>
      <c r="E1722" t="s">
        <v>24</v>
      </c>
      <c r="F1722">
        <v>5597.63</v>
      </c>
    </row>
    <row r="1723" spans="1:6" x14ac:dyDescent="0.35">
      <c r="A1723">
        <v>1251</v>
      </c>
      <c r="B1723" s="2">
        <v>45834.375085336993</v>
      </c>
      <c r="C1723" t="s">
        <v>9</v>
      </c>
      <c r="D1723" t="s">
        <v>22</v>
      </c>
      <c r="E1723" t="s">
        <v>25</v>
      </c>
      <c r="F1723">
        <v>5170.5200000000004</v>
      </c>
    </row>
    <row r="1724" spans="1:6" x14ac:dyDescent="0.35">
      <c r="A1724">
        <v>1360</v>
      </c>
      <c r="B1724" s="2">
        <v>45834.375085336993</v>
      </c>
      <c r="C1724" t="s">
        <v>8</v>
      </c>
      <c r="D1724" t="s">
        <v>17</v>
      </c>
      <c r="E1724" t="s">
        <v>24</v>
      </c>
      <c r="F1724">
        <v>2299.69</v>
      </c>
    </row>
    <row r="1725" spans="1:6" x14ac:dyDescent="0.35">
      <c r="A1725">
        <v>1169</v>
      </c>
      <c r="B1725" s="2">
        <v>45835.375085336993</v>
      </c>
      <c r="C1725" t="s">
        <v>7</v>
      </c>
      <c r="D1725" t="s">
        <v>16</v>
      </c>
      <c r="E1725" t="s">
        <v>25</v>
      </c>
      <c r="F1725">
        <v>2396.33</v>
      </c>
    </row>
    <row r="1726" spans="1:6" x14ac:dyDescent="0.35">
      <c r="A1726">
        <v>1000</v>
      </c>
      <c r="B1726" s="2">
        <v>45835.375085336993</v>
      </c>
      <c r="C1726" t="s">
        <v>13</v>
      </c>
      <c r="D1726" t="s">
        <v>22</v>
      </c>
      <c r="E1726" t="s">
        <v>23</v>
      </c>
      <c r="F1726">
        <v>4218.3599999999997</v>
      </c>
    </row>
    <row r="1727" spans="1:6" x14ac:dyDescent="0.35">
      <c r="A1727">
        <v>1043</v>
      </c>
      <c r="B1727" s="2">
        <v>45836.375085336993</v>
      </c>
      <c r="C1727" t="s">
        <v>9</v>
      </c>
      <c r="D1727" t="s">
        <v>17</v>
      </c>
      <c r="E1727" t="s">
        <v>24</v>
      </c>
      <c r="F1727">
        <v>2773.89</v>
      </c>
    </row>
    <row r="1728" spans="1:6" x14ac:dyDescent="0.35">
      <c r="A1728">
        <v>1370</v>
      </c>
      <c r="B1728" s="2">
        <v>45836.375085336993</v>
      </c>
      <c r="C1728" t="s">
        <v>12</v>
      </c>
      <c r="D1728" t="s">
        <v>20</v>
      </c>
      <c r="E1728" t="s">
        <v>23</v>
      </c>
      <c r="F1728">
        <v>5481.27</v>
      </c>
    </row>
    <row r="1729" spans="1:6" x14ac:dyDescent="0.35">
      <c r="A1729">
        <v>1325</v>
      </c>
      <c r="B1729" s="2">
        <v>45836.375085336993</v>
      </c>
      <c r="C1729" t="s">
        <v>6</v>
      </c>
      <c r="D1729" t="s">
        <v>17</v>
      </c>
      <c r="E1729" t="s">
        <v>25</v>
      </c>
      <c r="F1729">
        <v>2369.12</v>
      </c>
    </row>
    <row r="1730" spans="1:6" x14ac:dyDescent="0.35">
      <c r="A1730">
        <v>1112</v>
      </c>
      <c r="B1730" s="2">
        <v>45836.375085336993</v>
      </c>
      <c r="C1730" t="s">
        <v>7</v>
      </c>
      <c r="D1730" t="s">
        <v>21</v>
      </c>
      <c r="E1730" t="s">
        <v>25</v>
      </c>
      <c r="F1730">
        <v>1587.12</v>
      </c>
    </row>
    <row r="1731" spans="1:6" x14ac:dyDescent="0.35">
      <c r="A1731">
        <v>1151</v>
      </c>
      <c r="B1731" s="2">
        <v>45836.375085336993</v>
      </c>
      <c r="C1731" t="s">
        <v>8</v>
      </c>
      <c r="D1731" t="s">
        <v>17</v>
      </c>
      <c r="E1731" t="s">
        <v>24</v>
      </c>
      <c r="F1731">
        <v>3139.96</v>
      </c>
    </row>
    <row r="1732" spans="1:6" x14ac:dyDescent="0.35">
      <c r="A1732">
        <v>1181</v>
      </c>
      <c r="B1732" s="2">
        <v>45836.375085336993</v>
      </c>
      <c r="C1732" t="s">
        <v>12</v>
      </c>
      <c r="D1732" t="s">
        <v>20</v>
      </c>
      <c r="E1732" t="s">
        <v>24</v>
      </c>
      <c r="F1732">
        <v>2940.2</v>
      </c>
    </row>
    <row r="1733" spans="1:6" x14ac:dyDescent="0.35">
      <c r="A1733">
        <v>1241</v>
      </c>
      <c r="B1733" s="2">
        <v>45837.375085336993</v>
      </c>
      <c r="C1733" t="s">
        <v>12</v>
      </c>
      <c r="D1733" t="s">
        <v>22</v>
      </c>
      <c r="E1733" t="s">
        <v>23</v>
      </c>
      <c r="F1733">
        <v>2019.21</v>
      </c>
    </row>
    <row r="1734" spans="1:6" x14ac:dyDescent="0.35">
      <c r="A1734">
        <v>1236</v>
      </c>
      <c r="B1734" s="2">
        <v>45837.375085336993</v>
      </c>
      <c r="C1734" t="s">
        <v>10</v>
      </c>
      <c r="D1734" t="s">
        <v>17</v>
      </c>
      <c r="E1734" t="s">
        <v>25</v>
      </c>
      <c r="F1734">
        <v>1534.56</v>
      </c>
    </row>
    <row r="1735" spans="1:6" x14ac:dyDescent="0.35">
      <c r="A1735">
        <v>1263</v>
      </c>
      <c r="B1735" s="2">
        <v>45837.375085336993</v>
      </c>
      <c r="C1735" t="s">
        <v>15</v>
      </c>
      <c r="D1735" t="s">
        <v>22</v>
      </c>
      <c r="E1735" t="s">
        <v>25</v>
      </c>
      <c r="F1735">
        <v>1609.88</v>
      </c>
    </row>
    <row r="1736" spans="1:6" x14ac:dyDescent="0.35">
      <c r="A1736">
        <v>1343</v>
      </c>
      <c r="B1736" s="2">
        <v>45837.375085336993</v>
      </c>
      <c r="C1736" t="s">
        <v>10</v>
      </c>
      <c r="D1736" t="s">
        <v>16</v>
      </c>
      <c r="E1736" t="s">
        <v>25</v>
      </c>
      <c r="F1736">
        <v>7563.36</v>
      </c>
    </row>
    <row r="1737" spans="1:6" x14ac:dyDescent="0.35">
      <c r="A1737">
        <v>1341</v>
      </c>
      <c r="B1737" s="2">
        <v>45838.375085336993</v>
      </c>
      <c r="C1737" t="s">
        <v>9</v>
      </c>
      <c r="D1737" t="s">
        <v>18</v>
      </c>
      <c r="E1737" t="s">
        <v>25</v>
      </c>
      <c r="F1737">
        <v>1764.01</v>
      </c>
    </row>
    <row r="1738" spans="1:6" x14ac:dyDescent="0.35">
      <c r="A1738">
        <v>1032</v>
      </c>
      <c r="B1738" s="2">
        <v>45838.375085336993</v>
      </c>
      <c r="C1738" t="s">
        <v>8</v>
      </c>
      <c r="D1738" t="s">
        <v>22</v>
      </c>
      <c r="E1738" t="s">
        <v>23</v>
      </c>
      <c r="F1738">
        <v>7592.99</v>
      </c>
    </row>
    <row r="1739" spans="1:6" x14ac:dyDescent="0.35">
      <c r="A1739">
        <v>1287</v>
      </c>
      <c r="B1739" s="2">
        <v>45838.375085336993</v>
      </c>
      <c r="C1739" t="s">
        <v>12</v>
      </c>
      <c r="D1739" t="s">
        <v>21</v>
      </c>
      <c r="E1739" t="s">
        <v>23</v>
      </c>
      <c r="F1739">
        <v>9488.91</v>
      </c>
    </row>
    <row r="1740" spans="1:6" x14ac:dyDescent="0.35">
      <c r="A1740">
        <v>1334</v>
      </c>
      <c r="B1740" s="2">
        <v>45838.375085336993</v>
      </c>
      <c r="C1740" t="s">
        <v>15</v>
      </c>
      <c r="D1740" t="s">
        <v>19</v>
      </c>
      <c r="E1740" t="s">
        <v>25</v>
      </c>
      <c r="F1740">
        <v>1884.18</v>
      </c>
    </row>
    <row r="1741" spans="1:6" x14ac:dyDescent="0.35">
      <c r="A1741">
        <v>1317</v>
      </c>
      <c r="B1741" s="2">
        <v>45839.375085336993</v>
      </c>
      <c r="C1741" t="s">
        <v>11</v>
      </c>
      <c r="D1741" t="s">
        <v>21</v>
      </c>
      <c r="E1741" t="s">
        <v>23</v>
      </c>
      <c r="F1741">
        <v>4326.58</v>
      </c>
    </row>
    <row r="1742" spans="1:6" x14ac:dyDescent="0.35">
      <c r="A1742">
        <v>1236</v>
      </c>
      <c r="B1742" s="2">
        <v>45839.375085336993</v>
      </c>
      <c r="C1742" t="s">
        <v>10</v>
      </c>
      <c r="D1742" t="s">
        <v>16</v>
      </c>
      <c r="E1742" t="s">
        <v>25</v>
      </c>
      <c r="F1742">
        <v>2861.46</v>
      </c>
    </row>
    <row r="1743" spans="1:6" x14ac:dyDescent="0.35">
      <c r="A1743">
        <v>1063</v>
      </c>
      <c r="B1743" s="2">
        <v>45839.375085336993</v>
      </c>
      <c r="C1743" t="s">
        <v>15</v>
      </c>
      <c r="D1743" t="s">
        <v>19</v>
      </c>
      <c r="E1743" t="s">
        <v>23</v>
      </c>
      <c r="F1743">
        <v>11151.92</v>
      </c>
    </row>
    <row r="1744" spans="1:6" x14ac:dyDescent="0.35">
      <c r="A1744">
        <v>1283</v>
      </c>
      <c r="B1744" s="2">
        <v>45839.375085336993</v>
      </c>
      <c r="C1744" t="s">
        <v>13</v>
      </c>
      <c r="D1744" t="s">
        <v>16</v>
      </c>
      <c r="E1744" t="s">
        <v>24</v>
      </c>
      <c r="F1744">
        <v>8101.75</v>
      </c>
    </row>
    <row r="1745" spans="1:6" x14ac:dyDescent="0.35">
      <c r="A1745">
        <v>1001</v>
      </c>
      <c r="B1745" s="2">
        <v>45839.375085336993</v>
      </c>
      <c r="C1745" t="s">
        <v>14</v>
      </c>
      <c r="D1745" t="s">
        <v>20</v>
      </c>
      <c r="E1745" t="s">
        <v>25</v>
      </c>
      <c r="F1745">
        <v>3204.11</v>
      </c>
    </row>
    <row r="1746" spans="1:6" x14ac:dyDescent="0.35">
      <c r="A1746">
        <v>1075</v>
      </c>
      <c r="B1746" s="2">
        <v>45839.375085336993</v>
      </c>
      <c r="C1746" t="s">
        <v>10</v>
      </c>
      <c r="D1746" t="s">
        <v>21</v>
      </c>
      <c r="E1746" t="s">
        <v>24</v>
      </c>
      <c r="F1746">
        <v>4250.22</v>
      </c>
    </row>
    <row r="1747" spans="1:6" x14ac:dyDescent="0.35">
      <c r="A1747">
        <v>1065</v>
      </c>
      <c r="B1747" s="2">
        <v>45840.375085336993</v>
      </c>
      <c r="C1747" t="s">
        <v>14</v>
      </c>
      <c r="D1747" t="s">
        <v>19</v>
      </c>
      <c r="E1747" t="s">
        <v>23</v>
      </c>
      <c r="F1747">
        <v>564.65</v>
      </c>
    </row>
    <row r="1748" spans="1:6" x14ac:dyDescent="0.35">
      <c r="A1748">
        <v>1144</v>
      </c>
      <c r="B1748" s="2">
        <v>45840.375085336993</v>
      </c>
      <c r="C1748" t="s">
        <v>10</v>
      </c>
      <c r="D1748" t="s">
        <v>19</v>
      </c>
      <c r="E1748" t="s">
        <v>25</v>
      </c>
      <c r="F1748">
        <v>1082.83</v>
      </c>
    </row>
    <row r="1749" spans="1:6" x14ac:dyDescent="0.35">
      <c r="A1749">
        <v>1148</v>
      </c>
      <c r="B1749" s="2">
        <v>45840.375085336993</v>
      </c>
      <c r="C1749" t="s">
        <v>10</v>
      </c>
      <c r="D1749" t="s">
        <v>22</v>
      </c>
      <c r="E1749" t="s">
        <v>25</v>
      </c>
      <c r="F1749">
        <v>10097.129999999999</v>
      </c>
    </row>
    <row r="1750" spans="1:6" x14ac:dyDescent="0.35">
      <c r="A1750">
        <v>1277</v>
      </c>
      <c r="B1750" s="2">
        <v>45841.375085336993</v>
      </c>
      <c r="C1750" t="s">
        <v>10</v>
      </c>
      <c r="D1750" t="s">
        <v>21</v>
      </c>
      <c r="E1750" t="s">
        <v>23</v>
      </c>
      <c r="F1750">
        <v>387.1</v>
      </c>
    </row>
    <row r="1751" spans="1:6" x14ac:dyDescent="0.35">
      <c r="A1751">
        <v>1260</v>
      </c>
      <c r="B1751" s="2">
        <v>45841.375085336993</v>
      </c>
      <c r="C1751" t="s">
        <v>6</v>
      </c>
      <c r="D1751" t="s">
        <v>17</v>
      </c>
      <c r="E1751" t="s">
        <v>23</v>
      </c>
      <c r="F1751">
        <v>3196.11</v>
      </c>
    </row>
    <row r="1752" spans="1:6" x14ac:dyDescent="0.35">
      <c r="A1752">
        <v>1294</v>
      </c>
      <c r="B1752" s="2">
        <v>45841.375085336993</v>
      </c>
      <c r="C1752" t="s">
        <v>15</v>
      </c>
      <c r="D1752" t="s">
        <v>18</v>
      </c>
      <c r="E1752" t="s">
        <v>24</v>
      </c>
      <c r="F1752">
        <v>469.68</v>
      </c>
    </row>
    <row r="1753" spans="1:6" x14ac:dyDescent="0.35">
      <c r="A1753">
        <v>1112</v>
      </c>
      <c r="B1753" s="2">
        <v>45841.375085336993</v>
      </c>
      <c r="C1753" t="s">
        <v>10</v>
      </c>
      <c r="D1753" t="s">
        <v>18</v>
      </c>
      <c r="E1753" t="s">
        <v>25</v>
      </c>
      <c r="F1753">
        <v>6906.44</v>
      </c>
    </row>
    <row r="1754" spans="1:6" x14ac:dyDescent="0.35">
      <c r="A1754">
        <v>1272</v>
      </c>
      <c r="B1754" s="2">
        <v>45842.375085336993</v>
      </c>
      <c r="C1754" t="s">
        <v>6</v>
      </c>
      <c r="D1754" t="s">
        <v>18</v>
      </c>
      <c r="E1754" t="s">
        <v>25</v>
      </c>
      <c r="F1754">
        <v>12225.4</v>
      </c>
    </row>
    <row r="1755" spans="1:6" x14ac:dyDescent="0.35">
      <c r="A1755">
        <v>1296</v>
      </c>
      <c r="B1755" s="2">
        <v>45842.375085336993</v>
      </c>
      <c r="C1755" t="s">
        <v>12</v>
      </c>
      <c r="D1755" t="s">
        <v>16</v>
      </c>
      <c r="E1755" t="s">
        <v>25</v>
      </c>
      <c r="F1755">
        <v>6982.38</v>
      </c>
    </row>
    <row r="1756" spans="1:6" x14ac:dyDescent="0.35">
      <c r="A1756">
        <v>1113</v>
      </c>
      <c r="B1756" s="2">
        <v>45842.375085336993</v>
      </c>
      <c r="C1756" t="s">
        <v>13</v>
      </c>
      <c r="D1756" t="s">
        <v>16</v>
      </c>
      <c r="E1756" t="s">
        <v>23</v>
      </c>
      <c r="F1756">
        <v>1119.45</v>
      </c>
    </row>
    <row r="1757" spans="1:6" x14ac:dyDescent="0.35">
      <c r="A1757">
        <v>1011</v>
      </c>
      <c r="B1757" s="2">
        <v>45843.375085336993</v>
      </c>
      <c r="C1757" t="s">
        <v>10</v>
      </c>
      <c r="D1757" t="s">
        <v>19</v>
      </c>
      <c r="E1757" t="s">
        <v>25</v>
      </c>
      <c r="F1757">
        <v>3060.51</v>
      </c>
    </row>
    <row r="1758" spans="1:6" x14ac:dyDescent="0.35">
      <c r="A1758">
        <v>1333</v>
      </c>
      <c r="B1758" s="2">
        <v>45843.375085336993</v>
      </c>
      <c r="C1758" t="s">
        <v>12</v>
      </c>
      <c r="D1758" t="s">
        <v>16</v>
      </c>
      <c r="E1758" t="s">
        <v>23</v>
      </c>
      <c r="F1758">
        <v>3179.84</v>
      </c>
    </row>
    <row r="1759" spans="1:6" x14ac:dyDescent="0.35">
      <c r="A1759">
        <v>1181</v>
      </c>
      <c r="B1759" s="2">
        <v>45843.375085336993</v>
      </c>
      <c r="C1759" t="s">
        <v>13</v>
      </c>
      <c r="D1759" t="s">
        <v>16</v>
      </c>
      <c r="E1759" t="s">
        <v>24</v>
      </c>
      <c r="F1759">
        <v>5754.8</v>
      </c>
    </row>
    <row r="1760" spans="1:6" x14ac:dyDescent="0.35">
      <c r="A1760">
        <v>1100</v>
      </c>
      <c r="B1760" s="2">
        <v>45843.375085336993</v>
      </c>
      <c r="C1760" t="s">
        <v>13</v>
      </c>
      <c r="D1760" t="s">
        <v>17</v>
      </c>
      <c r="E1760" t="s">
        <v>25</v>
      </c>
      <c r="F1760">
        <v>6264.73</v>
      </c>
    </row>
    <row r="1761" spans="1:6" x14ac:dyDescent="0.35">
      <c r="A1761">
        <v>1182</v>
      </c>
      <c r="B1761" s="2">
        <v>45843.375085336993</v>
      </c>
      <c r="C1761" t="s">
        <v>9</v>
      </c>
      <c r="D1761" t="s">
        <v>20</v>
      </c>
      <c r="E1761" t="s">
        <v>23</v>
      </c>
      <c r="F1761">
        <v>398.56</v>
      </c>
    </row>
    <row r="1762" spans="1:6" x14ac:dyDescent="0.35">
      <c r="A1762">
        <v>1041</v>
      </c>
      <c r="B1762" s="2">
        <v>45843.375085336993</v>
      </c>
      <c r="C1762" t="s">
        <v>7</v>
      </c>
      <c r="D1762" t="s">
        <v>20</v>
      </c>
      <c r="E1762" t="s">
        <v>23</v>
      </c>
      <c r="F1762">
        <v>5711.32</v>
      </c>
    </row>
    <row r="1763" spans="1:6" x14ac:dyDescent="0.35">
      <c r="A1763">
        <v>1041</v>
      </c>
      <c r="B1763" s="2">
        <v>45843.375085336993</v>
      </c>
      <c r="C1763" t="s">
        <v>10</v>
      </c>
      <c r="D1763" t="s">
        <v>20</v>
      </c>
      <c r="E1763" t="s">
        <v>23</v>
      </c>
      <c r="F1763">
        <v>3186.6</v>
      </c>
    </row>
    <row r="1764" spans="1:6" x14ac:dyDescent="0.35">
      <c r="A1764">
        <v>1324</v>
      </c>
      <c r="B1764" s="2">
        <v>45844.375085336993</v>
      </c>
      <c r="C1764" t="s">
        <v>11</v>
      </c>
      <c r="D1764" t="s">
        <v>17</v>
      </c>
      <c r="E1764" t="s">
        <v>24</v>
      </c>
      <c r="F1764">
        <v>6930.13</v>
      </c>
    </row>
    <row r="1765" spans="1:6" x14ac:dyDescent="0.35">
      <c r="A1765">
        <v>1390</v>
      </c>
      <c r="B1765" s="2">
        <v>45844.375085336993</v>
      </c>
      <c r="C1765" t="s">
        <v>15</v>
      </c>
      <c r="D1765" t="s">
        <v>19</v>
      </c>
      <c r="E1765" t="s">
        <v>23</v>
      </c>
      <c r="F1765">
        <v>1710.75</v>
      </c>
    </row>
    <row r="1766" spans="1:6" x14ac:dyDescent="0.35">
      <c r="A1766">
        <v>1159</v>
      </c>
      <c r="B1766" s="2">
        <v>45844.375085336993</v>
      </c>
      <c r="C1766" t="s">
        <v>6</v>
      </c>
      <c r="D1766" t="s">
        <v>19</v>
      </c>
      <c r="E1766" t="s">
        <v>25</v>
      </c>
      <c r="F1766">
        <v>5930.43</v>
      </c>
    </row>
    <row r="1767" spans="1:6" x14ac:dyDescent="0.35">
      <c r="A1767">
        <v>1132</v>
      </c>
      <c r="B1767" s="2">
        <v>45844.375085336993</v>
      </c>
      <c r="C1767" t="s">
        <v>13</v>
      </c>
      <c r="D1767" t="s">
        <v>16</v>
      </c>
      <c r="E1767" t="s">
        <v>25</v>
      </c>
      <c r="F1767">
        <v>1787.15</v>
      </c>
    </row>
    <row r="1768" spans="1:6" x14ac:dyDescent="0.35">
      <c r="A1768">
        <v>1330</v>
      </c>
      <c r="B1768" s="2">
        <v>45844.375085336993</v>
      </c>
      <c r="C1768" t="s">
        <v>8</v>
      </c>
      <c r="D1768" t="s">
        <v>22</v>
      </c>
      <c r="E1768" t="s">
        <v>25</v>
      </c>
      <c r="F1768">
        <v>182.44</v>
      </c>
    </row>
    <row r="1769" spans="1:6" x14ac:dyDescent="0.35">
      <c r="A1769">
        <v>1214</v>
      </c>
      <c r="B1769" s="2">
        <v>45845.375085336993</v>
      </c>
      <c r="C1769" t="s">
        <v>8</v>
      </c>
      <c r="D1769" t="s">
        <v>16</v>
      </c>
      <c r="E1769" t="s">
        <v>23</v>
      </c>
      <c r="F1769">
        <v>3436.87</v>
      </c>
    </row>
    <row r="1770" spans="1:6" x14ac:dyDescent="0.35">
      <c r="A1770">
        <v>1338</v>
      </c>
      <c r="B1770" s="2">
        <v>45845.375085336993</v>
      </c>
      <c r="C1770" t="s">
        <v>11</v>
      </c>
      <c r="D1770" t="s">
        <v>19</v>
      </c>
      <c r="E1770" t="s">
        <v>24</v>
      </c>
      <c r="F1770">
        <v>4676.57</v>
      </c>
    </row>
    <row r="1771" spans="1:6" x14ac:dyDescent="0.35">
      <c r="A1771">
        <v>1132</v>
      </c>
      <c r="B1771" s="2">
        <v>45846.375085336993</v>
      </c>
      <c r="C1771" t="s">
        <v>11</v>
      </c>
      <c r="D1771" t="s">
        <v>17</v>
      </c>
      <c r="E1771" t="s">
        <v>23</v>
      </c>
      <c r="F1771">
        <v>5088.78</v>
      </c>
    </row>
    <row r="1772" spans="1:6" x14ac:dyDescent="0.35">
      <c r="A1772">
        <v>1289</v>
      </c>
      <c r="B1772" s="2">
        <v>45846.375085336993</v>
      </c>
      <c r="C1772" t="s">
        <v>8</v>
      </c>
      <c r="D1772" t="s">
        <v>19</v>
      </c>
      <c r="E1772" t="s">
        <v>23</v>
      </c>
      <c r="F1772">
        <v>8639.23</v>
      </c>
    </row>
    <row r="1773" spans="1:6" x14ac:dyDescent="0.35">
      <c r="A1773">
        <v>1128</v>
      </c>
      <c r="B1773" s="2">
        <v>45846.375085336993</v>
      </c>
      <c r="C1773" t="s">
        <v>12</v>
      </c>
      <c r="D1773" t="s">
        <v>17</v>
      </c>
      <c r="E1773" t="s">
        <v>25</v>
      </c>
      <c r="F1773">
        <v>657.21</v>
      </c>
    </row>
    <row r="1774" spans="1:6" x14ac:dyDescent="0.35">
      <c r="A1774">
        <v>1074</v>
      </c>
      <c r="B1774" s="2">
        <v>45846.375085336993</v>
      </c>
      <c r="C1774" t="s">
        <v>6</v>
      </c>
      <c r="D1774" t="s">
        <v>17</v>
      </c>
      <c r="E1774" t="s">
        <v>24</v>
      </c>
      <c r="F1774">
        <v>2497.08</v>
      </c>
    </row>
    <row r="1775" spans="1:6" x14ac:dyDescent="0.35">
      <c r="A1775">
        <v>1223</v>
      </c>
      <c r="B1775" s="2">
        <v>45846.375085336993</v>
      </c>
      <c r="C1775" t="s">
        <v>13</v>
      </c>
      <c r="D1775" t="s">
        <v>19</v>
      </c>
      <c r="E1775" t="s">
        <v>25</v>
      </c>
      <c r="F1775">
        <v>2593.31</v>
      </c>
    </row>
    <row r="1776" spans="1:6" x14ac:dyDescent="0.35">
      <c r="A1776">
        <v>1319</v>
      </c>
      <c r="B1776" s="2">
        <v>45846.375085336993</v>
      </c>
      <c r="C1776" t="s">
        <v>15</v>
      </c>
      <c r="D1776" t="s">
        <v>22</v>
      </c>
      <c r="E1776" t="s">
        <v>24</v>
      </c>
      <c r="F1776">
        <v>1510.54</v>
      </c>
    </row>
    <row r="1777" spans="1:6" x14ac:dyDescent="0.35">
      <c r="A1777">
        <v>1352</v>
      </c>
      <c r="B1777" s="2">
        <v>45847.375085336993</v>
      </c>
      <c r="C1777" t="s">
        <v>11</v>
      </c>
      <c r="D1777" t="s">
        <v>20</v>
      </c>
      <c r="E1777" t="s">
        <v>24</v>
      </c>
      <c r="F1777">
        <v>1528.62</v>
      </c>
    </row>
    <row r="1778" spans="1:6" x14ac:dyDescent="0.35">
      <c r="A1778">
        <v>1374</v>
      </c>
      <c r="B1778" s="2">
        <v>45847.375085336993</v>
      </c>
      <c r="C1778" t="s">
        <v>10</v>
      </c>
      <c r="D1778" t="s">
        <v>18</v>
      </c>
      <c r="E1778" t="s">
        <v>23</v>
      </c>
      <c r="F1778">
        <v>5557.03</v>
      </c>
    </row>
    <row r="1779" spans="1:6" x14ac:dyDescent="0.35">
      <c r="A1779">
        <v>1185</v>
      </c>
      <c r="B1779" s="2">
        <v>45847.375085336993</v>
      </c>
      <c r="C1779" t="s">
        <v>13</v>
      </c>
      <c r="D1779" t="s">
        <v>22</v>
      </c>
      <c r="E1779" t="s">
        <v>23</v>
      </c>
      <c r="F1779">
        <v>8698.84</v>
      </c>
    </row>
    <row r="1780" spans="1:6" x14ac:dyDescent="0.35">
      <c r="A1780">
        <v>1004</v>
      </c>
      <c r="B1780" s="2">
        <v>45848.375085336993</v>
      </c>
      <c r="C1780" t="s">
        <v>8</v>
      </c>
      <c r="D1780" t="s">
        <v>18</v>
      </c>
      <c r="E1780" t="s">
        <v>24</v>
      </c>
      <c r="F1780">
        <v>4440.6499999999996</v>
      </c>
    </row>
    <row r="1781" spans="1:6" x14ac:dyDescent="0.35">
      <c r="A1781">
        <v>1335</v>
      </c>
      <c r="B1781" s="2">
        <v>45848.375085336993</v>
      </c>
      <c r="C1781" t="s">
        <v>9</v>
      </c>
      <c r="D1781" t="s">
        <v>16</v>
      </c>
      <c r="E1781" t="s">
        <v>25</v>
      </c>
      <c r="F1781">
        <v>2929.13</v>
      </c>
    </row>
    <row r="1782" spans="1:6" x14ac:dyDescent="0.35">
      <c r="A1782">
        <v>1384</v>
      </c>
      <c r="B1782" s="2">
        <v>45848.375085336993</v>
      </c>
      <c r="C1782" t="s">
        <v>6</v>
      </c>
      <c r="D1782" t="s">
        <v>20</v>
      </c>
      <c r="E1782" t="s">
        <v>25</v>
      </c>
      <c r="F1782">
        <v>4083.8</v>
      </c>
    </row>
    <row r="1783" spans="1:6" x14ac:dyDescent="0.35">
      <c r="A1783">
        <v>1252</v>
      </c>
      <c r="B1783" s="2">
        <v>45848.375085336993</v>
      </c>
      <c r="C1783" t="s">
        <v>14</v>
      </c>
      <c r="D1783" t="s">
        <v>19</v>
      </c>
      <c r="E1783" t="s">
        <v>23</v>
      </c>
      <c r="F1783">
        <v>2749.07</v>
      </c>
    </row>
    <row r="1784" spans="1:6" x14ac:dyDescent="0.35">
      <c r="A1784">
        <v>1003</v>
      </c>
      <c r="B1784" s="2">
        <v>45848.375085336993</v>
      </c>
      <c r="C1784" t="s">
        <v>10</v>
      </c>
      <c r="D1784" t="s">
        <v>22</v>
      </c>
      <c r="E1784" t="s">
        <v>23</v>
      </c>
      <c r="F1784">
        <v>5017.75</v>
      </c>
    </row>
    <row r="1785" spans="1:6" x14ac:dyDescent="0.35">
      <c r="A1785">
        <v>1292</v>
      </c>
      <c r="B1785" s="2">
        <v>45848.375085336993</v>
      </c>
      <c r="C1785" t="s">
        <v>6</v>
      </c>
      <c r="D1785" t="s">
        <v>20</v>
      </c>
      <c r="E1785" t="s">
        <v>23</v>
      </c>
      <c r="F1785">
        <v>1210.04</v>
      </c>
    </row>
    <row r="1786" spans="1:6" x14ac:dyDescent="0.35">
      <c r="A1786">
        <v>1225</v>
      </c>
      <c r="B1786" s="2">
        <v>45848.375085336993</v>
      </c>
      <c r="C1786" t="s">
        <v>8</v>
      </c>
      <c r="D1786" t="s">
        <v>19</v>
      </c>
      <c r="E1786" t="s">
        <v>23</v>
      </c>
      <c r="F1786">
        <v>8503.15</v>
      </c>
    </row>
    <row r="1787" spans="1:6" x14ac:dyDescent="0.35">
      <c r="A1787">
        <v>1317</v>
      </c>
      <c r="B1787" s="2">
        <v>45849.375085336993</v>
      </c>
      <c r="C1787" t="s">
        <v>13</v>
      </c>
      <c r="D1787" t="s">
        <v>18</v>
      </c>
      <c r="E1787" t="s">
        <v>24</v>
      </c>
      <c r="F1787">
        <v>4509.7299999999996</v>
      </c>
    </row>
    <row r="1788" spans="1:6" x14ac:dyDescent="0.35">
      <c r="A1788">
        <v>1116</v>
      </c>
      <c r="B1788" s="2">
        <v>45849.375085336993</v>
      </c>
      <c r="C1788" t="s">
        <v>14</v>
      </c>
      <c r="D1788" t="s">
        <v>20</v>
      </c>
      <c r="E1788" t="s">
        <v>25</v>
      </c>
      <c r="F1788">
        <v>1383.56</v>
      </c>
    </row>
    <row r="1789" spans="1:6" x14ac:dyDescent="0.35">
      <c r="A1789">
        <v>1143</v>
      </c>
      <c r="B1789" s="2">
        <v>45849.375085336993</v>
      </c>
      <c r="C1789" t="s">
        <v>11</v>
      </c>
      <c r="D1789" t="s">
        <v>22</v>
      </c>
      <c r="E1789" t="s">
        <v>24</v>
      </c>
      <c r="F1789">
        <v>3039.75</v>
      </c>
    </row>
    <row r="1790" spans="1:6" x14ac:dyDescent="0.35">
      <c r="A1790">
        <v>1039</v>
      </c>
      <c r="B1790" s="2">
        <v>45850.375085336993</v>
      </c>
      <c r="C1790" t="s">
        <v>9</v>
      </c>
      <c r="D1790" t="s">
        <v>17</v>
      </c>
      <c r="E1790" t="s">
        <v>25</v>
      </c>
      <c r="F1790">
        <v>2201.0700000000002</v>
      </c>
    </row>
    <row r="1791" spans="1:6" x14ac:dyDescent="0.35">
      <c r="A1791">
        <v>1172</v>
      </c>
      <c r="B1791" s="2">
        <v>45850.375085336993</v>
      </c>
      <c r="C1791" t="s">
        <v>11</v>
      </c>
      <c r="D1791" t="s">
        <v>21</v>
      </c>
      <c r="E1791" t="s">
        <v>23</v>
      </c>
      <c r="F1791">
        <v>3029.6</v>
      </c>
    </row>
    <row r="1792" spans="1:6" x14ac:dyDescent="0.35">
      <c r="A1792">
        <v>1165</v>
      </c>
      <c r="B1792" s="2">
        <v>45850.375085336993</v>
      </c>
      <c r="C1792" t="s">
        <v>9</v>
      </c>
      <c r="D1792" t="s">
        <v>20</v>
      </c>
      <c r="E1792" t="s">
        <v>25</v>
      </c>
      <c r="F1792">
        <v>3819.14</v>
      </c>
    </row>
    <row r="1793" spans="1:6" x14ac:dyDescent="0.35">
      <c r="A1793">
        <v>1061</v>
      </c>
      <c r="B1793" s="2">
        <v>45850.375085336993</v>
      </c>
      <c r="C1793" t="s">
        <v>15</v>
      </c>
      <c r="D1793" t="s">
        <v>18</v>
      </c>
      <c r="E1793" t="s">
        <v>24</v>
      </c>
      <c r="F1793">
        <v>1981.19</v>
      </c>
    </row>
    <row r="1794" spans="1:6" x14ac:dyDescent="0.35">
      <c r="A1794">
        <v>1062</v>
      </c>
      <c r="B1794" s="2">
        <v>45850.375085336993</v>
      </c>
      <c r="C1794" t="s">
        <v>12</v>
      </c>
      <c r="D1794" t="s">
        <v>16</v>
      </c>
      <c r="E1794" t="s">
        <v>24</v>
      </c>
      <c r="F1794">
        <v>1325.69</v>
      </c>
    </row>
    <row r="1795" spans="1:6" x14ac:dyDescent="0.35">
      <c r="A1795">
        <v>1095</v>
      </c>
      <c r="B1795" s="2">
        <v>45850.375085336993</v>
      </c>
      <c r="C1795" t="s">
        <v>12</v>
      </c>
      <c r="D1795" t="s">
        <v>20</v>
      </c>
      <c r="E1795" t="s">
        <v>25</v>
      </c>
      <c r="F1795">
        <v>9878.0400000000009</v>
      </c>
    </row>
    <row r="1796" spans="1:6" x14ac:dyDescent="0.35">
      <c r="A1796">
        <v>1256</v>
      </c>
      <c r="B1796" s="2">
        <v>45850.375085336993</v>
      </c>
      <c r="C1796" t="s">
        <v>8</v>
      </c>
      <c r="D1796" t="s">
        <v>22</v>
      </c>
      <c r="E1796" t="s">
        <v>25</v>
      </c>
      <c r="F1796">
        <v>1925.29</v>
      </c>
    </row>
    <row r="1797" spans="1:6" x14ac:dyDescent="0.35">
      <c r="A1797">
        <v>1041</v>
      </c>
      <c r="B1797" s="2">
        <v>45851.375085336993</v>
      </c>
      <c r="C1797" t="s">
        <v>12</v>
      </c>
      <c r="D1797" t="s">
        <v>18</v>
      </c>
      <c r="E1797" t="s">
        <v>23</v>
      </c>
      <c r="F1797">
        <v>5935.78</v>
      </c>
    </row>
    <row r="1798" spans="1:6" x14ac:dyDescent="0.35">
      <c r="A1798">
        <v>1011</v>
      </c>
      <c r="B1798" s="2">
        <v>45851.375085336993</v>
      </c>
      <c r="C1798" t="s">
        <v>10</v>
      </c>
      <c r="D1798" t="s">
        <v>18</v>
      </c>
      <c r="E1798" t="s">
        <v>23</v>
      </c>
      <c r="F1798">
        <v>3167.24</v>
      </c>
    </row>
    <row r="1799" spans="1:6" x14ac:dyDescent="0.35">
      <c r="A1799">
        <v>1018</v>
      </c>
      <c r="B1799" s="2">
        <v>45851.375085336993</v>
      </c>
      <c r="C1799" t="s">
        <v>9</v>
      </c>
      <c r="D1799" t="s">
        <v>17</v>
      </c>
      <c r="E1799" t="s">
        <v>23</v>
      </c>
      <c r="F1799">
        <v>4961.1000000000004</v>
      </c>
    </row>
    <row r="1800" spans="1:6" x14ac:dyDescent="0.35">
      <c r="A1800">
        <v>1110</v>
      </c>
      <c r="B1800" s="2">
        <v>45851.375085336993</v>
      </c>
      <c r="C1800" t="s">
        <v>10</v>
      </c>
      <c r="D1800" t="s">
        <v>19</v>
      </c>
      <c r="E1800" t="s">
        <v>23</v>
      </c>
      <c r="F1800">
        <v>2741.87</v>
      </c>
    </row>
    <row r="1801" spans="1:6" x14ac:dyDescent="0.35">
      <c r="A1801">
        <v>1260</v>
      </c>
      <c r="B1801" s="2">
        <v>45851.375085336993</v>
      </c>
      <c r="C1801" t="s">
        <v>7</v>
      </c>
      <c r="D1801" t="s">
        <v>19</v>
      </c>
      <c r="E1801" t="s">
        <v>25</v>
      </c>
      <c r="F1801">
        <v>4804.5</v>
      </c>
    </row>
    <row r="1802" spans="1:6" x14ac:dyDescent="0.35">
      <c r="A1802">
        <v>1108</v>
      </c>
      <c r="B1802" s="2">
        <v>45852.375085336993</v>
      </c>
      <c r="C1802" t="s">
        <v>9</v>
      </c>
      <c r="D1802" t="s">
        <v>18</v>
      </c>
      <c r="E1802" t="s">
        <v>25</v>
      </c>
      <c r="F1802">
        <v>4554.03</v>
      </c>
    </row>
    <row r="1803" spans="1:6" x14ac:dyDescent="0.35">
      <c r="A1803">
        <v>1302</v>
      </c>
      <c r="B1803" s="2">
        <v>45852.375085336993</v>
      </c>
      <c r="C1803" t="s">
        <v>15</v>
      </c>
      <c r="D1803" t="s">
        <v>21</v>
      </c>
      <c r="E1803" t="s">
        <v>25</v>
      </c>
      <c r="F1803">
        <v>2964.81</v>
      </c>
    </row>
    <row r="1804" spans="1:6" x14ac:dyDescent="0.35">
      <c r="A1804">
        <v>1171</v>
      </c>
      <c r="B1804" s="2">
        <v>45852.375085336993</v>
      </c>
      <c r="C1804" t="s">
        <v>6</v>
      </c>
      <c r="D1804" t="s">
        <v>16</v>
      </c>
      <c r="E1804" t="s">
        <v>25</v>
      </c>
      <c r="F1804">
        <v>4999.1899999999996</v>
      </c>
    </row>
    <row r="1805" spans="1:6" x14ac:dyDescent="0.35">
      <c r="A1805">
        <v>1084</v>
      </c>
      <c r="B1805" s="2">
        <v>45852.375085336993</v>
      </c>
      <c r="C1805" t="s">
        <v>12</v>
      </c>
      <c r="D1805" t="s">
        <v>20</v>
      </c>
      <c r="E1805" t="s">
        <v>23</v>
      </c>
      <c r="F1805">
        <v>6245.59</v>
      </c>
    </row>
    <row r="1806" spans="1:6" x14ac:dyDescent="0.35">
      <c r="A1806">
        <v>1009</v>
      </c>
      <c r="B1806" s="2">
        <v>45853.375085336993</v>
      </c>
      <c r="C1806" t="s">
        <v>11</v>
      </c>
      <c r="D1806" t="s">
        <v>22</v>
      </c>
      <c r="E1806" t="s">
        <v>23</v>
      </c>
      <c r="F1806">
        <v>4411.34</v>
      </c>
    </row>
    <row r="1807" spans="1:6" x14ac:dyDescent="0.35">
      <c r="A1807">
        <v>1282</v>
      </c>
      <c r="B1807" s="2">
        <v>45853.375085336993</v>
      </c>
      <c r="C1807" t="s">
        <v>7</v>
      </c>
      <c r="D1807" t="s">
        <v>18</v>
      </c>
      <c r="E1807" t="s">
        <v>24</v>
      </c>
      <c r="F1807">
        <v>4228.91</v>
      </c>
    </row>
    <row r="1808" spans="1:6" x14ac:dyDescent="0.35">
      <c r="A1808">
        <v>1013</v>
      </c>
      <c r="B1808" s="2">
        <v>45853.375085336993</v>
      </c>
      <c r="C1808" t="s">
        <v>14</v>
      </c>
      <c r="D1808" t="s">
        <v>21</v>
      </c>
      <c r="E1808" t="s">
        <v>24</v>
      </c>
      <c r="F1808">
        <v>1649.13</v>
      </c>
    </row>
    <row r="1809" spans="1:6" x14ac:dyDescent="0.35">
      <c r="A1809">
        <v>1246</v>
      </c>
      <c r="B1809" s="2">
        <v>45854.375085336993</v>
      </c>
      <c r="C1809" t="s">
        <v>15</v>
      </c>
      <c r="D1809" t="s">
        <v>18</v>
      </c>
      <c r="E1809" t="s">
        <v>24</v>
      </c>
      <c r="F1809">
        <v>2433.84</v>
      </c>
    </row>
    <row r="1810" spans="1:6" x14ac:dyDescent="0.35">
      <c r="A1810">
        <v>1203</v>
      </c>
      <c r="B1810" s="2">
        <v>45854.375085336993</v>
      </c>
      <c r="C1810" t="s">
        <v>10</v>
      </c>
      <c r="D1810" t="s">
        <v>18</v>
      </c>
      <c r="E1810" t="s">
        <v>25</v>
      </c>
      <c r="F1810">
        <v>5725.7</v>
      </c>
    </row>
    <row r="1811" spans="1:6" x14ac:dyDescent="0.35">
      <c r="A1811">
        <v>1238</v>
      </c>
      <c r="B1811" s="2">
        <v>45854.375085336993</v>
      </c>
      <c r="C1811" t="s">
        <v>7</v>
      </c>
      <c r="D1811" t="s">
        <v>16</v>
      </c>
      <c r="E1811" t="s">
        <v>25</v>
      </c>
      <c r="F1811">
        <v>2460.94</v>
      </c>
    </row>
    <row r="1812" spans="1:6" x14ac:dyDescent="0.35">
      <c r="A1812">
        <v>1024</v>
      </c>
      <c r="B1812" s="2">
        <v>45854.375085336993</v>
      </c>
      <c r="C1812" t="s">
        <v>11</v>
      </c>
      <c r="D1812" t="s">
        <v>22</v>
      </c>
      <c r="E1812" t="s">
        <v>23</v>
      </c>
      <c r="F1812">
        <v>7549.67</v>
      </c>
    </row>
    <row r="1813" spans="1:6" x14ac:dyDescent="0.35">
      <c r="A1813">
        <v>1159</v>
      </c>
      <c r="B1813" s="2">
        <v>45855.375085336993</v>
      </c>
      <c r="C1813" t="s">
        <v>9</v>
      </c>
      <c r="D1813" t="s">
        <v>17</v>
      </c>
      <c r="E1813" t="s">
        <v>24</v>
      </c>
      <c r="F1813">
        <v>1631.3</v>
      </c>
    </row>
    <row r="1814" spans="1:6" x14ac:dyDescent="0.35">
      <c r="A1814">
        <v>1239</v>
      </c>
      <c r="B1814" s="2">
        <v>45855.375085336993</v>
      </c>
      <c r="C1814" t="s">
        <v>8</v>
      </c>
      <c r="D1814" t="s">
        <v>19</v>
      </c>
      <c r="E1814" t="s">
        <v>25</v>
      </c>
      <c r="F1814">
        <v>6716.57</v>
      </c>
    </row>
    <row r="1815" spans="1:6" x14ac:dyDescent="0.35">
      <c r="A1815">
        <v>1223</v>
      </c>
      <c r="B1815" s="2">
        <v>45855.375085336993</v>
      </c>
      <c r="C1815" t="s">
        <v>15</v>
      </c>
      <c r="D1815" t="s">
        <v>19</v>
      </c>
      <c r="E1815" t="s">
        <v>24</v>
      </c>
      <c r="F1815">
        <v>5317.25</v>
      </c>
    </row>
    <row r="1816" spans="1:6" x14ac:dyDescent="0.35">
      <c r="A1816">
        <v>1329</v>
      </c>
      <c r="B1816" s="2">
        <v>45855.375085336993</v>
      </c>
      <c r="C1816" t="s">
        <v>6</v>
      </c>
      <c r="D1816" t="s">
        <v>21</v>
      </c>
      <c r="E1816" t="s">
        <v>23</v>
      </c>
      <c r="F1816">
        <v>5449.65</v>
      </c>
    </row>
    <row r="1817" spans="1:6" x14ac:dyDescent="0.35">
      <c r="A1817">
        <v>1252</v>
      </c>
      <c r="B1817" s="2">
        <v>45855.375085336993</v>
      </c>
      <c r="C1817" t="s">
        <v>13</v>
      </c>
      <c r="D1817" t="s">
        <v>21</v>
      </c>
      <c r="E1817" t="s">
        <v>23</v>
      </c>
      <c r="F1817">
        <v>2507.89</v>
      </c>
    </row>
    <row r="1818" spans="1:6" x14ac:dyDescent="0.35">
      <c r="A1818">
        <v>1337</v>
      </c>
      <c r="B1818" s="2">
        <v>45855.375085336993</v>
      </c>
      <c r="C1818" t="s">
        <v>8</v>
      </c>
      <c r="D1818" t="s">
        <v>21</v>
      </c>
      <c r="E1818" t="s">
        <v>25</v>
      </c>
      <c r="F1818">
        <v>7048.7</v>
      </c>
    </row>
    <row r="1819" spans="1:6" x14ac:dyDescent="0.35">
      <c r="A1819">
        <v>1016</v>
      </c>
      <c r="B1819" s="2">
        <v>45855.375085336993</v>
      </c>
      <c r="C1819" t="s">
        <v>8</v>
      </c>
      <c r="D1819" t="s">
        <v>22</v>
      </c>
      <c r="E1819" t="s">
        <v>25</v>
      </c>
      <c r="F1819">
        <v>3418.79</v>
      </c>
    </row>
    <row r="1820" spans="1:6" x14ac:dyDescent="0.35">
      <c r="A1820">
        <v>1069</v>
      </c>
      <c r="B1820" s="2">
        <v>45855.375085336993</v>
      </c>
      <c r="C1820" t="s">
        <v>15</v>
      </c>
      <c r="D1820" t="s">
        <v>22</v>
      </c>
      <c r="E1820" t="s">
        <v>23</v>
      </c>
      <c r="F1820">
        <v>6001.53</v>
      </c>
    </row>
    <row r="1821" spans="1:6" x14ac:dyDescent="0.35">
      <c r="A1821">
        <v>1010</v>
      </c>
      <c r="B1821" s="2">
        <v>45856.375085336993</v>
      </c>
      <c r="C1821" t="s">
        <v>13</v>
      </c>
      <c r="D1821" t="s">
        <v>19</v>
      </c>
      <c r="E1821" t="s">
        <v>25</v>
      </c>
      <c r="F1821">
        <v>1511</v>
      </c>
    </row>
    <row r="1822" spans="1:6" x14ac:dyDescent="0.35">
      <c r="A1822">
        <v>1256</v>
      </c>
      <c r="B1822" s="2">
        <v>45856.375085336993</v>
      </c>
      <c r="C1822" t="s">
        <v>11</v>
      </c>
      <c r="D1822" t="s">
        <v>17</v>
      </c>
      <c r="E1822" t="s">
        <v>25</v>
      </c>
      <c r="F1822">
        <v>9146.5499999999993</v>
      </c>
    </row>
    <row r="1823" spans="1:6" x14ac:dyDescent="0.35">
      <c r="A1823">
        <v>1216</v>
      </c>
      <c r="B1823" s="2">
        <v>45856.375085336993</v>
      </c>
      <c r="C1823" t="s">
        <v>7</v>
      </c>
      <c r="D1823" t="s">
        <v>21</v>
      </c>
      <c r="E1823" t="s">
        <v>25</v>
      </c>
      <c r="F1823">
        <v>2140.42</v>
      </c>
    </row>
    <row r="1824" spans="1:6" x14ac:dyDescent="0.35">
      <c r="A1824">
        <v>1029</v>
      </c>
      <c r="B1824" s="2">
        <v>45856.375085336993</v>
      </c>
      <c r="C1824" t="s">
        <v>10</v>
      </c>
      <c r="D1824" t="s">
        <v>17</v>
      </c>
      <c r="E1824" t="s">
        <v>23</v>
      </c>
      <c r="F1824">
        <v>3629.12</v>
      </c>
    </row>
    <row r="1825" spans="1:6" x14ac:dyDescent="0.35">
      <c r="A1825">
        <v>1038</v>
      </c>
      <c r="B1825" s="2">
        <v>45856.375085336993</v>
      </c>
      <c r="C1825" t="s">
        <v>10</v>
      </c>
      <c r="D1825" t="s">
        <v>17</v>
      </c>
      <c r="E1825" t="s">
        <v>23</v>
      </c>
      <c r="F1825">
        <v>5789.22</v>
      </c>
    </row>
    <row r="1826" spans="1:6" x14ac:dyDescent="0.35">
      <c r="A1826">
        <v>1323</v>
      </c>
      <c r="B1826" s="2">
        <v>45856.375085336993</v>
      </c>
      <c r="C1826" t="s">
        <v>6</v>
      </c>
      <c r="D1826" t="s">
        <v>18</v>
      </c>
      <c r="E1826" t="s">
        <v>23</v>
      </c>
      <c r="F1826">
        <v>1800.28</v>
      </c>
    </row>
    <row r="1827" spans="1:6" x14ac:dyDescent="0.35">
      <c r="A1827">
        <v>1158</v>
      </c>
      <c r="B1827" s="2">
        <v>45856.375085336993</v>
      </c>
      <c r="C1827" t="s">
        <v>7</v>
      </c>
      <c r="D1827" t="s">
        <v>19</v>
      </c>
      <c r="E1827" t="s">
        <v>25</v>
      </c>
      <c r="F1827">
        <v>2328.25</v>
      </c>
    </row>
    <row r="1828" spans="1:6" x14ac:dyDescent="0.35">
      <c r="A1828">
        <v>1060</v>
      </c>
      <c r="B1828" s="2">
        <v>45857.375085336993</v>
      </c>
      <c r="C1828" t="s">
        <v>14</v>
      </c>
      <c r="D1828" t="s">
        <v>17</v>
      </c>
      <c r="E1828" t="s">
        <v>23</v>
      </c>
      <c r="F1828">
        <v>7001.8</v>
      </c>
    </row>
    <row r="1829" spans="1:6" x14ac:dyDescent="0.35">
      <c r="A1829">
        <v>1311</v>
      </c>
      <c r="B1829" s="2">
        <v>45857.375085336993</v>
      </c>
      <c r="C1829" t="s">
        <v>12</v>
      </c>
      <c r="D1829" t="s">
        <v>17</v>
      </c>
      <c r="E1829" t="s">
        <v>25</v>
      </c>
      <c r="F1829">
        <v>12680.37</v>
      </c>
    </row>
    <row r="1830" spans="1:6" x14ac:dyDescent="0.35">
      <c r="A1830">
        <v>1033</v>
      </c>
      <c r="B1830" s="2">
        <v>45857.375085336993</v>
      </c>
      <c r="C1830" t="s">
        <v>9</v>
      </c>
      <c r="D1830" t="s">
        <v>18</v>
      </c>
      <c r="E1830" t="s">
        <v>24</v>
      </c>
      <c r="F1830">
        <v>2955.44</v>
      </c>
    </row>
    <row r="1831" spans="1:6" x14ac:dyDescent="0.35">
      <c r="A1831">
        <v>1375</v>
      </c>
      <c r="B1831" s="2">
        <v>45857.375085336993</v>
      </c>
      <c r="C1831" t="s">
        <v>6</v>
      </c>
      <c r="D1831" t="s">
        <v>16</v>
      </c>
      <c r="E1831" t="s">
        <v>24</v>
      </c>
      <c r="F1831">
        <v>1002.82</v>
      </c>
    </row>
    <row r="1832" spans="1:6" x14ac:dyDescent="0.35">
      <c r="A1832">
        <v>1060</v>
      </c>
      <c r="B1832" s="2">
        <v>45857.375085336993</v>
      </c>
      <c r="C1832" t="s">
        <v>10</v>
      </c>
      <c r="D1832" t="s">
        <v>16</v>
      </c>
      <c r="E1832" t="s">
        <v>24</v>
      </c>
      <c r="F1832">
        <v>5666.85</v>
      </c>
    </row>
    <row r="1833" spans="1:6" x14ac:dyDescent="0.35">
      <c r="A1833">
        <v>1192</v>
      </c>
      <c r="B1833" s="2">
        <v>45857.375085336993</v>
      </c>
      <c r="C1833" t="s">
        <v>15</v>
      </c>
      <c r="D1833" t="s">
        <v>17</v>
      </c>
      <c r="E1833" t="s">
        <v>23</v>
      </c>
      <c r="F1833">
        <v>3279.65</v>
      </c>
    </row>
    <row r="1834" spans="1:6" x14ac:dyDescent="0.35">
      <c r="A1834">
        <v>1231</v>
      </c>
      <c r="B1834" s="2">
        <v>45857.375085336993</v>
      </c>
      <c r="C1834" t="s">
        <v>6</v>
      </c>
      <c r="D1834" t="s">
        <v>17</v>
      </c>
      <c r="E1834" t="s">
        <v>25</v>
      </c>
      <c r="F1834">
        <v>3973.62</v>
      </c>
    </row>
    <row r="1835" spans="1:6" x14ac:dyDescent="0.35">
      <c r="A1835">
        <v>1244</v>
      </c>
      <c r="B1835" s="2">
        <v>45858.375085336993</v>
      </c>
      <c r="C1835" t="s">
        <v>10</v>
      </c>
      <c r="D1835" t="s">
        <v>16</v>
      </c>
      <c r="E1835" t="s">
        <v>24</v>
      </c>
      <c r="F1835">
        <v>3525.66</v>
      </c>
    </row>
    <row r="1836" spans="1:6" x14ac:dyDescent="0.35">
      <c r="A1836">
        <v>1335</v>
      </c>
      <c r="B1836" s="2">
        <v>45858.375085336993</v>
      </c>
      <c r="C1836" t="s">
        <v>15</v>
      </c>
      <c r="D1836" t="s">
        <v>16</v>
      </c>
      <c r="E1836" t="s">
        <v>25</v>
      </c>
      <c r="F1836">
        <v>3816.23</v>
      </c>
    </row>
    <row r="1837" spans="1:6" x14ac:dyDescent="0.35">
      <c r="A1837">
        <v>1197</v>
      </c>
      <c r="B1837" s="2">
        <v>45858.375085336993</v>
      </c>
      <c r="C1837" t="s">
        <v>12</v>
      </c>
      <c r="D1837" t="s">
        <v>19</v>
      </c>
      <c r="E1837" t="s">
        <v>24</v>
      </c>
      <c r="F1837">
        <v>6852.07</v>
      </c>
    </row>
    <row r="1838" spans="1:6" x14ac:dyDescent="0.35">
      <c r="A1838">
        <v>1202</v>
      </c>
      <c r="B1838" s="2">
        <v>45858.375085336993</v>
      </c>
      <c r="C1838" t="s">
        <v>7</v>
      </c>
      <c r="D1838" t="s">
        <v>18</v>
      </c>
      <c r="E1838" t="s">
        <v>23</v>
      </c>
      <c r="F1838">
        <v>1309.97</v>
      </c>
    </row>
    <row r="1839" spans="1:6" x14ac:dyDescent="0.35">
      <c r="A1839">
        <v>1218</v>
      </c>
      <c r="B1839" s="2">
        <v>45858.375085336993</v>
      </c>
      <c r="C1839" t="s">
        <v>7</v>
      </c>
      <c r="D1839" t="s">
        <v>21</v>
      </c>
      <c r="E1839" t="s">
        <v>23</v>
      </c>
      <c r="F1839">
        <v>4968.55</v>
      </c>
    </row>
    <row r="1840" spans="1:6" x14ac:dyDescent="0.35">
      <c r="A1840">
        <v>1303</v>
      </c>
      <c r="B1840" s="2">
        <v>45859.375085336993</v>
      </c>
      <c r="C1840" t="s">
        <v>10</v>
      </c>
      <c r="D1840" t="s">
        <v>20</v>
      </c>
      <c r="E1840" t="s">
        <v>25</v>
      </c>
      <c r="F1840">
        <v>2098.36</v>
      </c>
    </row>
    <row r="1841" spans="1:6" x14ac:dyDescent="0.35">
      <c r="A1841">
        <v>1104</v>
      </c>
      <c r="B1841" s="2">
        <v>45859.375085336993</v>
      </c>
      <c r="C1841" t="s">
        <v>14</v>
      </c>
      <c r="D1841" t="s">
        <v>18</v>
      </c>
      <c r="E1841" t="s">
        <v>24</v>
      </c>
      <c r="F1841">
        <v>185.74</v>
      </c>
    </row>
    <row r="1842" spans="1:6" x14ac:dyDescent="0.35">
      <c r="A1842">
        <v>1217</v>
      </c>
      <c r="B1842" s="2">
        <v>45859.375085336993</v>
      </c>
      <c r="C1842" t="s">
        <v>11</v>
      </c>
      <c r="D1842" t="s">
        <v>22</v>
      </c>
      <c r="E1842" t="s">
        <v>25</v>
      </c>
      <c r="F1842">
        <v>1831.8</v>
      </c>
    </row>
    <row r="1843" spans="1:6" x14ac:dyDescent="0.35">
      <c r="A1843">
        <v>1138</v>
      </c>
      <c r="B1843" s="2">
        <v>45859.375085336993</v>
      </c>
      <c r="C1843" t="s">
        <v>15</v>
      </c>
      <c r="D1843" t="s">
        <v>21</v>
      </c>
      <c r="E1843" t="s">
        <v>25</v>
      </c>
      <c r="F1843">
        <v>4333</v>
      </c>
    </row>
    <row r="1844" spans="1:6" x14ac:dyDescent="0.35">
      <c r="A1844">
        <v>1230</v>
      </c>
      <c r="B1844" s="2">
        <v>45860.375085336993</v>
      </c>
      <c r="C1844" t="s">
        <v>15</v>
      </c>
      <c r="D1844" t="s">
        <v>18</v>
      </c>
      <c r="E1844" t="s">
        <v>25</v>
      </c>
      <c r="F1844">
        <v>4162.91</v>
      </c>
    </row>
    <row r="1845" spans="1:6" x14ac:dyDescent="0.35">
      <c r="A1845">
        <v>1143</v>
      </c>
      <c r="B1845" s="2">
        <v>45860.375085336993</v>
      </c>
      <c r="C1845" t="s">
        <v>10</v>
      </c>
      <c r="D1845" t="s">
        <v>19</v>
      </c>
      <c r="E1845" t="s">
        <v>25</v>
      </c>
      <c r="F1845">
        <v>2569.33</v>
      </c>
    </row>
    <row r="1846" spans="1:6" x14ac:dyDescent="0.35">
      <c r="A1846">
        <v>1149</v>
      </c>
      <c r="B1846" s="2">
        <v>45860.375085336993</v>
      </c>
      <c r="C1846" t="s">
        <v>11</v>
      </c>
      <c r="D1846" t="s">
        <v>22</v>
      </c>
      <c r="E1846" t="s">
        <v>25</v>
      </c>
      <c r="F1846">
        <v>3526.67</v>
      </c>
    </row>
    <row r="1847" spans="1:6" x14ac:dyDescent="0.35">
      <c r="A1847">
        <v>1036</v>
      </c>
      <c r="B1847" s="2">
        <v>45860.375085336993</v>
      </c>
      <c r="C1847" t="s">
        <v>14</v>
      </c>
      <c r="D1847" t="s">
        <v>18</v>
      </c>
      <c r="E1847" t="s">
        <v>25</v>
      </c>
      <c r="F1847">
        <v>3586.85</v>
      </c>
    </row>
    <row r="1848" spans="1:6" x14ac:dyDescent="0.35">
      <c r="A1848">
        <v>1393</v>
      </c>
      <c r="B1848" s="2">
        <v>45861.375085336993</v>
      </c>
      <c r="C1848" t="s">
        <v>11</v>
      </c>
      <c r="D1848" t="s">
        <v>19</v>
      </c>
      <c r="E1848" t="s">
        <v>24</v>
      </c>
      <c r="F1848">
        <v>2579.38</v>
      </c>
    </row>
    <row r="1849" spans="1:6" x14ac:dyDescent="0.35">
      <c r="A1849">
        <v>1160</v>
      </c>
      <c r="B1849" s="2">
        <v>45861.375085336993</v>
      </c>
      <c r="C1849" t="s">
        <v>7</v>
      </c>
      <c r="D1849" t="s">
        <v>20</v>
      </c>
      <c r="E1849" t="s">
        <v>25</v>
      </c>
      <c r="F1849">
        <v>3887.68</v>
      </c>
    </row>
    <row r="1850" spans="1:6" x14ac:dyDescent="0.35">
      <c r="A1850">
        <v>1212</v>
      </c>
      <c r="B1850" s="2">
        <v>45861.375085336993</v>
      </c>
      <c r="C1850" t="s">
        <v>14</v>
      </c>
      <c r="D1850" t="s">
        <v>18</v>
      </c>
      <c r="E1850" t="s">
        <v>23</v>
      </c>
      <c r="F1850">
        <v>1173.73</v>
      </c>
    </row>
    <row r="1851" spans="1:6" x14ac:dyDescent="0.35">
      <c r="A1851">
        <v>1028</v>
      </c>
      <c r="B1851" s="2">
        <v>45861.375085336993</v>
      </c>
      <c r="C1851" t="s">
        <v>12</v>
      </c>
      <c r="D1851" t="s">
        <v>22</v>
      </c>
      <c r="E1851" t="s">
        <v>23</v>
      </c>
      <c r="F1851">
        <v>9491.35</v>
      </c>
    </row>
    <row r="1852" spans="1:6" x14ac:dyDescent="0.35">
      <c r="A1852">
        <v>1335</v>
      </c>
      <c r="B1852" s="2">
        <v>45861.375085336993</v>
      </c>
      <c r="C1852" t="s">
        <v>15</v>
      </c>
      <c r="D1852" t="s">
        <v>21</v>
      </c>
      <c r="E1852" t="s">
        <v>24</v>
      </c>
      <c r="F1852">
        <v>4380.7700000000004</v>
      </c>
    </row>
    <row r="1853" spans="1:6" x14ac:dyDescent="0.35">
      <c r="A1853">
        <v>1127</v>
      </c>
      <c r="B1853" s="2">
        <v>45862.375085336993</v>
      </c>
      <c r="C1853" t="s">
        <v>14</v>
      </c>
      <c r="D1853" t="s">
        <v>16</v>
      </c>
      <c r="E1853" t="s">
        <v>25</v>
      </c>
      <c r="F1853">
        <v>1612.73</v>
      </c>
    </row>
    <row r="1854" spans="1:6" x14ac:dyDescent="0.35">
      <c r="A1854">
        <v>1007</v>
      </c>
      <c r="B1854" s="2">
        <v>45862.375085336993</v>
      </c>
      <c r="C1854" t="s">
        <v>9</v>
      </c>
      <c r="D1854" t="s">
        <v>22</v>
      </c>
      <c r="E1854" t="s">
        <v>25</v>
      </c>
      <c r="F1854">
        <v>9647.2900000000009</v>
      </c>
    </row>
    <row r="1855" spans="1:6" x14ac:dyDescent="0.35">
      <c r="A1855">
        <v>1232</v>
      </c>
      <c r="B1855" s="2">
        <v>45862.375085336993</v>
      </c>
      <c r="C1855" t="s">
        <v>12</v>
      </c>
      <c r="D1855" t="s">
        <v>16</v>
      </c>
      <c r="E1855" t="s">
        <v>25</v>
      </c>
      <c r="F1855">
        <v>3780.88</v>
      </c>
    </row>
    <row r="1856" spans="1:6" x14ac:dyDescent="0.35">
      <c r="A1856">
        <v>1292</v>
      </c>
      <c r="B1856" s="2">
        <v>45862.375085336993</v>
      </c>
      <c r="C1856" t="s">
        <v>6</v>
      </c>
      <c r="D1856" t="s">
        <v>19</v>
      </c>
      <c r="E1856" t="s">
        <v>25</v>
      </c>
      <c r="F1856">
        <v>709.44</v>
      </c>
    </row>
    <row r="1857" spans="1:6" x14ac:dyDescent="0.35">
      <c r="A1857">
        <v>1313</v>
      </c>
      <c r="B1857" s="2">
        <v>45862.375085336993</v>
      </c>
      <c r="C1857" t="s">
        <v>10</v>
      </c>
      <c r="D1857" t="s">
        <v>20</v>
      </c>
      <c r="E1857" t="s">
        <v>25</v>
      </c>
      <c r="F1857">
        <v>1117.81</v>
      </c>
    </row>
    <row r="1858" spans="1:6" x14ac:dyDescent="0.35">
      <c r="A1858">
        <v>1212</v>
      </c>
      <c r="B1858" s="2">
        <v>45863.375085336993</v>
      </c>
      <c r="C1858" t="s">
        <v>13</v>
      </c>
      <c r="D1858" t="s">
        <v>21</v>
      </c>
      <c r="E1858" t="s">
        <v>23</v>
      </c>
      <c r="F1858">
        <v>4376.3</v>
      </c>
    </row>
    <row r="1859" spans="1:6" x14ac:dyDescent="0.35">
      <c r="A1859">
        <v>1063</v>
      </c>
      <c r="B1859" s="2">
        <v>45863.375085336993</v>
      </c>
      <c r="C1859" t="s">
        <v>14</v>
      </c>
      <c r="D1859" t="s">
        <v>19</v>
      </c>
      <c r="E1859" t="s">
        <v>25</v>
      </c>
      <c r="F1859">
        <v>2311.17</v>
      </c>
    </row>
    <row r="1860" spans="1:6" x14ac:dyDescent="0.35">
      <c r="A1860">
        <v>1129</v>
      </c>
      <c r="B1860" s="2">
        <v>45863.375085336993</v>
      </c>
      <c r="C1860" t="s">
        <v>11</v>
      </c>
      <c r="D1860" t="s">
        <v>20</v>
      </c>
      <c r="E1860" t="s">
        <v>24</v>
      </c>
      <c r="F1860">
        <v>3719.33</v>
      </c>
    </row>
    <row r="1861" spans="1:6" x14ac:dyDescent="0.35">
      <c r="A1861">
        <v>1092</v>
      </c>
      <c r="B1861" s="2">
        <v>45863.375085336993</v>
      </c>
      <c r="C1861" t="s">
        <v>11</v>
      </c>
      <c r="D1861" t="s">
        <v>20</v>
      </c>
      <c r="E1861" t="s">
        <v>24</v>
      </c>
      <c r="F1861">
        <v>2841.01</v>
      </c>
    </row>
    <row r="1862" spans="1:6" x14ac:dyDescent="0.35">
      <c r="A1862">
        <v>1159</v>
      </c>
      <c r="B1862" s="2">
        <v>45864.375085336993</v>
      </c>
      <c r="C1862" t="s">
        <v>11</v>
      </c>
      <c r="D1862" t="s">
        <v>19</v>
      </c>
      <c r="E1862" t="s">
        <v>23</v>
      </c>
      <c r="F1862">
        <v>1952.85</v>
      </c>
    </row>
    <row r="1863" spans="1:6" x14ac:dyDescent="0.35">
      <c r="A1863">
        <v>1393</v>
      </c>
      <c r="B1863" s="2">
        <v>45864.375085336993</v>
      </c>
      <c r="C1863" t="s">
        <v>14</v>
      </c>
      <c r="D1863" t="s">
        <v>21</v>
      </c>
      <c r="E1863" t="s">
        <v>25</v>
      </c>
      <c r="F1863">
        <v>7956.77</v>
      </c>
    </row>
    <row r="1864" spans="1:6" x14ac:dyDescent="0.35">
      <c r="A1864">
        <v>1019</v>
      </c>
      <c r="B1864" s="2">
        <v>45864.375085336993</v>
      </c>
      <c r="C1864" t="s">
        <v>15</v>
      </c>
      <c r="D1864" t="s">
        <v>17</v>
      </c>
      <c r="E1864" t="s">
        <v>25</v>
      </c>
      <c r="F1864">
        <v>5711.89</v>
      </c>
    </row>
    <row r="1865" spans="1:6" x14ac:dyDescent="0.35">
      <c r="A1865">
        <v>1022</v>
      </c>
      <c r="B1865" s="2">
        <v>45864.375085336993</v>
      </c>
      <c r="C1865" t="s">
        <v>13</v>
      </c>
      <c r="D1865" t="s">
        <v>21</v>
      </c>
      <c r="E1865" t="s">
        <v>25</v>
      </c>
      <c r="F1865">
        <v>378.07</v>
      </c>
    </row>
    <row r="1866" spans="1:6" x14ac:dyDescent="0.35">
      <c r="A1866">
        <v>1160</v>
      </c>
      <c r="B1866" s="2">
        <v>45865.375085336993</v>
      </c>
      <c r="C1866" t="s">
        <v>12</v>
      </c>
      <c r="D1866" t="s">
        <v>22</v>
      </c>
      <c r="E1866" t="s">
        <v>24</v>
      </c>
      <c r="F1866">
        <v>2085.14</v>
      </c>
    </row>
    <row r="1867" spans="1:6" x14ac:dyDescent="0.35">
      <c r="A1867">
        <v>1282</v>
      </c>
      <c r="B1867" s="2">
        <v>45865.375085336993</v>
      </c>
      <c r="C1867" t="s">
        <v>11</v>
      </c>
      <c r="D1867" t="s">
        <v>19</v>
      </c>
      <c r="E1867" t="s">
        <v>24</v>
      </c>
      <c r="F1867">
        <v>3618.17</v>
      </c>
    </row>
    <row r="1868" spans="1:6" x14ac:dyDescent="0.35">
      <c r="A1868">
        <v>1310</v>
      </c>
      <c r="B1868" s="2">
        <v>45865.375085336993</v>
      </c>
      <c r="C1868" t="s">
        <v>8</v>
      </c>
      <c r="D1868" t="s">
        <v>16</v>
      </c>
      <c r="E1868" t="s">
        <v>24</v>
      </c>
      <c r="F1868">
        <v>4798.12</v>
      </c>
    </row>
    <row r="1869" spans="1:6" x14ac:dyDescent="0.35">
      <c r="A1869">
        <v>1285</v>
      </c>
      <c r="B1869" s="2">
        <v>45866.375085336993</v>
      </c>
      <c r="C1869" t="s">
        <v>15</v>
      </c>
      <c r="D1869" t="s">
        <v>17</v>
      </c>
      <c r="E1869" t="s">
        <v>25</v>
      </c>
      <c r="F1869">
        <v>3123.05</v>
      </c>
    </row>
    <row r="1870" spans="1:6" x14ac:dyDescent="0.35">
      <c r="A1870">
        <v>1170</v>
      </c>
      <c r="B1870" s="2">
        <v>45866.375085336993</v>
      </c>
      <c r="C1870" t="s">
        <v>10</v>
      </c>
      <c r="D1870" t="s">
        <v>22</v>
      </c>
      <c r="E1870" t="s">
        <v>25</v>
      </c>
      <c r="F1870">
        <v>1256.69</v>
      </c>
    </row>
    <row r="1871" spans="1:6" x14ac:dyDescent="0.35">
      <c r="A1871">
        <v>1140</v>
      </c>
      <c r="B1871" s="2">
        <v>45867.375085336993</v>
      </c>
      <c r="C1871" t="s">
        <v>15</v>
      </c>
      <c r="D1871" t="s">
        <v>22</v>
      </c>
      <c r="E1871" t="s">
        <v>24</v>
      </c>
      <c r="F1871">
        <v>6896.04</v>
      </c>
    </row>
    <row r="1872" spans="1:6" x14ac:dyDescent="0.35">
      <c r="A1872">
        <v>1227</v>
      </c>
      <c r="B1872" s="2">
        <v>45867.375085336993</v>
      </c>
      <c r="C1872" t="s">
        <v>13</v>
      </c>
      <c r="D1872" t="s">
        <v>20</v>
      </c>
      <c r="E1872" t="s">
        <v>25</v>
      </c>
      <c r="F1872">
        <v>275.81</v>
      </c>
    </row>
    <row r="1873" spans="1:6" x14ac:dyDescent="0.35">
      <c r="A1873">
        <v>1385</v>
      </c>
      <c r="B1873" s="2">
        <v>45867.375085336993</v>
      </c>
      <c r="C1873" t="s">
        <v>11</v>
      </c>
      <c r="D1873" t="s">
        <v>17</v>
      </c>
      <c r="E1873" t="s">
        <v>25</v>
      </c>
      <c r="F1873">
        <v>6328.4</v>
      </c>
    </row>
    <row r="1874" spans="1:6" x14ac:dyDescent="0.35">
      <c r="A1874">
        <v>1281</v>
      </c>
      <c r="B1874" s="2">
        <v>45868.375085336993</v>
      </c>
      <c r="C1874" t="s">
        <v>13</v>
      </c>
      <c r="D1874" t="s">
        <v>16</v>
      </c>
      <c r="E1874" t="s">
        <v>25</v>
      </c>
      <c r="F1874">
        <v>6058.71</v>
      </c>
    </row>
    <row r="1875" spans="1:6" x14ac:dyDescent="0.35">
      <c r="A1875">
        <v>1148</v>
      </c>
      <c r="B1875" s="2">
        <v>45869.375085336993</v>
      </c>
      <c r="C1875" t="s">
        <v>7</v>
      </c>
      <c r="D1875" t="s">
        <v>20</v>
      </c>
      <c r="E1875" t="s">
        <v>25</v>
      </c>
      <c r="F1875">
        <v>10505.17</v>
      </c>
    </row>
    <row r="1876" spans="1:6" x14ac:dyDescent="0.35">
      <c r="A1876">
        <v>1226</v>
      </c>
      <c r="B1876" s="2">
        <v>45869.375085336993</v>
      </c>
      <c r="C1876" t="s">
        <v>13</v>
      </c>
      <c r="D1876" t="s">
        <v>22</v>
      </c>
      <c r="E1876" t="s">
        <v>24</v>
      </c>
      <c r="F1876">
        <v>5275.89</v>
      </c>
    </row>
    <row r="1877" spans="1:6" x14ac:dyDescent="0.35">
      <c r="A1877">
        <v>1334</v>
      </c>
      <c r="B1877" s="2">
        <v>45870.375085336993</v>
      </c>
      <c r="C1877" t="s">
        <v>14</v>
      </c>
      <c r="D1877" t="s">
        <v>20</v>
      </c>
      <c r="E1877" t="s">
        <v>24</v>
      </c>
      <c r="F1877">
        <v>1161.1400000000001</v>
      </c>
    </row>
    <row r="1878" spans="1:6" x14ac:dyDescent="0.35">
      <c r="A1878">
        <v>1187</v>
      </c>
      <c r="B1878" s="2">
        <v>45870.375085336993</v>
      </c>
      <c r="C1878" t="s">
        <v>14</v>
      </c>
      <c r="D1878" t="s">
        <v>19</v>
      </c>
      <c r="E1878" t="s">
        <v>24</v>
      </c>
      <c r="F1878">
        <v>616.21</v>
      </c>
    </row>
    <row r="1879" spans="1:6" x14ac:dyDescent="0.35">
      <c r="A1879">
        <v>1341</v>
      </c>
      <c r="B1879" s="2">
        <v>45870.375085336993</v>
      </c>
      <c r="C1879" t="s">
        <v>10</v>
      </c>
      <c r="D1879" t="s">
        <v>20</v>
      </c>
      <c r="E1879" t="s">
        <v>23</v>
      </c>
      <c r="F1879">
        <v>4584.1499999999996</v>
      </c>
    </row>
    <row r="1880" spans="1:6" x14ac:dyDescent="0.35">
      <c r="A1880">
        <v>1223</v>
      </c>
      <c r="B1880" s="2">
        <v>45870.375085336993</v>
      </c>
      <c r="C1880" t="s">
        <v>7</v>
      </c>
      <c r="D1880" t="s">
        <v>17</v>
      </c>
      <c r="E1880" t="s">
        <v>24</v>
      </c>
      <c r="F1880">
        <v>2217.3000000000002</v>
      </c>
    </row>
    <row r="1881" spans="1:6" x14ac:dyDescent="0.35">
      <c r="A1881">
        <v>1045</v>
      </c>
      <c r="B1881" s="2">
        <v>45870.375085336993</v>
      </c>
      <c r="C1881" t="s">
        <v>6</v>
      </c>
      <c r="D1881" t="s">
        <v>19</v>
      </c>
      <c r="E1881" t="s">
        <v>23</v>
      </c>
      <c r="F1881">
        <v>1133.24</v>
      </c>
    </row>
    <row r="1882" spans="1:6" x14ac:dyDescent="0.35">
      <c r="A1882">
        <v>1184</v>
      </c>
      <c r="B1882" s="2">
        <v>45870.375085336993</v>
      </c>
      <c r="C1882" t="s">
        <v>11</v>
      </c>
      <c r="D1882" t="s">
        <v>17</v>
      </c>
      <c r="E1882" t="s">
        <v>24</v>
      </c>
      <c r="F1882">
        <v>2283.7199999999998</v>
      </c>
    </row>
    <row r="1883" spans="1:6" x14ac:dyDescent="0.35">
      <c r="A1883">
        <v>1121</v>
      </c>
      <c r="B1883" s="2">
        <v>45871.375085336993</v>
      </c>
      <c r="C1883" t="s">
        <v>10</v>
      </c>
      <c r="D1883" t="s">
        <v>20</v>
      </c>
      <c r="E1883" t="s">
        <v>24</v>
      </c>
      <c r="F1883">
        <v>485.28</v>
      </c>
    </row>
    <row r="1884" spans="1:6" x14ac:dyDescent="0.35">
      <c r="A1884">
        <v>1057</v>
      </c>
      <c r="B1884" s="2">
        <v>45872.375085336993</v>
      </c>
      <c r="C1884" t="s">
        <v>14</v>
      </c>
      <c r="D1884" t="s">
        <v>20</v>
      </c>
      <c r="E1884" t="s">
        <v>23</v>
      </c>
      <c r="F1884">
        <v>1564.66</v>
      </c>
    </row>
    <row r="1885" spans="1:6" x14ac:dyDescent="0.35">
      <c r="A1885">
        <v>1099</v>
      </c>
      <c r="B1885" s="2">
        <v>45872.375085336993</v>
      </c>
      <c r="C1885" t="s">
        <v>9</v>
      </c>
      <c r="D1885" t="s">
        <v>18</v>
      </c>
      <c r="E1885" t="s">
        <v>23</v>
      </c>
      <c r="F1885">
        <v>2314.12</v>
      </c>
    </row>
    <row r="1886" spans="1:6" x14ac:dyDescent="0.35">
      <c r="A1886">
        <v>1171</v>
      </c>
      <c r="B1886" s="2">
        <v>45873.375085336993</v>
      </c>
      <c r="C1886" t="s">
        <v>15</v>
      </c>
      <c r="D1886" t="s">
        <v>16</v>
      </c>
      <c r="E1886" t="s">
        <v>23</v>
      </c>
      <c r="F1886">
        <v>1732.73</v>
      </c>
    </row>
    <row r="1887" spans="1:6" x14ac:dyDescent="0.35">
      <c r="A1887">
        <v>1024</v>
      </c>
      <c r="B1887" s="2">
        <v>45873.375085336993</v>
      </c>
      <c r="C1887" t="s">
        <v>7</v>
      </c>
      <c r="D1887" t="s">
        <v>21</v>
      </c>
      <c r="E1887" t="s">
        <v>23</v>
      </c>
      <c r="F1887">
        <v>8020.54</v>
      </c>
    </row>
    <row r="1888" spans="1:6" x14ac:dyDescent="0.35">
      <c r="A1888">
        <v>1325</v>
      </c>
      <c r="B1888" s="2">
        <v>45873.375085336993</v>
      </c>
      <c r="C1888" t="s">
        <v>6</v>
      </c>
      <c r="D1888" t="s">
        <v>22</v>
      </c>
      <c r="E1888" t="s">
        <v>23</v>
      </c>
      <c r="F1888">
        <v>600.79999999999995</v>
      </c>
    </row>
    <row r="1889" spans="1:6" x14ac:dyDescent="0.35">
      <c r="A1889">
        <v>1243</v>
      </c>
      <c r="B1889" s="2">
        <v>45874.375085336993</v>
      </c>
      <c r="C1889" t="s">
        <v>7</v>
      </c>
      <c r="D1889" t="s">
        <v>19</v>
      </c>
      <c r="E1889" t="s">
        <v>25</v>
      </c>
      <c r="F1889">
        <v>2763.01</v>
      </c>
    </row>
    <row r="1890" spans="1:6" x14ac:dyDescent="0.35">
      <c r="A1890">
        <v>1321</v>
      </c>
      <c r="B1890" s="2">
        <v>45874.375085336993</v>
      </c>
      <c r="C1890" t="s">
        <v>11</v>
      </c>
      <c r="D1890" t="s">
        <v>22</v>
      </c>
      <c r="E1890" t="s">
        <v>24</v>
      </c>
      <c r="F1890">
        <v>3390.15</v>
      </c>
    </row>
    <row r="1891" spans="1:6" x14ac:dyDescent="0.35">
      <c r="A1891">
        <v>1153</v>
      </c>
      <c r="B1891" s="2">
        <v>45875.375085336993</v>
      </c>
      <c r="C1891" t="s">
        <v>15</v>
      </c>
      <c r="D1891" t="s">
        <v>17</v>
      </c>
      <c r="E1891" t="s">
        <v>23</v>
      </c>
      <c r="F1891">
        <v>1698.67</v>
      </c>
    </row>
    <row r="1892" spans="1:6" x14ac:dyDescent="0.35">
      <c r="A1892">
        <v>1126</v>
      </c>
      <c r="B1892" s="2">
        <v>45876.375085336993</v>
      </c>
      <c r="C1892" t="s">
        <v>8</v>
      </c>
      <c r="D1892" t="s">
        <v>18</v>
      </c>
      <c r="E1892" t="s">
        <v>25</v>
      </c>
      <c r="F1892">
        <v>2126.65</v>
      </c>
    </row>
    <row r="1893" spans="1:6" x14ac:dyDescent="0.35">
      <c r="A1893">
        <v>1335</v>
      </c>
      <c r="B1893" s="2">
        <v>45876.375085336993</v>
      </c>
      <c r="C1893" t="s">
        <v>15</v>
      </c>
      <c r="D1893" t="s">
        <v>20</v>
      </c>
      <c r="E1893" t="s">
        <v>24</v>
      </c>
      <c r="F1893">
        <v>1939.27</v>
      </c>
    </row>
    <row r="1894" spans="1:6" x14ac:dyDescent="0.35">
      <c r="A1894">
        <v>1300</v>
      </c>
      <c r="B1894" s="2">
        <v>45876.375085336993</v>
      </c>
      <c r="C1894" t="s">
        <v>8</v>
      </c>
      <c r="D1894" t="s">
        <v>22</v>
      </c>
      <c r="E1894" t="s">
        <v>24</v>
      </c>
      <c r="F1894">
        <v>4376.84</v>
      </c>
    </row>
    <row r="1895" spans="1:6" x14ac:dyDescent="0.35">
      <c r="A1895">
        <v>1228</v>
      </c>
      <c r="B1895" s="2">
        <v>45876.375085336993</v>
      </c>
      <c r="C1895" t="s">
        <v>11</v>
      </c>
      <c r="D1895" t="s">
        <v>22</v>
      </c>
      <c r="E1895" t="s">
        <v>24</v>
      </c>
      <c r="F1895">
        <v>3599.02</v>
      </c>
    </row>
    <row r="1896" spans="1:6" x14ac:dyDescent="0.35">
      <c r="A1896">
        <v>1328</v>
      </c>
      <c r="B1896" s="2">
        <v>45876.375085336993</v>
      </c>
      <c r="C1896" t="s">
        <v>13</v>
      </c>
      <c r="D1896" t="s">
        <v>19</v>
      </c>
      <c r="E1896" t="s">
        <v>25</v>
      </c>
      <c r="F1896">
        <v>9782.58</v>
      </c>
    </row>
    <row r="1897" spans="1:6" x14ac:dyDescent="0.35">
      <c r="A1897">
        <v>1174</v>
      </c>
      <c r="B1897" s="2">
        <v>45876.375085336993</v>
      </c>
      <c r="C1897" t="s">
        <v>8</v>
      </c>
      <c r="D1897" t="s">
        <v>17</v>
      </c>
      <c r="E1897" t="s">
        <v>24</v>
      </c>
      <c r="F1897">
        <v>3480.43</v>
      </c>
    </row>
    <row r="1898" spans="1:6" x14ac:dyDescent="0.35">
      <c r="A1898">
        <v>1132</v>
      </c>
      <c r="B1898" s="2">
        <v>45876.375085336993</v>
      </c>
      <c r="C1898" t="s">
        <v>14</v>
      </c>
      <c r="D1898" t="s">
        <v>20</v>
      </c>
      <c r="E1898" t="s">
        <v>25</v>
      </c>
      <c r="F1898">
        <v>8207.1299999999992</v>
      </c>
    </row>
    <row r="1899" spans="1:6" x14ac:dyDescent="0.35">
      <c r="A1899">
        <v>1060</v>
      </c>
      <c r="B1899" s="2">
        <v>45876.375085336993</v>
      </c>
      <c r="C1899" t="s">
        <v>10</v>
      </c>
      <c r="D1899" t="s">
        <v>17</v>
      </c>
      <c r="E1899" t="s">
        <v>25</v>
      </c>
      <c r="F1899">
        <v>1341.73</v>
      </c>
    </row>
    <row r="1900" spans="1:6" x14ac:dyDescent="0.35">
      <c r="A1900">
        <v>1062</v>
      </c>
      <c r="B1900" s="2">
        <v>45876.375085336993</v>
      </c>
      <c r="C1900" t="s">
        <v>15</v>
      </c>
      <c r="D1900" t="s">
        <v>19</v>
      </c>
      <c r="E1900" t="s">
        <v>25</v>
      </c>
      <c r="F1900">
        <v>5730.52</v>
      </c>
    </row>
    <row r="1901" spans="1:6" x14ac:dyDescent="0.35">
      <c r="A1901">
        <v>1265</v>
      </c>
      <c r="B1901" s="2">
        <v>45876.375085336993</v>
      </c>
      <c r="C1901" t="s">
        <v>15</v>
      </c>
      <c r="D1901" t="s">
        <v>16</v>
      </c>
      <c r="E1901" t="s">
        <v>23</v>
      </c>
      <c r="F1901">
        <v>5953.35</v>
      </c>
    </row>
    <row r="1902" spans="1:6" x14ac:dyDescent="0.35">
      <c r="A1902">
        <v>1360</v>
      </c>
      <c r="B1902" s="2">
        <v>45876.375085336993</v>
      </c>
      <c r="C1902" t="s">
        <v>15</v>
      </c>
      <c r="D1902" t="s">
        <v>21</v>
      </c>
      <c r="E1902" t="s">
        <v>23</v>
      </c>
      <c r="F1902">
        <v>5754.17</v>
      </c>
    </row>
    <row r="1903" spans="1:6" x14ac:dyDescent="0.35">
      <c r="A1903">
        <v>1040</v>
      </c>
      <c r="B1903" s="2">
        <v>45877.375085336993</v>
      </c>
      <c r="C1903" t="s">
        <v>10</v>
      </c>
      <c r="D1903" t="s">
        <v>21</v>
      </c>
      <c r="E1903" t="s">
        <v>23</v>
      </c>
      <c r="F1903">
        <v>560.79</v>
      </c>
    </row>
    <row r="1904" spans="1:6" x14ac:dyDescent="0.35">
      <c r="A1904">
        <v>1395</v>
      </c>
      <c r="B1904" s="2">
        <v>45877.375085336993</v>
      </c>
      <c r="C1904" t="s">
        <v>10</v>
      </c>
      <c r="D1904" t="s">
        <v>20</v>
      </c>
      <c r="E1904" t="s">
        <v>24</v>
      </c>
      <c r="F1904">
        <v>6502.63</v>
      </c>
    </row>
    <row r="1905" spans="1:6" x14ac:dyDescent="0.35">
      <c r="A1905">
        <v>1207</v>
      </c>
      <c r="B1905" s="2">
        <v>45877.375085336993</v>
      </c>
      <c r="C1905" t="s">
        <v>14</v>
      </c>
      <c r="D1905" t="s">
        <v>21</v>
      </c>
      <c r="E1905" t="s">
        <v>24</v>
      </c>
      <c r="F1905">
        <v>2430.36</v>
      </c>
    </row>
    <row r="1906" spans="1:6" x14ac:dyDescent="0.35">
      <c r="A1906">
        <v>1008</v>
      </c>
      <c r="B1906" s="2">
        <v>45878.375085336993</v>
      </c>
      <c r="C1906" t="s">
        <v>13</v>
      </c>
      <c r="D1906" t="s">
        <v>22</v>
      </c>
      <c r="E1906" t="s">
        <v>25</v>
      </c>
      <c r="F1906">
        <v>4094.5</v>
      </c>
    </row>
    <row r="1907" spans="1:6" x14ac:dyDescent="0.35">
      <c r="A1907">
        <v>1232</v>
      </c>
      <c r="B1907" s="2">
        <v>45879.375085336993</v>
      </c>
      <c r="C1907" t="s">
        <v>10</v>
      </c>
      <c r="D1907" t="s">
        <v>19</v>
      </c>
      <c r="E1907" t="s">
        <v>24</v>
      </c>
      <c r="F1907">
        <v>1634.88</v>
      </c>
    </row>
    <row r="1908" spans="1:6" x14ac:dyDescent="0.35">
      <c r="A1908">
        <v>1199</v>
      </c>
      <c r="B1908" s="2">
        <v>45879.375085336993</v>
      </c>
      <c r="C1908" t="s">
        <v>7</v>
      </c>
      <c r="D1908" t="s">
        <v>19</v>
      </c>
      <c r="E1908" t="s">
        <v>24</v>
      </c>
      <c r="F1908">
        <v>325.45999999999998</v>
      </c>
    </row>
    <row r="1909" spans="1:6" x14ac:dyDescent="0.35">
      <c r="A1909">
        <v>1340</v>
      </c>
      <c r="B1909" s="2">
        <v>45879.375085336993</v>
      </c>
      <c r="C1909" t="s">
        <v>12</v>
      </c>
      <c r="D1909" t="s">
        <v>17</v>
      </c>
      <c r="E1909" t="s">
        <v>23</v>
      </c>
      <c r="F1909">
        <v>2556.41</v>
      </c>
    </row>
    <row r="1910" spans="1:6" x14ac:dyDescent="0.35">
      <c r="A1910">
        <v>1285</v>
      </c>
      <c r="B1910" s="2">
        <v>45879.375085336993</v>
      </c>
      <c r="C1910" t="s">
        <v>12</v>
      </c>
      <c r="D1910" t="s">
        <v>22</v>
      </c>
      <c r="E1910" t="s">
        <v>25</v>
      </c>
      <c r="F1910">
        <v>2445.69</v>
      </c>
    </row>
    <row r="1911" spans="1:6" x14ac:dyDescent="0.35">
      <c r="A1911">
        <v>1117</v>
      </c>
      <c r="B1911" s="2">
        <v>45879.375085336993</v>
      </c>
      <c r="C1911" t="s">
        <v>8</v>
      </c>
      <c r="D1911" t="s">
        <v>20</v>
      </c>
      <c r="E1911" t="s">
        <v>23</v>
      </c>
      <c r="F1911">
        <v>3378.87</v>
      </c>
    </row>
    <row r="1912" spans="1:6" x14ac:dyDescent="0.35">
      <c r="A1912">
        <v>1180</v>
      </c>
      <c r="B1912" s="2">
        <v>45880.375085336993</v>
      </c>
      <c r="C1912" t="s">
        <v>10</v>
      </c>
      <c r="D1912" t="s">
        <v>16</v>
      </c>
      <c r="E1912" t="s">
        <v>24</v>
      </c>
      <c r="F1912">
        <v>2938.08</v>
      </c>
    </row>
    <row r="1913" spans="1:6" x14ac:dyDescent="0.35">
      <c r="A1913">
        <v>1370</v>
      </c>
      <c r="B1913" s="2">
        <v>45880.375085336993</v>
      </c>
      <c r="C1913" t="s">
        <v>7</v>
      </c>
      <c r="D1913" t="s">
        <v>18</v>
      </c>
      <c r="E1913" t="s">
        <v>25</v>
      </c>
      <c r="F1913">
        <v>5254.88</v>
      </c>
    </row>
    <row r="1914" spans="1:6" x14ac:dyDescent="0.35">
      <c r="A1914">
        <v>1143</v>
      </c>
      <c r="B1914" s="2">
        <v>45881.375085336993</v>
      </c>
      <c r="C1914" t="s">
        <v>9</v>
      </c>
      <c r="D1914" t="s">
        <v>20</v>
      </c>
      <c r="E1914" t="s">
        <v>24</v>
      </c>
      <c r="F1914">
        <v>4969.34</v>
      </c>
    </row>
    <row r="1915" spans="1:6" x14ac:dyDescent="0.35">
      <c r="A1915">
        <v>1357</v>
      </c>
      <c r="B1915" s="2">
        <v>45881.375085336993</v>
      </c>
      <c r="C1915" t="s">
        <v>9</v>
      </c>
      <c r="D1915" t="s">
        <v>16</v>
      </c>
      <c r="E1915" t="s">
        <v>25</v>
      </c>
      <c r="F1915">
        <v>1321.8</v>
      </c>
    </row>
    <row r="1916" spans="1:6" x14ac:dyDescent="0.35">
      <c r="A1916">
        <v>1112</v>
      </c>
      <c r="B1916" s="2">
        <v>45881.375085336993</v>
      </c>
      <c r="C1916" t="s">
        <v>8</v>
      </c>
      <c r="D1916" t="s">
        <v>16</v>
      </c>
      <c r="E1916" t="s">
        <v>23</v>
      </c>
      <c r="F1916">
        <v>4750.76</v>
      </c>
    </row>
    <row r="1917" spans="1:6" x14ac:dyDescent="0.35">
      <c r="A1917">
        <v>1151</v>
      </c>
      <c r="B1917" s="2">
        <v>45881.375085336993</v>
      </c>
      <c r="C1917" t="s">
        <v>7</v>
      </c>
      <c r="D1917" t="s">
        <v>21</v>
      </c>
      <c r="E1917" t="s">
        <v>24</v>
      </c>
      <c r="F1917">
        <v>6302.11</v>
      </c>
    </row>
    <row r="1918" spans="1:6" x14ac:dyDescent="0.35">
      <c r="A1918">
        <v>1344</v>
      </c>
      <c r="B1918" s="2">
        <v>45881.375085336993</v>
      </c>
      <c r="C1918" t="s">
        <v>12</v>
      </c>
      <c r="D1918" t="s">
        <v>22</v>
      </c>
      <c r="E1918" t="s">
        <v>25</v>
      </c>
      <c r="F1918">
        <v>5247.46</v>
      </c>
    </row>
    <row r="1919" spans="1:6" x14ac:dyDescent="0.35">
      <c r="A1919">
        <v>1236</v>
      </c>
      <c r="B1919" s="2">
        <v>45882.375085336993</v>
      </c>
      <c r="C1919" t="s">
        <v>10</v>
      </c>
      <c r="D1919" t="s">
        <v>17</v>
      </c>
      <c r="E1919" t="s">
        <v>25</v>
      </c>
      <c r="F1919">
        <v>6738.25</v>
      </c>
    </row>
    <row r="1920" spans="1:6" x14ac:dyDescent="0.35">
      <c r="A1920">
        <v>1019</v>
      </c>
      <c r="B1920" s="2">
        <v>45882.375085336993</v>
      </c>
      <c r="C1920" t="s">
        <v>10</v>
      </c>
      <c r="D1920" t="s">
        <v>20</v>
      </c>
      <c r="E1920" t="s">
        <v>24</v>
      </c>
      <c r="F1920">
        <v>6775.48</v>
      </c>
    </row>
    <row r="1921" spans="1:6" x14ac:dyDescent="0.35">
      <c r="A1921">
        <v>1011</v>
      </c>
      <c r="B1921" s="2">
        <v>45882.375085336993</v>
      </c>
      <c r="C1921" t="s">
        <v>10</v>
      </c>
      <c r="D1921" t="s">
        <v>21</v>
      </c>
      <c r="E1921" t="s">
        <v>25</v>
      </c>
      <c r="F1921">
        <v>6255.37</v>
      </c>
    </row>
    <row r="1922" spans="1:6" x14ac:dyDescent="0.35">
      <c r="A1922">
        <v>1345</v>
      </c>
      <c r="B1922" s="2">
        <v>45882.375085336993</v>
      </c>
      <c r="C1922" t="s">
        <v>11</v>
      </c>
      <c r="D1922" t="s">
        <v>18</v>
      </c>
      <c r="E1922" t="s">
        <v>24</v>
      </c>
      <c r="F1922">
        <v>5496.77</v>
      </c>
    </row>
    <row r="1923" spans="1:6" x14ac:dyDescent="0.35">
      <c r="A1923">
        <v>1302</v>
      </c>
      <c r="B1923" s="2">
        <v>45883.375085336993</v>
      </c>
      <c r="C1923" t="s">
        <v>11</v>
      </c>
      <c r="D1923" t="s">
        <v>17</v>
      </c>
      <c r="E1923" t="s">
        <v>25</v>
      </c>
      <c r="F1923">
        <v>5306.5</v>
      </c>
    </row>
    <row r="1924" spans="1:6" x14ac:dyDescent="0.35">
      <c r="A1924">
        <v>1013</v>
      </c>
      <c r="B1924" s="2">
        <v>45883.375085336993</v>
      </c>
      <c r="C1924" t="s">
        <v>15</v>
      </c>
      <c r="D1924" t="s">
        <v>17</v>
      </c>
      <c r="E1924" t="s">
        <v>24</v>
      </c>
      <c r="F1924">
        <v>11701.36</v>
      </c>
    </row>
    <row r="1925" spans="1:6" x14ac:dyDescent="0.35">
      <c r="A1925">
        <v>1343</v>
      </c>
      <c r="B1925" s="2">
        <v>45884.375085336993</v>
      </c>
      <c r="C1925" t="s">
        <v>14</v>
      </c>
      <c r="D1925" t="s">
        <v>19</v>
      </c>
      <c r="E1925" t="s">
        <v>24</v>
      </c>
      <c r="F1925">
        <v>4761.78</v>
      </c>
    </row>
    <row r="1926" spans="1:6" x14ac:dyDescent="0.35">
      <c r="A1926">
        <v>1108</v>
      </c>
      <c r="B1926" s="2">
        <v>45884.375085336993</v>
      </c>
      <c r="C1926" t="s">
        <v>6</v>
      </c>
      <c r="D1926" t="s">
        <v>21</v>
      </c>
      <c r="E1926" t="s">
        <v>23</v>
      </c>
      <c r="F1926">
        <v>5396.61</v>
      </c>
    </row>
    <row r="1927" spans="1:6" x14ac:dyDescent="0.35">
      <c r="A1927">
        <v>1241</v>
      </c>
      <c r="B1927" s="2">
        <v>45884.375085336993</v>
      </c>
      <c r="C1927" t="s">
        <v>8</v>
      </c>
      <c r="D1927" t="s">
        <v>16</v>
      </c>
      <c r="E1927" t="s">
        <v>23</v>
      </c>
      <c r="F1927">
        <v>2635.47</v>
      </c>
    </row>
    <row r="1928" spans="1:6" x14ac:dyDescent="0.35">
      <c r="A1928">
        <v>1385</v>
      </c>
      <c r="B1928" s="2">
        <v>45885.375085336993</v>
      </c>
      <c r="C1928" t="s">
        <v>14</v>
      </c>
      <c r="D1928" t="s">
        <v>18</v>
      </c>
      <c r="E1928" t="s">
        <v>25</v>
      </c>
      <c r="F1928">
        <v>11969.05</v>
      </c>
    </row>
    <row r="1929" spans="1:6" x14ac:dyDescent="0.35">
      <c r="A1929">
        <v>1057</v>
      </c>
      <c r="B1929" s="2">
        <v>45885.375085336993</v>
      </c>
      <c r="C1929" t="s">
        <v>11</v>
      </c>
      <c r="D1929" t="s">
        <v>19</v>
      </c>
      <c r="E1929" t="s">
        <v>25</v>
      </c>
      <c r="F1929">
        <v>2133.19</v>
      </c>
    </row>
    <row r="1930" spans="1:6" x14ac:dyDescent="0.35">
      <c r="A1930">
        <v>1304</v>
      </c>
      <c r="B1930" s="2">
        <v>45885.375085336993</v>
      </c>
      <c r="C1930" t="s">
        <v>11</v>
      </c>
      <c r="D1930" t="s">
        <v>17</v>
      </c>
      <c r="E1930" t="s">
        <v>23</v>
      </c>
      <c r="F1930">
        <v>9487.84</v>
      </c>
    </row>
    <row r="1931" spans="1:6" x14ac:dyDescent="0.35">
      <c r="A1931">
        <v>1013</v>
      </c>
      <c r="B1931" s="2">
        <v>45885.375085336993</v>
      </c>
      <c r="C1931" t="s">
        <v>14</v>
      </c>
      <c r="D1931" t="s">
        <v>22</v>
      </c>
      <c r="E1931" t="s">
        <v>23</v>
      </c>
      <c r="F1931">
        <v>2853.13</v>
      </c>
    </row>
    <row r="1932" spans="1:6" x14ac:dyDescent="0.35">
      <c r="A1932">
        <v>1197</v>
      </c>
      <c r="B1932" s="2">
        <v>45885.375085336993</v>
      </c>
      <c r="C1932" t="s">
        <v>12</v>
      </c>
      <c r="D1932" t="s">
        <v>17</v>
      </c>
      <c r="E1932" t="s">
        <v>23</v>
      </c>
      <c r="F1932">
        <v>1964.48</v>
      </c>
    </row>
    <row r="1933" spans="1:6" x14ac:dyDescent="0.35">
      <c r="A1933">
        <v>1238</v>
      </c>
      <c r="B1933" s="2">
        <v>45885.375085336993</v>
      </c>
      <c r="C1933" t="s">
        <v>12</v>
      </c>
      <c r="D1933" t="s">
        <v>21</v>
      </c>
      <c r="E1933" t="s">
        <v>25</v>
      </c>
      <c r="F1933">
        <v>3137.01</v>
      </c>
    </row>
    <row r="1934" spans="1:6" x14ac:dyDescent="0.35">
      <c r="A1934">
        <v>1178</v>
      </c>
      <c r="B1934" s="2">
        <v>45885.375085336993</v>
      </c>
      <c r="C1934" t="s">
        <v>10</v>
      </c>
      <c r="D1934" t="s">
        <v>18</v>
      </c>
      <c r="E1934" t="s">
        <v>23</v>
      </c>
      <c r="F1934">
        <v>6362.4</v>
      </c>
    </row>
    <row r="1935" spans="1:6" x14ac:dyDescent="0.35">
      <c r="A1935">
        <v>1384</v>
      </c>
      <c r="B1935" s="2">
        <v>45886.375085336993</v>
      </c>
      <c r="C1935" t="s">
        <v>8</v>
      </c>
      <c r="D1935" t="s">
        <v>21</v>
      </c>
      <c r="E1935" t="s">
        <v>23</v>
      </c>
      <c r="F1935">
        <v>525.24</v>
      </c>
    </row>
    <row r="1936" spans="1:6" x14ac:dyDescent="0.35">
      <c r="A1936">
        <v>1187</v>
      </c>
      <c r="B1936" s="2">
        <v>45886.375085336993</v>
      </c>
      <c r="C1936" t="s">
        <v>10</v>
      </c>
      <c r="D1936" t="s">
        <v>21</v>
      </c>
      <c r="E1936" t="s">
        <v>25</v>
      </c>
      <c r="F1936">
        <v>2705.84</v>
      </c>
    </row>
    <row r="1937" spans="1:6" x14ac:dyDescent="0.35">
      <c r="A1937">
        <v>1238</v>
      </c>
      <c r="B1937" s="2">
        <v>45886.375085336993</v>
      </c>
      <c r="C1937" t="s">
        <v>14</v>
      </c>
      <c r="D1937" t="s">
        <v>21</v>
      </c>
      <c r="E1937" t="s">
        <v>24</v>
      </c>
      <c r="F1937">
        <v>4314.07</v>
      </c>
    </row>
    <row r="1938" spans="1:6" x14ac:dyDescent="0.35">
      <c r="A1938">
        <v>1305</v>
      </c>
      <c r="B1938" s="2">
        <v>45886.375085336993</v>
      </c>
      <c r="C1938" t="s">
        <v>11</v>
      </c>
      <c r="D1938" t="s">
        <v>16</v>
      </c>
      <c r="E1938" t="s">
        <v>25</v>
      </c>
      <c r="F1938">
        <v>4072.37</v>
      </c>
    </row>
    <row r="1939" spans="1:6" x14ac:dyDescent="0.35">
      <c r="A1939">
        <v>1076</v>
      </c>
      <c r="B1939" s="2">
        <v>45886.375085336993</v>
      </c>
      <c r="C1939" t="s">
        <v>15</v>
      </c>
      <c r="D1939" t="s">
        <v>22</v>
      </c>
      <c r="E1939" t="s">
        <v>25</v>
      </c>
      <c r="F1939">
        <v>7698.35</v>
      </c>
    </row>
    <row r="1940" spans="1:6" x14ac:dyDescent="0.35">
      <c r="A1940">
        <v>1313</v>
      </c>
      <c r="B1940" s="2">
        <v>45886.375085336993</v>
      </c>
      <c r="C1940" t="s">
        <v>11</v>
      </c>
      <c r="D1940" t="s">
        <v>19</v>
      </c>
      <c r="E1940" t="s">
        <v>23</v>
      </c>
      <c r="F1940">
        <v>6014.41</v>
      </c>
    </row>
    <row r="1941" spans="1:6" x14ac:dyDescent="0.35">
      <c r="A1941">
        <v>1187</v>
      </c>
      <c r="B1941" s="2">
        <v>45886.375085336993</v>
      </c>
      <c r="C1941" t="s">
        <v>13</v>
      </c>
      <c r="D1941" t="s">
        <v>22</v>
      </c>
      <c r="E1941" t="s">
        <v>25</v>
      </c>
      <c r="F1941">
        <v>4705.29</v>
      </c>
    </row>
    <row r="1942" spans="1:6" x14ac:dyDescent="0.35">
      <c r="A1942">
        <v>1365</v>
      </c>
      <c r="B1942" s="2">
        <v>45887.375085336993</v>
      </c>
      <c r="C1942" t="s">
        <v>12</v>
      </c>
      <c r="D1942" t="s">
        <v>18</v>
      </c>
      <c r="E1942" t="s">
        <v>23</v>
      </c>
      <c r="F1942">
        <v>1349.75</v>
      </c>
    </row>
    <row r="1943" spans="1:6" x14ac:dyDescent="0.35">
      <c r="A1943">
        <v>1149</v>
      </c>
      <c r="B1943" s="2">
        <v>45887.375085336993</v>
      </c>
      <c r="C1943" t="s">
        <v>6</v>
      </c>
      <c r="D1943" t="s">
        <v>16</v>
      </c>
      <c r="E1943" t="s">
        <v>25</v>
      </c>
      <c r="F1943">
        <v>3008.08</v>
      </c>
    </row>
    <row r="1944" spans="1:6" x14ac:dyDescent="0.35">
      <c r="A1944">
        <v>1067</v>
      </c>
      <c r="B1944" s="2">
        <v>45888.375085336993</v>
      </c>
      <c r="C1944" t="s">
        <v>7</v>
      </c>
      <c r="D1944" t="s">
        <v>22</v>
      </c>
      <c r="E1944" t="s">
        <v>25</v>
      </c>
      <c r="F1944">
        <v>2841.3</v>
      </c>
    </row>
    <row r="1945" spans="1:6" x14ac:dyDescent="0.35">
      <c r="A1945">
        <v>1113</v>
      </c>
      <c r="B1945" s="2">
        <v>45888.375085336993</v>
      </c>
      <c r="C1945" t="s">
        <v>11</v>
      </c>
      <c r="D1945" t="s">
        <v>20</v>
      </c>
      <c r="E1945" t="s">
        <v>25</v>
      </c>
      <c r="F1945">
        <v>1462.63</v>
      </c>
    </row>
    <row r="1946" spans="1:6" x14ac:dyDescent="0.35">
      <c r="A1946">
        <v>1172</v>
      </c>
      <c r="B1946" s="2">
        <v>45888.375085336993</v>
      </c>
      <c r="C1946" t="s">
        <v>12</v>
      </c>
      <c r="D1946" t="s">
        <v>16</v>
      </c>
      <c r="E1946" t="s">
        <v>23</v>
      </c>
      <c r="F1946">
        <v>6851.95</v>
      </c>
    </row>
    <row r="1947" spans="1:6" x14ac:dyDescent="0.35">
      <c r="A1947">
        <v>1393</v>
      </c>
      <c r="B1947" s="2">
        <v>45888.375085336993</v>
      </c>
      <c r="C1947" t="s">
        <v>12</v>
      </c>
      <c r="D1947" t="s">
        <v>17</v>
      </c>
      <c r="E1947" t="s">
        <v>24</v>
      </c>
      <c r="F1947">
        <v>4012.66</v>
      </c>
    </row>
    <row r="1948" spans="1:6" x14ac:dyDescent="0.35">
      <c r="A1948">
        <v>1222</v>
      </c>
      <c r="B1948" s="2">
        <v>45888.375085336993</v>
      </c>
      <c r="C1948" t="s">
        <v>15</v>
      </c>
      <c r="D1948" t="s">
        <v>19</v>
      </c>
      <c r="E1948" t="s">
        <v>24</v>
      </c>
      <c r="F1948">
        <v>10485.59</v>
      </c>
    </row>
    <row r="1949" spans="1:6" x14ac:dyDescent="0.35">
      <c r="A1949">
        <v>1000</v>
      </c>
      <c r="B1949" s="2">
        <v>45889.375085336993</v>
      </c>
      <c r="C1949" t="s">
        <v>12</v>
      </c>
      <c r="D1949" t="s">
        <v>18</v>
      </c>
      <c r="E1949" t="s">
        <v>23</v>
      </c>
      <c r="F1949">
        <v>786.4</v>
      </c>
    </row>
    <row r="1950" spans="1:6" x14ac:dyDescent="0.35">
      <c r="A1950">
        <v>1182</v>
      </c>
      <c r="B1950" s="2">
        <v>45889.375085336993</v>
      </c>
      <c r="C1950" t="s">
        <v>8</v>
      </c>
      <c r="D1950" t="s">
        <v>20</v>
      </c>
      <c r="E1950" t="s">
        <v>25</v>
      </c>
      <c r="F1950">
        <v>1424.86</v>
      </c>
    </row>
    <row r="1951" spans="1:6" x14ac:dyDescent="0.35">
      <c r="A1951">
        <v>1174</v>
      </c>
      <c r="B1951" s="2">
        <v>45890.375085336993</v>
      </c>
      <c r="C1951" t="s">
        <v>12</v>
      </c>
      <c r="D1951" t="s">
        <v>22</v>
      </c>
      <c r="E1951" t="s">
        <v>25</v>
      </c>
      <c r="F1951">
        <v>7593.57</v>
      </c>
    </row>
    <row r="1952" spans="1:6" x14ac:dyDescent="0.35">
      <c r="A1952">
        <v>1115</v>
      </c>
      <c r="B1952" s="2">
        <v>45890.375085336993</v>
      </c>
      <c r="C1952" t="s">
        <v>12</v>
      </c>
      <c r="D1952" t="s">
        <v>22</v>
      </c>
      <c r="E1952" t="s">
        <v>23</v>
      </c>
      <c r="F1952">
        <v>2202.08</v>
      </c>
    </row>
    <row r="1953" spans="1:6" x14ac:dyDescent="0.35">
      <c r="A1953">
        <v>1135</v>
      </c>
      <c r="B1953" s="2">
        <v>45890.375085336993</v>
      </c>
      <c r="C1953" t="s">
        <v>11</v>
      </c>
      <c r="D1953" t="s">
        <v>22</v>
      </c>
      <c r="E1953" t="s">
        <v>25</v>
      </c>
      <c r="F1953">
        <v>6918.76</v>
      </c>
    </row>
    <row r="1954" spans="1:6" x14ac:dyDescent="0.35">
      <c r="A1954">
        <v>1219</v>
      </c>
      <c r="B1954" s="2">
        <v>45890.375085336993</v>
      </c>
      <c r="C1954" t="s">
        <v>10</v>
      </c>
      <c r="D1954" t="s">
        <v>16</v>
      </c>
      <c r="E1954" t="s">
        <v>25</v>
      </c>
      <c r="F1954">
        <v>1042.3599999999999</v>
      </c>
    </row>
    <row r="1955" spans="1:6" x14ac:dyDescent="0.35">
      <c r="A1955">
        <v>1045</v>
      </c>
      <c r="B1955" s="2">
        <v>45890.375085336993</v>
      </c>
      <c r="C1955" t="s">
        <v>15</v>
      </c>
      <c r="D1955" t="s">
        <v>20</v>
      </c>
      <c r="E1955" t="s">
        <v>24</v>
      </c>
      <c r="F1955">
        <v>5189.45</v>
      </c>
    </row>
    <row r="1956" spans="1:6" x14ac:dyDescent="0.35">
      <c r="A1956">
        <v>1012</v>
      </c>
      <c r="B1956" s="2">
        <v>45890.375085336993</v>
      </c>
      <c r="C1956" t="s">
        <v>11</v>
      </c>
      <c r="D1956" t="s">
        <v>20</v>
      </c>
      <c r="E1956" t="s">
        <v>23</v>
      </c>
      <c r="F1956">
        <v>2142.13</v>
      </c>
    </row>
    <row r="1957" spans="1:6" x14ac:dyDescent="0.35">
      <c r="A1957">
        <v>1064</v>
      </c>
      <c r="B1957" s="2">
        <v>45890.375085336993</v>
      </c>
      <c r="C1957" t="s">
        <v>8</v>
      </c>
      <c r="D1957" t="s">
        <v>18</v>
      </c>
      <c r="E1957" t="s">
        <v>23</v>
      </c>
      <c r="F1957">
        <v>6525.94</v>
      </c>
    </row>
    <row r="1958" spans="1:6" x14ac:dyDescent="0.35">
      <c r="A1958">
        <v>1398</v>
      </c>
      <c r="B1958" s="2">
        <v>45891.375085336993</v>
      </c>
      <c r="C1958" t="s">
        <v>13</v>
      </c>
      <c r="D1958" t="s">
        <v>17</v>
      </c>
      <c r="E1958" t="s">
        <v>23</v>
      </c>
      <c r="F1958">
        <v>4894.49</v>
      </c>
    </row>
    <row r="1959" spans="1:6" x14ac:dyDescent="0.35">
      <c r="A1959">
        <v>1234</v>
      </c>
      <c r="B1959" s="2">
        <v>45891.375085336993</v>
      </c>
      <c r="C1959" t="s">
        <v>7</v>
      </c>
      <c r="D1959" t="s">
        <v>16</v>
      </c>
      <c r="E1959" t="s">
        <v>25</v>
      </c>
      <c r="F1959">
        <v>365.16</v>
      </c>
    </row>
    <row r="1960" spans="1:6" x14ac:dyDescent="0.35">
      <c r="A1960">
        <v>1368</v>
      </c>
      <c r="B1960" s="2">
        <v>45891.375085336993</v>
      </c>
      <c r="C1960" t="s">
        <v>13</v>
      </c>
      <c r="D1960" t="s">
        <v>19</v>
      </c>
      <c r="E1960" t="s">
        <v>24</v>
      </c>
      <c r="F1960">
        <v>3121.16</v>
      </c>
    </row>
    <row r="1961" spans="1:6" x14ac:dyDescent="0.35">
      <c r="A1961">
        <v>1158</v>
      </c>
      <c r="B1961" s="2">
        <v>45891.375085336993</v>
      </c>
      <c r="C1961" t="s">
        <v>14</v>
      </c>
      <c r="D1961" t="s">
        <v>16</v>
      </c>
      <c r="E1961" t="s">
        <v>24</v>
      </c>
      <c r="F1961">
        <v>5585.45</v>
      </c>
    </row>
    <row r="1962" spans="1:6" x14ac:dyDescent="0.35">
      <c r="A1962">
        <v>1254</v>
      </c>
      <c r="B1962" s="2">
        <v>45891.375085336993</v>
      </c>
      <c r="C1962" t="s">
        <v>15</v>
      </c>
      <c r="D1962" t="s">
        <v>18</v>
      </c>
      <c r="E1962" t="s">
        <v>25</v>
      </c>
      <c r="F1962">
        <v>6426.53</v>
      </c>
    </row>
    <row r="1963" spans="1:6" x14ac:dyDescent="0.35">
      <c r="A1963">
        <v>1038</v>
      </c>
      <c r="B1963" s="2">
        <v>45892.375085336993</v>
      </c>
      <c r="C1963" t="s">
        <v>12</v>
      </c>
      <c r="D1963" t="s">
        <v>20</v>
      </c>
      <c r="E1963" t="s">
        <v>23</v>
      </c>
      <c r="F1963">
        <v>6752.39</v>
      </c>
    </row>
    <row r="1964" spans="1:6" x14ac:dyDescent="0.35">
      <c r="A1964">
        <v>1396</v>
      </c>
      <c r="B1964" s="2">
        <v>45892.375085336993</v>
      </c>
      <c r="C1964" t="s">
        <v>13</v>
      </c>
      <c r="D1964" t="s">
        <v>21</v>
      </c>
      <c r="E1964" t="s">
        <v>25</v>
      </c>
      <c r="F1964">
        <v>4683.49</v>
      </c>
    </row>
    <row r="1965" spans="1:6" x14ac:dyDescent="0.35">
      <c r="A1965">
        <v>1271</v>
      </c>
      <c r="B1965" s="2">
        <v>45892.375085336993</v>
      </c>
      <c r="C1965" t="s">
        <v>7</v>
      </c>
      <c r="D1965" t="s">
        <v>17</v>
      </c>
      <c r="E1965" t="s">
        <v>23</v>
      </c>
      <c r="F1965">
        <v>2766.91</v>
      </c>
    </row>
    <row r="1966" spans="1:6" x14ac:dyDescent="0.35">
      <c r="A1966">
        <v>1082</v>
      </c>
      <c r="B1966" s="2">
        <v>45893.375085336993</v>
      </c>
      <c r="C1966" t="s">
        <v>6</v>
      </c>
      <c r="D1966" t="s">
        <v>21</v>
      </c>
      <c r="E1966" t="s">
        <v>25</v>
      </c>
      <c r="F1966">
        <v>1465.52</v>
      </c>
    </row>
    <row r="1967" spans="1:6" x14ac:dyDescent="0.35">
      <c r="A1967">
        <v>1377</v>
      </c>
      <c r="B1967" s="2">
        <v>45893.375085336993</v>
      </c>
      <c r="C1967" t="s">
        <v>14</v>
      </c>
      <c r="D1967" t="s">
        <v>20</v>
      </c>
      <c r="E1967" t="s">
        <v>24</v>
      </c>
      <c r="F1967">
        <v>6183.83</v>
      </c>
    </row>
    <row r="1968" spans="1:6" x14ac:dyDescent="0.35">
      <c r="A1968">
        <v>1052</v>
      </c>
      <c r="B1968" s="2">
        <v>45893.375085336993</v>
      </c>
      <c r="C1968" t="s">
        <v>7</v>
      </c>
      <c r="D1968" t="s">
        <v>21</v>
      </c>
      <c r="E1968" t="s">
        <v>25</v>
      </c>
      <c r="F1968">
        <v>4482.09</v>
      </c>
    </row>
    <row r="1969" spans="1:6" x14ac:dyDescent="0.35">
      <c r="A1969">
        <v>1270</v>
      </c>
      <c r="B1969" s="2">
        <v>45893.375085336993</v>
      </c>
      <c r="C1969" t="s">
        <v>7</v>
      </c>
      <c r="D1969" t="s">
        <v>16</v>
      </c>
      <c r="E1969" t="s">
        <v>23</v>
      </c>
      <c r="F1969">
        <v>3474.27</v>
      </c>
    </row>
    <row r="1970" spans="1:6" x14ac:dyDescent="0.35">
      <c r="A1970">
        <v>1153</v>
      </c>
      <c r="B1970" s="2">
        <v>45894.375085336993</v>
      </c>
      <c r="C1970" t="s">
        <v>12</v>
      </c>
      <c r="D1970" t="s">
        <v>22</v>
      </c>
      <c r="E1970" t="s">
        <v>23</v>
      </c>
      <c r="F1970">
        <v>2058.4299999999998</v>
      </c>
    </row>
    <row r="1971" spans="1:6" x14ac:dyDescent="0.35">
      <c r="A1971">
        <v>1172</v>
      </c>
      <c r="B1971" s="2">
        <v>45894.375085336993</v>
      </c>
      <c r="C1971" t="s">
        <v>7</v>
      </c>
      <c r="D1971" t="s">
        <v>17</v>
      </c>
      <c r="E1971" t="s">
        <v>24</v>
      </c>
      <c r="F1971">
        <v>2888.69</v>
      </c>
    </row>
    <row r="1972" spans="1:6" x14ac:dyDescent="0.35">
      <c r="A1972">
        <v>1363</v>
      </c>
      <c r="B1972" s="2">
        <v>45894.375085336993</v>
      </c>
      <c r="C1972" t="s">
        <v>7</v>
      </c>
      <c r="D1972" t="s">
        <v>17</v>
      </c>
      <c r="E1972" t="s">
        <v>24</v>
      </c>
      <c r="F1972">
        <v>4284.63</v>
      </c>
    </row>
    <row r="1973" spans="1:6" x14ac:dyDescent="0.35">
      <c r="A1973">
        <v>1385</v>
      </c>
      <c r="B1973" s="2">
        <v>45894.375085336993</v>
      </c>
      <c r="C1973" t="s">
        <v>7</v>
      </c>
      <c r="D1973" t="s">
        <v>18</v>
      </c>
      <c r="E1973" t="s">
        <v>24</v>
      </c>
      <c r="F1973">
        <v>4074.11</v>
      </c>
    </row>
    <row r="1974" spans="1:6" x14ac:dyDescent="0.35">
      <c r="A1974">
        <v>1103</v>
      </c>
      <c r="B1974" s="2">
        <v>45894.375085336993</v>
      </c>
      <c r="C1974" t="s">
        <v>14</v>
      </c>
      <c r="D1974" t="s">
        <v>16</v>
      </c>
      <c r="E1974" t="s">
        <v>24</v>
      </c>
      <c r="F1974">
        <v>3669.72</v>
      </c>
    </row>
    <row r="1975" spans="1:6" x14ac:dyDescent="0.35">
      <c r="A1975">
        <v>1076</v>
      </c>
      <c r="B1975" s="2">
        <v>45895.375085336993</v>
      </c>
      <c r="C1975" t="s">
        <v>15</v>
      </c>
      <c r="D1975" t="s">
        <v>20</v>
      </c>
      <c r="E1975" t="s">
        <v>23</v>
      </c>
      <c r="F1975">
        <v>2983.68</v>
      </c>
    </row>
    <row r="1976" spans="1:6" x14ac:dyDescent="0.35">
      <c r="A1976">
        <v>1208</v>
      </c>
      <c r="B1976" s="2">
        <v>45895.375085336993</v>
      </c>
      <c r="C1976" t="s">
        <v>9</v>
      </c>
      <c r="D1976" t="s">
        <v>22</v>
      </c>
      <c r="E1976" t="s">
        <v>24</v>
      </c>
      <c r="F1976">
        <v>4660.47</v>
      </c>
    </row>
    <row r="1977" spans="1:6" x14ac:dyDescent="0.35">
      <c r="A1977">
        <v>1286</v>
      </c>
      <c r="B1977" s="2">
        <v>45895.375085336993</v>
      </c>
      <c r="C1977" t="s">
        <v>10</v>
      </c>
      <c r="D1977" t="s">
        <v>22</v>
      </c>
      <c r="E1977" t="s">
        <v>23</v>
      </c>
      <c r="F1977">
        <v>6094.52</v>
      </c>
    </row>
    <row r="1978" spans="1:6" x14ac:dyDescent="0.35">
      <c r="A1978">
        <v>1364</v>
      </c>
      <c r="B1978" s="2">
        <v>45895.375085336993</v>
      </c>
      <c r="C1978" t="s">
        <v>10</v>
      </c>
      <c r="D1978" t="s">
        <v>17</v>
      </c>
      <c r="E1978" t="s">
        <v>23</v>
      </c>
      <c r="F1978">
        <v>1695.34</v>
      </c>
    </row>
    <row r="1979" spans="1:6" x14ac:dyDescent="0.35">
      <c r="A1979">
        <v>1189</v>
      </c>
      <c r="B1979" s="2">
        <v>45895.375085336993</v>
      </c>
      <c r="C1979" t="s">
        <v>12</v>
      </c>
      <c r="D1979" t="s">
        <v>22</v>
      </c>
      <c r="E1979" t="s">
        <v>25</v>
      </c>
      <c r="F1979">
        <v>3741.01</v>
      </c>
    </row>
    <row r="1980" spans="1:6" x14ac:dyDescent="0.35">
      <c r="A1980">
        <v>1282</v>
      </c>
      <c r="B1980" s="2">
        <v>45895.375085336993</v>
      </c>
      <c r="C1980" t="s">
        <v>14</v>
      </c>
      <c r="D1980" t="s">
        <v>19</v>
      </c>
      <c r="E1980" t="s">
        <v>23</v>
      </c>
      <c r="F1980">
        <v>5534.8</v>
      </c>
    </row>
    <row r="1981" spans="1:6" x14ac:dyDescent="0.35">
      <c r="A1981">
        <v>1053</v>
      </c>
      <c r="B1981" s="2">
        <v>45895.375085336993</v>
      </c>
      <c r="C1981" t="s">
        <v>8</v>
      </c>
      <c r="D1981" t="s">
        <v>22</v>
      </c>
      <c r="E1981" t="s">
        <v>23</v>
      </c>
      <c r="F1981">
        <v>4023.3</v>
      </c>
    </row>
    <row r="1982" spans="1:6" x14ac:dyDescent="0.35">
      <c r="A1982">
        <v>1137</v>
      </c>
      <c r="B1982" s="2">
        <v>45896.375085336993</v>
      </c>
      <c r="C1982" t="s">
        <v>8</v>
      </c>
      <c r="D1982" t="s">
        <v>16</v>
      </c>
      <c r="E1982" t="s">
        <v>23</v>
      </c>
      <c r="F1982">
        <v>1648.54</v>
      </c>
    </row>
    <row r="1983" spans="1:6" x14ac:dyDescent="0.35">
      <c r="A1983">
        <v>1378</v>
      </c>
      <c r="B1983" s="2">
        <v>45896.375085336993</v>
      </c>
      <c r="C1983" t="s">
        <v>6</v>
      </c>
      <c r="D1983" t="s">
        <v>22</v>
      </c>
      <c r="E1983" t="s">
        <v>23</v>
      </c>
      <c r="F1983">
        <v>6538.25</v>
      </c>
    </row>
    <row r="1984" spans="1:6" x14ac:dyDescent="0.35">
      <c r="A1984">
        <v>1173</v>
      </c>
      <c r="B1984" s="2">
        <v>45896.375085336993</v>
      </c>
      <c r="C1984" t="s">
        <v>13</v>
      </c>
      <c r="D1984" t="s">
        <v>21</v>
      </c>
      <c r="E1984" t="s">
        <v>25</v>
      </c>
      <c r="F1984">
        <v>2749.74</v>
      </c>
    </row>
    <row r="1985" spans="1:6" x14ac:dyDescent="0.35">
      <c r="A1985">
        <v>1120</v>
      </c>
      <c r="B1985" s="2">
        <v>45897.375085336993</v>
      </c>
      <c r="C1985" t="s">
        <v>14</v>
      </c>
      <c r="D1985" t="s">
        <v>22</v>
      </c>
      <c r="E1985" t="s">
        <v>24</v>
      </c>
      <c r="F1985">
        <v>793.6</v>
      </c>
    </row>
    <row r="1986" spans="1:6" x14ac:dyDescent="0.35">
      <c r="A1986">
        <v>1146</v>
      </c>
      <c r="B1986" s="2">
        <v>45897.375085336993</v>
      </c>
      <c r="C1986" t="s">
        <v>7</v>
      </c>
      <c r="D1986" t="s">
        <v>22</v>
      </c>
      <c r="E1986" t="s">
        <v>24</v>
      </c>
      <c r="F1986">
        <v>7542.93</v>
      </c>
    </row>
    <row r="1987" spans="1:6" x14ac:dyDescent="0.35">
      <c r="A1987">
        <v>1267</v>
      </c>
      <c r="B1987" s="2">
        <v>45897.375085336993</v>
      </c>
      <c r="C1987" t="s">
        <v>9</v>
      </c>
      <c r="D1987" t="s">
        <v>18</v>
      </c>
      <c r="E1987" t="s">
        <v>25</v>
      </c>
      <c r="F1987">
        <v>3294.92</v>
      </c>
    </row>
    <row r="1988" spans="1:6" x14ac:dyDescent="0.35">
      <c r="A1988">
        <v>1295</v>
      </c>
      <c r="B1988" s="2">
        <v>45897.375085336993</v>
      </c>
      <c r="C1988" t="s">
        <v>6</v>
      </c>
      <c r="D1988" t="s">
        <v>18</v>
      </c>
      <c r="E1988" t="s">
        <v>24</v>
      </c>
      <c r="F1988">
        <v>674.95</v>
      </c>
    </row>
    <row r="1989" spans="1:6" x14ac:dyDescent="0.35">
      <c r="A1989">
        <v>1396</v>
      </c>
      <c r="B1989" s="2">
        <v>45897.375085336993</v>
      </c>
      <c r="C1989" t="s">
        <v>15</v>
      </c>
      <c r="D1989" t="s">
        <v>20</v>
      </c>
      <c r="E1989" t="s">
        <v>23</v>
      </c>
      <c r="F1989">
        <v>1168.21</v>
      </c>
    </row>
    <row r="1990" spans="1:6" x14ac:dyDescent="0.35">
      <c r="A1990">
        <v>1195</v>
      </c>
      <c r="B1990" s="2">
        <v>45898.375085336993</v>
      </c>
      <c r="C1990" t="s">
        <v>11</v>
      </c>
      <c r="D1990" t="s">
        <v>16</v>
      </c>
      <c r="E1990" t="s">
        <v>24</v>
      </c>
      <c r="F1990">
        <v>3537.67</v>
      </c>
    </row>
    <row r="1991" spans="1:6" x14ac:dyDescent="0.35">
      <c r="A1991">
        <v>1035</v>
      </c>
      <c r="B1991" s="2">
        <v>45898.375085336993</v>
      </c>
      <c r="C1991" t="s">
        <v>14</v>
      </c>
      <c r="D1991" t="s">
        <v>17</v>
      </c>
      <c r="E1991" t="s">
        <v>23</v>
      </c>
      <c r="F1991">
        <v>2866.79</v>
      </c>
    </row>
    <row r="1992" spans="1:6" x14ac:dyDescent="0.35">
      <c r="A1992">
        <v>1343</v>
      </c>
      <c r="B1992" s="2">
        <v>45898.375085336993</v>
      </c>
      <c r="C1992" t="s">
        <v>10</v>
      </c>
      <c r="D1992" t="s">
        <v>18</v>
      </c>
      <c r="E1992" t="s">
        <v>24</v>
      </c>
      <c r="F1992">
        <v>9442.58</v>
      </c>
    </row>
    <row r="1993" spans="1:6" x14ac:dyDescent="0.35">
      <c r="A1993">
        <v>1263</v>
      </c>
      <c r="B1993" s="2">
        <v>45899.375085336993</v>
      </c>
      <c r="C1993" t="s">
        <v>13</v>
      </c>
      <c r="D1993" t="s">
        <v>19</v>
      </c>
      <c r="E1993" t="s">
        <v>23</v>
      </c>
      <c r="F1993">
        <v>342.56</v>
      </c>
    </row>
    <row r="1994" spans="1:6" x14ac:dyDescent="0.35">
      <c r="A1994">
        <v>1260</v>
      </c>
      <c r="B1994" s="2">
        <v>45899.375085336993</v>
      </c>
      <c r="C1994" t="s">
        <v>6</v>
      </c>
      <c r="D1994" t="s">
        <v>22</v>
      </c>
      <c r="E1994" t="s">
        <v>23</v>
      </c>
      <c r="F1994">
        <v>10161.84</v>
      </c>
    </row>
    <row r="1995" spans="1:6" x14ac:dyDescent="0.35">
      <c r="A1995">
        <v>1091</v>
      </c>
      <c r="B1995" s="2">
        <v>45899.375085336993</v>
      </c>
      <c r="C1995" t="s">
        <v>7</v>
      </c>
      <c r="D1995" t="s">
        <v>18</v>
      </c>
      <c r="E1995" t="s">
        <v>24</v>
      </c>
      <c r="F1995">
        <v>5717.96</v>
      </c>
    </row>
    <row r="1996" spans="1:6" x14ac:dyDescent="0.35">
      <c r="A1996">
        <v>1285</v>
      </c>
      <c r="B1996" s="2">
        <v>45899.375085336993</v>
      </c>
      <c r="C1996" t="s">
        <v>6</v>
      </c>
      <c r="D1996" t="s">
        <v>20</v>
      </c>
      <c r="E1996" t="s">
        <v>24</v>
      </c>
      <c r="F1996">
        <v>4398.28</v>
      </c>
    </row>
    <row r="1997" spans="1:6" x14ac:dyDescent="0.35">
      <c r="A1997">
        <v>1253</v>
      </c>
      <c r="B1997" s="2">
        <v>45899.375085336993</v>
      </c>
      <c r="C1997" t="s">
        <v>11</v>
      </c>
      <c r="D1997" t="s">
        <v>16</v>
      </c>
      <c r="E1997" t="s">
        <v>24</v>
      </c>
      <c r="F1997">
        <v>7844.59</v>
      </c>
    </row>
    <row r="1998" spans="1:6" x14ac:dyDescent="0.35">
      <c r="A1998">
        <v>1254</v>
      </c>
      <c r="B1998" s="2">
        <v>45899.375085336993</v>
      </c>
      <c r="C1998" t="s">
        <v>9</v>
      </c>
      <c r="D1998" t="s">
        <v>19</v>
      </c>
      <c r="E1998" t="s">
        <v>24</v>
      </c>
      <c r="F1998">
        <v>5467.46</v>
      </c>
    </row>
    <row r="1999" spans="1:6" x14ac:dyDescent="0.35">
      <c r="A1999">
        <v>1256</v>
      </c>
      <c r="B1999" s="2">
        <v>45899.375085336993</v>
      </c>
      <c r="C1999" t="s">
        <v>14</v>
      </c>
      <c r="D1999" t="s">
        <v>19</v>
      </c>
      <c r="E1999" t="s">
        <v>25</v>
      </c>
      <c r="F1999">
        <v>3119.83</v>
      </c>
    </row>
    <row r="2000" spans="1:6" x14ac:dyDescent="0.35">
      <c r="A2000">
        <v>1236</v>
      </c>
      <c r="B2000" s="2">
        <v>45899.375085336993</v>
      </c>
      <c r="C2000" t="s">
        <v>10</v>
      </c>
      <c r="D2000" t="s">
        <v>16</v>
      </c>
      <c r="E2000" t="s">
        <v>25</v>
      </c>
      <c r="F2000">
        <v>6599.37</v>
      </c>
    </row>
    <row r="2001" spans="1:6" x14ac:dyDescent="0.35">
      <c r="A2001">
        <v>1288</v>
      </c>
      <c r="B2001" s="2">
        <v>45899.375085336993</v>
      </c>
      <c r="C2001" t="s">
        <v>13</v>
      </c>
      <c r="D2001" t="s">
        <v>17</v>
      </c>
      <c r="E2001" t="s">
        <v>24</v>
      </c>
      <c r="F2001">
        <v>2683.16</v>
      </c>
    </row>
    <row r="2002" spans="1:6" x14ac:dyDescent="0.35">
      <c r="A2002">
        <v>1379</v>
      </c>
      <c r="B2002" s="2">
        <v>45899.375085336993</v>
      </c>
      <c r="C2002" t="s">
        <v>14</v>
      </c>
      <c r="D2002" t="s">
        <v>22</v>
      </c>
      <c r="E2002" t="s">
        <v>25</v>
      </c>
      <c r="F2002">
        <v>1359.66</v>
      </c>
    </row>
    <row r="2003" spans="1:6" x14ac:dyDescent="0.35">
      <c r="A2003">
        <v>1006</v>
      </c>
      <c r="B2003" s="2">
        <v>45900.375085336993</v>
      </c>
      <c r="C2003" t="s">
        <v>6</v>
      </c>
      <c r="D2003" t="s">
        <v>18</v>
      </c>
      <c r="E2003" t="s">
        <v>23</v>
      </c>
      <c r="F2003">
        <v>5332.82</v>
      </c>
    </row>
    <row r="2004" spans="1:6" x14ac:dyDescent="0.35">
      <c r="A2004">
        <v>1081</v>
      </c>
      <c r="B2004" s="2">
        <v>45900.375085336993</v>
      </c>
      <c r="C2004" t="s">
        <v>7</v>
      </c>
      <c r="D2004" t="s">
        <v>17</v>
      </c>
      <c r="E2004" t="s">
        <v>24</v>
      </c>
      <c r="F2004">
        <v>4310.84</v>
      </c>
    </row>
    <row r="2005" spans="1:6" x14ac:dyDescent="0.35">
      <c r="A2005">
        <v>1301</v>
      </c>
      <c r="B2005" s="2">
        <v>45900.375085336993</v>
      </c>
      <c r="C2005" t="s">
        <v>14</v>
      </c>
      <c r="D2005" t="s">
        <v>20</v>
      </c>
      <c r="E2005" t="s">
        <v>23</v>
      </c>
      <c r="F2005">
        <v>4227.18</v>
      </c>
    </row>
    <row r="2006" spans="1:6" x14ac:dyDescent="0.35">
      <c r="A2006">
        <v>1030</v>
      </c>
      <c r="B2006" s="2">
        <v>45900.375085336993</v>
      </c>
      <c r="C2006" t="s">
        <v>9</v>
      </c>
      <c r="D2006" t="s">
        <v>17</v>
      </c>
      <c r="E2006" t="s">
        <v>25</v>
      </c>
      <c r="F2006">
        <v>1506.19</v>
      </c>
    </row>
    <row r="2007" spans="1:6" x14ac:dyDescent="0.35">
      <c r="A2007">
        <v>1168</v>
      </c>
      <c r="B2007" s="2">
        <v>45900.375085336993</v>
      </c>
      <c r="C2007" t="s">
        <v>15</v>
      </c>
      <c r="D2007" t="s">
        <v>21</v>
      </c>
      <c r="E2007" t="s">
        <v>25</v>
      </c>
      <c r="F2007">
        <v>1037.93</v>
      </c>
    </row>
    <row r="2008" spans="1:6" x14ac:dyDescent="0.35">
      <c r="A2008">
        <v>1027</v>
      </c>
      <c r="B2008" s="2">
        <v>45901.375085336993</v>
      </c>
      <c r="C2008" t="s">
        <v>10</v>
      </c>
      <c r="D2008" t="s">
        <v>18</v>
      </c>
      <c r="E2008" t="s">
        <v>24</v>
      </c>
      <c r="F2008">
        <v>2871.9</v>
      </c>
    </row>
    <row r="2009" spans="1:6" x14ac:dyDescent="0.35">
      <c r="A2009">
        <v>1006</v>
      </c>
      <c r="B2009" s="2">
        <v>45901.375085336993</v>
      </c>
      <c r="C2009" t="s">
        <v>9</v>
      </c>
      <c r="D2009" t="s">
        <v>22</v>
      </c>
      <c r="E2009" t="s">
        <v>23</v>
      </c>
      <c r="F2009">
        <v>3945.56</v>
      </c>
    </row>
    <row r="2010" spans="1:6" x14ac:dyDescent="0.35">
      <c r="A2010">
        <v>1262</v>
      </c>
      <c r="B2010" s="2">
        <v>45901.375085336993</v>
      </c>
      <c r="C2010" t="s">
        <v>7</v>
      </c>
      <c r="D2010" t="s">
        <v>20</v>
      </c>
      <c r="E2010" t="s">
        <v>25</v>
      </c>
      <c r="F2010">
        <v>2803.19</v>
      </c>
    </row>
    <row r="2011" spans="1:6" x14ac:dyDescent="0.35">
      <c r="A2011">
        <v>1392</v>
      </c>
      <c r="B2011" s="2">
        <v>45902.375085336993</v>
      </c>
      <c r="C2011" t="s">
        <v>6</v>
      </c>
      <c r="D2011" t="s">
        <v>19</v>
      </c>
      <c r="E2011" t="s">
        <v>23</v>
      </c>
      <c r="F2011">
        <v>2832.47</v>
      </c>
    </row>
    <row r="2012" spans="1:6" x14ac:dyDescent="0.35">
      <c r="A2012">
        <v>1386</v>
      </c>
      <c r="B2012" s="2">
        <v>45902.375085336993</v>
      </c>
      <c r="C2012" t="s">
        <v>7</v>
      </c>
      <c r="D2012" t="s">
        <v>20</v>
      </c>
      <c r="E2012" t="s">
        <v>23</v>
      </c>
      <c r="F2012">
        <v>2518.54</v>
      </c>
    </row>
    <row r="2013" spans="1:6" x14ac:dyDescent="0.35">
      <c r="A2013">
        <v>1207</v>
      </c>
      <c r="B2013" s="2">
        <v>45903.375085336993</v>
      </c>
      <c r="C2013" t="s">
        <v>13</v>
      </c>
      <c r="D2013" t="s">
        <v>21</v>
      </c>
      <c r="E2013" t="s">
        <v>23</v>
      </c>
      <c r="F2013">
        <v>361.51</v>
      </c>
    </row>
    <row r="2014" spans="1:6" x14ac:dyDescent="0.35">
      <c r="A2014">
        <v>1228</v>
      </c>
      <c r="B2014" s="2">
        <v>45904.375085336993</v>
      </c>
      <c r="C2014" t="s">
        <v>10</v>
      </c>
      <c r="D2014" t="s">
        <v>21</v>
      </c>
      <c r="E2014" t="s">
        <v>24</v>
      </c>
      <c r="F2014">
        <v>4246.05</v>
      </c>
    </row>
    <row r="2015" spans="1:6" x14ac:dyDescent="0.35">
      <c r="A2015">
        <v>1054</v>
      </c>
      <c r="B2015" s="2">
        <v>45904.375085336993</v>
      </c>
      <c r="C2015" t="s">
        <v>8</v>
      </c>
      <c r="D2015" t="s">
        <v>20</v>
      </c>
      <c r="E2015" t="s">
        <v>23</v>
      </c>
      <c r="F2015">
        <v>5781.8</v>
      </c>
    </row>
    <row r="2016" spans="1:6" x14ac:dyDescent="0.35">
      <c r="A2016">
        <v>1049</v>
      </c>
      <c r="B2016" s="2">
        <v>45904.375085336993</v>
      </c>
      <c r="C2016" t="s">
        <v>14</v>
      </c>
      <c r="D2016" t="s">
        <v>18</v>
      </c>
      <c r="E2016" t="s">
        <v>23</v>
      </c>
      <c r="F2016">
        <v>834.87</v>
      </c>
    </row>
    <row r="2017" spans="1:6" x14ac:dyDescent="0.35">
      <c r="A2017">
        <v>1162</v>
      </c>
      <c r="B2017" s="2">
        <v>45904.375085336993</v>
      </c>
      <c r="C2017" t="s">
        <v>14</v>
      </c>
      <c r="D2017" t="s">
        <v>19</v>
      </c>
      <c r="E2017" t="s">
        <v>25</v>
      </c>
      <c r="F2017">
        <v>9421.2099999999991</v>
      </c>
    </row>
    <row r="2018" spans="1:6" x14ac:dyDescent="0.35">
      <c r="A2018">
        <v>1250</v>
      </c>
      <c r="B2018" s="2">
        <v>45904.375085336993</v>
      </c>
      <c r="C2018" t="s">
        <v>13</v>
      </c>
      <c r="D2018" t="s">
        <v>18</v>
      </c>
      <c r="E2018" t="s">
        <v>23</v>
      </c>
      <c r="F2018">
        <v>2201.41</v>
      </c>
    </row>
    <row r="2019" spans="1:6" x14ac:dyDescent="0.35">
      <c r="A2019">
        <v>1133</v>
      </c>
      <c r="B2019" s="2">
        <v>45904.375085336993</v>
      </c>
      <c r="C2019" t="s">
        <v>15</v>
      </c>
      <c r="D2019" t="s">
        <v>19</v>
      </c>
      <c r="E2019" t="s">
        <v>24</v>
      </c>
      <c r="F2019">
        <v>5264</v>
      </c>
    </row>
    <row r="2020" spans="1:6" x14ac:dyDescent="0.35">
      <c r="A2020">
        <v>1396</v>
      </c>
      <c r="B2020" s="2">
        <v>45904.375085336993</v>
      </c>
      <c r="C2020" t="s">
        <v>9</v>
      </c>
      <c r="D2020" t="s">
        <v>20</v>
      </c>
      <c r="E2020" t="s">
        <v>23</v>
      </c>
      <c r="F2020">
        <v>3275.38</v>
      </c>
    </row>
    <row r="2021" spans="1:6" x14ac:dyDescent="0.35">
      <c r="A2021">
        <v>1057</v>
      </c>
      <c r="B2021" s="2">
        <v>45904.375085336993</v>
      </c>
      <c r="C2021" t="s">
        <v>10</v>
      </c>
      <c r="D2021" t="s">
        <v>21</v>
      </c>
      <c r="E2021" t="s">
        <v>24</v>
      </c>
      <c r="F2021">
        <v>2798.84</v>
      </c>
    </row>
    <row r="2022" spans="1:6" x14ac:dyDescent="0.35">
      <c r="A2022">
        <v>1231</v>
      </c>
      <c r="B2022" s="2">
        <v>45905.375085336993</v>
      </c>
      <c r="C2022" t="s">
        <v>13</v>
      </c>
      <c r="D2022" t="s">
        <v>17</v>
      </c>
      <c r="E2022" t="s">
        <v>25</v>
      </c>
      <c r="F2022">
        <v>4168.4399999999996</v>
      </c>
    </row>
    <row r="2023" spans="1:6" x14ac:dyDescent="0.35">
      <c r="A2023">
        <v>1273</v>
      </c>
      <c r="B2023" s="2">
        <v>45905.375085336993</v>
      </c>
      <c r="C2023" t="s">
        <v>8</v>
      </c>
      <c r="D2023" t="s">
        <v>18</v>
      </c>
      <c r="E2023" t="s">
        <v>23</v>
      </c>
      <c r="F2023">
        <v>8166.49</v>
      </c>
    </row>
    <row r="2024" spans="1:6" x14ac:dyDescent="0.35">
      <c r="A2024">
        <v>1348</v>
      </c>
      <c r="B2024" s="2">
        <v>45905.375085336993</v>
      </c>
      <c r="C2024" t="s">
        <v>7</v>
      </c>
      <c r="D2024" t="s">
        <v>19</v>
      </c>
      <c r="E2024" t="s">
        <v>23</v>
      </c>
      <c r="F2024">
        <v>2680.42</v>
      </c>
    </row>
    <row r="2025" spans="1:6" x14ac:dyDescent="0.35">
      <c r="A2025">
        <v>1040</v>
      </c>
      <c r="B2025" s="2">
        <v>45905.375085336993</v>
      </c>
      <c r="C2025" t="s">
        <v>13</v>
      </c>
      <c r="D2025" t="s">
        <v>21</v>
      </c>
      <c r="E2025" t="s">
        <v>24</v>
      </c>
      <c r="F2025">
        <v>6839.57</v>
      </c>
    </row>
    <row r="2026" spans="1:6" x14ac:dyDescent="0.35">
      <c r="A2026">
        <v>1373</v>
      </c>
      <c r="B2026" s="2">
        <v>45905.375085336993</v>
      </c>
      <c r="C2026" t="s">
        <v>8</v>
      </c>
      <c r="D2026" t="s">
        <v>20</v>
      </c>
      <c r="E2026" t="s">
        <v>23</v>
      </c>
      <c r="F2026">
        <v>1627.54</v>
      </c>
    </row>
    <row r="2027" spans="1:6" x14ac:dyDescent="0.35">
      <c r="A2027">
        <v>1090</v>
      </c>
      <c r="B2027" s="2">
        <v>45905.375085336993</v>
      </c>
      <c r="C2027" t="s">
        <v>14</v>
      </c>
      <c r="D2027" t="s">
        <v>22</v>
      </c>
      <c r="E2027" t="s">
        <v>25</v>
      </c>
      <c r="F2027">
        <v>4761.37</v>
      </c>
    </row>
    <row r="2028" spans="1:6" x14ac:dyDescent="0.35">
      <c r="A2028">
        <v>1104</v>
      </c>
      <c r="B2028" s="2">
        <v>45906.375085336993</v>
      </c>
      <c r="C2028" t="s">
        <v>8</v>
      </c>
      <c r="D2028" t="s">
        <v>16</v>
      </c>
      <c r="E2028" t="s">
        <v>25</v>
      </c>
      <c r="F2028">
        <v>1167.05</v>
      </c>
    </row>
    <row r="2029" spans="1:6" x14ac:dyDescent="0.35">
      <c r="A2029">
        <v>1132</v>
      </c>
      <c r="B2029" s="2">
        <v>45906.375085336993</v>
      </c>
      <c r="C2029" t="s">
        <v>11</v>
      </c>
      <c r="D2029" t="s">
        <v>18</v>
      </c>
      <c r="E2029" t="s">
        <v>23</v>
      </c>
      <c r="F2029">
        <v>2054.7199999999998</v>
      </c>
    </row>
    <row r="2030" spans="1:6" x14ac:dyDescent="0.35">
      <c r="A2030">
        <v>1157</v>
      </c>
      <c r="B2030" s="2">
        <v>45906.375085336993</v>
      </c>
      <c r="C2030" t="s">
        <v>6</v>
      </c>
      <c r="D2030" t="s">
        <v>22</v>
      </c>
      <c r="E2030" t="s">
        <v>24</v>
      </c>
      <c r="F2030">
        <v>2795.77</v>
      </c>
    </row>
    <row r="2031" spans="1:6" x14ac:dyDescent="0.35">
      <c r="A2031">
        <v>1293</v>
      </c>
      <c r="B2031" s="2">
        <v>45907.375085336993</v>
      </c>
      <c r="C2031" t="s">
        <v>10</v>
      </c>
      <c r="D2031" t="s">
        <v>18</v>
      </c>
      <c r="E2031" t="s">
        <v>23</v>
      </c>
      <c r="F2031">
        <v>3497.75</v>
      </c>
    </row>
    <row r="2032" spans="1:6" x14ac:dyDescent="0.35">
      <c r="A2032">
        <v>1093</v>
      </c>
      <c r="B2032" s="2">
        <v>45907.375085336993</v>
      </c>
      <c r="C2032" t="s">
        <v>12</v>
      </c>
      <c r="D2032" t="s">
        <v>19</v>
      </c>
      <c r="E2032" t="s">
        <v>23</v>
      </c>
      <c r="F2032">
        <v>5234.6400000000003</v>
      </c>
    </row>
    <row r="2033" spans="1:6" x14ac:dyDescent="0.35">
      <c r="A2033">
        <v>1024</v>
      </c>
      <c r="B2033" s="2">
        <v>45908.375085336993</v>
      </c>
      <c r="C2033" t="s">
        <v>13</v>
      </c>
      <c r="D2033" t="s">
        <v>19</v>
      </c>
      <c r="E2033" t="s">
        <v>24</v>
      </c>
      <c r="F2033">
        <v>2342.31</v>
      </c>
    </row>
    <row r="2034" spans="1:6" x14ac:dyDescent="0.35">
      <c r="A2034">
        <v>1225</v>
      </c>
      <c r="B2034" s="2">
        <v>45908.375085336993</v>
      </c>
      <c r="C2034" t="s">
        <v>13</v>
      </c>
      <c r="D2034" t="s">
        <v>16</v>
      </c>
      <c r="E2034" t="s">
        <v>23</v>
      </c>
      <c r="F2034">
        <v>1260.3499999999999</v>
      </c>
    </row>
    <row r="2035" spans="1:6" x14ac:dyDescent="0.35">
      <c r="A2035">
        <v>1092</v>
      </c>
      <c r="B2035" s="2">
        <v>45908.375085336993</v>
      </c>
      <c r="C2035" t="s">
        <v>13</v>
      </c>
      <c r="D2035" t="s">
        <v>20</v>
      </c>
      <c r="E2035" t="s">
        <v>24</v>
      </c>
      <c r="F2035">
        <v>4833.7299999999996</v>
      </c>
    </row>
    <row r="2036" spans="1:6" x14ac:dyDescent="0.35">
      <c r="A2036">
        <v>1062</v>
      </c>
      <c r="B2036" s="2">
        <v>45908.375085336993</v>
      </c>
      <c r="C2036" t="s">
        <v>8</v>
      </c>
      <c r="D2036" t="s">
        <v>22</v>
      </c>
      <c r="E2036" t="s">
        <v>24</v>
      </c>
      <c r="F2036">
        <v>1954.41</v>
      </c>
    </row>
    <row r="2037" spans="1:6" x14ac:dyDescent="0.35">
      <c r="A2037">
        <v>1165</v>
      </c>
      <c r="B2037" s="2">
        <v>45909.375085336993</v>
      </c>
      <c r="C2037" t="s">
        <v>15</v>
      </c>
      <c r="D2037" t="s">
        <v>21</v>
      </c>
      <c r="E2037" t="s">
        <v>25</v>
      </c>
      <c r="F2037">
        <v>2780.35</v>
      </c>
    </row>
    <row r="2038" spans="1:6" x14ac:dyDescent="0.35">
      <c r="A2038">
        <v>1258</v>
      </c>
      <c r="B2038" s="2">
        <v>45909.375085336993</v>
      </c>
      <c r="C2038" t="s">
        <v>8</v>
      </c>
      <c r="D2038" t="s">
        <v>16</v>
      </c>
      <c r="E2038" t="s">
        <v>24</v>
      </c>
      <c r="F2038">
        <v>2063.06</v>
      </c>
    </row>
    <row r="2039" spans="1:6" x14ac:dyDescent="0.35">
      <c r="A2039">
        <v>1227</v>
      </c>
      <c r="B2039" s="2">
        <v>45909.375085336993</v>
      </c>
      <c r="C2039" t="s">
        <v>8</v>
      </c>
      <c r="D2039" t="s">
        <v>20</v>
      </c>
      <c r="E2039" t="s">
        <v>24</v>
      </c>
      <c r="F2039">
        <v>7612.45</v>
      </c>
    </row>
    <row r="2040" spans="1:6" x14ac:dyDescent="0.35">
      <c r="A2040">
        <v>1112</v>
      </c>
      <c r="B2040" s="2">
        <v>45909.375085336993</v>
      </c>
      <c r="C2040" t="s">
        <v>15</v>
      </c>
      <c r="D2040" t="s">
        <v>16</v>
      </c>
      <c r="E2040" t="s">
        <v>24</v>
      </c>
      <c r="F2040">
        <v>728.26</v>
      </c>
    </row>
    <row r="2041" spans="1:6" x14ac:dyDescent="0.35">
      <c r="A2041">
        <v>1191</v>
      </c>
      <c r="B2041" s="2">
        <v>45909.375085336993</v>
      </c>
      <c r="C2041" t="s">
        <v>9</v>
      </c>
      <c r="D2041" t="s">
        <v>22</v>
      </c>
      <c r="E2041" t="s">
        <v>23</v>
      </c>
      <c r="F2041">
        <v>4075.82</v>
      </c>
    </row>
    <row r="2042" spans="1:6" x14ac:dyDescent="0.35">
      <c r="A2042">
        <v>1240</v>
      </c>
      <c r="B2042" s="2">
        <v>45909.375085336993</v>
      </c>
      <c r="C2042" t="s">
        <v>7</v>
      </c>
      <c r="D2042" t="s">
        <v>21</v>
      </c>
      <c r="E2042" t="s">
        <v>24</v>
      </c>
      <c r="F2042">
        <v>1907.41</v>
      </c>
    </row>
    <row r="2043" spans="1:6" x14ac:dyDescent="0.35">
      <c r="A2043">
        <v>1210</v>
      </c>
      <c r="B2043" s="2">
        <v>45909.375085336993</v>
      </c>
      <c r="C2043" t="s">
        <v>11</v>
      </c>
      <c r="D2043" t="s">
        <v>22</v>
      </c>
      <c r="E2043" t="s">
        <v>25</v>
      </c>
      <c r="F2043">
        <v>2450.79</v>
      </c>
    </row>
    <row r="2044" spans="1:6" x14ac:dyDescent="0.35">
      <c r="A2044">
        <v>1084</v>
      </c>
      <c r="B2044" s="2">
        <v>45909.375085336993</v>
      </c>
      <c r="C2044" t="s">
        <v>15</v>
      </c>
      <c r="D2044" t="s">
        <v>17</v>
      </c>
      <c r="E2044" t="s">
        <v>25</v>
      </c>
      <c r="F2044">
        <v>2311.21</v>
      </c>
    </row>
    <row r="2045" spans="1:6" x14ac:dyDescent="0.35">
      <c r="A2045">
        <v>1166</v>
      </c>
      <c r="B2045" s="2">
        <v>45910.375085336993</v>
      </c>
      <c r="C2045" t="s">
        <v>8</v>
      </c>
      <c r="D2045" t="s">
        <v>19</v>
      </c>
      <c r="E2045" t="s">
        <v>23</v>
      </c>
      <c r="F2045">
        <v>3243.83</v>
      </c>
    </row>
    <row r="2046" spans="1:6" x14ac:dyDescent="0.35">
      <c r="A2046">
        <v>1261</v>
      </c>
      <c r="B2046" s="2">
        <v>45910.375085336993</v>
      </c>
      <c r="C2046" t="s">
        <v>11</v>
      </c>
      <c r="D2046" t="s">
        <v>22</v>
      </c>
      <c r="E2046" t="s">
        <v>23</v>
      </c>
      <c r="F2046">
        <v>1746.86</v>
      </c>
    </row>
    <row r="2047" spans="1:6" x14ac:dyDescent="0.35">
      <c r="A2047">
        <v>1036</v>
      </c>
      <c r="B2047" s="2">
        <v>45910.375085336993</v>
      </c>
      <c r="C2047" t="s">
        <v>10</v>
      </c>
      <c r="D2047" t="s">
        <v>17</v>
      </c>
      <c r="E2047" t="s">
        <v>23</v>
      </c>
      <c r="F2047">
        <v>3766.23</v>
      </c>
    </row>
    <row r="2048" spans="1:6" x14ac:dyDescent="0.35">
      <c r="A2048">
        <v>1250</v>
      </c>
      <c r="B2048" s="2">
        <v>45910.375085336993</v>
      </c>
      <c r="C2048" t="s">
        <v>9</v>
      </c>
      <c r="D2048" t="s">
        <v>22</v>
      </c>
      <c r="E2048" t="s">
        <v>24</v>
      </c>
      <c r="F2048">
        <v>4634.91</v>
      </c>
    </row>
    <row r="2049" spans="1:6" x14ac:dyDescent="0.35">
      <c r="A2049">
        <v>1046</v>
      </c>
      <c r="B2049" s="2">
        <v>45910.375085336993</v>
      </c>
      <c r="C2049" t="s">
        <v>12</v>
      </c>
      <c r="D2049" t="s">
        <v>20</v>
      </c>
      <c r="E2049" t="s">
        <v>25</v>
      </c>
      <c r="F2049">
        <v>747.31</v>
      </c>
    </row>
    <row r="2050" spans="1:6" x14ac:dyDescent="0.35">
      <c r="A2050">
        <v>1077</v>
      </c>
      <c r="B2050" s="2">
        <v>45910.375085336993</v>
      </c>
      <c r="C2050" t="s">
        <v>6</v>
      </c>
      <c r="D2050" t="s">
        <v>16</v>
      </c>
      <c r="E2050" t="s">
        <v>24</v>
      </c>
      <c r="F2050">
        <v>456.26</v>
      </c>
    </row>
    <row r="2051" spans="1:6" x14ac:dyDescent="0.35">
      <c r="A2051">
        <v>1395</v>
      </c>
      <c r="B2051" s="2">
        <v>45910.375085336993</v>
      </c>
      <c r="C2051" t="s">
        <v>14</v>
      </c>
      <c r="D2051" t="s">
        <v>22</v>
      </c>
      <c r="E2051" t="s">
        <v>23</v>
      </c>
      <c r="F2051">
        <v>4703.6499999999996</v>
      </c>
    </row>
    <row r="2052" spans="1:6" x14ac:dyDescent="0.35">
      <c r="A2052">
        <v>1018</v>
      </c>
      <c r="B2052" s="2">
        <v>45911.375085336993</v>
      </c>
      <c r="C2052" t="s">
        <v>12</v>
      </c>
      <c r="D2052" t="s">
        <v>20</v>
      </c>
      <c r="E2052" t="s">
        <v>25</v>
      </c>
      <c r="F2052">
        <v>5473.91</v>
      </c>
    </row>
    <row r="2053" spans="1:6" x14ac:dyDescent="0.35">
      <c r="A2053">
        <v>1198</v>
      </c>
      <c r="B2053" s="2">
        <v>45911.375085336993</v>
      </c>
      <c r="C2053" t="s">
        <v>7</v>
      </c>
      <c r="D2053" t="s">
        <v>21</v>
      </c>
      <c r="E2053" t="s">
        <v>25</v>
      </c>
      <c r="F2053">
        <v>3228.74</v>
      </c>
    </row>
    <row r="2054" spans="1:6" x14ac:dyDescent="0.35">
      <c r="A2054">
        <v>1388</v>
      </c>
      <c r="B2054" s="2">
        <v>45912.375085336993</v>
      </c>
      <c r="C2054" t="s">
        <v>11</v>
      </c>
      <c r="D2054" t="s">
        <v>21</v>
      </c>
      <c r="E2054" t="s">
        <v>25</v>
      </c>
      <c r="F2054">
        <v>3018.49</v>
      </c>
    </row>
    <row r="2055" spans="1:6" x14ac:dyDescent="0.35">
      <c r="A2055">
        <v>1213</v>
      </c>
      <c r="B2055" s="2">
        <v>45912.375085336993</v>
      </c>
      <c r="C2055" t="s">
        <v>11</v>
      </c>
      <c r="D2055" t="s">
        <v>19</v>
      </c>
      <c r="E2055" t="s">
        <v>23</v>
      </c>
      <c r="F2055">
        <v>4089.04</v>
      </c>
    </row>
    <row r="2056" spans="1:6" x14ac:dyDescent="0.35">
      <c r="A2056">
        <v>1360</v>
      </c>
      <c r="B2056" s="2">
        <v>45912.375085336993</v>
      </c>
      <c r="C2056" t="s">
        <v>13</v>
      </c>
      <c r="D2056" t="s">
        <v>20</v>
      </c>
      <c r="E2056" t="s">
        <v>23</v>
      </c>
      <c r="F2056">
        <v>1343.93</v>
      </c>
    </row>
    <row r="2057" spans="1:6" x14ac:dyDescent="0.35">
      <c r="A2057">
        <v>1379</v>
      </c>
      <c r="B2057" s="2">
        <v>45912.375085336993</v>
      </c>
      <c r="C2057" t="s">
        <v>15</v>
      </c>
      <c r="D2057" t="s">
        <v>18</v>
      </c>
      <c r="E2057" t="s">
        <v>25</v>
      </c>
      <c r="F2057">
        <v>3311.26</v>
      </c>
    </row>
    <row r="2058" spans="1:6" x14ac:dyDescent="0.35">
      <c r="A2058">
        <v>1359</v>
      </c>
      <c r="B2058" s="2">
        <v>45913.375085336993</v>
      </c>
      <c r="C2058" t="s">
        <v>13</v>
      </c>
      <c r="D2058" t="s">
        <v>22</v>
      </c>
      <c r="E2058" t="s">
        <v>23</v>
      </c>
      <c r="F2058">
        <v>81.040000000000006</v>
      </c>
    </row>
    <row r="2059" spans="1:6" x14ac:dyDescent="0.35">
      <c r="A2059">
        <v>1248</v>
      </c>
      <c r="B2059" s="2">
        <v>45913.375085336993</v>
      </c>
      <c r="C2059" t="s">
        <v>11</v>
      </c>
      <c r="D2059" t="s">
        <v>19</v>
      </c>
      <c r="E2059" t="s">
        <v>24</v>
      </c>
      <c r="F2059">
        <v>2787.04</v>
      </c>
    </row>
    <row r="2060" spans="1:6" x14ac:dyDescent="0.35">
      <c r="A2060">
        <v>1363</v>
      </c>
      <c r="B2060" s="2">
        <v>45913.375085336993</v>
      </c>
      <c r="C2060" t="s">
        <v>9</v>
      </c>
      <c r="D2060" t="s">
        <v>17</v>
      </c>
      <c r="E2060" t="s">
        <v>23</v>
      </c>
      <c r="F2060">
        <v>1662.44</v>
      </c>
    </row>
    <row r="2061" spans="1:6" x14ac:dyDescent="0.35">
      <c r="A2061">
        <v>1186</v>
      </c>
      <c r="B2061" s="2">
        <v>45913.375085336993</v>
      </c>
      <c r="C2061" t="s">
        <v>7</v>
      </c>
      <c r="D2061" t="s">
        <v>22</v>
      </c>
      <c r="E2061" t="s">
        <v>23</v>
      </c>
      <c r="F2061">
        <v>3143.52</v>
      </c>
    </row>
    <row r="2062" spans="1:6" x14ac:dyDescent="0.35">
      <c r="A2062">
        <v>1176</v>
      </c>
      <c r="B2062" s="2">
        <v>45913.375085336993</v>
      </c>
      <c r="C2062" t="s">
        <v>11</v>
      </c>
      <c r="D2062" t="s">
        <v>20</v>
      </c>
      <c r="E2062" t="s">
        <v>24</v>
      </c>
      <c r="F2062">
        <v>4201.16</v>
      </c>
    </row>
    <row r="2063" spans="1:6" x14ac:dyDescent="0.35">
      <c r="A2063">
        <v>1100</v>
      </c>
      <c r="B2063" s="2">
        <v>45914.375085336993</v>
      </c>
      <c r="C2063" t="s">
        <v>9</v>
      </c>
      <c r="D2063" t="s">
        <v>18</v>
      </c>
      <c r="E2063" t="s">
        <v>23</v>
      </c>
      <c r="F2063">
        <v>10568.3</v>
      </c>
    </row>
    <row r="2064" spans="1:6" x14ac:dyDescent="0.35">
      <c r="A2064">
        <v>1079</v>
      </c>
      <c r="B2064" s="2">
        <v>45914.375085336993</v>
      </c>
      <c r="C2064" t="s">
        <v>11</v>
      </c>
      <c r="D2064" t="s">
        <v>20</v>
      </c>
      <c r="E2064" t="s">
        <v>25</v>
      </c>
      <c r="F2064">
        <v>1608.86</v>
      </c>
    </row>
    <row r="2065" spans="1:6" x14ac:dyDescent="0.35">
      <c r="A2065">
        <v>1369</v>
      </c>
      <c r="B2065" s="2">
        <v>45914.375085336993</v>
      </c>
      <c r="C2065" t="s">
        <v>6</v>
      </c>
      <c r="D2065" t="s">
        <v>16</v>
      </c>
      <c r="E2065" t="s">
        <v>24</v>
      </c>
      <c r="F2065">
        <v>11849.22</v>
      </c>
    </row>
    <row r="2066" spans="1:6" x14ac:dyDescent="0.35">
      <c r="A2066">
        <v>1176</v>
      </c>
      <c r="B2066" s="2">
        <v>45914.375085336993</v>
      </c>
      <c r="C2066" t="s">
        <v>8</v>
      </c>
      <c r="D2066" t="s">
        <v>16</v>
      </c>
      <c r="E2066" t="s">
        <v>24</v>
      </c>
      <c r="F2066">
        <v>1223.56</v>
      </c>
    </row>
    <row r="2067" spans="1:6" x14ac:dyDescent="0.35">
      <c r="A2067">
        <v>1348</v>
      </c>
      <c r="B2067" s="2">
        <v>45914.375085336993</v>
      </c>
      <c r="C2067" t="s">
        <v>12</v>
      </c>
      <c r="D2067" t="s">
        <v>21</v>
      </c>
      <c r="E2067" t="s">
        <v>23</v>
      </c>
      <c r="F2067">
        <v>3782.71</v>
      </c>
    </row>
    <row r="2068" spans="1:6" x14ac:dyDescent="0.35">
      <c r="A2068">
        <v>1192</v>
      </c>
      <c r="B2068" s="2">
        <v>45914.375085336993</v>
      </c>
      <c r="C2068" t="s">
        <v>12</v>
      </c>
      <c r="D2068" t="s">
        <v>20</v>
      </c>
      <c r="E2068" t="s">
        <v>25</v>
      </c>
      <c r="F2068">
        <v>928.89</v>
      </c>
    </row>
    <row r="2069" spans="1:6" x14ac:dyDescent="0.35">
      <c r="A2069">
        <v>1347</v>
      </c>
      <c r="B2069" s="2">
        <v>45915.375085336993</v>
      </c>
      <c r="C2069" t="s">
        <v>9</v>
      </c>
      <c r="D2069" t="s">
        <v>21</v>
      </c>
      <c r="E2069" t="s">
        <v>23</v>
      </c>
      <c r="F2069">
        <v>5265.14</v>
      </c>
    </row>
    <row r="2070" spans="1:6" x14ac:dyDescent="0.35">
      <c r="A2070">
        <v>1298</v>
      </c>
      <c r="B2070" s="2">
        <v>45916.375085336993</v>
      </c>
      <c r="C2070" t="s">
        <v>13</v>
      </c>
      <c r="D2070" t="s">
        <v>21</v>
      </c>
      <c r="E2070" t="s">
        <v>24</v>
      </c>
      <c r="F2070">
        <v>2092.0500000000002</v>
      </c>
    </row>
    <row r="2071" spans="1:6" x14ac:dyDescent="0.35">
      <c r="A2071">
        <v>1124</v>
      </c>
      <c r="B2071" s="2">
        <v>45916.375085336993</v>
      </c>
      <c r="C2071" t="s">
        <v>14</v>
      </c>
      <c r="D2071" t="s">
        <v>22</v>
      </c>
      <c r="E2071" t="s">
        <v>23</v>
      </c>
      <c r="F2071">
        <v>11508.1</v>
      </c>
    </row>
    <row r="2072" spans="1:6" x14ac:dyDescent="0.35">
      <c r="A2072">
        <v>1029</v>
      </c>
      <c r="B2072" s="2">
        <v>45916.375085336993</v>
      </c>
      <c r="C2072" t="s">
        <v>7</v>
      </c>
      <c r="D2072" t="s">
        <v>21</v>
      </c>
      <c r="E2072" t="s">
        <v>25</v>
      </c>
      <c r="F2072">
        <v>7276.43</v>
      </c>
    </row>
    <row r="2073" spans="1:6" x14ac:dyDescent="0.35">
      <c r="A2073">
        <v>1269</v>
      </c>
      <c r="B2073" s="2">
        <v>45916.375085336993</v>
      </c>
      <c r="C2073" t="s">
        <v>12</v>
      </c>
      <c r="D2073" t="s">
        <v>18</v>
      </c>
      <c r="E2073" t="s">
        <v>24</v>
      </c>
      <c r="F2073">
        <v>9176.67</v>
      </c>
    </row>
    <row r="2074" spans="1:6" x14ac:dyDescent="0.35">
      <c r="A2074">
        <v>1302</v>
      </c>
      <c r="B2074" s="2">
        <v>45916.375085336993</v>
      </c>
      <c r="C2074" t="s">
        <v>6</v>
      </c>
      <c r="D2074" t="s">
        <v>19</v>
      </c>
      <c r="E2074" t="s">
        <v>23</v>
      </c>
      <c r="F2074">
        <v>2893.01</v>
      </c>
    </row>
    <row r="2075" spans="1:6" x14ac:dyDescent="0.35">
      <c r="A2075">
        <v>1290</v>
      </c>
      <c r="B2075" s="2">
        <v>45916.375085336993</v>
      </c>
      <c r="C2075" t="s">
        <v>12</v>
      </c>
      <c r="D2075" t="s">
        <v>17</v>
      </c>
      <c r="E2075" t="s">
        <v>23</v>
      </c>
      <c r="F2075">
        <v>2602.7800000000002</v>
      </c>
    </row>
    <row r="2076" spans="1:6" x14ac:dyDescent="0.35">
      <c r="A2076">
        <v>1327</v>
      </c>
      <c r="B2076" s="2">
        <v>45917.375085336993</v>
      </c>
      <c r="C2076" t="s">
        <v>9</v>
      </c>
      <c r="D2076" t="s">
        <v>20</v>
      </c>
      <c r="E2076" t="s">
        <v>25</v>
      </c>
      <c r="F2076">
        <v>3139.65</v>
      </c>
    </row>
    <row r="2077" spans="1:6" x14ac:dyDescent="0.35">
      <c r="A2077">
        <v>1104</v>
      </c>
      <c r="B2077" s="2">
        <v>45917.375085336993</v>
      </c>
      <c r="C2077" t="s">
        <v>6</v>
      </c>
      <c r="D2077" t="s">
        <v>20</v>
      </c>
      <c r="E2077" t="s">
        <v>24</v>
      </c>
      <c r="F2077">
        <v>4561.1499999999996</v>
      </c>
    </row>
    <row r="2078" spans="1:6" x14ac:dyDescent="0.35">
      <c r="A2078">
        <v>1025</v>
      </c>
      <c r="B2078" s="2">
        <v>45919.375085336993</v>
      </c>
      <c r="C2078" t="s">
        <v>12</v>
      </c>
      <c r="D2078" t="s">
        <v>17</v>
      </c>
      <c r="E2078" t="s">
        <v>24</v>
      </c>
      <c r="F2078">
        <v>486.11</v>
      </c>
    </row>
    <row r="2079" spans="1:6" x14ac:dyDescent="0.35">
      <c r="A2079">
        <v>1012</v>
      </c>
      <c r="B2079" s="2">
        <v>45919.375085336993</v>
      </c>
      <c r="C2079" t="s">
        <v>15</v>
      </c>
      <c r="D2079" t="s">
        <v>22</v>
      </c>
      <c r="E2079" t="s">
        <v>23</v>
      </c>
      <c r="F2079">
        <v>5952.2</v>
      </c>
    </row>
    <row r="2080" spans="1:6" x14ac:dyDescent="0.35">
      <c r="A2080">
        <v>1265</v>
      </c>
      <c r="B2080" s="2">
        <v>45919.375085336993</v>
      </c>
      <c r="C2080" t="s">
        <v>12</v>
      </c>
      <c r="D2080" t="s">
        <v>18</v>
      </c>
      <c r="E2080" t="s">
        <v>23</v>
      </c>
      <c r="F2080">
        <v>4653.2</v>
      </c>
    </row>
    <row r="2081" spans="1:6" x14ac:dyDescent="0.35">
      <c r="A2081">
        <v>1389</v>
      </c>
      <c r="B2081" s="2">
        <v>45919.375085336993</v>
      </c>
      <c r="C2081" t="s">
        <v>15</v>
      </c>
      <c r="D2081" t="s">
        <v>17</v>
      </c>
      <c r="E2081" t="s">
        <v>23</v>
      </c>
      <c r="F2081">
        <v>3157.28</v>
      </c>
    </row>
    <row r="2082" spans="1:6" x14ac:dyDescent="0.35">
      <c r="A2082">
        <v>1291</v>
      </c>
      <c r="B2082" s="2">
        <v>45919.375085336993</v>
      </c>
      <c r="C2082" t="s">
        <v>14</v>
      </c>
      <c r="D2082" t="s">
        <v>21</v>
      </c>
      <c r="E2082" t="s">
        <v>24</v>
      </c>
      <c r="F2082">
        <v>1618.06</v>
      </c>
    </row>
    <row r="2083" spans="1:6" x14ac:dyDescent="0.35">
      <c r="A2083">
        <v>1313</v>
      </c>
      <c r="B2083" s="2">
        <v>45919.375085336993</v>
      </c>
      <c r="C2083" t="s">
        <v>13</v>
      </c>
      <c r="D2083" t="s">
        <v>21</v>
      </c>
      <c r="E2083" t="s">
        <v>23</v>
      </c>
      <c r="F2083">
        <v>4458.92</v>
      </c>
    </row>
    <row r="2084" spans="1:6" x14ac:dyDescent="0.35">
      <c r="A2084">
        <v>1203</v>
      </c>
      <c r="B2084" s="2">
        <v>45919.375085336993</v>
      </c>
      <c r="C2084" t="s">
        <v>12</v>
      </c>
      <c r="D2084" t="s">
        <v>17</v>
      </c>
      <c r="E2084" t="s">
        <v>25</v>
      </c>
      <c r="F2084">
        <v>2569.2600000000002</v>
      </c>
    </row>
    <row r="2085" spans="1:6" x14ac:dyDescent="0.35">
      <c r="A2085">
        <v>1124</v>
      </c>
      <c r="B2085" s="2">
        <v>45920.375085336993</v>
      </c>
      <c r="C2085" t="s">
        <v>9</v>
      </c>
      <c r="D2085" t="s">
        <v>21</v>
      </c>
      <c r="E2085" t="s">
        <v>24</v>
      </c>
      <c r="F2085">
        <v>6283</v>
      </c>
    </row>
    <row r="2086" spans="1:6" x14ac:dyDescent="0.35">
      <c r="A2086">
        <v>1050</v>
      </c>
      <c r="B2086" s="2">
        <v>45920.375085336993</v>
      </c>
      <c r="C2086" t="s">
        <v>13</v>
      </c>
      <c r="D2086" t="s">
        <v>16</v>
      </c>
      <c r="E2086" t="s">
        <v>25</v>
      </c>
      <c r="F2086">
        <v>537.11</v>
      </c>
    </row>
    <row r="2087" spans="1:6" x14ac:dyDescent="0.35">
      <c r="A2087">
        <v>1153</v>
      </c>
      <c r="B2087" s="2">
        <v>45920.375085336993</v>
      </c>
      <c r="C2087" t="s">
        <v>9</v>
      </c>
      <c r="D2087" t="s">
        <v>21</v>
      </c>
      <c r="E2087" t="s">
        <v>25</v>
      </c>
      <c r="F2087">
        <v>2516.1999999999998</v>
      </c>
    </row>
    <row r="2088" spans="1:6" x14ac:dyDescent="0.35">
      <c r="A2088">
        <v>1066</v>
      </c>
      <c r="B2088" s="2">
        <v>45920.375085336993</v>
      </c>
      <c r="C2088" t="s">
        <v>6</v>
      </c>
      <c r="D2088" t="s">
        <v>19</v>
      </c>
      <c r="E2088" t="s">
        <v>23</v>
      </c>
      <c r="F2088">
        <v>836.08</v>
      </c>
    </row>
    <row r="2089" spans="1:6" x14ac:dyDescent="0.35">
      <c r="A2089">
        <v>1370</v>
      </c>
      <c r="B2089" s="2">
        <v>45921.375085336993</v>
      </c>
      <c r="C2089" t="s">
        <v>11</v>
      </c>
      <c r="D2089" t="s">
        <v>19</v>
      </c>
      <c r="E2089" t="s">
        <v>24</v>
      </c>
      <c r="F2089">
        <v>8335.7900000000009</v>
      </c>
    </row>
    <row r="2090" spans="1:6" x14ac:dyDescent="0.35">
      <c r="A2090">
        <v>1303</v>
      </c>
      <c r="B2090" s="2">
        <v>45921.375085336993</v>
      </c>
      <c r="C2090" t="s">
        <v>12</v>
      </c>
      <c r="D2090" t="s">
        <v>17</v>
      </c>
      <c r="E2090" t="s">
        <v>25</v>
      </c>
      <c r="F2090">
        <v>1622.07</v>
      </c>
    </row>
    <row r="2091" spans="1:6" x14ac:dyDescent="0.35">
      <c r="A2091">
        <v>1264</v>
      </c>
      <c r="B2091" s="2">
        <v>45921.375085336993</v>
      </c>
      <c r="C2091" t="s">
        <v>10</v>
      </c>
      <c r="D2091" t="s">
        <v>17</v>
      </c>
      <c r="E2091" t="s">
        <v>24</v>
      </c>
      <c r="F2091">
        <v>2244.06</v>
      </c>
    </row>
    <row r="2092" spans="1:6" x14ac:dyDescent="0.35">
      <c r="A2092">
        <v>1019</v>
      </c>
      <c r="B2092" s="2">
        <v>45922.375085336993</v>
      </c>
      <c r="C2092" t="s">
        <v>10</v>
      </c>
      <c r="D2092" t="s">
        <v>21</v>
      </c>
      <c r="E2092" t="s">
        <v>25</v>
      </c>
      <c r="F2092">
        <v>4490.1099999999997</v>
      </c>
    </row>
    <row r="2093" spans="1:6" x14ac:dyDescent="0.35">
      <c r="A2093">
        <v>1220</v>
      </c>
      <c r="B2093" s="2">
        <v>45922.375085336993</v>
      </c>
      <c r="C2093" t="s">
        <v>6</v>
      </c>
      <c r="D2093" t="s">
        <v>22</v>
      </c>
      <c r="E2093" t="s">
        <v>23</v>
      </c>
      <c r="F2093">
        <v>3886.67</v>
      </c>
    </row>
    <row r="2094" spans="1:6" x14ac:dyDescent="0.35">
      <c r="A2094">
        <v>1035</v>
      </c>
      <c r="B2094" s="2">
        <v>45922.375085336993</v>
      </c>
      <c r="C2094" t="s">
        <v>6</v>
      </c>
      <c r="D2094" t="s">
        <v>16</v>
      </c>
      <c r="E2094" t="s">
        <v>24</v>
      </c>
      <c r="F2094">
        <v>2003.16</v>
      </c>
    </row>
    <row r="2095" spans="1:6" x14ac:dyDescent="0.35">
      <c r="A2095">
        <v>1035</v>
      </c>
      <c r="B2095" s="2">
        <v>45922.375085336993</v>
      </c>
      <c r="C2095" t="s">
        <v>8</v>
      </c>
      <c r="D2095" t="s">
        <v>18</v>
      </c>
      <c r="E2095" t="s">
        <v>23</v>
      </c>
      <c r="F2095">
        <v>3699.03</v>
      </c>
    </row>
    <row r="2096" spans="1:6" x14ac:dyDescent="0.35">
      <c r="A2096">
        <v>1301</v>
      </c>
      <c r="B2096" s="2">
        <v>45922.375085336993</v>
      </c>
      <c r="C2096" t="s">
        <v>13</v>
      </c>
      <c r="D2096" t="s">
        <v>17</v>
      </c>
      <c r="E2096" t="s">
        <v>24</v>
      </c>
      <c r="F2096">
        <v>1145.72</v>
      </c>
    </row>
    <row r="2097" spans="1:6" x14ac:dyDescent="0.35">
      <c r="A2097">
        <v>1155</v>
      </c>
      <c r="B2097" s="2">
        <v>45922.375085336993</v>
      </c>
      <c r="C2097" t="s">
        <v>11</v>
      </c>
      <c r="D2097" t="s">
        <v>22</v>
      </c>
      <c r="E2097" t="s">
        <v>24</v>
      </c>
      <c r="F2097">
        <v>2229.5700000000002</v>
      </c>
    </row>
    <row r="2098" spans="1:6" x14ac:dyDescent="0.35">
      <c r="A2098">
        <v>1338</v>
      </c>
      <c r="B2098" s="2">
        <v>45923.375085336993</v>
      </c>
      <c r="C2098" t="s">
        <v>12</v>
      </c>
      <c r="D2098" t="s">
        <v>19</v>
      </c>
      <c r="E2098" t="s">
        <v>23</v>
      </c>
      <c r="F2098">
        <v>702.23</v>
      </c>
    </row>
    <row r="2099" spans="1:6" x14ac:dyDescent="0.35">
      <c r="A2099">
        <v>1037</v>
      </c>
      <c r="B2099" s="2">
        <v>45923.375085336993</v>
      </c>
      <c r="C2099" t="s">
        <v>8</v>
      </c>
      <c r="D2099" t="s">
        <v>20</v>
      </c>
      <c r="E2099" t="s">
        <v>23</v>
      </c>
      <c r="F2099">
        <v>5366.04</v>
      </c>
    </row>
    <row r="2100" spans="1:6" x14ac:dyDescent="0.35">
      <c r="A2100">
        <v>1173</v>
      </c>
      <c r="B2100" s="2">
        <v>45923.375085336993</v>
      </c>
      <c r="C2100" t="s">
        <v>7</v>
      </c>
      <c r="D2100" t="s">
        <v>18</v>
      </c>
      <c r="E2100" t="s">
        <v>23</v>
      </c>
      <c r="F2100">
        <v>2799.92</v>
      </c>
    </row>
    <row r="2101" spans="1:6" x14ac:dyDescent="0.35">
      <c r="A2101">
        <v>1148</v>
      </c>
      <c r="B2101" s="2">
        <v>45924.375085336993</v>
      </c>
      <c r="C2101" t="s">
        <v>7</v>
      </c>
      <c r="D2101" t="s">
        <v>21</v>
      </c>
      <c r="E2101" t="s">
        <v>23</v>
      </c>
      <c r="F2101">
        <v>12314.14</v>
      </c>
    </row>
    <row r="2102" spans="1:6" x14ac:dyDescent="0.35">
      <c r="A2102">
        <v>1178</v>
      </c>
      <c r="B2102" s="2">
        <v>45924.375085336993</v>
      </c>
      <c r="C2102" t="s">
        <v>12</v>
      </c>
      <c r="D2102" t="s">
        <v>22</v>
      </c>
      <c r="E2102" t="s">
        <v>25</v>
      </c>
      <c r="F2102">
        <v>3892.78</v>
      </c>
    </row>
    <row r="2103" spans="1:6" x14ac:dyDescent="0.35">
      <c r="A2103">
        <v>1274</v>
      </c>
      <c r="B2103" s="2">
        <v>45924.375085336993</v>
      </c>
      <c r="C2103" t="s">
        <v>8</v>
      </c>
      <c r="D2103" t="s">
        <v>16</v>
      </c>
      <c r="E2103" t="s">
        <v>25</v>
      </c>
      <c r="F2103">
        <v>1749.43</v>
      </c>
    </row>
    <row r="2104" spans="1:6" x14ac:dyDescent="0.35">
      <c r="A2104">
        <v>1080</v>
      </c>
      <c r="B2104" s="2">
        <v>45924.375085336993</v>
      </c>
      <c r="C2104" t="s">
        <v>13</v>
      </c>
      <c r="D2104" t="s">
        <v>21</v>
      </c>
      <c r="E2104" t="s">
        <v>24</v>
      </c>
      <c r="F2104">
        <v>419.98</v>
      </c>
    </row>
    <row r="2105" spans="1:6" x14ac:dyDescent="0.35">
      <c r="A2105">
        <v>1324</v>
      </c>
      <c r="B2105" s="2">
        <v>45925.375085336993</v>
      </c>
      <c r="C2105" t="s">
        <v>14</v>
      </c>
      <c r="D2105" t="s">
        <v>16</v>
      </c>
      <c r="E2105" t="s">
        <v>25</v>
      </c>
      <c r="F2105">
        <v>3814.14</v>
      </c>
    </row>
    <row r="2106" spans="1:6" x14ac:dyDescent="0.35">
      <c r="A2106">
        <v>1246</v>
      </c>
      <c r="B2106" s="2">
        <v>45925.375085336993</v>
      </c>
      <c r="C2106" t="s">
        <v>13</v>
      </c>
      <c r="D2106" t="s">
        <v>19</v>
      </c>
      <c r="E2106" t="s">
        <v>23</v>
      </c>
      <c r="F2106">
        <v>4587.6400000000003</v>
      </c>
    </row>
    <row r="2107" spans="1:6" x14ac:dyDescent="0.35">
      <c r="A2107">
        <v>1288</v>
      </c>
      <c r="B2107" s="2">
        <v>45925.375085336993</v>
      </c>
      <c r="C2107" t="s">
        <v>13</v>
      </c>
      <c r="D2107" t="s">
        <v>18</v>
      </c>
      <c r="E2107" t="s">
        <v>25</v>
      </c>
      <c r="F2107">
        <v>3596.04</v>
      </c>
    </row>
    <row r="2108" spans="1:6" x14ac:dyDescent="0.35">
      <c r="A2108">
        <v>1037</v>
      </c>
      <c r="B2108" s="2">
        <v>45925.375085336993</v>
      </c>
      <c r="C2108" t="s">
        <v>15</v>
      </c>
      <c r="D2108" t="s">
        <v>16</v>
      </c>
      <c r="E2108" t="s">
        <v>25</v>
      </c>
      <c r="F2108">
        <v>1979.67</v>
      </c>
    </row>
    <row r="2109" spans="1:6" x14ac:dyDescent="0.35">
      <c r="A2109">
        <v>1255</v>
      </c>
      <c r="B2109" s="2">
        <v>45925.375085336993</v>
      </c>
      <c r="C2109" t="s">
        <v>6</v>
      </c>
      <c r="D2109" t="s">
        <v>20</v>
      </c>
      <c r="E2109" t="s">
        <v>24</v>
      </c>
      <c r="F2109">
        <v>2448.1</v>
      </c>
    </row>
    <row r="2110" spans="1:6" x14ac:dyDescent="0.35">
      <c r="A2110">
        <v>1142</v>
      </c>
      <c r="B2110" s="2">
        <v>45925.375085336993</v>
      </c>
      <c r="C2110" t="s">
        <v>8</v>
      </c>
      <c r="D2110" t="s">
        <v>17</v>
      </c>
      <c r="E2110" t="s">
        <v>23</v>
      </c>
      <c r="F2110">
        <v>1854.25</v>
      </c>
    </row>
    <row r="2111" spans="1:6" x14ac:dyDescent="0.35">
      <c r="A2111">
        <v>1226</v>
      </c>
      <c r="B2111" s="2">
        <v>45925.375085336993</v>
      </c>
      <c r="C2111" t="s">
        <v>8</v>
      </c>
      <c r="D2111" t="s">
        <v>16</v>
      </c>
      <c r="E2111" t="s">
        <v>24</v>
      </c>
      <c r="F2111">
        <v>805.86</v>
      </c>
    </row>
    <row r="2112" spans="1:6" x14ac:dyDescent="0.35">
      <c r="A2112">
        <v>1010</v>
      </c>
      <c r="B2112" s="2">
        <v>45926.375085336993</v>
      </c>
      <c r="C2112" t="s">
        <v>6</v>
      </c>
      <c r="D2112" t="s">
        <v>21</v>
      </c>
      <c r="E2112" t="s">
        <v>25</v>
      </c>
      <c r="F2112">
        <v>1524.57</v>
      </c>
    </row>
    <row r="2113" spans="1:6" x14ac:dyDescent="0.35">
      <c r="A2113">
        <v>1350</v>
      </c>
      <c r="B2113" s="2">
        <v>45928.375085336993</v>
      </c>
      <c r="C2113" t="s">
        <v>15</v>
      </c>
      <c r="D2113" t="s">
        <v>20</v>
      </c>
      <c r="E2113" t="s">
        <v>25</v>
      </c>
      <c r="F2113">
        <v>4810.6499999999996</v>
      </c>
    </row>
    <row r="2114" spans="1:6" x14ac:dyDescent="0.35">
      <c r="A2114">
        <v>1186</v>
      </c>
      <c r="B2114" s="2">
        <v>45928.375085336993</v>
      </c>
      <c r="C2114" t="s">
        <v>10</v>
      </c>
      <c r="D2114" t="s">
        <v>20</v>
      </c>
      <c r="E2114" t="s">
        <v>25</v>
      </c>
      <c r="F2114">
        <v>1905.89</v>
      </c>
    </row>
    <row r="2115" spans="1:6" x14ac:dyDescent="0.35">
      <c r="A2115">
        <v>1374</v>
      </c>
      <c r="B2115" s="2">
        <v>45928.375085336993</v>
      </c>
      <c r="C2115" t="s">
        <v>15</v>
      </c>
      <c r="D2115" t="s">
        <v>20</v>
      </c>
      <c r="E2115" t="s">
        <v>24</v>
      </c>
      <c r="F2115">
        <v>2149.52</v>
      </c>
    </row>
    <row r="2116" spans="1:6" x14ac:dyDescent="0.35">
      <c r="A2116">
        <v>1117</v>
      </c>
      <c r="B2116" s="2">
        <v>45928.375085336993</v>
      </c>
      <c r="C2116" t="s">
        <v>15</v>
      </c>
      <c r="D2116" t="s">
        <v>22</v>
      </c>
      <c r="E2116" t="s">
        <v>24</v>
      </c>
      <c r="F2116">
        <v>2070.8200000000002</v>
      </c>
    </row>
    <row r="2117" spans="1:6" x14ac:dyDescent="0.35">
      <c r="A2117">
        <v>1347</v>
      </c>
      <c r="B2117" s="2">
        <v>45929.375085336993</v>
      </c>
      <c r="C2117" t="s">
        <v>8</v>
      </c>
      <c r="D2117" t="s">
        <v>17</v>
      </c>
      <c r="E2117" t="s">
        <v>24</v>
      </c>
      <c r="F2117">
        <v>3708.85</v>
      </c>
    </row>
    <row r="2118" spans="1:6" x14ac:dyDescent="0.35">
      <c r="A2118">
        <v>1123</v>
      </c>
      <c r="B2118" s="2">
        <v>45929.375085336993</v>
      </c>
      <c r="C2118" t="s">
        <v>14</v>
      </c>
      <c r="D2118" t="s">
        <v>17</v>
      </c>
      <c r="E2118" t="s">
        <v>23</v>
      </c>
      <c r="F2118">
        <v>2336.48</v>
      </c>
    </row>
    <row r="2119" spans="1:6" x14ac:dyDescent="0.35">
      <c r="A2119">
        <v>1349</v>
      </c>
      <c r="B2119" s="2">
        <v>45930.375085336993</v>
      </c>
      <c r="C2119" t="s">
        <v>9</v>
      </c>
      <c r="D2119" t="s">
        <v>20</v>
      </c>
      <c r="E2119" t="s">
        <v>24</v>
      </c>
      <c r="F2119">
        <v>2989.51</v>
      </c>
    </row>
    <row r="2120" spans="1:6" x14ac:dyDescent="0.35">
      <c r="A2120">
        <v>1314</v>
      </c>
      <c r="B2120" s="2">
        <v>45930.375085336993</v>
      </c>
      <c r="C2120" t="s">
        <v>8</v>
      </c>
      <c r="D2120" t="s">
        <v>16</v>
      </c>
      <c r="E2120" t="s">
        <v>23</v>
      </c>
      <c r="F2120">
        <v>7722.19</v>
      </c>
    </row>
    <row r="2121" spans="1:6" x14ac:dyDescent="0.35">
      <c r="A2121">
        <v>1236</v>
      </c>
      <c r="B2121" s="2">
        <v>45930.375085336993</v>
      </c>
      <c r="C2121" t="s">
        <v>6</v>
      </c>
      <c r="D2121" t="s">
        <v>18</v>
      </c>
      <c r="E2121" t="s">
        <v>25</v>
      </c>
      <c r="F2121">
        <v>7301.73</v>
      </c>
    </row>
    <row r="2122" spans="1:6" x14ac:dyDescent="0.35">
      <c r="A2122">
        <v>1311</v>
      </c>
      <c r="B2122" s="2">
        <v>45930.375085336993</v>
      </c>
      <c r="C2122" t="s">
        <v>14</v>
      </c>
      <c r="D2122" t="s">
        <v>17</v>
      </c>
      <c r="E2122" t="s">
        <v>24</v>
      </c>
      <c r="F2122">
        <v>2280.4699999999998</v>
      </c>
    </row>
    <row r="2123" spans="1:6" x14ac:dyDescent="0.35">
      <c r="A2123">
        <v>1223</v>
      </c>
      <c r="B2123" s="2">
        <v>45930.375085336993</v>
      </c>
      <c r="C2123" t="s">
        <v>11</v>
      </c>
      <c r="D2123" t="s">
        <v>16</v>
      </c>
      <c r="E2123" t="s">
        <v>24</v>
      </c>
      <c r="F2123">
        <v>2972.73</v>
      </c>
    </row>
    <row r="2124" spans="1:6" x14ac:dyDescent="0.35">
      <c r="A2124">
        <v>1182</v>
      </c>
      <c r="B2124" s="2">
        <v>45931.375085336993</v>
      </c>
      <c r="C2124" t="s">
        <v>9</v>
      </c>
      <c r="D2124" t="s">
        <v>19</v>
      </c>
      <c r="E2124" t="s">
        <v>24</v>
      </c>
      <c r="F2124">
        <v>2032.88</v>
      </c>
    </row>
    <row r="2125" spans="1:6" x14ac:dyDescent="0.35">
      <c r="A2125">
        <v>1259</v>
      </c>
      <c r="B2125" s="2">
        <v>45931.375085336993</v>
      </c>
      <c r="C2125" t="s">
        <v>11</v>
      </c>
      <c r="D2125" t="s">
        <v>17</v>
      </c>
      <c r="E2125" t="s">
        <v>25</v>
      </c>
      <c r="F2125">
        <v>4447.8500000000004</v>
      </c>
    </row>
    <row r="2126" spans="1:6" x14ac:dyDescent="0.35">
      <c r="A2126">
        <v>1107</v>
      </c>
      <c r="B2126" s="2">
        <v>45931.375085336993</v>
      </c>
      <c r="C2126" t="s">
        <v>15</v>
      </c>
      <c r="D2126" t="s">
        <v>22</v>
      </c>
      <c r="E2126" t="s">
        <v>25</v>
      </c>
      <c r="F2126">
        <v>1931.04</v>
      </c>
    </row>
    <row r="2127" spans="1:6" x14ac:dyDescent="0.35">
      <c r="A2127">
        <v>1107</v>
      </c>
      <c r="B2127" s="2">
        <v>45932.375085336993</v>
      </c>
      <c r="C2127" t="s">
        <v>11</v>
      </c>
      <c r="D2127" t="s">
        <v>22</v>
      </c>
      <c r="E2127" t="s">
        <v>25</v>
      </c>
      <c r="F2127">
        <v>16658.509999999998</v>
      </c>
    </row>
    <row r="2128" spans="1:6" x14ac:dyDescent="0.35">
      <c r="A2128">
        <v>1058</v>
      </c>
      <c r="B2128" s="2">
        <v>45933.375085336993</v>
      </c>
      <c r="C2128" t="s">
        <v>11</v>
      </c>
      <c r="D2128" t="s">
        <v>16</v>
      </c>
      <c r="E2128" t="s">
        <v>24</v>
      </c>
      <c r="F2128">
        <v>2384.63</v>
      </c>
    </row>
    <row r="2129" spans="1:6" x14ac:dyDescent="0.35">
      <c r="A2129">
        <v>1019</v>
      </c>
      <c r="B2129" s="2">
        <v>45933.375085336993</v>
      </c>
      <c r="C2129" t="s">
        <v>7</v>
      </c>
      <c r="D2129" t="s">
        <v>21</v>
      </c>
      <c r="E2129" t="s">
        <v>25</v>
      </c>
      <c r="F2129">
        <v>2507.29</v>
      </c>
    </row>
    <row r="2130" spans="1:6" x14ac:dyDescent="0.35">
      <c r="A2130">
        <v>1012</v>
      </c>
      <c r="B2130" s="2">
        <v>45933.375085336993</v>
      </c>
      <c r="C2130" t="s">
        <v>9</v>
      </c>
      <c r="D2130" t="s">
        <v>20</v>
      </c>
      <c r="E2130" t="s">
        <v>25</v>
      </c>
      <c r="F2130">
        <v>5630.36</v>
      </c>
    </row>
    <row r="2131" spans="1:6" x14ac:dyDescent="0.35">
      <c r="A2131">
        <v>1121</v>
      </c>
      <c r="B2131" s="2">
        <v>45933.375085336993</v>
      </c>
      <c r="C2131" t="s">
        <v>6</v>
      </c>
      <c r="D2131" t="s">
        <v>18</v>
      </c>
      <c r="E2131" t="s">
        <v>23</v>
      </c>
      <c r="F2131">
        <v>8573.9699999999993</v>
      </c>
    </row>
    <row r="2132" spans="1:6" x14ac:dyDescent="0.35">
      <c r="A2132">
        <v>1150</v>
      </c>
      <c r="B2132" s="2">
        <v>45933.375085336993</v>
      </c>
      <c r="C2132" t="s">
        <v>11</v>
      </c>
      <c r="D2132" t="s">
        <v>18</v>
      </c>
      <c r="E2132" t="s">
        <v>23</v>
      </c>
      <c r="F2132">
        <v>1051.1600000000001</v>
      </c>
    </row>
    <row r="2133" spans="1:6" x14ac:dyDescent="0.35">
      <c r="A2133">
        <v>1397</v>
      </c>
      <c r="B2133" s="2">
        <v>45933.375085336993</v>
      </c>
      <c r="C2133" t="s">
        <v>11</v>
      </c>
      <c r="D2133" t="s">
        <v>20</v>
      </c>
      <c r="E2133" t="s">
        <v>23</v>
      </c>
      <c r="F2133">
        <v>2008.12</v>
      </c>
    </row>
    <row r="2134" spans="1:6" x14ac:dyDescent="0.35">
      <c r="A2134">
        <v>1148</v>
      </c>
      <c r="B2134" s="2">
        <v>45934.375085336993</v>
      </c>
      <c r="C2134" t="s">
        <v>10</v>
      </c>
      <c r="D2134" t="s">
        <v>19</v>
      </c>
      <c r="E2134" t="s">
        <v>23</v>
      </c>
      <c r="F2134">
        <v>3457.42</v>
      </c>
    </row>
    <row r="2135" spans="1:6" x14ac:dyDescent="0.35">
      <c r="A2135">
        <v>1075</v>
      </c>
      <c r="B2135" s="2">
        <v>45934.375085336993</v>
      </c>
      <c r="C2135" t="s">
        <v>14</v>
      </c>
      <c r="D2135" t="s">
        <v>16</v>
      </c>
      <c r="E2135" t="s">
        <v>23</v>
      </c>
      <c r="F2135">
        <v>1373.98</v>
      </c>
    </row>
    <row r="2136" spans="1:6" x14ac:dyDescent="0.35">
      <c r="A2136">
        <v>1203</v>
      </c>
      <c r="B2136" s="2">
        <v>45934.375085336993</v>
      </c>
      <c r="C2136" t="s">
        <v>12</v>
      </c>
      <c r="D2136" t="s">
        <v>17</v>
      </c>
      <c r="E2136" t="s">
        <v>25</v>
      </c>
      <c r="F2136">
        <v>9228.7900000000009</v>
      </c>
    </row>
    <row r="2137" spans="1:6" x14ac:dyDescent="0.35">
      <c r="A2137">
        <v>1371</v>
      </c>
      <c r="B2137" s="2">
        <v>45934.375085336993</v>
      </c>
      <c r="C2137" t="s">
        <v>7</v>
      </c>
      <c r="D2137" t="s">
        <v>16</v>
      </c>
      <c r="E2137" t="s">
        <v>23</v>
      </c>
      <c r="F2137">
        <v>1237.3699999999999</v>
      </c>
    </row>
    <row r="2138" spans="1:6" x14ac:dyDescent="0.35">
      <c r="A2138">
        <v>1221</v>
      </c>
      <c r="B2138" s="2">
        <v>45934.375085336993</v>
      </c>
      <c r="C2138" t="s">
        <v>9</v>
      </c>
      <c r="D2138" t="s">
        <v>18</v>
      </c>
      <c r="E2138" t="s">
        <v>24</v>
      </c>
      <c r="F2138">
        <v>7122.6</v>
      </c>
    </row>
    <row r="2139" spans="1:6" x14ac:dyDescent="0.35">
      <c r="A2139">
        <v>1089</v>
      </c>
      <c r="B2139" s="2">
        <v>45934.375085336993</v>
      </c>
      <c r="C2139" t="s">
        <v>15</v>
      </c>
      <c r="D2139" t="s">
        <v>19</v>
      </c>
      <c r="E2139" t="s">
        <v>24</v>
      </c>
      <c r="F2139">
        <v>3649.4</v>
      </c>
    </row>
    <row r="2140" spans="1:6" x14ac:dyDescent="0.35">
      <c r="A2140">
        <v>1137</v>
      </c>
      <c r="B2140" s="2">
        <v>45935.375085336993</v>
      </c>
      <c r="C2140" t="s">
        <v>11</v>
      </c>
      <c r="D2140" t="s">
        <v>20</v>
      </c>
      <c r="E2140" t="s">
        <v>25</v>
      </c>
      <c r="F2140">
        <v>5505.03</v>
      </c>
    </row>
    <row r="2141" spans="1:6" x14ac:dyDescent="0.35">
      <c r="A2141">
        <v>1123</v>
      </c>
      <c r="B2141" s="2">
        <v>45935.375085336993</v>
      </c>
      <c r="C2141" t="s">
        <v>6</v>
      </c>
      <c r="D2141" t="s">
        <v>21</v>
      </c>
      <c r="E2141" t="s">
        <v>25</v>
      </c>
      <c r="F2141">
        <v>6119.33</v>
      </c>
    </row>
    <row r="2142" spans="1:6" x14ac:dyDescent="0.35">
      <c r="A2142">
        <v>1356</v>
      </c>
      <c r="B2142" s="2">
        <v>45935.375085336993</v>
      </c>
      <c r="C2142" t="s">
        <v>14</v>
      </c>
      <c r="D2142" t="s">
        <v>17</v>
      </c>
      <c r="E2142" t="s">
        <v>25</v>
      </c>
      <c r="F2142">
        <v>2435.96</v>
      </c>
    </row>
    <row r="2143" spans="1:6" x14ac:dyDescent="0.35">
      <c r="A2143">
        <v>1013</v>
      </c>
      <c r="B2143" s="2">
        <v>45935.375085336993</v>
      </c>
      <c r="C2143" t="s">
        <v>12</v>
      </c>
      <c r="D2143" t="s">
        <v>22</v>
      </c>
      <c r="E2143" t="s">
        <v>25</v>
      </c>
      <c r="F2143">
        <v>10860.64</v>
      </c>
    </row>
    <row r="2144" spans="1:6" x14ac:dyDescent="0.35">
      <c r="A2144">
        <v>1064</v>
      </c>
      <c r="B2144" s="2">
        <v>45935.375085336993</v>
      </c>
      <c r="C2144" t="s">
        <v>6</v>
      </c>
      <c r="D2144" t="s">
        <v>17</v>
      </c>
      <c r="E2144" t="s">
        <v>24</v>
      </c>
      <c r="F2144">
        <v>5784.21</v>
      </c>
    </row>
    <row r="2145" spans="1:6" x14ac:dyDescent="0.35">
      <c r="A2145">
        <v>1335</v>
      </c>
      <c r="B2145" s="2">
        <v>45936.375085336993</v>
      </c>
      <c r="C2145" t="s">
        <v>6</v>
      </c>
      <c r="D2145" t="s">
        <v>21</v>
      </c>
      <c r="E2145" t="s">
        <v>23</v>
      </c>
      <c r="F2145">
        <v>9634.35</v>
      </c>
    </row>
    <row r="2146" spans="1:6" x14ac:dyDescent="0.35">
      <c r="A2146">
        <v>1224</v>
      </c>
      <c r="B2146" s="2">
        <v>45937.375085336993</v>
      </c>
      <c r="C2146" t="s">
        <v>12</v>
      </c>
      <c r="D2146" t="s">
        <v>17</v>
      </c>
      <c r="E2146" t="s">
        <v>23</v>
      </c>
      <c r="F2146">
        <v>2838.92</v>
      </c>
    </row>
    <row r="2147" spans="1:6" x14ac:dyDescent="0.35">
      <c r="A2147">
        <v>1043</v>
      </c>
      <c r="B2147" s="2">
        <v>45937.375085336993</v>
      </c>
      <c r="C2147" t="s">
        <v>12</v>
      </c>
      <c r="D2147" t="s">
        <v>19</v>
      </c>
      <c r="E2147" t="s">
        <v>23</v>
      </c>
      <c r="F2147">
        <v>4755.62</v>
      </c>
    </row>
    <row r="2148" spans="1:6" x14ac:dyDescent="0.35">
      <c r="A2148">
        <v>1152</v>
      </c>
      <c r="B2148" s="2">
        <v>45937.375085336993</v>
      </c>
      <c r="C2148" t="s">
        <v>15</v>
      </c>
      <c r="D2148" t="s">
        <v>18</v>
      </c>
      <c r="E2148" t="s">
        <v>23</v>
      </c>
      <c r="F2148">
        <v>2019.19</v>
      </c>
    </row>
    <row r="2149" spans="1:6" x14ac:dyDescent="0.35">
      <c r="A2149">
        <v>1255</v>
      </c>
      <c r="B2149" s="2">
        <v>45937.375085336993</v>
      </c>
      <c r="C2149" t="s">
        <v>12</v>
      </c>
      <c r="D2149" t="s">
        <v>20</v>
      </c>
      <c r="E2149" t="s">
        <v>24</v>
      </c>
      <c r="F2149">
        <v>1312.04</v>
      </c>
    </row>
    <row r="2150" spans="1:6" x14ac:dyDescent="0.35">
      <c r="A2150">
        <v>1147</v>
      </c>
      <c r="B2150" s="2">
        <v>45938.375085336993</v>
      </c>
      <c r="C2150" t="s">
        <v>11</v>
      </c>
      <c r="D2150" t="s">
        <v>22</v>
      </c>
      <c r="E2150" t="s">
        <v>24</v>
      </c>
      <c r="F2150">
        <v>4870.3100000000004</v>
      </c>
    </row>
    <row r="2151" spans="1:6" x14ac:dyDescent="0.35">
      <c r="A2151">
        <v>1179</v>
      </c>
      <c r="B2151" s="2">
        <v>45938.375085336993</v>
      </c>
      <c r="C2151" t="s">
        <v>7</v>
      </c>
      <c r="D2151" t="s">
        <v>22</v>
      </c>
      <c r="E2151" t="s">
        <v>25</v>
      </c>
      <c r="F2151">
        <v>5822.65</v>
      </c>
    </row>
    <row r="2152" spans="1:6" x14ac:dyDescent="0.35">
      <c r="A2152">
        <v>1110</v>
      </c>
      <c r="B2152" s="2">
        <v>45938.375085336993</v>
      </c>
      <c r="C2152" t="s">
        <v>15</v>
      </c>
      <c r="D2152" t="s">
        <v>20</v>
      </c>
      <c r="E2152" t="s">
        <v>24</v>
      </c>
      <c r="F2152">
        <v>4655.5600000000004</v>
      </c>
    </row>
    <row r="2153" spans="1:6" x14ac:dyDescent="0.35">
      <c r="A2153">
        <v>1190</v>
      </c>
      <c r="B2153" s="2">
        <v>45938.375085336993</v>
      </c>
      <c r="C2153" t="s">
        <v>13</v>
      </c>
      <c r="D2153" t="s">
        <v>20</v>
      </c>
      <c r="E2153" t="s">
        <v>24</v>
      </c>
      <c r="F2153">
        <v>2811.13</v>
      </c>
    </row>
    <row r="2154" spans="1:6" x14ac:dyDescent="0.35">
      <c r="A2154">
        <v>1371</v>
      </c>
      <c r="B2154" s="2">
        <v>45938.375085336993</v>
      </c>
      <c r="C2154" t="s">
        <v>6</v>
      </c>
      <c r="D2154" t="s">
        <v>16</v>
      </c>
      <c r="E2154" t="s">
        <v>23</v>
      </c>
      <c r="F2154">
        <v>3804.14</v>
      </c>
    </row>
    <row r="2155" spans="1:6" x14ac:dyDescent="0.35">
      <c r="A2155">
        <v>1339</v>
      </c>
      <c r="B2155" s="2">
        <v>45938.375085336993</v>
      </c>
      <c r="C2155" t="s">
        <v>12</v>
      </c>
      <c r="D2155" t="s">
        <v>17</v>
      </c>
      <c r="E2155" t="s">
        <v>25</v>
      </c>
      <c r="F2155">
        <v>4961.18</v>
      </c>
    </row>
    <row r="2156" spans="1:6" x14ac:dyDescent="0.35">
      <c r="A2156">
        <v>1157</v>
      </c>
      <c r="B2156" s="2">
        <v>45938.375085336993</v>
      </c>
      <c r="C2156" t="s">
        <v>9</v>
      </c>
      <c r="D2156" t="s">
        <v>22</v>
      </c>
      <c r="E2156" t="s">
        <v>23</v>
      </c>
      <c r="F2156">
        <v>7865.24</v>
      </c>
    </row>
    <row r="2157" spans="1:6" x14ac:dyDescent="0.35">
      <c r="A2157">
        <v>1135</v>
      </c>
      <c r="B2157" s="2">
        <v>45938.375085336993</v>
      </c>
      <c r="C2157" t="s">
        <v>7</v>
      </c>
      <c r="D2157" t="s">
        <v>17</v>
      </c>
      <c r="E2157" t="s">
        <v>24</v>
      </c>
      <c r="F2157">
        <v>1386.02</v>
      </c>
    </row>
    <row r="2158" spans="1:6" x14ac:dyDescent="0.35">
      <c r="A2158">
        <v>1210</v>
      </c>
      <c r="B2158" s="2">
        <v>45939.375085336993</v>
      </c>
      <c r="C2158" t="s">
        <v>12</v>
      </c>
      <c r="D2158" t="s">
        <v>21</v>
      </c>
      <c r="E2158" t="s">
        <v>23</v>
      </c>
      <c r="F2158">
        <v>1491.07</v>
      </c>
    </row>
    <row r="2159" spans="1:6" x14ac:dyDescent="0.35">
      <c r="A2159">
        <v>1026</v>
      </c>
      <c r="B2159" s="2">
        <v>45939.375085336993</v>
      </c>
      <c r="C2159" t="s">
        <v>10</v>
      </c>
      <c r="D2159" t="s">
        <v>20</v>
      </c>
      <c r="E2159" t="s">
        <v>25</v>
      </c>
      <c r="F2159">
        <v>1011.77</v>
      </c>
    </row>
    <row r="2160" spans="1:6" x14ac:dyDescent="0.35">
      <c r="A2160">
        <v>1146</v>
      </c>
      <c r="B2160" s="2">
        <v>45939.375085336993</v>
      </c>
      <c r="C2160" t="s">
        <v>8</v>
      </c>
      <c r="D2160" t="s">
        <v>19</v>
      </c>
      <c r="E2160" t="s">
        <v>25</v>
      </c>
      <c r="F2160">
        <v>4824.72</v>
      </c>
    </row>
    <row r="2161" spans="1:6" x14ac:dyDescent="0.35">
      <c r="A2161">
        <v>1143</v>
      </c>
      <c r="B2161" s="2">
        <v>45939.375085336993</v>
      </c>
      <c r="C2161" t="s">
        <v>6</v>
      </c>
      <c r="D2161" t="s">
        <v>16</v>
      </c>
      <c r="E2161" t="s">
        <v>23</v>
      </c>
      <c r="F2161">
        <v>7969.79</v>
      </c>
    </row>
    <row r="2162" spans="1:6" x14ac:dyDescent="0.35">
      <c r="A2162">
        <v>1185</v>
      </c>
      <c r="B2162" s="2">
        <v>45940.375085336993</v>
      </c>
      <c r="C2162" t="s">
        <v>14</v>
      </c>
      <c r="D2162" t="s">
        <v>22</v>
      </c>
      <c r="E2162" t="s">
        <v>24</v>
      </c>
      <c r="F2162">
        <v>1796.04</v>
      </c>
    </row>
    <row r="2163" spans="1:6" x14ac:dyDescent="0.35">
      <c r="A2163">
        <v>1117</v>
      </c>
      <c r="B2163" s="2">
        <v>45940.375085336993</v>
      </c>
      <c r="C2163" t="s">
        <v>6</v>
      </c>
      <c r="D2163" t="s">
        <v>20</v>
      </c>
      <c r="E2163" t="s">
        <v>25</v>
      </c>
      <c r="F2163">
        <v>7709.1</v>
      </c>
    </row>
    <row r="2164" spans="1:6" x14ac:dyDescent="0.35">
      <c r="A2164">
        <v>1013</v>
      </c>
      <c r="B2164" s="2">
        <v>45941.375085336993</v>
      </c>
      <c r="C2164" t="s">
        <v>6</v>
      </c>
      <c r="D2164" t="s">
        <v>18</v>
      </c>
      <c r="E2164" t="s">
        <v>24</v>
      </c>
      <c r="F2164">
        <v>1339.94</v>
      </c>
    </row>
    <row r="2165" spans="1:6" x14ac:dyDescent="0.35">
      <c r="A2165">
        <v>1030</v>
      </c>
      <c r="B2165" s="2">
        <v>45941.375085336993</v>
      </c>
      <c r="C2165" t="s">
        <v>12</v>
      </c>
      <c r="D2165" t="s">
        <v>18</v>
      </c>
      <c r="E2165" t="s">
        <v>23</v>
      </c>
      <c r="F2165">
        <v>3567.66</v>
      </c>
    </row>
    <row r="2166" spans="1:6" x14ac:dyDescent="0.35">
      <c r="A2166">
        <v>1270</v>
      </c>
      <c r="B2166" s="2">
        <v>45941.375085336993</v>
      </c>
      <c r="C2166" t="s">
        <v>13</v>
      </c>
      <c r="D2166" t="s">
        <v>16</v>
      </c>
      <c r="E2166" t="s">
        <v>24</v>
      </c>
      <c r="F2166">
        <v>1351.75</v>
      </c>
    </row>
    <row r="2167" spans="1:6" x14ac:dyDescent="0.35">
      <c r="A2167">
        <v>1263</v>
      </c>
      <c r="B2167" s="2">
        <v>45941.375085336993</v>
      </c>
      <c r="C2167" t="s">
        <v>6</v>
      </c>
      <c r="D2167" t="s">
        <v>19</v>
      </c>
      <c r="E2167" t="s">
        <v>25</v>
      </c>
      <c r="F2167">
        <v>5155.68</v>
      </c>
    </row>
    <row r="2168" spans="1:6" x14ac:dyDescent="0.35">
      <c r="A2168">
        <v>1054</v>
      </c>
      <c r="B2168" s="2">
        <v>45941.375085336993</v>
      </c>
      <c r="C2168" t="s">
        <v>14</v>
      </c>
      <c r="D2168" t="s">
        <v>18</v>
      </c>
      <c r="E2168" t="s">
        <v>25</v>
      </c>
      <c r="F2168">
        <v>2537.5</v>
      </c>
    </row>
    <row r="2169" spans="1:6" x14ac:dyDescent="0.35">
      <c r="A2169">
        <v>1399</v>
      </c>
      <c r="B2169" s="2">
        <v>45942.375085336993</v>
      </c>
      <c r="C2169" t="s">
        <v>14</v>
      </c>
      <c r="D2169" t="s">
        <v>18</v>
      </c>
      <c r="E2169" t="s">
        <v>24</v>
      </c>
      <c r="F2169">
        <v>3782</v>
      </c>
    </row>
    <row r="2170" spans="1:6" x14ac:dyDescent="0.35">
      <c r="A2170">
        <v>1020</v>
      </c>
      <c r="B2170" s="2">
        <v>45942.375085336993</v>
      </c>
      <c r="C2170" t="s">
        <v>9</v>
      </c>
      <c r="D2170" t="s">
        <v>18</v>
      </c>
      <c r="E2170" t="s">
        <v>25</v>
      </c>
      <c r="F2170">
        <v>4629.29</v>
      </c>
    </row>
    <row r="2171" spans="1:6" x14ac:dyDescent="0.35">
      <c r="A2171">
        <v>1129</v>
      </c>
      <c r="B2171" s="2">
        <v>45942.375085336993</v>
      </c>
      <c r="C2171" t="s">
        <v>11</v>
      </c>
      <c r="D2171" t="s">
        <v>20</v>
      </c>
      <c r="E2171" t="s">
        <v>24</v>
      </c>
      <c r="F2171">
        <v>1717.23</v>
      </c>
    </row>
    <row r="2172" spans="1:6" x14ac:dyDescent="0.35">
      <c r="A2172">
        <v>1143</v>
      </c>
      <c r="B2172" s="2">
        <v>45942.375085336993</v>
      </c>
      <c r="C2172" t="s">
        <v>11</v>
      </c>
      <c r="D2172" t="s">
        <v>21</v>
      </c>
      <c r="E2172" t="s">
        <v>25</v>
      </c>
      <c r="F2172">
        <v>1241.27</v>
      </c>
    </row>
    <row r="2173" spans="1:6" x14ac:dyDescent="0.35">
      <c r="A2173">
        <v>1337</v>
      </c>
      <c r="B2173" s="2">
        <v>45942.375085336993</v>
      </c>
      <c r="C2173" t="s">
        <v>9</v>
      </c>
      <c r="D2173" t="s">
        <v>18</v>
      </c>
      <c r="E2173" t="s">
        <v>23</v>
      </c>
      <c r="F2173">
        <v>7022.1</v>
      </c>
    </row>
    <row r="2174" spans="1:6" x14ac:dyDescent="0.35">
      <c r="A2174">
        <v>1129</v>
      </c>
      <c r="B2174" s="2">
        <v>45943.375085336993</v>
      </c>
      <c r="C2174" t="s">
        <v>10</v>
      </c>
      <c r="D2174" t="s">
        <v>20</v>
      </c>
      <c r="E2174" t="s">
        <v>23</v>
      </c>
      <c r="F2174">
        <v>6696.37</v>
      </c>
    </row>
    <row r="2175" spans="1:6" x14ac:dyDescent="0.35">
      <c r="A2175">
        <v>1344</v>
      </c>
      <c r="B2175" s="2">
        <v>45945.375085336993</v>
      </c>
      <c r="C2175" t="s">
        <v>12</v>
      </c>
      <c r="D2175" t="s">
        <v>21</v>
      </c>
      <c r="E2175" t="s">
        <v>25</v>
      </c>
      <c r="F2175">
        <v>1764.25</v>
      </c>
    </row>
    <row r="2176" spans="1:6" x14ac:dyDescent="0.35">
      <c r="A2176">
        <v>1024</v>
      </c>
      <c r="B2176" s="2">
        <v>45945.375085336993</v>
      </c>
      <c r="C2176" t="s">
        <v>10</v>
      </c>
      <c r="D2176" t="s">
        <v>18</v>
      </c>
      <c r="E2176" t="s">
        <v>25</v>
      </c>
      <c r="F2176">
        <v>3295.52</v>
      </c>
    </row>
    <row r="2177" spans="1:6" x14ac:dyDescent="0.35">
      <c r="A2177">
        <v>1317</v>
      </c>
      <c r="B2177" s="2">
        <v>45945.375085336993</v>
      </c>
      <c r="C2177" t="s">
        <v>6</v>
      </c>
      <c r="D2177" t="s">
        <v>22</v>
      </c>
      <c r="E2177" t="s">
        <v>25</v>
      </c>
      <c r="F2177">
        <v>2818.44</v>
      </c>
    </row>
    <row r="2178" spans="1:6" x14ac:dyDescent="0.35">
      <c r="A2178">
        <v>1372</v>
      </c>
      <c r="B2178" s="2">
        <v>45945.375085336993</v>
      </c>
      <c r="C2178" t="s">
        <v>11</v>
      </c>
      <c r="D2178" t="s">
        <v>22</v>
      </c>
      <c r="E2178" t="s">
        <v>25</v>
      </c>
      <c r="F2178">
        <v>5551.27</v>
      </c>
    </row>
    <row r="2179" spans="1:6" x14ac:dyDescent="0.35">
      <c r="A2179">
        <v>1370</v>
      </c>
      <c r="B2179" s="2">
        <v>45945.375085336993</v>
      </c>
      <c r="C2179" t="s">
        <v>10</v>
      </c>
      <c r="D2179" t="s">
        <v>19</v>
      </c>
      <c r="E2179" t="s">
        <v>23</v>
      </c>
      <c r="F2179">
        <v>2693.99</v>
      </c>
    </row>
    <row r="2180" spans="1:6" x14ac:dyDescent="0.35">
      <c r="A2180">
        <v>1334</v>
      </c>
      <c r="B2180" s="2">
        <v>45945.375085336993</v>
      </c>
      <c r="C2180" t="s">
        <v>6</v>
      </c>
      <c r="D2180" t="s">
        <v>21</v>
      </c>
      <c r="E2180" t="s">
        <v>25</v>
      </c>
      <c r="F2180">
        <v>1816.64</v>
      </c>
    </row>
    <row r="2181" spans="1:6" x14ac:dyDescent="0.35">
      <c r="A2181">
        <v>1369</v>
      </c>
      <c r="B2181" s="2">
        <v>45945.375085336993</v>
      </c>
      <c r="C2181" t="s">
        <v>13</v>
      </c>
      <c r="D2181" t="s">
        <v>19</v>
      </c>
      <c r="E2181" t="s">
        <v>25</v>
      </c>
      <c r="F2181">
        <v>5242.28</v>
      </c>
    </row>
    <row r="2182" spans="1:6" x14ac:dyDescent="0.35">
      <c r="A2182">
        <v>1089</v>
      </c>
      <c r="B2182" s="2">
        <v>45945.375085336993</v>
      </c>
      <c r="C2182" t="s">
        <v>12</v>
      </c>
      <c r="D2182" t="s">
        <v>19</v>
      </c>
      <c r="E2182" t="s">
        <v>24</v>
      </c>
      <c r="F2182">
        <v>8173.23</v>
      </c>
    </row>
    <row r="2183" spans="1:6" x14ac:dyDescent="0.35">
      <c r="A2183">
        <v>1235</v>
      </c>
      <c r="B2183" s="2">
        <v>45945.375085336993</v>
      </c>
      <c r="C2183" t="s">
        <v>11</v>
      </c>
      <c r="D2183" t="s">
        <v>17</v>
      </c>
      <c r="E2183" t="s">
        <v>25</v>
      </c>
      <c r="F2183">
        <v>2160.15</v>
      </c>
    </row>
    <row r="2184" spans="1:6" x14ac:dyDescent="0.35">
      <c r="A2184">
        <v>1354</v>
      </c>
      <c r="B2184" s="2">
        <v>45946.375085336993</v>
      </c>
      <c r="C2184" t="s">
        <v>8</v>
      </c>
      <c r="D2184" t="s">
        <v>18</v>
      </c>
      <c r="E2184" t="s">
        <v>24</v>
      </c>
      <c r="F2184">
        <v>3141.66</v>
      </c>
    </row>
    <row r="2185" spans="1:6" x14ac:dyDescent="0.35">
      <c r="A2185">
        <v>1085</v>
      </c>
      <c r="B2185" s="2">
        <v>45946.375085336993</v>
      </c>
      <c r="C2185" t="s">
        <v>15</v>
      </c>
      <c r="D2185" t="s">
        <v>22</v>
      </c>
      <c r="E2185" t="s">
        <v>24</v>
      </c>
      <c r="F2185">
        <v>10614.64</v>
      </c>
    </row>
    <row r="2186" spans="1:6" x14ac:dyDescent="0.35">
      <c r="A2186">
        <v>1026</v>
      </c>
      <c r="B2186" s="2">
        <v>45946.375085336993</v>
      </c>
      <c r="C2186" t="s">
        <v>13</v>
      </c>
      <c r="D2186" t="s">
        <v>19</v>
      </c>
      <c r="E2186" t="s">
        <v>25</v>
      </c>
      <c r="F2186">
        <v>1054.68</v>
      </c>
    </row>
    <row r="2187" spans="1:6" x14ac:dyDescent="0.35">
      <c r="A2187">
        <v>1039</v>
      </c>
      <c r="B2187" s="2">
        <v>45946.375085336993</v>
      </c>
      <c r="C2187" t="s">
        <v>8</v>
      </c>
      <c r="D2187" t="s">
        <v>19</v>
      </c>
      <c r="E2187" t="s">
        <v>25</v>
      </c>
      <c r="F2187">
        <v>3967.59</v>
      </c>
    </row>
    <row r="2188" spans="1:6" x14ac:dyDescent="0.35">
      <c r="A2188">
        <v>1201</v>
      </c>
      <c r="B2188" s="2">
        <v>45947.375085336993</v>
      </c>
      <c r="C2188" t="s">
        <v>13</v>
      </c>
      <c r="D2188" t="s">
        <v>18</v>
      </c>
      <c r="E2188" t="s">
        <v>25</v>
      </c>
      <c r="F2188">
        <v>5745.31</v>
      </c>
    </row>
    <row r="2189" spans="1:6" x14ac:dyDescent="0.35">
      <c r="A2189">
        <v>1207</v>
      </c>
      <c r="B2189" s="2">
        <v>45947.375085336993</v>
      </c>
      <c r="C2189" t="s">
        <v>10</v>
      </c>
      <c r="D2189" t="s">
        <v>16</v>
      </c>
      <c r="E2189" t="s">
        <v>25</v>
      </c>
      <c r="F2189">
        <v>4394.57</v>
      </c>
    </row>
    <row r="2190" spans="1:6" x14ac:dyDescent="0.35">
      <c r="A2190">
        <v>1119</v>
      </c>
      <c r="B2190" s="2">
        <v>45947.375085336993</v>
      </c>
      <c r="C2190" t="s">
        <v>13</v>
      </c>
      <c r="D2190" t="s">
        <v>19</v>
      </c>
      <c r="E2190" t="s">
        <v>25</v>
      </c>
      <c r="F2190">
        <v>5100.62</v>
      </c>
    </row>
    <row r="2191" spans="1:6" x14ac:dyDescent="0.35">
      <c r="A2191">
        <v>1098</v>
      </c>
      <c r="B2191" s="2">
        <v>45947.375085336993</v>
      </c>
      <c r="C2191" t="s">
        <v>7</v>
      </c>
      <c r="D2191" t="s">
        <v>16</v>
      </c>
      <c r="E2191" t="s">
        <v>23</v>
      </c>
      <c r="F2191">
        <v>3503.18</v>
      </c>
    </row>
    <row r="2192" spans="1:6" x14ac:dyDescent="0.35">
      <c r="A2192">
        <v>1151</v>
      </c>
      <c r="B2192" s="2">
        <v>45947.375085336993</v>
      </c>
      <c r="C2192" t="s">
        <v>10</v>
      </c>
      <c r="D2192" t="s">
        <v>18</v>
      </c>
      <c r="E2192" t="s">
        <v>23</v>
      </c>
      <c r="F2192">
        <v>7084.85</v>
      </c>
    </row>
    <row r="2193" spans="1:6" x14ac:dyDescent="0.35">
      <c r="A2193">
        <v>1338</v>
      </c>
      <c r="B2193" s="2">
        <v>45947.375085336993</v>
      </c>
      <c r="C2193" t="s">
        <v>14</v>
      </c>
      <c r="D2193" t="s">
        <v>20</v>
      </c>
      <c r="E2193" t="s">
        <v>24</v>
      </c>
      <c r="F2193">
        <v>6405.12</v>
      </c>
    </row>
    <row r="2194" spans="1:6" x14ac:dyDescent="0.35">
      <c r="A2194">
        <v>1145</v>
      </c>
      <c r="B2194" s="2">
        <v>45948.375085336993</v>
      </c>
      <c r="C2194" t="s">
        <v>7</v>
      </c>
      <c r="D2194" t="s">
        <v>17</v>
      </c>
      <c r="E2194" t="s">
        <v>25</v>
      </c>
      <c r="F2194">
        <v>2577.11</v>
      </c>
    </row>
    <row r="2195" spans="1:6" x14ac:dyDescent="0.35">
      <c r="A2195">
        <v>1303</v>
      </c>
      <c r="B2195" s="2">
        <v>45948.375085336993</v>
      </c>
      <c r="C2195" t="s">
        <v>12</v>
      </c>
      <c r="D2195" t="s">
        <v>19</v>
      </c>
      <c r="E2195" t="s">
        <v>24</v>
      </c>
      <c r="F2195">
        <v>3255.49</v>
      </c>
    </row>
    <row r="2196" spans="1:6" x14ac:dyDescent="0.35">
      <c r="A2196">
        <v>1288</v>
      </c>
      <c r="B2196" s="2">
        <v>45949.375085336993</v>
      </c>
      <c r="C2196" t="s">
        <v>12</v>
      </c>
      <c r="D2196" t="s">
        <v>18</v>
      </c>
      <c r="E2196" t="s">
        <v>23</v>
      </c>
      <c r="F2196">
        <v>4782.8500000000004</v>
      </c>
    </row>
    <row r="2197" spans="1:6" x14ac:dyDescent="0.35">
      <c r="A2197">
        <v>1355</v>
      </c>
      <c r="B2197" s="2">
        <v>45949.375085336993</v>
      </c>
      <c r="C2197" t="s">
        <v>10</v>
      </c>
      <c r="D2197" t="s">
        <v>21</v>
      </c>
      <c r="E2197" t="s">
        <v>23</v>
      </c>
      <c r="F2197">
        <v>726.03</v>
      </c>
    </row>
    <row r="2198" spans="1:6" x14ac:dyDescent="0.35">
      <c r="A2198">
        <v>1370</v>
      </c>
      <c r="B2198" s="2">
        <v>45949.375085336993</v>
      </c>
      <c r="C2198" t="s">
        <v>13</v>
      </c>
      <c r="D2198" t="s">
        <v>16</v>
      </c>
      <c r="E2198" t="s">
        <v>25</v>
      </c>
      <c r="F2198">
        <v>1805.68</v>
      </c>
    </row>
    <row r="2199" spans="1:6" x14ac:dyDescent="0.35">
      <c r="A2199">
        <v>1096</v>
      </c>
      <c r="B2199" s="2">
        <v>45949.375085336993</v>
      </c>
      <c r="C2199" t="s">
        <v>12</v>
      </c>
      <c r="D2199" t="s">
        <v>21</v>
      </c>
      <c r="E2199" t="s">
        <v>23</v>
      </c>
      <c r="F2199">
        <v>2774.83</v>
      </c>
    </row>
    <row r="2200" spans="1:6" x14ac:dyDescent="0.35">
      <c r="A2200">
        <v>1135</v>
      </c>
      <c r="B2200" s="2">
        <v>45949.375085336993</v>
      </c>
      <c r="C2200" t="s">
        <v>6</v>
      </c>
      <c r="D2200" t="s">
        <v>21</v>
      </c>
      <c r="E2200" t="s">
        <v>25</v>
      </c>
      <c r="F2200">
        <v>5765.2</v>
      </c>
    </row>
    <row r="2201" spans="1:6" x14ac:dyDescent="0.35">
      <c r="A2201">
        <v>1339</v>
      </c>
      <c r="B2201" s="2">
        <v>45951.375085336993</v>
      </c>
      <c r="C2201" t="s">
        <v>15</v>
      </c>
      <c r="D2201" t="s">
        <v>16</v>
      </c>
      <c r="E2201" t="s">
        <v>23</v>
      </c>
      <c r="F2201">
        <v>9886.4500000000007</v>
      </c>
    </row>
    <row r="2202" spans="1:6" x14ac:dyDescent="0.35">
      <c r="A2202">
        <v>1318</v>
      </c>
      <c r="B2202" s="2">
        <v>45951.375085336993</v>
      </c>
      <c r="C2202" t="s">
        <v>13</v>
      </c>
      <c r="D2202" t="s">
        <v>17</v>
      </c>
      <c r="E2202" t="s">
        <v>23</v>
      </c>
      <c r="F2202">
        <v>1996.85</v>
      </c>
    </row>
    <row r="2203" spans="1:6" x14ac:dyDescent="0.35">
      <c r="A2203">
        <v>1372</v>
      </c>
      <c r="B2203" s="2">
        <v>45952.375085336993</v>
      </c>
      <c r="C2203" t="s">
        <v>15</v>
      </c>
      <c r="D2203" t="s">
        <v>17</v>
      </c>
      <c r="E2203" t="s">
        <v>25</v>
      </c>
      <c r="F2203">
        <v>663.65</v>
      </c>
    </row>
    <row r="2204" spans="1:6" x14ac:dyDescent="0.35">
      <c r="A2204">
        <v>1091</v>
      </c>
      <c r="B2204" s="2">
        <v>45952.375085336993</v>
      </c>
      <c r="C2204" t="s">
        <v>6</v>
      </c>
      <c r="D2204" t="s">
        <v>18</v>
      </c>
      <c r="E2204" t="s">
        <v>23</v>
      </c>
      <c r="F2204">
        <v>1741.07</v>
      </c>
    </row>
    <row r="2205" spans="1:6" x14ac:dyDescent="0.35">
      <c r="A2205">
        <v>1098</v>
      </c>
      <c r="B2205" s="2">
        <v>45952.375085336993</v>
      </c>
      <c r="C2205" t="s">
        <v>13</v>
      </c>
      <c r="D2205" t="s">
        <v>19</v>
      </c>
      <c r="E2205" t="s">
        <v>24</v>
      </c>
      <c r="F2205">
        <v>5049.51</v>
      </c>
    </row>
    <row r="2206" spans="1:6" x14ac:dyDescent="0.35">
      <c r="A2206">
        <v>1038</v>
      </c>
      <c r="B2206" s="2">
        <v>45952.375085336993</v>
      </c>
      <c r="C2206" t="s">
        <v>8</v>
      </c>
      <c r="D2206" t="s">
        <v>20</v>
      </c>
      <c r="E2206" t="s">
        <v>23</v>
      </c>
      <c r="F2206">
        <v>3545.01</v>
      </c>
    </row>
    <row r="2207" spans="1:6" x14ac:dyDescent="0.35">
      <c r="A2207">
        <v>1362</v>
      </c>
      <c r="B2207" s="2">
        <v>45952.375085336993</v>
      </c>
      <c r="C2207" t="s">
        <v>14</v>
      </c>
      <c r="D2207" t="s">
        <v>22</v>
      </c>
      <c r="E2207" t="s">
        <v>25</v>
      </c>
      <c r="F2207">
        <v>7903.47</v>
      </c>
    </row>
    <row r="2208" spans="1:6" x14ac:dyDescent="0.35">
      <c r="A2208">
        <v>1146</v>
      </c>
      <c r="B2208" s="2">
        <v>45953.375085336993</v>
      </c>
      <c r="C2208" t="s">
        <v>12</v>
      </c>
      <c r="D2208" t="s">
        <v>16</v>
      </c>
      <c r="E2208" t="s">
        <v>25</v>
      </c>
      <c r="F2208">
        <v>1712.38</v>
      </c>
    </row>
    <row r="2209" spans="1:6" x14ac:dyDescent="0.35">
      <c r="A2209">
        <v>1251</v>
      </c>
      <c r="B2209" s="2">
        <v>45953.375085336993</v>
      </c>
      <c r="C2209" t="s">
        <v>13</v>
      </c>
      <c r="D2209" t="s">
        <v>20</v>
      </c>
      <c r="E2209" t="s">
        <v>23</v>
      </c>
      <c r="F2209">
        <v>9312.16</v>
      </c>
    </row>
    <row r="2210" spans="1:6" x14ac:dyDescent="0.35">
      <c r="A2210">
        <v>1375</v>
      </c>
      <c r="B2210" s="2">
        <v>45953.375085336993</v>
      </c>
      <c r="C2210" t="s">
        <v>11</v>
      </c>
      <c r="D2210" t="s">
        <v>21</v>
      </c>
      <c r="E2210" t="s">
        <v>24</v>
      </c>
      <c r="F2210">
        <v>3519.83</v>
      </c>
    </row>
    <row r="2211" spans="1:6" x14ac:dyDescent="0.35">
      <c r="A2211">
        <v>1093</v>
      </c>
      <c r="B2211" s="2">
        <v>45954.375085336993</v>
      </c>
      <c r="C2211" t="s">
        <v>7</v>
      </c>
      <c r="D2211" t="s">
        <v>18</v>
      </c>
      <c r="E2211" t="s">
        <v>23</v>
      </c>
      <c r="F2211">
        <v>639.1</v>
      </c>
    </row>
    <row r="2212" spans="1:6" x14ac:dyDescent="0.35">
      <c r="A2212">
        <v>1328</v>
      </c>
      <c r="B2212" s="2">
        <v>45954.375085336993</v>
      </c>
      <c r="C2212" t="s">
        <v>13</v>
      </c>
      <c r="D2212" t="s">
        <v>21</v>
      </c>
      <c r="E2212" t="s">
        <v>25</v>
      </c>
      <c r="F2212">
        <v>931.79</v>
      </c>
    </row>
    <row r="2213" spans="1:6" x14ac:dyDescent="0.35">
      <c r="A2213">
        <v>1341</v>
      </c>
      <c r="B2213" s="2">
        <v>45954.375085336993</v>
      </c>
      <c r="C2213" t="s">
        <v>15</v>
      </c>
      <c r="D2213" t="s">
        <v>20</v>
      </c>
      <c r="E2213" t="s">
        <v>24</v>
      </c>
      <c r="F2213">
        <v>3936.89</v>
      </c>
    </row>
    <row r="2214" spans="1:6" x14ac:dyDescent="0.35">
      <c r="A2214">
        <v>1320</v>
      </c>
      <c r="B2214" s="2">
        <v>45954.375085336993</v>
      </c>
      <c r="C2214" t="s">
        <v>11</v>
      </c>
      <c r="D2214" t="s">
        <v>17</v>
      </c>
      <c r="E2214" t="s">
        <v>25</v>
      </c>
      <c r="F2214">
        <v>11328.63</v>
      </c>
    </row>
    <row r="2215" spans="1:6" x14ac:dyDescent="0.35">
      <c r="A2215">
        <v>1000</v>
      </c>
      <c r="B2215" s="2">
        <v>45954.375085336993</v>
      </c>
      <c r="C2215" t="s">
        <v>6</v>
      </c>
      <c r="D2215" t="s">
        <v>22</v>
      </c>
      <c r="E2215" t="s">
        <v>25</v>
      </c>
      <c r="F2215">
        <v>4134.3</v>
      </c>
    </row>
    <row r="2216" spans="1:6" x14ac:dyDescent="0.35">
      <c r="A2216">
        <v>1172</v>
      </c>
      <c r="B2216" s="2">
        <v>45954.375085336993</v>
      </c>
      <c r="C2216" t="s">
        <v>10</v>
      </c>
      <c r="D2216" t="s">
        <v>21</v>
      </c>
      <c r="E2216" t="s">
        <v>24</v>
      </c>
      <c r="F2216">
        <v>5196.29</v>
      </c>
    </row>
    <row r="2217" spans="1:6" x14ac:dyDescent="0.35">
      <c r="A2217">
        <v>1060</v>
      </c>
      <c r="B2217" s="2">
        <v>45954.375085336993</v>
      </c>
      <c r="C2217" t="s">
        <v>15</v>
      </c>
      <c r="D2217" t="s">
        <v>22</v>
      </c>
      <c r="E2217" t="s">
        <v>25</v>
      </c>
      <c r="F2217">
        <v>1867.19</v>
      </c>
    </row>
    <row r="2218" spans="1:6" x14ac:dyDescent="0.35">
      <c r="A2218">
        <v>1363</v>
      </c>
      <c r="B2218" s="2">
        <v>45955.375085336993</v>
      </c>
      <c r="C2218" t="s">
        <v>6</v>
      </c>
      <c r="D2218" t="s">
        <v>18</v>
      </c>
      <c r="E2218" t="s">
        <v>23</v>
      </c>
      <c r="F2218">
        <v>7378.25</v>
      </c>
    </row>
    <row r="2219" spans="1:6" x14ac:dyDescent="0.35">
      <c r="A2219">
        <v>1242</v>
      </c>
      <c r="B2219" s="2">
        <v>45955.375085336993</v>
      </c>
      <c r="C2219" t="s">
        <v>10</v>
      </c>
      <c r="D2219" t="s">
        <v>18</v>
      </c>
      <c r="E2219" t="s">
        <v>24</v>
      </c>
      <c r="F2219">
        <v>3965.89</v>
      </c>
    </row>
    <row r="2220" spans="1:6" x14ac:dyDescent="0.35">
      <c r="A2220">
        <v>1016</v>
      </c>
      <c r="B2220" s="2">
        <v>45955.375085336993</v>
      </c>
      <c r="C2220" t="s">
        <v>13</v>
      </c>
      <c r="D2220" t="s">
        <v>19</v>
      </c>
      <c r="E2220" t="s">
        <v>25</v>
      </c>
      <c r="F2220">
        <v>9661.4599999999991</v>
      </c>
    </row>
    <row r="2221" spans="1:6" x14ac:dyDescent="0.35">
      <c r="A2221">
        <v>1349</v>
      </c>
      <c r="B2221" s="2">
        <v>45955.375085336993</v>
      </c>
      <c r="C2221" t="s">
        <v>14</v>
      </c>
      <c r="D2221" t="s">
        <v>20</v>
      </c>
      <c r="E2221" t="s">
        <v>25</v>
      </c>
      <c r="F2221">
        <v>3552.77</v>
      </c>
    </row>
    <row r="2222" spans="1:6" x14ac:dyDescent="0.35">
      <c r="A2222">
        <v>1242</v>
      </c>
      <c r="B2222" s="2">
        <v>45955.375085336993</v>
      </c>
      <c r="C2222" t="s">
        <v>7</v>
      </c>
      <c r="D2222" t="s">
        <v>22</v>
      </c>
      <c r="E2222" t="s">
        <v>23</v>
      </c>
      <c r="F2222">
        <v>1094.71</v>
      </c>
    </row>
    <row r="2223" spans="1:6" x14ac:dyDescent="0.35">
      <c r="A2223">
        <v>1148</v>
      </c>
      <c r="B2223" s="2">
        <v>45955.375085336993</v>
      </c>
      <c r="C2223" t="s">
        <v>13</v>
      </c>
      <c r="D2223" t="s">
        <v>20</v>
      </c>
      <c r="E2223" t="s">
        <v>23</v>
      </c>
      <c r="F2223">
        <v>322.08999999999997</v>
      </c>
    </row>
    <row r="2224" spans="1:6" x14ac:dyDescent="0.35">
      <c r="A2224">
        <v>1225</v>
      </c>
      <c r="B2224" s="2">
        <v>45956.375085336993</v>
      </c>
      <c r="C2224" t="s">
        <v>8</v>
      </c>
      <c r="D2224" t="s">
        <v>21</v>
      </c>
      <c r="E2224" t="s">
        <v>23</v>
      </c>
      <c r="F2224">
        <v>6547.07</v>
      </c>
    </row>
    <row r="2225" spans="1:6" x14ac:dyDescent="0.35">
      <c r="A2225">
        <v>1092</v>
      </c>
      <c r="B2225" s="2">
        <v>45956.375085336993</v>
      </c>
      <c r="C2225" t="s">
        <v>9</v>
      </c>
      <c r="D2225" t="s">
        <v>19</v>
      </c>
      <c r="E2225" t="s">
        <v>25</v>
      </c>
      <c r="F2225">
        <v>2306.7399999999998</v>
      </c>
    </row>
    <row r="2226" spans="1:6" x14ac:dyDescent="0.35">
      <c r="A2226">
        <v>1160</v>
      </c>
      <c r="B2226" s="2">
        <v>45956.375085336993</v>
      </c>
      <c r="C2226" t="s">
        <v>6</v>
      </c>
      <c r="D2226" t="s">
        <v>17</v>
      </c>
      <c r="E2226" t="s">
        <v>23</v>
      </c>
      <c r="F2226">
        <v>5748.89</v>
      </c>
    </row>
    <row r="2227" spans="1:6" x14ac:dyDescent="0.35">
      <c r="A2227">
        <v>1335</v>
      </c>
      <c r="B2227" s="2">
        <v>45956.375085336993</v>
      </c>
      <c r="C2227" t="s">
        <v>10</v>
      </c>
      <c r="D2227" t="s">
        <v>19</v>
      </c>
      <c r="E2227" t="s">
        <v>23</v>
      </c>
      <c r="F2227">
        <v>6274.22</v>
      </c>
    </row>
    <row r="2228" spans="1:6" x14ac:dyDescent="0.35">
      <c r="A2228">
        <v>1038</v>
      </c>
      <c r="B2228" s="2">
        <v>45956.375085336993</v>
      </c>
      <c r="C2228" t="s">
        <v>10</v>
      </c>
      <c r="D2228" t="s">
        <v>17</v>
      </c>
      <c r="E2228" t="s">
        <v>23</v>
      </c>
      <c r="F2228">
        <v>2198.4499999999998</v>
      </c>
    </row>
    <row r="2229" spans="1:6" x14ac:dyDescent="0.35">
      <c r="A2229">
        <v>1042</v>
      </c>
      <c r="B2229" s="2">
        <v>45957.375085336993</v>
      </c>
      <c r="C2229" t="s">
        <v>15</v>
      </c>
      <c r="D2229" t="s">
        <v>19</v>
      </c>
      <c r="E2229" t="s">
        <v>25</v>
      </c>
      <c r="F2229">
        <v>2765.98</v>
      </c>
    </row>
    <row r="2230" spans="1:6" x14ac:dyDescent="0.35">
      <c r="A2230">
        <v>1346</v>
      </c>
      <c r="B2230" s="2">
        <v>45957.375085336993</v>
      </c>
      <c r="C2230" t="s">
        <v>6</v>
      </c>
      <c r="D2230" t="s">
        <v>16</v>
      </c>
      <c r="E2230" t="s">
        <v>23</v>
      </c>
      <c r="F2230">
        <v>1257.27</v>
      </c>
    </row>
    <row r="2231" spans="1:6" x14ac:dyDescent="0.35">
      <c r="A2231">
        <v>1326</v>
      </c>
      <c r="B2231" s="2">
        <v>45957.375085336993</v>
      </c>
      <c r="C2231" t="s">
        <v>12</v>
      </c>
      <c r="D2231" t="s">
        <v>22</v>
      </c>
      <c r="E2231" t="s">
        <v>25</v>
      </c>
      <c r="F2231">
        <v>4405.3</v>
      </c>
    </row>
    <row r="2232" spans="1:6" x14ac:dyDescent="0.35">
      <c r="A2232">
        <v>1237</v>
      </c>
      <c r="B2232" s="2">
        <v>45958.375085336993</v>
      </c>
      <c r="C2232" t="s">
        <v>15</v>
      </c>
      <c r="D2232" t="s">
        <v>21</v>
      </c>
      <c r="E2232" t="s">
        <v>23</v>
      </c>
      <c r="F2232">
        <v>7465.03</v>
      </c>
    </row>
    <row r="2233" spans="1:6" x14ac:dyDescent="0.35">
      <c r="A2233">
        <v>1014</v>
      </c>
      <c r="B2233" s="2">
        <v>45958.375085336993</v>
      </c>
      <c r="C2233" t="s">
        <v>9</v>
      </c>
      <c r="D2233" t="s">
        <v>21</v>
      </c>
      <c r="E2233" t="s">
        <v>25</v>
      </c>
      <c r="F2233">
        <v>7525.57</v>
      </c>
    </row>
    <row r="2234" spans="1:6" x14ac:dyDescent="0.35">
      <c r="A2234">
        <v>1284</v>
      </c>
      <c r="B2234" s="2">
        <v>45958.375085336993</v>
      </c>
      <c r="C2234" t="s">
        <v>6</v>
      </c>
      <c r="D2234" t="s">
        <v>21</v>
      </c>
      <c r="E2234" t="s">
        <v>25</v>
      </c>
      <c r="F2234">
        <v>4168.03</v>
      </c>
    </row>
    <row r="2235" spans="1:6" x14ac:dyDescent="0.35">
      <c r="A2235">
        <v>1175</v>
      </c>
      <c r="B2235" s="2">
        <v>45958.375085336993</v>
      </c>
      <c r="C2235" t="s">
        <v>10</v>
      </c>
      <c r="D2235" t="s">
        <v>21</v>
      </c>
      <c r="E2235" t="s">
        <v>23</v>
      </c>
      <c r="F2235">
        <v>6029.74</v>
      </c>
    </row>
    <row r="2236" spans="1:6" x14ac:dyDescent="0.35">
      <c r="A2236">
        <v>1052</v>
      </c>
      <c r="B2236" s="2">
        <v>45959.375085336993</v>
      </c>
      <c r="C2236" t="s">
        <v>11</v>
      </c>
      <c r="D2236" t="s">
        <v>17</v>
      </c>
      <c r="E2236" t="s">
        <v>24</v>
      </c>
      <c r="F2236">
        <v>3824.76</v>
      </c>
    </row>
    <row r="2237" spans="1:6" x14ac:dyDescent="0.35">
      <c r="A2237">
        <v>1147</v>
      </c>
      <c r="B2237" s="2">
        <v>45959.375085336993</v>
      </c>
      <c r="C2237" t="s">
        <v>10</v>
      </c>
      <c r="D2237" t="s">
        <v>19</v>
      </c>
      <c r="E2237" t="s">
        <v>25</v>
      </c>
      <c r="F2237">
        <v>2704.34</v>
      </c>
    </row>
    <row r="2238" spans="1:6" x14ac:dyDescent="0.35">
      <c r="A2238">
        <v>1095</v>
      </c>
      <c r="B2238" s="2">
        <v>45959.375085336993</v>
      </c>
      <c r="C2238" t="s">
        <v>8</v>
      </c>
      <c r="D2238" t="s">
        <v>18</v>
      </c>
      <c r="E2238" t="s">
        <v>24</v>
      </c>
      <c r="F2238">
        <v>2597.12</v>
      </c>
    </row>
    <row r="2239" spans="1:6" x14ac:dyDescent="0.35">
      <c r="A2239">
        <v>1348</v>
      </c>
      <c r="B2239" s="2">
        <v>45960.375085336993</v>
      </c>
      <c r="C2239" t="s">
        <v>8</v>
      </c>
      <c r="D2239" t="s">
        <v>22</v>
      </c>
      <c r="E2239" t="s">
        <v>25</v>
      </c>
      <c r="F2239">
        <v>3736.45</v>
      </c>
    </row>
    <row r="2240" spans="1:6" x14ac:dyDescent="0.35">
      <c r="A2240">
        <v>1139</v>
      </c>
      <c r="B2240" s="2">
        <v>45960.375085336993</v>
      </c>
      <c r="C2240" t="s">
        <v>7</v>
      </c>
      <c r="D2240" t="s">
        <v>19</v>
      </c>
      <c r="E2240" t="s">
        <v>24</v>
      </c>
      <c r="F2240">
        <v>6268.36</v>
      </c>
    </row>
    <row r="2241" spans="1:6" x14ac:dyDescent="0.35">
      <c r="A2241">
        <v>1045</v>
      </c>
      <c r="B2241" s="2">
        <v>45960.375085336993</v>
      </c>
      <c r="C2241" t="s">
        <v>15</v>
      </c>
      <c r="D2241" t="s">
        <v>18</v>
      </c>
      <c r="E2241" t="s">
        <v>23</v>
      </c>
      <c r="F2241">
        <v>1219.4100000000001</v>
      </c>
    </row>
    <row r="2242" spans="1:6" x14ac:dyDescent="0.35">
      <c r="A2242">
        <v>1237</v>
      </c>
      <c r="B2242" s="2">
        <v>45960.375085336993</v>
      </c>
      <c r="C2242" t="s">
        <v>11</v>
      </c>
      <c r="D2242" t="s">
        <v>18</v>
      </c>
      <c r="E2242" t="s">
        <v>25</v>
      </c>
      <c r="F2242">
        <v>4333.68</v>
      </c>
    </row>
    <row r="2243" spans="1:6" x14ac:dyDescent="0.35">
      <c r="A2243">
        <v>1245</v>
      </c>
      <c r="B2243" s="2">
        <v>45961.375085336993</v>
      </c>
      <c r="C2243" t="s">
        <v>15</v>
      </c>
      <c r="D2243" t="s">
        <v>18</v>
      </c>
      <c r="E2243" t="s">
        <v>25</v>
      </c>
      <c r="F2243">
        <v>1791.22</v>
      </c>
    </row>
    <row r="2244" spans="1:6" x14ac:dyDescent="0.35">
      <c r="A2244">
        <v>1300</v>
      </c>
      <c r="B2244" s="2">
        <v>45961.375085336993</v>
      </c>
      <c r="C2244" t="s">
        <v>15</v>
      </c>
      <c r="D2244" t="s">
        <v>17</v>
      </c>
      <c r="E2244" t="s">
        <v>25</v>
      </c>
      <c r="F2244">
        <v>4052.25</v>
      </c>
    </row>
    <row r="2245" spans="1:6" x14ac:dyDescent="0.35">
      <c r="A2245">
        <v>1225</v>
      </c>
      <c r="B2245" s="2">
        <v>45961.375085336993</v>
      </c>
      <c r="C2245" t="s">
        <v>10</v>
      </c>
      <c r="D2245" t="s">
        <v>21</v>
      </c>
      <c r="E2245" t="s">
        <v>24</v>
      </c>
      <c r="F2245">
        <v>3247.71</v>
      </c>
    </row>
    <row r="2246" spans="1:6" x14ac:dyDescent="0.35">
      <c r="A2246">
        <v>1009</v>
      </c>
      <c r="B2246" s="2">
        <v>45962.375085336993</v>
      </c>
      <c r="C2246" t="s">
        <v>11</v>
      </c>
      <c r="D2246" t="s">
        <v>21</v>
      </c>
      <c r="E2246" t="s">
        <v>25</v>
      </c>
      <c r="F2246">
        <v>3748.93</v>
      </c>
    </row>
    <row r="2247" spans="1:6" x14ac:dyDescent="0.35">
      <c r="A2247">
        <v>1173</v>
      </c>
      <c r="B2247" s="2">
        <v>45962.375085336993</v>
      </c>
      <c r="C2247" t="s">
        <v>9</v>
      </c>
      <c r="D2247" t="s">
        <v>19</v>
      </c>
      <c r="E2247" t="s">
        <v>25</v>
      </c>
      <c r="F2247">
        <v>2692.32</v>
      </c>
    </row>
    <row r="2248" spans="1:6" x14ac:dyDescent="0.35">
      <c r="A2248">
        <v>1240</v>
      </c>
      <c r="B2248" s="2">
        <v>45962.375085336993</v>
      </c>
      <c r="C2248" t="s">
        <v>14</v>
      </c>
      <c r="D2248" t="s">
        <v>17</v>
      </c>
      <c r="E2248" t="s">
        <v>24</v>
      </c>
      <c r="F2248">
        <v>3421.74</v>
      </c>
    </row>
    <row r="2249" spans="1:6" x14ac:dyDescent="0.35">
      <c r="A2249">
        <v>1045</v>
      </c>
      <c r="B2249" s="2">
        <v>45962.375085336993</v>
      </c>
      <c r="C2249" t="s">
        <v>10</v>
      </c>
      <c r="D2249" t="s">
        <v>21</v>
      </c>
      <c r="E2249" t="s">
        <v>24</v>
      </c>
      <c r="F2249">
        <v>7004.18</v>
      </c>
    </row>
    <row r="2250" spans="1:6" x14ac:dyDescent="0.35">
      <c r="A2250">
        <v>1112</v>
      </c>
      <c r="B2250" s="2">
        <v>45962.375085336993</v>
      </c>
      <c r="C2250" t="s">
        <v>9</v>
      </c>
      <c r="D2250" t="s">
        <v>16</v>
      </c>
      <c r="E2250" t="s">
        <v>24</v>
      </c>
      <c r="F2250">
        <v>7690.5</v>
      </c>
    </row>
    <row r="2251" spans="1:6" x14ac:dyDescent="0.35">
      <c r="A2251">
        <v>1157</v>
      </c>
      <c r="B2251" s="2">
        <v>45963.375085336993</v>
      </c>
      <c r="C2251" t="s">
        <v>6</v>
      </c>
      <c r="D2251" t="s">
        <v>18</v>
      </c>
      <c r="E2251" t="s">
        <v>23</v>
      </c>
      <c r="F2251">
        <v>2578.12</v>
      </c>
    </row>
    <row r="2252" spans="1:6" x14ac:dyDescent="0.35">
      <c r="A2252">
        <v>1017</v>
      </c>
      <c r="B2252" s="2">
        <v>45963.375085336993</v>
      </c>
      <c r="C2252" t="s">
        <v>13</v>
      </c>
      <c r="D2252" t="s">
        <v>20</v>
      </c>
      <c r="E2252" t="s">
        <v>25</v>
      </c>
      <c r="F2252">
        <v>1497.37</v>
      </c>
    </row>
    <row r="2253" spans="1:6" x14ac:dyDescent="0.35">
      <c r="A2253">
        <v>1121</v>
      </c>
      <c r="B2253" s="2">
        <v>45963.375085336993</v>
      </c>
      <c r="C2253" t="s">
        <v>12</v>
      </c>
      <c r="D2253" t="s">
        <v>21</v>
      </c>
      <c r="E2253" t="s">
        <v>25</v>
      </c>
      <c r="F2253">
        <v>4257.95</v>
      </c>
    </row>
    <row r="2254" spans="1:6" x14ac:dyDescent="0.35">
      <c r="A2254">
        <v>1038</v>
      </c>
      <c r="B2254" s="2">
        <v>45963.375085336993</v>
      </c>
      <c r="C2254" t="s">
        <v>7</v>
      </c>
      <c r="D2254" t="s">
        <v>17</v>
      </c>
      <c r="E2254" t="s">
        <v>23</v>
      </c>
      <c r="F2254">
        <v>4046.93</v>
      </c>
    </row>
    <row r="2255" spans="1:6" x14ac:dyDescent="0.35">
      <c r="A2255">
        <v>1003</v>
      </c>
      <c r="B2255" s="2">
        <v>45963.375085336993</v>
      </c>
      <c r="C2255" t="s">
        <v>13</v>
      </c>
      <c r="D2255" t="s">
        <v>18</v>
      </c>
      <c r="E2255" t="s">
        <v>24</v>
      </c>
      <c r="F2255">
        <v>6474.62</v>
      </c>
    </row>
    <row r="2256" spans="1:6" x14ac:dyDescent="0.35">
      <c r="A2256">
        <v>1048</v>
      </c>
      <c r="B2256" s="2">
        <v>45963.375085336993</v>
      </c>
      <c r="C2256" t="s">
        <v>11</v>
      </c>
      <c r="D2256" t="s">
        <v>20</v>
      </c>
      <c r="E2256" t="s">
        <v>25</v>
      </c>
      <c r="F2256">
        <v>6923.4</v>
      </c>
    </row>
    <row r="2257" spans="1:6" x14ac:dyDescent="0.35">
      <c r="A2257">
        <v>1249</v>
      </c>
      <c r="B2257" s="2">
        <v>45963.375085336993</v>
      </c>
      <c r="C2257" t="s">
        <v>9</v>
      </c>
      <c r="D2257" t="s">
        <v>18</v>
      </c>
      <c r="E2257" t="s">
        <v>23</v>
      </c>
      <c r="F2257">
        <v>1404.75</v>
      </c>
    </row>
    <row r="2258" spans="1:6" x14ac:dyDescent="0.35">
      <c r="A2258">
        <v>1258</v>
      </c>
      <c r="B2258" s="2">
        <v>45964.375085336993</v>
      </c>
      <c r="C2258" t="s">
        <v>14</v>
      </c>
      <c r="D2258" t="s">
        <v>19</v>
      </c>
      <c r="E2258" t="s">
        <v>23</v>
      </c>
      <c r="F2258">
        <v>6153.65</v>
      </c>
    </row>
    <row r="2259" spans="1:6" x14ac:dyDescent="0.35">
      <c r="A2259">
        <v>1243</v>
      </c>
      <c r="B2259" s="2">
        <v>45964.375085336993</v>
      </c>
      <c r="C2259" t="s">
        <v>9</v>
      </c>
      <c r="D2259" t="s">
        <v>22</v>
      </c>
      <c r="E2259" t="s">
        <v>23</v>
      </c>
      <c r="F2259">
        <v>2328.83</v>
      </c>
    </row>
    <row r="2260" spans="1:6" x14ac:dyDescent="0.35">
      <c r="A2260">
        <v>1224</v>
      </c>
      <c r="B2260" s="2">
        <v>45964.375085336993</v>
      </c>
      <c r="C2260" t="s">
        <v>9</v>
      </c>
      <c r="D2260" t="s">
        <v>22</v>
      </c>
      <c r="E2260" t="s">
        <v>25</v>
      </c>
      <c r="F2260">
        <v>4485.03</v>
      </c>
    </row>
    <row r="2261" spans="1:6" x14ac:dyDescent="0.35">
      <c r="A2261">
        <v>1128</v>
      </c>
      <c r="B2261" s="2">
        <v>45964.375085336993</v>
      </c>
      <c r="C2261" t="s">
        <v>8</v>
      </c>
      <c r="D2261" t="s">
        <v>17</v>
      </c>
      <c r="E2261" t="s">
        <v>24</v>
      </c>
      <c r="F2261">
        <v>8696.24</v>
      </c>
    </row>
    <row r="2262" spans="1:6" x14ac:dyDescent="0.35">
      <c r="A2262">
        <v>1070</v>
      </c>
      <c r="B2262" s="2">
        <v>45964.375085336993</v>
      </c>
      <c r="C2262" t="s">
        <v>6</v>
      </c>
      <c r="D2262" t="s">
        <v>20</v>
      </c>
      <c r="E2262" t="s">
        <v>25</v>
      </c>
      <c r="F2262">
        <v>5129.8999999999996</v>
      </c>
    </row>
    <row r="2263" spans="1:6" x14ac:dyDescent="0.35">
      <c r="A2263">
        <v>1351</v>
      </c>
      <c r="B2263" s="2">
        <v>45964.375085336993</v>
      </c>
      <c r="C2263" t="s">
        <v>10</v>
      </c>
      <c r="D2263" t="s">
        <v>18</v>
      </c>
      <c r="E2263" t="s">
        <v>24</v>
      </c>
      <c r="F2263">
        <v>511.96</v>
      </c>
    </row>
    <row r="2264" spans="1:6" x14ac:dyDescent="0.35">
      <c r="A2264">
        <v>1059</v>
      </c>
      <c r="B2264" s="2">
        <v>45964.375085336993</v>
      </c>
      <c r="C2264" t="s">
        <v>11</v>
      </c>
      <c r="D2264" t="s">
        <v>19</v>
      </c>
      <c r="E2264" t="s">
        <v>23</v>
      </c>
      <c r="F2264">
        <v>5512.47</v>
      </c>
    </row>
    <row r="2265" spans="1:6" x14ac:dyDescent="0.35">
      <c r="A2265">
        <v>1024</v>
      </c>
      <c r="B2265" s="2">
        <v>45964.375085336993</v>
      </c>
      <c r="C2265" t="s">
        <v>6</v>
      </c>
      <c r="D2265" t="s">
        <v>19</v>
      </c>
      <c r="E2265" t="s">
        <v>23</v>
      </c>
      <c r="F2265">
        <v>4348.5</v>
      </c>
    </row>
    <row r="2266" spans="1:6" x14ac:dyDescent="0.35">
      <c r="A2266">
        <v>1327</v>
      </c>
      <c r="B2266" s="2">
        <v>45964.375085336993</v>
      </c>
      <c r="C2266" t="s">
        <v>15</v>
      </c>
      <c r="D2266" t="s">
        <v>16</v>
      </c>
      <c r="E2266" t="s">
        <v>24</v>
      </c>
      <c r="F2266">
        <v>1503.12</v>
      </c>
    </row>
    <row r="2267" spans="1:6" x14ac:dyDescent="0.35">
      <c r="A2267">
        <v>1381</v>
      </c>
      <c r="B2267" s="2">
        <v>45965.375085336993</v>
      </c>
      <c r="C2267" t="s">
        <v>12</v>
      </c>
      <c r="D2267" t="s">
        <v>19</v>
      </c>
      <c r="E2267" t="s">
        <v>25</v>
      </c>
      <c r="F2267">
        <v>4136.17</v>
      </c>
    </row>
    <row r="2268" spans="1:6" x14ac:dyDescent="0.35">
      <c r="A2268">
        <v>1183</v>
      </c>
      <c r="B2268" s="2">
        <v>45965.375085336993</v>
      </c>
      <c r="C2268" t="s">
        <v>14</v>
      </c>
      <c r="D2268" t="s">
        <v>18</v>
      </c>
      <c r="E2268" t="s">
        <v>24</v>
      </c>
      <c r="F2268">
        <v>7309.01</v>
      </c>
    </row>
    <row r="2269" spans="1:6" x14ac:dyDescent="0.35">
      <c r="A2269">
        <v>1308</v>
      </c>
      <c r="B2269" s="2">
        <v>45965.375085336993</v>
      </c>
      <c r="C2269" t="s">
        <v>14</v>
      </c>
      <c r="D2269" t="s">
        <v>20</v>
      </c>
      <c r="E2269" t="s">
        <v>23</v>
      </c>
      <c r="F2269">
        <v>5304.83</v>
      </c>
    </row>
    <row r="2270" spans="1:6" x14ac:dyDescent="0.35">
      <c r="A2270">
        <v>1394</v>
      </c>
      <c r="B2270" s="2">
        <v>45965.375085336993</v>
      </c>
      <c r="C2270" t="s">
        <v>6</v>
      </c>
      <c r="D2270" t="s">
        <v>19</v>
      </c>
      <c r="E2270" t="s">
        <v>24</v>
      </c>
      <c r="F2270">
        <v>553.88</v>
      </c>
    </row>
    <row r="2271" spans="1:6" x14ac:dyDescent="0.35">
      <c r="A2271">
        <v>1075</v>
      </c>
      <c r="B2271" s="2">
        <v>45965.375085336993</v>
      </c>
      <c r="C2271" t="s">
        <v>12</v>
      </c>
      <c r="D2271" t="s">
        <v>21</v>
      </c>
      <c r="E2271" t="s">
        <v>24</v>
      </c>
      <c r="F2271">
        <v>6120.31</v>
      </c>
    </row>
    <row r="2272" spans="1:6" x14ac:dyDescent="0.35">
      <c r="A2272">
        <v>1097</v>
      </c>
      <c r="B2272" s="2">
        <v>45965.375085336993</v>
      </c>
      <c r="C2272" t="s">
        <v>7</v>
      </c>
      <c r="D2272" t="s">
        <v>16</v>
      </c>
      <c r="E2272" t="s">
        <v>24</v>
      </c>
      <c r="F2272">
        <v>3866.24</v>
      </c>
    </row>
    <row r="2273" spans="1:6" x14ac:dyDescent="0.35">
      <c r="A2273">
        <v>1019</v>
      </c>
      <c r="B2273" s="2">
        <v>45965.375085336993</v>
      </c>
      <c r="C2273" t="s">
        <v>8</v>
      </c>
      <c r="D2273" t="s">
        <v>21</v>
      </c>
      <c r="E2273" t="s">
        <v>23</v>
      </c>
      <c r="F2273">
        <v>324.20999999999998</v>
      </c>
    </row>
    <row r="2274" spans="1:6" x14ac:dyDescent="0.35">
      <c r="A2274">
        <v>1097</v>
      </c>
      <c r="B2274" s="2">
        <v>45966.375085336993</v>
      </c>
      <c r="C2274" t="s">
        <v>15</v>
      </c>
      <c r="D2274" t="s">
        <v>18</v>
      </c>
      <c r="E2274" t="s">
        <v>25</v>
      </c>
      <c r="F2274">
        <v>4720.79</v>
      </c>
    </row>
    <row r="2275" spans="1:6" x14ac:dyDescent="0.35">
      <c r="A2275">
        <v>1276</v>
      </c>
      <c r="B2275" s="2">
        <v>45966.375085336993</v>
      </c>
      <c r="C2275" t="s">
        <v>14</v>
      </c>
      <c r="D2275" t="s">
        <v>21</v>
      </c>
      <c r="E2275" t="s">
        <v>24</v>
      </c>
      <c r="F2275">
        <v>483.85</v>
      </c>
    </row>
    <row r="2276" spans="1:6" x14ac:dyDescent="0.35">
      <c r="A2276">
        <v>1127</v>
      </c>
      <c r="B2276" s="2">
        <v>45966.375085336993</v>
      </c>
      <c r="C2276" t="s">
        <v>13</v>
      </c>
      <c r="D2276" t="s">
        <v>17</v>
      </c>
      <c r="E2276" t="s">
        <v>25</v>
      </c>
      <c r="F2276">
        <v>1225.97</v>
      </c>
    </row>
    <row r="2277" spans="1:6" x14ac:dyDescent="0.35">
      <c r="A2277">
        <v>1325</v>
      </c>
      <c r="B2277" s="2">
        <v>45966.375085336993</v>
      </c>
      <c r="C2277" t="s">
        <v>9</v>
      </c>
      <c r="D2277" t="s">
        <v>22</v>
      </c>
      <c r="E2277" t="s">
        <v>25</v>
      </c>
      <c r="F2277">
        <v>2533.19</v>
      </c>
    </row>
    <row r="2278" spans="1:6" x14ac:dyDescent="0.35">
      <c r="A2278">
        <v>1083</v>
      </c>
      <c r="B2278" s="2">
        <v>45967.375085336993</v>
      </c>
      <c r="C2278" t="s">
        <v>9</v>
      </c>
      <c r="D2278" t="s">
        <v>19</v>
      </c>
      <c r="E2278" t="s">
        <v>25</v>
      </c>
      <c r="F2278">
        <v>1451.08</v>
      </c>
    </row>
    <row r="2279" spans="1:6" x14ac:dyDescent="0.35">
      <c r="A2279">
        <v>1353</v>
      </c>
      <c r="B2279" s="2">
        <v>45967.375085336993</v>
      </c>
      <c r="C2279" t="s">
        <v>6</v>
      </c>
      <c r="D2279" t="s">
        <v>20</v>
      </c>
      <c r="E2279" t="s">
        <v>25</v>
      </c>
      <c r="F2279">
        <v>7337.43</v>
      </c>
    </row>
    <row r="2280" spans="1:6" x14ac:dyDescent="0.35">
      <c r="A2280">
        <v>1193</v>
      </c>
      <c r="B2280" s="2">
        <v>45968.375085336993</v>
      </c>
      <c r="C2280" t="s">
        <v>8</v>
      </c>
      <c r="D2280" t="s">
        <v>17</v>
      </c>
      <c r="E2280" t="s">
        <v>24</v>
      </c>
      <c r="F2280">
        <v>7033.49</v>
      </c>
    </row>
    <row r="2281" spans="1:6" x14ac:dyDescent="0.35">
      <c r="A2281">
        <v>1385</v>
      </c>
      <c r="B2281" s="2">
        <v>45968.375085336993</v>
      </c>
      <c r="C2281" t="s">
        <v>11</v>
      </c>
      <c r="D2281" t="s">
        <v>22</v>
      </c>
      <c r="E2281" t="s">
        <v>23</v>
      </c>
      <c r="F2281">
        <v>16177.92</v>
      </c>
    </row>
    <row r="2282" spans="1:6" x14ac:dyDescent="0.35">
      <c r="A2282">
        <v>1354</v>
      </c>
      <c r="B2282" s="2">
        <v>45968.375085336993</v>
      </c>
      <c r="C2282" t="s">
        <v>15</v>
      </c>
      <c r="D2282" t="s">
        <v>17</v>
      </c>
      <c r="E2282" t="s">
        <v>24</v>
      </c>
      <c r="F2282">
        <v>1440.71</v>
      </c>
    </row>
    <row r="2283" spans="1:6" x14ac:dyDescent="0.35">
      <c r="A2283">
        <v>1214</v>
      </c>
      <c r="B2283" s="2">
        <v>45968.375085336993</v>
      </c>
      <c r="C2283" t="s">
        <v>10</v>
      </c>
      <c r="D2283" t="s">
        <v>19</v>
      </c>
      <c r="E2283" t="s">
        <v>24</v>
      </c>
      <c r="F2283">
        <v>3540.94</v>
      </c>
    </row>
    <row r="2284" spans="1:6" x14ac:dyDescent="0.35">
      <c r="A2284">
        <v>1000</v>
      </c>
      <c r="B2284" s="2">
        <v>45968.375085336993</v>
      </c>
      <c r="C2284" t="s">
        <v>6</v>
      </c>
      <c r="D2284" t="s">
        <v>18</v>
      </c>
      <c r="E2284" t="s">
        <v>23</v>
      </c>
      <c r="F2284">
        <v>11297.14</v>
      </c>
    </row>
    <row r="2285" spans="1:6" x14ac:dyDescent="0.35">
      <c r="A2285">
        <v>1013</v>
      </c>
      <c r="B2285" s="2">
        <v>45968.375085336993</v>
      </c>
      <c r="C2285" t="s">
        <v>13</v>
      </c>
      <c r="D2285" t="s">
        <v>22</v>
      </c>
      <c r="E2285" t="s">
        <v>25</v>
      </c>
      <c r="F2285">
        <v>1871.82</v>
      </c>
    </row>
    <row r="2286" spans="1:6" x14ac:dyDescent="0.35">
      <c r="A2286">
        <v>1315</v>
      </c>
      <c r="B2286" s="2">
        <v>45969.375085336993</v>
      </c>
      <c r="C2286" t="s">
        <v>12</v>
      </c>
      <c r="D2286" t="s">
        <v>22</v>
      </c>
      <c r="E2286" t="s">
        <v>25</v>
      </c>
      <c r="F2286">
        <v>2039.65</v>
      </c>
    </row>
    <row r="2287" spans="1:6" x14ac:dyDescent="0.35">
      <c r="A2287">
        <v>1085</v>
      </c>
      <c r="B2287" s="2">
        <v>45969.375085336993</v>
      </c>
      <c r="C2287" t="s">
        <v>12</v>
      </c>
      <c r="D2287" t="s">
        <v>22</v>
      </c>
      <c r="E2287" t="s">
        <v>23</v>
      </c>
      <c r="F2287">
        <v>6686.42</v>
      </c>
    </row>
    <row r="2288" spans="1:6" x14ac:dyDescent="0.35">
      <c r="A2288">
        <v>1131</v>
      </c>
      <c r="B2288" s="2">
        <v>45969.375085336993</v>
      </c>
      <c r="C2288" t="s">
        <v>12</v>
      </c>
      <c r="D2288" t="s">
        <v>17</v>
      </c>
      <c r="E2288" t="s">
        <v>23</v>
      </c>
      <c r="F2288">
        <v>3459.32</v>
      </c>
    </row>
    <row r="2289" spans="1:6" x14ac:dyDescent="0.35">
      <c r="A2289">
        <v>1373</v>
      </c>
      <c r="B2289" s="2">
        <v>45969.375085336993</v>
      </c>
      <c r="C2289" t="s">
        <v>12</v>
      </c>
      <c r="D2289" t="s">
        <v>20</v>
      </c>
      <c r="E2289" t="s">
        <v>25</v>
      </c>
      <c r="F2289">
        <v>4786.92</v>
      </c>
    </row>
    <row r="2290" spans="1:6" x14ac:dyDescent="0.35">
      <c r="A2290">
        <v>1387</v>
      </c>
      <c r="B2290" s="2">
        <v>45970.375085336993</v>
      </c>
      <c r="C2290" t="s">
        <v>11</v>
      </c>
      <c r="D2290" t="s">
        <v>17</v>
      </c>
      <c r="E2290" t="s">
        <v>23</v>
      </c>
      <c r="F2290">
        <v>4845.04</v>
      </c>
    </row>
    <row r="2291" spans="1:6" x14ac:dyDescent="0.35">
      <c r="A2291">
        <v>1276</v>
      </c>
      <c r="B2291" s="2">
        <v>45970.375085336993</v>
      </c>
      <c r="C2291" t="s">
        <v>8</v>
      </c>
      <c r="D2291" t="s">
        <v>16</v>
      </c>
      <c r="E2291" t="s">
        <v>23</v>
      </c>
      <c r="F2291">
        <v>7745.21</v>
      </c>
    </row>
    <row r="2292" spans="1:6" x14ac:dyDescent="0.35">
      <c r="A2292">
        <v>1151</v>
      </c>
      <c r="B2292" s="2">
        <v>45970.375085336993</v>
      </c>
      <c r="C2292" t="s">
        <v>11</v>
      </c>
      <c r="D2292" t="s">
        <v>16</v>
      </c>
      <c r="E2292" t="s">
        <v>24</v>
      </c>
      <c r="F2292">
        <v>4089.18</v>
      </c>
    </row>
    <row r="2293" spans="1:6" x14ac:dyDescent="0.35">
      <c r="A2293">
        <v>1068</v>
      </c>
      <c r="B2293" s="2">
        <v>45970.375085336993</v>
      </c>
      <c r="C2293" t="s">
        <v>8</v>
      </c>
      <c r="D2293" t="s">
        <v>18</v>
      </c>
      <c r="E2293" t="s">
        <v>25</v>
      </c>
      <c r="F2293">
        <v>3763.75</v>
      </c>
    </row>
    <row r="2294" spans="1:6" x14ac:dyDescent="0.35">
      <c r="A2294">
        <v>1062</v>
      </c>
      <c r="B2294" s="2">
        <v>45971.375085336993</v>
      </c>
      <c r="C2294" t="s">
        <v>6</v>
      </c>
      <c r="D2294" t="s">
        <v>22</v>
      </c>
      <c r="E2294" t="s">
        <v>24</v>
      </c>
      <c r="F2294">
        <v>2109.81</v>
      </c>
    </row>
    <row r="2295" spans="1:6" x14ac:dyDescent="0.35">
      <c r="A2295">
        <v>1320</v>
      </c>
      <c r="B2295" s="2">
        <v>45971.375085336993</v>
      </c>
      <c r="C2295" t="s">
        <v>9</v>
      </c>
      <c r="D2295" t="s">
        <v>16</v>
      </c>
      <c r="E2295" t="s">
        <v>24</v>
      </c>
      <c r="F2295">
        <v>3011.08</v>
      </c>
    </row>
    <row r="2296" spans="1:6" x14ac:dyDescent="0.35">
      <c r="A2296">
        <v>1142</v>
      </c>
      <c r="B2296" s="2">
        <v>45971.375085336993</v>
      </c>
      <c r="C2296" t="s">
        <v>9</v>
      </c>
      <c r="D2296" t="s">
        <v>22</v>
      </c>
      <c r="E2296" t="s">
        <v>23</v>
      </c>
      <c r="F2296">
        <v>4226.83</v>
      </c>
    </row>
    <row r="2297" spans="1:6" x14ac:dyDescent="0.35">
      <c r="A2297">
        <v>1094</v>
      </c>
      <c r="B2297" s="2">
        <v>45971.375085336993</v>
      </c>
      <c r="C2297" t="s">
        <v>13</v>
      </c>
      <c r="D2297" t="s">
        <v>16</v>
      </c>
      <c r="E2297" t="s">
        <v>24</v>
      </c>
      <c r="F2297">
        <v>3655.75</v>
      </c>
    </row>
    <row r="2298" spans="1:6" x14ac:dyDescent="0.35">
      <c r="A2298">
        <v>1228</v>
      </c>
      <c r="B2298" s="2">
        <v>45972.375085336993</v>
      </c>
      <c r="C2298" t="s">
        <v>8</v>
      </c>
      <c r="D2298" t="s">
        <v>20</v>
      </c>
      <c r="E2298" t="s">
        <v>23</v>
      </c>
      <c r="F2298">
        <v>4839.32</v>
      </c>
    </row>
    <row r="2299" spans="1:6" x14ac:dyDescent="0.35">
      <c r="A2299">
        <v>1050</v>
      </c>
      <c r="B2299" s="2">
        <v>45972.375085336993</v>
      </c>
      <c r="C2299" t="s">
        <v>13</v>
      </c>
      <c r="D2299" t="s">
        <v>17</v>
      </c>
      <c r="E2299" t="s">
        <v>25</v>
      </c>
      <c r="F2299">
        <v>4293.18</v>
      </c>
    </row>
    <row r="2300" spans="1:6" x14ac:dyDescent="0.35">
      <c r="A2300">
        <v>1018</v>
      </c>
      <c r="B2300" s="2">
        <v>45972.375085336993</v>
      </c>
      <c r="C2300" t="s">
        <v>11</v>
      </c>
      <c r="D2300" t="s">
        <v>18</v>
      </c>
      <c r="E2300" t="s">
        <v>24</v>
      </c>
      <c r="F2300">
        <v>963.82</v>
      </c>
    </row>
    <row r="2301" spans="1:6" x14ac:dyDescent="0.35">
      <c r="A2301">
        <v>1261</v>
      </c>
      <c r="B2301" s="2">
        <v>45972.375085336993</v>
      </c>
      <c r="C2301" t="s">
        <v>13</v>
      </c>
      <c r="D2301" t="s">
        <v>17</v>
      </c>
      <c r="E2301" t="s">
        <v>23</v>
      </c>
      <c r="F2301">
        <v>4197.46</v>
      </c>
    </row>
    <row r="2302" spans="1:6" x14ac:dyDescent="0.35">
      <c r="A2302">
        <v>1050</v>
      </c>
      <c r="B2302" s="2">
        <v>45972.375085336993</v>
      </c>
      <c r="C2302" t="s">
        <v>15</v>
      </c>
      <c r="D2302" t="s">
        <v>16</v>
      </c>
      <c r="E2302" t="s">
        <v>23</v>
      </c>
      <c r="F2302">
        <v>1247.42</v>
      </c>
    </row>
    <row r="2303" spans="1:6" x14ac:dyDescent="0.35">
      <c r="A2303">
        <v>1223</v>
      </c>
      <c r="B2303" s="2">
        <v>45972.375085336993</v>
      </c>
      <c r="C2303" t="s">
        <v>12</v>
      </c>
      <c r="D2303" t="s">
        <v>21</v>
      </c>
      <c r="E2303" t="s">
        <v>23</v>
      </c>
      <c r="F2303">
        <v>4910.1099999999997</v>
      </c>
    </row>
    <row r="2304" spans="1:6" x14ac:dyDescent="0.35">
      <c r="A2304">
        <v>1098</v>
      </c>
      <c r="B2304" s="2">
        <v>45973.375085336993</v>
      </c>
      <c r="C2304" t="s">
        <v>12</v>
      </c>
      <c r="D2304" t="s">
        <v>18</v>
      </c>
      <c r="E2304" t="s">
        <v>25</v>
      </c>
      <c r="F2304">
        <v>1287.42</v>
      </c>
    </row>
    <row r="2305" spans="1:6" x14ac:dyDescent="0.35">
      <c r="A2305">
        <v>1354</v>
      </c>
      <c r="B2305" s="2">
        <v>45973.375085336993</v>
      </c>
      <c r="C2305" t="s">
        <v>8</v>
      </c>
      <c r="D2305" t="s">
        <v>18</v>
      </c>
      <c r="E2305" t="s">
        <v>25</v>
      </c>
      <c r="F2305">
        <v>8310.7999999999993</v>
      </c>
    </row>
    <row r="2306" spans="1:6" x14ac:dyDescent="0.35">
      <c r="A2306">
        <v>1041</v>
      </c>
      <c r="B2306" s="2">
        <v>45973.375085336993</v>
      </c>
      <c r="C2306" t="s">
        <v>14</v>
      </c>
      <c r="D2306" t="s">
        <v>20</v>
      </c>
      <c r="E2306" t="s">
        <v>25</v>
      </c>
      <c r="F2306">
        <v>441.13</v>
      </c>
    </row>
    <row r="2307" spans="1:6" x14ac:dyDescent="0.35">
      <c r="A2307">
        <v>1231</v>
      </c>
      <c r="B2307" s="2">
        <v>45973.375085336993</v>
      </c>
      <c r="C2307" t="s">
        <v>7</v>
      </c>
      <c r="D2307" t="s">
        <v>17</v>
      </c>
      <c r="E2307" t="s">
        <v>23</v>
      </c>
      <c r="F2307">
        <v>1885.41</v>
      </c>
    </row>
    <row r="2308" spans="1:6" x14ac:dyDescent="0.35">
      <c r="A2308">
        <v>1177</v>
      </c>
      <c r="B2308" s="2">
        <v>45973.375085336993</v>
      </c>
      <c r="C2308" t="s">
        <v>8</v>
      </c>
      <c r="D2308" t="s">
        <v>17</v>
      </c>
      <c r="E2308" t="s">
        <v>24</v>
      </c>
      <c r="F2308">
        <v>560.49</v>
      </c>
    </row>
    <row r="2309" spans="1:6" x14ac:dyDescent="0.35">
      <c r="A2309">
        <v>1238</v>
      </c>
      <c r="B2309" s="2">
        <v>45974.375085336993</v>
      </c>
      <c r="C2309" t="s">
        <v>9</v>
      </c>
      <c r="D2309" t="s">
        <v>22</v>
      </c>
      <c r="E2309" t="s">
        <v>25</v>
      </c>
      <c r="F2309">
        <v>1110</v>
      </c>
    </row>
    <row r="2310" spans="1:6" x14ac:dyDescent="0.35">
      <c r="A2310">
        <v>1295</v>
      </c>
      <c r="B2310" s="2">
        <v>45974.375085336993</v>
      </c>
      <c r="C2310" t="s">
        <v>8</v>
      </c>
      <c r="D2310" t="s">
        <v>18</v>
      </c>
      <c r="E2310" t="s">
        <v>23</v>
      </c>
      <c r="F2310">
        <v>9601.67</v>
      </c>
    </row>
    <row r="2311" spans="1:6" x14ac:dyDescent="0.35">
      <c r="A2311">
        <v>1329</v>
      </c>
      <c r="B2311" s="2">
        <v>45974.375085336993</v>
      </c>
      <c r="C2311" t="s">
        <v>12</v>
      </c>
      <c r="D2311" t="s">
        <v>18</v>
      </c>
      <c r="E2311" t="s">
        <v>23</v>
      </c>
      <c r="F2311">
        <v>1866.28</v>
      </c>
    </row>
    <row r="2312" spans="1:6" x14ac:dyDescent="0.35">
      <c r="A2312">
        <v>1350</v>
      </c>
      <c r="B2312" s="2">
        <v>45974.375085336993</v>
      </c>
      <c r="C2312" t="s">
        <v>11</v>
      </c>
      <c r="D2312" t="s">
        <v>20</v>
      </c>
      <c r="E2312" t="s">
        <v>23</v>
      </c>
      <c r="F2312">
        <v>4193.76</v>
      </c>
    </row>
    <row r="2313" spans="1:6" x14ac:dyDescent="0.35">
      <c r="A2313">
        <v>1177</v>
      </c>
      <c r="B2313" s="2">
        <v>45975.375085336993</v>
      </c>
      <c r="C2313" t="s">
        <v>10</v>
      </c>
      <c r="D2313" t="s">
        <v>17</v>
      </c>
      <c r="E2313" t="s">
        <v>25</v>
      </c>
      <c r="F2313">
        <v>6569.01</v>
      </c>
    </row>
    <row r="2314" spans="1:6" x14ac:dyDescent="0.35">
      <c r="A2314">
        <v>1144</v>
      </c>
      <c r="B2314" s="2">
        <v>45975.375085336993</v>
      </c>
      <c r="C2314" t="s">
        <v>14</v>
      </c>
      <c r="D2314" t="s">
        <v>21</v>
      </c>
      <c r="E2314" t="s">
        <v>24</v>
      </c>
      <c r="F2314">
        <v>8748.73</v>
      </c>
    </row>
    <row r="2315" spans="1:6" x14ac:dyDescent="0.35">
      <c r="A2315">
        <v>1263</v>
      </c>
      <c r="B2315" s="2">
        <v>45975.375085336993</v>
      </c>
      <c r="C2315" t="s">
        <v>10</v>
      </c>
      <c r="D2315" t="s">
        <v>16</v>
      </c>
      <c r="E2315" t="s">
        <v>24</v>
      </c>
      <c r="F2315">
        <v>5756.43</v>
      </c>
    </row>
    <row r="2316" spans="1:6" x14ac:dyDescent="0.35">
      <c r="A2316">
        <v>1263</v>
      </c>
      <c r="B2316" s="2">
        <v>45975.375085336993</v>
      </c>
      <c r="C2316" t="s">
        <v>7</v>
      </c>
      <c r="D2316" t="s">
        <v>18</v>
      </c>
      <c r="E2316" t="s">
        <v>23</v>
      </c>
      <c r="F2316">
        <v>1175.25</v>
      </c>
    </row>
    <row r="2317" spans="1:6" x14ac:dyDescent="0.35">
      <c r="A2317">
        <v>1171</v>
      </c>
      <c r="B2317" s="2">
        <v>45975.375085336993</v>
      </c>
      <c r="C2317" t="s">
        <v>8</v>
      </c>
      <c r="D2317" t="s">
        <v>16</v>
      </c>
      <c r="E2317" t="s">
        <v>23</v>
      </c>
      <c r="F2317">
        <v>8513.07</v>
      </c>
    </row>
    <row r="2318" spans="1:6" x14ac:dyDescent="0.35">
      <c r="A2318">
        <v>1298</v>
      </c>
      <c r="B2318" s="2">
        <v>45976.375085336993</v>
      </c>
      <c r="C2318" t="s">
        <v>9</v>
      </c>
      <c r="D2318" t="s">
        <v>21</v>
      </c>
      <c r="E2318" t="s">
        <v>24</v>
      </c>
      <c r="F2318">
        <v>4367.25</v>
      </c>
    </row>
    <row r="2319" spans="1:6" x14ac:dyDescent="0.35">
      <c r="A2319">
        <v>1034</v>
      </c>
      <c r="B2319" s="2">
        <v>45976.375085336993</v>
      </c>
      <c r="C2319" t="s">
        <v>8</v>
      </c>
      <c r="D2319" t="s">
        <v>19</v>
      </c>
      <c r="E2319" t="s">
        <v>24</v>
      </c>
      <c r="F2319">
        <v>1371.82</v>
      </c>
    </row>
    <row r="2320" spans="1:6" x14ac:dyDescent="0.35">
      <c r="A2320">
        <v>1399</v>
      </c>
      <c r="B2320" s="2">
        <v>45976.375085336993</v>
      </c>
      <c r="C2320" t="s">
        <v>10</v>
      </c>
      <c r="D2320" t="s">
        <v>18</v>
      </c>
      <c r="E2320" t="s">
        <v>24</v>
      </c>
      <c r="F2320">
        <v>2852</v>
      </c>
    </row>
    <row r="2321" spans="1:6" x14ac:dyDescent="0.35">
      <c r="A2321">
        <v>1307</v>
      </c>
      <c r="B2321" s="2">
        <v>45976.375085336993</v>
      </c>
      <c r="C2321" t="s">
        <v>6</v>
      </c>
      <c r="D2321" t="s">
        <v>22</v>
      </c>
      <c r="E2321" t="s">
        <v>25</v>
      </c>
      <c r="F2321">
        <v>2958.39</v>
      </c>
    </row>
    <row r="2322" spans="1:6" x14ac:dyDescent="0.35">
      <c r="A2322">
        <v>1107</v>
      </c>
      <c r="B2322" s="2">
        <v>45976.375085336993</v>
      </c>
      <c r="C2322" t="s">
        <v>7</v>
      </c>
      <c r="D2322" t="s">
        <v>22</v>
      </c>
      <c r="E2322" t="s">
        <v>23</v>
      </c>
      <c r="F2322">
        <v>5041.88</v>
      </c>
    </row>
    <row r="2323" spans="1:6" x14ac:dyDescent="0.35">
      <c r="A2323">
        <v>1117</v>
      </c>
      <c r="B2323" s="2">
        <v>45976.375085336993</v>
      </c>
      <c r="C2323" t="s">
        <v>11</v>
      </c>
      <c r="D2323" t="s">
        <v>18</v>
      </c>
      <c r="E2323" t="s">
        <v>25</v>
      </c>
      <c r="F2323">
        <v>4064.24</v>
      </c>
    </row>
    <row r="2324" spans="1:6" x14ac:dyDescent="0.35">
      <c r="A2324">
        <v>1187</v>
      </c>
      <c r="B2324" s="2">
        <v>45976.375085336993</v>
      </c>
      <c r="C2324" t="s">
        <v>13</v>
      </c>
      <c r="D2324" t="s">
        <v>21</v>
      </c>
      <c r="E2324" t="s">
        <v>23</v>
      </c>
      <c r="F2324">
        <v>2185.37</v>
      </c>
    </row>
    <row r="2325" spans="1:6" x14ac:dyDescent="0.35">
      <c r="A2325">
        <v>1091</v>
      </c>
      <c r="B2325" s="2">
        <v>45976.375085336993</v>
      </c>
      <c r="C2325" t="s">
        <v>13</v>
      </c>
      <c r="D2325" t="s">
        <v>21</v>
      </c>
      <c r="E2325" t="s">
        <v>24</v>
      </c>
      <c r="F2325">
        <v>3467.04</v>
      </c>
    </row>
    <row r="2326" spans="1:6" x14ac:dyDescent="0.35">
      <c r="A2326">
        <v>1091</v>
      </c>
      <c r="B2326" s="2">
        <v>45976.375085336993</v>
      </c>
      <c r="C2326" t="s">
        <v>10</v>
      </c>
      <c r="D2326" t="s">
        <v>22</v>
      </c>
      <c r="E2326" t="s">
        <v>24</v>
      </c>
      <c r="F2326">
        <v>1061.28</v>
      </c>
    </row>
    <row r="2327" spans="1:6" x14ac:dyDescent="0.35">
      <c r="A2327">
        <v>1386</v>
      </c>
      <c r="B2327" s="2">
        <v>45976.375085336993</v>
      </c>
      <c r="C2327" t="s">
        <v>13</v>
      </c>
      <c r="D2327" t="s">
        <v>20</v>
      </c>
      <c r="E2327" t="s">
        <v>25</v>
      </c>
      <c r="F2327">
        <v>2748.4</v>
      </c>
    </row>
    <row r="2328" spans="1:6" x14ac:dyDescent="0.35">
      <c r="A2328">
        <v>1116</v>
      </c>
      <c r="B2328" s="2">
        <v>45977.375085336993</v>
      </c>
      <c r="C2328" t="s">
        <v>9</v>
      </c>
      <c r="D2328" t="s">
        <v>18</v>
      </c>
      <c r="E2328" t="s">
        <v>24</v>
      </c>
      <c r="F2328">
        <v>7236.82</v>
      </c>
    </row>
    <row r="2329" spans="1:6" x14ac:dyDescent="0.35">
      <c r="A2329">
        <v>1253</v>
      </c>
      <c r="B2329" s="2">
        <v>45977.375085336993</v>
      </c>
      <c r="C2329" t="s">
        <v>9</v>
      </c>
      <c r="D2329" t="s">
        <v>16</v>
      </c>
      <c r="E2329" t="s">
        <v>25</v>
      </c>
      <c r="F2329">
        <v>5715.77</v>
      </c>
    </row>
    <row r="2330" spans="1:6" x14ac:dyDescent="0.35">
      <c r="A2330">
        <v>1009</v>
      </c>
      <c r="B2330" s="2">
        <v>45977.375085336993</v>
      </c>
      <c r="C2330" t="s">
        <v>12</v>
      </c>
      <c r="D2330" t="s">
        <v>16</v>
      </c>
      <c r="E2330" t="s">
        <v>23</v>
      </c>
      <c r="F2330">
        <v>2672.77</v>
      </c>
    </row>
    <row r="2331" spans="1:6" x14ac:dyDescent="0.35">
      <c r="A2331">
        <v>1308</v>
      </c>
      <c r="B2331" s="2">
        <v>45978.375085336993</v>
      </c>
      <c r="C2331" t="s">
        <v>11</v>
      </c>
      <c r="D2331" t="s">
        <v>18</v>
      </c>
      <c r="E2331" t="s">
        <v>23</v>
      </c>
      <c r="F2331">
        <v>5060.18</v>
      </c>
    </row>
    <row r="2332" spans="1:6" x14ac:dyDescent="0.35">
      <c r="A2332">
        <v>1252</v>
      </c>
      <c r="B2332" s="2">
        <v>45978.375085336993</v>
      </c>
      <c r="C2332" t="s">
        <v>10</v>
      </c>
      <c r="D2332" t="s">
        <v>17</v>
      </c>
      <c r="E2332" t="s">
        <v>23</v>
      </c>
      <c r="F2332">
        <v>4690.09</v>
      </c>
    </row>
    <row r="2333" spans="1:6" x14ac:dyDescent="0.35">
      <c r="A2333">
        <v>1224</v>
      </c>
      <c r="B2333" s="2">
        <v>45978.375085336993</v>
      </c>
      <c r="C2333" t="s">
        <v>9</v>
      </c>
      <c r="D2333" t="s">
        <v>18</v>
      </c>
      <c r="E2333" t="s">
        <v>25</v>
      </c>
      <c r="F2333">
        <v>2555.41</v>
      </c>
    </row>
    <row r="2334" spans="1:6" x14ac:dyDescent="0.35">
      <c r="A2334">
        <v>1278</v>
      </c>
      <c r="B2334" s="2">
        <v>45978.375085336993</v>
      </c>
      <c r="C2334" t="s">
        <v>15</v>
      </c>
      <c r="D2334" t="s">
        <v>16</v>
      </c>
      <c r="E2334" t="s">
        <v>23</v>
      </c>
      <c r="F2334">
        <v>1061.33</v>
      </c>
    </row>
    <row r="2335" spans="1:6" x14ac:dyDescent="0.35">
      <c r="A2335">
        <v>1349</v>
      </c>
      <c r="B2335" s="2">
        <v>45978.375085336993</v>
      </c>
      <c r="C2335" t="s">
        <v>13</v>
      </c>
      <c r="D2335" t="s">
        <v>17</v>
      </c>
      <c r="E2335" t="s">
        <v>25</v>
      </c>
      <c r="F2335">
        <v>2080.86</v>
      </c>
    </row>
    <row r="2336" spans="1:6" x14ac:dyDescent="0.35">
      <c r="A2336">
        <v>1178</v>
      </c>
      <c r="B2336" s="2">
        <v>45978.375085336993</v>
      </c>
      <c r="C2336" t="s">
        <v>6</v>
      </c>
      <c r="D2336" t="s">
        <v>21</v>
      </c>
      <c r="E2336" t="s">
        <v>24</v>
      </c>
      <c r="F2336">
        <v>2199.16</v>
      </c>
    </row>
    <row r="2337" spans="1:6" x14ac:dyDescent="0.35">
      <c r="A2337">
        <v>1387</v>
      </c>
      <c r="B2337" s="2">
        <v>45978.375085336993</v>
      </c>
      <c r="C2337" t="s">
        <v>14</v>
      </c>
      <c r="D2337" t="s">
        <v>16</v>
      </c>
      <c r="E2337" t="s">
        <v>24</v>
      </c>
      <c r="F2337">
        <v>1722.67</v>
      </c>
    </row>
    <row r="2338" spans="1:6" x14ac:dyDescent="0.35">
      <c r="A2338">
        <v>1297</v>
      </c>
      <c r="B2338" s="2">
        <v>45978.375085336993</v>
      </c>
      <c r="C2338" t="s">
        <v>15</v>
      </c>
      <c r="D2338" t="s">
        <v>17</v>
      </c>
      <c r="E2338" t="s">
        <v>23</v>
      </c>
      <c r="F2338">
        <v>1446.65</v>
      </c>
    </row>
    <row r="2339" spans="1:6" x14ac:dyDescent="0.35">
      <c r="A2339">
        <v>1379</v>
      </c>
      <c r="B2339" s="2">
        <v>45978.375085336993</v>
      </c>
      <c r="C2339" t="s">
        <v>12</v>
      </c>
      <c r="D2339" t="s">
        <v>21</v>
      </c>
      <c r="E2339" t="s">
        <v>24</v>
      </c>
      <c r="F2339">
        <v>2700.37</v>
      </c>
    </row>
    <row r="2340" spans="1:6" x14ac:dyDescent="0.35">
      <c r="A2340">
        <v>1302</v>
      </c>
      <c r="B2340" s="2">
        <v>45978.375085336993</v>
      </c>
      <c r="C2340" t="s">
        <v>6</v>
      </c>
      <c r="D2340" t="s">
        <v>17</v>
      </c>
      <c r="E2340" t="s">
        <v>25</v>
      </c>
      <c r="F2340">
        <v>3757.47</v>
      </c>
    </row>
    <row r="2341" spans="1:6" x14ac:dyDescent="0.35">
      <c r="A2341">
        <v>1169</v>
      </c>
      <c r="B2341" s="2">
        <v>45978.375085336993</v>
      </c>
      <c r="C2341" t="s">
        <v>12</v>
      </c>
      <c r="D2341" t="s">
        <v>17</v>
      </c>
      <c r="E2341" t="s">
        <v>24</v>
      </c>
      <c r="F2341">
        <v>6360.21</v>
      </c>
    </row>
    <row r="2342" spans="1:6" x14ac:dyDescent="0.35">
      <c r="A2342">
        <v>1074</v>
      </c>
      <c r="B2342" s="2">
        <v>45979.375085336993</v>
      </c>
      <c r="C2342" t="s">
        <v>14</v>
      </c>
      <c r="D2342" t="s">
        <v>20</v>
      </c>
      <c r="E2342" t="s">
        <v>25</v>
      </c>
      <c r="F2342">
        <v>2526.1999999999998</v>
      </c>
    </row>
    <row r="2343" spans="1:6" x14ac:dyDescent="0.35">
      <c r="A2343">
        <v>1102</v>
      </c>
      <c r="B2343" s="2">
        <v>45979.375085336993</v>
      </c>
      <c r="C2343" t="s">
        <v>13</v>
      </c>
      <c r="D2343" t="s">
        <v>21</v>
      </c>
      <c r="E2343" t="s">
        <v>25</v>
      </c>
      <c r="F2343">
        <v>3566.85</v>
      </c>
    </row>
    <row r="2344" spans="1:6" x14ac:dyDescent="0.35">
      <c r="A2344">
        <v>1302</v>
      </c>
      <c r="B2344" s="2">
        <v>45979.375085336993</v>
      </c>
      <c r="C2344" t="s">
        <v>13</v>
      </c>
      <c r="D2344" t="s">
        <v>22</v>
      </c>
      <c r="E2344" t="s">
        <v>23</v>
      </c>
      <c r="F2344">
        <v>4580.49</v>
      </c>
    </row>
    <row r="2345" spans="1:6" x14ac:dyDescent="0.35">
      <c r="A2345">
        <v>1390</v>
      </c>
      <c r="B2345" s="2">
        <v>45979.375085336993</v>
      </c>
      <c r="C2345" t="s">
        <v>15</v>
      </c>
      <c r="D2345" t="s">
        <v>20</v>
      </c>
      <c r="E2345" t="s">
        <v>25</v>
      </c>
      <c r="F2345">
        <v>3489.21</v>
      </c>
    </row>
    <row r="2346" spans="1:6" x14ac:dyDescent="0.35">
      <c r="A2346">
        <v>1035</v>
      </c>
      <c r="B2346" s="2">
        <v>45979.375085336993</v>
      </c>
      <c r="C2346" t="s">
        <v>12</v>
      </c>
      <c r="D2346" t="s">
        <v>21</v>
      </c>
      <c r="E2346" t="s">
        <v>24</v>
      </c>
      <c r="F2346">
        <v>2092.2199999999998</v>
      </c>
    </row>
    <row r="2347" spans="1:6" x14ac:dyDescent="0.35">
      <c r="A2347">
        <v>1165</v>
      </c>
      <c r="B2347" s="2">
        <v>45979.375085336993</v>
      </c>
      <c r="C2347" t="s">
        <v>8</v>
      </c>
      <c r="D2347" t="s">
        <v>16</v>
      </c>
      <c r="E2347" t="s">
        <v>24</v>
      </c>
      <c r="F2347">
        <v>3522.09</v>
      </c>
    </row>
    <row r="2348" spans="1:6" x14ac:dyDescent="0.35">
      <c r="A2348">
        <v>1348</v>
      </c>
      <c r="B2348" s="2">
        <v>45980.375085336993</v>
      </c>
      <c r="C2348" t="s">
        <v>13</v>
      </c>
      <c r="D2348" t="s">
        <v>18</v>
      </c>
      <c r="E2348" t="s">
        <v>24</v>
      </c>
      <c r="F2348">
        <v>1092.83</v>
      </c>
    </row>
    <row r="2349" spans="1:6" x14ac:dyDescent="0.35">
      <c r="A2349">
        <v>1108</v>
      </c>
      <c r="B2349" s="2">
        <v>45980.375085336993</v>
      </c>
      <c r="C2349" t="s">
        <v>15</v>
      </c>
      <c r="D2349" t="s">
        <v>17</v>
      </c>
      <c r="E2349" t="s">
        <v>25</v>
      </c>
      <c r="F2349">
        <v>5840.12</v>
      </c>
    </row>
    <row r="2350" spans="1:6" x14ac:dyDescent="0.35">
      <c r="A2350">
        <v>1391</v>
      </c>
      <c r="B2350" s="2">
        <v>45980.375085336993</v>
      </c>
      <c r="C2350" t="s">
        <v>12</v>
      </c>
      <c r="D2350" t="s">
        <v>19</v>
      </c>
      <c r="E2350" t="s">
        <v>25</v>
      </c>
      <c r="F2350">
        <v>4029.04</v>
      </c>
    </row>
    <row r="2351" spans="1:6" x14ac:dyDescent="0.35">
      <c r="A2351">
        <v>1250</v>
      </c>
      <c r="B2351" s="2">
        <v>45980.375085336993</v>
      </c>
      <c r="C2351" t="s">
        <v>8</v>
      </c>
      <c r="D2351" t="s">
        <v>19</v>
      </c>
      <c r="E2351" t="s">
        <v>24</v>
      </c>
      <c r="F2351">
        <v>2280.5300000000002</v>
      </c>
    </row>
    <row r="2352" spans="1:6" x14ac:dyDescent="0.35">
      <c r="A2352">
        <v>1121</v>
      </c>
      <c r="B2352" s="2">
        <v>45980.375085336993</v>
      </c>
      <c r="C2352" t="s">
        <v>6</v>
      </c>
      <c r="D2352" t="s">
        <v>19</v>
      </c>
      <c r="E2352" t="s">
        <v>25</v>
      </c>
      <c r="F2352">
        <v>5066.67</v>
      </c>
    </row>
    <row r="2353" spans="1:6" x14ac:dyDescent="0.35">
      <c r="A2353">
        <v>1148</v>
      </c>
      <c r="B2353" s="2">
        <v>45980.375085336993</v>
      </c>
      <c r="C2353" t="s">
        <v>10</v>
      </c>
      <c r="D2353" t="s">
        <v>20</v>
      </c>
      <c r="E2353" t="s">
        <v>23</v>
      </c>
      <c r="F2353">
        <v>20378.11</v>
      </c>
    </row>
    <row r="2354" spans="1:6" x14ac:dyDescent="0.35">
      <c r="A2354">
        <v>1301</v>
      </c>
      <c r="B2354" s="2">
        <v>45980.375085336993</v>
      </c>
      <c r="C2354" t="s">
        <v>11</v>
      </c>
      <c r="D2354" t="s">
        <v>17</v>
      </c>
      <c r="E2354" t="s">
        <v>23</v>
      </c>
      <c r="F2354">
        <v>2205.14</v>
      </c>
    </row>
    <row r="2355" spans="1:6" x14ac:dyDescent="0.35">
      <c r="A2355">
        <v>1142</v>
      </c>
      <c r="B2355" s="2">
        <v>45981.375085336993</v>
      </c>
      <c r="C2355" t="s">
        <v>6</v>
      </c>
      <c r="D2355" t="s">
        <v>22</v>
      </c>
      <c r="E2355" t="s">
        <v>25</v>
      </c>
      <c r="F2355">
        <v>2028.17</v>
      </c>
    </row>
    <row r="2356" spans="1:6" x14ac:dyDescent="0.35">
      <c r="A2356">
        <v>1270</v>
      </c>
      <c r="B2356" s="2">
        <v>45981.375085336993</v>
      </c>
      <c r="C2356" t="s">
        <v>8</v>
      </c>
      <c r="D2356" t="s">
        <v>18</v>
      </c>
      <c r="E2356" t="s">
        <v>25</v>
      </c>
      <c r="F2356">
        <v>5690.37</v>
      </c>
    </row>
    <row r="2357" spans="1:6" x14ac:dyDescent="0.35">
      <c r="A2357">
        <v>1397</v>
      </c>
      <c r="B2357" s="2">
        <v>45981.375085336993</v>
      </c>
      <c r="C2357" t="s">
        <v>10</v>
      </c>
      <c r="D2357" t="s">
        <v>21</v>
      </c>
      <c r="E2357" t="s">
        <v>23</v>
      </c>
      <c r="F2357">
        <v>2921.7</v>
      </c>
    </row>
    <row r="2358" spans="1:6" x14ac:dyDescent="0.35">
      <c r="A2358">
        <v>1232</v>
      </c>
      <c r="B2358" s="2">
        <v>45981.375085336993</v>
      </c>
      <c r="C2358" t="s">
        <v>7</v>
      </c>
      <c r="D2358" t="s">
        <v>21</v>
      </c>
      <c r="E2358" t="s">
        <v>25</v>
      </c>
      <c r="F2358">
        <v>1326.55</v>
      </c>
    </row>
    <row r="2359" spans="1:6" x14ac:dyDescent="0.35">
      <c r="A2359">
        <v>1028</v>
      </c>
      <c r="B2359" s="2">
        <v>45982.375085336993</v>
      </c>
      <c r="C2359" t="s">
        <v>6</v>
      </c>
      <c r="D2359" t="s">
        <v>18</v>
      </c>
      <c r="E2359" t="s">
        <v>23</v>
      </c>
      <c r="F2359">
        <v>2892.72</v>
      </c>
    </row>
    <row r="2360" spans="1:6" x14ac:dyDescent="0.35">
      <c r="A2360">
        <v>1238</v>
      </c>
      <c r="B2360" s="2">
        <v>45982.375085336993</v>
      </c>
      <c r="C2360" t="s">
        <v>11</v>
      </c>
      <c r="D2360" t="s">
        <v>19</v>
      </c>
      <c r="E2360" t="s">
        <v>25</v>
      </c>
      <c r="F2360">
        <v>1254.17</v>
      </c>
    </row>
    <row r="2361" spans="1:6" x14ac:dyDescent="0.35">
      <c r="A2361">
        <v>1195</v>
      </c>
      <c r="B2361" s="2">
        <v>45983.375085336993</v>
      </c>
      <c r="C2361" t="s">
        <v>6</v>
      </c>
      <c r="D2361" t="s">
        <v>19</v>
      </c>
      <c r="E2361" t="s">
        <v>23</v>
      </c>
      <c r="F2361">
        <v>641.73</v>
      </c>
    </row>
    <row r="2362" spans="1:6" x14ac:dyDescent="0.35">
      <c r="A2362">
        <v>1175</v>
      </c>
      <c r="B2362" s="2">
        <v>45984.375085336993</v>
      </c>
      <c r="C2362" t="s">
        <v>11</v>
      </c>
      <c r="D2362" t="s">
        <v>19</v>
      </c>
      <c r="E2362" t="s">
        <v>24</v>
      </c>
      <c r="F2362">
        <v>8578.6200000000008</v>
      </c>
    </row>
    <row r="2363" spans="1:6" x14ac:dyDescent="0.35">
      <c r="A2363">
        <v>1157</v>
      </c>
      <c r="B2363" s="2">
        <v>45984.375085336993</v>
      </c>
      <c r="C2363" t="s">
        <v>9</v>
      </c>
      <c r="D2363" t="s">
        <v>16</v>
      </c>
      <c r="E2363" t="s">
        <v>23</v>
      </c>
      <c r="F2363">
        <v>3123.17</v>
      </c>
    </row>
    <row r="2364" spans="1:6" x14ac:dyDescent="0.35">
      <c r="A2364">
        <v>1236</v>
      </c>
      <c r="B2364" s="2">
        <v>45984.375085336993</v>
      </c>
      <c r="C2364" t="s">
        <v>10</v>
      </c>
      <c r="D2364" t="s">
        <v>21</v>
      </c>
      <c r="E2364" t="s">
        <v>23</v>
      </c>
      <c r="F2364">
        <v>2072.91</v>
      </c>
    </row>
    <row r="2365" spans="1:6" x14ac:dyDescent="0.35">
      <c r="A2365">
        <v>1229</v>
      </c>
      <c r="B2365" s="2">
        <v>45984.375085336993</v>
      </c>
      <c r="C2365" t="s">
        <v>13</v>
      </c>
      <c r="D2365" t="s">
        <v>20</v>
      </c>
      <c r="E2365" t="s">
        <v>23</v>
      </c>
      <c r="F2365">
        <v>4130.0200000000004</v>
      </c>
    </row>
    <row r="2366" spans="1:6" x14ac:dyDescent="0.35">
      <c r="A2366">
        <v>1144</v>
      </c>
      <c r="B2366" s="2">
        <v>45984.375085336993</v>
      </c>
      <c r="C2366" t="s">
        <v>15</v>
      </c>
      <c r="D2366" t="s">
        <v>19</v>
      </c>
      <c r="E2366" t="s">
        <v>23</v>
      </c>
      <c r="F2366">
        <v>3544.86</v>
      </c>
    </row>
    <row r="2367" spans="1:6" x14ac:dyDescent="0.35">
      <c r="A2367">
        <v>1153</v>
      </c>
      <c r="B2367" s="2">
        <v>45985.375085336993</v>
      </c>
      <c r="C2367" t="s">
        <v>7</v>
      </c>
      <c r="D2367" t="s">
        <v>17</v>
      </c>
      <c r="E2367" t="s">
        <v>25</v>
      </c>
      <c r="F2367">
        <v>3632.23</v>
      </c>
    </row>
    <row r="2368" spans="1:6" x14ac:dyDescent="0.35">
      <c r="A2368">
        <v>1066</v>
      </c>
      <c r="B2368" s="2">
        <v>45985.375085336993</v>
      </c>
      <c r="C2368" t="s">
        <v>10</v>
      </c>
      <c r="D2368" t="s">
        <v>22</v>
      </c>
      <c r="E2368" t="s">
        <v>25</v>
      </c>
      <c r="F2368">
        <v>6507.65</v>
      </c>
    </row>
    <row r="2369" spans="1:6" x14ac:dyDescent="0.35">
      <c r="A2369">
        <v>1053</v>
      </c>
      <c r="B2369" s="2">
        <v>45985.375085336993</v>
      </c>
      <c r="C2369" t="s">
        <v>11</v>
      </c>
      <c r="D2369" t="s">
        <v>22</v>
      </c>
      <c r="E2369" t="s">
        <v>24</v>
      </c>
      <c r="F2369">
        <v>1214.33</v>
      </c>
    </row>
    <row r="2370" spans="1:6" x14ac:dyDescent="0.35">
      <c r="A2370">
        <v>1364</v>
      </c>
      <c r="B2370" s="2">
        <v>45985.375085336993</v>
      </c>
      <c r="C2370" t="s">
        <v>9</v>
      </c>
      <c r="D2370" t="s">
        <v>18</v>
      </c>
      <c r="E2370" t="s">
        <v>23</v>
      </c>
      <c r="F2370">
        <v>2880.53</v>
      </c>
    </row>
    <row r="2371" spans="1:6" x14ac:dyDescent="0.35">
      <c r="A2371">
        <v>1263</v>
      </c>
      <c r="B2371" s="2">
        <v>45986.375085336993</v>
      </c>
      <c r="C2371" t="s">
        <v>12</v>
      </c>
      <c r="D2371" t="s">
        <v>20</v>
      </c>
      <c r="E2371" t="s">
        <v>25</v>
      </c>
      <c r="F2371">
        <v>4607.4399999999996</v>
      </c>
    </row>
    <row r="2372" spans="1:6" x14ac:dyDescent="0.35">
      <c r="A2372">
        <v>1171</v>
      </c>
      <c r="B2372" s="2">
        <v>45986.375085336993</v>
      </c>
      <c r="C2372" t="s">
        <v>6</v>
      </c>
      <c r="D2372" t="s">
        <v>19</v>
      </c>
      <c r="E2372" t="s">
        <v>23</v>
      </c>
      <c r="F2372">
        <v>1947.37</v>
      </c>
    </row>
    <row r="2373" spans="1:6" x14ac:dyDescent="0.35">
      <c r="A2373">
        <v>1054</v>
      </c>
      <c r="B2373" s="2">
        <v>45986.375085336993</v>
      </c>
      <c r="C2373" t="s">
        <v>12</v>
      </c>
      <c r="D2373" t="s">
        <v>19</v>
      </c>
      <c r="E2373" t="s">
        <v>23</v>
      </c>
      <c r="F2373">
        <v>1972.64</v>
      </c>
    </row>
    <row r="2374" spans="1:6" x14ac:dyDescent="0.35">
      <c r="A2374">
        <v>1260</v>
      </c>
      <c r="B2374" s="2">
        <v>45987.375085336993</v>
      </c>
      <c r="C2374" t="s">
        <v>13</v>
      </c>
      <c r="D2374" t="s">
        <v>18</v>
      </c>
      <c r="E2374" t="s">
        <v>24</v>
      </c>
      <c r="F2374">
        <v>7435.87</v>
      </c>
    </row>
    <row r="2375" spans="1:6" x14ac:dyDescent="0.35">
      <c r="A2375">
        <v>1014</v>
      </c>
      <c r="B2375" s="2">
        <v>45987.375085336993</v>
      </c>
      <c r="C2375" t="s">
        <v>14</v>
      </c>
      <c r="D2375" t="s">
        <v>16</v>
      </c>
      <c r="E2375" t="s">
        <v>25</v>
      </c>
      <c r="F2375">
        <v>382.27</v>
      </c>
    </row>
    <row r="2376" spans="1:6" x14ac:dyDescent="0.35">
      <c r="A2376">
        <v>1158</v>
      </c>
      <c r="B2376" s="2">
        <v>45987.375085336993</v>
      </c>
      <c r="C2376" t="s">
        <v>9</v>
      </c>
      <c r="D2376" t="s">
        <v>21</v>
      </c>
      <c r="E2376" t="s">
        <v>25</v>
      </c>
      <c r="F2376">
        <v>1234.19</v>
      </c>
    </row>
    <row r="2377" spans="1:6" x14ac:dyDescent="0.35">
      <c r="A2377">
        <v>1200</v>
      </c>
      <c r="B2377" s="2">
        <v>45987.375085336993</v>
      </c>
      <c r="C2377" t="s">
        <v>10</v>
      </c>
      <c r="D2377" t="s">
        <v>20</v>
      </c>
      <c r="E2377" t="s">
        <v>25</v>
      </c>
      <c r="F2377">
        <v>3703.05</v>
      </c>
    </row>
    <row r="2378" spans="1:6" x14ac:dyDescent="0.35">
      <c r="A2378">
        <v>1001</v>
      </c>
      <c r="B2378" s="2">
        <v>45987.375085336993</v>
      </c>
      <c r="C2378" t="s">
        <v>7</v>
      </c>
      <c r="D2378" t="s">
        <v>20</v>
      </c>
      <c r="E2378" t="s">
        <v>24</v>
      </c>
      <c r="F2378">
        <v>1834.11</v>
      </c>
    </row>
    <row r="2379" spans="1:6" x14ac:dyDescent="0.35">
      <c r="A2379">
        <v>1027</v>
      </c>
      <c r="B2379" s="2">
        <v>45987.375085336993</v>
      </c>
      <c r="C2379" t="s">
        <v>11</v>
      </c>
      <c r="D2379" t="s">
        <v>16</v>
      </c>
      <c r="E2379" t="s">
        <v>23</v>
      </c>
      <c r="F2379">
        <v>3441.38</v>
      </c>
    </row>
    <row r="2380" spans="1:6" x14ac:dyDescent="0.35">
      <c r="A2380">
        <v>1163</v>
      </c>
      <c r="B2380" s="2">
        <v>45987.375085336993</v>
      </c>
      <c r="C2380" t="s">
        <v>10</v>
      </c>
      <c r="D2380" t="s">
        <v>18</v>
      </c>
      <c r="E2380" t="s">
        <v>25</v>
      </c>
      <c r="F2380">
        <v>849.12</v>
      </c>
    </row>
    <row r="2381" spans="1:6" x14ac:dyDescent="0.35">
      <c r="A2381">
        <v>1058</v>
      </c>
      <c r="B2381" s="2">
        <v>45988.375085336993</v>
      </c>
      <c r="C2381" t="s">
        <v>6</v>
      </c>
      <c r="D2381" t="s">
        <v>22</v>
      </c>
      <c r="E2381" t="s">
        <v>25</v>
      </c>
      <c r="F2381">
        <v>3427.45</v>
      </c>
    </row>
    <row r="2382" spans="1:6" x14ac:dyDescent="0.35">
      <c r="A2382">
        <v>1147</v>
      </c>
      <c r="B2382" s="2">
        <v>45988.375085336993</v>
      </c>
      <c r="C2382" t="s">
        <v>6</v>
      </c>
      <c r="D2382" t="s">
        <v>22</v>
      </c>
      <c r="E2382" t="s">
        <v>24</v>
      </c>
      <c r="F2382">
        <v>7297.33</v>
      </c>
    </row>
    <row r="2383" spans="1:6" x14ac:dyDescent="0.35">
      <c r="A2383">
        <v>1104</v>
      </c>
      <c r="B2383" s="2">
        <v>45988.375085336993</v>
      </c>
      <c r="C2383" t="s">
        <v>8</v>
      </c>
      <c r="D2383" t="s">
        <v>20</v>
      </c>
      <c r="E2383" t="s">
        <v>25</v>
      </c>
      <c r="F2383">
        <v>6055.86</v>
      </c>
    </row>
    <row r="2384" spans="1:6" x14ac:dyDescent="0.35">
      <c r="A2384">
        <v>1222</v>
      </c>
      <c r="B2384" s="2">
        <v>45989.375085336993</v>
      </c>
      <c r="C2384" t="s">
        <v>14</v>
      </c>
      <c r="D2384" t="s">
        <v>21</v>
      </c>
      <c r="E2384" t="s">
        <v>23</v>
      </c>
      <c r="F2384">
        <v>1953.21</v>
      </c>
    </row>
    <row r="2385" spans="1:6" x14ac:dyDescent="0.35">
      <c r="A2385">
        <v>1221</v>
      </c>
      <c r="B2385" s="2">
        <v>45989.375085336993</v>
      </c>
      <c r="C2385" t="s">
        <v>14</v>
      </c>
      <c r="D2385" t="s">
        <v>20</v>
      </c>
      <c r="E2385" t="s">
        <v>24</v>
      </c>
      <c r="F2385">
        <v>2037.9</v>
      </c>
    </row>
    <row r="2386" spans="1:6" x14ac:dyDescent="0.35">
      <c r="A2386">
        <v>1393</v>
      </c>
      <c r="B2386" s="2">
        <v>45989.375085336993</v>
      </c>
      <c r="C2386" t="s">
        <v>9</v>
      </c>
      <c r="D2386" t="s">
        <v>17</v>
      </c>
      <c r="E2386" t="s">
        <v>24</v>
      </c>
      <c r="F2386">
        <v>1795.99</v>
      </c>
    </row>
    <row r="2387" spans="1:6" x14ac:dyDescent="0.35">
      <c r="A2387">
        <v>1091</v>
      </c>
      <c r="B2387" s="2">
        <v>45989.375085336993</v>
      </c>
      <c r="C2387" t="s">
        <v>7</v>
      </c>
      <c r="D2387" t="s">
        <v>21</v>
      </c>
      <c r="E2387" t="s">
        <v>25</v>
      </c>
      <c r="F2387">
        <v>2561.06</v>
      </c>
    </row>
    <row r="2388" spans="1:6" x14ac:dyDescent="0.35">
      <c r="A2388">
        <v>1310</v>
      </c>
      <c r="B2388" s="2">
        <v>45989.375085336993</v>
      </c>
      <c r="C2388" t="s">
        <v>11</v>
      </c>
      <c r="D2388" t="s">
        <v>19</v>
      </c>
      <c r="E2388" t="s">
        <v>25</v>
      </c>
      <c r="F2388">
        <v>12117.21</v>
      </c>
    </row>
    <row r="2389" spans="1:6" x14ac:dyDescent="0.35">
      <c r="A2389">
        <v>1380</v>
      </c>
      <c r="B2389" s="2">
        <v>45990.375085336993</v>
      </c>
      <c r="C2389" t="s">
        <v>10</v>
      </c>
      <c r="D2389" t="s">
        <v>20</v>
      </c>
      <c r="E2389" t="s">
        <v>25</v>
      </c>
      <c r="F2389">
        <v>4707.45</v>
      </c>
    </row>
    <row r="2390" spans="1:6" x14ac:dyDescent="0.35">
      <c r="A2390">
        <v>1198</v>
      </c>
      <c r="B2390" s="2">
        <v>45991.375085336993</v>
      </c>
      <c r="C2390" t="s">
        <v>6</v>
      </c>
      <c r="D2390" t="s">
        <v>16</v>
      </c>
      <c r="E2390" t="s">
        <v>23</v>
      </c>
      <c r="F2390">
        <v>8139.84</v>
      </c>
    </row>
    <row r="2391" spans="1:6" x14ac:dyDescent="0.35">
      <c r="A2391">
        <v>1111</v>
      </c>
      <c r="B2391" s="2">
        <v>45991.375085336993</v>
      </c>
      <c r="C2391" t="s">
        <v>10</v>
      </c>
      <c r="D2391" t="s">
        <v>19</v>
      </c>
      <c r="E2391" t="s">
        <v>25</v>
      </c>
      <c r="F2391">
        <v>2488.37</v>
      </c>
    </row>
    <row r="2392" spans="1:6" x14ac:dyDescent="0.35">
      <c r="A2392">
        <v>1112</v>
      </c>
      <c r="B2392" s="2">
        <v>45991.375085336993</v>
      </c>
      <c r="C2392" t="s">
        <v>6</v>
      </c>
      <c r="D2392" t="s">
        <v>18</v>
      </c>
      <c r="E2392" t="s">
        <v>24</v>
      </c>
      <c r="F2392">
        <v>2311.52</v>
      </c>
    </row>
    <row r="2393" spans="1:6" x14ac:dyDescent="0.35">
      <c r="A2393">
        <v>1126</v>
      </c>
      <c r="B2393" s="2">
        <v>45991.375085336993</v>
      </c>
      <c r="C2393" t="s">
        <v>9</v>
      </c>
      <c r="D2393" t="s">
        <v>22</v>
      </c>
      <c r="E2393" t="s">
        <v>23</v>
      </c>
      <c r="F2393">
        <v>1044.73</v>
      </c>
    </row>
    <row r="2394" spans="1:6" x14ac:dyDescent="0.35">
      <c r="A2394">
        <v>1377</v>
      </c>
      <c r="B2394" s="2">
        <v>45991.375085336993</v>
      </c>
      <c r="C2394" t="s">
        <v>7</v>
      </c>
      <c r="D2394" t="s">
        <v>21</v>
      </c>
      <c r="E2394" t="s">
        <v>25</v>
      </c>
      <c r="F2394">
        <v>6922.06</v>
      </c>
    </row>
    <row r="2395" spans="1:6" x14ac:dyDescent="0.35">
      <c r="A2395">
        <v>1218</v>
      </c>
      <c r="B2395" s="2">
        <v>45992.375085336993</v>
      </c>
      <c r="C2395" t="s">
        <v>6</v>
      </c>
      <c r="D2395" t="s">
        <v>22</v>
      </c>
      <c r="E2395" t="s">
        <v>25</v>
      </c>
      <c r="F2395">
        <v>5964.52</v>
      </c>
    </row>
    <row r="2396" spans="1:6" x14ac:dyDescent="0.35">
      <c r="A2396">
        <v>1292</v>
      </c>
      <c r="B2396" s="2">
        <v>45992.375085336993</v>
      </c>
      <c r="C2396" t="s">
        <v>13</v>
      </c>
      <c r="D2396" t="s">
        <v>17</v>
      </c>
      <c r="E2396" t="s">
        <v>23</v>
      </c>
      <c r="F2396">
        <v>2287.06</v>
      </c>
    </row>
    <row r="2397" spans="1:6" x14ac:dyDescent="0.35">
      <c r="A2397">
        <v>1227</v>
      </c>
      <c r="B2397" s="2">
        <v>45992.375085336993</v>
      </c>
      <c r="C2397" t="s">
        <v>15</v>
      </c>
      <c r="D2397" t="s">
        <v>19</v>
      </c>
      <c r="E2397" t="s">
        <v>25</v>
      </c>
      <c r="F2397">
        <v>5510.1</v>
      </c>
    </row>
    <row r="2398" spans="1:6" x14ac:dyDescent="0.35">
      <c r="A2398">
        <v>1389</v>
      </c>
      <c r="B2398" s="2">
        <v>45993.375085336993</v>
      </c>
      <c r="C2398" t="s">
        <v>12</v>
      </c>
      <c r="D2398" t="s">
        <v>16</v>
      </c>
      <c r="E2398" t="s">
        <v>25</v>
      </c>
      <c r="F2398">
        <v>4033.51</v>
      </c>
    </row>
    <row r="2399" spans="1:6" x14ac:dyDescent="0.35">
      <c r="A2399">
        <v>1263</v>
      </c>
      <c r="B2399" s="2">
        <v>45993.375085336993</v>
      </c>
      <c r="C2399" t="s">
        <v>10</v>
      </c>
      <c r="D2399" t="s">
        <v>20</v>
      </c>
      <c r="E2399" t="s">
        <v>25</v>
      </c>
      <c r="F2399">
        <v>6208.61</v>
      </c>
    </row>
    <row r="2400" spans="1:6" x14ac:dyDescent="0.35">
      <c r="A2400">
        <v>1144</v>
      </c>
      <c r="B2400" s="2">
        <v>45993.375085336993</v>
      </c>
      <c r="C2400" t="s">
        <v>7</v>
      </c>
      <c r="D2400" t="s">
        <v>18</v>
      </c>
      <c r="E2400" t="s">
        <v>23</v>
      </c>
      <c r="F2400">
        <v>2177.84</v>
      </c>
    </row>
    <row r="2401" spans="1:6" x14ac:dyDescent="0.35">
      <c r="A2401">
        <v>1360</v>
      </c>
      <c r="B2401" s="2">
        <v>45993.375085336993</v>
      </c>
      <c r="C2401" t="s">
        <v>15</v>
      </c>
      <c r="D2401" t="s">
        <v>18</v>
      </c>
      <c r="E2401" t="s">
        <v>25</v>
      </c>
      <c r="F2401">
        <v>3370.45</v>
      </c>
    </row>
    <row r="2402" spans="1:6" x14ac:dyDescent="0.35">
      <c r="A2402">
        <v>1133</v>
      </c>
      <c r="B2402" s="2">
        <v>45993.375085336993</v>
      </c>
      <c r="C2402" t="s">
        <v>8</v>
      </c>
      <c r="D2402" t="s">
        <v>20</v>
      </c>
      <c r="E2402" t="s">
        <v>25</v>
      </c>
      <c r="F2402">
        <v>5316.53</v>
      </c>
    </row>
    <row r="2403" spans="1:6" x14ac:dyDescent="0.35">
      <c r="A2403">
        <v>1130</v>
      </c>
      <c r="B2403" s="2">
        <v>45993.375085336993</v>
      </c>
      <c r="C2403" t="s">
        <v>7</v>
      </c>
      <c r="D2403" t="s">
        <v>16</v>
      </c>
      <c r="E2403" t="s">
        <v>24</v>
      </c>
      <c r="F2403">
        <v>2750.75</v>
      </c>
    </row>
    <row r="2404" spans="1:6" x14ac:dyDescent="0.35">
      <c r="A2404">
        <v>1392</v>
      </c>
      <c r="B2404" s="2">
        <v>45994.375085336993</v>
      </c>
      <c r="C2404" t="s">
        <v>15</v>
      </c>
      <c r="D2404" t="s">
        <v>20</v>
      </c>
      <c r="E2404" t="s">
        <v>24</v>
      </c>
      <c r="F2404">
        <v>4905.83</v>
      </c>
    </row>
    <row r="2405" spans="1:6" x14ac:dyDescent="0.35">
      <c r="A2405">
        <v>1217</v>
      </c>
      <c r="B2405" s="2">
        <v>45994.375085336993</v>
      </c>
      <c r="C2405" t="s">
        <v>11</v>
      </c>
      <c r="D2405" t="s">
        <v>21</v>
      </c>
      <c r="E2405" t="s">
        <v>25</v>
      </c>
      <c r="F2405">
        <v>4877.6000000000004</v>
      </c>
    </row>
    <row r="2406" spans="1:6" x14ac:dyDescent="0.35">
      <c r="A2406">
        <v>1325</v>
      </c>
      <c r="B2406" s="2">
        <v>45994.375085336993</v>
      </c>
      <c r="C2406" t="s">
        <v>15</v>
      </c>
      <c r="D2406" t="s">
        <v>20</v>
      </c>
      <c r="E2406" t="s">
        <v>25</v>
      </c>
      <c r="F2406">
        <v>13362.13</v>
      </c>
    </row>
    <row r="2407" spans="1:6" x14ac:dyDescent="0.35">
      <c r="A2407">
        <v>1079</v>
      </c>
      <c r="B2407" s="2">
        <v>45995.375085336993</v>
      </c>
      <c r="C2407" t="s">
        <v>14</v>
      </c>
      <c r="D2407" t="s">
        <v>17</v>
      </c>
      <c r="E2407" t="s">
        <v>23</v>
      </c>
      <c r="F2407">
        <v>1143.9000000000001</v>
      </c>
    </row>
    <row r="2408" spans="1:6" x14ac:dyDescent="0.35">
      <c r="A2408">
        <v>1110</v>
      </c>
      <c r="B2408" s="2">
        <v>45995.375085336993</v>
      </c>
      <c r="C2408" t="s">
        <v>6</v>
      </c>
      <c r="D2408" t="s">
        <v>19</v>
      </c>
      <c r="E2408" t="s">
        <v>25</v>
      </c>
      <c r="F2408">
        <v>3464.07</v>
      </c>
    </row>
    <row r="2409" spans="1:6" x14ac:dyDescent="0.35">
      <c r="A2409">
        <v>1130</v>
      </c>
      <c r="B2409" s="2">
        <v>45996.375085336993</v>
      </c>
      <c r="C2409" t="s">
        <v>12</v>
      </c>
      <c r="D2409" t="s">
        <v>21</v>
      </c>
      <c r="E2409" t="s">
        <v>23</v>
      </c>
      <c r="F2409">
        <v>4497.62</v>
      </c>
    </row>
    <row r="2410" spans="1:6" x14ac:dyDescent="0.35">
      <c r="A2410">
        <v>1391</v>
      </c>
      <c r="B2410" s="2">
        <v>45996.375085336993</v>
      </c>
      <c r="C2410" t="s">
        <v>8</v>
      </c>
      <c r="D2410" t="s">
        <v>16</v>
      </c>
      <c r="E2410" t="s">
        <v>25</v>
      </c>
      <c r="F2410">
        <v>1132.6500000000001</v>
      </c>
    </row>
    <row r="2411" spans="1:6" x14ac:dyDescent="0.35">
      <c r="A2411">
        <v>1000</v>
      </c>
      <c r="B2411" s="2">
        <v>45996.375085336993</v>
      </c>
      <c r="C2411" t="s">
        <v>9</v>
      </c>
      <c r="D2411" t="s">
        <v>18</v>
      </c>
      <c r="E2411" t="s">
        <v>25</v>
      </c>
      <c r="F2411">
        <v>4001.39</v>
      </c>
    </row>
    <row r="2412" spans="1:6" x14ac:dyDescent="0.35">
      <c r="A2412">
        <v>1148</v>
      </c>
      <c r="B2412" s="2">
        <v>45996.375085336993</v>
      </c>
      <c r="C2412" t="s">
        <v>10</v>
      </c>
      <c r="D2412" t="s">
        <v>18</v>
      </c>
      <c r="E2412" t="s">
        <v>24</v>
      </c>
      <c r="F2412">
        <v>1028</v>
      </c>
    </row>
    <row r="2413" spans="1:6" x14ac:dyDescent="0.35">
      <c r="A2413">
        <v>1121</v>
      </c>
      <c r="B2413" s="2">
        <v>45997.375085336993</v>
      </c>
      <c r="C2413" t="s">
        <v>10</v>
      </c>
      <c r="D2413" t="s">
        <v>20</v>
      </c>
      <c r="E2413" t="s">
        <v>25</v>
      </c>
      <c r="F2413">
        <v>654.15</v>
      </c>
    </row>
    <row r="2414" spans="1:6" x14ac:dyDescent="0.35">
      <c r="A2414">
        <v>1140</v>
      </c>
      <c r="B2414" s="2">
        <v>45998.375085336993</v>
      </c>
      <c r="C2414" t="s">
        <v>6</v>
      </c>
      <c r="D2414" t="s">
        <v>17</v>
      </c>
      <c r="E2414" t="s">
        <v>24</v>
      </c>
      <c r="F2414">
        <v>3786.33</v>
      </c>
    </row>
    <row r="2415" spans="1:6" x14ac:dyDescent="0.35">
      <c r="A2415">
        <v>1345</v>
      </c>
      <c r="B2415" s="2">
        <v>45998.375085336993</v>
      </c>
      <c r="C2415" t="s">
        <v>9</v>
      </c>
      <c r="D2415" t="s">
        <v>22</v>
      </c>
      <c r="E2415" t="s">
        <v>24</v>
      </c>
      <c r="F2415">
        <v>7080.56</v>
      </c>
    </row>
    <row r="2416" spans="1:6" x14ac:dyDescent="0.35">
      <c r="A2416">
        <v>1040</v>
      </c>
      <c r="B2416" s="2">
        <v>45998.375085336993</v>
      </c>
      <c r="C2416" t="s">
        <v>8</v>
      </c>
      <c r="D2416" t="s">
        <v>20</v>
      </c>
      <c r="E2416" t="s">
        <v>25</v>
      </c>
      <c r="F2416">
        <v>2546.4299999999998</v>
      </c>
    </row>
    <row r="2417" spans="1:6" x14ac:dyDescent="0.35">
      <c r="A2417">
        <v>1013</v>
      </c>
      <c r="B2417" s="2">
        <v>45998.375085336993</v>
      </c>
      <c r="C2417" t="s">
        <v>12</v>
      </c>
      <c r="D2417" t="s">
        <v>16</v>
      </c>
      <c r="E2417" t="s">
        <v>25</v>
      </c>
      <c r="F2417">
        <v>6930.03</v>
      </c>
    </row>
    <row r="2418" spans="1:6" x14ac:dyDescent="0.35">
      <c r="A2418">
        <v>1188</v>
      </c>
      <c r="B2418" s="2">
        <v>45999.375085336993</v>
      </c>
      <c r="C2418" t="s">
        <v>8</v>
      </c>
      <c r="D2418" t="s">
        <v>21</v>
      </c>
      <c r="E2418" t="s">
        <v>23</v>
      </c>
      <c r="F2418">
        <v>4492.33</v>
      </c>
    </row>
    <row r="2419" spans="1:6" x14ac:dyDescent="0.35">
      <c r="A2419">
        <v>1322</v>
      </c>
      <c r="B2419" s="2">
        <v>45999.375085336993</v>
      </c>
      <c r="C2419" t="s">
        <v>7</v>
      </c>
      <c r="D2419" t="s">
        <v>17</v>
      </c>
      <c r="E2419" t="s">
        <v>25</v>
      </c>
      <c r="F2419">
        <v>2537.48</v>
      </c>
    </row>
    <row r="2420" spans="1:6" x14ac:dyDescent="0.35">
      <c r="A2420">
        <v>1112</v>
      </c>
      <c r="B2420" s="2">
        <v>46000.375085336993</v>
      </c>
      <c r="C2420" t="s">
        <v>12</v>
      </c>
      <c r="D2420" t="s">
        <v>22</v>
      </c>
      <c r="E2420" t="s">
        <v>25</v>
      </c>
      <c r="F2420">
        <v>5000.08</v>
      </c>
    </row>
    <row r="2421" spans="1:6" x14ac:dyDescent="0.35">
      <c r="A2421">
        <v>1080</v>
      </c>
      <c r="B2421" s="2">
        <v>46000.375085336993</v>
      </c>
      <c r="C2421" t="s">
        <v>7</v>
      </c>
      <c r="D2421" t="s">
        <v>22</v>
      </c>
      <c r="E2421" t="s">
        <v>23</v>
      </c>
      <c r="F2421">
        <v>2635.11</v>
      </c>
    </row>
    <row r="2422" spans="1:6" x14ac:dyDescent="0.35">
      <c r="A2422">
        <v>1348</v>
      </c>
      <c r="B2422" s="2">
        <v>46000.375085336993</v>
      </c>
      <c r="C2422" t="s">
        <v>14</v>
      </c>
      <c r="D2422" t="s">
        <v>19</v>
      </c>
      <c r="E2422" t="s">
        <v>25</v>
      </c>
      <c r="F2422">
        <v>3900.18</v>
      </c>
    </row>
    <row r="2423" spans="1:6" x14ac:dyDescent="0.35">
      <c r="A2423">
        <v>1232</v>
      </c>
      <c r="B2423" s="2">
        <v>46001.375085336993</v>
      </c>
      <c r="C2423" t="s">
        <v>14</v>
      </c>
      <c r="D2423" t="s">
        <v>22</v>
      </c>
      <c r="E2423" t="s">
        <v>25</v>
      </c>
      <c r="F2423">
        <v>3264.89</v>
      </c>
    </row>
    <row r="2424" spans="1:6" x14ac:dyDescent="0.35">
      <c r="A2424">
        <v>1008</v>
      </c>
      <c r="B2424" s="2">
        <v>46001.375085336993</v>
      </c>
      <c r="C2424" t="s">
        <v>7</v>
      </c>
      <c r="D2424" t="s">
        <v>20</v>
      </c>
      <c r="E2424" t="s">
        <v>25</v>
      </c>
      <c r="F2424">
        <v>1345.01</v>
      </c>
    </row>
    <row r="2425" spans="1:6" x14ac:dyDescent="0.35">
      <c r="A2425">
        <v>1283</v>
      </c>
      <c r="B2425" s="2">
        <v>46001.375085336993</v>
      </c>
      <c r="C2425" t="s">
        <v>13</v>
      </c>
      <c r="D2425" t="s">
        <v>21</v>
      </c>
      <c r="E2425" t="s">
        <v>24</v>
      </c>
      <c r="F2425">
        <v>2501.08</v>
      </c>
    </row>
    <row r="2426" spans="1:6" x14ac:dyDescent="0.35">
      <c r="A2426">
        <v>1270</v>
      </c>
      <c r="B2426" s="2">
        <v>46001.375085336993</v>
      </c>
      <c r="C2426" t="s">
        <v>14</v>
      </c>
      <c r="D2426" t="s">
        <v>20</v>
      </c>
      <c r="E2426" t="s">
        <v>25</v>
      </c>
      <c r="F2426">
        <v>1647.46</v>
      </c>
    </row>
    <row r="2427" spans="1:6" x14ac:dyDescent="0.35">
      <c r="A2427">
        <v>1081</v>
      </c>
      <c r="B2427" s="2">
        <v>46001.375085336993</v>
      </c>
      <c r="C2427" t="s">
        <v>7</v>
      </c>
      <c r="D2427" t="s">
        <v>19</v>
      </c>
      <c r="E2427" t="s">
        <v>24</v>
      </c>
      <c r="F2427">
        <v>627.98</v>
      </c>
    </row>
    <row r="2428" spans="1:6" x14ac:dyDescent="0.35">
      <c r="A2428">
        <v>1124</v>
      </c>
      <c r="B2428" s="2">
        <v>46001.375085336993</v>
      </c>
      <c r="C2428" t="s">
        <v>14</v>
      </c>
      <c r="D2428" t="s">
        <v>18</v>
      </c>
      <c r="E2428" t="s">
        <v>25</v>
      </c>
      <c r="F2428">
        <v>727.35</v>
      </c>
    </row>
    <row r="2429" spans="1:6" x14ac:dyDescent="0.35">
      <c r="A2429">
        <v>1209</v>
      </c>
      <c r="B2429" s="2">
        <v>46001.375085336993</v>
      </c>
      <c r="C2429" t="s">
        <v>8</v>
      </c>
      <c r="D2429" t="s">
        <v>20</v>
      </c>
      <c r="E2429" t="s">
        <v>23</v>
      </c>
      <c r="F2429">
        <v>1813.74</v>
      </c>
    </row>
    <row r="2430" spans="1:6" x14ac:dyDescent="0.35">
      <c r="A2430">
        <v>1073</v>
      </c>
      <c r="B2430" s="2">
        <v>46001.375085336993</v>
      </c>
      <c r="C2430" t="s">
        <v>11</v>
      </c>
      <c r="D2430" t="s">
        <v>19</v>
      </c>
      <c r="E2430" t="s">
        <v>25</v>
      </c>
      <c r="F2430">
        <v>6402.85</v>
      </c>
    </row>
    <row r="2431" spans="1:6" x14ac:dyDescent="0.35">
      <c r="A2431">
        <v>1399</v>
      </c>
      <c r="B2431" s="2">
        <v>46002.375085336993</v>
      </c>
      <c r="C2431" t="s">
        <v>10</v>
      </c>
      <c r="D2431" t="s">
        <v>19</v>
      </c>
      <c r="E2431" t="s">
        <v>25</v>
      </c>
      <c r="F2431">
        <v>3866.2</v>
      </c>
    </row>
    <row r="2432" spans="1:6" x14ac:dyDescent="0.35">
      <c r="A2432">
        <v>1053</v>
      </c>
      <c r="B2432" s="2">
        <v>46002.375085336993</v>
      </c>
      <c r="C2432" t="s">
        <v>14</v>
      </c>
      <c r="D2432" t="s">
        <v>16</v>
      </c>
      <c r="E2432" t="s">
        <v>23</v>
      </c>
      <c r="F2432">
        <v>9741.7099999999991</v>
      </c>
    </row>
    <row r="2433" spans="1:6" x14ac:dyDescent="0.35">
      <c r="A2433">
        <v>1294</v>
      </c>
      <c r="B2433" s="2">
        <v>46002.375085336993</v>
      </c>
      <c r="C2433" t="s">
        <v>7</v>
      </c>
      <c r="D2433" t="s">
        <v>20</v>
      </c>
      <c r="E2433" t="s">
        <v>25</v>
      </c>
      <c r="F2433">
        <v>2889.94</v>
      </c>
    </row>
    <row r="2434" spans="1:6" x14ac:dyDescent="0.35">
      <c r="A2434">
        <v>1178</v>
      </c>
      <c r="B2434" s="2">
        <v>46003.375085336993</v>
      </c>
      <c r="C2434" t="s">
        <v>15</v>
      </c>
      <c r="D2434" t="s">
        <v>18</v>
      </c>
      <c r="E2434" t="s">
        <v>25</v>
      </c>
      <c r="F2434">
        <v>5679.79</v>
      </c>
    </row>
    <row r="2435" spans="1:6" x14ac:dyDescent="0.35">
      <c r="A2435">
        <v>1095</v>
      </c>
      <c r="B2435" s="2">
        <v>46003.375085336993</v>
      </c>
      <c r="C2435" t="s">
        <v>13</v>
      </c>
      <c r="D2435" t="s">
        <v>20</v>
      </c>
      <c r="E2435" t="s">
        <v>24</v>
      </c>
      <c r="F2435">
        <v>1021.98</v>
      </c>
    </row>
    <row r="2436" spans="1:6" x14ac:dyDescent="0.35">
      <c r="A2436">
        <v>1146</v>
      </c>
      <c r="B2436" s="2">
        <v>46003.375085336993</v>
      </c>
      <c r="C2436" t="s">
        <v>14</v>
      </c>
      <c r="D2436" t="s">
        <v>17</v>
      </c>
      <c r="E2436" t="s">
        <v>25</v>
      </c>
      <c r="F2436">
        <v>4195.7700000000004</v>
      </c>
    </row>
    <row r="2437" spans="1:6" x14ac:dyDescent="0.35">
      <c r="A2437">
        <v>1206</v>
      </c>
      <c r="B2437" s="2">
        <v>46003.375085336993</v>
      </c>
      <c r="C2437" t="s">
        <v>14</v>
      </c>
      <c r="D2437" t="s">
        <v>19</v>
      </c>
      <c r="E2437" t="s">
        <v>25</v>
      </c>
      <c r="F2437">
        <v>5798.73</v>
      </c>
    </row>
    <row r="2438" spans="1:6" x14ac:dyDescent="0.35">
      <c r="A2438">
        <v>1012</v>
      </c>
      <c r="B2438" s="2">
        <v>46003.375085336993</v>
      </c>
      <c r="C2438" t="s">
        <v>14</v>
      </c>
      <c r="D2438" t="s">
        <v>18</v>
      </c>
      <c r="E2438" t="s">
        <v>25</v>
      </c>
      <c r="F2438">
        <v>6231.66</v>
      </c>
    </row>
    <row r="2439" spans="1:6" x14ac:dyDescent="0.35">
      <c r="A2439">
        <v>1249</v>
      </c>
      <c r="B2439" s="2">
        <v>46003.375085336993</v>
      </c>
      <c r="C2439" t="s">
        <v>14</v>
      </c>
      <c r="D2439" t="s">
        <v>18</v>
      </c>
      <c r="E2439" t="s">
        <v>24</v>
      </c>
      <c r="F2439">
        <v>5348.4</v>
      </c>
    </row>
    <row r="2440" spans="1:6" x14ac:dyDescent="0.35">
      <c r="A2440">
        <v>1351</v>
      </c>
      <c r="B2440" s="2">
        <v>46004.375085336993</v>
      </c>
      <c r="C2440" t="s">
        <v>10</v>
      </c>
      <c r="D2440" t="s">
        <v>22</v>
      </c>
      <c r="E2440" t="s">
        <v>25</v>
      </c>
      <c r="F2440">
        <v>465.54</v>
      </c>
    </row>
    <row r="2441" spans="1:6" x14ac:dyDescent="0.35">
      <c r="A2441">
        <v>1213</v>
      </c>
      <c r="B2441" s="2">
        <v>46004.375085336993</v>
      </c>
      <c r="C2441" t="s">
        <v>10</v>
      </c>
      <c r="D2441" t="s">
        <v>16</v>
      </c>
      <c r="E2441" t="s">
        <v>23</v>
      </c>
      <c r="F2441">
        <v>2543.9899999999998</v>
      </c>
    </row>
    <row r="2442" spans="1:6" x14ac:dyDescent="0.35">
      <c r="A2442">
        <v>1393</v>
      </c>
      <c r="B2442" s="2">
        <v>46004.375085336993</v>
      </c>
      <c r="C2442" t="s">
        <v>9</v>
      </c>
      <c r="D2442" t="s">
        <v>21</v>
      </c>
      <c r="E2442" t="s">
        <v>24</v>
      </c>
      <c r="F2442">
        <v>4123.17</v>
      </c>
    </row>
    <row r="2443" spans="1:6" x14ac:dyDescent="0.35">
      <c r="A2443">
        <v>1110</v>
      </c>
      <c r="B2443" s="2">
        <v>46005.375085336993</v>
      </c>
      <c r="C2443" t="s">
        <v>12</v>
      </c>
      <c r="D2443" t="s">
        <v>22</v>
      </c>
      <c r="E2443" t="s">
        <v>24</v>
      </c>
      <c r="F2443">
        <v>1450.51</v>
      </c>
    </row>
    <row r="2444" spans="1:6" x14ac:dyDescent="0.35">
      <c r="A2444">
        <v>1148</v>
      </c>
      <c r="B2444" s="2">
        <v>46006.375085336993</v>
      </c>
      <c r="C2444" t="s">
        <v>15</v>
      </c>
      <c r="D2444" t="s">
        <v>22</v>
      </c>
      <c r="E2444" t="s">
        <v>23</v>
      </c>
      <c r="F2444">
        <v>3962.87</v>
      </c>
    </row>
    <row r="2445" spans="1:6" x14ac:dyDescent="0.35">
      <c r="A2445">
        <v>1317</v>
      </c>
      <c r="B2445" s="2">
        <v>46006.375085336993</v>
      </c>
      <c r="C2445" t="s">
        <v>14</v>
      </c>
      <c r="D2445" t="s">
        <v>22</v>
      </c>
      <c r="E2445" t="s">
        <v>25</v>
      </c>
      <c r="F2445">
        <v>5006.41</v>
      </c>
    </row>
    <row r="2446" spans="1:6" x14ac:dyDescent="0.35">
      <c r="A2446">
        <v>1153</v>
      </c>
      <c r="B2446" s="2">
        <v>46006.375085336993</v>
      </c>
      <c r="C2446" t="s">
        <v>14</v>
      </c>
      <c r="D2446" t="s">
        <v>22</v>
      </c>
      <c r="E2446" t="s">
        <v>24</v>
      </c>
      <c r="F2446">
        <v>5093.99</v>
      </c>
    </row>
    <row r="2447" spans="1:6" x14ac:dyDescent="0.35">
      <c r="A2447">
        <v>1331</v>
      </c>
      <c r="B2447" s="2">
        <v>46006.375085336993</v>
      </c>
      <c r="C2447" t="s">
        <v>7</v>
      </c>
      <c r="D2447" t="s">
        <v>16</v>
      </c>
      <c r="E2447" t="s">
        <v>25</v>
      </c>
      <c r="F2447">
        <v>5990.68</v>
      </c>
    </row>
    <row r="2448" spans="1:6" x14ac:dyDescent="0.35">
      <c r="A2448">
        <v>1075</v>
      </c>
      <c r="B2448" s="2">
        <v>46007.375085336993</v>
      </c>
      <c r="C2448" t="s">
        <v>6</v>
      </c>
      <c r="D2448" t="s">
        <v>16</v>
      </c>
      <c r="E2448" t="s">
        <v>24</v>
      </c>
      <c r="F2448">
        <v>4983.4399999999996</v>
      </c>
    </row>
    <row r="2449" spans="1:6" x14ac:dyDescent="0.35">
      <c r="A2449">
        <v>1003</v>
      </c>
      <c r="B2449" s="2">
        <v>46007.375085336993</v>
      </c>
      <c r="C2449" t="s">
        <v>13</v>
      </c>
      <c r="D2449" t="s">
        <v>16</v>
      </c>
      <c r="E2449" t="s">
        <v>24</v>
      </c>
      <c r="F2449">
        <v>7017.56</v>
      </c>
    </row>
    <row r="2450" spans="1:6" x14ac:dyDescent="0.35">
      <c r="A2450">
        <v>1020</v>
      </c>
      <c r="B2450" s="2">
        <v>46007.375085336993</v>
      </c>
      <c r="C2450" t="s">
        <v>11</v>
      </c>
      <c r="D2450" t="s">
        <v>22</v>
      </c>
      <c r="E2450" t="s">
        <v>23</v>
      </c>
      <c r="F2450">
        <v>2414.71</v>
      </c>
    </row>
    <row r="2451" spans="1:6" x14ac:dyDescent="0.35">
      <c r="A2451">
        <v>1328</v>
      </c>
      <c r="B2451" s="2">
        <v>46007.375085336993</v>
      </c>
      <c r="C2451" t="s">
        <v>11</v>
      </c>
      <c r="D2451" t="s">
        <v>19</v>
      </c>
      <c r="E2451" t="s">
        <v>25</v>
      </c>
      <c r="F2451">
        <v>526.26</v>
      </c>
    </row>
    <row r="2452" spans="1:6" x14ac:dyDescent="0.35">
      <c r="A2452">
        <v>1078</v>
      </c>
      <c r="B2452" s="2">
        <v>46007.375085336993</v>
      </c>
      <c r="C2452" t="s">
        <v>10</v>
      </c>
      <c r="D2452" t="s">
        <v>22</v>
      </c>
      <c r="E2452" t="s">
        <v>23</v>
      </c>
      <c r="F2452">
        <v>4597.82</v>
      </c>
    </row>
    <row r="2453" spans="1:6" x14ac:dyDescent="0.35">
      <c r="A2453">
        <v>1389</v>
      </c>
      <c r="B2453" s="2">
        <v>46007.375085336993</v>
      </c>
      <c r="C2453" t="s">
        <v>12</v>
      </c>
      <c r="D2453" t="s">
        <v>17</v>
      </c>
      <c r="E2453" t="s">
        <v>23</v>
      </c>
      <c r="F2453">
        <v>7325.79</v>
      </c>
    </row>
    <row r="2454" spans="1:6" x14ac:dyDescent="0.35">
      <c r="A2454">
        <v>1398</v>
      </c>
      <c r="B2454" s="2">
        <v>46007.375085336993</v>
      </c>
      <c r="C2454" t="s">
        <v>9</v>
      </c>
      <c r="D2454" t="s">
        <v>16</v>
      </c>
      <c r="E2454" t="s">
        <v>24</v>
      </c>
      <c r="F2454">
        <v>2934.2</v>
      </c>
    </row>
    <row r="2455" spans="1:6" x14ac:dyDescent="0.35">
      <c r="A2455">
        <v>1295</v>
      </c>
      <c r="B2455" s="2">
        <v>46008.375085336993</v>
      </c>
      <c r="C2455" t="s">
        <v>14</v>
      </c>
      <c r="D2455" t="s">
        <v>22</v>
      </c>
      <c r="E2455" t="s">
        <v>23</v>
      </c>
      <c r="F2455">
        <v>688.92</v>
      </c>
    </row>
    <row r="2456" spans="1:6" x14ac:dyDescent="0.35">
      <c r="A2456">
        <v>1034</v>
      </c>
      <c r="B2456" s="2">
        <v>46008.375085336993</v>
      </c>
      <c r="C2456" t="s">
        <v>11</v>
      </c>
      <c r="D2456" t="s">
        <v>17</v>
      </c>
      <c r="E2456" t="s">
        <v>23</v>
      </c>
      <c r="F2456">
        <v>2331.2600000000002</v>
      </c>
    </row>
    <row r="2457" spans="1:6" x14ac:dyDescent="0.35">
      <c r="A2457">
        <v>1024</v>
      </c>
      <c r="B2457" s="2">
        <v>46008.375085336993</v>
      </c>
      <c r="C2457" t="s">
        <v>6</v>
      </c>
      <c r="D2457" t="s">
        <v>16</v>
      </c>
      <c r="E2457" t="s">
        <v>24</v>
      </c>
      <c r="F2457">
        <v>875.36</v>
      </c>
    </row>
    <row r="2458" spans="1:6" x14ac:dyDescent="0.35">
      <c r="A2458">
        <v>1261</v>
      </c>
      <c r="B2458" s="2">
        <v>46008.375085336993</v>
      </c>
      <c r="C2458" t="s">
        <v>13</v>
      </c>
      <c r="D2458" t="s">
        <v>20</v>
      </c>
      <c r="E2458" t="s">
        <v>24</v>
      </c>
      <c r="F2458">
        <v>5196.59</v>
      </c>
    </row>
    <row r="2459" spans="1:6" x14ac:dyDescent="0.35">
      <c r="A2459">
        <v>1043</v>
      </c>
      <c r="B2459" s="2">
        <v>46009.375085336993</v>
      </c>
      <c r="C2459" t="s">
        <v>14</v>
      </c>
      <c r="D2459" t="s">
        <v>18</v>
      </c>
      <c r="E2459" t="s">
        <v>25</v>
      </c>
      <c r="F2459">
        <v>2305.1799999999998</v>
      </c>
    </row>
    <row r="2460" spans="1:6" x14ac:dyDescent="0.35">
      <c r="A2460">
        <v>1317</v>
      </c>
      <c r="B2460" s="2">
        <v>46009.375085336993</v>
      </c>
      <c r="C2460" t="s">
        <v>6</v>
      </c>
      <c r="D2460" t="s">
        <v>21</v>
      </c>
      <c r="E2460" t="s">
        <v>23</v>
      </c>
      <c r="F2460">
        <v>1566.45</v>
      </c>
    </row>
    <row r="2461" spans="1:6" x14ac:dyDescent="0.35">
      <c r="A2461">
        <v>1389</v>
      </c>
      <c r="B2461" s="2">
        <v>46009.375085336993</v>
      </c>
      <c r="C2461" t="s">
        <v>15</v>
      </c>
      <c r="D2461" t="s">
        <v>21</v>
      </c>
      <c r="E2461" t="s">
        <v>24</v>
      </c>
      <c r="F2461">
        <v>1488.53</v>
      </c>
    </row>
    <row r="2462" spans="1:6" x14ac:dyDescent="0.35">
      <c r="A2462">
        <v>1117</v>
      </c>
      <c r="B2462" s="2">
        <v>46009.375085336993</v>
      </c>
      <c r="C2462" t="s">
        <v>10</v>
      </c>
      <c r="D2462" t="s">
        <v>17</v>
      </c>
      <c r="E2462" t="s">
        <v>23</v>
      </c>
      <c r="F2462">
        <v>2894.98</v>
      </c>
    </row>
    <row r="2463" spans="1:6" x14ac:dyDescent="0.35">
      <c r="A2463">
        <v>1323</v>
      </c>
      <c r="B2463" s="2">
        <v>46010.375085336993</v>
      </c>
      <c r="C2463" t="s">
        <v>7</v>
      </c>
      <c r="D2463" t="s">
        <v>19</v>
      </c>
      <c r="E2463" t="s">
        <v>23</v>
      </c>
      <c r="F2463">
        <v>11378.33</v>
      </c>
    </row>
    <row r="2464" spans="1:6" x14ac:dyDescent="0.35">
      <c r="A2464">
        <v>1195</v>
      </c>
      <c r="B2464" s="2">
        <v>46010.375085336993</v>
      </c>
      <c r="C2464" t="s">
        <v>11</v>
      </c>
      <c r="D2464" t="s">
        <v>19</v>
      </c>
      <c r="E2464" t="s">
        <v>25</v>
      </c>
      <c r="F2464">
        <v>1752.04</v>
      </c>
    </row>
    <row r="2465" spans="1:6" x14ac:dyDescent="0.35">
      <c r="A2465">
        <v>1308</v>
      </c>
      <c r="B2465" s="2">
        <v>46010.375085336993</v>
      </c>
      <c r="C2465" t="s">
        <v>11</v>
      </c>
      <c r="D2465" t="s">
        <v>20</v>
      </c>
      <c r="E2465" t="s">
        <v>24</v>
      </c>
      <c r="F2465">
        <v>2172.48</v>
      </c>
    </row>
    <row r="2466" spans="1:6" x14ac:dyDescent="0.35">
      <c r="A2466">
        <v>1113</v>
      </c>
      <c r="B2466" s="2">
        <v>46010.375085336993</v>
      </c>
      <c r="C2466" t="s">
        <v>11</v>
      </c>
      <c r="D2466" t="s">
        <v>17</v>
      </c>
      <c r="E2466" t="s">
        <v>25</v>
      </c>
      <c r="F2466">
        <v>2909.94</v>
      </c>
    </row>
    <row r="2467" spans="1:6" x14ac:dyDescent="0.35">
      <c r="A2467">
        <v>1232</v>
      </c>
      <c r="B2467" s="2">
        <v>46011.375085336993</v>
      </c>
      <c r="C2467" t="s">
        <v>9</v>
      </c>
      <c r="D2467" t="s">
        <v>21</v>
      </c>
      <c r="E2467" t="s">
        <v>24</v>
      </c>
      <c r="F2467">
        <v>2667.05</v>
      </c>
    </row>
    <row r="2468" spans="1:6" x14ac:dyDescent="0.35">
      <c r="A2468">
        <v>1287</v>
      </c>
      <c r="B2468" s="2">
        <v>46011.375085336993</v>
      </c>
      <c r="C2468" t="s">
        <v>9</v>
      </c>
      <c r="D2468" t="s">
        <v>16</v>
      </c>
      <c r="E2468" t="s">
        <v>24</v>
      </c>
      <c r="F2468">
        <v>6904.9</v>
      </c>
    </row>
    <row r="2469" spans="1:6" x14ac:dyDescent="0.35">
      <c r="A2469">
        <v>1122</v>
      </c>
      <c r="B2469" s="2">
        <v>46011.375085336993</v>
      </c>
      <c r="C2469" t="s">
        <v>10</v>
      </c>
      <c r="D2469" t="s">
        <v>16</v>
      </c>
      <c r="E2469" t="s">
        <v>23</v>
      </c>
      <c r="F2469">
        <v>3552.69</v>
      </c>
    </row>
    <row r="2470" spans="1:6" x14ac:dyDescent="0.35">
      <c r="A2470">
        <v>1067</v>
      </c>
      <c r="B2470" s="2">
        <v>46011.375085336993</v>
      </c>
      <c r="C2470" t="s">
        <v>12</v>
      </c>
      <c r="D2470" t="s">
        <v>21</v>
      </c>
      <c r="E2470" t="s">
        <v>23</v>
      </c>
      <c r="F2470">
        <v>1727.33</v>
      </c>
    </row>
    <row r="2471" spans="1:6" x14ac:dyDescent="0.35">
      <c r="A2471">
        <v>1362</v>
      </c>
      <c r="B2471" s="2">
        <v>46011.375085336993</v>
      </c>
      <c r="C2471" t="s">
        <v>13</v>
      </c>
      <c r="D2471" t="s">
        <v>22</v>
      </c>
      <c r="E2471" t="s">
        <v>25</v>
      </c>
      <c r="F2471">
        <v>2841.05</v>
      </c>
    </row>
    <row r="2472" spans="1:6" x14ac:dyDescent="0.35">
      <c r="A2472">
        <v>1147</v>
      </c>
      <c r="B2472" s="2">
        <v>46011.375085336993</v>
      </c>
      <c r="C2472" t="s">
        <v>12</v>
      </c>
      <c r="D2472" t="s">
        <v>16</v>
      </c>
      <c r="E2472" t="s">
        <v>25</v>
      </c>
      <c r="F2472">
        <v>4918.05</v>
      </c>
    </row>
    <row r="2473" spans="1:6" x14ac:dyDescent="0.35">
      <c r="A2473">
        <v>1006</v>
      </c>
      <c r="B2473" s="2">
        <v>46011.375085336993</v>
      </c>
      <c r="C2473" t="s">
        <v>15</v>
      </c>
      <c r="D2473" t="s">
        <v>16</v>
      </c>
      <c r="E2473" t="s">
        <v>25</v>
      </c>
      <c r="F2473">
        <v>3494.2</v>
      </c>
    </row>
    <row r="2474" spans="1:6" x14ac:dyDescent="0.35">
      <c r="A2474">
        <v>1265</v>
      </c>
      <c r="B2474" s="2">
        <v>46011.375085336993</v>
      </c>
      <c r="C2474" t="s">
        <v>10</v>
      </c>
      <c r="D2474" t="s">
        <v>18</v>
      </c>
      <c r="E2474" t="s">
        <v>23</v>
      </c>
      <c r="F2474">
        <v>5697.49</v>
      </c>
    </row>
    <row r="2475" spans="1:6" x14ac:dyDescent="0.35">
      <c r="A2475">
        <v>1116</v>
      </c>
      <c r="B2475" s="2">
        <v>46011.375085336993</v>
      </c>
      <c r="C2475" t="s">
        <v>10</v>
      </c>
      <c r="D2475" t="s">
        <v>18</v>
      </c>
      <c r="E2475" t="s">
        <v>23</v>
      </c>
      <c r="F2475">
        <v>2733.02</v>
      </c>
    </row>
    <row r="2476" spans="1:6" x14ac:dyDescent="0.35">
      <c r="A2476">
        <v>1089</v>
      </c>
      <c r="B2476" s="2">
        <v>46012.375085336993</v>
      </c>
      <c r="C2476" t="s">
        <v>9</v>
      </c>
      <c r="D2476" t="s">
        <v>18</v>
      </c>
      <c r="E2476" t="s">
        <v>24</v>
      </c>
      <c r="F2476">
        <v>3165.92</v>
      </c>
    </row>
    <row r="2477" spans="1:6" x14ac:dyDescent="0.35">
      <c r="A2477">
        <v>1293</v>
      </c>
      <c r="B2477" s="2">
        <v>46012.375085336993</v>
      </c>
      <c r="C2477" t="s">
        <v>9</v>
      </c>
      <c r="D2477" t="s">
        <v>22</v>
      </c>
      <c r="E2477" t="s">
        <v>24</v>
      </c>
      <c r="F2477">
        <v>3444.68</v>
      </c>
    </row>
    <row r="2478" spans="1:6" x14ac:dyDescent="0.35">
      <c r="A2478">
        <v>1069</v>
      </c>
      <c r="B2478" s="2">
        <v>46012.375085336993</v>
      </c>
      <c r="C2478" t="s">
        <v>11</v>
      </c>
      <c r="D2478" t="s">
        <v>16</v>
      </c>
      <c r="E2478" t="s">
        <v>24</v>
      </c>
      <c r="F2478">
        <v>12527.93</v>
      </c>
    </row>
    <row r="2479" spans="1:6" x14ac:dyDescent="0.35">
      <c r="A2479">
        <v>1378</v>
      </c>
      <c r="B2479" s="2">
        <v>46012.375085336993</v>
      </c>
      <c r="C2479" t="s">
        <v>13</v>
      </c>
      <c r="D2479" t="s">
        <v>16</v>
      </c>
      <c r="E2479" t="s">
        <v>23</v>
      </c>
      <c r="F2479">
        <v>4398.87</v>
      </c>
    </row>
    <row r="2480" spans="1:6" x14ac:dyDescent="0.35">
      <c r="A2480">
        <v>1187</v>
      </c>
      <c r="B2480" s="2">
        <v>46012.375085336993</v>
      </c>
      <c r="C2480" t="s">
        <v>15</v>
      </c>
      <c r="D2480" t="s">
        <v>16</v>
      </c>
      <c r="E2480" t="s">
        <v>24</v>
      </c>
      <c r="F2480">
        <v>4575.3500000000004</v>
      </c>
    </row>
    <row r="2481" spans="1:6" x14ac:dyDescent="0.35">
      <c r="A2481">
        <v>1068</v>
      </c>
      <c r="B2481" s="2">
        <v>46013.375085336993</v>
      </c>
      <c r="C2481" t="s">
        <v>6</v>
      </c>
      <c r="D2481" t="s">
        <v>20</v>
      </c>
      <c r="E2481" t="s">
        <v>23</v>
      </c>
      <c r="F2481">
        <v>7884.71</v>
      </c>
    </row>
    <row r="2482" spans="1:6" x14ac:dyDescent="0.35">
      <c r="A2482">
        <v>1355</v>
      </c>
      <c r="B2482" s="2">
        <v>46013.375085336993</v>
      </c>
      <c r="C2482" t="s">
        <v>14</v>
      </c>
      <c r="D2482" t="s">
        <v>17</v>
      </c>
      <c r="E2482" t="s">
        <v>23</v>
      </c>
      <c r="F2482">
        <v>1450.83</v>
      </c>
    </row>
    <row r="2483" spans="1:6" x14ac:dyDescent="0.35">
      <c r="A2483">
        <v>1380</v>
      </c>
      <c r="B2483" s="2">
        <v>46013.375085336993</v>
      </c>
      <c r="C2483" t="s">
        <v>11</v>
      </c>
      <c r="D2483" t="s">
        <v>22</v>
      </c>
      <c r="E2483" t="s">
        <v>25</v>
      </c>
      <c r="F2483">
        <v>3041.83</v>
      </c>
    </row>
    <row r="2484" spans="1:6" x14ac:dyDescent="0.35">
      <c r="A2484">
        <v>1151</v>
      </c>
      <c r="B2484" s="2">
        <v>46013.375085336993</v>
      </c>
      <c r="C2484" t="s">
        <v>10</v>
      </c>
      <c r="D2484" t="s">
        <v>18</v>
      </c>
      <c r="E2484" t="s">
        <v>25</v>
      </c>
      <c r="F2484">
        <v>2780.09</v>
      </c>
    </row>
    <row r="2485" spans="1:6" x14ac:dyDescent="0.35">
      <c r="A2485">
        <v>1100</v>
      </c>
      <c r="B2485" s="2">
        <v>46013.375085336993</v>
      </c>
      <c r="C2485" t="s">
        <v>6</v>
      </c>
      <c r="D2485" t="s">
        <v>19</v>
      </c>
      <c r="E2485" t="s">
        <v>25</v>
      </c>
      <c r="F2485">
        <v>2730.06</v>
      </c>
    </row>
    <row r="2486" spans="1:6" x14ac:dyDescent="0.35">
      <c r="A2486">
        <v>1286</v>
      </c>
      <c r="B2486" s="2">
        <v>46014.375085336993</v>
      </c>
      <c r="C2486" t="s">
        <v>6</v>
      </c>
      <c r="D2486" t="s">
        <v>21</v>
      </c>
      <c r="E2486" t="s">
        <v>23</v>
      </c>
      <c r="F2486">
        <v>9546.49</v>
      </c>
    </row>
    <row r="2487" spans="1:6" x14ac:dyDescent="0.35">
      <c r="A2487">
        <v>1170</v>
      </c>
      <c r="B2487" s="2">
        <v>46015.375085336993</v>
      </c>
      <c r="C2487" t="s">
        <v>11</v>
      </c>
      <c r="D2487" t="s">
        <v>22</v>
      </c>
      <c r="E2487" t="s">
        <v>24</v>
      </c>
      <c r="F2487">
        <v>13542.79</v>
      </c>
    </row>
    <row r="2488" spans="1:6" x14ac:dyDescent="0.35">
      <c r="A2488">
        <v>1167</v>
      </c>
      <c r="B2488" s="2">
        <v>46015.375085336993</v>
      </c>
      <c r="C2488" t="s">
        <v>15</v>
      </c>
      <c r="D2488" t="s">
        <v>19</v>
      </c>
      <c r="E2488" t="s">
        <v>24</v>
      </c>
      <c r="F2488">
        <v>5151.33</v>
      </c>
    </row>
    <row r="2489" spans="1:6" x14ac:dyDescent="0.35">
      <c r="A2489">
        <v>1230</v>
      </c>
      <c r="B2489" s="2">
        <v>46015.375085336993</v>
      </c>
      <c r="C2489" t="s">
        <v>9</v>
      </c>
      <c r="D2489" t="s">
        <v>16</v>
      </c>
      <c r="E2489" t="s">
        <v>25</v>
      </c>
      <c r="F2489">
        <v>1893.45</v>
      </c>
    </row>
    <row r="2490" spans="1:6" x14ac:dyDescent="0.35">
      <c r="A2490">
        <v>1241</v>
      </c>
      <c r="B2490" s="2">
        <v>46015.375085336993</v>
      </c>
      <c r="C2490" t="s">
        <v>7</v>
      </c>
      <c r="D2490" t="s">
        <v>20</v>
      </c>
      <c r="E2490" t="s">
        <v>24</v>
      </c>
      <c r="F2490">
        <v>1083.46</v>
      </c>
    </row>
    <row r="2491" spans="1:6" x14ac:dyDescent="0.35">
      <c r="A2491">
        <v>1226</v>
      </c>
      <c r="B2491" s="2">
        <v>46015.375085336993</v>
      </c>
      <c r="C2491" t="s">
        <v>13</v>
      </c>
      <c r="D2491" t="s">
        <v>19</v>
      </c>
      <c r="E2491" t="s">
        <v>24</v>
      </c>
      <c r="F2491">
        <v>5586.48</v>
      </c>
    </row>
    <row r="2492" spans="1:6" x14ac:dyDescent="0.35">
      <c r="A2492">
        <v>1290</v>
      </c>
      <c r="B2492" s="2">
        <v>46016.375085336993</v>
      </c>
      <c r="C2492" t="s">
        <v>7</v>
      </c>
      <c r="D2492" t="s">
        <v>21</v>
      </c>
      <c r="E2492" t="s">
        <v>23</v>
      </c>
      <c r="F2492">
        <v>553.16999999999996</v>
      </c>
    </row>
    <row r="2493" spans="1:6" x14ac:dyDescent="0.35">
      <c r="A2493">
        <v>1339</v>
      </c>
      <c r="B2493" s="2">
        <v>46016.375085336993</v>
      </c>
      <c r="C2493" t="s">
        <v>14</v>
      </c>
      <c r="D2493" t="s">
        <v>17</v>
      </c>
      <c r="E2493" t="s">
        <v>25</v>
      </c>
      <c r="F2493">
        <v>613.61</v>
      </c>
    </row>
    <row r="2494" spans="1:6" x14ac:dyDescent="0.35">
      <c r="A2494">
        <v>1143</v>
      </c>
      <c r="B2494" s="2">
        <v>46016.375085336993</v>
      </c>
      <c r="C2494" t="s">
        <v>6</v>
      </c>
      <c r="D2494" t="s">
        <v>18</v>
      </c>
      <c r="E2494" t="s">
        <v>25</v>
      </c>
      <c r="F2494">
        <v>1084.8699999999999</v>
      </c>
    </row>
    <row r="2495" spans="1:6" x14ac:dyDescent="0.35">
      <c r="A2495">
        <v>1252</v>
      </c>
      <c r="B2495" s="2">
        <v>46016.375085336993</v>
      </c>
      <c r="C2495" t="s">
        <v>13</v>
      </c>
      <c r="D2495" t="s">
        <v>20</v>
      </c>
      <c r="E2495" t="s">
        <v>24</v>
      </c>
      <c r="F2495">
        <v>1012.77</v>
      </c>
    </row>
    <row r="2496" spans="1:6" x14ac:dyDescent="0.35">
      <c r="A2496">
        <v>1354</v>
      </c>
      <c r="B2496" s="2">
        <v>46016.375085336993</v>
      </c>
      <c r="C2496" t="s">
        <v>6</v>
      </c>
      <c r="D2496" t="s">
        <v>17</v>
      </c>
      <c r="E2496" t="s">
        <v>25</v>
      </c>
      <c r="F2496">
        <v>4437.33</v>
      </c>
    </row>
    <row r="2497" spans="1:6" x14ac:dyDescent="0.35">
      <c r="A2497">
        <v>1217</v>
      </c>
      <c r="B2497" s="2">
        <v>46017.375085336993</v>
      </c>
      <c r="C2497" t="s">
        <v>8</v>
      </c>
      <c r="D2497" t="s">
        <v>21</v>
      </c>
      <c r="E2497" t="s">
        <v>24</v>
      </c>
      <c r="F2497">
        <v>316.08999999999997</v>
      </c>
    </row>
    <row r="2498" spans="1:6" x14ac:dyDescent="0.35">
      <c r="A2498">
        <v>1064</v>
      </c>
      <c r="B2498" s="2">
        <v>46017.375085336993</v>
      </c>
      <c r="C2498" t="s">
        <v>7</v>
      </c>
      <c r="D2498" t="s">
        <v>22</v>
      </c>
      <c r="E2498" t="s">
        <v>23</v>
      </c>
      <c r="F2498">
        <v>5425.36</v>
      </c>
    </row>
    <row r="2499" spans="1:6" x14ac:dyDescent="0.35">
      <c r="A2499">
        <v>1336</v>
      </c>
      <c r="B2499" s="2">
        <v>46017.375085336993</v>
      </c>
      <c r="C2499" t="s">
        <v>6</v>
      </c>
      <c r="D2499" t="s">
        <v>16</v>
      </c>
      <c r="E2499" t="s">
        <v>23</v>
      </c>
      <c r="F2499">
        <v>4215.34</v>
      </c>
    </row>
    <row r="2500" spans="1:6" x14ac:dyDescent="0.35">
      <c r="A2500">
        <v>1219</v>
      </c>
      <c r="B2500" s="2">
        <v>46017.375085336993</v>
      </c>
      <c r="C2500" t="s">
        <v>8</v>
      </c>
      <c r="D2500" t="s">
        <v>16</v>
      </c>
      <c r="E2500" t="s">
        <v>23</v>
      </c>
      <c r="F2500">
        <v>2352.83</v>
      </c>
    </row>
    <row r="2501" spans="1:6" x14ac:dyDescent="0.35">
      <c r="A2501">
        <v>1205</v>
      </c>
      <c r="B2501" s="2">
        <v>46017.375085336993</v>
      </c>
      <c r="C2501" t="s">
        <v>7</v>
      </c>
      <c r="D2501" t="s">
        <v>17</v>
      </c>
      <c r="E2501" t="s">
        <v>24</v>
      </c>
      <c r="F2501">
        <v>990.58</v>
      </c>
    </row>
    <row r="2502" spans="1:6" x14ac:dyDescent="0.35">
      <c r="A2502">
        <v>1394</v>
      </c>
      <c r="B2502" s="2">
        <v>46018.375085336993</v>
      </c>
      <c r="C2502" t="s">
        <v>7</v>
      </c>
      <c r="D2502" t="s">
        <v>22</v>
      </c>
      <c r="E2502" t="s">
        <v>23</v>
      </c>
      <c r="F2502">
        <v>3225.58</v>
      </c>
    </row>
    <row r="2503" spans="1:6" x14ac:dyDescent="0.35">
      <c r="A2503">
        <v>1232</v>
      </c>
      <c r="B2503" s="2">
        <v>46018.375085336993</v>
      </c>
      <c r="C2503" t="s">
        <v>14</v>
      </c>
      <c r="D2503" t="s">
        <v>18</v>
      </c>
      <c r="E2503" t="s">
        <v>24</v>
      </c>
      <c r="F2503">
        <v>1661.09</v>
      </c>
    </row>
    <row r="2504" spans="1:6" x14ac:dyDescent="0.35">
      <c r="A2504">
        <v>1347</v>
      </c>
      <c r="B2504" s="2">
        <v>46018.375085336993</v>
      </c>
      <c r="C2504" t="s">
        <v>15</v>
      </c>
      <c r="D2504" t="s">
        <v>22</v>
      </c>
      <c r="E2504" t="s">
        <v>25</v>
      </c>
      <c r="F2504">
        <v>1544.11</v>
      </c>
    </row>
    <row r="2505" spans="1:6" x14ac:dyDescent="0.35">
      <c r="A2505">
        <v>1253</v>
      </c>
      <c r="B2505" s="2">
        <v>46018.375085336993</v>
      </c>
      <c r="C2505" t="s">
        <v>12</v>
      </c>
      <c r="D2505" t="s">
        <v>16</v>
      </c>
      <c r="E2505" t="s">
        <v>23</v>
      </c>
      <c r="F2505">
        <v>7182.87</v>
      </c>
    </row>
    <row r="2506" spans="1:6" x14ac:dyDescent="0.35">
      <c r="A2506">
        <v>1292</v>
      </c>
      <c r="B2506" s="2">
        <v>46018.375085336993</v>
      </c>
      <c r="C2506" t="s">
        <v>14</v>
      </c>
      <c r="D2506" t="s">
        <v>22</v>
      </c>
      <c r="E2506" t="s">
        <v>24</v>
      </c>
      <c r="F2506">
        <v>6858.24</v>
      </c>
    </row>
    <row r="2507" spans="1:6" x14ac:dyDescent="0.35">
      <c r="A2507">
        <v>1371</v>
      </c>
      <c r="B2507" s="2">
        <v>46018.375085336993</v>
      </c>
      <c r="C2507" t="s">
        <v>10</v>
      </c>
      <c r="D2507" t="s">
        <v>21</v>
      </c>
      <c r="E2507" t="s">
        <v>23</v>
      </c>
      <c r="F2507">
        <v>864.89</v>
      </c>
    </row>
    <row r="2508" spans="1:6" x14ac:dyDescent="0.35">
      <c r="A2508">
        <v>1296</v>
      </c>
      <c r="B2508" s="2">
        <v>46018.375085336993</v>
      </c>
      <c r="C2508" t="s">
        <v>9</v>
      </c>
      <c r="D2508" t="s">
        <v>16</v>
      </c>
      <c r="E2508" t="s">
        <v>24</v>
      </c>
      <c r="F2508">
        <v>1145</v>
      </c>
    </row>
    <row r="2509" spans="1:6" x14ac:dyDescent="0.35">
      <c r="A2509">
        <v>1123</v>
      </c>
      <c r="B2509" s="2">
        <v>46019.375085336993</v>
      </c>
      <c r="C2509" t="s">
        <v>12</v>
      </c>
      <c r="D2509" t="s">
        <v>16</v>
      </c>
      <c r="E2509" t="s">
        <v>24</v>
      </c>
      <c r="F2509">
        <v>3322.74</v>
      </c>
    </row>
    <row r="2510" spans="1:6" x14ac:dyDescent="0.35">
      <c r="A2510">
        <v>1246</v>
      </c>
      <c r="B2510" s="2">
        <v>46019.375085336993</v>
      </c>
      <c r="C2510" t="s">
        <v>9</v>
      </c>
      <c r="D2510" t="s">
        <v>19</v>
      </c>
      <c r="E2510" t="s">
        <v>25</v>
      </c>
      <c r="F2510">
        <v>6610.48</v>
      </c>
    </row>
    <row r="2511" spans="1:6" x14ac:dyDescent="0.35">
      <c r="A2511">
        <v>1180</v>
      </c>
      <c r="B2511" s="2">
        <v>46019.375085336993</v>
      </c>
      <c r="C2511" t="s">
        <v>11</v>
      </c>
      <c r="D2511" t="s">
        <v>21</v>
      </c>
      <c r="E2511" t="s">
        <v>23</v>
      </c>
      <c r="F2511">
        <v>4742.63</v>
      </c>
    </row>
    <row r="2512" spans="1:6" x14ac:dyDescent="0.35">
      <c r="A2512">
        <v>1108</v>
      </c>
      <c r="B2512" s="2">
        <v>46019.375085336993</v>
      </c>
      <c r="C2512" t="s">
        <v>12</v>
      </c>
      <c r="D2512" t="s">
        <v>22</v>
      </c>
      <c r="E2512" t="s">
        <v>24</v>
      </c>
      <c r="F2512">
        <v>761.7</v>
      </c>
    </row>
    <row r="2513" spans="1:6" x14ac:dyDescent="0.35">
      <c r="A2513">
        <v>1018</v>
      </c>
      <c r="B2513" s="2">
        <v>46020.375085336993</v>
      </c>
      <c r="C2513" t="s">
        <v>9</v>
      </c>
      <c r="D2513" t="s">
        <v>21</v>
      </c>
      <c r="E2513" t="s">
        <v>24</v>
      </c>
      <c r="F2513">
        <v>6256.6</v>
      </c>
    </row>
    <row r="2514" spans="1:6" x14ac:dyDescent="0.35">
      <c r="A2514">
        <v>1166</v>
      </c>
      <c r="B2514" s="2">
        <v>46020.375085336993</v>
      </c>
      <c r="C2514" t="s">
        <v>11</v>
      </c>
      <c r="D2514" t="s">
        <v>21</v>
      </c>
      <c r="E2514" t="s">
        <v>24</v>
      </c>
      <c r="F2514">
        <v>3094.29</v>
      </c>
    </row>
    <row r="2515" spans="1:6" x14ac:dyDescent="0.35">
      <c r="A2515">
        <v>1095</v>
      </c>
      <c r="B2515" s="2">
        <v>46020.375085336993</v>
      </c>
      <c r="C2515" t="s">
        <v>12</v>
      </c>
      <c r="D2515" t="s">
        <v>18</v>
      </c>
      <c r="E2515" t="s">
        <v>23</v>
      </c>
      <c r="F2515">
        <v>2590.1</v>
      </c>
    </row>
    <row r="2516" spans="1:6" x14ac:dyDescent="0.35">
      <c r="A2516">
        <v>1053</v>
      </c>
      <c r="B2516" s="2">
        <v>46020.375085336993</v>
      </c>
      <c r="C2516" t="s">
        <v>11</v>
      </c>
      <c r="D2516" t="s">
        <v>18</v>
      </c>
      <c r="E2516" t="s">
        <v>24</v>
      </c>
      <c r="F2516">
        <v>3829.12</v>
      </c>
    </row>
    <row r="2517" spans="1:6" x14ac:dyDescent="0.35">
      <c r="A2517">
        <v>1011</v>
      </c>
      <c r="B2517" s="2">
        <v>46021.375085336993</v>
      </c>
      <c r="C2517" t="s">
        <v>14</v>
      </c>
      <c r="D2517" t="s">
        <v>16</v>
      </c>
      <c r="E2517" t="s">
        <v>23</v>
      </c>
      <c r="F2517">
        <v>7759.16</v>
      </c>
    </row>
    <row r="2518" spans="1:6" x14ac:dyDescent="0.35">
      <c r="A2518">
        <v>1137</v>
      </c>
      <c r="B2518" s="2">
        <v>46021.375085336993</v>
      </c>
      <c r="C2518" t="s">
        <v>10</v>
      </c>
      <c r="D2518" t="s">
        <v>20</v>
      </c>
      <c r="E2518" t="s">
        <v>23</v>
      </c>
      <c r="F2518">
        <v>1529.16</v>
      </c>
    </row>
    <row r="2519" spans="1:6" x14ac:dyDescent="0.35">
      <c r="A2519">
        <v>1256</v>
      </c>
      <c r="B2519" s="2">
        <v>46021.375085336993</v>
      </c>
      <c r="C2519" t="s">
        <v>7</v>
      </c>
      <c r="D2519" t="s">
        <v>19</v>
      </c>
      <c r="E2519" t="s">
        <v>25</v>
      </c>
      <c r="F2519">
        <v>5228.2299999999996</v>
      </c>
    </row>
    <row r="2520" spans="1:6" x14ac:dyDescent="0.35">
      <c r="A2520">
        <v>1105</v>
      </c>
      <c r="B2520" s="2">
        <v>46021.375085336993</v>
      </c>
      <c r="C2520" t="s">
        <v>15</v>
      </c>
      <c r="D2520" t="s">
        <v>19</v>
      </c>
      <c r="E2520" t="s">
        <v>23</v>
      </c>
      <c r="F2520">
        <v>3730.86</v>
      </c>
    </row>
    <row r="2521" spans="1:6" x14ac:dyDescent="0.35">
      <c r="A2521">
        <v>1172</v>
      </c>
      <c r="B2521" s="2">
        <v>46023.375085336993</v>
      </c>
      <c r="C2521" t="s">
        <v>8</v>
      </c>
      <c r="D2521" t="s">
        <v>21</v>
      </c>
      <c r="E2521" t="s">
        <v>25</v>
      </c>
      <c r="F2521">
        <v>3616.5</v>
      </c>
    </row>
    <row r="2522" spans="1:6" x14ac:dyDescent="0.35">
      <c r="A2522">
        <v>1188</v>
      </c>
      <c r="B2522" s="2">
        <v>46023.375085336993</v>
      </c>
      <c r="C2522" t="s">
        <v>11</v>
      </c>
      <c r="D2522" t="s">
        <v>16</v>
      </c>
      <c r="E2522" t="s">
        <v>24</v>
      </c>
      <c r="F2522">
        <v>5099.6000000000004</v>
      </c>
    </row>
    <row r="2523" spans="1:6" x14ac:dyDescent="0.35">
      <c r="A2523">
        <v>1184</v>
      </c>
      <c r="B2523" s="2">
        <v>46023.375085336993</v>
      </c>
      <c r="C2523" t="s">
        <v>6</v>
      </c>
      <c r="D2523" t="s">
        <v>20</v>
      </c>
      <c r="E2523" t="s">
        <v>23</v>
      </c>
      <c r="F2523">
        <v>5821.32</v>
      </c>
    </row>
    <row r="2524" spans="1:6" x14ac:dyDescent="0.35">
      <c r="A2524">
        <v>1220</v>
      </c>
      <c r="B2524" s="2">
        <v>46023.375085336993</v>
      </c>
      <c r="C2524" t="s">
        <v>11</v>
      </c>
      <c r="D2524" t="s">
        <v>22</v>
      </c>
      <c r="E2524" t="s">
        <v>25</v>
      </c>
      <c r="F2524">
        <v>5762.06</v>
      </c>
    </row>
    <row r="2525" spans="1:6" x14ac:dyDescent="0.35">
      <c r="A2525">
        <v>1215</v>
      </c>
      <c r="B2525" s="2">
        <v>46023.375085336993</v>
      </c>
      <c r="C2525" t="s">
        <v>12</v>
      </c>
      <c r="D2525" t="s">
        <v>18</v>
      </c>
      <c r="E2525" t="s">
        <v>25</v>
      </c>
      <c r="F2525">
        <v>1101.8</v>
      </c>
    </row>
    <row r="2526" spans="1:6" x14ac:dyDescent="0.35">
      <c r="A2526">
        <v>1379</v>
      </c>
      <c r="B2526" s="2">
        <v>46023.375085336993</v>
      </c>
      <c r="C2526" t="s">
        <v>7</v>
      </c>
      <c r="D2526" t="s">
        <v>19</v>
      </c>
      <c r="E2526" t="s">
        <v>23</v>
      </c>
      <c r="F2526">
        <v>4133.21</v>
      </c>
    </row>
    <row r="2527" spans="1:6" x14ac:dyDescent="0.35">
      <c r="A2527">
        <v>1212</v>
      </c>
      <c r="B2527" s="2">
        <v>46023.375085336993</v>
      </c>
      <c r="C2527" t="s">
        <v>11</v>
      </c>
      <c r="D2527" t="s">
        <v>22</v>
      </c>
      <c r="E2527" t="s">
        <v>24</v>
      </c>
      <c r="F2527">
        <v>1720.59</v>
      </c>
    </row>
    <row r="2528" spans="1:6" x14ac:dyDescent="0.35">
      <c r="A2528">
        <v>1235</v>
      </c>
      <c r="B2528" s="2">
        <v>46023.375085336993</v>
      </c>
      <c r="C2528" t="s">
        <v>7</v>
      </c>
      <c r="D2528" t="s">
        <v>20</v>
      </c>
      <c r="E2528" t="s">
        <v>25</v>
      </c>
      <c r="F2528">
        <v>3111.57</v>
      </c>
    </row>
    <row r="2529" spans="1:6" x14ac:dyDescent="0.35">
      <c r="A2529">
        <v>1233</v>
      </c>
      <c r="B2529" s="2">
        <v>46023.375085336993</v>
      </c>
      <c r="C2529" t="s">
        <v>6</v>
      </c>
      <c r="D2529" t="s">
        <v>19</v>
      </c>
      <c r="E2529" t="s">
        <v>24</v>
      </c>
      <c r="F2529">
        <v>6124.11</v>
      </c>
    </row>
    <row r="2530" spans="1:6" x14ac:dyDescent="0.35">
      <c r="A2530">
        <v>1326</v>
      </c>
      <c r="B2530" s="2">
        <v>46024.375085336993</v>
      </c>
      <c r="C2530" t="s">
        <v>13</v>
      </c>
      <c r="D2530" t="s">
        <v>20</v>
      </c>
      <c r="E2530" t="s">
        <v>23</v>
      </c>
      <c r="F2530">
        <v>876.28</v>
      </c>
    </row>
    <row r="2531" spans="1:6" x14ac:dyDescent="0.35">
      <c r="A2531">
        <v>1098</v>
      </c>
      <c r="B2531" s="2">
        <v>46024.375085336993</v>
      </c>
      <c r="C2531" t="s">
        <v>10</v>
      </c>
      <c r="D2531" t="s">
        <v>19</v>
      </c>
      <c r="E2531" t="s">
        <v>24</v>
      </c>
      <c r="F2531">
        <v>1338.07</v>
      </c>
    </row>
    <row r="2532" spans="1:6" x14ac:dyDescent="0.35">
      <c r="A2532">
        <v>1071</v>
      </c>
      <c r="B2532" s="2">
        <v>46024.375085336993</v>
      </c>
      <c r="C2532" t="s">
        <v>12</v>
      </c>
      <c r="D2532" t="s">
        <v>18</v>
      </c>
      <c r="E2532" t="s">
        <v>25</v>
      </c>
      <c r="F2532">
        <v>1137.03</v>
      </c>
    </row>
    <row r="2533" spans="1:6" x14ac:dyDescent="0.35">
      <c r="A2533">
        <v>1197</v>
      </c>
      <c r="B2533" s="2">
        <v>46024.375085336993</v>
      </c>
      <c r="C2533" t="s">
        <v>11</v>
      </c>
      <c r="D2533" t="s">
        <v>16</v>
      </c>
      <c r="E2533" t="s">
        <v>25</v>
      </c>
      <c r="F2533">
        <v>3176.92</v>
      </c>
    </row>
    <row r="2534" spans="1:6" x14ac:dyDescent="0.35">
      <c r="A2534">
        <v>1010</v>
      </c>
      <c r="B2534" s="2">
        <v>46024.375085336993</v>
      </c>
      <c r="C2534" t="s">
        <v>14</v>
      </c>
      <c r="D2534" t="s">
        <v>18</v>
      </c>
      <c r="E2534" t="s">
        <v>24</v>
      </c>
      <c r="F2534">
        <v>11707.69</v>
      </c>
    </row>
    <row r="2535" spans="1:6" x14ac:dyDescent="0.35">
      <c r="A2535">
        <v>1088</v>
      </c>
      <c r="B2535" s="2">
        <v>46024.375085336993</v>
      </c>
      <c r="C2535" t="s">
        <v>10</v>
      </c>
      <c r="D2535" t="s">
        <v>20</v>
      </c>
      <c r="E2535" t="s">
        <v>24</v>
      </c>
      <c r="F2535">
        <v>5485.54</v>
      </c>
    </row>
    <row r="2536" spans="1:6" x14ac:dyDescent="0.35">
      <c r="A2536">
        <v>1055</v>
      </c>
      <c r="B2536" s="2">
        <v>46024.375085336993</v>
      </c>
      <c r="C2536" t="s">
        <v>13</v>
      </c>
      <c r="D2536" t="s">
        <v>20</v>
      </c>
      <c r="E2536" t="s">
        <v>23</v>
      </c>
      <c r="F2536">
        <v>6787.13</v>
      </c>
    </row>
    <row r="2537" spans="1:6" x14ac:dyDescent="0.35">
      <c r="A2537">
        <v>1013</v>
      </c>
      <c r="B2537" s="2">
        <v>46024.375085336993</v>
      </c>
      <c r="C2537" t="s">
        <v>15</v>
      </c>
      <c r="D2537" t="s">
        <v>16</v>
      </c>
      <c r="E2537" t="s">
        <v>23</v>
      </c>
      <c r="F2537">
        <v>5413.65</v>
      </c>
    </row>
    <row r="2538" spans="1:6" x14ac:dyDescent="0.35">
      <c r="A2538">
        <v>1321</v>
      </c>
      <c r="B2538" s="2">
        <v>46025.375085336993</v>
      </c>
      <c r="C2538" t="s">
        <v>8</v>
      </c>
      <c r="D2538" t="s">
        <v>17</v>
      </c>
      <c r="E2538" t="s">
        <v>23</v>
      </c>
      <c r="F2538">
        <v>390.92</v>
      </c>
    </row>
    <row r="2539" spans="1:6" x14ac:dyDescent="0.35">
      <c r="A2539">
        <v>1099</v>
      </c>
      <c r="B2539" s="2">
        <v>46025.375085336993</v>
      </c>
      <c r="C2539" t="s">
        <v>14</v>
      </c>
      <c r="D2539" t="s">
        <v>21</v>
      </c>
      <c r="E2539" t="s">
        <v>24</v>
      </c>
      <c r="F2539">
        <v>5411.27</v>
      </c>
    </row>
    <row r="2540" spans="1:6" x14ac:dyDescent="0.35">
      <c r="A2540">
        <v>1177</v>
      </c>
      <c r="B2540" s="2">
        <v>46025.375085336993</v>
      </c>
      <c r="C2540" t="s">
        <v>7</v>
      </c>
      <c r="D2540" t="s">
        <v>22</v>
      </c>
      <c r="E2540" t="s">
        <v>24</v>
      </c>
      <c r="F2540">
        <v>1802.57</v>
      </c>
    </row>
    <row r="2541" spans="1:6" x14ac:dyDescent="0.35">
      <c r="A2541">
        <v>1154</v>
      </c>
      <c r="B2541" s="2">
        <v>46025.375085336993</v>
      </c>
      <c r="C2541" t="s">
        <v>11</v>
      </c>
      <c r="D2541" t="s">
        <v>22</v>
      </c>
      <c r="E2541" t="s">
        <v>25</v>
      </c>
      <c r="F2541">
        <v>5290.28</v>
      </c>
    </row>
    <row r="2542" spans="1:6" x14ac:dyDescent="0.35">
      <c r="A2542">
        <v>1213</v>
      </c>
      <c r="B2542" s="2">
        <v>46025.375085336993</v>
      </c>
      <c r="C2542" t="s">
        <v>10</v>
      </c>
      <c r="D2542" t="s">
        <v>17</v>
      </c>
      <c r="E2542" t="s">
        <v>25</v>
      </c>
      <c r="F2542">
        <v>1595.41</v>
      </c>
    </row>
    <row r="2543" spans="1:6" x14ac:dyDescent="0.35">
      <c r="A2543">
        <v>1193</v>
      </c>
      <c r="B2543" s="2">
        <v>46025.375085336993</v>
      </c>
      <c r="C2543" t="s">
        <v>7</v>
      </c>
      <c r="D2543" t="s">
        <v>19</v>
      </c>
      <c r="E2543" t="s">
        <v>25</v>
      </c>
      <c r="F2543">
        <v>7754.75</v>
      </c>
    </row>
    <row r="2544" spans="1:6" x14ac:dyDescent="0.35">
      <c r="A2544">
        <v>1281</v>
      </c>
      <c r="B2544" s="2">
        <v>46025.375085336993</v>
      </c>
      <c r="C2544" t="s">
        <v>8</v>
      </c>
      <c r="D2544" t="s">
        <v>22</v>
      </c>
      <c r="E2544" t="s">
        <v>23</v>
      </c>
      <c r="F2544">
        <v>5133.72</v>
      </c>
    </row>
    <row r="2545" spans="1:6" x14ac:dyDescent="0.35">
      <c r="A2545">
        <v>1232</v>
      </c>
      <c r="B2545" s="2">
        <v>46026.375085336993</v>
      </c>
      <c r="C2545" t="s">
        <v>6</v>
      </c>
      <c r="D2545" t="s">
        <v>22</v>
      </c>
      <c r="E2545" t="s">
        <v>23</v>
      </c>
      <c r="F2545">
        <v>1512.33</v>
      </c>
    </row>
    <row r="2546" spans="1:6" x14ac:dyDescent="0.35">
      <c r="A2546">
        <v>1125</v>
      </c>
      <c r="B2546" s="2">
        <v>46026.375085336993</v>
      </c>
      <c r="C2546" t="s">
        <v>8</v>
      </c>
      <c r="D2546" t="s">
        <v>19</v>
      </c>
      <c r="E2546" t="s">
        <v>23</v>
      </c>
      <c r="F2546">
        <v>11987.87</v>
      </c>
    </row>
    <row r="2547" spans="1:6" x14ac:dyDescent="0.35">
      <c r="A2547">
        <v>1315</v>
      </c>
      <c r="B2547" s="2">
        <v>46026.375085336993</v>
      </c>
      <c r="C2547" t="s">
        <v>11</v>
      </c>
      <c r="D2547" t="s">
        <v>21</v>
      </c>
      <c r="E2547" t="s">
        <v>25</v>
      </c>
      <c r="F2547">
        <v>1191.92</v>
      </c>
    </row>
    <row r="2548" spans="1:6" x14ac:dyDescent="0.35">
      <c r="A2548">
        <v>1305</v>
      </c>
      <c r="B2548" s="2">
        <v>46027.375085336993</v>
      </c>
      <c r="C2548" t="s">
        <v>8</v>
      </c>
      <c r="D2548" t="s">
        <v>21</v>
      </c>
      <c r="E2548" t="s">
        <v>23</v>
      </c>
      <c r="F2548">
        <v>3864.52</v>
      </c>
    </row>
    <row r="2549" spans="1:6" x14ac:dyDescent="0.35">
      <c r="A2549">
        <v>1335</v>
      </c>
      <c r="B2549" s="2">
        <v>46027.375085336993</v>
      </c>
      <c r="C2549" t="s">
        <v>12</v>
      </c>
      <c r="D2549" t="s">
        <v>17</v>
      </c>
      <c r="E2549" t="s">
        <v>24</v>
      </c>
      <c r="F2549">
        <v>1067.75</v>
      </c>
    </row>
    <row r="2550" spans="1:6" x14ac:dyDescent="0.35">
      <c r="A2550">
        <v>1324</v>
      </c>
      <c r="B2550" s="2">
        <v>46027.375085336993</v>
      </c>
      <c r="C2550" t="s">
        <v>15</v>
      </c>
      <c r="D2550" t="s">
        <v>21</v>
      </c>
      <c r="E2550" t="s">
        <v>23</v>
      </c>
      <c r="F2550">
        <v>177.27</v>
      </c>
    </row>
    <row r="2551" spans="1:6" x14ac:dyDescent="0.35">
      <c r="A2551">
        <v>1002</v>
      </c>
      <c r="B2551" s="2">
        <v>46027.375085336993</v>
      </c>
      <c r="C2551" t="s">
        <v>8</v>
      </c>
      <c r="D2551" t="s">
        <v>19</v>
      </c>
      <c r="E2551" t="s">
        <v>25</v>
      </c>
      <c r="F2551">
        <v>7277.15</v>
      </c>
    </row>
    <row r="2552" spans="1:6" x14ac:dyDescent="0.35">
      <c r="A2552">
        <v>1115</v>
      </c>
      <c r="B2552" s="2">
        <v>46027.375085336993</v>
      </c>
      <c r="C2552" t="s">
        <v>14</v>
      </c>
      <c r="D2552" t="s">
        <v>21</v>
      </c>
      <c r="E2552" t="s">
        <v>23</v>
      </c>
      <c r="F2552">
        <v>8002.22</v>
      </c>
    </row>
    <row r="2553" spans="1:6" x14ac:dyDescent="0.35">
      <c r="A2553">
        <v>1319</v>
      </c>
      <c r="B2553" s="2">
        <v>46028.375085336993</v>
      </c>
      <c r="C2553" t="s">
        <v>12</v>
      </c>
      <c r="D2553" t="s">
        <v>17</v>
      </c>
      <c r="E2553" t="s">
        <v>25</v>
      </c>
      <c r="F2553">
        <v>3772.72</v>
      </c>
    </row>
    <row r="2554" spans="1:6" x14ac:dyDescent="0.35">
      <c r="A2554">
        <v>1151</v>
      </c>
      <c r="B2554" s="2">
        <v>46029.375085336993</v>
      </c>
      <c r="C2554" t="s">
        <v>7</v>
      </c>
      <c r="D2554" t="s">
        <v>20</v>
      </c>
      <c r="E2554" t="s">
        <v>23</v>
      </c>
      <c r="F2554">
        <v>3069.61</v>
      </c>
    </row>
    <row r="2555" spans="1:6" x14ac:dyDescent="0.35">
      <c r="A2555">
        <v>1112</v>
      </c>
      <c r="B2555" s="2">
        <v>46029.375085336993</v>
      </c>
      <c r="C2555" t="s">
        <v>10</v>
      </c>
      <c r="D2555" t="s">
        <v>17</v>
      </c>
      <c r="E2555" t="s">
        <v>24</v>
      </c>
      <c r="F2555">
        <v>1463.82</v>
      </c>
    </row>
    <row r="2556" spans="1:6" x14ac:dyDescent="0.35">
      <c r="A2556">
        <v>1355</v>
      </c>
      <c r="B2556" s="2">
        <v>46029.375085336993</v>
      </c>
      <c r="C2556" t="s">
        <v>12</v>
      </c>
      <c r="D2556" t="s">
        <v>19</v>
      </c>
      <c r="E2556" t="s">
        <v>23</v>
      </c>
      <c r="F2556">
        <v>11165.02</v>
      </c>
    </row>
    <row r="2557" spans="1:6" x14ac:dyDescent="0.35">
      <c r="A2557">
        <v>1042</v>
      </c>
      <c r="B2557" s="2">
        <v>46029.375085336993</v>
      </c>
      <c r="C2557" t="s">
        <v>8</v>
      </c>
      <c r="D2557" t="s">
        <v>19</v>
      </c>
      <c r="E2557" t="s">
        <v>25</v>
      </c>
      <c r="F2557">
        <v>6064.3</v>
      </c>
    </row>
    <row r="2558" spans="1:6" x14ac:dyDescent="0.35">
      <c r="A2558">
        <v>1241</v>
      </c>
      <c r="B2558" s="2">
        <v>46030.375085336993</v>
      </c>
      <c r="C2558" t="s">
        <v>12</v>
      </c>
      <c r="D2558" t="s">
        <v>19</v>
      </c>
      <c r="E2558" t="s">
        <v>24</v>
      </c>
      <c r="F2558">
        <v>7042.55</v>
      </c>
    </row>
    <row r="2559" spans="1:6" x14ac:dyDescent="0.35">
      <c r="A2559">
        <v>1215</v>
      </c>
      <c r="B2559" s="2">
        <v>46030.375085336993</v>
      </c>
      <c r="C2559" t="s">
        <v>6</v>
      </c>
      <c r="D2559" t="s">
        <v>22</v>
      </c>
      <c r="E2559" t="s">
        <v>23</v>
      </c>
      <c r="F2559">
        <v>5974.61</v>
      </c>
    </row>
    <row r="2560" spans="1:6" x14ac:dyDescent="0.35">
      <c r="A2560">
        <v>1062</v>
      </c>
      <c r="B2560" s="2">
        <v>46030.375085336993</v>
      </c>
      <c r="C2560" t="s">
        <v>12</v>
      </c>
      <c r="D2560" t="s">
        <v>20</v>
      </c>
      <c r="E2560" t="s">
        <v>23</v>
      </c>
      <c r="F2560">
        <v>11585.58</v>
      </c>
    </row>
    <row r="2561" spans="1:6" x14ac:dyDescent="0.35">
      <c r="A2561">
        <v>1238</v>
      </c>
      <c r="B2561" s="2">
        <v>46030.375085336993</v>
      </c>
      <c r="C2561" t="s">
        <v>12</v>
      </c>
      <c r="D2561" t="s">
        <v>18</v>
      </c>
      <c r="E2561" t="s">
        <v>24</v>
      </c>
      <c r="F2561">
        <v>14602.7</v>
      </c>
    </row>
    <row r="2562" spans="1:6" x14ac:dyDescent="0.35">
      <c r="A2562">
        <v>1035</v>
      </c>
      <c r="B2562" s="2">
        <v>46031.375085336993</v>
      </c>
      <c r="C2562" t="s">
        <v>6</v>
      </c>
      <c r="D2562" t="s">
        <v>22</v>
      </c>
      <c r="E2562" t="s">
        <v>24</v>
      </c>
      <c r="F2562">
        <v>4647.95</v>
      </c>
    </row>
    <row r="2563" spans="1:6" x14ac:dyDescent="0.35">
      <c r="A2563">
        <v>1183</v>
      </c>
      <c r="B2563" s="2">
        <v>46031.375085336993</v>
      </c>
      <c r="C2563" t="s">
        <v>14</v>
      </c>
      <c r="D2563" t="s">
        <v>19</v>
      </c>
      <c r="E2563" t="s">
        <v>25</v>
      </c>
      <c r="F2563">
        <v>1613.74</v>
      </c>
    </row>
    <row r="2564" spans="1:6" x14ac:dyDescent="0.35">
      <c r="A2564">
        <v>1163</v>
      </c>
      <c r="B2564" s="2">
        <v>46031.375085336993</v>
      </c>
      <c r="C2564" t="s">
        <v>10</v>
      </c>
      <c r="D2564" t="s">
        <v>19</v>
      </c>
      <c r="E2564" t="s">
        <v>25</v>
      </c>
      <c r="F2564">
        <v>6967.43</v>
      </c>
    </row>
    <row r="2565" spans="1:6" x14ac:dyDescent="0.35">
      <c r="A2565">
        <v>1119</v>
      </c>
      <c r="B2565" s="2">
        <v>46031.375085336993</v>
      </c>
      <c r="C2565" t="s">
        <v>8</v>
      </c>
      <c r="D2565" t="s">
        <v>19</v>
      </c>
      <c r="E2565" t="s">
        <v>24</v>
      </c>
      <c r="F2565">
        <v>2108.36</v>
      </c>
    </row>
    <row r="2566" spans="1:6" x14ac:dyDescent="0.35">
      <c r="A2566">
        <v>1252</v>
      </c>
      <c r="B2566" s="2">
        <v>46033.375085336993</v>
      </c>
      <c r="C2566" t="s">
        <v>12</v>
      </c>
      <c r="D2566" t="s">
        <v>17</v>
      </c>
      <c r="E2566" t="s">
        <v>25</v>
      </c>
      <c r="F2566">
        <v>1661.45</v>
      </c>
    </row>
    <row r="2567" spans="1:6" x14ac:dyDescent="0.35">
      <c r="A2567">
        <v>1151</v>
      </c>
      <c r="B2567" s="2">
        <v>46033.375085336993</v>
      </c>
      <c r="C2567" t="s">
        <v>13</v>
      </c>
      <c r="D2567" t="s">
        <v>19</v>
      </c>
      <c r="E2567" t="s">
        <v>24</v>
      </c>
      <c r="F2567">
        <v>2742.42</v>
      </c>
    </row>
    <row r="2568" spans="1:6" x14ac:dyDescent="0.35">
      <c r="A2568">
        <v>1317</v>
      </c>
      <c r="B2568" s="2">
        <v>46033.375085336993</v>
      </c>
      <c r="C2568" t="s">
        <v>12</v>
      </c>
      <c r="D2568" t="s">
        <v>20</v>
      </c>
      <c r="E2568" t="s">
        <v>23</v>
      </c>
      <c r="F2568">
        <v>386.72</v>
      </c>
    </row>
    <row r="2569" spans="1:6" x14ac:dyDescent="0.35">
      <c r="A2569">
        <v>1058</v>
      </c>
      <c r="B2569" s="2">
        <v>46033.375085336993</v>
      </c>
      <c r="C2569" t="s">
        <v>15</v>
      </c>
      <c r="D2569" t="s">
        <v>20</v>
      </c>
      <c r="E2569" t="s">
        <v>25</v>
      </c>
      <c r="F2569">
        <v>3424.07</v>
      </c>
    </row>
    <row r="2570" spans="1:6" x14ac:dyDescent="0.35">
      <c r="A2570">
        <v>1162</v>
      </c>
      <c r="B2570" s="2">
        <v>46033.375085336993</v>
      </c>
      <c r="C2570" t="s">
        <v>6</v>
      </c>
      <c r="D2570" t="s">
        <v>16</v>
      </c>
      <c r="E2570" t="s">
        <v>23</v>
      </c>
      <c r="F2570">
        <v>16867.990000000002</v>
      </c>
    </row>
    <row r="2571" spans="1:6" x14ac:dyDescent="0.35">
      <c r="A2571">
        <v>1059</v>
      </c>
      <c r="B2571" s="2">
        <v>46033.375085336993</v>
      </c>
      <c r="C2571" t="s">
        <v>15</v>
      </c>
      <c r="D2571" t="s">
        <v>21</v>
      </c>
      <c r="E2571" t="s">
        <v>23</v>
      </c>
      <c r="F2571">
        <v>5216.28</v>
      </c>
    </row>
    <row r="2572" spans="1:6" x14ac:dyDescent="0.35">
      <c r="A2572">
        <v>1315</v>
      </c>
      <c r="B2572" s="2">
        <v>46033.375085336993</v>
      </c>
      <c r="C2572" t="s">
        <v>6</v>
      </c>
      <c r="D2572" t="s">
        <v>22</v>
      </c>
      <c r="E2572" t="s">
        <v>23</v>
      </c>
      <c r="F2572">
        <v>6275.59</v>
      </c>
    </row>
    <row r="2573" spans="1:6" x14ac:dyDescent="0.35">
      <c r="A2573">
        <v>1136</v>
      </c>
      <c r="B2573" s="2">
        <v>46033.375085336993</v>
      </c>
      <c r="C2573" t="s">
        <v>13</v>
      </c>
      <c r="D2573" t="s">
        <v>17</v>
      </c>
      <c r="E2573" t="s">
        <v>25</v>
      </c>
      <c r="F2573">
        <v>1317.49</v>
      </c>
    </row>
    <row r="2574" spans="1:6" x14ac:dyDescent="0.35">
      <c r="A2574">
        <v>1379</v>
      </c>
      <c r="B2574" s="2">
        <v>46033.375085336993</v>
      </c>
      <c r="C2574" t="s">
        <v>11</v>
      </c>
      <c r="D2574" t="s">
        <v>21</v>
      </c>
      <c r="E2574" t="s">
        <v>23</v>
      </c>
      <c r="F2574">
        <v>7621.72</v>
      </c>
    </row>
    <row r="2575" spans="1:6" x14ac:dyDescent="0.35">
      <c r="A2575">
        <v>1312</v>
      </c>
      <c r="B2575" s="2">
        <v>46034.375085336993</v>
      </c>
      <c r="C2575" t="s">
        <v>6</v>
      </c>
      <c r="D2575" t="s">
        <v>17</v>
      </c>
      <c r="E2575" t="s">
        <v>25</v>
      </c>
      <c r="F2575">
        <v>550.99</v>
      </c>
    </row>
    <row r="2576" spans="1:6" x14ac:dyDescent="0.35">
      <c r="A2576">
        <v>1364</v>
      </c>
      <c r="B2576" s="2">
        <v>46034.375085336993</v>
      </c>
      <c r="C2576" t="s">
        <v>11</v>
      </c>
      <c r="D2576" t="s">
        <v>22</v>
      </c>
      <c r="E2576" t="s">
        <v>24</v>
      </c>
      <c r="F2576">
        <v>2332.65</v>
      </c>
    </row>
    <row r="2577" spans="1:6" x14ac:dyDescent="0.35">
      <c r="A2577">
        <v>1397</v>
      </c>
      <c r="B2577" s="2">
        <v>46034.375085336993</v>
      </c>
      <c r="C2577" t="s">
        <v>14</v>
      </c>
      <c r="D2577" t="s">
        <v>19</v>
      </c>
      <c r="E2577" t="s">
        <v>23</v>
      </c>
      <c r="F2577">
        <v>400.84</v>
      </c>
    </row>
    <row r="2578" spans="1:6" x14ac:dyDescent="0.35">
      <c r="A2578">
        <v>1194</v>
      </c>
      <c r="B2578" s="2">
        <v>46034.375085336993</v>
      </c>
      <c r="C2578" t="s">
        <v>6</v>
      </c>
      <c r="D2578" t="s">
        <v>20</v>
      </c>
      <c r="E2578" t="s">
        <v>24</v>
      </c>
      <c r="F2578">
        <v>6889.07</v>
      </c>
    </row>
    <row r="2579" spans="1:6" x14ac:dyDescent="0.35">
      <c r="A2579">
        <v>1195</v>
      </c>
      <c r="B2579" s="2">
        <v>46034.375085336993</v>
      </c>
      <c r="C2579" t="s">
        <v>10</v>
      </c>
      <c r="D2579" t="s">
        <v>17</v>
      </c>
      <c r="E2579" t="s">
        <v>24</v>
      </c>
      <c r="F2579">
        <v>1511.42</v>
      </c>
    </row>
    <row r="2580" spans="1:6" x14ac:dyDescent="0.35">
      <c r="A2580">
        <v>1169</v>
      </c>
      <c r="B2580" s="2">
        <v>46035.375085336993</v>
      </c>
      <c r="C2580" t="s">
        <v>15</v>
      </c>
      <c r="D2580" t="s">
        <v>22</v>
      </c>
      <c r="E2580" t="s">
        <v>24</v>
      </c>
      <c r="F2580">
        <v>2777.24</v>
      </c>
    </row>
    <row r="2581" spans="1:6" x14ac:dyDescent="0.35">
      <c r="A2581">
        <v>1345</v>
      </c>
      <c r="B2581" s="2">
        <v>46035.375085336993</v>
      </c>
      <c r="C2581" t="s">
        <v>12</v>
      </c>
      <c r="D2581" t="s">
        <v>19</v>
      </c>
      <c r="E2581" t="s">
        <v>24</v>
      </c>
      <c r="F2581">
        <v>3234.37</v>
      </c>
    </row>
    <row r="2582" spans="1:6" x14ac:dyDescent="0.35">
      <c r="A2582">
        <v>1234</v>
      </c>
      <c r="B2582" s="2">
        <v>46035.375085336993</v>
      </c>
      <c r="C2582" t="s">
        <v>12</v>
      </c>
      <c r="D2582" t="s">
        <v>16</v>
      </c>
      <c r="E2582" t="s">
        <v>23</v>
      </c>
      <c r="F2582">
        <v>7349.42</v>
      </c>
    </row>
    <row r="2583" spans="1:6" x14ac:dyDescent="0.35">
      <c r="A2583">
        <v>1014</v>
      </c>
      <c r="B2583" s="2">
        <v>46035.375085336993</v>
      </c>
      <c r="C2583" t="s">
        <v>9</v>
      </c>
      <c r="D2583" t="s">
        <v>20</v>
      </c>
      <c r="E2583" t="s">
        <v>24</v>
      </c>
      <c r="F2583">
        <v>2597.5500000000002</v>
      </c>
    </row>
    <row r="2584" spans="1:6" x14ac:dyDescent="0.35">
      <c r="A2584">
        <v>1114</v>
      </c>
      <c r="B2584" s="2">
        <v>46035.375085336993</v>
      </c>
      <c r="C2584" t="s">
        <v>11</v>
      </c>
      <c r="D2584" t="s">
        <v>18</v>
      </c>
      <c r="E2584" t="s">
        <v>23</v>
      </c>
      <c r="F2584">
        <v>5380.22</v>
      </c>
    </row>
    <row r="2585" spans="1:6" x14ac:dyDescent="0.35">
      <c r="A2585">
        <v>1132</v>
      </c>
      <c r="B2585" s="2">
        <v>46035.375085336993</v>
      </c>
      <c r="C2585" t="s">
        <v>6</v>
      </c>
      <c r="D2585" t="s">
        <v>16</v>
      </c>
      <c r="E2585" t="s">
        <v>23</v>
      </c>
      <c r="F2585">
        <v>2461.1</v>
      </c>
    </row>
    <row r="2586" spans="1:6" x14ac:dyDescent="0.35">
      <c r="A2586">
        <v>1094</v>
      </c>
      <c r="B2586" s="2">
        <v>46036.375085336993</v>
      </c>
      <c r="C2586" t="s">
        <v>14</v>
      </c>
      <c r="D2586" t="s">
        <v>20</v>
      </c>
      <c r="E2586" t="s">
        <v>23</v>
      </c>
      <c r="F2586">
        <v>4299.59</v>
      </c>
    </row>
    <row r="2587" spans="1:6" x14ac:dyDescent="0.35">
      <c r="A2587">
        <v>1222</v>
      </c>
      <c r="B2587" s="2">
        <v>46036.375085336993</v>
      </c>
      <c r="C2587" t="s">
        <v>12</v>
      </c>
      <c r="D2587" t="s">
        <v>16</v>
      </c>
      <c r="E2587" t="s">
        <v>23</v>
      </c>
      <c r="F2587">
        <v>2773.47</v>
      </c>
    </row>
    <row r="2588" spans="1:6" x14ac:dyDescent="0.35">
      <c r="A2588">
        <v>1276</v>
      </c>
      <c r="B2588" s="2">
        <v>46036.375085336993</v>
      </c>
      <c r="C2588" t="s">
        <v>12</v>
      </c>
      <c r="D2588" t="s">
        <v>22</v>
      </c>
      <c r="E2588" t="s">
        <v>25</v>
      </c>
      <c r="F2588">
        <v>1866.78</v>
      </c>
    </row>
    <row r="2589" spans="1:6" x14ac:dyDescent="0.35">
      <c r="A2589">
        <v>1300</v>
      </c>
      <c r="B2589" s="2">
        <v>46036.375085336993</v>
      </c>
      <c r="C2589" t="s">
        <v>6</v>
      </c>
      <c r="D2589" t="s">
        <v>16</v>
      </c>
      <c r="E2589" t="s">
        <v>24</v>
      </c>
      <c r="F2589">
        <v>5149.17</v>
      </c>
    </row>
    <row r="2590" spans="1:6" x14ac:dyDescent="0.35">
      <c r="A2590">
        <v>1013</v>
      </c>
      <c r="B2590" s="2">
        <v>46037.375085336993</v>
      </c>
      <c r="C2590" t="s">
        <v>10</v>
      </c>
      <c r="D2590" t="s">
        <v>16</v>
      </c>
      <c r="E2590" t="s">
        <v>25</v>
      </c>
      <c r="F2590">
        <v>2245.54</v>
      </c>
    </row>
    <row r="2591" spans="1:6" x14ac:dyDescent="0.35">
      <c r="A2591">
        <v>1356</v>
      </c>
      <c r="B2591" s="2">
        <v>46037.375085336993</v>
      </c>
      <c r="C2591" t="s">
        <v>7</v>
      </c>
      <c r="D2591" t="s">
        <v>21</v>
      </c>
      <c r="E2591" t="s">
        <v>23</v>
      </c>
      <c r="F2591">
        <v>1324.53</v>
      </c>
    </row>
    <row r="2592" spans="1:6" x14ac:dyDescent="0.35">
      <c r="A2592">
        <v>1315</v>
      </c>
      <c r="B2592" s="2">
        <v>46037.375085336993</v>
      </c>
      <c r="C2592" t="s">
        <v>9</v>
      </c>
      <c r="D2592" t="s">
        <v>21</v>
      </c>
      <c r="E2592" t="s">
        <v>24</v>
      </c>
      <c r="F2592">
        <v>1256.26</v>
      </c>
    </row>
    <row r="2593" spans="1:6" x14ac:dyDescent="0.35">
      <c r="A2593">
        <v>1216</v>
      </c>
      <c r="B2593" s="2">
        <v>46037.375085336993</v>
      </c>
      <c r="C2593" t="s">
        <v>13</v>
      </c>
      <c r="D2593" t="s">
        <v>22</v>
      </c>
      <c r="E2593" t="s">
        <v>25</v>
      </c>
      <c r="F2593">
        <v>1576.33</v>
      </c>
    </row>
    <row r="2594" spans="1:6" x14ac:dyDescent="0.35">
      <c r="A2594">
        <v>1105</v>
      </c>
      <c r="B2594" s="2">
        <v>46037.375085336993</v>
      </c>
      <c r="C2594" t="s">
        <v>6</v>
      </c>
      <c r="D2594" t="s">
        <v>18</v>
      </c>
      <c r="E2594" t="s">
        <v>23</v>
      </c>
      <c r="F2594">
        <v>2121.1999999999998</v>
      </c>
    </row>
    <row r="2595" spans="1:6" x14ac:dyDescent="0.35">
      <c r="A2595">
        <v>1322</v>
      </c>
      <c r="B2595" s="2">
        <v>46038.375085336993</v>
      </c>
      <c r="C2595" t="s">
        <v>7</v>
      </c>
      <c r="D2595" t="s">
        <v>21</v>
      </c>
      <c r="E2595" t="s">
        <v>25</v>
      </c>
      <c r="F2595">
        <v>5422.88</v>
      </c>
    </row>
    <row r="2596" spans="1:6" x14ac:dyDescent="0.35">
      <c r="A2596">
        <v>1213</v>
      </c>
      <c r="B2596" s="2">
        <v>46038.375085336993</v>
      </c>
      <c r="C2596" t="s">
        <v>6</v>
      </c>
      <c r="D2596" t="s">
        <v>20</v>
      </c>
      <c r="E2596" t="s">
        <v>23</v>
      </c>
      <c r="F2596">
        <v>2150.25</v>
      </c>
    </row>
    <row r="2597" spans="1:6" x14ac:dyDescent="0.35">
      <c r="A2597">
        <v>1289</v>
      </c>
      <c r="B2597" s="2">
        <v>46039.375085336993</v>
      </c>
      <c r="C2597" t="s">
        <v>7</v>
      </c>
      <c r="D2597" t="s">
        <v>17</v>
      </c>
      <c r="E2597" t="s">
        <v>24</v>
      </c>
      <c r="F2597">
        <v>3294.53</v>
      </c>
    </row>
    <row r="2598" spans="1:6" x14ac:dyDescent="0.35">
      <c r="A2598">
        <v>1368</v>
      </c>
      <c r="B2598" s="2">
        <v>46039.375085336993</v>
      </c>
      <c r="C2598" t="s">
        <v>7</v>
      </c>
      <c r="D2598" t="s">
        <v>18</v>
      </c>
      <c r="E2598" t="s">
        <v>25</v>
      </c>
      <c r="F2598">
        <v>2387.63</v>
      </c>
    </row>
    <row r="2599" spans="1:6" x14ac:dyDescent="0.35">
      <c r="A2599">
        <v>1325</v>
      </c>
      <c r="B2599" s="2">
        <v>46039.375085336993</v>
      </c>
      <c r="C2599" t="s">
        <v>15</v>
      </c>
      <c r="D2599" t="s">
        <v>21</v>
      </c>
      <c r="E2599" t="s">
        <v>23</v>
      </c>
      <c r="F2599">
        <v>3173.67</v>
      </c>
    </row>
    <row r="2600" spans="1:6" x14ac:dyDescent="0.35">
      <c r="A2600">
        <v>1221</v>
      </c>
      <c r="B2600" s="2">
        <v>46040.375085336993</v>
      </c>
      <c r="C2600" t="s">
        <v>12</v>
      </c>
      <c r="D2600" t="s">
        <v>21</v>
      </c>
      <c r="E2600" t="s">
        <v>24</v>
      </c>
      <c r="F2600">
        <v>5830.96</v>
      </c>
    </row>
    <row r="2601" spans="1:6" x14ac:dyDescent="0.35">
      <c r="A2601">
        <v>1205</v>
      </c>
      <c r="B2601" s="2">
        <v>46040.375085336993</v>
      </c>
      <c r="C2601" t="s">
        <v>14</v>
      </c>
      <c r="D2601" t="s">
        <v>20</v>
      </c>
      <c r="E2601" t="s">
        <v>23</v>
      </c>
      <c r="F2601">
        <v>3284.48</v>
      </c>
    </row>
    <row r="2602" spans="1:6" x14ac:dyDescent="0.35">
      <c r="A2602">
        <v>1053</v>
      </c>
      <c r="B2602" s="2">
        <v>46041.375085336993</v>
      </c>
      <c r="C2602" t="s">
        <v>11</v>
      </c>
      <c r="D2602" t="s">
        <v>17</v>
      </c>
      <c r="E2602" t="s">
        <v>25</v>
      </c>
      <c r="F2602">
        <v>5528.63</v>
      </c>
    </row>
    <row r="2603" spans="1:6" x14ac:dyDescent="0.35">
      <c r="A2603">
        <v>1015</v>
      </c>
      <c r="B2603" s="2">
        <v>46041.375085336993</v>
      </c>
      <c r="C2603" t="s">
        <v>12</v>
      </c>
      <c r="D2603" t="s">
        <v>20</v>
      </c>
      <c r="E2603" t="s">
        <v>24</v>
      </c>
      <c r="F2603">
        <v>2804.87</v>
      </c>
    </row>
    <row r="2604" spans="1:6" x14ac:dyDescent="0.35">
      <c r="A2604">
        <v>1159</v>
      </c>
      <c r="B2604" s="2">
        <v>46042.375085336993</v>
      </c>
      <c r="C2604" t="s">
        <v>15</v>
      </c>
      <c r="D2604" t="s">
        <v>18</v>
      </c>
      <c r="E2604" t="s">
        <v>24</v>
      </c>
      <c r="F2604">
        <v>1136.57</v>
      </c>
    </row>
    <row r="2605" spans="1:6" x14ac:dyDescent="0.35">
      <c r="A2605">
        <v>1354</v>
      </c>
      <c r="B2605" s="2">
        <v>46042.375085336993</v>
      </c>
      <c r="C2605" t="s">
        <v>13</v>
      </c>
      <c r="D2605" t="s">
        <v>16</v>
      </c>
      <c r="E2605" t="s">
        <v>24</v>
      </c>
      <c r="F2605">
        <v>4509.33</v>
      </c>
    </row>
    <row r="2606" spans="1:6" x14ac:dyDescent="0.35">
      <c r="A2606">
        <v>1000</v>
      </c>
      <c r="B2606" s="2">
        <v>46042.375085336993</v>
      </c>
      <c r="C2606" t="s">
        <v>13</v>
      </c>
      <c r="D2606" t="s">
        <v>22</v>
      </c>
      <c r="E2606" t="s">
        <v>24</v>
      </c>
      <c r="F2606">
        <v>2539.23</v>
      </c>
    </row>
    <row r="2607" spans="1:6" x14ac:dyDescent="0.35">
      <c r="A2607">
        <v>1169</v>
      </c>
      <c r="B2607" s="2">
        <v>46042.375085336993</v>
      </c>
      <c r="C2607" t="s">
        <v>7</v>
      </c>
      <c r="D2607" t="s">
        <v>16</v>
      </c>
      <c r="E2607" t="s">
        <v>24</v>
      </c>
      <c r="F2607">
        <v>10943.67</v>
      </c>
    </row>
    <row r="2608" spans="1:6" x14ac:dyDescent="0.35">
      <c r="A2608">
        <v>1105</v>
      </c>
      <c r="B2608" s="2">
        <v>46043.375085336993</v>
      </c>
      <c r="C2608" t="s">
        <v>9</v>
      </c>
      <c r="D2608" t="s">
        <v>16</v>
      </c>
      <c r="E2608" t="s">
        <v>24</v>
      </c>
      <c r="F2608">
        <v>3807.3</v>
      </c>
    </row>
    <row r="2609" spans="1:6" x14ac:dyDescent="0.35">
      <c r="A2609">
        <v>1211</v>
      </c>
      <c r="B2609" s="2">
        <v>46043.375085336993</v>
      </c>
      <c r="C2609" t="s">
        <v>10</v>
      </c>
      <c r="D2609" t="s">
        <v>21</v>
      </c>
      <c r="E2609" t="s">
        <v>23</v>
      </c>
      <c r="F2609">
        <v>1766.01</v>
      </c>
    </row>
    <row r="2610" spans="1:6" x14ac:dyDescent="0.35">
      <c r="A2610">
        <v>1230</v>
      </c>
      <c r="B2610" s="2">
        <v>46043.375085336993</v>
      </c>
      <c r="C2610" t="s">
        <v>15</v>
      </c>
      <c r="D2610" t="s">
        <v>19</v>
      </c>
      <c r="E2610" t="s">
        <v>23</v>
      </c>
      <c r="F2610">
        <v>1548.8</v>
      </c>
    </row>
    <row r="2611" spans="1:6" x14ac:dyDescent="0.35">
      <c r="A2611">
        <v>1192</v>
      </c>
      <c r="B2611" s="2">
        <v>46043.375085336993</v>
      </c>
      <c r="C2611" t="s">
        <v>13</v>
      </c>
      <c r="D2611" t="s">
        <v>19</v>
      </c>
      <c r="E2611" t="s">
        <v>23</v>
      </c>
      <c r="F2611">
        <v>709.74</v>
      </c>
    </row>
    <row r="2612" spans="1:6" x14ac:dyDescent="0.35">
      <c r="A2612">
        <v>1187</v>
      </c>
      <c r="B2612" s="2">
        <v>46043.375085336993</v>
      </c>
      <c r="C2612" t="s">
        <v>12</v>
      </c>
      <c r="D2612" t="s">
        <v>17</v>
      </c>
      <c r="E2612" t="s">
        <v>25</v>
      </c>
      <c r="F2612">
        <v>10979.83</v>
      </c>
    </row>
    <row r="2613" spans="1:6" x14ac:dyDescent="0.35">
      <c r="A2613">
        <v>1114</v>
      </c>
      <c r="B2613" s="2">
        <v>46043.375085336993</v>
      </c>
      <c r="C2613" t="s">
        <v>9</v>
      </c>
      <c r="D2613" t="s">
        <v>17</v>
      </c>
      <c r="E2613" t="s">
        <v>24</v>
      </c>
      <c r="F2613">
        <v>4309.24</v>
      </c>
    </row>
    <row r="2614" spans="1:6" x14ac:dyDescent="0.35">
      <c r="A2614">
        <v>1166</v>
      </c>
      <c r="B2614" s="2">
        <v>46043.375085336993</v>
      </c>
      <c r="C2614" t="s">
        <v>7</v>
      </c>
      <c r="D2614" t="s">
        <v>18</v>
      </c>
      <c r="E2614" t="s">
        <v>25</v>
      </c>
      <c r="F2614">
        <v>7725.25</v>
      </c>
    </row>
    <row r="2615" spans="1:6" x14ac:dyDescent="0.35">
      <c r="A2615">
        <v>1297</v>
      </c>
      <c r="B2615" s="2">
        <v>46044.375085336993</v>
      </c>
      <c r="C2615" t="s">
        <v>7</v>
      </c>
      <c r="D2615" t="s">
        <v>21</v>
      </c>
      <c r="E2615" t="s">
        <v>25</v>
      </c>
      <c r="F2615">
        <v>3249.28</v>
      </c>
    </row>
    <row r="2616" spans="1:6" x14ac:dyDescent="0.35">
      <c r="A2616">
        <v>1169</v>
      </c>
      <c r="B2616" s="2">
        <v>46044.375085336993</v>
      </c>
      <c r="C2616" t="s">
        <v>8</v>
      </c>
      <c r="D2616" t="s">
        <v>18</v>
      </c>
      <c r="E2616" t="s">
        <v>25</v>
      </c>
      <c r="F2616">
        <v>3655.24</v>
      </c>
    </row>
    <row r="2617" spans="1:6" x14ac:dyDescent="0.35">
      <c r="A2617">
        <v>1162</v>
      </c>
      <c r="B2617" s="2">
        <v>46044.375085336993</v>
      </c>
      <c r="C2617" t="s">
        <v>10</v>
      </c>
      <c r="D2617" t="s">
        <v>17</v>
      </c>
      <c r="E2617" t="s">
        <v>25</v>
      </c>
      <c r="F2617">
        <v>2895.9</v>
      </c>
    </row>
    <row r="2618" spans="1:6" x14ac:dyDescent="0.35">
      <c r="A2618">
        <v>1365</v>
      </c>
      <c r="B2618" s="2">
        <v>46044.375085336993</v>
      </c>
      <c r="C2618" t="s">
        <v>12</v>
      </c>
      <c r="D2618" t="s">
        <v>19</v>
      </c>
      <c r="E2618" t="s">
        <v>23</v>
      </c>
      <c r="F2618">
        <v>1653.09</v>
      </c>
    </row>
    <row r="2619" spans="1:6" x14ac:dyDescent="0.35">
      <c r="A2619">
        <v>1100</v>
      </c>
      <c r="B2619" s="2">
        <v>46044.375085336993</v>
      </c>
      <c r="C2619" t="s">
        <v>12</v>
      </c>
      <c r="D2619" t="s">
        <v>19</v>
      </c>
      <c r="E2619" t="s">
        <v>24</v>
      </c>
      <c r="F2619">
        <v>5107.7700000000004</v>
      </c>
    </row>
    <row r="2620" spans="1:6" x14ac:dyDescent="0.35">
      <c r="A2620">
        <v>1163</v>
      </c>
      <c r="B2620" s="2">
        <v>46044.375085336993</v>
      </c>
      <c r="C2620" t="s">
        <v>15</v>
      </c>
      <c r="D2620" t="s">
        <v>18</v>
      </c>
      <c r="E2620" t="s">
        <v>23</v>
      </c>
      <c r="F2620">
        <v>3486.38</v>
      </c>
    </row>
    <row r="2621" spans="1:6" x14ac:dyDescent="0.35">
      <c r="A2621">
        <v>1038</v>
      </c>
      <c r="B2621" s="2">
        <v>46045.375085336993</v>
      </c>
      <c r="C2621" t="s">
        <v>13</v>
      </c>
      <c r="D2621" t="s">
        <v>20</v>
      </c>
      <c r="E2621" t="s">
        <v>23</v>
      </c>
      <c r="F2621">
        <v>3568.22</v>
      </c>
    </row>
    <row r="2622" spans="1:6" x14ac:dyDescent="0.35">
      <c r="A2622">
        <v>1057</v>
      </c>
      <c r="B2622" s="2">
        <v>46045.375085336993</v>
      </c>
      <c r="C2622" t="s">
        <v>15</v>
      </c>
      <c r="D2622" t="s">
        <v>20</v>
      </c>
      <c r="E2622" t="s">
        <v>23</v>
      </c>
      <c r="F2622">
        <v>1650.8</v>
      </c>
    </row>
    <row r="2623" spans="1:6" x14ac:dyDescent="0.35">
      <c r="A2623">
        <v>1127</v>
      </c>
      <c r="B2623" s="2">
        <v>46045.375085336993</v>
      </c>
      <c r="C2623" t="s">
        <v>7</v>
      </c>
      <c r="D2623" t="s">
        <v>22</v>
      </c>
      <c r="E2623" t="s">
        <v>25</v>
      </c>
      <c r="F2623">
        <v>2337.6999999999998</v>
      </c>
    </row>
    <row r="2624" spans="1:6" x14ac:dyDescent="0.35">
      <c r="A2624">
        <v>1197</v>
      </c>
      <c r="B2624" s="2">
        <v>46045.375085336993</v>
      </c>
      <c r="C2624" t="s">
        <v>10</v>
      </c>
      <c r="D2624" t="s">
        <v>22</v>
      </c>
      <c r="E2624" t="s">
        <v>24</v>
      </c>
      <c r="F2624">
        <v>2254.0700000000002</v>
      </c>
    </row>
    <row r="2625" spans="1:6" x14ac:dyDescent="0.35">
      <c r="A2625">
        <v>1309</v>
      </c>
      <c r="B2625" s="2">
        <v>46046.375085336993</v>
      </c>
      <c r="C2625" t="s">
        <v>11</v>
      </c>
      <c r="D2625" t="s">
        <v>20</v>
      </c>
      <c r="E2625" t="s">
        <v>23</v>
      </c>
      <c r="F2625">
        <v>3838.4</v>
      </c>
    </row>
    <row r="2626" spans="1:6" x14ac:dyDescent="0.35">
      <c r="A2626">
        <v>1267</v>
      </c>
      <c r="B2626" s="2">
        <v>46047.375085336993</v>
      </c>
      <c r="C2626" t="s">
        <v>6</v>
      </c>
      <c r="D2626" t="s">
        <v>18</v>
      </c>
      <c r="E2626" t="s">
        <v>23</v>
      </c>
      <c r="F2626">
        <v>7123.8</v>
      </c>
    </row>
    <row r="2627" spans="1:6" x14ac:dyDescent="0.35">
      <c r="A2627">
        <v>1072</v>
      </c>
      <c r="B2627" s="2">
        <v>46047.375085336993</v>
      </c>
      <c r="C2627" t="s">
        <v>9</v>
      </c>
      <c r="D2627" t="s">
        <v>19</v>
      </c>
      <c r="E2627" t="s">
        <v>23</v>
      </c>
      <c r="F2627">
        <v>772.7</v>
      </c>
    </row>
    <row r="2628" spans="1:6" x14ac:dyDescent="0.35">
      <c r="A2628">
        <v>1366</v>
      </c>
      <c r="B2628" s="2">
        <v>46048.375085336993</v>
      </c>
      <c r="C2628" t="s">
        <v>15</v>
      </c>
      <c r="D2628" t="s">
        <v>17</v>
      </c>
      <c r="E2628" t="s">
        <v>25</v>
      </c>
      <c r="F2628">
        <v>1298.3499999999999</v>
      </c>
    </row>
    <row r="2629" spans="1:6" x14ac:dyDescent="0.35">
      <c r="A2629">
        <v>1140</v>
      </c>
      <c r="B2629" s="2">
        <v>46048.375085336993</v>
      </c>
      <c r="C2629" t="s">
        <v>12</v>
      </c>
      <c r="D2629" t="s">
        <v>20</v>
      </c>
      <c r="E2629" t="s">
        <v>23</v>
      </c>
      <c r="F2629">
        <v>6590.73</v>
      </c>
    </row>
    <row r="2630" spans="1:6" x14ac:dyDescent="0.35">
      <c r="A2630">
        <v>1157</v>
      </c>
      <c r="B2630" s="2">
        <v>46049.375085336993</v>
      </c>
      <c r="C2630" t="s">
        <v>15</v>
      </c>
      <c r="D2630" t="s">
        <v>19</v>
      </c>
      <c r="E2630" t="s">
        <v>24</v>
      </c>
      <c r="F2630">
        <v>2985.92</v>
      </c>
    </row>
    <row r="2631" spans="1:6" x14ac:dyDescent="0.35">
      <c r="A2631">
        <v>1318</v>
      </c>
      <c r="B2631" s="2">
        <v>46049.375085336993</v>
      </c>
      <c r="C2631" t="s">
        <v>13</v>
      </c>
      <c r="D2631" t="s">
        <v>20</v>
      </c>
      <c r="E2631" t="s">
        <v>23</v>
      </c>
      <c r="F2631">
        <v>9505.23</v>
      </c>
    </row>
    <row r="2632" spans="1:6" x14ac:dyDescent="0.35">
      <c r="A2632">
        <v>1260</v>
      </c>
      <c r="B2632" s="2">
        <v>46049.375085336993</v>
      </c>
      <c r="C2632" t="s">
        <v>13</v>
      </c>
      <c r="D2632" t="s">
        <v>18</v>
      </c>
      <c r="E2632" t="s">
        <v>25</v>
      </c>
      <c r="F2632">
        <v>9899.76</v>
      </c>
    </row>
    <row r="2633" spans="1:6" x14ac:dyDescent="0.35">
      <c r="A2633">
        <v>1256</v>
      </c>
      <c r="B2633" s="2">
        <v>46050.375085336993</v>
      </c>
      <c r="C2633" t="s">
        <v>7</v>
      </c>
      <c r="D2633" t="s">
        <v>21</v>
      </c>
      <c r="E2633" t="s">
        <v>24</v>
      </c>
      <c r="F2633">
        <v>2121.12</v>
      </c>
    </row>
    <row r="2634" spans="1:6" x14ac:dyDescent="0.35">
      <c r="A2634">
        <v>1304</v>
      </c>
      <c r="B2634" s="2">
        <v>46050.375085336993</v>
      </c>
      <c r="C2634" t="s">
        <v>14</v>
      </c>
      <c r="D2634" t="s">
        <v>20</v>
      </c>
      <c r="E2634" t="s">
        <v>24</v>
      </c>
      <c r="F2634">
        <v>11268.14</v>
      </c>
    </row>
    <row r="2635" spans="1:6" x14ac:dyDescent="0.35">
      <c r="A2635">
        <v>1098</v>
      </c>
      <c r="B2635" s="2">
        <v>46050.375085336993</v>
      </c>
      <c r="C2635" t="s">
        <v>13</v>
      </c>
      <c r="D2635" t="s">
        <v>20</v>
      </c>
      <c r="E2635" t="s">
        <v>25</v>
      </c>
      <c r="F2635">
        <v>411.15</v>
      </c>
    </row>
    <row r="2636" spans="1:6" x14ac:dyDescent="0.35">
      <c r="A2636">
        <v>1250</v>
      </c>
      <c r="B2636" s="2">
        <v>46050.375085336993</v>
      </c>
      <c r="C2636" t="s">
        <v>8</v>
      </c>
      <c r="D2636" t="s">
        <v>21</v>
      </c>
      <c r="E2636" t="s">
        <v>23</v>
      </c>
      <c r="F2636">
        <v>10552.49</v>
      </c>
    </row>
    <row r="2637" spans="1:6" x14ac:dyDescent="0.35">
      <c r="A2637">
        <v>1394</v>
      </c>
      <c r="B2637" s="2">
        <v>46050.375085336993</v>
      </c>
      <c r="C2637" t="s">
        <v>14</v>
      </c>
      <c r="D2637" t="s">
        <v>16</v>
      </c>
      <c r="E2637" t="s">
        <v>23</v>
      </c>
      <c r="F2637">
        <v>4311.05</v>
      </c>
    </row>
    <row r="2638" spans="1:6" x14ac:dyDescent="0.35">
      <c r="A2638">
        <v>1366</v>
      </c>
      <c r="B2638" s="2">
        <v>46051.375085336993</v>
      </c>
      <c r="C2638" t="s">
        <v>9</v>
      </c>
      <c r="D2638" t="s">
        <v>22</v>
      </c>
      <c r="E2638" t="s">
        <v>24</v>
      </c>
      <c r="F2638">
        <v>4637.95</v>
      </c>
    </row>
    <row r="2639" spans="1:6" x14ac:dyDescent="0.35">
      <c r="A2639">
        <v>1384</v>
      </c>
      <c r="B2639" s="2">
        <v>46051.375085336993</v>
      </c>
      <c r="C2639" t="s">
        <v>8</v>
      </c>
      <c r="D2639" t="s">
        <v>17</v>
      </c>
      <c r="E2639" t="s">
        <v>23</v>
      </c>
      <c r="F2639">
        <v>5745.3</v>
      </c>
    </row>
    <row r="2640" spans="1:6" x14ac:dyDescent="0.35">
      <c r="A2640">
        <v>1131</v>
      </c>
      <c r="B2640" s="2">
        <v>46051.375085336993</v>
      </c>
      <c r="C2640" t="s">
        <v>6</v>
      </c>
      <c r="D2640" t="s">
        <v>21</v>
      </c>
      <c r="E2640" t="s">
        <v>23</v>
      </c>
      <c r="F2640">
        <v>1879.61</v>
      </c>
    </row>
    <row r="2641" spans="1:6" x14ac:dyDescent="0.35">
      <c r="A2641">
        <v>1045</v>
      </c>
      <c r="B2641" s="2">
        <v>46051.375085336993</v>
      </c>
      <c r="C2641" t="s">
        <v>10</v>
      </c>
      <c r="D2641" t="s">
        <v>22</v>
      </c>
      <c r="E2641" t="s">
        <v>25</v>
      </c>
      <c r="F2641">
        <v>1286.29</v>
      </c>
    </row>
    <row r="2642" spans="1:6" x14ac:dyDescent="0.35">
      <c r="A2642">
        <v>1082</v>
      </c>
      <c r="B2642" s="2">
        <v>46052.375085336993</v>
      </c>
      <c r="C2642" t="s">
        <v>11</v>
      </c>
      <c r="D2642" t="s">
        <v>20</v>
      </c>
      <c r="E2642" t="s">
        <v>23</v>
      </c>
      <c r="F2642">
        <v>3014.42</v>
      </c>
    </row>
    <row r="2643" spans="1:6" x14ac:dyDescent="0.35">
      <c r="A2643">
        <v>1089</v>
      </c>
      <c r="B2643" s="2">
        <v>46052.375085336993</v>
      </c>
      <c r="C2643" t="s">
        <v>10</v>
      </c>
      <c r="D2643" t="s">
        <v>17</v>
      </c>
      <c r="E2643" t="s">
        <v>24</v>
      </c>
      <c r="F2643">
        <v>1950.99</v>
      </c>
    </row>
    <row r="2644" spans="1:6" x14ac:dyDescent="0.35">
      <c r="A2644">
        <v>1128</v>
      </c>
      <c r="B2644" s="2">
        <v>46053.375085336993</v>
      </c>
      <c r="C2644" t="s">
        <v>10</v>
      </c>
      <c r="D2644" t="s">
        <v>22</v>
      </c>
      <c r="E2644" t="s">
        <v>24</v>
      </c>
      <c r="F2644">
        <v>1257.77</v>
      </c>
    </row>
    <row r="2645" spans="1:6" x14ac:dyDescent="0.35">
      <c r="A2645">
        <v>1078</v>
      </c>
      <c r="B2645" s="2">
        <v>46053.375085336993</v>
      </c>
      <c r="C2645" t="s">
        <v>10</v>
      </c>
      <c r="D2645" t="s">
        <v>18</v>
      </c>
      <c r="E2645" t="s">
        <v>23</v>
      </c>
      <c r="F2645">
        <v>3007.86</v>
      </c>
    </row>
    <row r="2646" spans="1:6" x14ac:dyDescent="0.35">
      <c r="A2646">
        <v>1259</v>
      </c>
      <c r="B2646" s="2">
        <v>46053.375085336993</v>
      </c>
      <c r="C2646" t="s">
        <v>8</v>
      </c>
      <c r="D2646" t="s">
        <v>17</v>
      </c>
      <c r="E2646" t="s">
        <v>24</v>
      </c>
      <c r="F2646">
        <v>3012.92</v>
      </c>
    </row>
    <row r="2647" spans="1:6" x14ac:dyDescent="0.35">
      <c r="A2647">
        <v>1211</v>
      </c>
      <c r="B2647" s="2">
        <v>46054.375085336993</v>
      </c>
      <c r="C2647" t="s">
        <v>10</v>
      </c>
      <c r="D2647" t="s">
        <v>18</v>
      </c>
      <c r="E2647" t="s">
        <v>24</v>
      </c>
      <c r="F2647">
        <v>6099.54</v>
      </c>
    </row>
    <row r="2648" spans="1:6" x14ac:dyDescent="0.35">
      <c r="A2648">
        <v>1085</v>
      </c>
      <c r="B2648" s="2">
        <v>46054.375085336993</v>
      </c>
      <c r="C2648" t="s">
        <v>8</v>
      </c>
      <c r="D2648" t="s">
        <v>18</v>
      </c>
      <c r="E2648" t="s">
        <v>25</v>
      </c>
      <c r="F2648">
        <v>1486.92</v>
      </c>
    </row>
    <row r="2649" spans="1:6" x14ac:dyDescent="0.35">
      <c r="A2649">
        <v>1118</v>
      </c>
      <c r="B2649" s="2">
        <v>46054.375085336993</v>
      </c>
      <c r="C2649" t="s">
        <v>11</v>
      </c>
      <c r="D2649" t="s">
        <v>18</v>
      </c>
      <c r="E2649" t="s">
        <v>23</v>
      </c>
      <c r="F2649">
        <v>1246.53</v>
      </c>
    </row>
    <row r="2650" spans="1:6" x14ac:dyDescent="0.35">
      <c r="A2650">
        <v>1200</v>
      </c>
      <c r="B2650" s="2">
        <v>46054.375085336993</v>
      </c>
      <c r="C2650" t="s">
        <v>12</v>
      </c>
      <c r="D2650" t="s">
        <v>16</v>
      </c>
      <c r="E2650" t="s">
        <v>24</v>
      </c>
      <c r="F2650">
        <v>1722.11</v>
      </c>
    </row>
    <row r="2651" spans="1:6" x14ac:dyDescent="0.35">
      <c r="A2651">
        <v>1378</v>
      </c>
      <c r="B2651" s="2">
        <v>46054.375085336993</v>
      </c>
      <c r="C2651" t="s">
        <v>12</v>
      </c>
      <c r="D2651" t="s">
        <v>16</v>
      </c>
      <c r="E2651" t="s">
        <v>23</v>
      </c>
      <c r="F2651">
        <v>4603.63</v>
      </c>
    </row>
    <row r="2652" spans="1:6" x14ac:dyDescent="0.35">
      <c r="A2652">
        <v>1043</v>
      </c>
      <c r="B2652" s="2">
        <v>46055.375085336993</v>
      </c>
      <c r="C2652" t="s">
        <v>8</v>
      </c>
      <c r="D2652" t="s">
        <v>16</v>
      </c>
      <c r="E2652" t="s">
        <v>24</v>
      </c>
      <c r="F2652">
        <v>2881.66</v>
      </c>
    </row>
    <row r="2653" spans="1:6" x14ac:dyDescent="0.35">
      <c r="A2653">
        <v>1008</v>
      </c>
      <c r="B2653" s="2">
        <v>46055.375085336993</v>
      </c>
      <c r="C2653" t="s">
        <v>10</v>
      </c>
      <c r="D2653" t="s">
        <v>20</v>
      </c>
      <c r="E2653" t="s">
        <v>25</v>
      </c>
      <c r="F2653">
        <v>2118.9499999999998</v>
      </c>
    </row>
    <row r="2654" spans="1:6" x14ac:dyDescent="0.35">
      <c r="A2654">
        <v>1309</v>
      </c>
      <c r="B2654" s="2">
        <v>46055.375085336993</v>
      </c>
      <c r="C2654" t="s">
        <v>8</v>
      </c>
      <c r="D2654" t="s">
        <v>19</v>
      </c>
      <c r="E2654" t="s">
        <v>25</v>
      </c>
      <c r="F2654">
        <v>6005.95</v>
      </c>
    </row>
    <row r="2655" spans="1:6" x14ac:dyDescent="0.35">
      <c r="A2655">
        <v>1149</v>
      </c>
      <c r="B2655" s="2">
        <v>46055.375085336993</v>
      </c>
      <c r="C2655" t="s">
        <v>9</v>
      </c>
      <c r="D2655" t="s">
        <v>21</v>
      </c>
      <c r="E2655" t="s">
        <v>25</v>
      </c>
      <c r="F2655">
        <v>3131.55</v>
      </c>
    </row>
    <row r="2656" spans="1:6" x14ac:dyDescent="0.35">
      <c r="A2656">
        <v>1038</v>
      </c>
      <c r="B2656" s="2">
        <v>46055.375085336993</v>
      </c>
      <c r="C2656" t="s">
        <v>14</v>
      </c>
      <c r="D2656" t="s">
        <v>21</v>
      </c>
      <c r="E2656" t="s">
        <v>24</v>
      </c>
      <c r="F2656">
        <v>2353.7199999999998</v>
      </c>
    </row>
    <row r="2657" spans="1:6" x14ac:dyDescent="0.35">
      <c r="A2657">
        <v>1322</v>
      </c>
      <c r="B2657" s="2">
        <v>46055.375085336993</v>
      </c>
      <c r="C2657" t="s">
        <v>7</v>
      </c>
      <c r="D2657" t="s">
        <v>21</v>
      </c>
      <c r="E2657" t="s">
        <v>24</v>
      </c>
      <c r="F2657">
        <v>3529.93</v>
      </c>
    </row>
    <row r="2658" spans="1:6" x14ac:dyDescent="0.35">
      <c r="A2658">
        <v>1073</v>
      </c>
      <c r="B2658" s="2">
        <v>46055.375085336993</v>
      </c>
      <c r="C2658" t="s">
        <v>9</v>
      </c>
      <c r="D2658" t="s">
        <v>17</v>
      </c>
      <c r="E2658" t="s">
        <v>23</v>
      </c>
      <c r="F2658">
        <v>3146.93</v>
      </c>
    </row>
    <row r="2659" spans="1:6" x14ac:dyDescent="0.35">
      <c r="A2659">
        <v>1075</v>
      </c>
      <c r="B2659" s="2">
        <v>46055.375085336993</v>
      </c>
      <c r="C2659" t="s">
        <v>13</v>
      </c>
      <c r="D2659" t="s">
        <v>19</v>
      </c>
      <c r="E2659" t="s">
        <v>24</v>
      </c>
      <c r="F2659">
        <v>3657.47</v>
      </c>
    </row>
    <row r="2660" spans="1:6" x14ac:dyDescent="0.35">
      <c r="A2660">
        <v>1292</v>
      </c>
      <c r="B2660" s="2">
        <v>46056.375085336993</v>
      </c>
      <c r="C2660" t="s">
        <v>6</v>
      </c>
      <c r="D2660" t="s">
        <v>17</v>
      </c>
      <c r="E2660" t="s">
        <v>23</v>
      </c>
      <c r="F2660">
        <v>1636.2</v>
      </c>
    </row>
    <row r="2661" spans="1:6" x14ac:dyDescent="0.35">
      <c r="A2661">
        <v>1016</v>
      </c>
      <c r="B2661" s="2">
        <v>46056.375085336993</v>
      </c>
      <c r="C2661" t="s">
        <v>12</v>
      </c>
      <c r="D2661" t="s">
        <v>21</v>
      </c>
      <c r="E2661" t="s">
        <v>23</v>
      </c>
      <c r="F2661">
        <v>1140.07</v>
      </c>
    </row>
    <row r="2662" spans="1:6" x14ac:dyDescent="0.35">
      <c r="A2662">
        <v>1309</v>
      </c>
      <c r="B2662" s="2">
        <v>46056.375085336993</v>
      </c>
      <c r="C2662" t="s">
        <v>7</v>
      </c>
      <c r="D2662" t="s">
        <v>20</v>
      </c>
      <c r="E2662" t="s">
        <v>24</v>
      </c>
      <c r="F2662">
        <v>3473.45</v>
      </c>
    </row>
    <row r="2663" spans="1:6" x14ac:dyDescent="0.35">
      <c r="A2663">
        <v>1120</v>
      </c>
      <c r="B2663" s="2">
        <v>46056.375085336993</v>
      </c>
      <c r="C2663" t="s">
        <v>14</v>
      </c>
      <c r="D2663" t="s">
        <v>17</v>
      </c>
      <c r="E2663" t="s">
        <v>24</v>
      </c>
      <c r="F2663">
        <v>2728.36</v>
      </c>
    </row>
    <row r="2664" spans="1:6" x14ac:dyDescent="0.35">
      <c r="A2664">
        <v>1048</v>
      </c>
      <c r="B2664" s="2">
        <v>46056.375085336993</v>
      </c>
      <c r="C2664" t="s">
        <v>13</v>
      </c>
      <c r="D2664" t="s">
        <v>18</v>
      </c>
      <c r="E2664" t="s">
        <v>24</v>
      </c>
      <c r="F2664">
        <v>5639.24</v>
      </c>
    </row>
    <row r="2665" spans="1:6" x14ac:dyDescent="0.35">
      <c r="A2665">
        <v>1233</v>
      </c>
      <c r="B2665" s="2">
        <v>46056.375085336993</v>
      </c>
      <c r="C2665" t="s">
        <v>14</v>
      </c>
      <c r="D2665" t="s">
        <v>19</v>
      </c>
      <c r="E2665" t="s">
        <v>25</v>
      </c>
      <c r="F2665">
        <v>8329.41</v>
      </c>
    </row>
    <row r="2666" spans="1:6" x14ac:dyDescent="0.35">
      <c r="A2666">
        <v>1352</v>
      </c>
      <c r="B2666" s="2">
        <v>46057.375085336993</v>
      </c>
      <c r="C2666" t="s">
        <v>8</v>
      </c>
      <c r="D2666" t="s">
        <v>16</v>
      </c>
      <c r="E2666" t="s">
        <v>24</v>
      </c>
      <c r="F2666">
        <v>12700.16</v>
      </c>
    </row>
    <row r="2667" spans="1:6" x14ac:dyDescent="0.35">
      <c r="A2667">
        <v>1362</v>
      </c>
      <c r="B2667" s="2">
        <v>46057.375085336993</v>
      </c>
      <c r="C2667" t="s">
        <v>9</v>
      </c>
      <c r="D2667" t="s">
        <v>16</v>
      </c>
      <c r="E2667" t="s">
        <v>23</v>
      </c>
      <c r="F2667">
        <v>3913.71</v>
      </c>
    </row>
    <row r="2668" spans="1:6" x14ac:dyDescent="0.35">
      <c r="A2668">
        <v>1155</v>
      </c>
      <c r="B2668" s="2">
        <v>46058.375085336993</v>
      </c>
      <c r="C2668" t="s">
        <v>11</v>
      </c>
      <c r="D2668" t="s">
        <v>17</v>
      </c>
      <c r="E2668" t="s">
        <v>23</v>
      </c>
      <c r="F2668">
        <v>1229.76</v>
      </c>
    </row>
    <row r="2669" spans="1:6" x14ac:dyDescent="0.35">
      <c r="A2669">
        <v>1384</v>
      </c>
      <c r="B2669" s="2">
        <v>46058.375085336993</v>
      </c>
      <c r="C2669" t="s">
        <v>15</v>
      </c>
      <c r="D2669" t="s">
        <v>22</v>
      </c>
      <c r="E2669" t="s">
        <v>25</v>
      </c>
      <c r="F2669">
        <v>10455.19</v>
      </c>
    </row>
    <row r="2670" spans="1:6" x14ac:dyDescent="0.35">
      <c r="A2670">
        <v>1159</v>
      </c>
      <c r="B2670" s="2">
        <v>46058.375085336993</v>
      </c>
      <c r="C2670" t="s">
        <v>14</v>
      </c>
      <c r="D2670" t="s">
        <v>16</v>
      </c>
      <c r="E2670" t="s">
        <v>25</v>
      </c>
      <c r="F2670">
        <v>5365.56</v>
      </c>
    </row>
    <row r="2671" spans="1:6" x14ac:dyDescent="0.35">
      <c r="A2671">
        <v>1301</v>
      </c>
      <c r="B2671" s="2">
        <v>46058.375085336993</v>
      </c>
      <c r="C2671" t="s">
        <v>7</v>
      </c>
      <c r="D2671" t="s">
        <v>19</v>
      </c>
      <c r="E2671" t="s">
        <v>24</v>
      </c>
      <c r="F2671">
        <v>5817.93</v>
      </c>
    </row>
    <row r="2672" spans="1:6" x14ac:dyDescent="0.35">
      <c r="A2672">
        <v>1135</v>
      </c>
      <c r="B2672" s="2">
        <v>46058.375085336993</v>
      </c>
      <c r="C2672" t="s">
        <v>6</v>
      </c>
      <c r="D2672" t="s">
        <v>16</v>
      </c>
      <c r="E2672" t="s">
        <v>24</v>
      </c>
      <c r="F2672">
        <v>3483.84</v>
      </c>
    </row>
    <row r="2673" spans="1:6" x14ac:dyDescent="0.35">
      <c r="A2673">
        <v>1312</v>
      </c>
      <c r="B2673" s="2">
        <v>46059.375085336993</v>
      </c>
      <c r="C2673" t="s">
        <v>11</v>
      </c>
      <c r="D2673" t="s">
        <v>20</v>
      </c>
      <c r="E2673" t="s">
        <v>23</v>
      </c>
      <c r="F2673">
        <v>5022.26</v>
      </c>
    </row>
    <row r="2674" spans="1:6" x14ac:dyDescent="0.35">
      <c r="A2674">
        <v>1392</v>
      </c>
      <c r="B2674" s="2">
        <v>46059.375085336993</v>
      </c>
      <c r="C2674" t="s">
        <v>11</v>
      </c>
      <c r="D2674" t="s">
        <v>19</v>
      </c>
      <c r="E2674" t="s">
        <v>24</v>
      </c>
      <c r="F2674">
        <v>918.49</v>
      </c>
    </row>
    <row r="2675" spans="1:6" x14ac:dyDescent="0.35">
      <c r="A2675">
        <v>1002</v>
      </c>
      <c r="B2675" s="2">
        <v>46059.375085336993</v>
      </c>
      <c r="C2675" t="s">
        <v>6</v>
      </c>
      <c r="D2675" t="s">
        <v>20</v>
      </c>
      <c r="E2675" t="s">
        <v>23</v>
      </c>
      <c r="F2675">
        <v>1585.43</v>
      </c>
    </row>
    <row r="2676" spans="1:6" x14ac:dyDescent="0.35">
      <c r="A2676">
        <v>1263</v>
      </c>
      <c r="B2676" s="2">
        <v>46059.375085336993</v>
      </c>
      <c r="C2676" t="s">
        <v>14</v>
      </c>
      <c r="D2676" t="s">
        <v>21</v>
      </c>
      <c r="E2676" t="s">
        <v>25</v>
      </c>
      <c r="F2676">
        <v>5564.94</v>
      </c>
    </row>
    <row r="2677" spans="1:6" x14ac:dyDescent="0.35">
      <c r="A2677">
        <v>1272</v>
      </c>
      <c r="B2677" s="2">
        <v>46060.375085336993</v>
      </c>
      <c r="C2677" t="s">
        <v>10</v>
      </c>
      <c r="D2677" t="s">
        <v>20</v>
      </c>
      <c r="E2677" t="s">
        <v>25</v>
      </c>
      <c r="F2677">
        <v>3264.64</v>
      </c>
    </row>
    <row r="2678" spans="1:6" x14ac:dyDescent="0.35">
      <c r="A2678">
        <v>1360</v>
      </c>
      <c r="B2678" s="2">
        <v>46060.375085336993</v>
      </c>
      <c r="C2678" t="s">
        <v>7</v>
      </c>
      <c r="D2678" t="s">
        <v>22</v>
      </c>
      <c r="E2678" t="s">
        <v>24</v>
      </c>
      <c r="F2678">
        <v>6352.78</v>
      </c>
    </row>
    <row r="2679" spans="1:6" x14ac:dyDescent="0.35">
      <c r="A2679">
        <v>1219</v>
      </c>
      <c r="B2679" s="2">
        <v>46060.375085336993</v>
      </c>
      <c r="C2679" t="s">
        <v>9</v>
      </c>
      <c r="D2679" t="s">
        <v>22</v>
      </c>
      <c r="E2679" t="s">
        <v>23</v>
      </c>
      <c r="F2679">
        <v>2039.28</v>
      </c>
    </row>
    <row r="2680" spans="1:6" x14ac:dyDescent="0.35">
      <c r="A2680">
        <v>1115</v>
      </c>
      <c r="B2680" s="2">
        <v>46060.375085336993</v>
      </c>
      <c r="C2680" t="s">
        <v>15</v>
      </c>
      <c r="D2680" t="s">
        <v>17</v>
      </c>
      <c r="E2680" t="s">
        <v>23</v>
      </c>
      <c r="F2680">
        <v>2555.09</v>
      </c>
    </row>
    <row r="2681" spans="1:6" x14ac:dyDescent="0.35">
      <c r="A2681">
        <v>1027</v>
      </c>
      <c r="B2681" s="2">
        <v>46060.375085336993</v>
      </c>
      <c r="C2681" t="s">
        <v>15</v>
      </c>
      <c r="D2681" t="s">
        <v>16</v>
      </c>
      <c r="E2681" t="s">
        <v>25</v>
      </c>
      <c r="F2681">
        <v>3188.07</v>
      </c>
    </row>
    <row r="2682" spans="1:6" x14ac:dyDescent="0.35">
      <c r="A2682">
        <v>1011</v>
      </c>
      <c r="B2682" s="2">
        <v>46060.375085336993</v>
      </c>
      <c r="C2682" t="s">
        <v>6</v>
      </c>
      <c r="D2682" t="s">
        <v>21</v>
      </c>
      <c r="E2682" t="s">
        <v>24</v>
      </c>
      <c r="F2682">
        <v>1402.6</v>
      </c>
    </row>
    <row r="2683" spans="1:6" x14ac:dyDescent="0.35">
      <c r="A2683">
        <v>1225</v>
      </c>
      <c r="B2683" s="2">
        <v>46061.375085336993</v>
      </c>
      <c r="C2683" t="s">
        <v>10</v>
      </c>
      <c r="D2683" t="s">
        <v>21</v>
      </c>
      <c r="E2683" t="s">
        <v>23</v>
      </c>
      <c r="F2683">
        <v>3298.7</v>
      </c>
    </row>
    <row r="2684" spans="1:6" x14ac:dyDescent="0.35">
      <c r="A2684">
        <v>1212</v>
      </c>
      <c r="B2684" s="2">
        <v>46061.375085336993</v>
      </c>
      <c r="C2684" t="s">
        <v>8</v>
      </c>
      <c r="D2684" t="s">
        <v>20</v>
      </c>
      <c r="E2684" t="s">
        <v>23</v>
      </c>
      <c r="F2684">
        <v>9326.9500000000007</v>
      </c>
    </row>
    <row r="2685" spans="1:6" x14ac:dyDescent="0.35">
      <c r="A2685">
        <v>1189</v>
      </c>
      <c r="B2685" s="2">
        <v>46062.375085336993</v>
      </c>
      <c r="C2685" t="s">
        <v>15</v>
      </c>
      <c r="D2685" t="s">
        <v>22</v>
      </c>
      <c r="E2685" t="s">
        <v>23</v>
      </c>
      <c r="F2685">
        <v>3409.78</v>
      </c>
    </row>
    <row r="2686" spans="1:6" x14ac:dyDescent="0.35">
      <c r="A2686">
        <v>1074</v>
      </c>
      <c r="B2686" s="2">
        <v>46062.375085336993</v>
      </c>
      <c r="C2686" t="s">
        <v>7</v>
      </c>
      <c r="D2686" t="s">
        <v>22</v>
      </c>
      <c r="E2686" t="s">
        <v>25</v>
      </c>
      <c r="F2686">
        <v>2266.2399999999998</v>
      </c>
    </row>
    <row r="2687" spans="1:6" x14ac:dyDescent="0.35">
      <c r="A2687">
        <v>1238</v>
      </c>
      <c r="B2687" s="2">
        <v>46062.375085336993</v>
      </c>
      <c r="C2687" t="s">
        <v>13</v>
      </c>
      <c r="D2687" t="s">
        <v>20</v>
      </c>
      <c r="E2687" t="s">
        <v>24</v>
      </c>
      <c r="F2687">
        <v>8255.16</v>
      </c>
    </row>
    <row r="2688" spans="1:6" x14ac:dyDescent="0.35">
      <c r="A2688">
        <v>1046</v>
      </c>
      <c r="B2688" s="2">
        <v>46062.375085336993</v>
      </c>
      <c r="C2688" t="s">
        <v>8</v>
      </c>
      <c r="D2688" t="s">
        <v>20</v>
      </c>
      <c r="E2688" t="s">
        <v>25</v>
      </c>
      <c r="F2688">
        <v>1489.09</v>
      </c>
    </row>
    <row r="2689" spans="1:6" x14ac:dyDescent="0.35">
      <c r="A2689">
        <v>1379</v>
      </c>
      <c r="B2689" s="2">
        <v>46063.375085336993</v>
      </c>
      <c r="C2689" t="s">
        <v>10</v>
      </c>
      <c r="D2689" t="s">
        <v>16</v>
      </c>
      <c r="E2689" t="s">
        <v>25</v>
      </c>
      <c r="F2689">
        <v>3812.62</v>
      </c>
    </row>
    <row r="2690" spans="1:6" x14ac:dyDescent="0.35">
      <c r="A2690">
        <v>1278</v>
      </c>
      <c r="B2690" s="2">
        <v>46063.375085336993</v>
      </c>
      <c r="C2690" t="s">
        <v>9</v>
      </c>
      <c r="D2690" t="s">
        <v>19</v>
      </c>
      <c r="E2690" t="s">
        <v>25</v>
      </c>
      <c r="F2690">
        <v>581.83000000000004</v>
      </c>
    </row>
    <row r="2691" spans="1:6" x14ac:dyDescent="0.35">
      <c r="A2691">
        <v>1059</v>
      </c>
      <c r="B2691" s="2">
        <v>46063.375085336993</v>
      </c>
      <c r="C2691" t="s">
        <v>6</v>
      </c>
      <c r="D2691" t="s">
        <v>22</v>
      </c>
      <c r="E2691" t="s">
        <v>25</v>
      </c>
      <c r="F2691">
        <v>5921.96</v>
      </c>
    </row>
    <row r="2692" spans="1:6" x14ac:dyDescent="0.35">
      <c r="A2692">
        <v>1347</v>
      </c>
      <c r="B2692" s="2">
        <v>46063.375085336993</v>
      </c>
      <c r="C2692" t="s">
        <v>10</v>
      </c>
      <c r="D2692" t="s">
        <v>19</v>
      </c>
      <c r="E2692" t="s">
        <v>23</v>
      </c>
      <c r="F2692">
        <v>3531.42</v>
      </c>
    </row>
    <row r="2693" spans="1:6" x14ac:dyDescent="0.35">
      <c r="A2693">
        <v>1047</v>
      </c>
      <c r="B2693" s="2">
        <v>46063.375085336993</v>
      </c>
      <c r="C2693" t="s">
        <v>13</v>
      </c>
      <c r="D2693" t="s">
        <v>16</v>
      </c>
      <c r="E2693" t="s">
        <v>25</v>
      </c>
      <c r="F2693">
        <v>5577.93</v>
      </c>
    </row>
    <row r="2694" spans="1:6" x14ac:dyDescent="0.35">
      <c r="A2694">
        <v>1201</v>
      </c>
      <c r="B2694" s="2">
        <v>46063.375085336993</v>
      </c>
      <c r="C2694" t="s">
        <v>15</v>
      </c>
      <c r="D2694" t="s">
        <v>20</v>
      </c>
      <c r="E2694" t="s">
        <v>23</v>
      </c>
      <c r="F2694">
        <v>7325.14</v>
      </c>
    </row>
    <row r="2695" spans="1:6" x14ac:dyDescent="0.35">
      <c r="A2695">
        <v>1005</v>
      </c>
      <c r="B2695" s="2">
        <v>46064.375085336993</v>
      </c>
      <c r="C2695" t="s">
        <v>14</v>
      </c>
      <c r="D2695" t="s">
        <v>16</v>
      </c>
      <c r="E2695" t="s">
        <v>25</v>
      </c>
      <c r="F2695">
        <v>16130.83</v>
      </c>
    </row>
    <row r="2696" spans="1:6" x14ac:dyDescent="0.35">
      <c r="A2696">
        <v>1172</v>
      </c>
      <c r="B2696" s="2">
        <v>46064.375085336993</v>
      </c>
      <c r="C2696" t="s">
        <v>9</v>
      </c>
      <c r="D2696" t="s">
        <v>17</v>
      </c>
      <c r="E2696" t="s">
        <v>24</v>
      </c>
      <c r="F2696">
        <v>3541.1</v>
      </c>
    </row>
    <row r="2697" spans="1:6" x14ac:dyDescent="0.35">
      <c r="A2697">
        <v>1167</v>
      </c>
      <c r="B2697" s="2">
        <v>46064.375085336993</v>
      </c>
      <c r="C2697" t="s">
        <v>8</v>
      </c>
      <c r="D2697" t="s">
        <v>20</v>
      </c>
      <c r="E2697" t="s">
        <v>25</v>
      </c>
      <c r="F2697">
        <v>7958.47</v>
      </c>
    </row>
    <row r="2698" spans="1:6" x14ac:dyDescent="0.35">
      <c r="A2698">
        <v>1349</v>
      </c>
      <c r="B2698" s="2">
        <v>46064.375085336993</v>
      </c>
      <c r="C2698" t="s">
        <v>15</v>
      </c>
      <c r="D2698" t="s">
        <v>22</v>
      </c>
      <c r="E2698" t="s">
        <v>24</v>
      </c>
      <c r="F2698">
        <v>3120.73</v>
      </c>
    </row>
    <row r="2699" spans="1:6" x14ac:dyDescent="0.35">
      <c r="A2699">
        <v>1221</v>
      </c>
      <c r="B2699" s="2">
        <v>46064.375085336993</v>
      </c>
      <c r="C2699" t="s">
        <v>12</v>
      </c>
      <c r="D2699" t="s">
        <v>22</v>
      </c>
      <c r="E2699" t="s">
        <v>23</v>
      </c>
      <c r="F2699">
        <v>5321.83</v>
      </c>
    </row>
    <row r="2700" spans="1:6" x14ac:dyDescent="0.35">
      <c r="A2700">
        <v>1013</v>
      </c>
      <c r="B2700" s="2">
        <v>46064.375085336993</v>
      </c>
      <c r="C2700" t="s">
        <v>9</v>
      </c>
      <c r="D2700" t="s">
        <v>19</v>
      </c>
      <c r="E2700" t="s">
        <v>23</v>
      </c>
      <c r="F2700">
        <v>3783.69</v>
      </c>
    </row>
    <row r="2701" spans="1:6" x14ac:dyDescent="0.35">
      <c r="A2701">
        <v>1279</v>
      </c>
      <c r="B2701" s="2">
        <v>46064.375085336993</v>
      </c>
      <c r="C2701" t="s">
        <v>7</v>
      </c>
      <c r="D2701" t="s">
        <v>19</v>
      </c>
      <c r="E2701" t="s">
        <v>23</v>
      </c>
      <c r="F2701">
        <v>6859.73</v>
      </c>
    </row>
    <row r="2702" spans="1:6" x14ac:dyDescent="0.35">
      <c r="A2702">
        <v>1004</v>
      </c>
      <c r="B2702" s="2">
        <v>46064.375085336993</v>
      </c>
      <c r="C2702" t="s">
        <v>12</v>
      </c>
      <c r="D2702" t="s">
        <v>22</v>
      </c>
      <c r="E2702" t="s">
        <v>23</v>
      </c>
      <c r="F2702">
        <v>4659.68</v>
      </c>
    </row>
    <row r="2703" spans="1:6" x14ac:dyDescent="0.35">
      <c r="A2703">
        <v>1022</v>
      </c>
      <c r="B2703" s="2">
        <v>46065.375085336993</v>
      </c>
      <c r="C2703" t="s">
        <v>6</v>
      </c>
      <c r="D2703" t="s">
        <v>16</v>
      </c>
      <c r="E2703" t="s">
        <v>24</v>
      </c>
      <c r="F2703">
        <v>1566.91</v>
      </c>
    </row>
    <row r="2704" spans="1:6" x14ac:dyDescent="0.35">
      <c r="A2704">
        <v>1391</v>
      </c>
      <c r="B2704" s="2">
        <v>46065.375085336993</v>
      </c>
      <c r="C2704" t="s">
        <v>15</v>
      </c>
      <c r="D2704" t="s">
        <v>17</v>
      </c>
      <c r="E2704" t="s">
        <v>23</v>
      </c>
      <c r="F2704">
        <v>6888.26</v>
      </c>
    </row>
    <row r="2705" spans="1:6" x14ac:dyDescent="0.35">
      <c r="A2705">
        <v>1309</v>
      </c>
      <c r="B2705" s="2">
        <v>46065.375085336993</v>
      </c>
      <c r="C2705" t="s">
        <v>6</v>
      </c>
      <c r="D2705" t="s">
        <v>20</v>
      </c>
      <c r="E2705" t="s">
        <v>24</v>
      </c>
      <c r="F2705">
        <v>1311.77</v>
      </c>
    </row>
    <row r="2706" spans="1:6" x14ac:dyDescent="0.35">
      <c r="A2706">
        <v>1399</v>
      </c>
      <c r="B2706" s="2">
        <v>46065.375085336993</v>
      </c>
      <c r="C2706" t="s">
        <v>12</v>
      </c>
      <c r="D2706" t="s">
        <v>20</v>
      </c>
      <c r="E2706" t="s">
        <v>24</v>
      </c>
      <c r="F2706">
        <v>577.04999999999995</v>
      </c>
    </row>
    <row r="2707" spans="1:6" x14ac:dyDescent="0.35">
      <c r="A2707">
        <v>1354</v>
      </c>
      <c r="B2707" s="2">
        <v>46065.375085336993</v>
      </c>
      <c r="C2707" t="s">
        <v>13</v>
      </c>
      <c r="D2707" t="s">
        <v>21</v>
      </c>
      <c r="E2707" t="s">
        <v>25</v>
      </c>
      <c r="F2707">
        <v>4451.71</v>
      </c>
    </row>
    <row r="2708" spans="1:6" x14ac:dyDescent="0.35">
      <c r="A2708">
        <v>1174</v>
      </c>
      <c r="B2708" s="2">
        <v>46065.375085336993</v>
      </c>
      <c r="C2708" t="s">
        <v>6</v>
      </c>
      <c r="D2708" t="s">
        <v>16</v>
      </c>
      <c r="E2708" t="s">
        <v>25</v>
      </c>
      <c r="F2708">
        <v>5079.8599999999997</v>
      </c>
    </row>
    <row r="2709" spans="1:6" x14ac:dyDescent="0.35">
      <c r="A2709">
        <v>1281</v>
      </c>
      <c r="B2709" s="2">
        <v>46065.375085336993</v>
      </c>
      <c r="C2709" t="s">
        <v>14</v>
      </c>
      <c r="D2709" t="s">
        <v>20</v>
      </c>
      <c r="E2709" t="s">
        <v>25</v>
      </c>
      <c r="F2709">
        <v>3960.19</v>
      </c>
    </row>
    <row r="2710" spans="1:6" x14ac:dyDescent="0.35">
      <c r="A2710">
        <v>1230</v>
      </c>
      <c r="B2710" s="2">
        <v>46066.375085336993</v>
      </c>
      <c r="C2710" t="s">
        <v>15</v>
      </c>
      <c r="D2710" t="s">
        <v>20</v>
      </c>
      <c r="E2710" t="s">
        <v>23</v>
      </c>
      <c r="F2710">
        <v>2539.96</v>
      </c>
    </row>
    <row r="2711" spans="1:6" x14ac:dyDescent="0.35">
      <c r="A2711">
        <v>1072</v>
      </c>
      <c r="B2711" s="2">
        <v>46066.375085336993</v>
      </c>
      <c r="C2711" t="s">
        <v>15</v>
      </c>
      <c r="D2711" t="s">
        <v>18</v>
      </c>
      <c r="E2711" t="s">
        <v>23</v>
      </c>
      <c r="F2711">
        <v>6400.72</v>
      </c>
    </row>
    <row r="2712" spans="1:6" x14ac:dyDescent="0.35">
      <c r="A2712">
        <v>1049</v>
      </c>
      <c r="B2712" s="2">
        <v>46066.375085336993</v>
      </c>
      <c r="C2712" t="s">
        <v>8</v>
      </c>
      <c r="D2712" t="s">
        <v>21</v>
      </c>
      <c r="E2712" t="s">
        <v>23</v>
      </c>
      <c r="F2712">
        <v>3717.27</v>
      </c>
    </row>
    <row r="2713" spans="1:6" x14ac:dyDescent="0.35">
      <c r="A2713">
        <v>1035</v>
      </c>
      <c r="B2713" s="2">
        <v>46066.375085336993</v>
      </c>
      <c r="C2713" t="s">
        <v>12</v>
      </c>
      <c r="D2713" t="s">
        <v>19</v>
      </c>
      <c r="E2713" t="s">
        <v>24</v>
      </c>
      <c r="F2713">
        <v>3818.49</v>
      </c>
    </row>
    <row r="2714" spans="1:6" x14ac:dyDescent="0.35">
      <c r="A2714">
        <v>1287</v>
      </c>
      <c r="B2714" s="2">
        <v>46066.375085336993</v>
      </c>
      <c r="C2714" t="s">
        <v>10</v>
      </c>
      <c r="D2714" t="s">
        <v>22</v>
      </c>
      <c r="E2714" t="s">
        <v>23</v>
      </c>
      <c r="F2714">
        <v>2738.41</v>
      </c>
    </row>
    <row r="2715" spans="1:6" x14ac:dyDescent="0.35">
      <c r="A2715">
        <v>1336</v>
      </c>
      <c r="B2715" s="2">
        <v>46066.375085336993</v>
      </c>
      <c r="C2715" t="s">
        <v>7</v>
      </c>
      <c r="D2715" t="s">
        <v>17</v>
      </c>
      <c r="E2715" t="s">
        <v>24</v>
      </c>
      <c r="F2715">
        <v>2055.87</v>
      </c>
    </row>
    <row r="2716" spans="1:6" x14ac:dyDescent="0.35">
      <c r="A2716">
        <v>1329</v>
      </c>
      <c r="B2716" s="2">
        <v>46066.375085336993</v>
      </c>
      <c r="C2716" t="s">
        <v>9</v>
      </c>
      <c r="D2716" t="s">
        <v>20</v>
      </c>
      <c r="E2716" t="s">
        <v>24</v>
      </c>
      <c r="F2716">
        <v>2830.47</v>
      </c>
    </row>
    <row r="2717" spans="1:6" x14ac:dyDescent="0.35">
      <c r="A2717">
        <v>1344</v>
      </c>
      <c r="B2717" s="2">
        <v>46067.375085336993</v>
      </c>
      <c r="C2717" t="s">
        <v>7</v>
      </c>
      <c r="D2717" t="s">
        <v>19</v>
      </c>
      <c r="E2717" t="s">
        <v>23</v>
      </c>
      <c r="F2717">
        <v>1919.49</v>
      </c>
    </row>
    <row r="2718" spans="1:6" x14ac:dyDescent="0.35">
      <c r="A2718">
        <v>1098</v>
      </c>
      <c r="B2718" s="2">
        <v>46067.375085336993</v>
      </c>
      <c r="C2718" t="s">
        <v>12</v>
      </c>
      <c r="D2718" t="s">
        <v>17</v>
      </c>
      <c r="E2718" t="s">
        <v>24</v>
      </c>
      <c r="F2718">
        <v>5335.85</v>
      </c>
    </row>
    <row r="2719" spans="1:6" x14ac:dyDescent="0.35">
      <c r="A2719">
        <v>1365</v>
      </c>
      <c r="B2719" s="2">
        <v>46067.375085336993</v>
      </c>
      <c r="C2719" t="s">
        <v>7</v>
      </c>
      <c r="D2719" t="s">
        <v>18</v>
      </c>
      <c r="E2719" t="s">
        <v>24</v>
      </c>
      <c r="F2719">
        <v>76.05</v>
      </c>
    </row>
    <row r="2720" spans="1:6" x14ac:dyDescent="0.35">
      <c r="A2720">
        <v>1266</v>
      </c>
      <c r="B2720" s="2">
        <v>46067.375085336993</v>
      </c>
      <c r="C2720" t="s">
        <v>11</v>
      </c>
      <c r="D2720" t="s">
        <v>16</v>
      </c>
      <c r="E2720" t="s">
        <v>25</v>
      </c>
      <c r="F2720">
        <v>1602.49</v>
      </c>
    </row>
    <row r="2721" spans="1:6" x14ac:dyDescent="0.35">
      <c r="A2721">
        <v>1016</v>
      </c>
      <c r="B2721" s="2">
        <v>46067.375085336993</v>
      </c>
      <c r="C2721" t="s">
        <v>9</v>
      </c>
      <c r="D2721" t="s">
        <v>17</v>
      </c>
      <c r="E2721" t="s">
        <v>25</v>
      </c>
      <c r="F2721">
        <v>1028.5999999999999</v>
      </c>
    </row>
    <row r="2722" spans="1:6" x14ac:dyDescent="0.35">
      <c r="A2722">
        <v>1107</v>
      </c>
      <c r="B2722" s="2">
        <v>46067.375085336993</v>
      </c>
      <c r="C2722" t="s">
        <v>6</v>
      </c>
      <c r="D2722" t="s">
        <v>16</v>
      </c>
      <c r="E2722" t="s">
        <v>23</v>
      </c>
      <c r="F2722">
        <v>8603.52</v>
      </c>
    </row>
    <row r="2723" spans="1:6" x14ac:dyDescent="0.35">
      <c r="A2723">
        <v>1162</v>
      </c>
      <c r="B2723" s="2">
        <v>46068.375085336993</v>
      </c>
      <c r="C2723" t="s">
        <v>12</v>
      </c>
      <c r="D2723" t="s">
        <v>16</v>
      </c>
      <c r="E2723" t="s">
        <v>25</v>
      </c>
      <c r="F2723">
        <v>1994.22</v>
      </c>
    </row>
    <row r="2724" spans="1:6" x14ac:dyDescent="0.35">
      <c r="A2724">
        <v>1283</v>
      </c>
      <c r="B2724" s="2">
        <v>46068.375085336993</v>
      </c>
      <c r="C2724" t="s">
        <v>12</v>
      </c>
      <c r="D2724" t="s">
        <v>17</v>
      </c>
      <c r="E2724" t="s">
        <v>25</v>
      </c>
      <c r="F2724">
        <v>1964.45</v>
      </c>
    </row>
    <row r="2725" spans="1:6" x14ac:dyDescent="0.35">
      <c r="A2725">
        <v>1284</v>
      </c>
      <c r="B2725" s="2">
        <v>46068.375085336993</v>
      </c>
      <c r="C2725" t="s">
        <v>6</v>
      </c>
      <c r="D2725" t="s">
        <v>21</v>
      </c>
      <c r="E2725" t="s">
        <v>24</v>
      </c>
      <c r="F2725">
        <v>6036.49</v>
      </c>
    </row>
    <row r="2726" spans="1:6" x14ac:dyDescent="0.35">
      <c r="A2726">
        <v>1372</v>
      </c>
      <c r="B2726" s="2">
        <v>46069.375085336993</v>
      </c>
      <c r="C2726" t="s">
        <v>6</v>
      </c>
      <c r="D2726" t="s">
        <v>17</v>
      </c>
      <c r="E2726" t="s">
        <v>23</v>
      </c>
      <c r="F2726">
        <v>7469.72</v>
      </c>
    </row>
    <row r="2727" spans="1:6" x14ac:dyDescent="0.35">
      <c r="A2727">
        <v>1214</v>
      </c>
      <c r="B2727" s="2">
        <v>46069.375085336993</v>
      </c>
      <c r="C2727" t="s">
        <v>10</v>
      </c>
      <c r="D2727" t="s">
        <v>22</v>
      </c>
      <c r="E2727" t="s">
        <v>23</v>
      </c>
      <c r="F2727">
        <v>12968.14</v>
      </c>
    </row>
    <row r="2728" spans="1:6" x14ac:dyDescent="0.35">
      <c r="A2728">
        <v>1228</v>
      </c>
      <c r="B2728" s="2">
        <v>46069.375085336993</v>
      </c>
      <c r="C2728" t="s">
        <v>14</v>
      </c>
      <c r="D2728" t="s">
        <v>17</v>
      </c>
      <c r="E2728" t="s">
        <v>25</v>
      </c>
      <c r="F2728">
        <v>1920.41</v>
      </c>
    </row>
    <row r="2729" spans="1:6" x14ac:dyDescent="0.35">
      <c r="A2729">
        <v>1104</v>
      </c>
      <c r="B2729" s="2">
        <v>46069.375085336993</v>
      </c>
      <c r="C2729" t="s">
        <v>12</v>
      </c>
      <c r="D2729" t="s">
        <v>21</v>
      </c>
      <c r="E2729" t="s">
        <v>25</v>
      </c>
      <c r="F2729">
        <v>6068.36</v>
      </c>
    </row>
    <row r="2730" spans="1:6" x14ac:dyDescent="0.35">
      <c r="A2730">
        <v>1041</v>
      </c>
      <c r="B2730" s="2">
        <v>46069.375085336993</v>
      </c>
      <c r="C2730" t="s">
        <v>8</v>
      </c>
      <c r="D2730" t="s">
        <v>18</v>
      </c>
      <c r="E2730" t="s">
        <v>25</v>
      </c>
      <c r="F2730">
        <v>6324.45</v>
      </c>
    </row>
    <row r="2731" spans="1:6" x14ac:dyDescent="0.35">
      <c r="A2731">
        <v>1011</v>
      </c>
      <c r="B2731" s="2">
        <v>46069.375085336993</v>
      </c>
      <c r="C2731" t="s">
        <v>13</v>
      </c>
      <c r="D2731" t="s">
        <v>19</v>
      </c>
      <c r="E2731" t="s">
        <v>25</v>
      </c>
      <c r="F2731">
        <v>3234.23</v>
      </c>
    </row>
    <row r="2732" spans="1:6" x14ac:dyDescent="0.35">
      <c r="A2732">
        <v>1325</v>
      </c>
      <c r="B2732" s="2">
        <v>46070.375085336993</v>
      </c>
      <c r="C2732" t="s">
        <v>12</v>
      </c>
      <c r="D2732" t="s">
        <v>16</v>
      </c>
      <c r="E2732" t="s">
        <v>23</v>
      </c>
      <c r="F2732">
        <v>5294.2</v>
      </c>
    </row>
    <row r="2733" spans="1:6" x14ac:dyDescent="0.35">
      <c r="A2733">
        <v>1116</v>
      </c>
      <c r="B2733" s="2">
        <v>46070.375085336993</v>
      </c>
      <c r="C2733" t="s">
        <v>7</v>
      </c>
      <c r="D2733" t="s">
        <v>22</v>
      </c>
      <c r="E2733" t="s">
        <v>24</v>
      </c>
      <c r="F2733">
        <v>1508.67</v>
      </c>
    </row>
    <row r="2734" spans="1:6" x14ac:dyDescent="0.35">
      <c r="A2734">
        <v>1322</v>
      </c>
      <c r="B2734" s="2">
        <v>46070.375085336993</v>
      </c>
      <c r="C2734" t="s">
        <v>13</v>
      </c>
      <c r="D2734" t="s">
        <v>20</v>
      </c>
      <c r="E2734" t="s">
        <v>23</v>
      </c>
      <c r="F2734">
        <v>10591.74</v>
      </c>
    </row>
    <row r="2735" spans="1:6" x14ac:dyDescent="0.35">
      <c r="A2735">
        <v>1013</v>
      </c>
      <c r="B2735" s="2">
        <v>46070.375085336993</v>
      </c>
      <c r="C2735" t="s">
        <v>6</v>
      </c>
      <c r="D2735" t="s">
        <v>17</v>
      </c>
      <c r="E2735" t="s">
        <v>25</v>
      </c>
      <c r="F2735">
        <v>3541.72</v>
      </c>
    </row>
    <row r="2736" spans="1:6" x14ac:dyDescent="0.35">
      <c r="A2736">
        <v>1150</v>
      </c>
      <c r="B2736" s="2">
        <v>46071.375085336993</v>
      </c>
      <c r="C2736" t="s">
        <v>12</v>
      </c>
      <c r="D2736" t="s">
        <v>19</v>
      </c>
      <c r="E2736" t="s">
        <v>24</v>
      </c>
      <c r="F2736">
        <v>5840.29</v>
      </c>
    </row>
    <row r="2737" spans="1:6" x14ac:dyDescent="0.35">
      <c r="A2737">
        <v>1140</v>
      </c>
      <c r="B2737" s="2">
        <v>46071.375085336993</v>
      </c>
      <c r="C2737" t="s">
        <v>6</v>
      </c>
      <c r="D2737" t="s">
        <v>20</v>
      </c>
      <c r="E2737" t="s">
        <v>24</v>
      </c>
      <c r="F2737">
        <v>4293.71</v>
      </c>
    </row>
    <row r="2738" spans="1:6" x14ac:dyDescent="0.35">
      <c r="A2738">
        <v>1327</v>
      </c>
      <c r="B2738" s="2">
        <v>46071.375085336993</v>
      </c>
      <c r="C2738" t="s">
        <v>8</v>
      </c>
      <c r="D2738" t="s">
        <v>21</v>
      </c>
      <c r="E2738" t="s">
        <v>23</v>
      </c>
      <c r="F2738">
        <v>2428.9499999999998</v>
      </c>
    </row>
    <row r="2739" spans="1:6" x14ac:dyDescent="0.35">
      <c r="A2739">
        <v>1185</v>
      </c>
      <c r="B2739" s="2">
        <v>46071.375085336993</v>
      </c>
      <c r="C2739" t="s">
        <v>7</v>
      </c>
      <c r="D2739" t="s">
        <v>16</v>
      </c>
      <c r="E2739" t="s">
        <v>23</v>
      </c>
      <c r="F2739">
        <v>2362.4499999999998</v>
      </c>
    </row>
    <row r="2740" spans="1:6" x14ac:dyDescent="0.35">
      <c r="A2740">
        <v>1000</v>
      </c>
      <c r="B2740" s="2">
        <v>46072.375085336993</v>
      </c>
      <c r="C2740" t="s">
        <v>12</v>
      </c>
      <c r="D2740" t="s">
        <v>21</v>
      </c>
      <c r="E2740" t="s">
        <v>25</v>
      </c>
      <c r="F2740">
        <v>8622.2099999999991</v>
      </c>
    </row>
    <row r="2741" spans="1:6" x14ac:dyDescent="0.35">
      <c r="A2741">
        <v>1319</v>
      </c>
      <c r="B2741" s="2">
        <v>46072.375085336993</v>
      </c>
      <c r="C2741" t="s">
        <v>7</v>
      </c>
      <c r="D2741" t="s">
        <v>18</v>
      </c>
      <c r="E2741" t="s">
        <v>25</v>
      </c>
      <c r="F2741">
        <v>7759.75</v>
      </c>
    </row>
    <row r="2742" spans="1:6" x14ac:dyDescent="0.35">
      <c r="A2742">
        <v>1390</v>
      </c>
      <c r="B2742" s="2">
        <v>46072.375085336993</v>
      </c>
      <c r="C2742" t="s">
        <v>15</v>
      </c>
      <c r="D2742" t="s">
        <v>19</v>
      </c>
      <c r="E2742" t="s">
        <v>25</v>
      </c>
      <c r="F2742">
        <v>9440</v>
      </c>
    </row>
    <row r="2743" spans="1:6" x14ac:dyDescent="0.35">
      <c r="A2743">
        <v>1366</v>
      </c>
      <c r="B2743" s="2">
        <v>46073.375085336993</v>
      </c>
      <c r="C2743" t="s">
        <v>6</v>
      </c>
      <c r="D2743" t="s">
        <v>20</v>
      </c>
      <c r="E2743" t="s">
        <v>24</v>
      </c>
      <c r="F2743">
        <v>2790.49</v>
      </c>
    </row>
    <row r="2744" spans="1:6" x14ac:dyDescent="0.35">
      <c r="A2744">
        <v>1293</v>
      </c>
      <c r="B2744" s="2">
        <v>46073.375085336993</v>
      </c>
      <c r="C2744" t="s">
        <v>10</v>
      </c>
      <c r="D2744" t="s">
        <v>19</v>
      </c>
      <c r="E2744" t="s">
        <v>24</v>
      </c>
      <c r="F2744">
        <v>5386.29</v>
      </c>
    </row>
    <row r="2745" spans="1:6" x14ac:dyDescent="0.35">
      <c r="A2745">
        <v>1048</v>
      </c>
      <c r="B2745" s="2">
        <v>46073.375085336993</v>
      </c>
      <c r="C2745" t="s">
        <v>7</v>
      </c>
      <c r="D2745" t="s">
        <v>22</v>
      </c>
      <c r="E2745" t="s">
        <v>23</v>
      </c>
      <c r="F2745">
        <v>2340.0700000000002</v>
      </c>
    </row>
    <row r="2746" spans="1:6" x14ac:dyDescent="0.35">
      <c r="A2746">
        <v>1020</v>
      </c>
      <c r="B2746" s="2">
        <v>46073.375085336993</v>
      </c>
      <c r="C2746" t="s">
        <v>14</v>
      </c>
      <c r="D2746" t="s">
        <v>18</v>
      </c>
      <c r="E2746" t="s">
        <v>23</v>
      </c>
      <c r="F2746">
        <v>2682.79</v>
      </c>
    </row>
    <row r="2747" spans="1:6" x14ac:dyDescent="0.35">
      <c r="A2747">
        <v>1046</v>
      </c>
      <c r="B2747" s="2">
        <v>46073.375085336993</v>
      </c>
      <c r="C2747" t="s">
        <v>12</v>
      </c>
      <c r="D2747" t="s">
        <v>16</v>
      </c>
      <c r="E2747" t="s">
        <v>23</v>
      </c>
      <c r="F2747">
        <v>2904.82</v>
      </c>
    </row>
    <row r="2748" spans="1:6" x14ac:dyDescent="0.35">
      <c r="A2748">
        <v>1011</v>
      </c>
      <c r="B2748" s="2">
        <v>46074.375085336993</v>
      </c>
      <c r="C2748" t="s">
        <v>15</v>
      </c>
      <c r="D2748" t="s">
        <v>17</v>
      </c>
      <c r="E2748" t="s">
        <v>23</v>
      </c>
      <c r="F2748">
        <v>1079.04</v>
      </c>
    </row>
    <row r="2749" spans="1:6" x14ac:dyDescent="0.35">
      <c r="A2749">
        <v>1052</v>
      </c>
      <c r="B2749" s="2">
        <v>46074.375085336993</v>
      </c>
      <c r="C2749" t="s">
        <v>9</v>
      </c>
      <c r="D2749" t="s">
        <v>17</v>
      </c>
      <c r="E2749" t="s">
        <v>25</v>
      </c>
      <c r="F2749">
        <v>1724.59</v>
      </c>
    </row>
    <row r="2750" spans="1:6" x14ac:dyDescent="0.35">
      <c r="A2750">
        <v>1116</v>
      </c>
      <c r="B2750" s="2">
        <v>46074.375085336993</v>
      </c>
      <c r="C2750" t="s">
        <v>6</v>
      </c>
      <c r="D2750" t="s">
        <v>19</v>
      </c>
      <c r="E2750" t="s">
        <v>25</v>
      </c>
      <c r="F2750">
        <v>9401.2199999999993</v>
      </c>
    </row>
    <row r="2751" spans="1:6" x14ac:dyDescent="0.35">
      <c r="A2751">
        <v>1354</v>
      </c>
      <c r="B2751" s="2">
        <v>46074.375085336993</v>
      </c>
      <c r="C2751" t="s">
        <v>15</v>
      </c>
      <c r="D2751" t="s">
        <v>21</v>
      </c>
      <c r="E2751" t="s">
        <v>23</v>
      </c>
      <c r="F2751">
        <v>3990.72</v>
      </c>
    </row>
    <row r="2752" spans="1:6" x14ac:dyDescent="0.35">
      <c r="A2752">
        <v>1251</v>
      </c>
      <c r="B2752" s="2">
        <v>46075.375085336993</v>
      </c>
      <c r="C2752" t="s">
        <v>6</v>
      </c>
      <c r="D2752" t="s">
        <v>21</v>
      </c>
      <c r="E2752" t="s">
        <v>23</v>
      </c>
      <c r="F2752">
        <v>3491.03</v>
      </c>
    </row>
    <row r="2753" spans="1:6" x14ac:dyDescent="0.35">
      <c r="A2753">
        <v>1071</v>
      </c>
      <c r="B2753" s="2">
        <v>46075.375085336993</v>
      </c>
      <c r="C2753" t="s">
        <v>11</v>
      </c>
      <c r="D2753" t="s">
        <v>20</v>
      </c>
      <c r="E2753" t="s">
        <v>23</v>
      </c>
      <c r="F2753">
        <v>2934.53</v>
      </c>
    </row>
    <row r="2754" spans="1:6" x14ac:dyDescent="0.35">
      <c r="A2754">
        <v>1310</v>
      </c>
      <c r="B2754" s="2">
        <v>46075.375085336993</v>
      </c>
      <c r="C2754" t="s">
        <v>15</v>
      </c>
      <c r="D2754" t="s">
        <v>18</v>
      </c>
      <c r="E2754" t="s">
        <v>25</v>
      </c>
      <c r="F2754">
        <v>4627.1099999999997</v>
      </c>
    </row>
    <row r="2755" spans="1:6" x14ac:dyDescent="0.35">
      <c r="A2755">
        <v>1339</v>
      </c>
      <c r="B2755" s="2">
        <v>46075.375085336993</v>
      </c>
      <c r="C2755" t="s">
        <v>7</v>
      </c>
      <c r="D2755" t="s">
        <v>18</v>
      </c>
      <c r="E2755" t="s">
        <v>24</v>
      </c>
      <c r="F2755">
        <v>2558.27</v>
      </c>
    </row>
    <row r="2756" spans="1:6" x14ac:dyDescent="0.35">
      <c r="A2756">
        <v>1399</v>
      </c>
      <c r="B2756" s="2">
        <v>46075.375085336993</v>
      </c>
      <c r="C2756" t="s">
        <v>7</v>
      </c>
      <c r="D2756" t="s">
        <v>20</v>
      </c>
      <c r="E2756" t="s">
        <v>24</v>
      </c>
      <c r="F2756">
        <v>5078.1099999999997</v>
      </c>
    </row>
    <row r="2757" spans="1:6" x14ac:dyDescent="0.35">
      <c r="A2757">
        <v>1329</v>
      </c>
      <c r="B2757" s="2">
        <v>46075.375085336993</v>
      </c>
      <c r="C2757" t="s">
        <v>14</v>
      </c>
      <c r="D2757" t="s">
        <v>20</v>
      </c>
      <c r="E2757" t="s">
        <v>24</v>
      </c>
      <c r="F2757">
        <v>3124.46</v>
      </c>
    </row>
    <row r="2758" spans="1:6" x14ac:dyDescent="0.35">
      <c r="A2758">
        <v>1319</v>
      </c>
      <c r="B2758" s="2">
        <v>46076.375085336993</v>
      </c>
      <c r="C2758" t="s">
        <v>9</v>
      </c>
      <c r="D2758" t="s">
        <v>21</v>
      </c>
      <c r="E2758" t="s">
        <v>23</v>
      </c>
      <c r="F2758">
        <v>10142.370000000001</v>
      </c>
    </row>
    <row r="2759" spans="1:6" x14ac:dyDescent="0.35">
      <c r="A2759">
        <v>1398</v>
      </c>
      <c r="B2759" s="2">
        <v>46077.375085336993</v>
      </c>
      <c r="C2759" t="s">
        <v>14</v>
      </c>
      <c r="D2759" t="s">
        <v>21</v>
      </c>
      <c r="E2759" t="s">
        <v>23</v>
      </c>
      <c r="F2759">
        <v>5286.21</v>
      </c>
    </row>
    <row r="2760" spans="1:6" x14ac:dyDescent="0.35">
      <c r="A2760">
        <v>1378</v>
      </c>
      <c r="B2760" s="2">
        <v>46077.375085336993</v>
      </c>
      <c r="C2760" t="s">
        <v>14</v>
      </c>
      <c r="D2760" t="s">
        <v>17</v>
      </c>
      <c r="E2760" t="s">
        <v>23</v>
      </c>
      <c r="F2760">
        <v>2350.39</v>
      </c>
    </row>
    <row r="2761" spans="1:6" x14ac:dyDescent="0.35">
      <c r="A2761">
        <v>1362</v>
      </c>
      <c r="B2761" s="2">
        <v>46077.375085336993</v>
      </c>
      <c r="C2761" t="s">
        <v>11</v>
      </c>
      <c r="D2761" t="s">
        <v>19</v>
      </c>
      <c r="E2761" t="s">
        <v>25</v>
      </c>
      <c r="F2761">
        <v>8578.94</v>
      </c>
    </row>
    <row r="2762" spans="1:6" x14ac:dyDescent="0.35">
      <c r="A2762">
        <v>1264</v>
      </c>
      <c r="B2762" s="2">
        <v>46077.375085336993</v>
      </c>
      <c r="C2762" t="s">
        <v>6</v>
      </c>
      <c r="D2762" t="s">
        <v>19</v>
      </c>
      <c r="E2762" t="s">
        <v>24</v>
      </c>
      <c r="F2762">
        <v>4415.12</v>
      </c>
    </row>
    <row r="2763" spans="1:6" x14ac:dyDescent="0.35">
      <c r="A2763">
        <v>1116</v>
      </c>
      <c r="B2763" s="2">
        <v>46077.375085336993</v>
      </c>
      <c r="C2763" t="s">
        <v>14</v>
      </c>
      <c r="D2763" t="s">
        <v>20</v>
      </c>
      <c r="E2763" t="s">
        <v>24</v>
      </c>
      <c r="F2763">
        <v>928.4</v>
      </c>
    </row>
    <row r="2764" spans="1:6" x14ac:dyDescent="0.35">
      <c r="A2764">
        <v>1152</v>
      </c>
      <c r="B2764" s="2">
        <v>46078.375085336993</v>
      </c>
      <c r="C2764" t="s">
        <v>14</v>
      </c>
      <c r="D2764" t="s">
        <v>20</v>
      </c>
      <c r="E2764" t="s">
        <v>24</v>
      </c>
      <c r="F2764">
        <v>1891.72</v>
      </c>
    </row>
    <row r="2765" spans="1:6" x14ac:dyDescent="0.35">
      <c r="A2765">
        <v>1178</v>
      </c>
      <c r="B2765" s="2">
        <v>46078.375085336993</v>
      </c>
      <c r="C2765" t="s">
        <v>11</v>
      </c>
      <c r="D2765" t="s">
        <v>21</v>
      </c>
      <c r="E2765" t="s">
        <v>23</v>
      </c>
      <c r="F2765">
        <v>1507.06</v>
      </c>
    </row>
    <row r="2766" spans="1:6" x14ac:dyDescent="0.35">
      <c r="A2766">
        <v>1385</v>
      </c>
      <c r="B2766" s="2">
        <v>46078.375085336993</v>
      </c>
      <c r="C2766" t="s">
        <v>6</v>
      </c>
      <c r="D2766" t="s">
        <v>17</v>
      </c>
      <c r="E2766" t="s">
        <v>23</v>
      </c>
      <c r="F2766">
        <v>5608.38</v>
      </c>
    </row>
    <row r="2767" spans="1:6" x14ac:dyDescent="0.35">
      <c r="A2767">
        <v>1116</v>
      </c>
      <c r="B2767" s="2">
        <v>46079.375085336993</v>
      </c>
      <c r="C2767" t="s">
        <v>13</v>
      </c>
      <c r="D2767" t="s">
        <v>18</v>
      </c>
      <c r="E2767" t="s">
        <v>24</v>
      </c>
      <c r="F2767">
        <v>2971.69</v>
      </c>
    </row>
    <row r="2768" spans="1:6" x14ac:dyDescent="0.35">
      <c r="A2768">
        <v>1318</v>
      </c>
      <c r="B2768" s="2">
        <v>46079.375085336993</v>
      </c>
      <c r="C2768" t="s">
        <v>14</v>
      </c>
      <c r="D2768" t="s">
        <v>19</v>
      </c>
      <c r="E2768" t="s">
        <v>23</v>
      </c>
      <c r="F2768">
        <v>1272.8399999999999</v>
      </c>
    </row>
    <row r="2769" spans="1:6" x14ac:dyDescent="0.35">
      <c r="A2769">
        <v>1333</v>
      </c>
      <c r="B2769" s="2">
        <v>46079.375085336993</v>
      </c>
      <c r="C2769" t="s">
        <v>13</v>
      </c>
      <c r="D2769" t="s">
        <v>20</v>
      </c>
      <c r="E2769" t="s">
        <v>24</v>
      </c>
      <c r="F2769">
        <v>2348.59</v>
      </c>
    </row>
    <row r="2770" spans="1:6" x14ac:dyDescent="0.35">
      <c r="A2770">
        <v>1241</v>
      </c>
      <c r="B2770" s="2">
        <v>46079.375085336993</v>
      </c>
      <c r="C2770" t="s">
        <v>13</v>
      </c>
      <c r="D2770" t="s">
        <v>17</v>
      </c>
      <c r="E2770" t="s">
        <v>25</v>
      </c>
      <c r="F2770">
        <v>3766.66</v>
      </c>
    </row>
    <row r="2771" spans="1:6" x14ac:dyDescent="0.35">
      <c r="A2771">
        <v>1223</v>
      </c>
      <c r="B2771" s="2">
        <v>46079.375085336993</v>
      </c>
      <c r="C2771" t="s">
        <v>9</v>
      </c>
      <c r="D2771" t="s">
        <v>18</v>
      </c>
      <c r="E2771" t="s">
        <v>23</v>
      </c>
      <c r="F2771">
        <v>6711.72</v>
      </c>
    </row>
    <row r="2772" spans="1:6" x14ac:dyDescent="0.35">
      <c r="A2772">
        <v>1391</v>
      </c>
      <c r="B2772" s="2">
        <v>46079.375085336993</v>
      </c>
      <c r="C2772" t="s">
        <v>7</v>
      </c>
      <c r="D2772" t="s">
        <v>22</v>
      </c>
      <c r="E2772" t="s">
        <v>25</v>
      </c>
      <c r="F2772">
        <v>1655.92</v>
      </c>
    </row>
    <row r="2773" spans="1:6" x14ac:dyDescent="0.35">
      <c r="A2773">
        <v>1292</v>
      </c>
      <c r="B2773" s="2">
        <v>46080.375085336993</v>
      </c>
      <c r="C2773" t="s">
        <v>9</v>
      </c>
      <c r="D2773" t="s">
        <v>20</v>
      </c>
      <c r="E2773" t="s">
        <v>23</v>
      </c>
      <c r="F2773">
        <v>1856.81</v>
      </c>
    </row>
    <row r="2774" spans="1:6" x14ac:dyDescent="0.35">
      <c r="A2774">
        <v>1112</v>
      </c>
      <c r="B2774" s="2">
        <v>46080.375085336993</v>
      </c>
      <c r="C2774" t="s">
        <v>14</v>
      </c>
      <c r="D2774" t="s">
        <v>17</v>
      </c>
      <c r="E2774" t="s">
        <v>23</v>
      </c>
      <c r="F2774">
        <v>375.22</v>
      </c>
    </row>
    <row r="2775" spans="1:6" x14ac:dyDescent="0.35">
      <c r="A2775">
        <v>1012</v>
      </c>
      <c r="B2775" s="2">
        <v>46080.375085336993</v>
      </c>
      <c r="C2775" t="s">
        <v>13</v>
      </c>
      <c r="D2775" t="s">
        <v>17</v>
      </c>
      <c r="E2775" t="s">
        <v>25</v>
      </c>
      <c r="F2775">
        <v>1993.53</v>
      </c>
    </row>
    <row r="2776" spans="1:6" x14ac:dyDescent="0.35">
      <c r="A2776">
        <v>1172</v>
      </c>
      <c r="B2776" s="2">
        <v>46080.375085336993</v>
      </c>
      <c r="C2776" t="s">
        <v>8</v>
      </c>
      <c r="D2776" t="s">
        <v>16</v>
      </c>
      <c r="E2776" t="s">
        <v>23</v>
      </c>
      <c r="F2776">
        <v>5617.24</v>
      </c>
    </row>
    <row r="2777" spans="1:6" x14ac:dyDescent="0.35">
      <c r="A2777">
        <v>1220</v>
      </c>
      <c r="B2777" s="2">
        <v>46080.375085336993</v>
      </c>
      <c r="C2777" t="s">
        <v>7</v>
      </c>
      <c r="D2777" t="s">
        <v>16</v>
      </c>
      <c r="E2777" t="s">
        <v>24</v>
      </c>
      <c r="F2777">
        <v>3571.53</v>
      </c>
    </row>
    <row r="2778" spans="1:6" x14ac:dyDescent="0.35">
      <c r="A2778">
        <v>1151</v>
      </c>
      <c r="B2778" s="2">
        <v>46080.375085336993</v>
      </c>
      <c r="C2778" t="s">
        <v>11</v>
      </c>
      <c r="D2778" t="s">
        <v>16</v>
      </c>
      <c r="E2778" t="s">
        <v>23</v>
      </c>
      <c r="F2778">
        <v>5188.7299999999996</v>
      </c>
    </row>
    <row r="2779" spans="1:6" x14ac:dyDescent="0.35">
      <c r="A2779">
        <v>1153</v>
      </c>
      <c r="B2779" s="2">
        <v>46080.375085336993</v>
      </c>
      <c r="C2779" t="s">
        <v>8</v>
      </c>
      <c r="D2779" t="s">
        <v>17</v>
      </c>
      <c r="E2779" t="s">
        <v>23</v>
      </c>
      <c r="F2779">
        <v>12685.15</v>
      </c>
    </row>
    <row r="2780" spans="1:6" x14ac:dyDescent="0.35">
      <c r="A2780">
        <v>1341</v>
      </c>
      <c r="B2780" s="2">
        <v>46081.375085336993</v>
      </c>
      <c r="C2780" t="s">
        <v>6</v>
      </c>
      <c r="D2780" t="s">
        <v>20</v>
      </c>
      <c r="E2780" t="s">
        <v>25</v>
      </c>
      <c r="F2780">
        <v>2373.11</v>
      </c>
    </row>
    <row r="2781" spans="1:6" x14ac:dyDescent="0.35">
      <c r="A2781">
        <v>1071</v>
      </c>
      <c r="B2781" s="2">
        <v>46081.375085336993</v>
      </c>
      <c r="C2781" t="s">
        <v>6</v>
      </c>
      <c r="D2781" t="s">
        <v>19</v>
      </c>
      <c r="E2781" t="s">
        <v>25</v>
      </c>
      <c r="F2781">
        <v>7091.81</v>
      </c>
    </row>
    <row r="2782" spans="1:6" x14ac:dyDescent="0.35">
      <c r="A2782">
        <v>1287</v>
      </c>
      <c r="B2782" s="2">
        <v>46081.375085336993</v>
      </c>
      <c r="C2782" t="s">
        <v>12</v>
      </c>
      <c r="D2782" t="s">
        <v>21</v>
      </c>
      <c r="E2782" t="s">
        <v>24</v>
      </c>
      <c r="F2782">
        <v>5310.67</v>
      </c>
    </row>
    <row r="2783" spans="1:6" x14ac:dyDescent="0.35">
      <c r="A2783">
        <v>1242</v>
      </c>
      <c r="B2783" s="2">
        <v>46082.375085336993</v>
      </c>
      <c r="C2783" t="s">
        <v>14</v>
      </c>
      <c r="D2783" t="s">
        <v>16</v>
      </c>
      <c r="E2783" t="s">
        <v>23</v>
      </c>
      <c r="F2783">
        <v>1433.5</v>
      </c>
    </row>
    <row r="2784" spans="1:6" x14ac:dyDescent="0.35">
      <c r="A2784">
        <v>1022</v>
      </c>
      <c r="B2784" s="2">
        <v>46082.375085336993</v>
      </c>
      <c r="C2784" t="s">
        <v>11</v>
      </c>
      <c r="D2784" t="s">
        <v>17</v>
      </c>
      <c r="E2784" t="s">
        <v>24</v>
      </c>
      <c r="F2784">
        <v>5152.08</v>
      </c>
    </row>
    <row r="2785" spans="1:6" x14ac:dyDescent="0.35">
      <c r="A2785">
        <v>1330</v>
      </c>
      <c r="B2785" s="2">
        <v>46082.375085336993</v>
      </c>
      <c r="C2785" t="s">
        <v>8</v>
      </c>
      <c r="D2785" t="s">
        <v>21</v>
      </c>
      <c r="E2785" t="s">
        <v>24</v>
      </c>
      <c r="F2785">
        <v>4961.72</v>
      </c>
    </row>
    <row r="2786" spans="1:6" x14ac:dyDescent="0.35">
      <c r="A2786">
        <v>1065</v>
      </c>
      <c r="B2786" s="2">
        <v>46082.375085336993</v>
      </c>
      <c r="C2786" t="s">
        <v>12</v>
      </c>
      <c r="D2786" t="s">
        <v>16</v>
      </c>
      <c r="E2786" t="s">
        <v>25</v>
      </c>
      <c r="F2786">
        <v>10187.370000000001</v>
      </c>
    </row>
    <row r="2787" spans="1:6" x14ac:dyDescent="0.35">
      <c r="A2787">
        <v>1144</v>
      </c>
      <c r="B2787" s="2">
        <v>46083.375085336993</v>
      </c>
      <c r="C2787" t="s">
        <v>9</v>
      </c>
      <c r="D2787" t="s">
        <v>20</v>
      </c>
      <c r="E2787" t="s">
        <v>24</v>
      </c>
      <c r="F2787">
        <v>6137.44</v>
      </c>
    </row>
    <row r="2788" spans="1:6" x14ac:dyDescent="0.35">
      <c r="A2788">
        <v>1177</v>
      </c>
      <c r="B2788" s="2">
        <v>46083.375085336993</v>
      </c>
      <c r="C2788" t="s">
        <v>6</v>
      </c>
      <c r="D2788" t="s">
        <v>18</v>
      </c>
      <c r="E2788" t="s">
        <v>25</v>
      </c>
      <c r="F2788">
        <v>501.48</v>
      </c>
    </row>
    <row r="2789" spans="1:6" x14ac:dyDescent="0.35">
      <c r="A2789">
        <v>1074</v>
      </c>
      <c r="B2789" s="2">
        <v>46083.375085336993</v>
      </c>
      <c r="C2789" t="s">
        <v>10</v>
      </c>
      <c r="D2789" t="s">
        <v>19</v>
      </c>
      <c r="E2789" t="s">
        <v>24</v>
      </c>
      <c r="F2789">
        <v>3258.25</v>
      </c>
    </row>
    <row r="2790" spans="1:6" x14ac:dyDescent="0.35">
      <c r="A2790">
        <v>1083</v>
      </c>
      <c r="B2790" s="2">
        <v>46083.375085336993</v>
      </c>
      <c r="C2790" t="s">
        <v>10</v>
      </c>
      <c r="D2790" t="s">
        <v>17</v>
      </c>
      <c r="E2790" t="s">
        <v>23</v>
      </c>
      <c r="F2790">
        <v>2398.12</v>
      </c>
    </row>
    <row r="2791" spans="1:6" x14ac:dyDescent="0.35">
      <c r="A2791">
        <v>1304</v>
      </c>
      <c r="B2791" s="2">
        <v>46084.375085336993</v>
      </c>
      <c r="C2791" t="s">
        <v>13</v>
      </c>
      <c r="D2791" t="s">
        <v>16</v>
      </c>
      <c r="E2791" t="s">
        <v>24</v>
      </c>
      <c r="F2791">
        <v>682.14</v>
      </c>
    </row>
    <row r="2792" spans="1:6" x14ac:dyDescent="0.35">
      <c r="A2792">
        <v>1277</v>
      </c>
      <c r="B2792" s="2">
        <v>46084.375085336993</v>
      </c>
      <c r="C2792" t="s">
        <v>13</v>
      </c>
      <c r="D2792" t="s">
        <v>16</v>
      </c>
      <c r="E2792" t="s">
        <v>24</v>
      </c>
      <c r="F2792">
        <v>13434.9</v>
      </c>
    </row>
    <row r="2793" spans="1:6" x14ac:dyDescent="0.35">
      <c r="A2793">
        <v>1216</v>
      </c>
      <c r="B2793" s="2">
        <v>46084.375085336993</v>
      </c>
      <c r="C2793" t="s">
        <v>13</v>
      </c>
      <c r="D2793" t="s">
        <v>22</v>
      </c>
      <c r="E2793" t="s">
        <v>24</v>
      </c>
      <c r="F2793">
        <v>2266.71</v>
      </c>
    </row>
    <row r="2794" spans="1:6" x14ac:dyDescent="0.35">
      <c r="A2794">
        <v>1383</v>
      </c>
      <c r="B2794" s="2">
        <v>46084.375085336993</v>
      </c>
      <c r="C2794" t="s">
        <v>11</v>
      </c>
      <c r="D2794" t="s">
        <v>21</v>
      </c>
      <c r="E2794" t="s">
        <v>23</v>
      </c>
      <c r="F2794">
        <v>2608.08</v>
      </c>
    </row>
    <row r="2795" spans="1:6" x14ac:dyDescent="0.35">
      <c r="A2795">
        <v>1179</v>
      </c>
      <c r="B2795" s="2">
        <v>46084.375085336993</v>
      </c>
      <c r="C2795" t="s">
        <v>8</v>
      </c>
      <c r="D2795" t="s">
        <v>18</v>
      </c>
      <c r="E2795" t="s">
        <v>24</v>
      </c>
      <c r="F2795">
        <v>1083.46</v>
      </c>
    </row>
    <row r="2796" spans="1:6" x14ac:dyDescent="0.35">
      <c r="A2796">
        <v>1044</v>
      </c>
      <c r="B2796" s="2">
        <v>46084.375085336993</v>
      </c>
      <c r="C2796" t="s">
        <v>12</v>
      </c>
      <c r="D2796" t="s">
        <v>18</v>
      </c>
      <c r="E2796" t="s">
        <v>25</v>
      </c>
      <c r="F2796">
        <v>912.38</v>
      </c>
    </row>
    <row r="2797" spans="1:6" x14ac:dyDescent="0.35">
      <c r="A2797">
        <v>1226</v>
      </c>
      <c r="B2797" s="2">
        <v>46085.375085336993</v>
      </c>
      <c r="C2797" t="s">
        <v>10</v>
      </c>
      <c r="D2797" t="s">
        <v>22</v>
      </c>
      <c r="E2797" t="s">
        <v>25</v>
      </c>
      <c r="F2797">
        <v>3820.64</v>
      </c>
    </row>
    <row r="2798" spans="1:6" x14ac:dyDescent="0.35">
      <c r="A2798">
        <v>1224</v>
      </c>
      <c r="B2798" s="2">
        <v>46085.375085336993</v>
      </c>
      <c r="C2798" t="s">
        <v>15</v>
      </c>
      <c r="D2798" t="s">
        <v>19</v>
      </c>
      <c r="E2798" t="s">
        <v>25</v>
      </c>
      <c r="F2798">
        <v>2072.2600000000002</v>
      </c>
    </row>
    <row r="2799" spans="1:6" x14ac:dyDescent="0.35">
      <c r="A2799">
        <v>1139</v>
      </c>
      <c r="B2799" s="2">
        <v>46085.375085336993</v>
      </c>
      <c r="C2799" t="s">
        <v>11</v>
      </c>
      <c r="D2799" t="s">
        <v>19</v>
      </c>
      <c r="E2799" t="s">
        <v>24</v>
      </c>
      <c r="F2799">
        <v>2841.08</v>
      </c>
    </row>
    <row r="2800" spans="1:6" x14ac:dyDescent="0.35">
      <c r="A2800">
        <v>1254</v>
      </c>
      <c r="B2800" s="2">
        <v>46085.375085336993</v>
      </c>
      <c r="C2800" t="s">
        <v>9</v>
      </c>
      <c r="D2800" t="s">
        <v>18</v>
      </c>
      <c r="E2800" t="s">
        <v>23</v>
      </c>
      <c r="F2800">
        <v>6783.46</v>
      </c>
    </row>
    <row r="2801" spans="1:6" x14ac:dyDescent="0.35">
      <c r="A2801">
        <v>1240</v>
      </c>
      <c r="B2801" s="2">
        <v>46086.375085336993</v>
      </c>
      <c r="C2801" t="s">
        <v>11</v>
      </c>
      <c r="D2801" t="s">
        <v>19</v>
      </c>
      <c r="E2801" t="s">
        <v>25</v>
      </c>
      <c r="F2801">
        <v>4894.3100000000004</v>
      </c>
    </row>
    <row r="2802" spans="1:6" x14ac:dyDescent="0.35">
      <c r="A2802">
        <v>1390</v>
      </c>
      <c r="B2802" s="2">
        <v>46086.375085336993</v>
      </c>
      <c r="C2802" t="s">
        <v>6</v>
      </c>
      <c r="D2802" t="s">
        <v>16</v>
      </c>
      <c r="E2802" t="s">
        <v>23</v>
      </c>
      <c r="F2802">
        <v>2647.48</v>
      </c>
    </row>
    <row r="2803" spans="1:6" x14ac:dyDescent="0.35">
      <c r="A2803">
        <v>1302</v>
      </c>
      <c r="B2803" s="2">
        <v>46086.375085336993</v>
      </c>
      <c r="C2803" t="s">
        <v>14</v>
      </c>
      <c r="D2803" t="s">
        <v>16</v>
      </c>
      <c r="E2803" t="s">
        <v>24</v>
      </c>
      <c r="F2803">
        <v>9499.7900000000009</v>
      </c>
    </row>
    <row r="2804" spans="1:6" x14ac:dyDescent="0.35">
      <c r="A2804">
        <v>1373</v>
      </c>
      <c r="B2804" s="2">
        <v>46086.375085336993</v>
      </c>
      <c r="C2804" t="s">
        <v>9</v>
      </c>
      <c r="D2804" t="s">
        <v>17</v>
      </c>
      <c r="E2804" t="s">
        <v>23</v>
      </c>
      <c r="F2804">
        <v>4451.97</v>
      </c>
    </row>
    <row r="2805" spans="1:6" x14ac:dyDescent="0.35">
      <c r="A2805">
        <v>1039</v>
      </c>
      <c r="B2805" s="2">
        <v>46086.375085336993</v>
      </c>
      <c r="C2805" t="s">
        <v>13</v>
      </c>
      <c r="D2805" t="s">
        <v>21</v>
      </c>
      <c r="E2805" t="s">
        <v>23</v>
      </c>
      <c r="F2805">
        <v>1252.96</v>
      </c>
    </row>
    <row r="2806" spans="1:6" x14ac:dyDescent="0.35">
      <c r="A2806">
        <v>1097</v>
      </c>
      <c r="B2806" s="2">
        <v>46086.375085336993</v>
      </c>
      <c r="C2806" t="s">
        <v>10</v>
      </c>
      <c r="D2806" t="s">
        <v>19</v>
      </c>
      <c r="E2806" t="s">
        <v>25</v>
      </c>
      <c r="F2806">
        <v>6864.78</v>
      </c>
    </row>
    <row r="2807" spans="1:6" x14ac:dyDescent="0.35">
      <c r="A2807">
        <v>1193</v>
      </c>
      <c r="B2807" s="2">
        <v>46087.375085336993</v>
      </c>
      <c r="C2807" t="s">
        <v>6</v>
      </c>
      <c r="D2807" t="s">
        <v>20</v>
      </c>
      <c r="E2807" t="s">
        <v>24</v>
      </c>
      <c r="F2807">
        <v>9791.33</v>
      </c>
    </row>
    <row r="2808" spans="1:6" x14ac:dyDescent="0.35">
      <c r="A2808">
        <v>1193</v>
      </c>
      <c r="B2808" s="2">
        <v>46087.375085336993</v>
      </c>
      <c r="C2808" t="s">
        <v>13</v>
      </c>
      <c r="D2808" t="s">
        <v>21</v>
      </c>
      <c r="E2808" t="s">
        <v>23</v>
      </c>
      <c r="F2808">
        <v>2502.09</v>
      </c>
    </row>
    <row r="2809" spans="1:6" x14ac:dyDescent="0.35">
      <c r="A2809">
        <v>1099</v>
      </c>
      <c r="B2809" s="2">
        <v>46088.375085336993</v>
      </c>
      <c r="C2809" t="s">
        <v>10</v>
      </c>
      <c r="D2809" t="s">
        <v>21</v>
      </c>
      <c r="E2809" t="s">
        <v>23</v>
      </c>
      <c r="F2809">
        <v>2788.07</v>
      </c>
    </row>
    <row r="2810" spans="1:6" x14ac:dyDescent="0.35">
      <c r="A2810">
        <v>1240</v>
      </c>
      <c r="B2810" s="2">
        <v>46088.375085336993</v>
      </c>
      <c r="C2810" t="s">
        <v>7</v>
      </c>
      <c r="D2810" t="s">
        <v>18</v>
      </c>
      <c r="E2810" t="s">
        <v>23</v>
      </c>
      <c r="F2810">
        <v>2668.23</v>
      </c>
    </row>
    <row r="2811" spans="1:6" x14ac:dyDescent="0.35">
      <c r="A2811">
        <v>1281</v>
      </c>
      <c r="B2811" s="2">
        <v>46088.375085336993</v>
      </c>
      <c r="C2811" t="s">
        <v>14</v>
      </c>
      <c r="D2811" t="s">
        <v>21</v>
      </c>
      <c r="E2811" t="s">
        <v>25</v>
      </c>
      <c r="F2811">
        <v>5149.12</v>
      </c>
    </row>
    <row r="2812" spans="1:6" x14ac:dyDescent="0.35">
      <c r="A2812">
        <v>1152</v>
      </c>
      <c r="B2812" s="2">
        <v>46089.375085336993</v>
      </c>
      <c r="C2812" t="s">
        <v>9</v>
      </c>
      <c r="D2812" t="s">
        <v>18</v>
      </c>
      <c r="E2812" t="s">
        <v>24</v>
      </c>
      <c r="F2812">
        <v>2015.88</v>
      </c>
    </row>
    <row r="2813" spans="1:6" x14ac:dyDescent="0.35">
      <c r="A2813">
        <v>1315</v>
      </c>
      <c r="B2813" s="2">
        <v>46090.375085336993</v>
      </c>
      <c r="C2813" t="s">
        <v>14</v>
      </c>
      <c r="D2813" t="s">
        <v>22</v>
      </c>
      <c r="E2813" t="s">
        <v>24</v>
      </c>
      <c r="F2813">
        <v>435.2</v>
      </c>
    </row>
    <row r="2814" spans="1:6" x14ac:dyDescent="0.35">
      <c r="A2814">
        <v>1293</v>
      </c>
      <c r="B2814" s="2">
        <v>46090.375085336993</v>
      </c>
      <c r="C2814" t="s">
        <v>10</v>
      </c>
      <c r="D2814" t="s">
        <v>21</v>
      </c>
      <c r="E2814" t="s">
        <v>23</v>
      </c>
      <c r="F2814">
        <v>3783.78</v>
      </c>
    </row>
    <row r="2815" spans="1:6" x14ac:dyDescent="0.35">
      <c r="A2815">
        <v>1373</v>
      </c>
      <c r="B2815" s="2">
        <v>46090.375085336993</v>
      </c>
      <c r="C2815" t="s">
        <v>6</v>
      </c>
      <c r="D2815" t="s">
        <v>16</v>
      </c>
      <c r="E2815" t="s">
        <v>25</v>
      </c>
      <c r="F2815">
        <v>2534.4899999999998</v>
      </c>
    </row>
    <row r="2816" spans="1:6" x14ac:dyDescent="0.35">
      <c r="A2816">
        <v>1385</v>
      </c>
      <c r="B2816" s="2">
        <v>46090.375085336993</v>
      </c>
      <c r="C2816" t="s">
        <v>9</v>
      </c>
      <c r="D2816" t="s">
        <v>17</v>
      </c>
      <c r="E2816" t="s">
        <v>23</v>
      </c>
      <c r="F2816">
        <v>477.47</v>
      </c>
    </row>
    <row r="2817" spans="1:6" x14ac:dyDescent="0.35">
      <c r="A2817">
        <v>1313</v>
      </c>
      <c r="B2817" s="2">
        <v>46090.375085336993</v>
      </c>
      <c r="C2817" t="s">
        <v>6</v>
      </c>
      <c r="D2817" t="s">
        <v>16</v>
      </c>
      <c r="E2817" t="s">
        <v>24</v>
      </c>
      <c r="F2817">
        <v>2746.02</v>
      </c>
    </row>
    <row r="2818" spans="1:6" x14ac:dyDescent="0.35">
      <c r="A2818">
        <v>1312</v>
      </c>
      <c r="B2818" s="2">
        <v>46090.375085336993</v>
      </c>
      <c r="C2818" t="s">
        <v>12</v>
      </c>
      <c r="D2818" t="s">
        <v>19</v>
      </c>
      <c r="E2818" t="s">
        <v>24</v>
      </c>
      <c r="F2818">
        <v>3825.28</v>
      </c>
    </row>
    <row r="2819" spans="1:6" x14ac:dyDescent="0.35">
      <c r="A2819">
        <v>1379</v>
      </c>
      <c r="B2819" s="2">
        <v>46090.375085336993</v>
      </c>
      <c r="C2819" t="s">
        <v>13</v>
      </c>
      <c r="D2819" t="s">
        <v>16</v>
      </c>
      <c r="E2819" t="s">
        <v>24</v>
      </c>
      <c r="F2819">
        <v>854.54</v>
      </c>
    </row>
    <row r="2820" spans="1:6" x14ac:dyDescent="0.35">
      <c r="A2820">
        <v>1013</v>
      </c>
      <c r="B2820" s="2">
        <v>46091.375085336993</v>
      </c>
      <c r="C2820" t="s">
        <v>9</v>
      </c>
      <c r="D2820" t="s">
        <v>18</v>
      </c>
      <c r="E2820" t="s">
        <v>24</v>
      </c>
      <c r="F2820">
        <v>2107.13</v>
      </c>
    </row>
    <row r="2821" spans="1:6" x14ac:dyDescent="0.35">
      <c r="A2821">
        <v>1378</v>
      </c>
      <c r="B2821" s="2">
        <v>46091.375085336993</v>
      </c>
      <c r="C2821" t="s">
        <v>9</v>
      </c>
      <c r="D2821" t="s">
        <v>17</v>
      </c>
      <c r="E2821" t="s">
        <v>24</v>
      </c>
      <c r="F2821">
        <v>1937.87</v>
      </c>
    </row>
    <row r="2822" spans="1:6" x14ac:dyDescent="0.35">
      <c r="A2822">
        <v>1161</v>
      </c>
      <c r="B2822" s="2">
        <v>46091.375085336993</v>
      </c>
      <c r="C2822" t="s">
        <v>14</v>
      </c>
      <c r="D2822" t="s">
        <v>16</v>
      </c>
      <c r="E2822" t="s">
        <v>25</v>
      </c>
      <c r="F2822">
        <v>6411.36</v>
      </c>
    </row>
    <row r="2823" spans="1:6" x14ac:dyDescent="0.35">
      <c r="A2823">
        <v>1258</v>
      </c>
      <c r="B2823" s="2">
        <v>46091.375085336993</v>
      </c>
      <c r="C2823" t="s">
        <v>10</v>
      </c>
      <c r="D2823" t="s">
        <v>18</v>
      </c>
      <c r="E2823" t="s">
        <v>24</v>
      </c>
      <c r="F2823">
        <v>3462.05</v>
      </c>
    </row>
    <row r="2824" spans="1:6" x14ac:dyDescent="0.35">
      <c r="A2824">
        <v>1098</v>
      </c>
      <c r="B2824" s="2">
        <v>46092.375085336993</v>
      </c>
      <c r="C2824" t="s">
        <v>7</v>
      </c>
      <c r="D2824" t="s">
        <v>20</v>
      </c>
      <c r="E2824" t="s">
        <v>24</v>
      </c>
      <c r="F2824">
        <v>495.75</v>
      </c>
    </row>
    <row r="2825" spans="1:6" x14ac:dyDescent="0.35">
      <c r="A2825">
        <v>1061</v>
      </c>
      <c r="B2825" s="2">
        <v>46092.375085336993</v>
      </c>
      <c r="C2825" t="s">
        <v>9</v>
      </c>
      <c r="D2825" t="s">
        <v>21</v>
      </c>
      <c r="E2825" t="s">
        <v>23</v>
      </c>
      <c r="F2825">
        <v>2358.5300000000002</v>
      </c>
    </row>
    <row r="2826" spans="1:6" x14ac:dyDescent="0.35">
      <c r="A2826">
        <v>1003</v>
      </c>
      <c r="B2826" s="2">
        <v>46092.375085336993</v>
      </c>
      <c r="C2826" t="s">
        <v>11</v>
      </c>
      <c r="D2826" t="s">
        <v>21</v>
      </c>
      <c r="E2826" t="s">
        <v>25</v>
      </c>
      <c r="F2826">
        <v>4656.3</v>
      </c>
    </row>
    <row r="2827" spans="1:6" x14ac:dyDescent="0.35">
      <c r="A2827">
        <v>1162</v>
      </c>
      <c r="B2827" s="2">
        <v>46092.375085336993</v>
      </c>
      <c r="C2827" t="s">
        <v>15</v>
      </c>
      <c r="D2827" t="s">
        <v>17</v>
      </c>
      <c r="E2827" t="s">
        <v>23</v>
      </c>
      <c r="F2827">
        <v>1927.55</v>
      </c>
    </row>
    <row r="2828" spans="1:6" x14ac:dyDescent="0.35">
      <c r="A2828">
        <v>1291</v>
      </c>
      <c r="B2828" s="2">
        <v>46092.375085336993</v>
      </c>
      <c r="C2828" t="s">
        <v>12</v>
      </c>
      <c r="D2828" t="s">
        <v>20</v>
      </c>
      <c r="E2828" t="s">
        <v>24</v>
      </c>
      <c r="F2828">
        <v>10150.81</v>
      </c>
    </row>
    <row r="2829" spans="1:6" x14ac:dyDescent="0.35">
      <c r="A2829">
        <v>1081</v>
      </c>
      <c r="B2829" s="2">
        <v>46092.375085336993</v>
      </c>
      <c r="C2829" t="s">
        <v>9</v>
      </c>
      <c r="D2829" t="s">
        <v>17</v>
      </c>
      <c r="E2829" t="s">
        <v>25</v>
      </c>
      <c r="F2829">
        <v>2565.87</v>
      </c>
    </row>
    <row r="2830" spans="1:6" x14ac:dyDescent="0.35">
      <c r="A2830">
        <v>1034</v>
      </c>
      <c r="B2830" s="2">
        <v>46093.375085336993</v>
      </c>
      <c r="C2830" t="s">
        <v>11</v>
      </c>
      <c r="D2830" t="s">
        <v>20</v>
      </c>
      <c r="E2830" t="s">
        <v>23</v>
      </c>
      <c r="F2830">
        <v>2150.37</v>
      </c>
    </row>
    <row r="2831" spans="1:6" x14ac:dyDescent="0.35">
      <c r="A2831">
        <v>1248</v>
      </c>
      <c r="B2831" s="2">
        <v>46093.375085336993</v>
      </c>
      <c r="C2831" t="s">
        <v>12</v>
      </c>
      <c r="D2831" t="s">
        <v>18</v>
      </c>
      <c r="E2831" t="s">
        <v>24</v>
      </c>
      <c r="F2831">
        <v>10621.69</v>
      </c>
    </row>
    <row r="2832" spans="1:6" x14ac:dyDescent="0.35">
      <c r="A2832">
        <v>1132</v>
      </c>
      <c r="B2832" s="2">
        <v>46093.375085336993</v>
      </c>
      <c r="C2832" t="s">
        <v>7</v>
      </c>
      <c r="D2832" t="s">
        <v>21</v>
      </c>
      <c r="E2832" t="s">
        <v>24</v>
      </c>
      <c r="F2832">
        <v>4385.34</v>
      </c>
    </row>
    <row r="2833" spans="1:6" x14ac:dyDescent="0.35">
      <c r="A2833">
        <v>1097</v>
      </c>
      <c r="B2833" s="2">
        <v>46093.375085336993</v>
      </c>
      <c r="C2833" t="s">
        <v>11</v>
      </c>
      <c r="D2833" t="s">
        <v>18</v>
      </c>
      <c r="E2833" t="s">
        <v>25</v>
      </c>
      <c r="F2833">
        <v>6665.17</v>
      </c>
    </row>
    <row r="2834" spans="1:6" x14ac:dyDescent="0.35">
      <c r="A2834">
        <v>1182</v>
      </c>
      <c r="B2834" s="2">
        <v>46093.375085336993</v>
      </c>
      <c r="C2834" t="s">
        <v>10</v>
      </c>
      <c r="D2834" t="s">
        <v>18</v>
      </c>
      <c r="E2834" t="s">
        <v>23</v>
      </c>
      <c r="F2834">
        <v>3584.88</v>
      </c>
    </row>
    <row r="2835" spans="1:6" x14ac:dyDescent="0.35">
      <c r="A2835">
        <v>1142</v>
      </c>
      <c r="B2835" s="2">
        <v>46093.375085336993</v>
      </c>
      <c r="C2835" t="s">
        <v>10</v>
      </c>
      <c r="D2835" t="s">
        <v>17</v>
      </c>
      <c r="E2835" t="s">
        <v>23</v>
      </c>
      <c r="F2835">
        <v>4105.34</v>
      </c>
    </row>
    <row r="2836" spans="1:6" x14ac:dyDescent="0.35">
      <c r="A2836">
        <v>1267</v>
      </c>
      <c r="B2836" s="2">
        <v>46094.375085336993</v>
      </c>
      <c r="C2836" t="s">
        <v>12</v>
      </c>
      <c r="D2836" t="s">
        <v>18</v>
      </c>
      <c r="E2836" t="s">
        <v>25</v>
      </c>
      <c r="F2836">
        <v>5559.67</v>
      </c>
    </row>
    <row r="2837" spans="1:6" x14ac:dyDescent="0.35">
      <c r="A2837">
        <v>1177</v>
      </c>
      <c r="B2837" s="2">
        <v>46094.375085336993</v>
      </c>
      <c r="C2837" t="s">
        <v>10</v>
      </c>
      <c r="D2837" t="s">
        <v>17</v>
      </c>
      <c r="E2837" t="s">
        <v>23</v>
      </c>
      <c r="F2837">
        <v>4066.03</v>
      </c>
    </row>
    <row r="2838" spans="1:6" x14ac:dyDescent="0.35">
      <c r="A2838">
        <v>1372</v>
      </c>
      <c r="B2838" s="2">
        <v>46094.375085336993</v>
      </c>
      <c r="C2838" t="s">
        <v>9</v>
      </c>
      <c r="D2838" t="s">
        <v>20</v>
      </c>
      <c r="E2838" t="s">
        <v>23</v>
      </c>
      <c r="F2838">
        <v>843.19</v>
      </c>
    </row>
    <row r="2839" spans="1:6" x14ac:dyDescent="0.35">
      <c r="A2839">
        <v>1308</v>
      </c>
      <c r="B2839" s="2">
        <v>46095.375085336993</v>
      </c>
      <c r="C2839" t="s">
        <v>11</v>
      </c>
      <c r="D2839" t="s">
        <v>19</v>
      </c>
      <c r="E2839" t="s">
        <v>24</v>
      </c>
      <c r="F2839">
        <v>2349.5</v>
      </c>
    </row>
    <row r="2840" spans="1:6" x14ac:dyDescent="0.35">
      <c r="A2840">
        <v>1138</v>
      </c>
      <c r="B2840" s="2">
        <v>46095.375085336993</v>
      </c>
      <c r="C2840" t="s">
        <v>13</v>
      </c>
      <c r="D2840" t="s">
        <v>20</v>
      </c>
      <c r="E2840" t="s">
        <v>25</v>
      </c>
      <c r="F2840">
        <v>7857.24</v>
      </c>
    </row>
    <row r="2841" spans="1:6" x14ac:dyDescent="0.35">
      <c r="A2841">
        <v>1358</v>
      </c>
      <c r="B2841" s="2">
        <v>46095.375085336993</v>
      </c>
      <c r="C2841" t="s">
        <v>14</v>
      </c>
      <c r="D2841" t="s">
        <v>22</v>
      </c>
      <c r="E2841" t="s">
        <v>24</v>
      </c>
      <c r="F2841">
        <v>4146.58</v>
      </c>
    </row>
    <row r="2842" spans="1:6" x14ac:dyDescent="0.35">
      <c r="A2842">
        <v>1034</v>
      </c>
      <c r="B2842" s="2">
        <v>46096.375085336993</v>
      </c>
      <c r="C2842" t="s">
        <v>12</v>
      </c>
      <c r="D2842" t="s">
        <v>16</v>
      </c>
      <c r="E2842" t="s">
        <v>23</v>
      </c>
      <c r="F2842">
        <v>2972.46</v>
      </c>
    </row>
    <row r="2843" spans="1:6" x14ac:dyDescent="0.35">
      <c r="A2843">
        <v>1004</v>
      </c>
      <c r="B2843" s="2">
        <v>46096.375085336993</v>
      </c>
      <c r="C2843" t="s">
        <v>9</v>
      </c>
      <c r="D2843" t="s">
        <v>16</v>
      </c>
      <c r="E2843" t="s">
        <v>24</v>
      </c>
      <c r="F2843">
        <v>2194.9299999999998</v>
      </c>
    </row>
    <row r="2844" spans="1:6" x14ac:dyDescent="0.35">
      <c r="A2844">
        <v>1252</v>
      </c>
      <c r="B2844" s="2">
        <v>46096.375085336993</v>
      </c>
      <c r="C2844" t="s">
        <v>14</v>
      </c>
      <c r="D2844" t="s">
        <v>19</v>
      </c>
      <c r="E2844" t="s">
        <v>24</v>
      </c>
      <c r="F2844">
        <v>11165.63</v>
      </c>
    </row>
    <row r="2845" spans="1:6" x14ac:dyDescent="0.35">
      <c r="A2845">
        <v>1096</v>
      </c>
      <c r="B2845" s="2">
        <v>46096.375085336993</v>
      </c>
      <c r="C2845" t="s">
        <v>9</v>
      </c>
      <c r="D2845" t="s">
        <v>22</v>
      </c>
      <c r="E2845" t="s">
        <v>23</v>
      </c>
      <c r="F2845">
        <v>3026.3</v>
      </c>
    </row>
    <row r="2846" spans="1:6" x14ac:dyDescent="0.35">
      <c r="A2846">
        <v>1107</v>
      </c>
      <c r="B2846" s="2">
        <v>46097.375085336993</v>
      </c>
      <c r="C2846" t="s">
        <v>8</v>
      </c>
      <c r="D2846" t="s">
        <v>20</v>
      </c>
      <c r="E2846" t="s">
        <v>24</v>
      </c>
      <c r="F2846">
        <v>2264.13</v>
      </c>
    </row>
    <row r="2847" spans="1:6" x14ac:dyDescent="0.35">
      <c r="A2847">
        <v>1071</v>
      </c>
      <c r="B2847" s="2">
        <v>46097.375085336993</v>
      </c>
      <c r="C2847" t="s">
        <v>6</v>
      </c>
      <c r="D2847" t="s">
        <v>18</v>
      </c>
      <c r="E2847" t="s">
        <v>24</v>
      </c>
      <c r="F2847">
        <v>7907.19</v>
      </c>
    </row>
    <row r="2848" spans="1:6" x14ac:dyDescent="0.35">
      <c r="A2848">
        <v>1103</v>
      </c>
      <c r="B2848" s="2">
        <v>46097.375085336993</v>
      </c>
      <c r="C2848" t="s">
        <v>13</v>
      </c>
      <c r="D2848" t="s">
        <v>21</v>
      </c>
      <c r="E2848" t="s">
        <v>23</v>
      </c>
      <c r="F2848">
        <v>4062.29</v>
      </c>
    </row>
    <row r="2849" spans="1:6" x14ac:dyDescent="0.35">
      <c r="A2849">
        <v>1290</v>
      </c>
      <c r="B2849" s="2">
        <v>46098.375085336993</v>
      </c>
      <c r="C2849" t="s">
        <v>7</v>
      </c>
      <c r="D2849" t="s">
        <v>16</v>
      </c>
      <c r="E2849" t="s">
        <v>24</v>
      </c>
      <c r="F2849">
        <v>7269.77</v>
      </c>
    </row>
    <row r="2850" spans="1:6" x14ac:dyDescent="0.35">
      <c r="A2850">
        <v>1209</v>
      </c>
      <c r="B2850" s="2">
        <v>46098.375085336993</v>
      </c>
      <c r="C2850" t="s">
        <v>13</v>
      </c>
      <c r="D2850" t="s">
        <v>18</v>
      </c>
      <c r="E2850" t="s">
        <v>25</v>
      </c>
      <c r="F2850">
        <v>504.26</v>
      </c>
    </row>
    <row r="2851" spans="1:6" x14ac:dyDescent="0.35">
      <c r="A2851">
        <v>1037</v>
      </c>
      <c r="B2851" s="2">
        <v>46098.375085336993</v>
      </c>
      <c r="C2851" t="s">
        <v>14</v>
      </c>
      <c r="D2851" t="s">
        <v>18</v>
      </c>
      <c r="E2851" t="s">
        <v>23</v>
      </c>
      <c r="F2851">
        <v>6278.3</v>
      </c>
    </row>
    <row r="2852" spans="1:6" x14ac:dyDescent="0.35">
      <c r="A2852">
        <v>1061</v>
      </c>
      <c r="B2852" s="2">
        <v>46098.375085336993</v>
      </c>
      <c r="C2852" t="s">
        <v>14</v>
      </c>
      <c r="D2852" t="s">
        <v>22</v>
      </c>
      <c r="E2852" t="s">
        <v>23</v>
      </c>
      <c r="F2852">
        <v>2493.13</v>
      </c>
    </row>
    <row r="2853" spans="1:6" x14ac:dyDescent="0.35">
      <c r="A2853">
        <v>1094</v>
      </c>
      <c r="B2853" s="2">
        <v>46098.375085336993</v>
      </c>
      <c r="C2853" t="s">
        <v>6</v>
      </c>
      <c r="D2853" t="s">
        <v>18</v>
      </c>
      <c r="E2853" t="s">
        <v>24</v>
      </c>
      <c r="F2853">
        <v>1118.1099999999999</v>
      </c>
    </row>
    <row r="2854" spans="1:6" x14ac:dyDescent="0.35">
      <c r="A2854">
        <v>1270</v>
      </c>
      <c r="B2854" s="2">
        <v>46098.375085336993</v>
      </c>
      <c r="C2854" t="s">
        <v>8</v>
      </c>
      <c r="D2854" t="s">
        <v>18</v>
      </c>
      <c r="E2854" t="s">
        <v>24</v>
      </c>
      <c r="F2854">
        <v>3042.92</v>
      </c>
    </row>
    <row r="2855" spans="1:6" x14ac:dyDescent="0.35">
      <c r="A2855">
        <v>1004</v>
      </c>
      <c r="B2855" s="2">
        <v>46099.375085336993</v>
      </c>
      <c r="C2855" t="s">
        <v>6</v>
      </c>
      <c r="D2855" t="s">
        <v>19</v>
      </c>
      <c r="E2855" t="s">
        <v>25</v>
      </c>
      <c r="F2855">
        <v>1009.87</v>
      </c>
    </row>
    <row r="2856" spans="1:6" x14ac:dyDescent="0.35">
      <c r="A2856">
        <v>1148</v>
      </c>
      <c r="B2856" s="2">
        <v>46099.375085336993</v>
      </c>
      <c r="C2856" t="s">
        <v>15</v>
      </c>
      <c r="D2856" t="s">
        <v>20</v>
      </c>
      <c r="E2856" t="s">
        <v>25</v>
      </c>
      <c r="F2856">
        <v>6194.09</v>
      </c>
    </row>
    <row r="2857" spans="1:6" x14ac:dyDescent="0.35">
      <c r="A2857">
        <v>1038</v>
      </c>
      <c r="B2857" s="2">
        <v>46099.375085336993</v>
      </c>
      <c r="C2857" t="s">
        <v>10</v>
      </c>
      <c r="D2857" t="s">
        <v>19</v>
      </c>
      <c r="E2857" t="s">
        <v>25</v>
      </c>
      <c r="F2857">
        <v>9619.35</v>
      </c>
    </row>
    <row r="2858" spans="1:6" x14ac:dyDescent="0.35">
      <c r="A2858">
        <v>1260</v>
      </c>
      <c r="B2858" s="2">
        <v>46099.375085336993</v>
      </c>
      <c r="C2858" t="s">
        <v>14</v>
      </c>
      <c r="D2858" t="s">
        <v>19</v>
      </c>
      <c r="E2858" t="s">
        <v>24</v>
      </c>
      <c r="F2858">
        <v>5811.57</v>
      </c>
    </row>
    <row r="2859" spans="1:6" x14ac:dyDescent="0.35">
      <c r="A2859">
        <v>1240</v>
      </c>
      <c r="B2859" s="2">
        <v>46099.375085336993</v>
      </c>
      <c r="C2859" t="s">
        <v>11</v>
      </c>
      <c r="D2859" t="s">
        <v>18</v>
      </c>
      <c r="E2859" t="s">
        <v>23</v>
      </c>
      <c r="F2859">
        <v>4464.01</v>
      </c>
    </row>
    <row r="2860" spans="1:6" x14ac:dyDescent="0.35">
      <c r="A2860">
        <v>1235</v>
      </c>
      <c r="B2860" s="2">
        <v>46099.375085336993</v>
      </c>
      <c r="C2860" t="s">
        <v>6</v>
      </c>
      <c r="D2860" t="s">
        <v>21</v>
      </c>
      <c r="E2860" t="s">
        <v>25</v>
      </c>
      <c r="F2860">
        <v>2425.4</v>
      </c>
    </row>
    <row r="2861" spans="1:6" x14ac:dyDescent="0.35">
      <c r="A2861">
        <v>1294</v>
      </c>
      <c r="B2861" s="2">
        <v>46100.375085336993</v>
      </c>
      <c r="C2861" t="s">
        <v>14</v>
      </c>
      <c r="D2861" t="s">
        <v>21</v>
      </c>
      <c r="E2861" t="s">
        <v>23</v>
      </c>
      <c r="F2861">
        <v>6883.02</v>
      </c>
    </row>
    <row r="2862" spans="1:6" x14ac:dyDescent="0.35">
      <c r="A2862">
        <v>1035</v>
      </c>
      <c r="B2862" s="2">
        <v>46100.375085336993</v>
      </c>
      <c r="C2862" t="s">
        <v>6</v>
      </c>
      <c r="D2862" t="s">
        <v>21</v>
      </c>
      <c r="E2862" t="s">
        <v>25</v>
      </c>
      <c r="F2862">
        <v>3135.98</v>
      </c>
    </row>
    <row r="2863" spans="1:6" x14ac:dyDescent="0.35">
      <c r="A2863">
        <v>1040</v>
      </c>
      <c r="B2863" s="2">
        <v>46100.375085336993</v>
      </c>
      <c r="C2863" t="s">
        <v>12</v>
      </c>
      <c r="D2863" t="s">
        <v>16</v>
      </c>
      <c r="E2863" t="s">
        <v>24</v>
      </c>
      <c r="F2863">
        <v>4665.43</v>
      </c>
    </row>
    <row r="2864" spans="1:6" x14ac:dyDescent="0.35">
      <c r="A2864">
        <v>1219</v>
      </c>
      <c r="B2864" s="2">
        <v>46100.375085336993</v>
      </c>
      <c r="C2864" t="s">
        <v>12</v>
      </c>
      <c r="D2864" t="s">
        <v>21</v>
      </c>
      <c r="E2864" t="s">
        <v>23</v>
      </c>
      <c r="F2864">
        <v>2255.73</v>
      </c>
    </row>
    <row r="2865" spans="1:6" x14ac:dyDescent="0.35">
      <c r="A2865">
        <v>1140</v>
      </c>
      <c r="B2865" s="2">
        <v>46101.375085336993</v>
      </c>
      <c r="C2865" t="s">
        <v>12</v>
      </c>
      <c r="D2865" t="s">
        <v>17</v>
      </c>
      <c r="E2865" t="s">
        <v>25</v>
      </c>
      <c r="F2865">
        <v>6712.04</v>
      </c>
    </row>
    <row r="2866" spans="1:6" x14ac:dyDescent="0.35">
      <c r="A2866">
        <v>1035</v>
      </c>
      <c r="B2866" s="2">
        <v>46101.375085336993</v>
      </c>
      <c r="C2866" t="s">
        <v>13</v>
      </c>
      <c r="D2866" t="s">
        <v>19</v>
      </c>
      <c r="E2866" t="s">
        <v>23</v>
      </c>
      <c r="F2866">
        <v>7232.62</v>
      </c>
    </row>
    <row r="2867" spans="1:6" x14ac:dyDescent="0.35">
      <c r="A2867">
        <v>1014</v>
      </c>
      <c r="B2867" s="2">
        <v>46101.375085336993</v>
      </c>
      <c r="C2867" t="s">
        <v>8</v>
      </c>
      <c r="D2867" t="s">
        <v>17</v>
      </c>
      <c r="E2867" t="s">
        <v>24</v>
      </c>
      <c r="F2867">
        <v>3643.44</v>
      </c>
    </row>
    <row r="2868" spans="1:6" x14ac:dyDescent="0.35">
      <c r="A2868">
        <v>1344</v>
      </c>
      <c r="B2868" s="2">
        <v>46101.375085336993</v>
      </c>
      <c r="C2868" t="s">
        <v>11</v>
      </c>
      <c r="D2868" t="s">
        <v>19</v>
      </c>
      <c r="E2868" t="s">
        <v>25</v>
      </c>
      <c r="F2868">
        <v>1348.36</v>
      </c>
    </row>
    <row r="2869" spans="1:6" x14ac:dyDescent="0.35">
      <c r="A2869">
        <v>1384</v>
      </c>
      <c r="B2869" s="2">
        <v>46101.375085336993</v>
      </c>
      <c r="C2869" t="s">
        <v>13</v>
      </c>
      <c r="D2869" t="s">
        <v>20</v>
      </c>
      <c r="E2869" t="s">
        <v>23</v>
      </c>
      <c r="F2869">
        <v>1792.77</v>
      </c>
    </row>
    <row r="2870" spans="1:6" x14ac:dyDescent="0.35">
      <c r="A2870">
        <v>1122</v>
      </c>
      <c r="B2870" s="2">
        <v>46103.375085336993</v>
      </c>
      <c r="C2870" t="s">
        <v>9</v>
      </c>
      <c r="D2870" t="s">
        <v>21</v>
      </c>
      <c r="E2870" t="s">
        <v>23</v>
      </c>
      <c r="F2870">
        <v>2596.7800000000002</v>
      </c>
    </row>
    <row r="2871" spans="1:6" x14ac:dyDescent="0.35">
      <c r="A2871">
        <v>1091</v>
      </c>
      <c r="B2871" s="2">
        <v>46103.375085336993</v>
      </c>
      <c r="C2871" t="s">
        <v>6</v>
      </c>
      <c r="D2871" t="s">
        <v>22</v>
      </c>
      <c r="E2871" t="s">
        <v>25</v>
      </c>
      <c r="F2871">
        <v>11218.14</v>
      </c>
    </row>
    <row r="2872" spans="1:6" x14ac:dyDescent="0.35">
      <c r="A2872">
        <v>1302</v>
      </c>
      <c r="B2872" s="2">
        <v>46103.375085336993</v>
      </c>
      <c r="C2872" t="s">
        <v>10</v>
      </c>
      <c r="D2872" t="s">
        <v>21</v>
      </c>
      <c r="E2872" t="s">
        <v>23</v>
      </c>
      <c r="F2872">
        <v>4805.71</v>
      </c>
    </row>
    <row r="2873" spans="1:6" x14ac:dyDescent="0.35">
      <c r="A2873">
        <v>1368</v>
      </c>
      <c r="B2873" s="2">
        <v>46103.375085336993</v>
      </c>
      <c r="C2873" t="s">
        <v>13</v>
      </c>
      <c r="D2873" t="s">
        <v>21</v>
      </c>
      <c r="E2873" t="s">
        <v>25</v>
      </c>
      <c r="F2873">
        <v>380.13</v>
      </c>
    </row>
    <row r="2874" spans="1:6" x14ac:dyDescent="0.35">
      <c r="A2874">
        <v>1151</v>
      </c>
      <c r="B2874" s="2">
        <v>46104.375085336993</v>
      </c>
      <c r="C2874" t="s">
        <v>12</v>
      </c>
      <c r="D2874" t="s">
        <v>16</v>
      </c>
      <c r="E2874" t="s">
        <v>25</v>
      </c>
      <c r="F2874">
        <v>5593.41</v>
      </c>
    </row>
    <row r="2875" spans="1:6" x14ac:dyDescent="0.35">
      <c r="A2875">
        <v>1334</v>
      </c>
      <c r="B2875" s="2">
        <v>46104.375085336993</v>
      </c>
      <c r="C2875" t="s">
        <v>15</v>
      </c>
      <c r="D2875" t="s">
        <v>19</v>
      </c>
      <c r="E2875" t="s">
        <v>25</v>
      </c>
      <c r="F2875">
        <v>1482.73</v>
      </c>
    </row>
    <row r="2876" spans="1:6" x14ac:dyDescent="0.35">
      <c r="A2876">
        <v>1156</v>
      </c>
      <c r="B2876" s="2">
        <v>46104.375085336993</v>
      </c>
      <c r="C2876" t="s">
        <v>7</v>
      </c>
      <c r="D2876" t="s">
        <v>20</v>
      </c>
      <c r="E2876" t="s">
        <v>25</v>
      </c>
      <c r="F2876">
        <v>12356.45</v>
      </c>
    </row>
    <row r="2877" spans="1:6" x14ac:dyDescent="0.35">
      <c r="A2877">
        <v>1213</v>
      </c>
      <c r="B2877" s="2">
        <v>46104.375085336993</v>
      </c>
      <c r="C2877" t="s">
        <v>6</v>
      </c>
      <c r="D2877" t="s">
        <v>18</v>
      </c>
      <c r="E2877" t="s">
        <v>25</v>
      </c>
      <c r="F2877">
        <v>4305.72</v>
      </c>
    </row>
    <row r="2878" spans="1:6" x14ac:dyDescent="0.35">
      <c r="A2878">
        <v>1081</v>
      </c>
      <c r="B2878" s="2">
        <v>46104.375085336993</v>
      </c>
      <c r="C2878" t="s">
        <v>15</v>
      </c>
      <c r="D2878" t="s">
        <v>17</v>
      </c>
      <c r="E2878" t="s">
        <v>23</v>
      </c>
      <c r="F2878">
        <v>1127.18</v>
      </c>
    </row>
    <row r="2879" spans="1:6" x14ac:dyDescent="0.35">
      <c r="A2879">
        <v>1157</v>
      </c>
      <c r="B2879" s="2">
        <v>46104.375085336993</v>
      </c>
      <c r="C2879" t="s">
        <v>11</v>
      </c>
      <c r="D2879" t="s">
        <v>18</v>
      </c>
      <c r="E2879" t="s">
        <v>23</v>
      </c>
      <c r="F2879">
        <v>2821.25</v>
      </c>
    </row>
    <row r="2880" spans="1:6" x14ac:dyDescent="0.35">
      <c r="A2880">
        <v>1007</v>
      </c>
      <c r="B2880" s="2">
        <v>46105.375085336993</v>
      </c>
      <c r="C2880" t="s">
        <v>10</v>
      </c>
      <c r="D2880" t="s">
        <v>18</v>
      </c>
      <c r="E2880" t="s">
        <v>24</v>
      </c>
      <c r="F2880">
        <v>6394.39</v>
      </c>
    </row>
    <row r="2881" spans="1:6" x14ac:dyDescent="0.35">
      <c r="A2881">
        <v>1118</v>
      </c>
      <c r="B2881" s="2">
        <v>46105.375085336993</v>
      </c>
      <c r="C2881" t="s">
        <v>14</v>
      </c>
      <c r="D2881" t="s">
        <v>21</v>
      </c>
      <c r="E2881" t="s">
        <v>23</v>
      </c>
      <c r="F2881">
        <v>7433.38</v>
      </c>
    </row>
    <row r="2882" spans="1:6" x14ac:dyDescent="0.35">
      <c r="A2882">
        <v>1116</v>
      </c>
      <c r="B2882" s="2">
        <v>46105.375085336993</v>
      </c>
      <c r="C2882" t="s">
        <v>15</v>
      </c>
      <c r="D2882" t="s">
        <v>22</v>
      </c>
      <c r="E2882" t="s">
        <v>24</v>
      </c>
      <c r="F2882">
        <v>1401.77</v>
      </c>
    </row>
    <row r="2883" spans="1:6" x14ac:dyDescent="0.35">
      <c r="A2883">
        <v>1088</v>
      </c>
      <c r="B2883" s="2">
        <v>46105.375085336993</v>
      </c>
      <c r="C2883" t="s">
        <v>7</v>
      </c>
      <c r="D2883" t="s">
        <v>18</v>
      </c>
      <c r="E2883" t="s">
        <v>23</v>
      </c>
      <c r="F2883">
        <v>13004.58</v>
      </c>
    </row>
    <row r="2884" spans="1:6" x14ac:dyDescent="0.35">
      <c r="A2884">
        <v>1353</v>
      </c>
      <c r="B2884" s="2">
        <v>46105.375085336993</v>
      </c>
      <c r="C2884" t="s">
        <v>10</v>
      </c>
      <c r="D2884" t="s">
        <v>22</v>
      </c>
      <c r="E2884" t="s">
        <v>25</v>
      </c>
      <c r="F2884">
        <v>834.94</v>
      </c>
    </row>
    <row r="2885" spans="1:6" x14ac:dyDescent="0.35">
      <c r="A2885">
        <v>1341</v>
      </c>
      <c r="B2885" s="2">
        <v>46105.375085336993</v>
      </c>
      <c r="C2885" t="s">
        <v>15</v>
      </c>
      <c r="D2885" t="s">
        <v>17</v>
      </c>
      <c r="E2885" t="s">
        <v>23</v>
      </c>
      <c r="F2885">
        <v>4074.59</v>
      </c>
    </row>
    <row r="2886" spans="1:6" x14ac:dyDescent="0.35">
      <c r="A2886">
        <v>1271</v>
      </c>
      <c r="B2886" s="2">
        <v>46106.375085336993</v>
      </c>
      <c r="C2886" t="s">
        <v>8</v>
      </c>
      <c r="D2886" t="s">
        <v>17</v>
      </c>
      <c r="E2886" t="s">
        <v>24</v>
      </c>
      <c r="F2886">
        <v>5843.63</v>
      </c>
    </row>
    <row r="2887" spans="1:6" x14ac:dyDescent="0.35">
      <c r="A2887">
        <v>1361</v>
      </c>
      <c r="B2887" s="2">
        <v>46106.375085336993</v>
      </c>
      <c r="C2887" t="s">
        <v>12</v>
      </c>
      <c r="D2887" t="s">
        <v>19</v>
      </c>
      <c r="E2887" t="s">
        <v>23</v>
      </c>
      <c r="F2887">
        <v>1138.42</v>
      </c>
    </row>
    <row r="2888" spans="1:6" x14ac:dyDescent="0.35">
      <c r="A2888">
        <v>1373</v>
      </c>
      <c r="B2888" s="2">
        <v>46106.375085336993</v>
      </c>
      <c r="C2888" t="s">
        <v>11</v>
      </c>
      <c r="D2888" t="s">
        <v>18</v>
      </c>
      <c r="E2888" t="s">
        <v>24</v>
      </c>
      <c r="F2888">
        <v>2675.87</v>
      </c>
    </row>
    <row r="2889" spans="1:6" x14ac:dyDescent="0.35">
      <c r="A2889">
        <v>1251</v>
      </c>
      <c r="B2889" s="2">
        <v>46106.375085336993</v>
      </c>
      <c r="C2889" t="s">
        <v>14</v>
      </c>
      <c r="D2889" t="s">
        <v>17</v>
      </c>
      <c r="E2889" t="s">
        <v>24</v>
      </c>
      <c r="F2889">
        <v>1439.91</v>
      </c>
    </row>
    <row r="2890" spans="1:6" x14ac:dyDescent="0.35">
      <c r="A2890">
        <v>1270</v>
      </c>
      <c r="B2890" s="2">
        <v>46106.375085336993</v>
      </c>
      <c r="C2890" t="s">
        <v>9</v>
      </c>
      <c r="D2890" t="s">
        <v>17</v>
      </c>
      <c r="E2890" t="s">
        <v>23</v>
      </c>
      <c r="F2890">
        <v>7469.89</v>
      </c>
    </row>
    <row r="2891" spans="1:6" x14ac:dyDescent="0.35">
      <c r="A2891">
        <v>1045</v>
      </c>
      <c r="B2891" s="2">
        <v>46107.375085336993</v>
      </c>
      <c r="C2891" t="s">
        <v>12</v>
      </c>
      <c r="D2891" t="s">
        <v>16</v>
      </c>
      <c r="E2891" t="s">
        <v>25</v>
      </c>
      <c r="F2891">
        <v>5879.74</v>
      </c>
    </row>
    <row r="2892" spans="1:6" x14ac:dyDescent="0.35">
      <c r="A2892">
        <v>1089</v>
      </c>
      <c r="B2892" s="2">
        <v>46107.375085336993</v>
      </c>
      <c r="C2892" t="s">
        <v>6</v>
      </c>
      <c r="D2892" t="s">
        <v>17</v>
      </c>
      <c r="E2892" t="s">
        <v>25</v>
      </c>
      <c r="F2892">
        <v>581.46</v>
      </c>
    </row>
    <row r="2893" spans="1:6" x14ac:dyDescent="0.35">
      <c r="A2893">
        <v>1373</v>
      </c>
      <c r="B2893" s="2">
        <v>46107.375085336993</v>
      </c>
      <c r="C2893" t="s">
        <v>11</v>
      </c>
      <c r="D2893" t="s">
        <v>20</v>
      </c>
      <c r="E2893" t="s">
        <v>25</v>
      </c>
      <c r="F2893">
        <v>2829.51</v>
      </c>
    </row>
    <row r="2894" spans="1:6" x14ac:dyDescent="0.35">
      <c r="A2894">
        <v>1392</v>
      </c>
      <c r="B2894" s="2">
        <v>46107.375085336993</v>
      </c>
      <c r="C2894" t="s">
        <v>12</v>
      </c>
      <c r="D2894" t="s">
        <v>19</v>
      </c>
      <c r="E2894" t="s">
        <v>25</v>
      </c>
      <c r="F2894">
        <v>1413.21</v>
      </c>
    </row>
    <row r="2895" spans="1:6" x14ac:dyDescent="0.35">
      <c r="A2895">
        <v>1301</v>
      </c>
      <c r="B2895" s="2">
        <v>46107.375085336993</v>
      </c>
      <c r="C2895" t="s">
        <v>10</v>
      </c>
      <c r="D2895" t="s">
        <v>20</v>
      </c>
      <c r="E2895" t="s">
        <v>25</v>
      </c>
      <c r="F2895">
        <v>5711.44</v>
      </c>
    </row>
    <row r="2896" spans="1:6" x14ac:dyDescent="0.35">
      <c r="A2896">
        <v>1125</v>
      </c>
      <c r="B2896" s="2">
        <v>46108.375085336993</v>
      </c>
      <c r="C2896" t="s">
        <v>13</v>
      </c>
      <c r="D2896" t="s">
        <v>16</v>
      </c>
      <c r="E2896" t="s">
        <v>24</v>
      </c>
      <c r="F2896">
        <v>2750.06</v>
      </c>
    </row>
    <row r="2897" spans="1:6" x14ac:dyDescent="0.35">
      <c r="A2897">
        <v>1249</v>
      </c>
      <c r="B2897" s="2">
        <v>46108.375085336993</v>
      </c>
      <c r="C2897" t="s">
        <v>14</v>
      </c>
      <c r="D2897" t="s">
        <v>21</v>
      </c>
      <c r="E2897" t="s">
        <v>24</v>
      </c>
      <c r="F2897">
        <v>4471.03</v>
      </c>
    </row>
    <row r="2898" spans="1:6" x14ac:dyDescent="0.35">
      <c r="A2898">
        <v>1194</v>
      </c>
      <c r="B2898" s="2">
        <v>46108.375085336993</v>
      </c>
      <c r="C2898" t="s">
        <v>11</v>
      </c>
      <c r="D2898" t="s">
        <v>21</v>
      </c>
      <c r="E2898" t="s">
        <v>23</v>
      </c>
      <c r="F2898">
        <v>561</v>
      </c>
    </row>
    <row r="2899" spans="1:6" x14ac:dyDescent="0.35">
      <c r="A2899">
        <v>1143</v>
      </c>
      <c r="B2899" s="2">
        <v>46109.375085336993</v>
      </c>
      <c r="C2899" t="s">
        <v>13</v>
      </c>
      <c r="D2899" t="s">
        <v>18</v>
      </c>
      <c r="E2899" t="s">
        <v>23</v>
      </c>
      <c r="F2899">
        <v>2959.31</v>
      </c>
    </row>
    <row r="2900" spans="1:6" x14ac:dyDescent="0.35">
      <c r="A2900">
        <v>1288</v>
      </c>
      <c r="B2900" s="2">
        <v>46109.375085336993</v>
      </c>
      <c r="C2900" t="s">
        <v>7</v>
      </c>
      <c r="D2900" t="s">
        <v>16</v>
      </c>
      <c r="E2900" t="s">
        <v>23</v>
      </c>
      <c r="F2900">
        <v>1003.18</v>
      </c>
    </row>
    <row r="2901" spans="1:6" x14ac:dyDescent="0.35">
      <c r="A2901">
        <v>1285</v>
      </c>
      <c r="B2901" s="2">
        <v>46109.375085336993</v>
      </c>
      <c r="C2901" t="s">
        <v>10</v>
      </c>
      <c r="D2901" t="s">
        <v>16</v>
      </c>
      <c r="E2901" t="s">
        <v>25</v>
      </c>
      <c r="F2901">
        <v>7421.13</v>
      </c>
    </row>
    <row r="2902" spans="1:6" x14ac:dyDescent="0.35">
      <c r="A2902">
        <v>1079</v>
      </c>
      <c r="B2902" s="2">
        <v>46109.375085336993</v>
      </c>
      <c r="C2902" t="s">
        <v>13</v>
      </c>
      <c r="D2902" t="s">
        <v>17</v>
      </c>
      <c r="E2902" t="s">
        <v>24</v>
      </c>
      <c r="F2902">
        <v>4479.42</v>
      </c>
    </row>
    <row r="2903" spans="1:6" x14ac:dyDescent="0.35">
      <c r="A2903">
        <v>1049</v>
      </c>
      <c r="B2903" s="2">
        <v>46109.375085336993</v>
      </c>
      <c r="C2903" t="s">
        <v>11</v>
      </c>
      <c r="D2903" t="s">
        <v>20</v>
      </c>
      <c r="E2903" t="s">
        <v>25</v>
      </c>
      <c r="F2903">
        <v>666.03</v>
      </c>
    </row>
    <row r="2904" spans="1:6" x14ac:dyDescent="0.35">
      <c r="A2904">
        <v>1239</v>
      </c>
      <c r="B2904" s="2">
        <v>46109.375085336993</v>
      </c>
      <c r="C2904" t="s">
        <v>8</v>
      </c>
      <c r="D2904" t="s">
        <v>22</v>
      </c>
      <c r="E2904" t="s">
        <v>24</v>
      </c>
      <c r="F2904">
        <v>5652.29</v>
      </c>
    </row>
    <row r="2905" spans="1:6" x14ac:dyDescent="0.35">
      <c r="A2905">
        <v>1308</v>
      </c>
      <c r="B2905" s="2">
        <v>46109.375085336993</v>
      </c>
      <c r="C2905" t="s">
        <v>11</v>
      </c>
      <c r="D2905" t="s">
        <v>22</v>
      </c>
      <c r="E2905" t="s">
        <v>23</v>
      </c>
      <c r="F2905">
        <v>1136.26</v>
      </c>
    </row>
    <row r="2906" spans="1:6" x14ac:dyDescent="0.35">
      <c r="A2906">
        <v>1112</v>
      </c>
      <c r="B2906" s="2">
        <v>46112.375085336993</v>
      </c>
      <c r="C2906" t="s">
        <v>14</v>
      </c>
      <c r="D2906" t="s">
        <v>18</v>
      </c>
      <c r="E2906" t="s">
        <v>23</v>
      </c>
      <c r="F2906">
        <v>3856.36</v>
      </c>
    </row>
    <row r="2907" spans="1:6" x14ac:dyDescent="0.35">
      <c r="A2907">
        <v>1303</v>
      </c>
      <c r="B2907" s="2">
        <v>46113.375085336993</v>
      </c>
      <c r="C2907" t="s">
        <v>9</v>
      </c>
      <c r="D2907" t="s">
        <v>19</v>
      </c>
      <c r="E2907" t="s">
        <v>23</v>
      </c>
      <c r="F2907">
        <v>2893.61</v>
      </c>
    </row>
    <row r="2908" spans="1:6" x14ac:dyDescent="0.35">
      <c r="A2908">
        <v>1169</v>
      </c>
      <c r="B2908" s="2">
        <v>46113.375085336993</v>
      </c>
      <c r="C2908" t="s">
        <v>10</v>
      </c>
      <c r="D2908" t="s">
        <v>20</v>
      </c>
      <c r="E2908" t="s">
        <v>24</v>
      </c>
      <c r="F2908">
        <v>5426.79</v>
      </c>
    </row>
    <row r="2909" spans="1:6" x14ac:dyDescent="0.35">
      <c r="A2909">
        <v>1291</v>
      </c>
      <c r="B2909" s="2">
        <v>46113.375085336993</v>
      </c>
      <c r="C2909" t="s">
        <v>9</v>
      </c>
      <c r="D2909" t="s">
        <v>22</v>
      </c>
      <c r="E2909" t="s">
        <v>24</v>
      </c>
      <c r="F2909">
        <v>1937.83</v>
      </c>
    </row>
    <row r="2910" spans="1:6" x14ac:dyDescent="0.35">
      <c r="A2910">
        <v>1358</v>
      </c>
      <c r="B2910" s="2">
        <v>46113.375085336993</v>
      </c>
      <c r="C2910" t="s">
        <v>13</v>
      </c>
      <c r="D2910" t="s">
        <v>16</v>
      </c>
      <c r="E2910" t="s">
        <v>23</v>
      </c>
      <c r="F2910">
        <v>2078.12</v>
      </c>
    </row>
    <row r="2911" spans="1:6" x14ac:dyDescent="0.35">
      <c r="A2911">
        <v>1315</v>
      </c>
      <c r="B2911" s="2">
        <v>46114.375085336993</v>
      </c>
      <c r="C2911" t="s">
        <v>11</v>
      </c>
      <c r="D2911" t="s">
        <v>22</v>
      </c>
      <c r="E2911" t="s">
        <v>23</v>
      </c>
      <c r="F2911">
        <v>1243.95</v>
      </c>
    </row>
    <row r="2912" spans="1:6" x14ac:dyDescent="0.35">
      <c r="A2912">
        <v>1155</v>
      </c>
      <c r="B2912" s="2">
        <v>46114.375085336993</v>
      </c>
      <c r="C2912" t="s">
        <v>13</v>
      </c>
      <c r="D2912" t="s">
        <v>18</v>
      </c>
      <c r="E2912" t="s">
        <v>24</v>
      </c>
      <c r="F2912">
        <v>6064.92</v>
      </c>
    </row>
    <row r="2913" spans="1:6" x14ac:dyDescent="0.35">
      <c r="A2913">
        <v>1230</v>
      </c>
      <c r="B2913" s="2">
        <v>46114.375085336993</v>
      </c>
      <c r="C2913" t="s">
        <v>7</v>
      </c>
      <c r="D2913" t="s">
        <v>21</v>
      </c>
      <c r="E2913" t="s">
        <v>24</v>
      </c>
      <c r="F2913">
        <v>466.56</v>
      </c>
    </row>
    <row r="2914" spans="1:6" x14ac:dyDescent="0.35">
      <c r="A2914">
        <v>1385</v>
      </c>
      <c r="B2914" s="2">
        <v>46114.375085336993</v>
      </c>
      <c r="C2914" t="s">
        <v>15</v>
      </c>
      <c r="D2914" t="s">
        <v>19</v>
      </c>
      <c r="E2914" t="s">
        <v>25</v>
      </c>
      <c r="F2914">
        <v>11694.59</v>
      </c>
    </row>
    <row r="2915" spans="1:6" x14ac:dyDescent="0.35">
      <c r="A2915">
        <v>1130</v>
      </c>
      <c r="B2915" s="2">
        <v>46114.375085336993</v>
      </c>
      <c r="C2915" t="s">
        <v>10</v>
      </c>
      <c r="D2915" t="s">
        <v>18</v>
      </c>
      <c r="E2915" t="s">
        <v>24</v>
      </c>
      <c r="F2915">
        <v>6498.04</v>
      </c>
    </row>
    <row r="2916" spans="1:6" x14ac:dyDescent="0.35">
      <c r="A2916">
        <v>1052</v>
      </c>
      <c r="B2916" s="2">
        <v>46115.375085336993</v>
      </c>
      <c r="C2916" t="s">
        <v>14</v>
      </c>
      <c r="D2916" t="s">
        <v>17</v>
      </c>
      <c r="E2916" t="s">
        <v>24</v>
      </c>
      <c r="F2916">
        <v>7665.02</v>
      </c>
    </row>
    <row r="2917" spans="1:6" x14ac:dyDescent="0.35">
      <c r="A2917">
        <v>1054</v>
      </c>
      <c r="B2917" s="2">
        <v>46115.375085336993</v>
      </c>
      <c r="C2917" t="s">
        <v>10</v>
      </c>
      <c r="D2917" t="s">
        <v>16</v>
      </c>
      <c r="E2917" t="s">
        <v>24</v>
      </c>
      <c r="F2917">
        <v>3953.29</v>
      </c>
    </row>
    <row r="2918" spans="1:6" x14ac:dyDescent="0.35">
      <c r="A2918">
        <v>1154</v>
      </c>
      <c r="B2918" s="2">
        <v>46115.375085336993</v>
      </c>
      <c r="C2918" t="s">
        <v>13</v>
      </c>
      <c r="D2918" t="s">
        <v>22</v>
      </c>
      <c r="E2918" t="s">
        <v>23</v>
      </c>
      <c r="F2918">
        <v>2316.62</v>
      </c>
    </row>
    <row r="2919" spans="1:6" x14ac:dyDescent="0.35">
      <c r="A2919">
        <v>1013</v>
      </c>
      <c r="B2919" s="2">
        <v>46116.375085336993</v>
      </c>
      <c r="C2919" t="s">
        <v>8</v>
      </c>
      <c r="D2919" t="s">
        <v>19</v>
      </c>
      <c r="E2919" t="s">
        <v>23</v>
      </c>
      <c r="F2919">
        <v>1950.74</v>
      </c>
    </row>
    <row r="2920" spans="1:6" x14ac:dyDescent="0.35">
      <c r="A2920">
        <v>1265</v>
      </c>
      <c r="B2920" s="2">
        <v>46117.375085336993</v>
      </c>
      <c r="C2920" t="s">
        <v>6</v>
      </c>
      <c r="D2920" t="s">
        <v>22</v>
      </c>
      <c r="E2920" t="s">
        <v>25</v>
      </c>
      <c r="F2920">
        <v>923.08</v>
      </c>
    </row>
    <row r="2921" spans="1:6" x14ac:dyDescent="0.35">
      <c r="A2921">
        <v>1051</v>
      </c>
      <c r="B2921" s="2">
        <v>46117.375085336993</v>
      </c>
      <c r="C2921" t="s">
        <v>15</v>
      </c>
      <c r="D2921" t="s">
        <v>19</v>
      </c>
      <c r="E2921" t="s">
        <v>23</v>
      </c>
      <c r="F2921">
        <v>1353.94</v>
      </c>
    </row>
    <row r="2922" spans="1:6" x14ac:dyDescent="0.35">
      <c r="A2922">
        <v>1352</v>
      </c>
      <c r="B2922" s="2">
        <v>46117.375085336993</v>
      </c>
      <c r="C2922" t="s">
        <v>13</v>
      </c>
      <c r="D2922" t="s">
        <v>21</v>
      </c>
      <c r="E2922" t="s">
        <v>25</v>
      </c>
      <c r="F2922">
        <v>4680.96</v>
      </c>
    </row>
    <row r="2923" spans="1:6" x14ac:dyDescent="0.35">
      <c r="A2923">
        <v>1160</v>
      </c>
      <c r="B2923" s="2">
        <v>46118.375085336993</v>
      </c>
      <c r="C2923" t="s">
        <v>11</v>
      </c>
      <c r="D2923" t="s">
        <v>17</v>
      </c>
      <c r="E2923" t="s">
        <v>24</v>
      </c>
      <c r="F2923">
        <v>1318.24</v>
      </c>
    </row>
    <row r="2924" spans="1:6" x14ac:dyDescent="0.35">
      <c r="A2924">
        <v>1002</v>
      </c>
      <c r="B2924" s="2">
        <v>46118.375085336993</v>
      </c>
      <c r="C2924" t="s">
        <v>7</v>
      </c>
      <c r="D2924" t="s">
        <v>17</v>
      </c>
      <c r="E2924" t="s">
        <v>23</v>
      </c>
      <c r="F2924">
        <v>1078.1600000000001</v>
      </c>
    </row>
    <row r="2925" spans="1:6" x14ac:dyDescent="0.35">
      <c r="A2925">
        <v>1318</v>
      </c>
      <c r="B2925" s="2">
        <v>46118.375085336993</v>
      </c>
      <c r="C2925" t="s">
        <v>7</v>
      </c>
      <c r="D2925" t="s">
        <v>16</v>
      </c>
      <c r="E2925" t="s">
        <v>24</v>
      </c>
      <c r="F2925">
        <v>6557.01</v>
      </c>
    </row>
    <row r="2926" spans="1:6" x14ac:dyDescent="0.35">
      <c r="A2926">
        <v>1089</v>
      </c>
      <c r="B2926" s="2">
        <v>46118.375085336993</v>
      </c>
      <c r="C2926" t="s">
        <v>12</v>
      </c>
      <c r="D2926" t="s">
        <v>16</v>
      </c>
      <c r="E2926" t="s">
        <v>25</v>
      </c>
      <c r="F2926">
        <v>9011.23</v>
      </c>
    </row>
    <row r="2927" spans="1:6" x14ac:dyDescent="0.35">
      <c r="A2927">
        <v>1156</v>
      </c>
      <c r="B2927" s="2">
        <v>46119.375085336993</v>
      </c>
      <c r="C2927" t="s">
        <v>12</v>
      </c>
      <c r="D2927" t="s">
        <v>17</v>
      </c>
      <c r="E2927" t="s">
        <v>24</v>
      </c>
      <c r="F2927">
        <v>2546.73</v>
      </c>
    </row>
    <row r="2928" spans="1:6" x14ac:dyDescent="0.35">
      <c r="A2928">
        <v>1304</v>
      </c>
      <c r="B2928" s="2">
        <v>46119.375085336993</v>
      </c>
      <c r="C2928" t="s">
        <v>15</v>
      </c>
      <c r="D2928" t="s">
        <v>20</v>
      </c>
      <c r="E2928" t="s">
        <v>24</v>
      </c>
      <c r="F2928">
        <v>3309.66</v>
      </c>
    </row>
    <row r="2929" spans="1:6" x14ac:dyDescent="0.35">
      <c r="A2929">
        <v>1145</v>
      </c>
      <c r="B2929" s="2">
        <v>46119.375085336993</v>
      </c>
      <c r="C2929" t="s">
        <v>15</v>
      </c>
      <c r="D2929" t="s">
        <v>17</v>
      </c>
      <c r="E2929" t="s">
        <v>24</v>
      </c>
      <c r="F2929">
        <v>1209.17</v>
      </c>
    </row>
    <row r="2930" spans="1:6" x14ac:dyDescent="0.35">
      <c r="A2930">
        <v>1219</v>
      </c>
      <c r="B2930" s="2">
        <v>46119.375085336993</v>
      </c>
      <c r="C2930" t="s">
        <v>6</v>
      </c>
      <c r="D2930" t="s">
        <v>21</v>
      </c>
      <c r="E2930" t="s">
        <v>23</v>
      </c>
      <c r="F2930">
        <v>342.66</v>
      </c>
    </row>
    <row r="2931" spans="1:6" x14ac:dyDescent="0.35">
      <c r="A2931">
        <v>1388</v>
      </c>
      <c r="B2931" s="2">
        <v>46119.375085336993</v>
      </c>
      <c r="C2931" t="s">
        <v>7</v>
      </c>
      <c r="D2931" t="s">
        <v>18</v>
      </c>
      <c r="E2931" t="s">
        <v>23</v>
      </c>
      <c r="F2931">
        <v>4000.92</v>
      </c>
    </row>
    <row r="2932" spans="1:6" x14ac:dyDescent="0.35">
      <c r="A2932">
        <v>1219</v>
      </c>
      <c r="B2932" s="2">
        <v>46120.375085336993</v>
      </c>
      <c r="C2932" t="s">
        <v>12</v>
      </c>
      <c r="D2932" t="s">
        <v>20</v>
      </c>
      <c r="E2932" t="s">
        <v>25</v>
      </c>
      <c r="F2932">
        <v>1670.47</v>
      </c>
    </row>
    <row r="2933" spans="1:6" x14ac:dyDescent="0.35">
      <c r="A2933">
        <v>1197</v>
      </c>
      <c r="B2933" s="2">
        <v>46120.375085336993</v>
      </c>
      <c r="C2933" t="s">
        <v>9</v>
      </c>
      <c r="D2933" t="s">
        <v>16</v>
      </c>
      <c r="E2933" t="s">
        <v>23</v>
      </c>
      <c r="F2933">
        <v>6727.64</v>
      </c>
    </row>
    <row r="2934" spans="1:6" x14ac:dyDescent="0.35">
      <c r="A2934">
        <v>1344</v>
      </c>
      <c r="B2934" s="2">
        <v>46120.375085336993</v>
      </c>
      <c r="C2934" t="s">
        <v>13</v>
      </c>
      <c r="D2934" t="s">
        <v>20</v>
      </c>
      <c r="E2934" t="s">
        <v>23</v>
      </c>
      <c r="F2934">
        <v>4194.8</v>
      </c>
    </row>
    <row r="2935" spans="1:6" x14ac:dyDescent="0.35">
      <c r="A2935">
        <v>1389</v>
      </c>
      <c r="B2935" s="2">
        <v>46121.375085336993</v>
      </c>
      <c r="C2935" t="s">
        <v>9</v>
      </c>
      <c r="D2935" t="s">
        <v>18</v>
      </c>
      <c r="E2935" t="s">
        <v>25</v>
      </c>
      <c r="F2935">
        <v>3441.21</v>
      </c>
    </row>
    <row r="2936" spans="1:6" x14ac:dyDescent="0.35">
      <c r="A2936">
        <v>1021</v>
      </c>
      <c r="B2936" s="2">
        <v>46121.375085336993</v>
      </c>
      <c r="C2936" t="s">
        <v>11</v>
      </c>
      <c r="D2936" t="s">
        <v>17</v>
      </c>
      <c r="E2936" t="s">
        <v>24</v>
      </c>
      <c r="F2936">
        <v>1738.08</v>
      </c>
    </row>
    <row r="2937" spans="1:6" x14ac:dyDescent="0.35">
      <c r="A2937">
        <v>1189</v>
      </c>
      <c r="B2937" s="2">
        <v>46121.375085336993</v>
      </c>
      <c r="C2937" t="s">
        <v>12</v>
      </c>
      <c r="D2937" t="s">
        <v>21</v>
      </c>
      <c r="E2937" t="s">
        <v>25</v>
      </c>
      <c r="F2937">
        <v>2652.31</v>
      </c>
    </row>
    <row r="2938" spans="1:6" x14ac:dyDescent="0.35">
      <c r="A2938">
        <v>1049</v>
      </c>
      <c r="B2938" s="2">
        <v>46121.375085336993</v>
      </c>
      <c r="C2938" t="s">
        <v>14</v>
      </c>
      <c r="D2938" t="s">
        <v>18</v>
      </c>
      <c r="E2938" t="s">
        <v>25</v>
      </c>
      <c r="F2938">
        <v>7436.62</v>
      </c>
    </row>
    <row r="2939" spans="1:6" x14ac:dyDescent="0.35">
      <c r="A2939">
        <v>1262</v>
      </c>
      <c r="B2939" s="2">
        <v>46122.375085336993</v>
      </c>
      <c r="C2939" t="s">
        <v>7</v>
      </c>
      <c r="D2939" t="s">
        <v>21</v>
      </c>
      <c r="E2939" t="s">
        <v>25</v>
      </c>
      <c r="F2939">
        <v>2172.3000000000002</v>
      </c>
    </row>
    <row r="2940" spans="1:6" x14ac:dyDescent="0.35">
      <c r="A2940">
        <v>1067</v>
      </c>
      <c r="B2940" s="2">
        <v>46122.375085336993</v>
      </c>
      <c r="C2940" t="s">
        <v>11</v>
      </c>
      <c r="D2940" t="s">
        <v>18</v>
      </c>
      <c r="E2940" t="s">
        <v>23</v>
      </c>
      <c r="F2940">
        <v>3451.96</v>
      </c>
    </row>
    <row r="2941" spans="1:6" x14ac:dyDescent="0.35">
      <c r="A2941">
        <v>1162</v>
      </c>
      <c r="B2941" s="2">
        <v>46123.375085336993</v>
      </c>
      <c r="C2941" t="s">
        <v>14</v>
      </c>
      <c r="D2941" t="s">
        <v>16</v>
      </c>
      <c r="E2941" t="s">
        <v>24</v>
      </c>
      <c r="F2941">
        <v>6058.15</v>
      </c>
    </row>
    <row r="2942" spans="1:6" x14ac:dyDescent="0.35">
      <c r="A2942">
        <v>1017</v>
      </c>
      <c r="B2942" s="2">
        <v>46123.375085336993</v>
      </c>
      <c r="C2942" t="s">
        <v>8</v>
      </c>
      <c r="D2942" t="s">
        <v>18</v>
      </c>
      <c r="E2942" t="s">
        <v>24</v>
      </c>
      <c r="F2942">
        <v>2265.98</v>
      </c>
    </row>
    <row r="2943" spans="1:6" x14ac:dyDescent="0.35">
      <c r="A2943">
        <v>1118</v>
      </c>
      <c r="B2943" s="2">
        <v>46123.375085336993</v>
      </c>
      <c r="C2943" t="s">
        <v>9</v>
      </c>
      <c r="D2943" t="s">
        <v>17</v>
      </c>
      <c r="E2943" t="s">
        <v>23</v>
      </c>
      <c r="F2943">
        <v>1041.72</v>
      </c>
    </row>
    <row r="2944" spans="1:6" x14ac:dyDescent="0.35">
      <c r="A2944">
        <v>1089</v>
      </c>
      <c r="B2944" s="2">
        <v>46123.375085336993</v>
      </c>
      <c r="C2944" t="s">
        <v>9</v>
      </c>
      <c r="D2944" t="s">
        <v>20</v>
      </c>
      <c r="E2944" t="s">
        <v>24</v>
      </c>
      <c r="F2944">
        <v>2002.94</v>
      </c>
    </row>
    <row r="2945" spans="1:6" x14ac:dyDescent="0.35">
      <c r="A2945">
        <v>1158</v>
      </c>
      <c r="B2945" s="2">
        <v>46124.375085336993</v>
      </c>
      <c r="C2945" t="s">
        <v>11</v>
      </c>
      <c r="D2945" t="s">
        <v>16</v>
      </c>
      <c r="E2945" t="s">
        <v>24</v>
      </c>
      <c r="F2945">
        <v>1963.52</v>
      </c>
    </row>
    <row r="2946" spans="1:6" x14ac:dyDescent="0.35">
      <c r="A2946">
        <v>1031</v>
      </c>
      <c r="B2946" s="2">
        <v>46124.375085336993</v>
      </c>
      <c r="C2946" t="s">
        <v>13</v>
      </c>
      <c r="D2946" t="s">
        <v>17</v>
      </c>
      <c r="E2946" t="s">
        <v>25</v>
      </c>
      <c r="F2946">
        <v>6073.94</v>
      </c>
    </row>
    <row r="2947" spans="1:6" x14ac:dyDescent="0.35">
      <c r="A2947">
        <v>1289</v>
      </c>
      <c r="B2947" s="2">
        <v>46125.375085336993</v>
      </c>
      <c r="C2947" t="s">
        <v>12</v>
      </c>
      <c r="D2947" t="s">
        <v>16</v>
      </c>
      <c r="E2947" t="s">
        <v>25</v>
      </c>
      <c r="F2947">
        <v>1869.21</v>
      </c>
    </row>
    <row r="2948" spans="1:6" x14ac:dyDescent="0.35">
      <c r="A2948">
        <v>1105</v>
      </c>
      <c r="B2948" s="2">
        <v>46125.375085336993</v>
      </c>
      <c r="C2948" t="s">
        <v>13</v>
      </c>
      <c r="D2948" t="s">
        <v>19</v>
      </c>
      <c r="E2948" t="s">
        <v>23</v>
      </c>
      <c r="F2948">
        <v>3424.24</v>
      </c>
    </row>
    <row r="2949" spans="1:6" x14ac:dyDescent="0.35">
      <c r="A2949">
        <v>1112</v>
      </c>
      <c r="B2949" s="2">
        <v>46125.375085336993</v>
      </c>
      <c r="C2949" t="s">
        <v>8</v>
      </c>
      <c r="D2949" t="s">
        <v>16</v>
      </c>
      <c r="E2949" t="s">
        <v>23</v>
      </c>
      <c r="F2949">
        <v>3030.26</v>
      </c>
    </row>
    <row r="2950" spans="1:6" x14ac:dyDescent="0.35">
      <c r="A2950">
        <v>1033</v>
      </c>
      <c r="B2950" s="2">
        <v>46125.375085336993</v>
      </c>
      <c r="C2950" t="s">
        <v>7</v>
      </c>
      <c r="D2950" t="s">
        <v>22</v>
      </c>
      <c r="E2950" t="s">
        <v>24</v>
      </c>
      <c r="F2950">
        <v>1141.51</v>
      </c>
    </row>
    <row r="2951" spans="1:6" x14ac:dyDescent="0.35">
      <c r="A2951">
        <v>1010</v>
      </c>
      <c r="B2951" s="2">
        <v>46125.375085336993</v>
      </c>
      <c r="C2951" t="s">
        <v>12</v>
      </c>
      <c r="D2951" t="s">
        <v>17</v>
      </c>
      <c r="E2951" t="s">
        <v>25</v>
      </c>
      <c r="F2951">
        <v>1038.32</v>
      </c>
    </row>
    <row r="2952" spans="1:6" x14ac:dyDescent="0.35">
      <c r="A2952">
        <v>1264</v>
      </c>
      <c r="B2952" s="2">
        <v>46125.375085336993</v>
      </c>
      <c r="C2952" t="s">
        <v>13</v>
      </c>
      <c r="D2952" t="s">
        <v>20</v>
      </c>
      <c r="E2952" t="s">
        <v>24</v>
      </c>
      <c r="F2952">
        <v>1592.94</v>
      </c>
    </row>
    <row r="2953" spans="1:6" x14ac:dyDescent="0.35">
      <c r="A2953">
        <v>1145</v>
      </c>
      <c r="B2953" s="2">
        <v>46125.375085336993</v>
      </c>
      <c r="C2953" t="s">
        <v>14</v>
      </c>
      <c r="D2953" t="s">
        <v>16</v>
      </c>
      <c r="E2953" t="s">
        <v>25</v>
      </c>
      <c r="F2953">
        <v>4204.03</v>
      </c>
    </row>
    <row r="2954" spans="1:6" x14ac:dyDescent="0.35">
      <c r="A2954">
        <v>1149</v>
      </c>
      <c r="B2954" s="2">
        <v>46125.375085336993</v>
      </c>
      <c r="C2954" t="s">
        <v>15</v>
      </c>
      <c r="D2954" t="s">
        <v>19</v>
      </c>
      <c r="E2954" t="s">
        <v>23</v>
      </c>
      <c r="F2954">
        <v>1452</v>
      </c>
    </row>
    <row r="2955" spans="1:6" x14ac:dyDescent="0.35">
      <c r="A2955">
        <v>1004</v>
      </c>
      <c r="B2955" s="2">
        <v>46126.375085336993</v>
      </c>
      <c r="C2955" t="s">
        <v>10</v>
      </c>
      <c r="D2955" t="s">
        <v>16</v>
      </c>
      <c r="E2955" t="s">
        <v>23</v>
      </c>
      <c r="F2955">
        <v>3386.35</v>
      </c>
    </row>
    <row r="2956" spans="1:6" x14ac:dyDescent="0.35">
      <c r="A2956">
        <v>1075</v>
      </c>
      <c r="B2956" s="2">
        <v>46126.375085336993</v>
      </c>
      <c r="C2956" t="s">
        <v>13</v>
      </c>
      <c r="D2956" t="s">
        <v>20</v>
      </c>
      <c r="E2956" t="s">
        <v>23</v>
      </c>
      <c r="F2956">
        <v>1195.6400000000001</v>
      </c>
    </row>
    <row r="2957" spans="1:6" x14ac:dyDescent="0.35">
      <c r="A2957">
        <v>1046</v>
      </c>
      <c r="B2957" s="2">
        <v>46126.375085336993</v>
      </c>
      <c r="C2957" t="s">
        <v>15</v>
      </c>
      <c r="D2957" t="s">
        <v>20</v>
      </c>
      <c r="E2957" t="s">
        <v>23</v>
      </c>
      <c r="F2957">
        <v>5403.43</v>
      </c>
    </row>
    <row r="2958" spans="1:6" x14ac:dyDescent="0.35">
      <c r="A2958">
        <v>1056</v>
      </c>
      <c r="B2958" s="2">
        <v>46126.375085336993</v>
      </c>
      <c r="C2958" t="s">
        <v>9</v>
      </c>
      <c r="D2958" t="s">
        <v>19</v>
      </c>
      <c r="E2958" t="s">
        <v>23</v>
      </c>
      <c r="F2958">
        <v>2516.44</v>
      </c>
    </row>
    <row r="2959" spans="1:6" x14ac:dyDescent="0.35">
      <c r="A2959">
        <v>1010</v>
      </c>
      <c r="B2959" s="2">
        <v>46126.375085336993</v>
      </c>
      <c r="C2959" t="s">
        <v>15</v>
      </c>
      <c r="D2959" t="s">
        <v>17</v>
      </c>
      <c r="E2959" t="s">
        <v>24</v>
      </c>
      <c r="F2959">
        <v>1083.45</v>
      </c>
    </row>
    <row r="2960" spans="1:6" x14ac:dyDescent="0.35">
      <c r="A2960">
        <v>1263</v>
      </c>
      <c r="B2960" s="2">
        <v>46126.375085336993</v>
      </c>
      <c r="C2960" t="s">
        <v>13</v>
      </c>
      <c r="D2960" t="s">
        <v>20</v>
      </c>
      <c r="E2960" t="s">
        <v>24</v>
      </c>
      <c r="F2960">
        <v>664.33</v>
      </c>
    </row>
    <row r="2961" spans="1:6" x14ac:dyDescent="0.35">
      <c r="A2961">
        <v>1353</v>
      </c>
      <c r="B2961" s="2">
        <v>46126.375085336993</v>
      </c>
      <c r="C2961" t="s">
        <v>10</v>
      </c>
      <c r="D2961" t="s">
        <v>16</v>
      </c>
      <c r="E2961" t="s">
        <v>24</v>
      </c>
      <c r="F2961">
        <v>8065.18</v>
      </c>
    </row>
    <row r="2962" spans="1:6" x14ac:dyDescent="0.35">
      <c r="A2962">
        <v>1034</v>
      </c>
      <c r="B2962" s="2">
        <v>46126.375085336993</v>
      </c>
      <c r="C2962" t="s">
        <v>14</v>
      </c>
      <c r="D2962" t="s">
        <v>19</v>
      </c>
      <c r="E2962" t="s">
        <v>23</v>
      </c>
      <c r="F2962">
        <v>4894.45</v>
      </c>
    </row>
    <row r="2963" spans="1:6" x14ac:dyDescent="0.35">
      <c r="A2963">
        <v>1163</v>
      </c>
      <c r="B2963" s="2">
        <v>46127.375085336993</v>
      </c>
      <c r="C2963" t="s">
        <v>10</v>
      </c>
      <c r="D2963" t="s">
        <v>20</v>
      </c>
      <c r="E2963" t="s">
        <v>23</v>
      </c>
      <c r="F2963">
        <v>3804.48</v>
      </c>
    </row>
    <row r="2964" spans="1:6" x14ac:dyDescent="0.35">
      <c r="A2964">
        <v>1120</v>
      </c>
      <c r="B2964" s="2">
        <v>46127.375085336993</v>
      </c>
      <c r="C2964" t="s">
        <v>14</v>
      </c>
      <c r="D2964" t="s">
        <v>18</v>
      </c>
      <c r="E2964" t="s">
        <v>25</v>
      </c>
      <c r="F2964">
        <v>519.92999999999995</v>
      </c>
    </row>
    <row r="2965" spans="1:6" x14ac:dyDescent="0.35">
      <c r="A2965">
        <v>1317</v>
      </c>
      <c r="B2965" s="2">
        <v>46127.375085336993</v>
      </c>
      <c r="C2965" t="s">
        <v>15</v>
      </c>
      <c r="D2965" t="s">
        <v>20</v>
      </c>
      <c r="E2965" t="s">
        <v>23</v>
      </c>
      <c r="F2965">
        <v>9955.11</v>
      </c>
    </row>
    <row r="2966" spans="1:6" x14ac:dyDescent="0.35">
      <c r="A2966">
        <v>1237</v>
      </c>
      <c r="B2966" s="2">
        <v>46128.375085336993</v>
      </c>
      <c r="C2966" t="s">
        <v>10</v>
      </c>
      <c r="D2966" t="s">
        <v>19</v>
      </c>
      <c r="E2966" t="s">
        <v>23</v>
      </c>
      <c r="F2966">
        <v>10484.07</v>
      </c>
    </row>
    <row r="2967" spans="1:6" x14ac:dyDescent="0.35">
      <c r="A2967">
        <v>1207</v>
      </c>
      <c r="B2967" s="2">
        <v>46129.375085336993</v>
      </c>
      <c r="C2967" t="s">
        <v>7</v>
      </c>
      <c r="D2967" t="s">
        <v>20</v>
      </c>
      <c r="E2967" t="s">
        <v>23</v>
      </c>
      <c r="F2967">
        <v>12452.53</v>
      </c>
    </row>
    <row r="2968" spans="1:6" x14ac:dyDescent="0.35">
      <c r="A2968">
        <v>1215</v>
      </c>
      <c r="B2968" s="2">
        <v>46130.375085336993</v>
      </c>
      <c r="C2968" t="s">
        <v>13</v>
      </c>
      <c r="D2968" t="s">
        <v>20</v>
      </c>
      <c r="E2968" t="s">
        <v>25</v>
      </c>
      <c r="F2968">
        <v>3873.36</v>
      </c>
    </row>
    <row r="2969" spans="1:6" x14ac:dyDescent="0.35">
      <c r="A2969">
        <v>1189</v>
      </c>
      <c r="B2969" s="2">
        <v>46130.375085336993</v>
      </c>
      <c r="C2969" t="s">
        <v>11</v>
      </c>
      <c r="D2969" t="s">
        <v>16</v>
      </c>
      <c r="E2969" t="s">
        <v>24</v>
      </c>
      <c r="F2969">
        <v>2042.21</v>
      </c>
    </row>
    <row r="2970" spans="1:6" x14ac:dyDescent="0.35">
      <c r="A2970">
        <v>1107</v>
      </c>
      <c r="B2970" s="2">
        <v>46130.375085336993</v>
      </c>
      <c r="C2970" t="s">
        <v>10</v>
      </c>
      <c r="D2970" t="s">
        <v>20</v>
      </c>
      <c r="E2970" t="s">
        <v>23</v>
      </c>
      <c r="F2970">
        <v>7409.04</v>
      </c>
    </row>
    <row r="2971" spans="1:6" x14ac:dyDescent="0.35">
      <c r="A2971">
        <v>1067</v>
      </c>
      <c r="B2971" s="2">
        <v>46130.375085336993</v>
      </c>
      <c r="C2971" t="s">
        <v>12</v>
      </c>
      <c r="D2971" t="s">
        <v>18</v>
      </c>
      <c r="E2971" t="s">
        <v>25</v>
      </c>
      <c r="F2971">
        <v>4477.01</v>
      </c>
    </row>
    <row r="2972" spans="1:6" x14ac:dyDescent="0.35">
      <c r="A2972">
        <v>1098</v>
      </c>
      <c r="B2972" s="2">
        <v>46130.375085336993</v>
      </c>
      <c r="C2972" t="s">
        <v>8</v>
      </c>
      <c r="D2972" t="s">
        <v>21</v>
      </c>
      <c r="E2972" t="s">
        <v>25</v>
      </c>
      <c r="F2972">
        <v>3430.6</v>
      </c>
    </row>
    <row r="2973" spans="1:6" x14ac:dyDescent="0.35">
      <c r="A2973">
        <v>1118</v>
      </c>
      <c r="B2973" s="2">
        <v>46131.375085336993</v>
      </c>
      <c r="C2973" t="s">
        <v>13</v>
      </c>
      <c r="D2973" t="s">
        <v>16</v>
      </c>
      <c r="E2973" t="s">
        <v>23</v>
      </c>
      <c r="F2973">
        <v>6926.27</v>
      </c>
    </row>
    <row r="2974" spans="1:6" x14ac:dyDescent="0.35">
      <c r="A2974">
        <v>1200</v>
      </c>
      <c r="B2974" s="2">
        <v>46131.375085336993</v>
      </c>
      <c r="C2974" t="s">
        <v>12</v>
      </c>
      <c r="D2974" t="s">
        <v>19</v>
      </c>
      <c r="E2974" t="s">
        <v>23</v>
      </c>
      <c r="F2974">
        <v>4771.8999999999996</v>
      </c>
    </row>
    <row r="2975" spans="1:6" x14ac:dyDescent="0.35">
      <c r="A2975">
        <v>1197</v>
      </c>
      <c r="B2975" s="2">
        <v>46131.375085336993</v>
      </c>
      <c r="C2975" t="s">
        <v>14</v>
      </c>
      <c r="D2975" t="s">
        <v>21</v>
      </c>
      <c r="E2975" t="s">
        <v>24</v>
      </c>
      <c r="F2975">
        <v>789.26</v>
      </c>
    </row>
    <row r="2976" spans="1:6" x14ac:dyDescent="0.35">
      <c r="A2976">
        <v>1275</v>
      </c>
      <c r="B2976" s="2">
        <v>46131.375085336993</v>
      </c>
      <c r="C2976" t="s">
        <v>8</v>
      </c>
      <c r="D2976" t="s">
        <v>20</v>
      </c>
      <c r="E2976" t="s">
        <v>23</v>
      </c>
      <c r="F2976">
        <v>11751.55</v>
      </c>
    </row>
    <row r="2977" spans="1:6" x14ac:dyDescent="0.35">
      <c r="A2977">
        <v>1100</v>
      </c>
      <c r="B2977" s="2">
        <v>46131.375085336993</v>
      </c>
      <c r="C2977" t="s">
        <v>13</v>
      </c>
      <c r="D2977" t="s">
        <v>21</v>
      </c>
      <c r="E2977" t="s">
        <v>25</v>
      </c>
      <c r="F2977">
        <v>786.6</v>
      </c>
    </row>
    <row r="2978" spans="1:6" x14ac:dyDescent="0.35">
      <c r="A2978">
        <v>1365</v>
      </c>
      <c r="B2978" s="2">
        <v>46131.375085336993</v>
      </c>
      <c r="C2978" t="s">
        <v>6</v>
      </c>
      <c r="D2978" t="s">
        <v>17</v>
      </c>
      <c r="E2978" t="s">
        <v>25</v>
      </c>
      <c r="F2978">
        <v>7027.26</v>
      </c>
    </row>
    <row r="2979" spans="1:6" x14ac:dyDescent="0.35">
      <c r="A2979">
        <v>1340</v>
      </c>
      <c r="B2979" s="2">
        <v>46131.375085336993</v>
      </c>
      <c r="C2979" t="s">
        <v>8</v>
      </c>
      <c r="D2979" t="s">
        <v>18</v>
      </c>
      <c r="E2979" t="s">
        <v>25</v>
      </c>
      <c r="F2979">
        <v>2051.06</v>
      </c>
    </row>
    <row r="2980" spans="1:6" x14ac:dyDescent="0.35">
      <c r="A2980">
        <v>1299</v>
      </c>
      <c r="B2980" s="2">
        <v>46131.375085336993</v>
      </c>
      <c r="C2980" t="s">
        <v>12</v>
      </c>
      <c r="D2980" t="s">
        <v>16</v>
      </c>
      <c r="E2980" t="s">
        <v>24</v>
      </c>
      <c r="F2980">
        <v>1724.81</v>
      </c>
    </row>
    <row r="2981" spans="1:6" x14ac:dyDescent="0.35">
      <c r="A2981">
        <v>1044</v>
      </c>
      <c r="B2981" s="2">
        <v>46131.375085336993</v>
      </c>
      <c r="C2981" t="s">
        <v>8</v>
      </c>
      <c r="D2981" t="s">
        <v>18</v>
      </c>
      <c r="E2981" t="s">
        <v>23</v>
      </c>
      <c r="F2981">
        <v>4631.66</v>
      </c>
    </row>
    <row r="2982" spans="1:6" x14ac:dyDescent="0.35">
      <c r="A2982">
        <v>1398</v>
      </c>
      <c r="B2982" s="2">
        <v>46131.375085336993</v>
      </c>
      <c r="C2982" t="s">
        <v>8</v>
      </c>
      <c r="D2982" t="s">
        <v>19</v>
      </c>
      <c r="E2982" t="s">
        <v>23</v>
      </c>
      <c r="F2982">
        <v>5750.09</v>
      </c>
    </row>
    <row r="2983" spans="1:6" x14ac:dyDescent="0.35">
      <c r="A2983">
        <v>1204</v>
      </c>
      <c r="B2983" s="2">
        <v>46131.375085336993</v>
      </c>
      <c r="C2983" t="s">
        <v>14</v>
      </c>
      <c r="D2983" t="s">
        <v>18</v>
      </c>
      <c r="E2983" t="s">
        <v>23</v>
      </c>
      <c r="F2983">
        <v>2574.41</v>
      </c>
    </row>
    <row r="2984" spans="1:6" x14ac:dyDescent="0.35">
      <c r="A2984">
        <v>1045</v>
      </c>
      <c r="B2984" s="2">
        <v>46131.375085336993</v>
      </c>
      <c r="C2984" t="s">
        <v>9</v>
      </c>
      <c r="D2984" t="s">
        <v>19</v>
      </c>
      <c r="E2984" t="s">
        <v>23</v>
      </c>
      <c r="F2984">
        <v>6164.22</v>
      </c>
    </row>
    <row r="2985" spans="1:6" x14ac:dyDescent="0.35">
      <c r="A2985">
        <v>1048</v>
      </c>
      <c r="B2985" s="2">
        <v>46132.375085336993</v>
      </c>
      <c r="C2985" t="s">
        <v>11</v>
      </c>
      <c r="D2985" t="s">
        <v>18</v>
      </c>
      <c r="E2985" t="s">
        <v>25</v>
      </c>
      <c r="F2985">
        <v>3204.32</v>
      </c>
    </row>
    <row r="2986" spans="1:6" x14ac:dyDescent="0.35">
      <c r="A2986">
        <v>1395</v>
      </c>
      <c r="B2986" s="2">
        <v>46132.375085336993</v>
      </c>
      <c r="C2986" t="s">
        <v>14</v>
      </c>
      <c r="D2986" t="s">
        <v>19</v>
      </c>
      <c r="E2986" t="s">
        <v>23</v>
      </c>
      <c r="F2986">
        <v>2966.76</v>
      </c>
    </row>
    <row r="2987" spans="1:6" x14ac:dyDescent="0.35">
      <c r="A2987">
        <v>1094</v>
      </c>
      <c r="B2987" s="2">
        <v>46132.375085336993</v>
      </c>
      <c r="C2987" t="s">
        <v>13</v>
      </c>
      <c r="D2987" t="s">
        <v>19</v>
      </c>
      <c r="E2987" t="s">
        <v>23</v>
      </c>
      <c r="F2987">
        <v>6104.86</v>
      </c>
    </row>
    <row r="2988" spans="1:6" x14ac:dyDescent="0.35">
      <c r="A2988">
        <v>1288</v>
      </c>
      <c r="B2988" s="2">
        <v>46132.375085336993</v>
      </c>
      <c r="C2988" t="s">
        <v>9</v>
      </c>
      <c r="D2988" t="s">
        <v>20</v>
      </c>
      <c r="E2988" t="s">
        <v>24</v>
      </c>
      <c r="F2988">
        <v>3357.15</v>
      </c>
    </row>
    <row r="2989" spans="1:6" x14ac:dyDescent="0.35">
      <c r="A2989">
        <v>1313</v>
      </c>
      <c r="B2989" s="2">
        <v>46133.375085336993</v>
      </c>
      <c r="C2989" t="s">
        <v>15</v>
      </c>
      <c r="D2989" t="s">
        <v>19</v>
      </c>
      <c r="E2989" t="s">
        <v>24</v>
      </c>
      <c r="F2989">
        <v>5551.37</v>
      </c>
    </row>
    <row r="2990" spans="1:6" x14ac:dyDescent="0.35">
      <c r="A2990">
        <v>1004</v>
      </c>
      <c r="B2990" s="2">
        <v>46133.375085336993</v>
      </c>
      <c r="C2990" t="s">
        <v>14</v>
      </c>
      <c r="D2990" t="s">
        <v>16</v>
      </c>
      <c r="E2990" t="s">
        <v>23</v>
      </c>
      <c r="F2990">
        <v>4559.57</v>
      </c>
    </row>
    <row r="2991" spans="1:6" x14ac:dyDescent="0.35">
      <c r="A2991">
        <v>1110</v>
      </c>
      <c r="B2991" s="2">
        <v>46133.375085336993</v>
      </c>
      <c r="C2991" t="s">
        <v>7</v>
      </c>
      <c r="D2991" t="s">
        <v>22</v>
      </c>
      <c r="E2991" t="s">
        <v>23</v>
      </c>
      <c r="F2991">
        <v>7050.3</v>
      </c>
    </row>
    <row r="2992" spans="1:6" x14ac:dyDescent="0.35">
      <c r="A2992">
        <v>1341</v>
      </c>
      <c r="B2992" s="2">
        <v>46133.375085336993</v>
      </c>
      <c r="C2992" t="s">
        <v>7</v>
      </c>
      <c r="D2992" t="s">
        <v>21</v>
      </c>
      <c r="E2992" t="s">
        <v>24</v>
      </c>
      <c r="F2992">
        <v>4773.7299999999996</v>
      </c>
    </row>
    <row r="2993" spans="1:6" x14ac:dyDescent="0.35">
      <c r="A2993">
        <v>1286</v>
      </c>
      <c r="B2993" s="2">
        <v>46133.375085336993</v>
      </c>
      <c r="C2993" t="s">
        <v>13</v>
      </c>
      <c r="D2993" t="s">
        <v>16</v>
      </c>
      <c r="E2993" t="s">
        <v>23</v>
      </c>
      <c r="F2993">
        <v>4762.2299999999996</v>
      </c>
    </row>
    <row r="2994" spans="1:6" x14ac:dyDescent="0.35">
      <c r="A2994">
        <v>1146</v>
      </c>
      <c r="B2994" s="2">
        <v>46133.375085336993</v>
      </c>
      <c r="C2994" t="s">
        <v>14</v>
      </c>
      <c r="D2994" t="s">
        <v>18</v>
      </c>
      <c r="E2994" t="s">
        <v>25</v>
      </c>
      <c r="F2994">
        <v>2202.4699999999998</v>
      </c>
    </row>
    <row r="2995" spans="1:6" x14ac:dyDescent="0.35">
      <c r="A2995">
        <v>1332</v>
      </c>
      <c r="B2995" s="2">
        <v>46134.375085336993</v>
      </c>
      <c r="C2995" t="s">
        <v>13</v>
      </c>
      <c r="D2995" t="s">
        <v>21</v>
      </c>
      <c r="E2995" t="s">
        <v>24</v>
      </c>
      <c r="F2995">
        <v>2829.26</v>
      </c>
    </row>
    <row r="2996" spans="1:6" x14ac:dyDescent="0.35">
      <c r="A2996">
        <v>1040</v>
      </c>
      <c r="B2996" s="2">
        <v>46134.375085336993</v>
      </c>
      <c r="C2996" t="s">
        <v>9</v>
      </c>
      <c r="D2996" t="s">
        <v>17</v>
      </c>
      <c r="E2996" t="s">
        <v>25</v>
      </c>
      <c r="F2996">
        <v>6896.09</v>
      </c>
    </row>
    <row r="2997" spans="1:6" x14ac:dyDescent="0.35">
      <c r="A2997">
        <v>1213</v>
      </c>
      <c r="B2997" s="2">
        <v>46134.375085336993</v>
      </c>
      <c r="C2997" t="s">
        <v>12</v>
      </c>
      <c r="D2997" t="s">
        <v>18</v>
      </c>
      <c r="E2997" t="s">
        <v>24</v>
      </c>
      <c r="F2997">
        <v>8730</v>
      </c>
    </row>
    <row r="2998" spans="1:6" x14ac:dyDescent="0.35">
      <c r="A2998">
        <v>1052</v>
      </c>
      <c r="B2998" s="2">
        <v>46134.375085336993</v>
      </c>
      <c r="C2998" t="s">
        <v>12</v>
      </c>
      <c r="D2998" t="s">
        <v>22</v>
      </c>
      <c r="E2998" t="s">
        <v>25</v>
      </c>
      <c r="F2998">
        <v>1509.35</v>
      </c>
    </row>
    <row r="2999" spans="1:6" x14ac:dyDescent="0.35">
      <c r="A2999">
        <v>1034</v>
      </c>
      <c r="B2999" s="2">
        <v>46135.375085336993</v>
      </c>
      <c r="C2999" t="s">
        <v>13</v>
      </c>
      <c r="D2999" t="s">
        <v>20</v>
      </c>
      <c r="E2999" t="s">
        <v>25</v>
      </c>
      <c r="F2999">
        <v>1618.45</v>
      </c>
    </row>
    <row r="3000" spans="1:6" x14ac:dyDescent="0.35">
      <c r="A3000">
        <v>1369</v>
      </c>
      <c r="B3000" s="2">
        <v>46135.375085336993</v>
      </c>
      <c r="C3000" t="s">
        <v>6</v>
      </c>
      <c r="D3000" t="s">
        <v>19</v>
      </c>
      <c r="E3000" t="s">
        <v>24</v>
      </c>
      <c r="F3000">
        <v>3249.38</v>
      </c>
    </row>
    <row r="3001" spans="1:6" x14ac:dyDescent="0.35">
      <c r="A3001">
        <v>1392</v>
      </c>
      <c r="B3001" s="2">
        <v>46135.375085336993</v>
      </c>
      <c r="C3001" t="s">
        <v>8</v>
      </c>
      <c r="D3001" t="s">
        <v>20</v>
      </c>
      <c r="E3001" t="s">
        <v>23</v>
      </c>
      <c r="F3001">
        <v>54.19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01"/>
  <sheetViews>
    <sheetView tabSelected="1" workbookViewId="0">
      <selection activeCell="I6" sqref="I6"/>
    </sheetView>
  </sheetViews>
  <sheetFormatPr defaultRowHeight="14.5" x14ac:dyDescent="0.35"/>
  <cols>
    <col min="2" max="2" width="17.81640625" style="4" bestFit="1" customWidth="1"/>
    <col min="4" max="4" width="15" bestFit="1" customWidth="1"/>
    <col min="5" max="6" width="10.453125" bestFit="1" customWidth="1"/>
    <col min="8" max="8" width="12.7265625" bestFit="1" customWidth="1"/>
    <col min="9" max="9" width="10.453125" bestFit="1" customWidth="1"/>
  </cols>
  <sheetData>
    <row r="1" spans="1:9" x14ac:dyDescent="0.35">
      <c r="A1" s="1" t="s">
        <v>0</v>
      </c>
      <c r="B1" s="3" t="s">
        <v>1</v>
      </c>
      <c r="C1" s="1" t="s">
        <v>2</v>
      </c>
      <c r="D1" s="1" t="s">
        <v>3</v>
      </c>
      <c r="E1" s="1" t="s">
        <v>4</v>
      </c>
      <c r="F1" s="1" t="s">
        <v>5</v>
      </c>
    </row>
    <row r="2" spans="1:9" x14ac:dyDescent="0.35">
      <c r="A2">
        <v>1194</v>
      </c>
      <c r="B2" s="4">
        <v>45406.375085336993</v>
      </c>
      <c r="C2" t="s">
        <v>6</v>
      </c>
      <c r="D2" t="s">
        <v>16</v>
      </c>
      <c r="E2" t="s">
        <v>23</v>
      </c>
      <c r="F2">
        <v>10942.56</v>
      </c>
      <c r="H2" t="s">
        <v>26</v>
      </c>
      <c r="I2" s="4">
        <f>MAX(OrderDate) + 1</f>
        <v>46136.375085336993</v>
      </c>
    </row>
    <row r="3" spans="1:9" x14ac:dyDescent="0.35">
      <c r="A3">
        <v>1214</v>
      </c>
      <c r="B3" s="4">
        <v>45406.375085336993</v>
      </c>
      <c r="C3" t="s">
        <v>7</v>
      </c>
      <c r="D3" t="s">
        <v>17</v>
      </c>
      <c r="E3" t="s">
        <v>23</v>
      </c>
      <c r="F3">
        <v>4652.84</v>
      </c>
    </row>
    <row r="4" spans="1:9" x14ac:dyDescent="0.35">
      <c r="A4">
        <v>1050</v>
      </c>
      <c r="B4" s="4">
        <v>45406.375085336993</v>
      </c>
      <c r="C4" t="s">
        <v>8</v>
      </c>
      <c r="D4" t="s">
        <v>18</v>
      </c>
      <c r="E4" t="s">
        <v>24</v>
      </c>
      <c r="F4">
        <v>5521.47</v>
      </c>
    </row>
    <row r="5" spans="1:9" x14ac:dyDescent="0.35">
      <c r="A5">
        <v>1292</v>
      </c>
      <c r="B5" s="4">
        <v>45406.375085336993</v>
      </c>
      <c r="C5" t="s">
        <v>9</v>
      </c>
      <c r="D5" t="s">
        <v>19</v>
      </c>
      <c r="E5" t="s">
        <v>23</v>
      </c>
      <c r="F5">
        <v>13925.76</v>
      </c>
    </row>
    <row r="6" spans="1:9" x14ac:dyDescent="0.35">
      <c r="A6">
        <v>1245</v>
      </c>
      <c r="B6" s="4">
        <v>45406.375085336993</v>
      </c>
      <c r="C6" t="s">
        <v>10</v>
      </c>
      <c r="D6" t="s">
        <v>16</v>
      </c>
      <c r="E6" t="s">
        <v>25</v>
      </c>
      <c r="F6">
        <v>3502.98</v>
      </c>
    </row>
    <row r="7" spans="1:9" x14ac:dyDescent="0.35">
      <c r="A7">
        <v>1377</v>
      </c>
      <c r="B7" s="4">
        <v>45407.375085336993</v>
      </c>
      <c r="C7" t="s">
        <v>9</v>
      </c>
      <c r="D7" t="s">
        <v>17</v>
      </c>
      <c r="E7" t="s">
        <v>24</v>
      </c>
      <c r="F7">
        <v>9424.15</v>
      </c>
    </row>
    <row r="8" spans="1:9" x14ac:dyDescent="0.35">
      <c r="A8">
        <v>1381</v>
      </c>
      <c r="B8" s="4">
        <v>45408.375085336993</v>
      </c>
      <c r="C8" t="s">
        <v>10</v>
      </c>
      <c r="D8" t="s">
        <v>16</v>
      </c>
      <c r="E8" t="s">
        <v>24</v>
      </c>
      <c r="F8">
        <v>2804.96</v>
      </c>
    </row>
    <row r="9" spans="1:9" x14ac:dyDescent="0.35">
      <c r="A9">
        <v>1156</v>
      </c>
      <c r="B9" s="4">
        <v>45408.375085336993</v>
      </c>
      <c r="C9" t="s">
        <v>11</v>
      </c>
      <c r="D9" t="s">
        <v>19</v>
      </c>
      <c r="E9" t="s">
        <v>24</v>
      </c>
      <c r="F9">
        <v>676.55</v>
      </c>
    </row>
    <row r="10" spans="1:9" x14ac:dyDescent="0.35">
      <c r="A10">
        <v>1033</v>
      </c>
      <c r="B10" s="4">
        <v>45408.375085336993</v>
      </c>
      <c r="C10" t="s">
        <v>7</v>
      </c>
      <c r="D10" t="s">
        <v>16</v>
      </c>
      <c r="E10" t="s">
        <v>24</v>
      </c>
      <c r="F10">
        <v>1221.2</v>
      </c>
    </row>
    <row r="11" spans="1:9" x14ac:dyDescent="0.35">
      <c r="A11">
        <v>1260</v>
      </c>
      <c r="B11" s="4">
        <v>45408.375085336993</v>
      </c>
      <c r="C11" t="s">
        <v>12</v>
      </c>
      <c r="D11" t="s">
        <v>19</v>
      </c>
      <c r="E11" t="s">
        <v>23</v>
      </c>
      <c r="F11">
        <v>4306.28</v>
      </c>
    </row>
    <row r="12" spans="1:9" x14ac:dyDescent="0.35">
      <c r="A12">
        <v>1199</v>
      </c>
      <c r="B12" s="4">
        <v>45409.375085336993</v>
      </c>
      <c r="C12" t="s">
        <v>9</v>
      </c>
      <c r="D12" t="s">
        <v>20</v>
      </c>
      <c r="E12" t="s">
        <v>25</v>
      </c>
      <c r="F12">
        <v>6020.75</v>
      </c>
    </row>
    <row r="13" spans="1:9" x14ac:dyDescent="0.35">
      <c r="A13">
        <v>1358</v>
      </c>
      <c r="B13" s="4">
        <v>45409.375085336993</v>
      </c>
      <c r="C13" t="s">
        <v>11</v>
      </c>
      <c r="D13" t="s">
        <v>19</v>
      </c>
      <c r="E13" t="s">
        <v>24</v>
      </c>
      <c r="F13">
        <v>1958.78</v>
      </c>
    </row>
    <row r="14" spans="1:9" x14ac:dyDescent="0.35">
      <c r="A14">
        <v>1358</v>
      </c>
      <c r="B14" s="4">
        <v>45409.375085336993</v>
      </c>
      <c r="C14" t="s">
        <v>11</v>
      </c>
      <c r="D14" t="s">
        <v>21</v>
      </c>
      <c r="E14" t="s">
        <v>25</v>
      </c>
      <c r="F14">
        <v>1557.18</v>
      </c>
    </row>
    <row r="15" spans="1:9" x14ac:dyDescent="0.35">
      <c r="A15">
        <v>1061</v>
      </c>
      <c r="B15" s="4">
        <v>45410.375085336993</v>
      </c>
      <c r="C15" t="s">
        <v>7</v>
      </c>
      <c r="D15" t="s">
        <v>20</v>
      </c>
      <c r="E15" t="s">
        <v>23</v>
      </c>
      <c r="F15">
        <v>6085.25</v>
      </c>
    </row>
    <row r="16" spans="1:9" x14ac:dyDescent="0.35">
      <c r="A16">
        <v>1178</v>
      </c>
      <c r="B16" s="4">
        <v>45410.375085336993</v>
      </c>
      <c r="C16" t="s">
        <v>13</v>
      </c>
      <c r="D16" t="s">
        <v>21</v>
      </c>
      <c r="E16" t="s">
        <v>24</v>
      </c>
      <c r="F16">
        <v>4042.32</v>
      </c>
    </row>
    <row r="17" spans="1:6" x14ac:dyDescent="0.35">
      <c r="A17">
        <v>1288</v>
      </c>
      <c r="B17" s="4">
        <v>45410.375085336993</v>
      </c>
      <c r="C17" t="s">
        <v>6</v>
      </c>
      <c r="D17" t="s">
        <v>22</v>
      </c>
      <c r="E17" t="s">
        <v>24</v>
      </c>
      <c r="F17">
        <v>4648.1499999999996</v>
      </c>
    </row>
    <row r="18" spans="1:6" x14ac:dyDescent="0.35">
      <c r="A18">
        <v>1320</v>
      </c>
      <c r="B18" s="4">
        <v>45410.375085336993</v>
      </c>
      <c r="C18" t="s">
        <v>14</v>
      </c>
      <c r="D18" t="s">
        <v>17</v>
      </c>
      <c r="E18" t="s">
        <v>24</v>
      </c>
      <c r="F18">
        <v>3462.18</v>
      </c>
    </row>
    <row r="19" spans="1:6" x14ac:dyDescent="0.35">
      <c r="A19">
        <v>1123</v>
      </c>
      <c r="B19" s="4">
        <v>45411.375085336993</v>
      </c>
      <c r="C19" t="s">
        <v>9</v>
      </c>
      <c r="D19" t="s">
        <v>20</v>
      </c>
      <c r="E19" t="s">
        <v>24</v>
      </c>
      <c r="F19">
        <v>3798.4</v>
      </c>
    </row>
    <row r="20" spans="1:6" x14ac:dyDescent="0.35">
      <c r="A20">
        <v>1342</v>
      </c>
      <c r="B20" s="4">
        <v>45411.375085336993</v>
      </c>
      <c r="C20" t="s">
        <v>10</v>
      </c>
      <c r="D20" t="s">
        <v>19</v>
      </c>
      <c r="E20" t="s">
        <v>23</v>
      </c>
      <c r="F20">
        <v>3965.52</v>
      </c>
    </row>
    <row r="21" spans="1:6" x14ac:dyDescent="0.35">
      <c r="A21">
        <v>1168</v>
      </c>
      <c r="B21" s="4">
        <v>45411.375085336993</v>
      </c>
      <c r="C21" t="s">
        <v>12</v>
      </c>
      <c r="D21" t="s">
        <v>18</v>
      </c>
      <c r="E21" t="s">
        <v>24</v>
      </c>
      <c r="F21">
        <v>1274.6199999999999</v>
      </c>
    </row>
    <row r="22" spans="1:6" x14ac:dyDescent="0.35">
      <c r="A22">
        <v>1155</v>
      </c>
      <c r="B22" s="4">
        <v>45411.375085336993</v>
      </c>
      <c r="C22" t="s">
        <v>11</v>
      </c>
      <c r="D22" t="s">
        <v>21</v>
      </c>
      <c r="E22" t="s">
        <v>24</v>
      </c>
      <c r="F22">
        <v>4308.95</v>
      </c>
    </row>
    <row r="23" spans="1:6" x14ac:dyDescent="0.35">
      <c r="A23">
        <v>1129</v>
      </c>
      <c r="B23" s="4">
        <v>45411.375085336993</v>
      </c>
      <c r="C23" t="s">
        <v>11</v>
      </c>
      <c r="D23" t="s">
        <v>22</v>
      </c>
      <c r="E23" t="s">
        <v>23</v>
      </c>
      <c r="F23">
        <v>5063.2299999999996</v>
      </c>
    </row>
    <row r="24" spans="1:6" x14ac:dyDescent="0.35">
      <c r="A24">
        <v>1086</v>
      </c>
      <c r="B24" s="4">
        <v>45411.375085336993</v>
      </c>
      <c r="C24" t="s">
        <v>10</v>
      </c>
      <c r="D24" t="s">
        <v>20</v>
      </c>
      <c r="E24" t="s">
        <v>25</v>
      </c>
      <c r="F24">
        <v>4207.42</v>
      </c>
    </row>
    <row r="25" spans="1:6" x14ac:dyDescent="0.35">
      <c r="A25">
        <v>1273</v>
      </c>
      <c r="B25" s="4">
        <v>45412.375085336993</v>
      </c>
      <c r="C25" t="s">
        <v>10</v>
      </c>
      <c r="D25" t="s">
        <v>19</v>
      </c>
      <c r="E25" t="s">
        <v>24</v>
      </c>
      <c r="F25">
        <v>3220.63</v>
      </c>
    </row>
    <row r="26" spans="1:6" x14ac:dyDescent="0.35">
      <c r="A26">
        <v>1143</v>
      </c>
      <c r="B26" s="4">
        <v>45412.375085336993</v>
      </c>
      <c r="C26" t="s">
        <v>15</v>
      </c>
      <c r="D26" t="s">
        <v>19</v>
      </c>
      <c r="E26" t="s">
        <v>23</v>
      </c>
      <c r="F26">
        <v>3998.91</v>
      </c>
    </row>
    <row r="27" spans="1:6" x14ac:dyDescent="0.35">
      <c r="A27">
        <v>1270</v>
      </c>
      <c r="B27" s="4">
        <v>45412.375085336993</v>
      </c>
      <c r="C27" t="s">
        <v>11</v>
      </c>
      <c r="D27" t="s">
        <v>16</v>
      </c>
      <c r="E27" t="s">
        <v>24</v>
      </c>
      <c r="F27">
        <v>6274.7</v>
      </c>
    </row>
    <row r="28" spans="1:6" x14ac:dyDescent="0.35">
      <c r="A28">
        <v>1080</v>
      </c>
      <c r="B28" s="4">
        <v>45413.375085336993</v>
      </c>
      <c r="C28" t="s">
        <v>9</v>
      </c>
      <c r="D28" t="s">
        <v>21</v>
      </c>
      <c r="E28" t="s">
        <v>23</v>
      </c>
      <c r="F28">
        <v>1502.61</v>
      </c>
    </row>
    <row r="29" spans="1:6" x14ac:dyDescent="0.35">
      <c r="A29">
        <v>1022</v>
      </c>
      <c r="B29" s="4">
        <v>45413.375085336993</v>
      </c>
      <c r="C29" t="s">
        <v>6</v>
      </c>
      <c r="D29" t="s">
        <v>22</v>
      </c>
      <c r="E29" t="s">
        <v>24</v>
      </c>
      <c r="F29">
        <v>6875.66</v>
      </c>
    </row>
    <row r="30" spans="1:6" x14ac:dyDescent="0.35">
      <c r="A30">
        <v>1284</v>
      </c>
      <c r="B30" s="4">
        <v>45413.375085336993</v>
      </c>
      <c r="C30" t="s">
        <v>14</v>
      </c>
      <c r="D30" t="s">
        <v>19</v>
      </c>
      <c r="E30" t="s">
        <v>24</v>
      </c>
      <c r="F30">
        <v>3284.86</v>
      </c>
    </row>
    <row r="31" spans="1:6" x14ac:dyDescent="0.35">
      <c r="A31">
        <v>1304</v>
      </c>
      <c r="B31" s="4">
        <v>45413.375085336993</v>
      </c>
      <c r="C31" t="s">
        <v>6</v>
      </c>
      <c r="D31" t="s">
        <v>16</v>
      </c>
      <c r="E31" t="s">
        <v>23</v>
      </c>
      <c r="F31">
        <v>2919.46</v>
      </c>
    </row>
    <row r="32" spans="1:6" x14ac:dyDescent="0.35">
      <c r="A32">
        <v>1082</v>
      </c>
      <c r="B32" s="4">
        <v>45413.375085336993</v>
      </c>
      <c r="C32" t="s">
        <v>8</v>
      </c>
      <c r="D32" t="s">
        <v>17</v>
      </c>
      <c r="E32" t="s">
        <v>24</v>
      </c>
      <c r="F32">
        <v>11954.68</v>
      </c>
    </row>
    <row r="33" spans="1:6" x14ac:dyDescent="0.35">
      <c r="A33">
        <v>1361</v>
      </c>
      <c r="B33" s="4">
        <v>45414.375085336993</v>
      </c>
      <c r="C33" t="s">
        <v>15</v>
      </c>
      <c r="D33" t="s">
        <v>22</v>
      </c>
      <c r="E33" t="s">
        <v>24</v>
      </c>
      <c r="F33">
        <v>8151.42</v>
      </c>
    </row>
    <row r="34" spans="1:6" x14ac:dyDescent="0.35">
      <c r="A34">
        <v>1194</v>
      </c>
      <c r="B34" s="4">
        <v>45415.375085336993</v>
      </c>
      <c r="C34" t="s">
        <v>12</v>
      </c>
      <c r="D34" t="s">
        <v>16</v>
      </c>
      <c r="E34" t="s">
        <v>25</v>
      </c>
      <c r="F34">
        <v>1197.45</v>
      </c>
    </row>
    <row r="35" spans="1:6" x14ac:dyDescent="0.35">
      <c r="A35">
        <v>1345</v>
      </c>
      <c r="B35" s="4">
        <v>45415.375085336993</v>
      </c>
      <c r="C35" t="s">
        <v>14</v>
      </c>
      <c r="D35" t="s">
        <v>16</v>
      </c>
      <c r="E35" t="s">
        <v>24</v>
      </c>
      <c r="F35">
        <v>4298.17</v>
      </c>
    </row>
    <row r="36" spans="1:6" x14ac:dyDescent="0.35">
      <c r="A36">
        <v>1359</v>
      </c>
      <c r="B36" s="4">
        <v>45415.375085336993</v>
      </c>
      <c r="C36" t="s">
        <v>12</v>
      </c>
      <c r="D36" t="s">
        <v>18</v>
      </c>
      <c r="E36" t="s">
        <v>24</v>
      </c>
      <c r="F36">
        <v>1292.8499999999999</v>
      </c>
    </row>
    <row r="37" spans="1:6" x14ac:dyDescent="0.35">
      <c r="A37">
        <v>1150</v>
      </c>
      <c r="B37" s="4">
        <v>45415.375085336993</v>
      </c>
      <c r="C37" t="s">
        <v>10</v>
      </c>
      <c r="D37" t="s">
        <v>22</v>
      </c>
      <c r="E37" t="s">
        <v>25</v>
      </c>
      <c r="F37">
        <v>3260.52</v>
      </c>
    </row>
    <row r="38" spans="1:6" x14ac:dyDescent="0.35">
      <c r="A38">
        <v>1088</v>
      </c>
      <c r="B38" s="4">
        <v>45416.375085336993</v>
      </c>
      <c r="C38" t="s">
        <v>14</v>
      </c>
      <c r="D38" t="s">
        <v>20</v>
      </c>
      <c r="E38" t="s">
        <v>24</v>
      </c>
      <c r="F38">
        <v>10928.04</v>
      </c>
    </row>
    <row r="39" spans="1:6" x14ac:dyDescent="0.35">
      <c r="A39">
        <v>1221</v>
      </c>
      <c r="B39" s="4">
        <v>45416.375085336993</v>
      </c>
      <c r="C39" t="s">
        <v>9</v>
      </c>
      <c r="D39" t="s">
        <v>19</v>
      </c>
      <c r="E39" t="s">
        <v>24</v>
      </c>
      <c r="F39">
        <v>3123.49</v>
      </c>
    </row>
    <row r="40" spans="1:6" x14ac:dyDescent="0.35">
      <c r="A40">
        <v>1301</v>
      </c>
      <c r="B40" s="4">
        <v>45417.375085336993</v>
      </c>
      <c r="C40" t="s">
        <v>9</v>
      </c>
      <c r="D40" t="s">
        <v>21</v>
      </c>
      <c r="E40" t="s">
        <v>23</v>
      </c>
      <c r="F40">
        <v>3436.72</v>
      </c>
    </row>
    <row r="41" spans="1:6" x14ac:dyDescent="0.35">
      <c r="A41">
        <v>1224</v>
      </c>
      <c r="B41" s="4">
        <v>45417.375085336993</v>
      </c>
      <c r="C41" t="s">
        <v>10</v>
      </c>
      <c r="D41" t="s">
        <v>21</v>
      </c>
      <c r="E41" t="s">
        <v>24</v>
      </c>
      <c r="F41">
        <v>993.45</v>
      </c>
    </row>
    <row r="42" spans="1:6" x14ac:dyDescent="0.35">
      <c r="A42">
        <v>1050</v>
      </c>
      <c r="B42" s="4">
        <v>45417.375085336993</v>
      </c>
      <c r="C42" t="s">
        <v>14</v>
      </c>
      <c r="D42" t="s">
        <v>19</v>
      </c>
      <c r="E42" t="s">
        <v>23</v>
      </c>
      <c r="F42">
        <v>1890.21</v>
      </c>
    </row>
    <row r="43" spans="1:6" x14ac:dyDescent="0.35">
      <c r="A43">
        <v>1054</v>
      </c>
      <c r="B43" s="4">
        <v>45417.375085336993</v>
      </c>
      <c r="C43" t="s">
        <v>8</v>
      </c>
      <c r="D43" t="s">
        <v>19</v>
      </c>
      <c r="E43" t="s">
        <v>24</v>
      </c>
      <c r="F43">
        <v>2457.88</v>
      </c>
    </row>
    <row r="44" spans="1:6" x14ac:dyDescent="0.35">
      <c r="A44">
        <v>1061</v>
      </c>
      <c r="B44" s="4">
        <v>45418.375085336993</v>
      </c>
      <c r="C44" t="s">
        <v>6</v>
      </c>
      <c r="D44" t="s">
        <v>22</v>
      </c>
      <c r="E44" t="s">
        <v>24</v>
      </c>
      <c r="F44">
        <v>695.99</v>
      </c>
    </row>
    <row r="45" spans="1:6" x14ac:dyDescent="0.35">
      <c r="A45">
        <v>1146</v>
      </c>
      <c r="B45" s="4">
        <v>45418.375085336993</v>
      </c>
      <c r="C45" t="s">
        <v>6</v>
      </c>
      <c r="D45" t="s">
        <v>21</v>
      </c>
      <c r="E45" t="s">
        <v>24</v>
      </c>
      <c r="F45">
        <v>4347.7</v>
      </c>
    </row>
    <row r="46" spans="1:6" x14ac:dyDescent="0.35">
      <c r="A46">
        <v>1334</v>
      </c>
      <c r="B46" s="4">
        <v>45418.375085336993</v>
      </c>
      <c r="C46" t="s">
        <v>8</v>
      </c>
      <c r="D46" t="s">
        <v>17</v>
      </c>
      <c r="E46" t="s">
        <v>24</v>
      </c>
      <c r="F46">
        <v>2056.62</v>
      </c>
    </row>
    <row r="47" spans="1:6" x14ac:dyDescent="0.35">
      <c r="A47">
        <v>1118</v>
      </c>
      <c r="B47" s="4">
        <v>45418.375085336993</v>
      </c>
      <c r="C47" t="s">
        <v>6</v>
      </c>
      <c r="D47" t="s">
        <v>18</v>
      </c>
      <c r="E47" t="s">
        <v>25</v>
      </c>
      <c r="F47">
        <v>1665.04</v>
      </c>
    </row>
    <row r="48" spans="1:6" x14ac:dyDescent="0.35">
      <c r="A48">
        <v>1369</v>
      </c>
      <c r="B48" s="4">
        <v>45418.375085336993</v>
      </c>
      <c r="C48" t="s">
        <v>8</v>
      </c>
      <c r="D48" t="s">
        <v>19</v>
      </c>
      <c r="E48" t="s">
        <v>24</v>
      </c>
      <c r="F48">
        <v>2279.6</v>
      </c>
    </row>
    <row r="49" spans="1:6" x14ac:dyDescent="0.35">
      <c r="A49">
        <v>1364</v>
      </c>
      <c r="B49" s="4">
        <v>45418.375085336993</v>
      </c>
      <c r="C49" t="s">
        <v>6</v>
      </c>
      <c r="D49" t="s">
        <v>16</v>
      </c>
      <c r="E49" t="s">
        <v>24</v>
      </c>
      <c r="F49">
        <v>4524.59</v>
      </c>
    </row>
    <row r="50" spans="1:6" x14ac:dyDescent="0.35">
      <c r="A50">
        <v>1071</v>
      </c>
      <c r="B50" s="4">
        <v>45418.375085336993</v>
      </c>
      <c r="C50" t="s">
        <v>7</v>
      </c>
      <c r="D50" t="s">
        <v>19</v>
      </c>
      <c r="E50" t="s">
        <v>25</v>
      </c>
      <c r="F50">
        <v>1238.23</v>
      </c>
    </row>
    <row r="51" spans="1:6" x14ac:dyDescent="0.35">
      <c r="A51">
        <v>1085</v>
      </c>
      <c r="B51" s="4">
        <v>45418.375085336993</v>
      </c>
      <c r="C51" t="s">
        <v>8</v>
      </c>
      <c r="D51" t="s">
        <v>17</v>
      </c>
      <c r="E51" t="s">
        <v>23</v>
      </c>
      <c r="F51">
        <v>12242.87</v>
      </c>
    </row>
    <row r="52" spans="1:6" x14ac:dyDescent="0.35">
      <c r="A52">
        <v>1387</v>
      </c>
      <c r="B52" s="4">
        <v>45419.375085336993</v>
      </c>
      <c r="C52" t="s">
        <v>13</v>
      </c>
      <c r="D52" t="s">
        <v>22</v>
      </c>
      <c r="E52" t="s">
        <v>24</v>
      </c>
      <c r="F52">
        <v>385.77</v>
      </c>
    </row>
    <row r="53" spans="1:6" x14ac:dyDescent="0.35">
      <c r="A53">
        <v>1378</v>
      </c>
      <c r="B53" s="4">
        <v>45419.375085336993</v>
      </c>
      <c r="C53" t="s">
        <v>12</v>
      </c>
      <c r="D53" t="s">
        <v>17</v>
      </c>
      <c r="E53" t="s">
        <v>25</v>
      </c>
      <c r="F53">
        <v>6206.88</v>
      </c>
    </row>
    <row r="54" spans="1:6" x14ac:dyDescent="0.35">
      <c r="A54">
        <v>1224</v>
      </c>
      <c r="B54" s="4">
        <v>45420.375085336993</v>
      </c>
      <c r="C54" t="s">
        <v>10</v>
      </c>
      <c r="D54" t="s">
        <v>22</v>
      </c>
      <c r="E54" t="s">
        <v>24</v>
      </c>
      <c r="F54">
        <v>7313.38</v>
      </c>
    </row>
    <row r="55" spans="1:6" x14ac:dyDescent="0.35">
      <c r="A55">
        <v>1019</v>
      </c>
      <c r="B55" s="4">
        <v>45421.375085336993</v>
      </c>
      <c r="C55" t="s">
        <v>10</v>
      </c>
      <c r="D55" t="s">
        <v>19</v>
      </c>
      <c r="E55" t="s">
        <v>25</v>
      </c>
      <c r="F55">
        <v>1179.18</v>
      </c>
    </row>
    <row r="56" spans="1:6" x14ac:dyDescent="0.35">
      <c r="A56">
        <v>1186</v>
      </c>
      <c r="B56" s="4">
        <v>45421.375085336993</v>
      </c>
      <c r="C56" t="s">
        <v>11</v>
      </c>
      <c r="D56" t="s">
        <v>16</v>
      </c>
      <c r="E56" t="s">
        <v>25</v>
      </c>
      <c r="F56">
        <v>1679.46</v>
      </c>
    </row>
    <row r="57" spans="1:6" x14ac:dyDescent="0.35">
      <c r="A57">
        <v>1172</v>
      </c>
      <c r="B57" s="4">
        <v>45421.375085336993</v>
      </c>
      <c r="C57" t="s">
        <v>12</v>
      </c>
      <c r="D57" t="s">
        <v>16</v>
      </c>
      <c r="E57" t="s">
        <v>24</v>
      </c>
      <c r="F57">
        <v>8273.7199999999993</v>
      </c>
    </row>
    <row r="58" spans="1:6" x14ac:dyDescent="0.35">
      <c r="A58">
        <v>1386</v>
      </c>
      <c r="B58" s="4">
        <v>45422.375085336993</v>
      </c>
      <c r="C58" t="s">
        <v>15</v>
      </c>
      <c r="D58" t="s">
        <v>16</v>
      </c>
      <c r="E58" t="s">
        <v>23</v>
      </c>
      <c r="F58">
        <v>9890.69</v>
      </c>
    </row>
    <row r="59" spans="1:6" x14ac:dyDescent="0.35">
      <c r="A59">
        <v>1134</v>
      </c>
      <c r="B59" s="4">
        <v>45422.375085336993</v>
      </c>
      <c r="C59" t="s">
        <v>13</v>
      </c>
      <c r="D59" t="s">
        <v>16</v>
      </c>
      <c r="E59" t="s">
        <v>23</v>
      </c>
      <c r="F59">
        <v>2360.89</v>
      </c>
    </row>
    <row r="60" spans="1:6" x14ac:dyDescent="0.35">
      <c r="A60">
        <v>1074</v>
      </c>
      <c r="B60" s="4">
        <v>45422.375085336993</v>
      </c>
      <c r="C60" t="s">
        <v>9</v>
      </c>
      <c r="D60" t="s">
        <v>21</v>
      </c>
      <c r="E60" t="s">
        <v>25</v>
      </c>
      <c r="F60">
        <v>2902.37</v>
      </c>
    </row>
    <row r="61" spans="1:6" x14ac:dyDescent="0.35">
      <c r="A61">
        <v>1079</v>
      </c>
      <c r="B61" s="4">
        <v>45422.375085336993</v>
      </c>
      <c r="C61" t="s">
        <v>13</v>
      </c>
      <c r="D61" t="s">
        <v>20</v>
      </c>
      <c r="E61" t="s">
        <v>24</v>
      </c>
      <c r="F61">
        <v>9858.5499999999993</v>
      </c>
    </row>
    <row r="62" spans="1:6" x14ac:dyDescent="0.35">
      <c r="A62">
        <v>1225</v>
      </c>
      <c r="B62" s="4">
        <v>45422.375085336993</v>
      </c>
      <c r="C62" t="s">
        <v>11</v>
      </c>
      <c r="D62" t="s">
        <v>22</v>
      </c>
      <c r="E62" t="s">
        <v>25</v>
      </c>
      <c r="F62">
        <v>4402.2700000000004</v>
      </c>
    </row>
    <row r="63" spans="1:6" x14ac:dyDescent="0.35">
      <c r="A63">
        <v>1112</v>
      </c>
      <c r="B63" s="4">
        <v>45423.375085336993</v>
      </c>
      <c r="C63" t="s">
        <v>10</v>
      </c>
      <c r="D63" t="s">
        <v>20</v>
      </c>
      <c r="E63" t="s">
        <v>23</v>
      </c>
      <c r="F63">
        <v>1249.8699999999999</v>
      </c>
    </row>
    <row r="64" spans="1:6" x14ac:dyDescent="0.35">
      <c r="A64">
        <v>1011</v>
      </c>
      <c r="B64" s="4">
        <v>45423.375085336993</v>
      </c>
      <c r="C64" t="s">
        <v>12</v>
      </c>
      <c r="D64" t="s">
        <v>18</v>
      </c>
      <c r="E64" t="s">
        <v>25</v>
      </c>
      <c r="F64">
        <v>1477.77</v>
      </c>
    </row>
    <row r="65" spans="1:6" x14ac:dyDescent="0.35">
      <c r="A65">
        <v>1007</v>
      </c>
      <c r="B65" s="4">
        <v>45424.375085336993</v>
      </c>
      <c r="C65" t="s">
        <v>11</v>
      </c>
      <c r="D65" t="s">
        <v>18</v>
      </c>
      <c r="E65" t="s">
        <v>23</v>
      </c>
      <c r="F65">
        <v>3729.51</v>
      </c>
    </row>
    <row r="66" spans="1:6" x14ac:dyDescent="0.35">
      <c r="A66">
        <v>1269</v>
      </c>
      <c r="B66" s="4">
        <v>45424.375085336993</v>
      </c>
      <c r="C66" t="s">
        <v>7</v>
      </c>
      <c r="D66" t="s">
        <v>19</v>
      </c>
      <c r="E66" t="s">
        <v>23</v>
      </c>
      <c r="F66">
        <v>4031.39</v>
      </c>
    </row>
    <row r="67" spans="1:6" x14ac:dyDescent="0.35">
      <c r="A67">
        <v>1078</v>
      </c>
      <c r="B67" s="4">
        <v>45424.375085336993</v>
      </c>
      <c r="C67" t="s">
        <v>10</v>
      </c>
      <c r="D67" t="s">
        <v>17</v>
      </c>
      <c r="E67" t="s">
        <v>25</v>
      </c>
      <c r="F67">
        <v>2910.88</v>
      </c>
    </row>
    <row r="68" spans="1:6" x14ac:dyDescent="0.35">
      <c r="A68">
        <v>1132</v>
      </c>
      <c r="B68" s="4">
        <v>45424.375085336993</v>
      </c>
      <c r="C68" t="s">
        <v>12</v>
      </c>
      <c r="D68" t="s">
        <v>19</v>
      </c>
      <c r="E68" t="s">
        <v>25</v>
      </c>
      <c r="F68">
        <v>1875.57</v>
      </c>
    </row>
    <row r="69" spans="1:6" x14ac:dyDescent="0.35">
      <c r="A69">
        <v>1257</v>
      </c>
      <c r="B69" s="4">
        <v>45424.375085336993</v>
      </c>
      <c r="C69" t="s">
        <v>7</v>
      </c>
      <c r="D69" t="s">
        <v>22</v>
      </c>
      <c r="E69" t="s">
        <v>23</v>
      </c>
      <c r="F69">
        <v>4234.41</v>
      </c>
    </row>
    <row r="70" spans="1:6" x14ac:dyDescent="0.35">
      <c r="A70">
        <v>1072</v>
      </c>
      <c r="B70" s="4">
        <v>45424.375085336993</v>
      </c>
      <c r="C70" t="s">
        <v>15</v>
      </c>
      <c r="D70" t="s">
        <v>21</v>
      </c>
      <c r="E70" t="s">
        <v>25</v>
      </c>
      <c r="F70">
        <v>5645.29</v>
      </c>
    </row>
    <row r="71" spans="1:6" x14ac:dyDescent="0.35">
      <c r="A71">
        <v>1129</v>
      </c>
      <c r="B71" s="4">
        <v>45424.375085336993</v>
      </c>
      <c r="C71" t="s">
        <v>9</v>
      </c>
      <c r="D71" t="s">
        <v>19</v>
      </c>
      <c r="E71" t="s">
        <v>24</v>
      </c>
      <c r="F71">
        <v>1872.72</v>
      </c>
    </row>
    <row r="72" spans="1:6" x14ac:dyDescent="0.35">
      <c r="A72">
        <v>1289</v>
      </c>
      <c r="B72" s="4">
        <v>45424.375085336993</v>
      </c>
      <c r="C72" t="s">
        <v>9</v>
      </c>
      <c r="D72" t="s">
        <v>18</v>
      </c>
      <c r="E72" t="s">
        <v>24</v>
      </c>
      <c r="F72">
        <v>3284.02</v>
      </c>
    </row>
    <row r="73" spans="1:6" x14ac:dyDescent="0.35">
      <c r="A73">
        <v>1370</v>
      </c>
      <c r="B73" s="4">
        <v>45425.375085336993</v>
      </c>
      <c r="C73" t="s">
        <v>14</v>
      </c>
      <c r="D73" t="s">
        <v>19</v>
      </c>
      <c r="E73" t="s">
        <v>25</v>
      </c>
      <c r="F73">
        <v>4571.95</v>
      </c>
    </row>
    <row r="74" spans="1:6" x14ac:dyDescent="0.35">
      <c r="A74">
        <v>1007</v>
      </c>
      <c r="B74" s="4">
        <v>45425.375085336993</v>
      </c>
      <c r="C74" t="s">
        <v>15</v>
      </c>
      <c r="D74" t="s">
        <v>16</v>
      </c>
      <c r="E74" t="s">
        <v>25</v>
      </c>
      <c r="F74">
        <v>7682.58</v>
      </c>
    </row>
    <row r="75" spans="1:6" x14ac:dyDescent="0.35">
      <c r="A75">
        <v>1175</v>
      </c>
      <c r="B75" s="4">
        <v>45426.375085336993</v>
      </c>
      <c r="C75" t="s">
        <v>15</v>
      </c>
      <c r="D75" t="s">
        <v>18</v>
      </c>
      <c r="E75" t="s">
        <v>23</v>
      </c>
      <c r="F75">
        <v>3661.72</v>
      </c>
    </row>
    <row r="76" spans="1:6" x14ac:dyDescent="0.35">
      <c r="A76">
        <v>1352</v>
      </c>
      <c r="B76" s="4">
        <v>45426.375085336993</v>
      </c>
      <c r="C76" t="s">
        <v>10</v>
      </c>
      <c r="D76" t="s">
        <v>22</v>
      </c>
      <c r="E76" t="s">
        <v>24</v>
      </c>
      <c r="F76">
        <v>1297.73</v>
      </c>
    </row>
    <row r="77" spans="1:6" x14ac:dyDescent="0.35">
      <c r="A77">
        <v>1292</v>
      </c>
      <c r="B77" s="4">
        <v>45426.375085336993</v>
      </c>
      <c r="C77" t="s">
        <v>11</v>
      </c>
      <c r="D77" t="s">
        <v>16</v>
      </c>
      <c r="E77" t="s">
        <v>24</v>
      </c>
      <c r="F77">
        <v>5638.33</v>
      </c>
    </row>
    <row r="78" spans="1:6" x14ac:dyDescent="0.35">
      <c r="A78">
        <v>1266</v>
      </c>
      <c r="B78" s="4">
        <v>45427.375085336993</v>
      </c>
      <c r="C78" t="s">
        <v>7</v>
      </c>
      <c r="D78" t="s">
        <v>20</v>
      </c>
      <c r="E78" t="s">
        <v>25</v>
      </c>
      <c r="F78">
        <v>13167.57</v>
      </c>
    </row>
    <row r="79" spans="1:6" x14ac:dyDescent="0.35">
      <c r="A79">
        <v>1176</v>
      </c>
      <c r="B79" s="4">
        <v>45427.375085336993</v>
      </c>
      <c r="C79" t="s">
        <v>6</v>
      </c>
      <c r="D79" t="s">
        <v>18</v>
      </c>
      <c r="E79" t="s">
        <v>23</v>
      </c>
      <c r="F79">
        <v>3528.15</v>
      </c>
    </row>
    <row r="80" spans="1:6" x14ac:dyDescent="0.35">
      <c r="A80">
        <v>1159</v>
      </c>
      <c r="B80" s="4">
        <v>45427.375085336993</v>
      </c>
      <c r="C80" t="s">
        <v>6</v>
      </c>
      <c r="D80" t="s">
        <v>17</v>
      </c>
      <c r="E80" t="s">
        <v>23</v>
      </c>
      <c r="F80">
        <v>1730.6</v>
      </c>
    </row>
    <row r="81" spans="1:6" x14ac:dyDescent="0.35">
      <c r="A81">
        <v>1146</v>
      </c>
      <c r="B81" s="4">
        <v>45427.375085336993</v>
      </c>
      <c r="C81" t="s">
        <v>12</v>
      </c>
      <c r="D81" t="s">
        <v>16</v>
      </c>
      <c r="E81" t="s">
        <v>23</v>
      </c>
      <c r="F81">
        <v>3458.94</v>
      </c>
    </row>
    <row r="82" spans="1:6" x14ac:dyDescent="0.35">
      <c r="A82">
        <v>1281</v>
      </c>
      <c r="B82" s="4">
        <v>45427.375085336993</v>
      </c>
      <c r="C82" t="s">
        <v>12</v>
      </c>
      <c r="D82" t="s">
        <v>22</v>
      </c>
      <c r="E82" t="s">
        <v>24</v>
      </c>
      <c r="F82">
        <v>2795.89</v>
      </c>
    </row>
    <row r="83" spans="1:6" x14ac:dyDescent="0.35">
      <c r="A83">
        <v>1194</v>
      </c>
      <c r="B83" s="4">
        <v>45427.375085336993</v>
      </c>
      <c r="C83" t="s">
        <v>14</v>
      </c>
      <c r="D83" t="s">
        <v>21</v>
      </c>
      <c r="E83" t="s">
        <v>25</v>
      </c>
      <c r="F83">
        <v>2183.9299999999998</v>
      </c>
    </row>
    <row r="84" spans="1:6" x14ac:dyDescent="0.35">
      <c r="A84">
        <v>1085</v>
      </c>
      <c r="B84" s="4">
        <v>45427.375085336993</v>
      </c>
      <c r="C84" t="s">
        <v>11</v>
      </c>
      <c r="D84" t="s">
        <v>21</v>
      </c>
      <c r="E84" t="s">
        <v>25</v>
      </c>
      <c r="F84">
        <v>854.56</v>
      </c>
    </row>
    <row r="85" spans="1:6" x14ac:dyDescent="0.35">
      <c r="A85">
        <v>1239</v>
      </c>
      <c r="B85" s="4">
        <v>45428.375085336993</v>
      </c>
      <c r="C85" t="s">
        <v>14</v>
      </c>
      <c r="D85" t="s">
        <v>16</v>
      </c>
      <c r="E85" t="s">
        <v>23</v>
      </c>
      <c r="F85">
        <v>28564.55</v>
      </c>
    </row>
    <row r="86" spans="1:6" x14ac:dyDescent="0.35">
      <c r="A86">
        <v>1099</v>
      </c>
      <c r="B86" s="4">
        <v>45428.375085336993</v>
      </c>
      <c r="C86" t="s">
        <v>10</v>
      </c>
      <c r="D86" t="s">
        <v>20</v>
      </c>
      <c r="E86" t="s">
        <v>24</v>
      </c>
      <c r="F86">
        <v>3852.61</v>
      </c>
    </row>
    <row r="87" spans="1:6" x14ac:dyDescent="0.35">
      <c r="A87">
        <v>1077</v>
      </c>
      <c r="B87" s="4">
        <v>45428.375085336993</v>
      </c>
      <c r="C87" t="s">
        <v>7</v>
      </c>
      <c r="D87" t="s">
        <v>21</v>
      </c>
      <c r="E87" t="s">
        <v>25</v>
      </c>
      <c r="F87">
        <v>1818.08</v>
      </c>
    </row>
    <row r="88" spans="1:6" x14ac:dyDescent="0.35">
      <c r="A88">
        <v>1290</v>
      </c>
      <c r="B88" s="4">
        <v>45430.375085336993</v>
      </c>
      <c r="C88" t="s">
        <v>15</v>
      </c>
      <c r="D88" t="s">
        <v>16</v>
      </c>
      <c r="E88" t="s">
        <v>25</v>
      </c>
      <c r="F88">
        <v>6053.16</v>
      </c>
    </row>
    <row r="89" spans="1:6" x14ac:dyDescent="0.35">
      <c r="A89">
        <v>1091</v>
      </c>
      <c r="B89" s="4">
        <v>45430.375085336993</v>
      </c>
      <c r="C89" t="s">
        <v>8</v>
      </c>
      <c r="D89" t="s">
        <v>17</v>
      </c>
      <c r="E89" t="s">
        <v>24</v>
      </c>
      <c r="F89">
        <v>6656.72</v>
      </c>
    </row>
    <row r="90" spans="1:6" x14ac:dyDescent="0.35">
      <c r="A90">
        <v>1033</v>
      </c>
      <c r="B90" s="4">
        <v>45430.375085336993</v>
      </c>
      <c r="C90" t="s">
        <v>15</v>
      </c>
      <c r="D90" t="s">
        <v>18</v>
      </c>
      <c r="E90" t="s">
        <v>24</v>
      </c>
      <c r="F90">
        <v>797.21</v>
      </c>
    </row>
    <row r="91" spans="1:6" x14ac:dyDescent="0.35">
      <c r="A91">
        <v>1139</v>
      </c>
      <c r="B91" s="4">
        <v>45430.375085336993</v>
      </c>
      <c r="C91" t="s">
        <v>7</v>
      </c>
      <c r="D91" t="s">
        <v>21</v>
      </c>
      <c r="E91" t="s">
        <v>25</v>
      </c>
      <c r="F91">
        <v>2825.85</v>
      </c>
    </row>
    <row r="92" spans="1:6" x14ac:dyDescent="0.35">
      <c r="A92">
        <v>1327</v>
      </c>
      <c r="B92" s="4">
        <v>45430.375085336993</v>
      </c>
      <c r="C92" t="s">
        <v>15</v>
      </c>
      <c r="D92" t="s">
        <v>16</v>
      </c>
      <c r="E92" t="s">
        <v>25</v>
      </c>
      <c r="F92">
        <v>53.58</v>
      </c>
    </row>
    <row r="93" spans="1:6" x14ac:dyDescent="0.35">
      <c r="A93">
        <v>1365</v>
      </c>
      <c r="B93" s="4">
        <v>45430.375085336993</v>
      </c>
      <c r="C93" t="s">
        <v>11</v>
      </c>
      <c r="D93" t="s">
        <v>18</v>
      </c>
      <c r="E93" t="s">
        <v>24</v>
      </c>
      <c r="F93">
        <v>2028.6</v>
      </c>
    </row>
    <row r="94" spans="1:6" x14ac:dyDescent="0.35">
      <c r="A94">
        <v>1216</v>
      </c>
      <c r="B94" s="4">
        <v>45430.375085336993</v>
      </c>
      <c r="C94" t="s">
        <v>14</v>
      </c>
      <c r="D94" t="s">
        <v>22</v>
      </c>
      <c r="E94" t="s">
        <v>24</v>
      </c>
      <c r="F94">
        <v>1127.81</v>
      </c>
    </row>
    <row r="95" spans="1:6" x14ac:dyDescent="0.35">
      <c r="A95">
        <v>1348</v>
      </c>
      <c r="B95" s="4">
        <v>45431.375085336993</v>
      </c>
      <c r="C95" t="s">
        <v>7</v>
      </c>
      <c r="D95" t="s">
        <v>18</v>
      </c>
      <c r="E95" t="s">
        <v>23</v>
      </c>
      <c r="F95">
        <v>1634.98</v>
      </c>
    </row>
    <row r="96" spans="1:6" x14ac:dyDescent="0.35">
      <c r="A96">
        <v>1102</v>
      </c>
      <c r="B96" s="4">
        <v>45431.375085336993</v>
      </c>
      <c r="C96" t="s">
        <v>6</v>
      </c>
      <c r="D96" t="s">
        <v>20</v>
      </c>
      <c r="E96" t="s">
        <v>23</v>
      </c>
      <c r="F96">
        <v>6084.42</v>
      </c>
    </row>
    <row r="97" spans="1:6" x14ac:dyDescent="0.35">
      <c r="A97">
        <v>1190</v>
      </c>
      <c r="B97" s="4">
        <v>45431.375085336993</v>
      </c>
      <c r="C97" t="s">
        <v>8</v>
      </c>
      <c r="D97" t="s">
        <v>22</v>
      </c>
      <c r="E97" t="s">
        <v>23</v>
      </c>
      <c r="F97">
        <v>1974.1</v>
      </c>
    </row>
    <row r="98" spans="1:6" x14ac:dyDescent="0.35">
      <c r="A98">
        <v>1233</v>
      </c>
      <c r="B98" s="4">
        <v>45431.375085336993</v>
      </c>
      <c r="C98" t="s">
        <v>7</v>
      </c>
      <c r="D98" t="s">
        <v>20</v>
      </c>
      <c r="E98" t="s">
        <v>25</v>
      </c>
      <c r="F98">
        <v>9827.3700000000008</v>
      </c>
    </row>
    <row r="99" spans="1:6" x14ac:dyDescent="0.35">
      <c r="A99">
        <v>1092</v>
      </c>
      <c r="B99" s="4">
        <v>45432.375085336993</v>
      </c>
      <c r="C99" t="s">
        <v>13</v>
      </c>
      <c r="D99" t="s">
        <v>21</v>
      </c>
      <c r="E99" t="s">
        <v>24</v>
      </c>
      <c r="F99">
        <v>4222.49</v>
      </c>
    </row>
    <row r="100" spans="1:6" x14ac:dyDescent="0.35">
      <c r="A100">
        <v>1080</v>
      </c>
      <c r="B100" s="4">
        <v>45432.375085336993</v>
      </c>
      <c r="C100" t="s">
        <v>10</v>
      </c>
      <c r="D100" t="s">
        <v>18</v>
      </c>
      <c r="E100" t="s">
        <v>25</v>
      </c>
      <c r="F100">
        <v>3141</v>
      </c>
    </row>
    <row r="101" spans="1:6" x14ac:dyDescent="0.35">
      <c r="A101">
        <v>1190</v>
      </c>
      <c r="B101" s="4">
        <v>45432.375085336993</v>
      </c>
      <c r="C101" t="s">
        <v>14</v>
      </c>
      <c r="D101" t="s">
        <v>19</v>
      </c>
      <c r="E101" t="s">
        <v>23</v>
      </c>
      <c r="F101">
        <v>3665.5</v>
      </c>
    </row>
    <row r="102" spans="1:6" x14ac:dyDescent="0.35">
      <c r="A102">
        <v>1351</v>
      </c>
      <c r="B102" s="4">
        <v>45433.375085336993</v>
      </c>
      <c r="C102" t="s">
        <v>12</v>
      </c>
      <c r="D102" t="s">
        <v>17</v>
      </c>
      <c r="E102" t="s">
        <v>25</v>
      </c>
      <c r="F102">
        <v>2365.39</v>
      </c>
    </row>
    <row r="103" spans="1:6" x14ac:dyDescent="0.35">
      <c r="A103">
        <v>1110</v>
      </c>
      <c r="B103" s="4">
        <v>45433.375085336993</v>
      </c>
      <c r="C103" t="s">
        <v>6</v>
      </c>
      <c r="D103" t="s">
        <v>22</v>
      </c>
      <c r="E103" t="s">
        <v>25</v>
      </c>
      <c r="F103">
        <v>1214.3499999999999</v>
      </c>
    </row>
    <row r="104" spans="1:6" x14ac:dyDescent="0.35">
      <c r="A104">
        <v>1159</v>
      </c>
      <c r="B104" s="4">
        <v>45433.375085336993</v>
      </c>
      <c r="C104" t="s">
        <v>10</v>
      </c>
      <c r="D104" t="s">
        <v>22</v>
      </c>
      <c r="E104" t="s">
        <v>24</v>
      </c>
      <c r="F104">
        <v>6303.45</v>
      </c>
    </row>
    <row r="105" spans="1:6" x14ac:dyDescent="0.35">
      <c r="A105">
        <v>1000</v>
      </c>
      <c r="B105" s="4">
        <v>45434.375085336993</v>
      </c>
      <c r="C105" t="s">
        <v>10</v>
      </c>
      <c r="D105" t="s">
        <v>18</v>
      </c>
      <c r="E105" t="s">
        <v>23</v>
      </c>
      <c r="F105">
        <v>15024.97</v>
      </c>
    </row>
    <row r="106" spans="1:6" x14ac:dyDescent="0.35">
      <c r="A106">
        <v>1100</v>
      </c>
      <c r="B106" s="4">
        <v>45434.375085336993</v>
      </c>
      <c r="C106" t="s">
        <v>8</v>
      </c>
      <c r="D106" t="s">
        <v>19</v>
      </c>
      <c r="E106" t="s">
        <v>23</v>
      </c>
      <c r="F106">
        <v>10524.71</v>
      </c>
    </row>
    <row r="107" spans="1:6" x14ac:dyDescent="0.35">
      <c r="A107">
        <v>1061</v>
      </c>
      <c r="B107" s="4">
        <v>45435.375085336993</v>
      </c>
      <c r="C107" t="s">
        <v>11</v>
      </c>
      <c r="D107" t="s">
        <v>18</v>
      </c>
      <c r="E107" t="s">
        <v>24</v>
      </c>
      <c r="F107">
        <v>486.74</v>
      </c>
    </row>
    <row r="108" spans="1:6" x14ac:dyDescent="0.35">
      <c r="A108">
        <v>1280</v>
      </c>
      <c r="B108" s="4">
        <v>45435.375085336993</v>
      </c>
      <c r="C108" t="s">
        <v>7</v>
      </c>
      <c r="D108" t="s">
        <v>20</v>
      </c>
      <c r="E108" t="s">
        <v>23</v>
      </c>
      <c r="F108">
        <v>6320.2</v>
      </c>
    </row>
    <row r="109" spans="1:6" x14ac:dyDescent="0.35">
      <c r="A109">
        <v>1391</v>
      </c>
      <c r="B109" s="4">
        <v>45435.375085336993</v>
      </c>
      <c r="C109" t="s">
        <v>15</v>
      </c>
      <c r="D109" t="s">
        <v>20</v>
      </c>
      <c r="E109" t="s">
        <v>23</v>
      </c>
      <c r="F109">
        <v>392.84</v>
      </c>
    </row>
    <row r="110" spans="1:6" x14ac:dyDescent="0.35">
      <c r="A110">
        <v>1291</v>
      </c>
      <c r="B110" s="4">
        <v>45435.375085336993</v>
      </c>
      <c r="C110" t="s">
        <v>12</v>
      </c>
      <c r="D110" t="s">
        <v>18</v>
      </c>
      <c r="E110" t="s">
        <v>24</v>
      </c>
      <c r="F110">
        <v>6867.61</v>
      </c>
    </row>
    <row r="111" spans="1:6" x14ac:dyDescent="0.35">
      <c r="A111">
        <v>1351</v>
      </c>
      <c r="B111" s="4">
        <v>45435.375085336993</v>
      </c>
      <c r="C111" t="s">
        <v>9</v>
      </c>
      <c r="D111" t="s">
        <v>16</v>
      </c>
      <c r="E111" t="s">
        <v>23</v>
      </c>
      <c r="F111">
        <v>1129.3599999999999</v>
      </c>
    </row>
    <row r="112" spans="1:6" x14ac:dyDescent="0.35">
      <c r="A112">
        <v>1125</v>
      </c>
      <c r="B112" s="4">
        <v>45436.375085336993</v>
      </c>
      <c r="C112" t="s">
        <v>14</v>
      </c>
      <c r="D112" t="s">
        <v>21</v>
      </c>
      <c r="E112" t="s">
        <v>23</v>
      </c>
      <c r="F112">
        <v>3832.89</v>
      </c>
    </row>
    <row r="113" spans="1:6" x14ac:dyDescent="0.35">
      <c r="A113">
        <v>1160</v>
      </c>
      <c r="B113" s="4">
        <v>45436.375085336993</v>
      </c>
      <c r="C113" t="s">
        <v>9</v>
      </c>
      <c r="D113" t="s">
        <v>20</v>
      </c>
      <c r="E113" t="s">
        <v>23</v>
      </c>
      <c r="F113">
        <v>4273.7</v>
      </c>
    </row>
    <row r="114" spans="1:6" x14ac:dyDescent="0.35">
      <c r="A114">
        <v>1330</v>
      </c>
      <c r="B114" s="4">
        <v>45436.375085336993</v>
      </c>
      <c r="C114" t="s">
        <v>6</v>
      </c>
      <c r="D114" t="s">
        <v>17</v>
      </c>
      <c r="E114" t="s">
        <v>24</v>
      </c>
      <c r="F114">
        <v>5559.11</v>
      </c>
    </row>
    <row r="115" spans="1:6" x14ac:dyDescent="0.35">
      <c r="A115">
        <v>1144</v>
      </c>
      <c r="B115" s="4">
        <v>45436.375085336993</v>
      </c>
      <c r="C115" t="s">
        <v>10</v>
      </c>
      <c r="D115" t="s">
        <v>18</v>
      </c>
      <c r="E115" t="s">
        <v>23</v>
      </c>
      <c r="F115">
        <v>2814.91</v>
      </c>
    </row>
    <row r="116" spans="1:6" x14ac:dyDescent="0.35">
      <c r="A116">
        <v>1290</v>
      </c>
      <c r="B116" s="4">
        <v>45437.375085336993</v>
      </c>
      <c r="C116" t="s">
        <v>13</v>
      </c>
      <c r="D116" t="s">
        <v>17</v>
      </c>
      <c r="E116" t="s">
        <v>25</v>
      </c>
      <c r="F116">
        <v>1138</v>
      </c>
    </row>
    <row r="117" spans="1:6" x14ac:dyDescent="0.35">
      <c r="A117">
        <v>1347</v>
      </c>
      <c r="B117" s="4">
        <v>45437.375085336993</v>
      </c>
      <c r="C117" t="s">
        <v>14</v>
      </c>
      <c r="D117" t="s">
        <v>19</v>
      </c>
      <c r="E117" t="s">
        <v>25</v>
      </c>
      <c r="F117">
        <v>3435.46</v>
      </c>
    </row>
    <row r="118" spans="1:6" x14ac:dyDescent="0.35">
      <c r="A118">
        <v>1001</v>
      </c>
      <c r="B118" s="4">
        <v>45437.375085336993</v>
      </c>
      <c r="C118" t="s">
        <v>14</v>
      </c>
      <c r="D118" t="s">
        <v>22</v>
      </c>
      <c r="E118" t="s">
        <v>24</v>
      </c>
      <c r="F118">
        <v>7241.84</v>
      </c>
    </row>
    <row r="119" spans="1:6" x14ac:dyDescent="0.35">
      <c r="A119">
        <v>1117</v>
      </c>
      <c r="B119" s="4">
        <v>45438.375085336993</v>
      </c>
      <c r="C119" t="s">
        <v>10</v>
      </c>
      <c r="D119" t="s">
        <v>22</v>
      </c>
      <c r="E119" t="s">
        <v>25</v>
      </c>
      <c r="F119">
        <v>4032.32</v>
      </c>
    </row>
    <row r="120" spans="1:6" x14ac:dyDescent="0.35">
      <c r="A120">
        <v>1336</v>
      </c>
      <c r="B120" s="4">
        <v>45438.375085336993</v>
      </c>
      <c r="C120" t="s">
        <v>13</v>
      </c>
      <c r="D120" t="s">
        <v>16</v>
      </c>
      <c r="E120" t="s">
        <v>24</v>
      </c>
      <c r="F120">
        <v>7972.8</v>
      </c>
    </row>
    <row r="121" spans="1:6" x14ac:dyDescent="0.35">
      <c r="A121">
        <v>1110</v>
      </c>
      <c r="B121" s="4">
        <v>45439.375085336993</v>
      </c>
      <c r="C121" t="s">
        <v>8</v>
      </c>
      <c r="D121" t="s">
        <v>16</v>
      </c>
      <c r="E121" t="s">
        <v>24</v>
      </c>
      <c r="F121">
        <v>12599.54</v>
      </c>
    </row>
    <row r="122" spans="1:6" x14ac:dyDescent="0.35">
      <c r="A122">
        <v>1216</v>
      </c>
      <c r="B122" s="4">
        <v>45440.375085336993</v>
      </c>
      <c r="C122" t="s">
        <v>8</v>
      </c>
      <c r="D122" t="s">
        <v>16</v>
      </c>
      <c r="E122" t="s">
        <v>24</v>
      </c>
      <c r="F122">
        <v>2206.52</v>
      </c>
    </row>
    <row r="123" spans="1:6" x14ac:dyDescent="0.35">
      <c r="A123">
        <v>1370</v>
      </c>
      <c r="B123" s="4">
        <v>45440.375085336993</v>
      </c>
      <c r="C123" t="s">
        <v>15</v>
      </c>
      <c r="D123" t="s">
        <v>18</v>
      </c>
      <c r="E123" t="s">
        <v>23</v>
      </c>
      <c r="F123">
        <v>1897.84</v>
      </c>
    </row>
    <row r="124" spans="1:6" x14ac:dyDescent="0.35">
      <c r="A124">
        <v>1124</v>
      </c>
      <c r="B124" s="4">
        <v>45440.375085336993</v>
      </c>
      <c r="C124" t="s">
        <v>12</v>
      </c>
      <c r="D124" t="s">
        <v>17</v>
      </c>
      <c r="E124" t="s">
        <v>23</v>
      </c>
      <c r="F124">
        <v>8891</v>
      </c>
    </row>
    <row r="125" spans="1:6" x14ac:dyDescent="0.35">
      <c r="A125">
        <v>1286</v>
      </c>
      <c r="B125" s="4">
        <v>45441.375085336993</v>
      </c>
      <c r="C125" t="s">
        <v>8</v>
      </c>
      <c r="D125" t="s">
        <v>16</v>
      </c>
      <c r="E125" t="s">
        <v>23</v>
      </c>
      <c r="F125">
        <v>5758.48</v>
      </c>
    </row>
    <row r="126" spans="1:6" x14ac:dyDescent="0.35">
      <c r="A126">
        <v>1263</v>
      </c>
      <c r="B126" s="4">
        <v>45443.375085336993</v>
      </c>
      <c r="C126" t="s">
        <v>14</v>
      </c>
      <c r="D126" t="s">
        <v>19</v>
      </c>
      <c r="E126" t="s">
        <v>25</v>
      </c>
      <c r="F126">
        <v>1230.45</v>
      </c>
    </row>
    <row r="127" spans="1:6" x14ac:dyDescent="0.35">
      <c r="A127">
        <v>1037</v>
      </c>
      <c r="B127" s="4">
        <v>45443.375085336993</v>
      </c>
      <c r="C127" t="s">
        <v>8</v>
      </c>
      <c r="D127" t="s">
        <v>18</v>
      </c>
      <c r="E127" t="s">
        <v>25</v>
      </c>
      <c r="F127">
        <v>10927.78</v>
      </c>
    </row>
    <row r="128" spans="1:6" x14ac:dyDescent="0.35">
      <c r="A128">
        <v>1327</v>
      </c>
      <c r="B128" s="4">
        <v>45443.375085336993</v>
      </c>
      <c r="C128" t="s">
        <v>12</v>
      </c>
      <c r="D128" t="s">
        <v>16</v>
      </c>
      <c r="E128" t="s">
        <v>23</v>
      </c>
      <c r="F128">
        <v>11499.81</v>
      </c>
    </row>
    <row r="129" spans="1:6" x14ac:dyDescent="0.35">
      <c r="A129">
        <v>1044</v>
      </c>
      <c r="B129" s="4">
        <v>45444.375085336993</v>
      </c>
      <c r="C129" t="s">
        <v>12</v>
      </c>
      <c r="D129" t="s">
        <v>17</v>
      </c>
      <c r="E129" t="s">
        <v>25</v>
      </c>
      <c r="F129">
        <v>2231.15</v>
      </c>
    </row>
    <row r="130" spans="1:6" x14ac:dyDescent="0.35">
      <c r="A130">
        <v>1186</v>
      </c>
      <c r="B130" s="4">
        <v>45444.375085336993</v>
      </c>
      <c r="C130" t="s">
        <v>9</v>
      </c>
      <c r="D130" t="s">
        <v>21</v>
      </c>
      <c r="E130" t="s">
        <v>23</v>
      </c>
      <c r="F130">
        <v>2515.79</v>
      </c>
    </row>
    <row r="131" spans="1:6" x14ac:dyDescent="0.35">
      <c r="A131">
        <v>1217</v>
      </c>
      <c r="B131" s="4">
        <v>45444.375085336993</v>
      </c>
      <c r="C131" t="s">
        <v>9</v>
      </c>
      <c r="D131" t="s">
        <v>18</v>
      </c>
      <c r="E131" t="s">
        <v>24</v>
      </c>
      <c r="F131">
        <v>5946.52</v>
      </c>
    </row>
    <row r="132" spans="1:6" x14ac:dyDescent="0.35">
      <c r="A132">
        <v>1327</v>
      </c>
      <c r="B132" s="4">
        <v>45444.375085336993</v>
      </c>
      <c r="C132" t="s">
        <v>9</v>
      </c>
      <c r="D132" t="s">
        <v>19</v>
      </c>
      <c r="E132" t="s">
        <v>24</v>
      </c>
      <c r="F132">
        <v>995.45</v>
      </c>
    </row>
    <row r="133" spans="1:6" x14ac:dyDescent="0.35">
      <c r="A133">
        <v>1122</v>
      </c>
      <c r="B133" s="4">
        <v>45445.375085336993</v>
      </c>
      <c r="C133" t="s">
        <v>9</v>
      </c>
      <c r="D133" t="s">
        <v>17</v>
      </c>
      <c r="E133" t="s">
        <v>23</v>
      </c>
      <c r="F133">
        <v>3059.18</v>
      </c>
    </row>
    <row r="134" spans="1:6" x14ac:dyDescent="0.35">
      <c r="A134">
        <v>1318</v>
      </c>
      <c r="B134" s="4">
        <v>45445.375085336993</v>
      </c>
      <c r="C134" t="s">
        <v>6</v>
      </c>
      <c r="D134" t="s">
        <v>19</v>
      </c>
      <c r="E134" t="s">
        <v>24</v>
      </c>
      <c r="F134">
        <v>3446.54</v>
      </c>
    </row>
    <row r="135" spans="1:6" x14ac:dyDescent="0.35">
      <c r="A135">
        <v>1227</v>
      </c>
      <c r="B135" s="4">
        <v>45445.375085336993</v>
      </c>
      <c r="C135" t="s">
        <v>6</v>
      </c>
      <c r="D135" t="s">
        <v>22</v>
      </c>
      <c r="E135" t="s">
        <v>25</v>
      </c>
      <c r="F135">
        <v>6166.78</v>
      </c>
    </row>
    <row r="136" spans="1:6" x14ac:dyDescent="0.35">
      <c r="A136">
        <v>1304</v>
      </c>
      <c r="B136" s="4">
        <v>45445.375085336993</v>
      </c>
      <c r="C136" t="s">
        <v>12</v>
      </c>
      <c r="D136" t="s">
        <v>21</v>
      </c>
      <c r="E136" t="s">
        <v>24</v>
      </c>
      <c r="F136">
        <v>1825.58</v>
      </c>
    </row>
    <row r="137" spans="1:6" x14ac:dyDescent="0.35">
      <c r="A137">
        <v>1266</v>
      </c>
      <c r="B137" s="4">
        <v>45445.375085336993</v>
      </c>
      <c r="C137" t="s">
        <v>12</v>
      </c>
      <c r="D137" t="s">
        <v>18</v>
      </c>
      <c r="E137" t="s">
        <v>25</v>
      </c>
      <c r="F137">
        <v>2909.8</v>
      </c>
    </row>
    <row r="138" spans="1:6" x14ac:dyDescent="0.35">
      <c r="A138">
        <v>1343</v>
      </c>
      <c r="B138" s="4">
        <v>45446.375085336993</v>
      </c>
      <c r="C138" t="s">
        <v>7</v>
      </c>
      <c r="D138" t="s">
        <v>18</v>
      </c>
      <c r="E138" t="s">
        <v>23</v>
      </c>
      <c r="F138">
        <v>1907.43</v>
      </c>
    </row>
    <row r="139" spans="1:6" x14ac:dyDescent="0.35">
      <c r="A139">
        <v>1253</v>
      </c>
      <c r="B139" s="4">
        <v>45446.375085336993</v>
      </c>
      <c r="C139" t="s">
        <v>12</v>
      </c>
      <c r="D139" t="s">
        <v>20</v>
      </c>
      <c r="E139" t="s">
        <v>24</v>
      </c>
      <c r="F139">
        <v>7166.5</v>
      </c>
    </row>
    <row r="140" spans="1:6" x14ac:dyDescent="0.35">
      <c r="A140">
        <v>1018</v>
      </c>
      <c r="B140" s="4">
        <v>45446.375085336993</v>
      </c>
      <c r="C140" t="s">
        <v>7</v>
      </c>
      <c r="D140" t="s">
        <v>17</v>
      </c>
      <c r="E140" t="s">
        <v>24</v>
      </c>
      <c r="F140">
        <v>443.07</v>
      </c>
    </row>
    <row r="141" spans="1:6" x14ac:dyDescent="0.35">
      <c r="A141">
        <v>1094</v>
      </c>
      <c r="B141" s="4">
        <v>45446.375085336993</v>
      </c>
      <c r="C141" t="s">
        <v>9</v>
      </c>
      <c r="D141" t="s">
        <v>20</v>
      </c>
      <c r="E141" t="s">
        <v>25</v>
      </c>
      <c r="F141">
        <v>6162.83</v>
      </c>
    </row>
    <row r="142" spans="1:6" x14ac:dyDescent="0.35">
      <c r="A142">
        <v>1340</v>
      </c>
      <c r="B142" s="4">
        <v>45446.375085336993</v>
      </c>
      <c r="C142" t="s">
        <v>14</v>
      </c>
      <c r="D142" t="s">
        <v>22</v>
      </c>
      <c r="E142" t="s">
        <v>23</v>
      </c>
      <c r="F142">
        <v>389.12</v>
      </c>
    </row>
    <row r="143" spans="1:6" x14ac:dyDescent="0.35">
      <c r="A143">
        <v>1398</v>
      </c>
      <c r="B143" s="4">
        <v>45446.375085336993</v>
      </c>
      <c r="C143" t="s">
        <v>14</v>
      </c>
      <c r="D143" t="s">
        <v>19</v>
      </c>
      <c r="E143" t="s">
        <v>23</v>
      </c>
      <c r="F143">
        <v>5843.07</v>
      </c>
    </row>
    <row r="144" spans="1:6" x14ac:dyDescent="0.35">
      <c r="A144">
        <v>1038</v>
      </c>
      <c r="B144" s="4">
        <v>45446.375085336993</v>
      </c>
      <c r="C144" t="s">
        <v>9</v>
      </c>
      <c r="D144" t="s">
        <v>19</v>
      </c>
      <c r="E144" t="s">
        <v>25</v>
      </c>
      <c r="F144">
        <v>5942.58</v>
      </c>
    </row>
    <row r="145" spans="1:6" x14ac:dyDescent="0.35">
      <c r="A145">
        <v>1041</v>
      </c>
      <c r="B145" s="4">
        <v>45447.375085336993</v>
      </c>
      <c r="C145" t="s">
        <v>14</v>
      </c>
      <c r="D145" t="s">
        <v>18</v>
      </c>
      <c r="E145" t="s">
        <v>24</v>
      </c>
      <c r="F145">
        <v>1503.57</v>
      </c>
    </row>
    <row r="146" spans="1:6" x14ac:dyDescent="0.35">
      <c r="A146">
        <v>1192</v>
      </c>
      <c r="B146" s="4">
        <v>45448.375085336993</v>
      </c>
      <c r="C146" t="s">
        <v>7</v>
      </c>
      <c r="D146" t="s">
        <v>20</v>
      </c>
      <c r="E146" t="s">
        <v>25</v>
      </c>
      <c r="F146">
        <v>6685.87</v>
      </c>
    </row>
    <row r="147" spans="1:6" x14ac:dyDescent="0.35">
      <c r="A147">
        <v>1230</v>
      </c>
      <c r="B147" s="4">
        <v>45448.375085336993</v>
      </c>
      <c r="C147" t="s">
        <v>9</v>
      </c>
      <c r="D147" t="s">
        <v>21</v>
      </c>
      <c r="E147" t="s">
        <v>24</v>
      </c>
      <c r="F147">
        <v>6447.82</v>
      </c>
    </row>
    <row r="148" spans="1:6" x14ac:dyDescent="0.35">
      <c r="A148">
        <v>1203</v>
      </c>
      <c r="B148" s="4">
        <v>45448.375085336993</v>
      </c>
      <c r="C148" t="s">
        <v>9</v>
      </c>
      <c r="D148" t="s">
        <v>17</v>
      </c>
      <c r="E148" t="s">
        <v>25</v>
      </c>
      <c r="F148">
        <v>1201.46</v>
      </c>
    </row>
    <row r="149" spans="1:6" x14ac:dyDescent="0.35">
      <c r="A149">
        <v>1164</v>
      </c>
      <c r="B149" s="4">
        <v>45448.375085336993</v>
      </c>
      <c r="C149" t="s">
        <v>14</v>
      </c>
      <c r="D149" t="s">
        <v>20</v>
      </c>
      <c r="E149" t="s">
        <v>25</v>
      </c>
      <c r="F149">
        <v>6979.66</v>
      </c>
    </row>
    <row r="150" spans="1:6" x14ac:dyDescent="0.35">
      <c r="A150">
        <v>1142</v>
      </c>
      <c r="B150" s="4">
        <v>45449.375085336993</v>
      </c>
      <c r="C150" t="s">
        <v>9</v>
      </c>
      <c r="D150" t="s">
        <v>22</v>
      </c>
      <c r="E150" t="s">
        <v>23</v>
      </c>
      <c r="F150">
        <v>3862.76</v>
      </c>
    </row>
    <row r="151" spans="1:6" x14ac:dyDescent="0.35">
      <c r="A151">
        <v>1197</v>
      </c>
      <c r="B151" s="4">
        <v>45449.375085336993</v>
      </c>
      <c r="C151" t="s">
        <v>15</v>
      </c>
      <c r="D151" t="s">
        <v>16</v>
      </c>
      <c r="E151" t="s">
        <v>25</v>
      </c>
      <c r="F151">
        <v>3260.65</v>
      </c>
    </row>
    <row r="152" spans="1:6" x14ac:dyDescent="0.35">
      <c r="A152">
        <v>1309</v>
      </c>
      <c r="B152" s="4">
        <v>45449.375085336993</v>
      </c>
      <c r="C152" t="s">
        <v>15</v>
      </c>
      <c r="D152" t="s">
        <v>20</v>
      </c>
      <c r="E152" t="s">
        <v>25</v>
      </c>
      <c r="F152">
        <v>5996.76</v>
      </c>
    </row>
    <row r="153" spans="1:6" x14ac:dyDescent="0.35">
      <c r="A153">
        <v>1212</v>
      </c>
      <c r="B153" s="4">
        <v>45449.375085336993</v>
      </c>
      <c r="C153" t="s">
        <v>14</v>
      </c>
      <c r="D153" t="s">
        <v>19</v>
      </c>
      <c r="E153" t="s">
        <v>25</v>
      </c>
      <c r="F153">
        <v>410.07</v>
      </c>
    </row>
    <row r="154" spans="1:6" x14ac:dyDescent="0.35">
      <c r="A154">
        <v>1373</v>
      </c>
      <c r="B154" s="4">
        <v>45449.375085336993</v>
      </c>
      <c r="C154" t="s">
        <v>10</v>
      </c>
      <c r="D154" t="s">
        <v>20</v>
      </c>
      <c r="E154" t="s">
        <v>25</v>
      </c>
      <c r="F154">
        <v>3441.29</v>
      </c>
    </row>
    <row r="155" spans="1:6" x14ac:dyDescent="0.35">
      <c r="A155">
        <v>1170</v>
      </c>
      <c r="B155" s="4">
        <v>45449.375085336993</v>
      </c>
      <c r="C155" t="s">
        <v>6</v>
      </c>
      <c r="D155" t="s">
        <v>19</v>
      </c>
      <c r="E155" t="s">
        <v>24</v>
      </c>
      <c r="F155">
        <v>4475.55</v>
      </c>
    </row>
    <row r="156" spans="1:6" x14ac:dyDescent="0.35">
      <c r="A156">
        <v>1205</v>
      </c>
      <c r="B156" s="4">
        <v>45450.375085336993</v>
      </c>
      <c r="C156" t="s">
        <v>10</v>
      </c>
      <c r="D156" t="s">
        <v>19</v>
      </c>
      <c r="E156" t="s">
        <v>23</v>
      </c>
      <c r="F156">
        <v>8411.81</v>
      </c>
    </row>
    <row r="157" spans="1:6" x14ac:dyDescent="0.35">
      <c r="A157">
        <v>1127</v>
      </c>
      <c r="B157" s="4">
        <v>45450.375085336993</v>
      </c>
      <c r="C157" t="s">
        <v>8</v>
      </c>
      <c r="D157" t="s">
        <v>20</v>
      </c>
      <c r="E157" t="s">
        <v>24</v>
      </c>
      <c r="F157">
        <v>7614.89</v>
      </c>
    </row>
    <row r="158" spans="1:6" x14ac:dyDescent="0.35">
      <c r="A158">
        <v>1257</v>
      </c>
      <c r="B158" s="4">
        <v>45450.375085336993</v>
      </c>
      <c r="C158" t="s">
        <v>8</v>
      </c>
      <c r="D158" t="s">
        <v>20</v>
      </c>
      <c r="E158" t="s">
        <v>23</v>
      </c>
      <c r="F158">
        <v>55.04</v>
      </c>
    </row>
    <row r="159" spans="1:6" x14ac:dyDescent="0.35">
      <c r="A159">
        <v>1389</v>
      </c>
      <c r="B159" s="4">
        <v>45450.375085336993</v>
      </c>
      <c r="C159" t="s">
        <v>8</v>
      </c>
      <c r="D159" t="s">
        <v>20</v>
      </c>
      <c r="E159" t="s">
        <v>24</v>
      </c>
      <c r="F159">
        <v>8002.28</v>
      </c>
    </row>
    <row r="160" spans="1:6" x14ac:dyDescent="0.35">
      <c r="A160">
        <v>1254</v>
      </c>
      <c r="B160" s="4">
        <v>45450.375085336993</v>
      </c>
      <c r="C160" t="s">
        <v>9</v>
      </c>
      <c r="D160" t="s">
        <v>18</v>
      </c>
      <c r="E160" t="s">
        <v>25</v>
      </c>
      <c r="F160">
        <v>3100.95</v>
      </c>
    </row>
    <row r="161" spans="1:6" x14ac:dyDescent="0.35">
      <c r="A161">
        <v>1244</v>
      </c>
      <c r="B161" s="4">
        <v>45451.375085336993</v>
      </c>
      <c r="C161" t="s">
        <v>6</v>
      </c>
      <c r="D161" t="s">
        <v>16</v>
      </c>
      <c r="E161" t="s">
        <v>24</v>
      </c>
      <c r="F161">
        <v>1873.14</v>
      </c>
    </row>
    <row r="162" spans="1:6" x14ac:dyDescent="0.35">
      <c r="A162">
        <v>1318</v>
      </c>
      <c r="B162" s="4">
        <v>45452.375085336993</v>
      </c>
      <c r="C162" t="s">
        <v>7</v>
      </c>
      <c r="D162" t="s">
        <v>22</v>
      </c>
      <c r="E162" t="s">
        <v>24</v>
      </c>
      <c r="F162">
        <v>2171.9</v>
      </c>
    </row>
    <row r="163" spans="1:6" x14ac:dyDescent="0.35">
      <c r="A163">
        <v>1050</v>
      </c>
      <c r="B163" s="4">
        <v>45452.375085336993</v>
      </c>
      <c r="C163" t="s">
        <v>9</v>
      </c>
      <c r="D163" t="s">
        <v>19</v>
      </c>
      <c r="E163" t="s">
        <v>23</v>
      </c>
      <c r="F163">
        <v>437.69</v>
      </c>
    </row>
    <row r="164" spans="1:6" x14ac:dyDescent="0.35">
      <c r="A164">
        <v>1276</v>
      </c>
      <c r="B164" s="4">
        <v>45452.375085336993</v>
      </c>
      <c r="C164" t="s">
        <v>13</v>
      </c>
      <c r="D164" t="s">
        <v>18</v>
      </c>
      <c r="E164" t="s">
        <v>24</v>
      </c>
      <c r="F164">
        <v>1971.22</v>
      </c>
    </row>
    <row r="165" spans="1:6" x14ac:dyDescent="0.35">
      <c r="A165">
        <v>1262</v>
      </c>
      <c r="B165" s="4">
        <v>45452.375085336993</v>
      </c>
      <c r="C165" t="s">
        <v>8</v>
      </c>
      <c r="D165" t="s">
        <v>21</v>
      </c>
      <c r="E165" t="s">
        <v>23</v>
      </c>
      <c r="F165">
        <v>1366.83</v>
      </c>
    </row>
    <row r="166" spans="1:6" x14ac:dyDescent="0.35">
      <c r="A166">
        <v>1359</v>
      </c>
      <c r="B166" s="4">
        <v>45452.375085336993</v>
      </c>
      <c r="C166" t="s">
        <v>12</v>
      </c>
      <c r="D166" t="s">
        <v>21</v>
      </c>
      <c r="E166" t="s">
        <v>23</v>
      </c>
      <c r="F166">
        <v>1046.7</v>
      </c>
    </row>
    <row r="167" spans="1:6" x14ac:dyDescent="0.35">
      <c r="A167">
        <v>1152</v>
      </c>
      <c r="B167" s="4">
        <v>45453.375085336993</v>
      </c>
      <c r="C167" t="s">
        <v>7</v>
      </c>
      <c r="D167" t="s">
        <v>17</v>
      </c>
      <c r="E167" t="s">
        <v>25</v>
      </c>
      <c r="F167">
        <v>2179.54</v>
      </c>
    </row>
    <row r="168" spans="1:6" x14ac:dyDescent="0.35">
      <c r="A168">
        <v>1010</v>
      </c>
      <c r="B168" s="4">
        <v>45453.375085336993</v>
      </c>
      <c r="C168" t="s">
        <v>8</v>
      </c>
      <c r="D168" t="s">
        <v>18</v>
      </c>
      <c r="E168" t="s">
        <v>24</v>
      </c>
      <c r="F168">
        <v>4735.92</v>
      </c>
    </row>
    <row r="169" spans="1:6" x14ac:dyDescent="0.35">
      <c r="A169">
        <v>1196</v>
      </c>
      <c r="B169" s="4">
        <v>45453.375085336993</v>
      </c>
      <c r="C169" t="s">
        <v>15</v>
      </c>
      <c r="D169" t="s">
        <v>22</v>
      </c>
      <c r="E169" t="s">
        <v>25</v>
      </c>
      <c r="F169">
        <v>6094.64</v>
      </c>
    </row>
    <row r="170" spans="1:6" x14ac:dyDescent="0.35">
      <c r="A170">
        <v>1001</v>
      </c>
      <c r="B170" s="4">
        <v>45453.375085336993</v>
      </c>
      <c r="C170" t="s">
        <v>13</v>
      </c>
      <c r="D170" t="s">
        <v>19</v>
      </c>
      <c r="E170" t="s">
        <v>24</v>
      </c>
      <c r="F170">
        <v>7329.48</v>
      </c>
    </row>
    <row r="171" spans="1:6" x14ac:dyDescent="0.35">
      <c r="A171">
        <v>1268</v>
      </c>
      <c r="B171" s="4">
        <v>45453.375085336993</v>
      </c>
      <c r="C171" t="s">
        <v>7</v>
      </c>
      <c r="D171" t="s">
        <v>18</v>
      </c>
      <c r="E171" t="s">
        <v>23</v>
      </c>
      <c r="F171">
        <v>4684.7299999999996</v>
      </c>
    </row>
    <row r="172" spans="1:6" x14ac:dyDescent="0.35">
      <c r="A172">
        <v>1095</v>
      </c>
      <c r="B172" s="4">
        <v>45454.375085336993</v>
      </c>
      <c r="C172" t="s">
        <v>11</v>
      </c>
      <c r="D172" t="s">
        <v>16</v>
      </c>
      <c r="E172" t="s">
        <v>23</v>
      </c>
      <c r="F172">
        <v>1903.07</v>
      </c>
    </row>
    <row r="173" spans="1:6" x14ac:dyDescent="0.35">
      <c r="A173">
        <v>1301</v>
      </c>
      <c r="B173" s="4">
        <v>45454.375085336993</v>
      </c>
      <c r="C173" t="s">
        <v>7</v>
      </c>
      <c r="D173" t="s">
        <v>17</v>
      </c>
      <c r="E173" t="s">
        <v>23</v>
      </c>
      <c r="F173">
        <v>3279.15</v>
      </c>
    </row>
    <row r="174" spans="1:6" x14ac:dyDescent="0.35">
      <c r="A174">
        <v>1023</v>
      </c>
      <c r="B174" s="4">
        <v>45454.375085336993</v>
      </c>
      <c r="C174" t="s">
        <v>14</v>
      </c>
      <c r="D174" t="s">
        <v>17</v>
      </c>
      <c r="E174" t="s">
        <v>24</v>
      </c>
      <c r="F174">
        <v>4175.9399999999996</v>
      </c>
    </row>
    <row r="175" spans="1:6" x14ac:dyDescent="0.35">
      <c r="A175">
        <v>1205</v>
      </c>
      <c r="B175" s="4">
        <v>45454.375085336993</v>
      </c>
      <c r="C175" t="s">
        <v>15</v>
      </c>
      <c r="D175" t="s">
        <v>17</v>
      </c>
      <c r="E175" t="s">
        <v>23</v>
      </c>
      <c r="F175">
        <v>2890.76</v>
      </c>
    </row>
    <row r="176" spans="1:6" x14ac:dyDescent="0.35">
      <c r="A176">
        <v>1188</v>
      </c>
      <c r="B176" s="4">
        <v>45454.375085336993</v>
      </c>
      <c r="C176" t="s">
        <v>12</v>
      </c>
      <c r="D176" t="s">
        <v>16</v>
      </c>
      <c r="E176" t="s">
        <v>24</v>
      </c>
      <c r="F176">
        <v>5260.45</v>
      </c>
    </row>
    <row r="177" spans="1:6" x14ac:dyDescent="0.35">
      <c r="A177">
        <v>1228</v>
      </c>
      <c r="B177" s="4">
        <v>45454.375085336993</v>
      </c>
      <c r="C177" t="s">
        <v>15</v>
      </c>
      <c r="D177" t="s">
        <v>22</v>
      </c>
      <c r="E177" t="s">
        <v>24</v>
      </c>
      <c r="F177">
        <v>6021.4</v>
      </c>
    </row>
    <row r="178" spans="1:6" x14ac:dyDescent="0.35">
      <c r="A178">
        <v>1077</v>
      </c>
      <c r="B178" s="4">
        <v>45454.375085336993</v>
      </c>
      <c r="C178" t="s">
        <v>6</v>
      </c>
      <c r="D178" t="s">
        <v>20</v>
      </c>
      <c r="E178" t="s">
        <v>23</v>
      </c>
      <c r="F178">
        <v>4427.26</v>
      </c>
    </row>
    <row r="179" spans="1:6" x14ac:dyDescent="0.35">
      <c r="A179">
        <v>1351</v>
      </c>
      <c r="B179" s="4">
        <v>45455.375085336993</v>
      </c>
      <c r="C179" t="s">
        <v>10</v>
      </c>
      <c r="D179" t="s">
        <v>16</v>
      </c>
      <c r="E179" t="s">
        <v>25</v>
      </c>
      <c r="F179">
        <v>7983.15</v>
      </c>
    </row>
    <row r="180" spans="1:6" x14ac:dyDescent="0.35">
      <c r="A180">
        <v>1187</v>
      </c>
      <c r="B180" s="4">
        <v>45455.375085336993</v>
      </c>
      <c r="C180" t="s">
        <v>7</v>
      </c>
      <c r="D180" t="s">
        <v>20</v>
      </c>
      <c r="E180" t="s">
        <v>25</v>
      </c>
      <c r="F180">
        <v>6304.55</v>
      </c>
    </row>
    <row r="181" spans="1:6" x14ac:dyDescent="0.35">
      <c r="A181">
        <v>1352</v>
      </c>
      <c r="B181" s="4">
        <v>45455.375085336993</v>
      </c>
      <c r="C181" t="s">
        <v>7</v>
      </c>
      <c r="D181" t="s">
        <v>21</v>
      </c>
      <c r="E181" t="s">
        <v>24</v>
      </c>
      <c r="F181">
        <v>8482.3700000000008</v>
      </c>
    </row>
    <row r="182" spans="1:6" x14ac:dyDescent="0.35">
      <c r="A182">
        <v>1383</v>
      </c>
      <c r="B182" s="4">
        <v>45455.375085336993</v>
      </c>
      <c r="C182" t="s">
        <v>7</v>
      </c>
      <c r="D182" t="s">
        <v>16</v>
      </c>
      <c r="E182" t="s">
        <v>23</v>
      </c>
      <c r="F182">
        <v>5043.3999999999996</v>
      </c>
    </row>
    <row r="183" spans="1:6" x14ac:dyDescent="0.35">
      <c r="A183">
        <v>1200</v>
      </c>
      <c r="B183" s="4">
        <v>45455.375085336993</v>
      </c>
      <c r="C183" t="s">
        <v>15</v>
      </c>
      <c r="D183" t="s">
        <v>20</v>
      </c>
      <c r="E183" t="s">
        <v>23</v>
      </c>
      <c r="F183">
        <v>4248.8999999999996</v>
      </c>
    </row>
    <row r="184" spans="1:6" x14ac:dyDescent="0.35">
      <c r="A184">
        <v>1315</v>
      </c>
      <c r="B184" s="4">
        <v>45455.375085336993</v>
      </c>
      <c r="C184" t="s">
        <v>9</v>
      </c>
      <c r="D184" t="s">
        <v>18</v>
      </c>
      <c r="E184" t="s">
        <v>24</v>
      </c>
      <c r="F184">
        <v>4703.8100000000004</v>
      </c>
    </row>
    <row r="185" spans="1:6" x14ac:dyDescent="0.35">
      <c r="A185">
        <v>1039</v>
      </c>
      <c r="B185" s="4">
        <v>45457.375085336993</v>
      </c>
      <c r="C185" t="s">
        <v>13</v>
      </c>
      <c r="D185" t="s">
        <v>20</v>
      </c>
      <c r="E185" t="s">
        <v>25</v>
      </c>
      <c r="F185">
        <v>3211.08</v>
      </c>
    </row>
    <row r="186" spans="1:6" x14ac:dyDescent="0.35">
      <c r="A186">
        <v>1033</v>
      </c>
      <c r="B186" s="4">
        <v>45458.375085336993</v>
      </c>
      <c r="C186" t="s">
        <v>11</v>
      </c>
      <c r="D186" t="s">
        <v>18</v>
      </c>
      <c r="E186" t="s">
        <v>24</v>
      </c>
      <c r="F186">
        <v>4203.72</v>
      </c>
    </row>
    <row r="187" spans="1:6" x14ac:dyDescent="0.35">
      <c r="A187">
        <v>1183</v>
      </c>
      <c r="B187" s="4">
        <v>45458.375085336993</v>
      </c>
      <c r="C187" t="s">
        <v>15</v>
      </c>
      <c r="D187" t="s">
        <v>16</v>
      </c>
      <c r="E187" t="s">
        <v>23</v>
      </c>
      <c r="F187">
        <v>5398.96</v>
      </c>
    </row>
    <row r="188" spans="1:6" x14ac:dyDescent="0.35">
      <c r="A188">
        <v>1069</v>
      </c>
      <c r="B188" s="4">
        <v>45458.375085336993</v>
      </c>
      <c r="C188" t="s">
        <v>13</v>
      </c>
      <c r="D188" t="s">
        <v>17</v>
      </c>
      <c r="E188" t="s">
        <v>23</v>
      </c>
      <c r="F188">
        <v>3793.51</v>
      </c>
    </row>
    <row r="189" spans="1:6" x14ac:dyDescent="0.35">
      <c r="A189">
        <v>1270</v>
      </c>
      <c r="B189" s="4">
        <v>45458.375085336993</v>
      </c>
      <c r="C189" t="s">
        <v>12</v>
      </c>
      <c r="D189" t="s">
        <v>18</v>
      </c>
      <c r="E189" t="s">
        <v>23</v>
      </c>
      <c r="F189">
        <v>1619.62</v>
      </c>
    </row>
    <row r="190" spans="1:6" x14ac:dyDescent="0.35">
      <c r="A190">
        <v>1265</v>
      </c>
      <c r="B190" s="4">
        <v>45459.375085336993</v>
      </c>
      <c r="C190" t="s">
        <v>6</v>
      </c>
      <c r="D190" t="s">
        <v>20</v>
      </c>
      <c r="E190" t="s">
        <v>23</v>
      </c>
      <c r="F190">
        <v>1668.24</v>
      </c>
    </row>
    <row r="191" spans="1:6" x14ac:dyDescent="0.35">
      <c r="A191">
        <v>1173</v>
      </c>
      <c r="B191" s="4">
        <v>45459.375085336993</v>
      </c>
      <c r="C191" t="s">
        <v>10</v>
      </c>
      <c r="D191" t="s">
        <v>19</v>
      </c>
      <c r="E191" t="s">
        <v>25</v>
      </c>
      <c r="F191">
        <v>4757.49</v>
      </c>
    </row>
    <row r="192" spans="1:6" x14ac:dyDescent="0.35">
      <c r="A192">
        <v>1152</v>
      </c>
      <c r="B192" s="4">
        <v>45459.375085336993</v>
      </c>
      <c r="C192" t="s">
        <v>13</v>
      </c>
      <c r="D192" t="s">
        <v>17</v>
      </c>
      <c r="E192" t="s">
        <v>25</v>
      </c>
      <c r="F192">
        <v>3621.72</v>
      </c>
    </row>
    <row r="193" spans="1:6" x14ac:dyDescent="0.35">
      <c r="A193">
        <v>1288</v>
      </c>
      <c r="B193" s="4">
        <v>45459.375085336993</v>
      </c>
      <c r="C193" t="s">
        <v>12</v>
      </c>
      <c r="D193" t="s">
        <v>18</v>
      </c>
      <c r="E193" t="s">
        <v>25</v>
      </c>
      <c r="F193">
        <v>4471.75</v>
      </c>
    </row>
    <row r="194" spans="1:6" x14ac:dyDescent="0.35">
      <c r="A194">
        <v>1102</v>
      </c>
      <c r="B194" s="4">
        <v>45460.375085336993</v>
      </c>
      <c r="C194" t="s">
        <v>6</v>
      </c>
      <c r="D194" t="s">
        <v>18</v>
      </c>
      <c r="E194" t="s">
        <v>23</v>
      </c>
      <c r="F194">
        <v>2162.16</v>
      </c>
    </row>
    <row r="195" spans="1:6" x14ac:dyDescent="0.35">
      <c r="A195">
        <v>1323</v>
      </c>
      <c r="B195" s="4">
        <v>45460.375085336993</v>
      </c>
      <c r="C195" t="s">
        <v>6</v>
      </c>
      <c r="D195" t="s">
        <v>17</v>
      </c>
      <c r="E195" t="s">
        <v>24</v>
      </c>
      <c r="F195">
        <v>423.83</v>
      </c>
    </row>
    <row r="196" spans="1:6" x14ac:dyDescent="0.35">
      <c r="A196">
        <v>1113</v>
      </c>
      <c r="B196" s="4">
        <v>45461.375085336993</v>
      </c>
      <c r="C196" t="s">
        <v>12</v>
      </c>
      <c r="D196" t="s">
        <v>16</v>
      </c>
      <c r="E196" t="s">
        <v>25</v>
      </c>
      <c r="F196">
        <v>1877.81</v>
      </c>
    </row>
    <row r="197" spans="1:6" x14ac:dyDescent="0.35">
      <c r="A197">
        <v>1109</v>
      </c>
      <c r="B197" s="4">
        <v>45461.375085336993</v>
      </c>
      <c r="C197" t="s">
        <v>9</v>
      </c>
      <c r="D197" t="s">
        <v>22</v>
      </c>
      <c r="E197" t="s">
        <v>24</v>
      </c>
      <c r="F197">
        <v>1321.69</v>
      </c>
    </row>
    <row r="198" spans="1:6" x14ac:dyDescent="0.35">
      <c r="A198">
        <v>1306</v>
      </c>
      <c r="B198" s="4">
        <v>45461.375085336993</v>
      </c>
      <c r="C198" t="s">
        <v>12</v>
      </c>
      <c r="D198" t="s">
        <v>17</v>
      </c>
      <c r="E198" t="s">
        <v>25</v>
      </c>
      <c r="F198">
        <v>3058.73</v>
      </c>
    </row>
    <row r="199" spans="1:6" x14ac:dyDescent="0.35">
      <c r="A199">
        <v>1186</v>
      </c>
      <c r="B199" s="4">
        <v>45462.375085336993</v>
      </c>
      <c r="C199" t="s">
        <v>6</v>
      </c>
      <c r="D199" t="s">
        <v>20</v>
      </c>
      <c r="E199" t="s">
        <v>25</v>
      </c>
      <c r="F199">
        <v>4187.8500000000004</v>
      </c>
    </row>
    <row r="200" spans="1:6" x14ac:dyDescent="0.35">
      <c r="A200">
        <v>1005</v>
      </c>
      <c r="B200" s="4">
        <v>45462.375085336993</v>
      </c>
      <c r="C200" t="s">
        <v>8</v>
      </c>
      <c r="D200" t="s">
        <v>20</v>
      </c>
      <c r="E200" t="s">
        <v>25</v>
      </c>
      <c r="F200">
        <v>7192.84</v>
      </c>
    </row>
    <row r="201" spans="1:6" x14ac:dyDescent="0.35">
      <c r="A201">
        <v>1026</v>
      </c>
      <c r="B201" s="4">
        <v>45462.375085336993</v>
      </c>
      <c r="C201" t="s">
        <v>14</v>
      </c>
      <c r="D201" t="s">
        <v>16</v>
      </c>
      <c r="E201" t="s">
        <v>23</v>
      </c>
      <c r="F201">
        <v>3385.73</v>
      </c>
    </row>
    <row r="202" spans="1:6" x14ac:dyDescent="0.35">
      <c r="A202">
        <v>1250</v>
      </c>
      <c r="B202" s="4">
        <v>45463.375085336993</v>
      </c>
      <c r="C202" t="s">
        <v>13</v>
      </c>
      <c r="D202" t="s">
        <v>19</v>
      </c>
      <c r="E202" t="s">
        <v>24</v>
      </c>
      <c r="F202">
        <v>1134.49</v>
      </c>
    </row>
    <row r="203" spans="1:6" x14ac:dyDescent="0.35">
      <c r="A203">
        <v>1325</v>
      </c>
      <c r="B203" s="4">
        <v>45463.375085336993</v>
      </c>
      <c r="C203" t="s">
        <v>10</v>
      </c>
      <c r="D203" t="s">
        <v>18</v>
      </c>
      <c r="E203" t="s">
        <v>25</v>
      </c>
      <c r="F203">
        <v>4014.39</v>
      </c>
    </row>
    <row r="204" spans="1:6" x14ac:dyDescent="0.35">
      <c r="A204">
        <v>1306</v>
      </c>
      <c r="B204" s="4">
        <v>45463.375085336993</v>
      </c>
      <c r="C204" t="s">
        <v>7</v>
      </c>
      <c r="D204" t="s">
        <v>17</v>
      </c>
      <c r="E204" t="s">
        <v>24</v>
      </c>
      <c r="F204">
        <v>9416.25</v>
      </c>
    </row>
    <row r="205" spans="1:6" x14ac:dyDescent="0.35">
      <c r="A205">
        <v>1375</v>
      </c>
      <c r="B205" s="4">
        <v>45463.375085336993</v>
      </c>
      <c r="C205" t="s">
        <v>6</v>
      </c>
      <c r="D205" t="s">
        <v>17</v>
      </c>
      <c r="E205" t="s">
        <v>23</v>
      </c>
      <c r="F205">
        <v>4111.53</v>
      </c>
    </row>
    <row r="206" spans="1:6" x14ac:dyDescent="0.35">
      <c r="A206">
        <v>1008</v>
      </c>
      <c r="B206" s="4">
        <v>45464.375085336993</v>
      </c>
      <c r="C206" t="s">
        <v>14</v>
      </c>
      <c r="D206" t="s">
        <v>19</v>
      </c>
      <c r="E206" t="s">
        <v>25</v>
      </c>
      <c r="F206">
        <v>3754.65</v>
      </c>
    </row>
    <row r="207" spans="1:6" x14ac:dyDescent="0.35">
      <c r="A207">
        <v>1182</v>
      </c>
      <c r="B207" s="4">
        <v>45464.375085336993</v>
      </c>
      <c r="C207" t="s">
        <v>8</v>
      </c>
      <c r="D207" t="s">
        <v>21</v>
      </c>
      <c r="E207" t="s">
        <v>23</v>
      </c>
      <c r="F207">
        <v>160.81</v>
      </c>
    </row>
    <row r="208" spans="1:6" x14ac:dyDescent="0.35">
      <c r="A208">
        <v>1159</v>
      </c>
      <c r="B208" s="4">
        <v>45464.375085336993</v>
      </c>
      <c r="C208" t="s">
        <v>12</v>
      </c>
      <c r="D208" t="s">
        <v>21</v>
      </c>
      <c r="E208" t="s">
        <v>24</v>
      </c>
      <c r="F208">
        <v>3396.12</v>
      </c>
    </row>
    <row r="209" spans="1:6" x14ac:dyDescent="0.35">
      <c r="A209">
        <v>1009</v>
      </c>
      <c r="B209" s="4">
        <v>45464.375085336993</v>
      </c>
      <c r="C209" t="s">
        <v>14</v>
      </c>
      <c r="D209" t="s">
        <v>16</v>
      </c>
      <c r="E209" t="s">
        <v>25</v>
      </c>
      <c r="F209">
        <v>1738.61</v>
      </c>
    </row>
    <row r="210" spans="1:6" x14ac:dyDescent="0.35">
      <c r="A210">
        <v>1374</v>
      </c>
      <c r="B210" s="4">
        <v>45464.375085336993</v>
      </c>
      <c r="C210" t="s">
        <v>13</v>
      </c>
      <c r="D210" t="s">
        <v>18</v>
      </c>
      <c r="E210" t="s">
        <v>24</v>
      </c>
      <c r="F210">
        <v>2873.04</v>
      </c>
    </row>
    <row r="211" spans="1:6" x14ac:dyDescent="0.35">
      <c r="A211">
        <v>1363</v>
      </c>
      <c r="B211" s="4">
        <v>45464.375085336993</v>
      </c>
      <c r="C211" t="s">
        <v>13</v>
      </c>
      <c r="D211" t="s">
        <v>16</v>
      </c>
      <c r="E211" t="s">
        <v>25</v>
      </c>
      <c r="F211">
        <v>3297.01</v>
      </c>
    </row>
    <row r="212" spans="1:6" x14ac:dyDescent="0.35">
      <c r="A212">
        <v>1174</v>
      </c>
      <c r="B212" s="4">
        <v>45464.375085336993</v>
      </c>
      <c r="C212" t="s">
        <v>7</v>
      </c>
      <c r="D212" t="s">
        <v>22</v>
      </c>
      <c r="E212" t="s">
        <v>25</v>
      </c>
      <c r="F212">
        <v>2903.17</v>
      </c>
    </row>
    <row r="213" spans="1:6" x14ac:dyDescent="0.35">
      <c r="A213">
        <v>1243</v>
      </c>
      <c r="B213" s="4">
        <v>45464.375085336993</v>
      </c>
      <c r="C213" t="s">
        <v>15</v>
      </c>
      <c r="D213" t="s">
        <v>19</v>
      </c>
      <c r="E213" t="s">
        <v>23</v>
      </c>
      <c r="F213">
        <v>1298.53</v>
      </c>
    </row>
    <row r="214" spans="1:6" x14ac:dyDescent="0.35">
      <c r="A214">
        <v>1368</v>
      </c>
      <c r="B214" s="4">
        <v>45465.375085336993</v>
      </c>
      <c r="C214" t="s">
        <v>12</v>
      </c>
      <c r="D214" t="s">
        <v>17</v>
      </c>
      <c r="E214" t="s">
        <v>24</v>
      </c>
      <c r="F214">
        <v>6215.76</v>
      </c>
    </row>
    <row r="215" spans="1:6" x14ac:dyDescent="0.35">
      <c r="A215">
        <v>1121</v>
      </c>
      <c r="B215" s="4">
        <v>45465.375085336993</v>
      </c>
      <c r="C215" t="s">
        <v>9</v>
      </c>
      <c r="D215" t="s">
        <v>16</v>
      </c>
      <c r="E215" t="s">
        <v>23</v>
      </c>
      <c r="F215">
        <v>1908.19</v>
      </c>
    </row>
    <row r="216" spans="1:6" x14ac:dyDescent="0.35">
      <c r="A216">
        <v>1307</v>
      </c>
      <c r="B216" s="4">
        <v>45465.375085336993</v>
      </c>
      <c r="C216" t="s">
        <v>12</v>
      </c>
      <c r="D216" t="s">
        <v>17</v>
      </c>
      <c r="E216" t="s">
        <v>24</v>
      </c>
      <c r="F216">
        <v>2295.9</v>
      </c>
    </row>
    <row r="217" spans="1:6" x14ac:dyDescent="0.35">
      <c r="A217">
        <v>1152</v>
      </c>
      <c r="B217" s="4">
        <v>45466.375085336993</v>
      </c>
      <c r="C217" t="s">
        <v>7</v>
      </c>
      <c r="D217" t="s">
        <v>21</v>
      </c>
      <c r="E217" t="s">
        <v>23</v>
      </c>
      <c r="F217">
        <v>6778.61</v>
      </c>
    </row>
    <row r="218" spans="1:6" x14ac:dyDescent="0.35">
      <c r="A218">
        <v>1039</v>
      </c>
      <c r="B218" s="4">
        <v>45466.375085336993</v>
      </c>
      <c r="C218" t="s">
        <v>14</v>
      </c>
      <c r="D218" t="s">
        <v>19</v>
      </c>
      <c r="E218" t="s">
        <v>23</v>
      </c>
      <c r="F218">
        <v>2794.55</v>
      </c>
    </row>
    <row r="219" spans="1:6" x14ac:dyDescent="0.35">
      <c r="A219">
        <v>1387</v>
      </c>
      <c r="B219" s="4">
        <v>45466.375085336993</v>
      </c>
      <c r="C219" t="s">
        <v>13</v>
      </c>
      <c r="D219" t="s">
        <v>22</v>
      </c>
      <c r="E219" t="s">
        <v>25</v>
      </c>
      <c r="F219">
        <v>7009.89</v>
      </c>
    </row>
    <row r="220" spans="1:6" x14ac:dyDescent="0.35">
      <c r="A220">
        <v>1208</v>
      </c>
      <c r="B220" s="4">
        <v>45467.375085336993</v>
      </c>
      <c r="C220" t="s">
        <v>6</v>
      </c>
      <c r="D220" t="s">
        <v>19</v>
      </c>
      <c r="E220" t="s">
        <v>23</v>
      </c>
      <c r="F220">
        <v>5376.2</v>
      </c>
    </row>
    <row r="221" spans="1:6" x14ac:dyDescent="0.35">
      <c r="A221">
        <v>1110</v>
      </c>
      <c r="B221" s="4">
        <v>45467.375085336993</v>
      </c>
      <c r="C221" t="s">
        <v>8</v>
      </c>
      <c r="D221" t="s">
        <v>20</v>
      </c>
      <c r="E221" t="s">
        <v>25</v>
      </c>
      <c r="F221">
        <v>6488.12</v>
      </c>
    </row>
    <row r="222" spans="1:6" x14ac:dyDescent="0.35">
      <c r="A222">
        <v>1320</v>
      </c>
      <c r="B222" s="4">
        <v>45467.375085336993</v>
      </c>
      <c r="C222" t="s">
        <v>13</v>
      </c>
      <c r="D222" t="s">
        <v>22</v>
      </c>
      <c r="E222" t="s">
        <v>24</v>
      </c>
      <c r="F222">
        <v>6687.91</v>
      </c>
    </row>
    <row r="223" spans="1:6" x14ac:dyDescent="0.35">
      <c r="A223">
        <v>1150</v>
      </c>
      <c r="B223" s="4">
        <v>45468.375085336993</v>
      </c>
      <c r="C223" t="s">
        <v>15</v>
      </c>
      <c r="D223" t="s">
        <v>20</v>
      </c>
      <c r="E223" t="s">
        <v>24</v>
      </c>
      <c r="F223">
        <v>2230.63</v>
      </c>
    </row>
    <row r="224" spans="1:6" x14ac:dyDescent="0.35">
      <c r="A224">
        <v>1097</v>
      </c>
      <c r="B224" s="4">
        <v>45468.375085336993</v>
      </c>
      <c r="C224" t="s">
        <v>7</v>
      </c>
      <c r="D224" t="s">
        <v>17</v>
      </c>
      <c r="E224" t="s">
        <v>25</v>
      </c>
      <c r="F224">
        <v>7460.13</v>
      </c>
    </row>
    <row r="225" spans="1:6" x14ac:dyDescent="0.35">
      <c r="A225">
        <v>1195</v>
      </c>
      <c r="B225" s="4">
        <v>45468.375085336993</v>
      </c>
      <c r="C225" t="s">
        <v>8</v>
      </c>
      <c r="D225" t="s">
        <v>16</v>
      </c>
      <c r="E225" t="s">
        <v>25</v>
      </c>
      <c r="F225">
        <v>1416.23</v>
      </c>
    </row>
    <row r="226" spans="1:6" x14ac:dyDescent="0.35">
      <c r="A226">
        <v>1280</v>
      </c>
      <c r="B226" s="4">
        <v>45468.375085336993</v>
      </c>
      <c r="C226" t="s">
        <v>8</v>
      </c>
      <c r="D226" t="s">
        <v>22</v>
      </c>
      <c r="E226" t="s">
        <v>23</v>
      </c>
      <c r="F226">
        <v>3294.42</v>
      </c>
    </row>
    <row r="227" spans="1:6" x14ac:dyDescent="0.35">
      <c r="A227">
        <v>1176</v>
      </c>
      <c r="B227" s="4">
        <v>45468.375085336993</v>
      </c>
      <c r="C227" t="s">
        <v>7</v>
      </c>
      <c r="D227" t="s">
        <v>16</v>
      </c>
      <c r="E227" t="s">
        <v>25</v>
      </c>
      <c r="F227">
        <v>3313.79</v>
      </c>
    </row>
    <row r="228" spans="1:6" x14ac:dyDescent="0.35">
      <c r="A228">
        <v>1183</v>
      </c>
      <c r="B228" s="4">
        <v>45469.375085336993</v>
      </c>
      <c r="C228" t="s">
        <v>14</v>
      </c>
      <c r="D228" t="s">
        <v>21</v>
      </c>
      <c r="E228" t="s">
        <v>24</v>
      </c>
      <c r="F228">
        <v>6596.74</v>
      </c>
    </row>
    <row r="229" spans="1:6" x14ac:dyDescent="0.35">
      <c r="A229">
        <v>1335</v>
      </c>
      <c r="B229" s="4">
        <v>45469.375085336993</v>
      </c>
      <c r="C229" t="s">
        <v>7</v>
      </c>
      <c r="D229" t="s">
        <v>22</v>
      </c>
      <c r="E229" t="s">
        <v>25</v>
      </c>
      <c r="F229">
        <v>1526.34</v>
      </c>
    </row>
    <row r="230" spans="1:6" x14ac:dyDescent="0.35">
      <c r="A230">
        <v>1142</v>
      </c>
      <c r="B230" s="4">
        <v>45469.375085336993</v>
      </c>
      <c r="C230" t="s">
        <v>13</v>
      </c>
      <c r="D230" t="s">
        <v>19</v>
      </c>
      <c r="E230" t="s">
        <v>25</v>
      </c>
      <c r="F230">
        <v>3433.45</v>
      </c>
    </row>
    <row r="231" spans="1:6" x14ac:dyDescent="0.35">
      <c r="A231">
        <v>1265</v>
      </c>
      <c r="B231" s="4">
        <v>45469.375085336993</v>
      </c>
      <c r="C231" t="s">
        <v>15</v>
      </c>
      <c r="D231" t="s">
        <v>18</v>
      </c>
      <c r="E231" t="s">
        <v>23</v>
      </c>
      <c r="F231">
        <v>2746.84</v>
      </c>
    </row>
    <row r="232" spans="1:6" x14ac:dyDescent="0.35">
      <c r="A232">
        <v>1100</v>
      </c>
      <c r="B232" s="4">
        <v>45470.375085336993</v>
      </c>
      <c r="C232" t="s">
        <v>6</v>
      </c>
      <c r="D232" t="s">
        <v>20</v>
      </c>
      <c r="E232" t="s">
        <v>25</v>
      </c>
      <c r="F232">
        <v>5503.84</v>
      </c>
    </row>
    <row r="233" spans="1:6" x14ac:dyDescent="0.35">
      <c r="A233">
        <v>1394</v>
      </c>
      <c r="B233" s="4">
        <v>45470.375085336993</v>
      </c>
      <c r="C233" t="s">
        <v>13</v>
      </c>
      <c r="D233" t="s">
        <v>19</v>
      </c>
      <c r="E233" t="s">
        <v>23</v>
      </c>
      <c r="F233">
        <v>2337.29</v>
      </c>
    </row>
    <row r="234" spans="1:6" x14ac:dyDescent="0.35">
      <c r="A234">
        <v>1003</v>
      </c>
      <c r="B234" s="4">
        <v>45470.375085336993</v>
      </c>
      <c r="C234" t="s">
        <v>6</v>
      </c>
      <c r="D234" t="s">
        <v>16</v>
      </c>
      <c r="E234" t="s">
        <v>24</v>
      </c>
      <c r="F234">
        <v>5651.68</v>
      </c>
    </row>
    <row r="235" spans="1:6" x14ac:dyDescent="0.35">
      <c r="A235">
        <v>1127</v>
      </c>
      <c r="B235" s="4">
        <v>45470.375085336993</v>
      </c>
      <c r="C235" t="s">
        <v>7</v>
      </c>
      <c r="D235" t="s">
        <v>17</v>
      </c>
      <c r="E235" t="s">
        <v>24</v>
      </c>
      <c r="F235">
        <v>4833.3100000000004</v>
      </c>
    </row>
    <row r="236" spans="1:6" x14ac:dyDescent="0.35">
      <c r="A236">
        <v>1341</v>
      </c>
      <c r="B236" s="4">
        <v>45470.375085336993</v>
      </c>
      <c r="C236" t="s">
        <v>9</v>
      </c>
      <c r="D236" t="s">
        <v>17</v>
      </c>
      <c r="E236" t="s">
        <v>23</v>
      </c>
      <c r="F236">
        <v>8645.77</v>
      </c>
    </row>
    <row r="237" spans="1:6" x14ac:dyDescent="0.35">
      <c r="A237">
        <v>1278</v>
      </c>
      <c r="B237" s="4">
        <v>45470.375085336993</v>
      </c>
      <c r="C237" t="s">
        <v>7</v>
      </c>
      <c r="D237" t="s">
        <v>18</v>
      </c>
      <c r="E237" t="s">
        <v>23</v>
      </c>
      <c r="F237">
        <v>5124.1000000000004</v>
      </c>
    </row>
    <row r="238" spans="1:6" x14ac:dyDescent="0.35">
      <c r="A238">
        <v>1084</v>
      </c>
      <c r="B238" s="4">
        <v>45470.375085336993</v>
      </c>
      <c r="C238" t="s">
        <v>8</v>
      </c>
      <c r="D238" t="s">
        <v>21</v>
      </c>
      <c r="E238" t="s">
        <v>25</v>
      </c>
      <c r="F238">
        <v>3413.51</v>
      </c>
    </row>
    <row r="239" spans="1:6" x14ac:dyDescent="0.35">
      <c r="A239">
        <v>1160</v>
      </c>
      <c r="B239" s="4">
        <v>45471.375085336993</v>
      </c>
      <c r="C239" t="s">
        <v>13</v>
      </c>
      <c r="D239" t="s">
        <v>22</v>
      </c>
      <c r="E239" t="s">
        <v>24</v>
      </c>
      <c r="F239">
        <v>7734.05</v>
      </c>
    </row>
    <row r="240" spans="1:6" x14ac:dyDescent="0.35">
      <c r="A240">
        <v>1242</v>
      </c>
      <c r="B240" s="4">
        <v>45471.375085336993</v>
      </c>
      <c r="C240" t="s">
        <v>9</v>
      </c>
      <c r="D240" t="s">
        <v>19</v>
      </c>
      <c r="E240" t="s">
        <v>23</v>
      </c>
      <c r="F240">
        <v>5796.15</v>
      </c>
    </row>
    <row r="241" spans="1:6" x14ac:dyDescent="0.35">
      <c r="A241">
        <v>1065</v>
      </c>
      <c r="B241" s="4">
        <v>45471.375085336993</v>
      </c>
      <c r="C241" t="s">
        <v>15</v>
      </c>
      <c r="D241" t="s">
        <v>20</v>
      </c>
      <c r="E241" t="s">
        <v>24</v>
      </c>
      <c r="F241">
        <v>1572.5</v>
      </c>
    </row>
    <row r="242" spans="1:6" x14ac:dyDescent="0.35">
      <c r="A242">
        <v>1151</v>
      </c>
      <c r="B242" s="4">
        <v>45471.375085336993</v>
      </c>
      <c r="C242" t="s">
        <v>6</v>
      </c>
      <c r="D242" t="s">
        <v>19</v>
      </c>
      <c r="E242" t="s">
        <v>23</v>
      </c>
      <c r="F242">
        <v>1648.21</v>
      </c>
    </row>
    <row r="243" spans="1:6" x14ac:dyDescent="0.35">
      <c r="A243">
        <v>1004</v>
      </c>
      <c r="B243" s="4">
        <v>45473.375085336993</v>
      </c>
      <c r="C243" t="s">
        <v>6</v>
      </c>
      <c r="D243" t="s">
        <v>17</v>
      </c>
      <c r="E243" t="s">
        <v>25</v>
      </c>
      <c r="F243">
        <v>1193.79</v>
      </c>
    </row>
    <row r="244" spans="1:6" x14ac:dyDescent="0.35">
      <c r="A244">
        <v>1140</v>
      </c>
      <c r="B244" s="4">
        <v>45473.375085336993</v>
      </c>
      <c r="C244" t="s">
        <v>11</v>
      </c>
      <c r="D244" t="s">
        <v>17</v>
      </c>
      <c r="E244" t="s">
        <v>25</v>
      </c>
      <c r="F244">
        <v>10213.35</v>
      </c>
    </row>
    <row r="245" spans="1:6" x14ac:dyDescent="0.35">
      <c r="A245">
        <v>1018</v>
      </c>
      <c r="B245" s="4">
        <v>45473.375085336993</v>
      </c>
      <c r="C245" t="s">
        <v>12</v>
      </c>
      <c r="D245" t="s">
        <v>16</v>
      </c>
      <c r="E245" t="s">
        <v>23</v>
      </c>
      <c r="F245">
        <v>5082.2</v>
      </c>
    </row>
    <row r="246" spans="1:6" x14ac:dyDescent="0.35">
      <c r="A246">
        <v>1398</v>
      </c>
      <c r="B246" s="4">
        <v>45473.375085336993</v>
      </c>
      <c r="C246" t="s">
        <v>6</v>
      </c>
      <c r="D246" t="s">
        <v>22</v>
      </c>
      <c r="E246" t="s">
        <v>25</v>
      </c>
      <c r="F246">
        <v>1174.6500000000001</v>
      </c>
    </row>
    <row r="247" spans="1:6" x14ac:dyDescent="0.35">
      <c r="A247">
        <v>1246</v>
      </c>
      <c r="B247" s="4">
        <v>45473.375085336993</v>
      </c>
      <c r="C247" t="s">
        <v>13</v>
      </c>
      <c r="D247" t="s">
        <v>21</v>
      </c>
      <c r="E247" t="s">
        <v>25</v>
      </c>
      <c r="F247">
        <v>3750.61</v>
      </c>
    </row>
    <row r="248" spans="1:6" x14ac:dyDescent="0.35">
      <c r="A248">
        <v>1282</v>
      </c>
      <c r="B248" s="4">
        <v>45473.375085336993</v>
      </c>
      <c r="C248" t="s">
        <v>13</v>
      </c>
      <c r="D248" t="s">
        <v>18</v>
      </c>
      <c r="E248" t="s">
        <v>24</v>
      </c>
      <c r="F248">
        <v>3633.55</v>
      </c>
    </row>
    <row r="249" spans="1:6" x14ac:dyDescent="0.35">
      <c r="A249">
        <v>1038</v>
      </c>
      <c r="B249" s="4">
        <v>45474.375085336993</v>
      </c>
      <c r="C249" t="s">
        <v>15</v>
      </c>
      <c r="D249" t="s">
        <v>21</v>
      </c>
      <c r="E249" t="s">
        <v>25</v>
      </c>
      <c r="F249">
        <v>5985.58</v>
      </c>
    </row>
    <row r="250" spans="1:6" x14ac:dyDescent="0.35">
      <c r="A250">
        <v>1147</v>
      </c>
      <c r="B250" s="4">
        <v>45474.375085336993</v>
      </c>
      <c r="C250" t="s">
        <v>11</v>
      </c>
      <c r="D250" t="s">
        <v>16</v>
      </c>
      <c r="E250" t="s">
        <v>25</v>
      </c>
      <c r="F250">
        <v>2017.22</v>
      </c>
    </row>
    <row r="251" spans="1:6" x14ac:dyDescent="0.35">
      <c r="A251">
        <v>1255</v>
      </c>
      <c r="B251" s="4">
        <v>45474.375085336993</v>
      </c>
      <c r="C251" t="s">
        <v>12</v>
      </c>
      <c r="D251" t="s">
        <v>21</v>
      </c>
      <c r="E251" t="s">
        <v>23</v>
      </c>
      <c r="F251">
        <v>2045.97</v>
      </c>
    </row>
    <row r="252" spans="1:6" x14ac:dyDescent="0.35">
      <c r="A252">
        <v>1113</v>
      </c>
      <c r="B252" s="4">
        <v>45474.375085336993</v>
      </c>
      <c r="C252" t="s">
        <v>12</v>
      </c>
      <c r="D252" t="s">
        <v>19</v>
      </c>
      <c r="E252" t="s">
        <v>25</v>
      </c>
      <c r="F252">
        <v>1883.98</v>
      </c>
    </row>
    <row r="253" spans="1:6" x14ac:dyDescent="0.35">
      <c r="A253">
        <v>1010</v>
      </c>
      <c r="B253" s="4">
        <v>45474.375085336993</v>
      </c>
      <c r="C253" t="s">
        <v>13</v>
      </c>
      <c r="D253" t="s">
        <v>19</v>
      </c>
      <c r="E253" t="s">
        <v>23</v>
      </c>
      <c r="F253">
        <v>5028.38</v>
      </c>
    </row>
    <row r="254" spans="1:6" x14ac:dyDescent="0.35">
      <c r="A254">
        <v>1054</v>
      </c>
      <c r="B254" s="4">
        <v>45475.375085336993</v>
      </c>
      <c r="C254" t="s">
        <v>15</v>
      </c>
      <c r="D254" t="s">
        <v>16</v>
      </c>
      <c r="E254" t="s">
        <v>25</v>
      </c>
      <c r="F254">
        <v>2787.68</v>
      </c>
    </row>
    <row r="255" spans="1:6" x14ac:dyDescent="0.35">
      <c r="A255">
        <v>1157</v>
      </c>
      <c r="B255" s="4">
        <v>45475.375085336993</v>
      </c>
      <c r="C255" t="s">
        <v>8</v>
      </c>
      <c r="D255" t="s">
        <v>17</v>
      </c>
      <c r="E255" t="s">
        <v>24</v>
      </c>
      <c r="F255">
        <v>9170.14</v>
      </c>
    </row>
    <row r="256" spans="1:6" x14ac:dyDescent="0.35">
      <c r="A256">
        <v>1391</v>
      </c>
      <c r="B256" s="4">
        <v>45475.375085336993</v>
      </c>
      <c r="C256" t="s">
        <v>15</v>
      </c>
      <c r="D256" t="s">
        <v>16</v>
      </c>
      <c r="E256" t="s">
        <v>24</v>
      </c>
      <c r="F256">
        <v>6123.01</v>
      </c>
    </row>
    <row r="257" spans="1:6" x14ac:dyDescent="0.35">
      <c r="A257">
        <v>1340</v>
      </c>
      <c r="B257" s="4">
        <v>45476.375085336993</v>
      </c>
      <c r="C257" t="s">
        <v>9</v>
      </c>
      <c r="D257" t="s">
        <v>19</v>
      </c>
      <c r="E257" t="s">
        <v>24</v>
      </c>
      <c r="F257">
        <v>3546.46</v>
      </c>
    </row>
    <row r="258" spans="1:6" x14ac:dyDescent="0.35">
      <c r="A258">
        <v>1257</v>
      </c>
      <c r="B258" s="4">
        <v>45476.375085336993</v>
      </c>
      <c r="C258" t="s">
        <v>6</v>
      </c>
      <c r="D258" t="s">
        <v>17</v>
      </c>
      <c r="E258" t="s">
        <v>24</v>
      </c>
      <c r="F258">
        <v>3270.31</v>
      </c>
    </row>
    <row r="259" spans="1:6" x14ac:dyDescent="0.35">
      <c r="A259">
        <v>1284</v>
      </c>
      <c r="B259" s="4">
        <v>45476.375085336993</v>
      </c>
      <c r="C259" t="s">
        <v>11</v>
      </c>
      <c r="D259" t="s">
        <v>17</v>
      </c>
      <c r="E259" t="s">
        <v>23</v>
      </c>
      <c r="F259">
        <v>3898.72</v>
      </c>
    </row>
    <row r="260" spans="1:6" x14ac:dyDescent="0.35">
      <c r="A260">
        <v>1342</v>
      </c>
      <c r="B260" s="4">
        <v>45477.375085336993</v>
      </c>
      <c r="C260" t="s">
        <v>15</v>
      </c>
      <c r="D260" t="s">
        <v>17</v>
      </c>
      <c r="E260" t="s">
        <v>24</v>
      </c>
      <c r="F260">
        <v>4746.53</v>
      </c>
    </row>
    <row r="261" spans="1:6" x14ac:dyDescent="0.35">
      <c r="A261">
        <v>1156</v>
      </c>
      <c r="B261" s="4">
        <v>45477.375085336993</v>
      </c>
      <c r="C261" t="s">
        <v>8</v>
      </c>
      <c r="D261" t="s">
        <v>17</v>
      </c>
      <c r="E261" t="s">
        <v>24</v>
      </c>
      <c r="F261">
        <v>5595</v>
      </c>
    </row>
    <row r="262" spans="1:6" x14ac:dyDescent="0.35">
      <c r="A262">
        <v>1257</v>
      </c>
      <c r="B262" s="4">
        <v>45477.375085336993</v>
      </c>
      <c r="C262" t="s">
        <v>6</v>
      </c>
      <c r="D262" t="s">
        <v>21</v>
      </c>
      <c r="E262" t="s">
        <v>23</v>
      </c>
      <c r="F262">
        <v>3800.31</v>
      </c>
    </row>
    <row r="263" spans="1:6" x14ac:dyDescent="0.35">
      <c r="A263">
        <v>1102</v>
      </c>
      <c r="B263" s="4">
        <v>45477.375085336993</v>
      </c>
      <c r="C263" t="s">
        <v>12</v>
      </c>
      <c r="D263" t="s">
        <v>21</v>
      </c>
      <c r="E263" t="s">
        <v>24</v>
      </c>
      <c r="F263">
        <v>7149.85</v>
      </c>
    </row>
    <row r="264" spans="1:6" x14ac:dyDescent="0.35">
      <c r="A264">
        <v>1302</v>
      </c>
      <c r="B264" s="4">
        <v>45477.375085336993</v>
      </c>
      <c r="C264" t="s">
        <v>15</v>
      </c>
      <c r="D264" t="s">
        <v>17</v>
      </c>
      <c r="E264" t="s">
        <v>25</v>
      </c>
      <c r="F264">
        <v>2104.67</v>
      </c>
    </row>
    <row r="265" spans="1:6" x14ac:dyDescent="0.35">
      <c r="A265">
        <v>1396</v>
      </c>
      <c r="B265" s="4">
        <v>45477.375085336993</v>
      </c>
      <c r="C265" t="s">
        <v>15</v>
      </c>
      <c r="D265" t="s">
        <v>21</v>
      </c>
      <c r="E265" t="s">
        <v>24</v>
      </c>
      <c r="F265">
        <v>4742.8500000000004</v>
      </c>
    </row>
    <row r="266" spans="1:6" x14ac:dyDescent="0.35">
      <c r="A266">
        <v>1222</v>
      </c>
      <c r="B266" s="4">
        <v>45478.375085336993</v>
      </c>
      <c r="C266" t="s">
        <v>11</v>
      </c>
      <c r="D266" t="s">
        <v>17</v>
      </c>
      <c r="E266" t="s">
        <v>25</v>
      </c>
      <c r="F266">
        <v>196.8</v>
      </c>
    </row>
    <row r="267" spans="1:6" x14ac:dyDescent="0.35">
      <c r="A267">
        <v>1272</v>
      </c>
      <c r="B267" s="4">
        <v>45478.375085336993</v>
      </c>
      <c r="C267" t="s">
        <v>7</v>
      </c>
      <c r="D267" t="s">
        <v>17</v>
      </c>
      <c r="E267" t="s">
        <v>24</v>
      </c>
      <c r="F267">
        <v>3745.11</v>
      </c>
    </row>
    <row r="268" spans="1:6" x14ac:dyDescent="0.35">
      <c r="A268">
        <v>1292</v>
      </c>
      <c r="B268" s="4">
        <v>45478.375085336993</v>
      </c>
      <c r="C268" t="s">
        <v>10</v>
      </c>
      <c r="D268" t="s">
        <v>21</v>
      </c>
      <c r="E268" t="s">
        <v>23</v>
      </c>
      <c r="F268">
        <v>1062.68</v>
      </c>
    </row>
    <row r="269" spans="1:6" x14ac:dyDescent="0.35">
      <c r="A269">
        <v>1107</v>
      </c>
      <c r="B269" s="4">
        <v>45478.375085336993</v>
      </c>
      <c r="C269" t="s">
        <v>10</v>
      </c>
      <c r="D269" t="s">
        <v>20</v>
      </c>
      <c r="E269" t="s">
        <v>25</v>
      </c>
      <c r="F269">
        <v>10144.81</v>
      </c>
    </row>
    <row r="270" spans="1:6" x14ac:dyDescent="0.35">
      <c r="A270">
        <v>1028</v>
      </c>
      <c r="B270" s="4">
        <v>45478.375085336993</v>
      </c>
      <c r="C270" t="s">
        <v>15</v>
      </c>
      <c r="D270" t="s">
        <v>22</v>
      </c>
      <c r="E270" t="s">
        <v>25</v>
      </c>
      <c r="F270">
        <v>3964.84</v>
      </c>
    </row>
    <row r="271" spans="1:6" x14ac:dyDescent="0.35">
      <c r="A271">
        <v>1125</v>
      </c>
      <c r="B271" s="4">
        <v>45478.375085336993</v>
      </c>
      <c r="C271" t="s">
        <v>10</v>
      </c>
      <c r="D271" t="s">
        <v>22</v>
      </c>
      <c r="E271" t="s">
        <v>23</v>
      </c>
      <c r="F271">
        <v>81.7</v>
      </c>
    </row>
    <row r="272" spans="1:6" x14ac:dyDescent="0.35">
      <c r="A272">
        <v>1214</v>
      </c>
      <c r="B272" s="4">
        <v>45478.375085336993</v>
      </c>
      <c r="C272" t="s">
        <v>6</v>
      </c>
      <c r="D272" t="s">
        <v>21</v>
      </c>
      <c r="E272" t="s">
        <v>25</v>
      </c>
      <c r="F272">
        <v>4784.0200000000004</v>
      </c>
    </row>
    <row r="273" spans="1:6" x14ac:dyDescent="0.35">
      <c r="A273">
        <v>1280</v>
      </c>
      <c r="B273" s="4">
        <v>45478.375085336993</v>
      </c>
      <c r="C273" t="s">
        <v>9</v>
      </c>
      <c r="D273" t="s">
        <v>21</v>
      </c>
      <c r="E273" t="s">
        <v>25</v>
      </c>
      <c r="F273">
        <v>3477.44</v>
      </c>
    </row>
    <row r="274" spans="1:6" x14ac:dyDescent="0.35">
      <c r="A274">
        <v>1103</v>
      </c>
      <c r="B274" s="4">
        <v>45478.375085336993</v>
      </c>
      <c r="C274" t="s">
        <v>6</v>
      </c>
      <c r="D274" t="s">
        <v>21</v>
      </c>
      <c r="E274" t="s">
        <v>24</v>
      </c>
      <c r="F274">
        <v>5529.17</v>
      </c>
    </row>
    <row r="275" spans="1:6" x14ac:dyDescent="0.35">
      <c r="A275">
        <v>1302</v>
      </c>
      <c r="B275" s="4">
        <v>45478.375085336993</v>
      </c>
      <c r="C275" t="s">
        <v>7</v>
      </c>
      <c r="D275" t="s">
        <v>21</v>
      </c>
      <c r="E275" t="s">
        <v>24</v>
      </c>
      <c r="F275">
        <v>1217.26</v>
      </c>
    </row>
    <row r="276" spans="1:6" x14ac:dyDescent="0.35">
      <c r="A276">
        <v>1086</v>
      </c>
      <c r="B276" s="4">
        <v>45479.375085336993</v>
      </c>
      <c r="C276" t="s">
        <v>10</v>
      </c>
      <c r="D276" t="s">
        <v>19</v>
      </c>
      <c r="E276" t="s">
        <v>25</v>
      </c>
      <c r="F276">
        <v>1159.24</v>
      </c>
    </row>
    <row r="277" spans="1:6" x14ac:dyDescent="0.35">
      <c r="A277">
        <v>1080</v>
      </c>
      <c r="B277" s="4">
        <v>45479.375085336993</v>
      </c>
      <c r="C277" t="s">
        <v>14</v>
      </c>
      <c r="D277" t="s">
        <v>22</v>
      </c>
      <c r="E277" t="s">
        <v>24</v>
      </c>
      <c r="F277">
        <v>9267.98</v>
      </c>
    </row>
    <row r="278" spans="1:6" x14ac:dyDescent="0.35">
      <c r="A278">
        <v>1132</v>
      </c>
      <c r="B278" s="4">
        <v>45479.375085336993</v>
      </c>
      <c r="C278" t="s">
        <v>15</v>
      </c>
      <c r="D278" t="s">
        <v>21</v>
      </c>
      <c r="E278" t="s">
        <v>25</v>
      </c>
      <c r="F278">
        <v>10499.29</v>
      </c>
    </row>
    <row r="279" spans="1:6" x14ac:dyDescent="0.35">
      <c r="A279">
        <v>1248</v>
      </c>
      <c r="B279" s="4">
        <v>45479.375085336993</v>
      </c>
      <c r="C279" t="s">
        <v>11</v>
      </c>
      <c r="D279" t="s">
        <v>18</v>
      </c>
      <c r="E279" t="s">
        <v>25</v>
      </c>
      <c r="F279">
        <v>3278.32</v>
      </c>
    </row>
    <row r="280" spans="1:6" x14ac:dyDescent="0.35">
      <c r="A280">
        <v>1152</v>
      </c>
      <c r="B280" s="4">
        <v>45480.375085336993</v>
      </c>
      <c r="C280" t="s">
        <v>7</v>
      </c>
      <c r="D280" t="s">
        <v>18</v>
      </c>
      <c r="E280" t="s">
        <v>23</v>
      </c>
      <c r="F280">
        <v>3100.55</v>
      </c>
    </row>
    <row r="281" spans="1:6" x14ac:dyDescent="0.35">
      <c r="A281">
        <v>1302</v>
      </c>
      <c r="B281" s="4">
        <v>45480.375085336993</v>
      </c>
      <c r="C281" t="s">
        <v>8</v>
      </c>
      <c r="D281" t="s">
        <v>21</v>
      </c>
      <c r="E281" t="s">
        <v>25</v>
      </c>
      <c r="F281">
        <v>2445.5300000000002</v>
      </c>
    </row>
    <row r="282" spans="1:6" x14ac:dyDescent="0.35">
      <c r="A282">
        <v>1306</v>
      </c>
      <c r="B282" s="4">
        <v>45480.375085336993</v>
      </c>
      <c r="C282" t="s">
        <v>15</v>
      </c>
      <c r="D282" t="s">
        <v>19</v>
      </c>
      <c r="E282" t="s">
        <v>25</v>
      </c>
      <c r="F282">
        <v>2880.82</v>
      </c>
    </row>
    <row r="283" spans="1:6" x14ac:dyDescent="0.35">
      <c r="A283">
        <v>1235</v>
      </c>
      <c r="B283" s="4">
        <v>45480.375085336993</v>
      </c>
      <c r="C283" t="s">
        <v>10</v>
      </c>
      <c r="D283" t="s">
        <v>22</v>
      </c>
      <c r="E283" t="s">
        <v>23</v>
      </c>
      <c r="F283">
        <v>2216.9699999999998</v>
      </c>
    </row>
    <row r="284" spans="1:6" x14ac:dyDescent="0.35">
      <c r="A284">
        <v>1232</v>
      </c>
      <c r="B284" s="4">
        <v>45480.375085336993</v>
      </c>
      <c r="C284" t="s">
        <v>14</v>
      </c>
      <c r="D284" t="s">
        <v>22</v>
      </c>
      <c r="E284" t="s">
        <v>25</v>
      </c>
      <c r="F284">
        <v>1079.98</v>
      </c>
    </row>
    <row r="285" spans="1:6" x14ac:dyDescent="0.35">
      <c r="A285">
        <v>1316</v>
      </c>
      <c r="B285" s="4">
        <v>45480.375085336993</v>
      </c>
      <c r="C285" t="s">
        <v>12</v>
      </c>
      <c r="D285" t="s">
        <v>20</v>
      </c>
      <c r="E285" t="s">
        <v>25</v>
      </c>
      <c r="F285">
        <v>1555.7</v>
      </c>
    </row>
    <row r="286" spans="1:6" x14ac:dyDescent="0.35">
      <c r="A286">
        <v>1006</v>
      </c>
      <c r="B286" s="4">
        <v>45480.375085336993</v>
      </c>
      <c r="C286" t="s">
        <v>10</v>
      </c>
      <c r="D286" t="s">
        <v>18</v>
      </c>
      <c r="E286" t="s">
        <v>23</v>
      </c>
      <c r="F286">
        <v>1410.36</v>
      </c>
    </row>
    <row r="287" spans="1:6" x14ac:dyDescent="0.35">
      <c r="A287">
        <v>1021</v>
      </c>
      <c r="B287" s="4">
        <v>45481.375085336993</v>
      </c>
      <c r="C287" t="s">
        <v>7</v>
      </c>
      <c r="D287" t="s">
        <v>19</v>
      </c>
      <c r="E287" t="s">
        <v>23</v>
      </c>
      <c r="F287">
        <v>490.15</v>
      </c>
    </row>
    <row r="288" spans="1:6" x14ac:dyDescent="0.35">
      <c r="A288">
        <v>1214</v>
      </c>
      <c r="B288" s="4">
        <v>45481.375085336993</v>
      </c>
      <c r="C288" t="s">
        <v>8</v>
      </c>
      <c r="D288" t="s">
        <v>22</v>
      </c>
      <c r="E288" t="s">
        <v>23</v>
      </c>
      <c r="F288">
        <v>953.51</v>
      </c>
    </row>
    <row r="289" spans="1:6" x14ac:dyDescent="0.35">
      <c r="A289">
        <v>1221</v>
      </c>
      <c r="B289" s="4">
        <v>45481.375085336993</v>
      </c>
      <c r="C289" t="s">
        <v>9</v>
      </c>
      <c r="D289" t="s">
        <v>18</v>
      </c>
      <c r="E289" t="s">
        <v>24</v>
      </c>
      <c r="F289">
        <v>3093.32</v>
      </c>
    </row>
    <row r="290" spans="1:6" x14ac:dyDescent="0.35">
      <c r="A290">
        <v>1359</v>
      </c>
      <c r="B290" s="4">
        <v>45481.375085336993</v>
      </c>
      <c r="C290" t="s">
        <v>7</v>
      </c>
      <c r="D290" t="s">
        <v>22</v>
      </c>
      <c r="E290" t="s">
        <v>24</v>
      </c>
      <c r="F290">
        <v>5449.02</v>
      </c>
    </row>
    <row r="291" spans="1:6" x14ac:dyDescent="0.35">
      <c r="A291">
        <v>1006</v>
      </c>
      <c r="B291" s="4">
        <v>45481.375085336993</v>
      </c>
      <c r="C291" t="s">
        <v>10</v>
      </c>
      <c r="D291" t="s">
        <v>20</v>
      </c>
      <c r="E291" t="s">
        <v>25</v>
      </c>
      <c r="F291">
        <v>3275.42</v>
      </c>
    </row>
    <row r="292" spans="1:6" x14ac:dyDescent="0.35">
      <c r="A292">
        <v>1105</v>
      </c>
      <c r="B292" s="4">
        <v>45481.375085336993</v>
      </c>
      <c r="C292" t="s">
        <v>6</v>
      </c>
      <c r="D292" t="s">
        <v>22</v>
      </c>
      <c r="E292" t="s">
        <v>24</v>
      </c>
      <c r="F292">
        <v>1567.2</v>
      </c>
    </row>
    <row r="293" spans="1:6" x14ac:dyDescent="0.35">
      <c r="A293">
        <v>1145</v>
      </c>
      <c r="B293" s="4">
        <v>45481.375085336993</v>
      </c>
      <c r="C293" t="s">
        <v>15</v>
      </c>
      <c r="D293" t="s">
        <v>22</v>
      </c>
      <c r="E293" t="s">
        <v>24</v>
      </c>
      <c r="F293">
        <v>5298.95</v>
      </c>
    </row>
    <row r="294" spans="1:6" x14ac:dyDescent="0.35">
      <c r="A294">
        <v>1349</v>
      </c>
      <c r="B294" s="4">
        <v>45481.375085336993</v>
      </c>
      <c r="C294" t="s">
        <v>7</v>
      </c>
      <c r="D294" t="s">
        <v>19</v>
      </c>
      <c r="E294" t="s">
        <v>25</v>
      </c>
      <c r="F294">
        <v>1897.88</v>
      </c>
    </row>
    <row r="295" spans="1:6" x14ac:dyDescent="0.35">
      <c r="A295">
        <v>1351</v>
      </c>
      <c r="B295" s="4">
        <v>45482.375085336993</v>
      </c>
      <c r="C295" t="s">
        <v>6</v>
      </c>
      <c r="D295" t="s">
        <v>17</v>
      </c>
      <c r="E295" t="s">
        <v>24</v>
      </c>
      <c r="F295">
        <v>4209.6899999999996</v>
      </c>
    </row>
    <row r="296" spans="1:6" x14ac:dyDescent="0.35">
      <c r="A296">
        <v>1274</v>
      </c>
      <c r="B296" s="4">
        <v>45482.375085336993</v>
      </c>
      <c r="C296" t="s">
        <v>6</v>
      </c>
      <c r="D296" t="s">
        <v>21</v>
      </c>
      <c r="E296" t="s">
        <v>23</v>
      </c>
      <c r="F296">
        <v>6167.02</v>
      </c>
    </row>
    <row r="297" spans="1:6" x14ac:dyDescent="0.35">
      <c r="A297">
        <v>1319</v>
      </c>
      <c r="B297" s="4">
        <v>45483.375085336993</v>
      </c>
      <c r="C297" t="s">
        <v>6</v>
      </c>
      <c r="D297" t="s">
        <v>19</v>
      </c>
      <c r="E297" t="s">
        <v>24</v>
      </c>
      <c r="F297">
        <v>180.45</v>
      </c>
    </row>
    <row r="298" spans="1:6" x14ac:dyDescent="0.35">
      <c r="A298">
        <v>1075</v>
      </c>
      <c r="B298" s="4">
        <v>45483.375085336993</v>
      </c>
      <c r="C298" t="s">
        <v>12</v>
      </c>
      <c r="D298" t="s">
        <v>22</v>
      </c>
      <c r="E298" t="s">
        <v>24</v>
      </c>
      <c r="F298">
        <v>641.19000000000005</v>
      </c>
    </row>
    <row r="299" spans="1:6" x14ac:dyDescent="0.35">
      <c r="A299">
        <v>1318</v>
      </c>
      <c r="B299" s="4">
        <v>45484.375085336993</v>
      </c>
      <c r="C299" t="s">
        <v>7</v>
      </c>
      <c r="D299" t="s">
        <v>21</v>
      </c>
      <c r="E299" t="s">
        <v>25</v>
      </c>
      <c r="F299">
        <v>15258.77</v>
      </c>
    </row>
    <row r="300" spans="1:6" x14ac:dyDescent="0.35">
      <c r="A300">
        <v>1358</v>
      </c>
      <c r="B300" s="4">
        <v>45484.375085336993</v>
      </c>
      <c r="C300" t="s">
        <v>12</v>
      </c>
      <c r="D300" t="s">
        <v>17</v>
      </c>
      <c r="E300" t="s">
        <v>24</v>
      </c>
      <c r="F300">
        <v>6719.77</v>
      </c>
    </row>
    <row r="301" spans="1:6" x14ac:dyDescent="0.35">
      <c r="A301">
        <v>1160</v>
      </c>
      <c r="B301" s="4">
        <v>45484.375085336993</v>
      </c>
      <c r="C301" t="s">
        <v>13</v>
      </c>
      <c r="D301" t="s">
        <v>21</v>
      </c>
      <c r="E301" t="s">
        <v>25</v>
      </c>
      <c r="F301">
        <v>6466.79</v>
      </c>
    </row>
    <row r="302" spans="1:6" x14ac:dyDescent="0.35">
      <c r="A302">
        <v>1341</v>
      </c>
      <c r="B302" s="4">
        <v>45486.375085336993</v>
      </c>
      <c r="C302" t="s">
        <v>14</v>
      </c>
      <c r="D302" t="s">
        <v>18</v>
      </c>
      <c r="E302" t="s">
        <v>24</v>
      </c>
      <c r="F302">
        <v>4512.8900000000003</v>
      </c>
    </row>
    <row r="303" spans="1:6" x14ac:dyDescent="0.35">
      <c r="A303">
        <v>1163</v>
      </c>
      <c r="B303" s="4">
        <v>45486.375085336993</v>
      </c>
      <c r="C303" t="s">
        <v>7</v>
      </c>
      <c r="D303" t="s">
        <v>18</v>
      </c>
      <c r="E303" t="s">
        <v>24</v>
      </c>
      <c r="F303">
        <v>2745.29</v>
      </c>
    </row>
    <row r="304" spans="1:6" x14ac:dyDescent="0.35">
      <c r="A304">
        <v>1197</v>
      </c>
      <c r="B304" s="4">
        <v>45487.375085336993</v>
      </c>
      <c r="C304" t="s">
        <v>10</v>
      </c>
      <c r="D304" t="s">
        <v>21</v>
      </c>
      <c r="E304" t="s">
        <v>23</v>
      </c>
      <c r="F304">
        <v>1445.49</v>
      </c>
    </row>
    <row r="305" spans="1:6" x14ac:dyDescent="0.35">
      <c r="A305">
        <v>1016</v>
      </c>
      <c r="B305" s="4">
        <v>45487.375085336993</v>
      </c>
      <c r="C305" t="s">
        <v>13</v>
      </c>
      <c r="D305" t="s">
        <v>19</v>
      </c>
      <c r="E305" t="s">
        <v>23</v>
      </c>
      <c r="F305">
        <v>9558.11</v>
      </c>
    </row>
    <row r="306" spans="1:6" x14ac:dyDescent="0.35">
      <c r="A306">
        <v>1252</v>
      </c>
      <c r="B306" s="4">
        <v>45487.375085336993</v>
      </c>
      <c r="C306" t="s">
        <v>12</v>
      </c>
      <c r="D306" t="s">
        <v>22</v>
      </c>
      <c r="E306" t="s">
        <v>25</v>
      </c>
      <c r="F306">
        <v>2074.21</v>
      </c>
    </row>
    <row r="307" spans="1:6" x14ac:dyDescent="0.35">
      <c r="A307">
        <v>1377</v>
      </c>
      <c r="B307" s="4">
        <v>45487.375085336993</v>
      </c>
      <c r="C307" t="s">
        <v>8</v>
      </c>
      <c r="D307" t="s">
        <v>17</v>
      </c>
      <c r="E307" t="s">
        <v>23</v>
      </c>
      <c r="F307">
        <v>4414.51</v>
      </c>
    </row>
    <row r="308" spans="1:6" x14ac:dyDescent="0.35">
      <c r="A308">
        <v>1329</v>
      </c>
      <c r="B308" s="4">
        <v>45487.375085336993</v>
      </c>
      <c r="C308" t="s">
        <v>10</v>
      </c>
      <c r="D308" t="s">
        <v>19</v>
      </c>
      <c r="E308" t="s">
        <v>25</v>
      </c>
      <c r="F308">
        <v>392.21</v>
      </c>
    </row>
    <row r="309" spans="1:6" x14ac:dyDescent="0.35">
      <c r="A309">
        <v>1098</v>
      </c>
      <c r="B309" s="4">
        <v>45487.375085336993</v>
      </c>
      <c r="C309" t="s">
        <v>12</v>
      </c>
      <c r="D309" t="s">
        <v>17</v>
      </c>
      <c r="E309" t="s">
        <v>23</v>
      </c>
      <c r="F309">
        <v>4574.99</v>
      </c>
    </row>
    <row r="310" spans="1:6" x14ac:dyDescent="0.35">
      <c r="A310">
        <v>1291</v>
      </c>
      <c r="B310" s="4">
        <v>45488.375085336993</v>
      </c>
      <c r="C310" t="s">
        <v>7</v>
      </c>
      <c r="D310" t="s">
        <v>18</v>
      </c>
      <c r="E310" t="s">
        <v>25</v>
      </c>
      <c r="F310">
        <v>7226.64</v>
      </c>
    </row>
    <row r="311" spans="1:6" x14ac:dyDescent="0.35">
      <c r="A311">
        <v>1187</v>
      </c>
      <c r="B311" s="4">
        <v>45488.375085336993</v>
      </c>
      <c r="C311" t="s">
        <v>10</v>
      </c>
      <c r="D311" t="s">
        <v>22</v>
      </c>
      <c r="E311" t="s">
        <v>23</v>
      </c>
      <c r="F311">
        <v>4657.91</v>
      </c>
    </row>
    <row r="312" spans="1:6" x14ac:dyDescent="0.35">
      <c r="A312">
        <v>1378</v>
      </c>
      <c r="B312" s="4">
        <v>45488.375085336993</v>
      </c>
      <c r="C312" t="s">
        <v>14</v>
      </c>
      <c r="D312" t="s">
        <v>22</v>
      </c>
      <c r="E312" t="s">
        <v>25</v>
      </c>
      <c r="F312">
        <v>3898.24</v>
      </c>
    </row>
    <row r="313" spans="1:6" x14ac:dyDescent="0.35">
      <c r="A313">
        <v>1206</v>
      </c>
      <c r="B313" s="4">
        <v>45488.375085336993</v>
      </c>
      <c r="C313" t="s">
        <v>7</v>
      </c>
      <c r="D313" t="s">
        <v>17</v>
      </c>
      <c r="E313" t="s">
        <v>24</v>
      </c>
      <c r="F313">
        <v>5812.49</v>
      </c>
    </row>
    <row r="314" spans="1:6" x14ac:dyDescent="0.35">
      <c r="A314">
        <v>1336</v>
      </c>
      <c r="B314" s="4">
        <v>45488.375085336993</v>
      </c>
      <c r="C314" t="s">
        <v>11</v>
      </c>
      <c r="D314" t="s">
        <v>19</v>
      </c>
      <c r="E314" t="s">
        <v>24</v>
      </c>
      <c r="F314">
        <v>2449.85</v>
      </c>
    </row>
    <row r="315" spans="1:6" x14ac:dyDescent="0.35">
      <c r="A315">
        <v>1115</v>
      </c>
      <c r="B315" s="4">
        <v>45488.375085336993</v>
      </c>
      <c r="C315" t="s">
        <v>15</v>
      </c>
      <c r="D315" t="s">
        <v>22</v>
      </c>
      <c r="E315" t="s">
        <v>25</v>
      </c>
      <c r="F315">
        <v>1709.76</v>
      </c>
    </row>
    <row r="316" spans="1:6" x14ac:dyDescent="0.35">
      <c r="A316">
        <v>1378</v>
      </c>
      <c r="B316" s="4">
        <v>45489.375085336993</v>
      </c>
      <c r="C316" t="s">
        <v>13</v>
      </c>
      <c r="D316" t="s">
        <v>17</v>
      </c>
      <c r="E316" t="s">
        <v>23</v>
      </c>
      <c r="F316">
        <v>11973.75</v>
      </c>
    </row>
    <row r="317" spans="1:6" x14ac:dyDescent="0.35">
      <c r="A317">
        <v>1114</v>
      </c>
      <c r="B317" s="4">
        <v>45489.375085336993</v>
      </c>
      <c r="C317" t="s">
        <v>10</v>
      </c>
      <c r="D317" t="s">
        <v>17</v>
      </c>
      <c r="E317" t="s">
        <v>24</v>
      </c>
      <c r="F317">
        <v>3132.18</v>
      </c>
    </row>
    <row r="318" spans="1:6" x14ac:dyDescent="0.35">
      <c r="A318">
        <v>1042</v>
      </c>
      <c r="B318" s="4">
        <v>45489.375085336993</v>
      </c>
      <c r="C318" t="s">
        <v>12</v>
      </c>
      <c r="D318" t="s">
        <v>20</v>
      </c>
      <c r="E318" t="s">
        <v>24</v>
      </c>
      <c r="F318">
        <v>3103.22</v>
      </c>
    </row>
    <row r="319" spans="1:6" x14ac:dyDescent="0.35">
      <c r="A319">
        <v>1289</v>
      </c>
      <c r="B319" s="4">
        <v>45489.375085336993</v>
      </c>
      <c r="C319" t="s">
        <v>13</v>
      </c>
      <c r="D319" t="s">
        <v>18</v>
      </c>
      <c r="E319" t="s">
        <v>25</v>
      </c>
      <c r="F319">
        <v>4877.7</v>
      </c>
    </row>
    <row r="320" spans="1:6" x14ac:dyDescent="0.35">
      <c r="A320">
        <v>1024</v>
      </c>
      <c r="B320" s="4">
        <v>45489.375085336993</v>
      </c>
      <c r="C320" t="s">
        <v>8</v>
      </c>
      <c r="D320" t="s">
        <v>18</v>
      </c>
      <c r="E320" t="s">
        <v>25</v>
      </c>
      <c r="F320">
        <v>2974.35</v>
      </c>
    </row>
    <row r="321" spans="1:6" x14ac:dyDescent="0.35">
      <c r="A321">
        <v>1248</v>
      </c>
      <c r="B321" s="4">
        <v>45490.375085336993</v>
      </c>
      <c r="C321" t="s">
        <v>6</v>
      </c>
      <c r="D321" t="s">
        <v>16</v>
      </c>
      <c r="E321" t="s">
        <v>25</v>
      </c>
      <c r="F321">
        <v>2088</v>
      </c>
    </row>
    <row r="322" spans="1:6" x14ac:dyDescent="0.35">
      <c r="A322">
        <v>1061</v>
      </c>
      <c r="B322" s="4">
        <v>45491.375085336993</v>
      </c>
      <c r="C322" t="s">
        <v>11</v>
      </c>
      <c r="D322" t="s">
        <v>20</v>
      </c>
      <c r="E322" t="s">
        <v>24</v>
      </c>
      <c r="F322">
        <v>1356.07</v>
      </c>
    </row>
    <row r="323" spans="1:6" x14ac:dyDescent="0.35">
      <c r="A323">
        <v>1052</v>
      </c>
      <c r="B323" s="4">
        <v>45491.375085336993</v>
      </c>
      <c r="C323" t="s">
        <v>15</v>
      </c>
      <c r="D323" t="s">
        <v>21</v>
      </c>
      <c r="E323" t="s">
        <v>24</v>
      </c>
      <c r="F323">
        <v>8422.39</v>
      </c>
    </row>
    <row r="324" spans="1:6" x14ac:dyDescent="0.35">
      <c r="A324">
        <v>1315</v>
      </c>
      <c r="B324" s="4">
        <v>45491.375085336993</v>
      </c>
      <c r="C324" t="s">
        <v>7</v>
      </c>
      <c r="D324" t="s">
        <v>16</v>
      </c>
      <c r="E324" t="s">
        <v>24</v>
      </c>
      <c r="F324">
        <v>6559.63</v>
      </c>
    </row>
    <row r="325" spans="1:6" x14ac:dyDescent="0.35">
      <c r="A325">
        <v>1154</v>
      </c>
      <c r="B325" s="4">
        <v>45492.375085336993</v>
      </c>
      <c r="C325" t="s">
        <v>11</v>
      </c>
      <c r="D325" t="s">
        <v>20</v>
      </c>
      <c r="E325" t="s">
        <v>24</v>
      </c>
      <c r="F325">
        <v>6216.99</v>
      </c>
    </row>
    <row r="326" spans="1:6" x14ac:dyDescent="0.35">
      <c r="A326">
        <v>1257</v>
      </c>
      <c r="B326" s="4">
        <v>45492.375085336993</v>
      </c>
      <c r="C326" t="s">
        <v>14</v>
      </c>
      <c r="D326" t="s">
        <v>16</v>
      </c>
      <c r="E326" t="s">
        <v>23</v>
      </c>
      <c r="F326">
        <v>1072.6199999999999</v>
      </c>
    </row>
    <row r="327" spans="1:6" x14ac:dyDescent="0.35">
      <c r="A327">
        <v>1057</v>
      </c>
      <c r="B327" s="4">
        <v>45492.375085336993</v>
      </c>
      <c r="C327" t="s">
        <v>10</v>
      </c>
      <c r="D327" t="s">
        <v>16</v>
      </c>
      <c r="E327" t="s">
        <v>25</v>
      </c>
      <c r="F327">
        <v>4471.58</v>
      </c>
    </row>
    <row r="328" spans="1:6" x14ac:dyDescent="0.35">
      <c r="A328">
        <v>1300</v>
      </c>
      <c r="B328" s="4">
        <v>45492.375085336993</v>
      </c>
      <c r="C328" t="s">
        <v>13</v>
      </c>
      <c r="D328" t="s">
        <v>16</v>
      </c>
      <c r="E328" t="s">
        <v>25</v>
      </c>
      <c r="F328">
        <v>3690</v>
      </c>
    </row>
    <row r="329" spans="1:6" x14ac:dyDescent="0.35">
      <c r="A329">
        <v>1300</v>
      </c>
      <c r="B329" s="4">
        <v>45493.375085336993</v>
      </c>
      <c r="C329" t="s">
        <v>8</v>
      </c>
      <c r="D329" t="s">
        <v>18</v>
      </c>
      <c r="E329" t="s">
        <v>24</v>
      </c>
      <c r="F329">
        <v>9389.9699999999993</v>
      </c>
    </row>
    <row r="330" spans="1:6" x14ac:dyDescent="0.35">
      <c r="A330">
        <v>1215</v>
      </c>
      <c r="B330" s="4">
        <v>45493.375085336993</v>
      </c>
      <c r="C330" t="s">
        <v>10</v>
      </c>
      <c r="D330" t="s">
        <v>18</v>
      </c>
      <c r="E330" t="s">
        <v>23</v>
      </c>
      <c r="F330">
        <v>7551.75</v>
      </c>
    </row>
    <row r="331" spans="1:6" x14ac:dyDescent="0.35">
      <c r="A331">
        <v>1292</v>
      </c>
      <c r="B331" s="4">
        <v>45493.375085336993</v>
      </c>
      <c r="C331" t="s">
        <v>11</v>
      </c>
      <c r="D331" t="s">
        <v>17</v>
      </c>
      <c r="E331" t="s">
        <v>24</v>
      </c>
      <c r="F331">
        <v>2583.4299999999998</v>
      </c>
    </row>
    <row r="332" spans="1:6" x14ac:dyDescent="0.35">
      <c r="A332">
        <v>1008</v>
      </c>
      <c r="B332" s="4">
        <v>45493.375085336993</v>
      </c>
      <c r="C332" t="s">
        <v>10</v>
      </c>
      <c r="D332" t="s">
        <v>18</v>
      </c>
      <c r="E332" t="s">
        <v>23</v>
      </c>
      <c r="F332">
        <v>542.91</v>
      </c>
    </row>
    <row r="333" spans="1:6" x14ac:dyDescent="0.35">
      <c r="A333">
        <v>1279</v>
      </c>
      <c r="B333" s="4">
        <v>45493.375085336993</v>
      </c>
      <c r="C333" t="s">
        <v>7</v>
      </c>
      <c r="D333" t="s">
        <v>20</v>
      </c>
      <c r="E333" t="s">
        <v>25</v>
      </c>
      <c r="F333">
        <v>5294.88</v>
      </c>
    </row>
    <row r="334" spans="1:6" x14ac:dyDescent="0.35">
      <c r="A334">
        <v>1212</v>
      </c>
      <c r="B334" s="4">
        <v>45494.375085336993</v>
      </c>
      <c r="C334" t="s">
        <v>9</v>
      </c>
      <c r="D334" t="s">
        <v>21</v>
      </c>
      <c r="E334" t="s">
        <v>23</v>
      </c>
      <c r="F334">
        <v>3632.2</v>
      </c>
    </row>
    <row r="335" spans="1:6" x14ac:dyDescent="0.35">
      <c r="A335">
        <v>1103</v>
      </c>
      <c r="B335" s="4">
        <v>45494.375085336993</v>
      </c>
      <c r="C335" t="s">
        <v>11</v>
      </c>
      <c r="D335" t="s">
        <v>21</v>
      </c>
      <c r="E335" t="s">
        <v>24</v>
      </c>
      <c r="F335">
        <v>6745.87</v>
      </c>
    </row>
    <row r="336" spans="1:6" x14ac:dyDescent="0.35">
      <c r="A336">
        <v>1129</v>
      </c>
      <c r="B336" s="4">
        <v>45494.375085336993</v>
      </c>
      <c r="C336" t="s">
        <v>14</v>
      </c>
      <c r="D336" t="s">
        <v>21</v>
      </c>
      <c r="E336" t="s">
        <v>25</v>
      </c>
      <c r="F336">
        <v>4037.88</v>
      </c>
    </row>
    <row r="337" spans="1:6" x14ac:dyDescent="0.35">
      <c r="A337">
        <v>1000</v>
      </c>
      <c r="B337" s="4">
        <v>45495.375085336993</v>
      </c>
      <c r="C337" t="s">
        <v>10</v>
      </c>
      <c r="D337" t="s">
        <v>17</v>
      </c>
      <c r="E337" t="s">
        <v>24</v>
      </c>
      <c r="F337">
        <v>7698.96</v>
      </c>
    </row>
    <row r="338" spans="1:6" x14ac:dyDescent="0.35">
      <c r="A338">
        <v>1085</v>
      </c>
      <c r="B338" s="4">
        <v>45495.375085336993</v>
      </c>
      <c r="C338" t="s">
        <v>8</v>
      </c>
      <c r="D338" t="s">
        <v>18</v>
      </c>
      <c r="E338" t="s">
        <v>23</v>
      </c>
      <c r="F338">
        <v>4433.66</v>
      </c>
    </row>
    <row r="339" spans="1:6" x14ac:dyDescent="0.35">
      <c r="A339">
        <v>1135</v>
      </c>
      <c r="B339" s="4">
        <v>45495.375085336993</v>
      </c>
      <c r="C339" t="s">
        <v>10</v>
      </c>
      <c r="D339" t="s">
        <v>22</v>
      </c>
      <c r="E339" t="s">
        <v>23</v>
      </c>
      <c r="F339">
        <v>2778.16</v>
      </c>
    </row>
    <row r="340" spans="1:6" x14ac:dyDescent="0.35">
      <c r="A340">
        <v>1107</v>
      </c>
      <c r="B340" s="4">
        <v>45495.375085336993</v>
      </c>
      <c r="C340" t="s">
        <v>10</v>
      </c>
      <c r="D340" t="s">
        <v>20</v>
      </c>
      <c r="E340" t="s">
        <v>24</v>
      </c>
      <c r="F340">
        <v>316.27999999999997</v>
      </c>
    </row>
    <row r="341" spans="1:6" x14ac:dyDescent="0.35">
      <c r="A341">
        <v>1000</v>
      </c>
      <c r="B341" s="4">
        <v>45496.375085336993</v>
      </c>
      <c r="C341" t="s">
        <v>14</v>
      </c>
      <c r="D341" t="s">
        <v>22</v>
      </c>
      <c r="E341" t="s">
        <v>23</v>
      </c>
      <c r="F341">
        <v>1241.18</v>
      </c>
    </row>
    <row r="342" spans="1:6" x14ac:dyDescent="0.35">
      <c r="A342">
        <v>1346</v>
      </c>
      <c r="B342" s="4">
        <v>45496.375085336993</v>
      </c>
      <c r="C342" t="s">
        <v>11</v>
      </c>
      <c r="D342" t="s">
        <v>21</v>
      </c>
      <c r="E342" t="s">
        <v>23</v>
      </c>
      <c r="F342">
        <v>3880.86</v>
      </c>
    </row>
    <row r="343" spans="1:6" x14ac:dyDescent="0.35">
      <c r="A343">
        <v>1331</v>
      </c>
      <c r="B343" s="4">
        <v>45496.375085336993</v>
      </c>
      <c r="C343" t="s">
        <v>10</v>
      </c>
      <c r="D343" t="s">
        <v>17</v>
      </c>
      <c r="E343" t="s">
        <v>23</v>
      </c>
      <c r="F343">
        <v>4155.68</v>
      </c>
    </row>
    <row r="344" spans="1:6" x14ac:dyDescent="0.35">
      <c r="A344">
        <v>1006</v>
      </c>
      <c r="B344" s="4">
        <v>45496.375085336993</v>
      </c>
      <c r="C344" t="s">
        <v>14</v>
      </c>
      <c r="D344" t="s">
        <v>22</v>
      </c>
      <c r="E344" t="s">
        <v>23</v>
      </c>
      <c r="F344">
        <v>7055.43</v>
      </c>
    </row>
    <row r="345" spans="1:6" x14ac:dyDescent="0.35">
      <c r="A345">
        <v>1397</v>
      </c>
      <c r="B345" s="4">
        <v>45497.375085336993</v>
      </c>
      <c r="C345" t="s">
        <v>12</v>
      </c>
      <c r="D345" t="s">
        <v>19</v>
      </c>
      <c r="E345" t="s">
        <v>24</v>
      </c>
      <c r="F345">
        <v>4151.67</v>
      </c>
    </row>
    <row r="346" spans="1:6" x14ac:dyDescent="0.35">
      <c r="A346">
        <v>1160</v>
      </c>
      <c r="B346" s="4">
        <v>45497.375085336993</v>
      </c>
      <c r="C346" t="s">
        <v>6</v>
      </c>
      <c r="D346" t="s">
        <v>17</v>
      </c>
      <c r="E346" t="s">
        <v>24</v>
      </c>
      <c r="F346">
        <v>6854.64</v>
      </c>
    </row>
    <row r="347" spans="1:6" x14ac:dyDescent="0.35">
      <c r="A347">
        <v>1078</v>
      </c>
      <c r="B347" s="4">
        <v>45498.375085336993</v>
      </c>
      <c r="C347" t="s">
        <v>7</v>
      </c>
      <c r="D347" t="s">
        <v>17</v>
      </c>
      <c r="E347" t="s">
        <v>24</v>
      </c>
      <c r="F347">
        <v>1571.55</v>
      </c>
    </row>
    <row r="348" spans="1:6" x14ac:dyDescent="0.35">
      <c r="A348">
        <v>1083</v>
      </c>
      <c r="B348" s="4">
        <v>45498.375085336993</v>
      </c>
      <c r="C348" t="s">
        <v>14</v>
      </c>
      <c r="D348" t="s">
        <v>16</v>
      </c>
      <c r="E348" t="s">
        <v>24</v>
      </c>
      <c r="F348">
        <v>2328.5100000000002</v>
      </c>
    </row>
    <row r="349" spans="1:6" x14ac:dyDescent="0.35">
      <c r="A349">
        <v>1170</v>
      </c>
      <c r="B349" s="4">
        <v>45498.375085336993</v>
      </c>
      <c r="C349" t="s">
        <v>11</v>
      </c>
      <c r="D349" t="s">
        <v>17</v>
      </c>
      <c r="E349" t="s">
        <v>25</v>
      </c>
      <c r="F349">
        <v>4250.49</v>
      </c>
    </row>
    <row r="350" spans="1:6" x14ac:dyDescent="0.35">
      <c r="A350">
        <v>1095</v>
      </c>
      <c r="B350" s="4">
        <v>45498.375085336993</v>
      </c>
      <c r="C350" t="s">
        <v>7</v>
      </c>
      <c r="D350" t="s">
        <v>21</v>
      </c>
      <c r="E350" t="s">
        <v>25</v>
      </c>
      <c r="F350">
        <v>8074.14</v>
      </c>
    </row>
    <row r="351" spans="1:6" x14ac:dyDescent="0.35">
      <c r="A351">
        <v>1096</v>
      </c>
      <c r="B351" s="4">
        <v>45498.375085336993</v>
      </c>
      <c r="C351" t="s">
        <v>10</v>
      </c>
      <c r="D351" t="s">
        <v>17</v>
      </c>
      <c r="E351" t="s">
        <v>23</v>
      </c>
      <c r="F351">
        <v>636.16</v>
      </c>
    </row>
    <row r="352" spans="1:6" x14ac:dyDescent="0.35">
      <c r="A352">
        <v>1380</v>
      </c>
      <c r="B352" s="4">
        <v>45498.375085336993</v>
      </c>
      <c r="C352" t="s">
        <v>7</v>
      </c>
      <c r="D352" t="s">
        <v>21</v>
      </c>
      <c r="E352" t="s">
        <v>23</v>
      </c>
      <c r="F352">
        <v>1820.46</v>
      </c>
    </row>
    <row r="353" spans="1:6" x14ac:dyDescent="0.35">
      <c r="A353">
        <v>1302</v>
      </c>
      <c r="B353" s="4">
        <v>45498.375085336993</v>
      </c>
      <c r="C353" t="s">
        <v>14</v>
      </c>
      <c r="D353" t="s">
        <v>16</v>
      </c>
      <c r="E353" t="s">
        <v>25</v>
      </c>
      <c r="F353">
        <v>758.86</v>
      </c>
    </row>
    <row r="354" spans="1:6" x14ac:dyDescent="0.35">
      <c r="A354">
        <v>1103</v>
      </c>
      <c r="B354" s="4">
        <v>45498.375085336993</v>
      </c>
      <c r="C354" t="s">
        <v>8</v>
      </c>
      <c r="D354" t="s">
        <v>18</v>
      </c>
      <c r="E354" t="s">
        <v>24</v>
      </c>
      <c r="F354">
        <v>2826.13</v>
      </c>
    </row>
    <row r="355" spans="1:6" x14ac:dyDescent="0.35">
      <c r="A355">
        <v>1250</v>
      </c>
      <c r="B355" s="4">
        <v>45499.375085336993</v>
      </c>
      <c r="C355" t="s">
        <v>12</v>
      </c>
      <c r="D355" t="s">
        <v>20</v>
      </c>
      <c r="E355" t="s">
        <v>23</v>
      </c>
      <c r="F355">
        <v>4750.09</v>
      </c>
    </row>
    <row r="356" spans="1:6" x14ac:dyDescent="0.35">
      <c r="A356">
        <v>1153</v>
      </c>
      <c r="B356" s="4">
        <v>45499.375085336993</v>
      </c>
      <c r="C356" t="s">
        <v>10</v>
      </c>
      <c r="D356" t="s">
        <v>22</v>
      </c>
      <c r="E356" t="s">
        <v>25</v>
      </c>
      <c r="F356">
        <v>3219.89</v>
      </c>
    </row>
    <row r="357" spans="1:6" x14ac:dyDescent="0.35">
      <c r="A357">
        <v>1362</v>
      </c>
      <c r="B357" s="4">
        <v>45500.375085336993</v>
      </c>
      <c r="C357" t="s">
        <v>15</v>
      </c>
      <c r="D357" t="s">
        <v>16</v>
      </c>
      <c r="E357" t="s">
        <v>25</v>
      </c>
      <c r="F357">
        <v>6884.27</v>
      </c>
    </row>
    <row r="358" spans="1:6" x14ac:dyDescent="0.35">
      <c r="A358">
        <v>1345</v>
      </c>
      <c r="B358" s="4">
        <v>45501.375085336993</v>
      </c>
      <c r="C358" t="s">
        <v>7</v>
      </c>
      <c r="D358" t="s">
        <v>20</v>
      </c>
      <c r="E358" t="s">
        <v>23</v>
      </c>
      <c r="F358">
        <v>2434.04</v>
      </c>
    </row>
    <row r="359" spans="1:6" x14ac:dyDescent="0.35">
      <c r="A359">
        <v>1268</v>
      </c>
      <c r="B359" s="4">
        <v>45501.375085336993</v>
      </c>
      <c r="C359" t="s">
        <v>11</v>
      </c>
      <c r="D359" t="s">
        <v>19</v>
      </c>
      <c r="E359" t="s">
        <v>23</v>
      </c>
      <c r="F359">
        <v>5135.6499999999996</v>
      </c>
    </row>
    <row r="360" spans="1:6" x14ac:dyDescent="0.35">
      <c r="A360">
        <v>1157</v>
      </c>
      <c r="B360" s="4">
        <v>45501.375085336993</v>
      </c>
      <c r="C360" t="s">
        <v>15</v>
      </c>
      <c r="D360" t="s">
        <v>19</v>
      </c>
      <c r="E360" t="s">
        <v>24</v>
      </c>
      <c r="F360">
        <v>2686.74</v>
      </c>
    </row>
    <row r="361" spans="1:6" x14ac:dyDescent="0.35">
      <c r="A361">
        <v>1147</v>
      </c>
      <c r="B361" s="4">
        <v>45501.375085336993</v>
      </c>
      <c r="C361" t="s">
        <v>15</v>
      </c>
      <c r="D361" t="s">
        <v>21</v>
      </c>
      <c r="E361" t="s">
        <v>23</v>
      </c>
      <c r="F361">
        <v>3857.23</v>
      </c>
    </row>
    <row r="362" spans="1:6" x14ac:dyDescent="0.35">
      <c r="A362">
        <v>1394</v>
      </c>
      <c r="B362" s="4">
        <v>45501.375085336993</v>
      </c>
      <c r="C362" t="s">
        <v>13</v>
      </c>
      <c r="D362" t="s">
        <v>20</v>
      </c>
      <c r="E362" t="s">
        <v>24</v>
      </c>
      <c r="F362">
        <v>4473.55</v>
      </c>
    </row>
    <row r="363" spans="1:6" x14ac:dyDescent="0.35">
      <c r="A363">
        <v>1249</v>
      </c>
      <c r="B363" s="4">
        <v>45502.375085336993</v>
      </c>
      <c r="C363" t="s">
        <v>9</v>
      </c>
      <c r="D363" t="s">
        <v>16</v>
      </c>
      <c r="E363" t="s">
        <v>25</v>
      </c>
      <c r="F363">
        <v>6417.38</v>
      </c>
    </row>
    <row r="364" spans="1:6" x14ac:dyDescent="0.35">
      <c r="A364">
        <v>1058</v>
      </c>
      <c r="B364" s="4">
        <v>45502.375085336993</v>
      </c>
      <c r="C364" t="s">
        <v>8</v>
      </c>
      <c r="D364" t="s">
        <v>20</v>
      </c>
      <c r="E364" t="s">
        <v>24</v>
      </c>
      <c r="F364">
        <v>2460.7199999999998</v>
      </c>
    </row>
    <row r="365" spans="1:6" x14ac:dyDescent="0.35">
      <c r="A365">
        <v>1159</v>
      </c>
      <c r="B365" s="4">
        <v>45502.375085336993</v>
      </c>
      <c r="C365" t="s">
        <v>9</v>
      </c>
      <c r="D365" t="s">
        <v>19</v>
      </c>
      <c r="E365" t="s">
        <v>24</v>
      </c>
      <c r="F365">
        <v>6632.92</v>
      </c>
    </row>
    <row r="366" spans="1:6" x14ac:dyDescent="0.35">
      <c r="A366">
        <v>1007</v>
      </c>
      <c r="B366" s="4">
        <v>45503.375085336993</v>
      </c>
      <c r="C366" t="s">
        <v>6</v>
      </c>
      <c r="D366" t="s">
        <v>18</v>
      </c>
      <c r="E366" t="s">
        <v>24</v>
      </c>
      <c r="F366">
        <v>4982.91</v>
      </c>
    </row>
    <row r="367" spans="1:6" x14ac:dyDescent="0.35">
      <c r="A367">
        <v>1159</v>
      </c>
      <c r="B367" s="4">
        <v>45503.375085336993</v>
      </c>
      <c r="C367" t="s">
        <v>14</v>
      </c>
      <c r="D367" t="s">
        <v>19</v>
      </c>
      <c r="E367" t="s">
        <v>23</v>
      </c>
      <c r="F367">
        <v>964.48</v>
      </c>
    </row>
    <row r="368" spans="1:6" x14ac:dyDescent="0.35">
      <c r="A368">
        <v>1025</v>
      </c>
      <c r="B368" s="4">
        <v>45503.375085336993</v>
      </c>
      <c r="C368" t="s">
        <v>7</v>
      </c>
      <c r="D368" t="s">
        <v>21</v>
      </c>
      <c r="E368" t="s">
        <v>23</v>
      </c>
      <c r="F368">
        <v>4373.87</v>
      </c>
    </row>
    <row r="369" spans="1:6" x14ac:dyDescent="0.35">
      <c r="A369">
        <v>1085</v>
      </c>
      <c r="B369" s="4">
        <v>45503.375085336993</v>
      </c>
      <c r="C369" t="s">
        <v>7</v>
      </c>
      <c r="D369" t="s">
        <v>22</v>
      </c>
      <c r="E369" t="s">
        <v>23</v>
      </c>
      <c r="F369">
        <v>7222.74</v>
      </c>
    </row>
    <row r="370" spans="1:6" x14ac:dyDescent="0.35">
      <c r="A370">
        <v>1180</v>
      </c>
      <c r="B370" s="4">
        <v>45504.375085336993</v>
      </c>
      <c r="C370" t="s">
        <v>9</v>
      </c>
      <c r="D370" t="s">
        <v>17</v>
      </c>
      <c r="E370" t="s">
        <v>24</v>
      </c>
      <c r="F370">
        <v>5988.3</v>
      </c>
    </row>
    <row r="371" spans="1:6" x14ac:dyDescent="0.35">
      <c r="A371">
        <v>1212</v>
      </c>
      <c r="B371" s="4">
        <v>45504.375085336993</v>
      </c>
      <c r="C371" t="s">
        <v>12</v>
      </c>
      <c r="D371" t="s">
        <v>22</v>
      </c>
      <c r="E371" t="s">
        <v>25</v>
      </c>
      <c r="F371">
        <v>7890.35</v>
      </c>
    </row>
    <row r="372" spans="1:6" x14ac:dyDescent="0.35">
      <c r="A372">
        <v>1083</v>
      </c>
      <c r="B372" s="4">
        <v>45504.375085336993</v>
      </c>
      <c r="C372" t="s">
        <v>10</v>
      </c>
      <c r="D372" t="s">
        <v>17</v>
      </c>
      <c r="E372" t="s">
        <v>24</v>
      </c>
      <c r="F372">
        <v>3573.84</v>
      </c>
    </row>
    <row r="373" spans="1:6" x14ac:dyDescent="0.35">
      <c r="A373">
        <v>1041</v>
      </c>
      <c r="B373" s="4">
        <v>45505.375085336993</v>
      </c>
      <c r="C373" t="s">
        <v>15</v>
      </c>
      <c r="D373" t="s">
        <v>21</v>
      </c>
      <c r="E373" t="s">
        <v>25</v>
      </c>
      <c r="F373">
        <v>3245.23</v>
      </c>
    </row>
    <row r="374" spans="1:6" x14ac:dyDescent="0.35">
      <c r="A374">
        <v>1170</v>
      </c>
      <c r="B374" s="4">
        <v>45505.375085336993</v>
      </c>
      <c r="C374" t="s">
        <v>9</v>
      </c>
      <c r="D374" t="s">
        <v>21</v>
      </c>
      <c r="E374" t="s">
        <v>25</v>
      </c>
      <c r="F374">
        <v>5184.45</v>
      </c>
    </row>
    <row r="375" spans="1:6" x14ac:dyDescent="0.35">
      <c r="A375">
        <v>1066</v>
      </c>
      <c r="B375" s="4">
        <v>45505.375085336993</v>
      </c>
      <c r="C375" t="s">
        <v>14</v>
      </c>
      <c r="D375" t="s">
        <v>18</v>
      </c>
      <c r="E375" t="s">
        <v>23</v>
      </c>
      <c r="F375">
        <v>2169.4699999999998</v>
      </c>
    </row>
    <row r="376" spans="1:6" x14ac:dyDescent="0.35">
      <c r="A376">
        <v>1024</v>
      </c>
      <c r="B376" s="4">
        <v>45505.375085336993</v>
      </c>
      <c r="C376" t="s">
        <v>10</v>
      </c>
      <c r="D376" t="s">
        <v>20</v>
      </c>
      <c r="E376" t="s">
        <v>25</v>
      </c>
      <c r="F376">
        <v>2715.35</v>
      </c>
    </row>
    <row r="377" spans="1:6" x14ac:dyDescent="0.35">
      <c r="A377">
        <v>1273</v>
      </c>
      <c r="B377" s="4">
        <v>45506.375085336993</v>
      </c>
      <c r="C377" t="s">
        <v>15</v>
      </c>
      <c r="D377" t="s">
        <v>22</v>
      </c>
      <c r="E377" t="s">
        <v>23</v>
      </c>
      <c r="F377">
        <v>1484.7</v>
      </c>
    </row>
    <row r="378" spans="1:6" x14ac:dyDescent="0.35">
      <c r="A378">
        <v>1153</v>
      </c>
      <c r="B378" s="4">
        <v>45506.375085336993</v>
      </c>
      <c r="C378" t="s">
        <v>11</v>
      </c>
      <c r="D378" t="s">
        <v>21</v>
      </c>
      <c r="E378" t="s">
        <v>25</v>
      </c>
      <c r="F378">
        <v>2146.2399999999998</v>
      </c>
    </row>
    <row r="379" spans="1:6" x14ac:dyDescent="0.35">
      <c r="A379">
        <v>1141</v>
      </c>
      <c r="B379" s="4">
        <v>45506.375085336993</v>
      </c>
      <c r="C379" t="s">
        <v>12</v>
      </c>
      <c r="D379" t="s">
        <v>19</v>
      </c>
      <c r="E379" t="s">
        <v>25</v>
      </c>
      <c r="F379">
        <v>2764.68</v>
      </c>
    </row>
    <row r="380" spans="1:6" x14ac:dyDescent="0.35">
      <c r="A380">
        <v>1088</v>
      </c>
      <c r="B380" s="4">
        <v>45507.375085336993</v>
      </c>
      <c r="C380" t="s">
        <v>14</v>
      </c>
      <c r="D380" t="s">
        <v>16</v>
      </c>
      <c r="E380" t="s">
        <v>25</v>
      </c>
      <c r="F380">
        <v>1339.48</v>
      </c>
    </row>
    <row r="381" spans="1:6" x14ac:dyDescent="0.35">
      <c r="A381">
        <v>1351</v>
      </c>
      <c r="B381" s="4">
        <v>45507.375085336993</v>
      </c>
      <c r="C381" t="s">
        <v>15</v>
      </c>
      <c r="D381" t="s">
        <v>22</v>
      </c>
      <c r="E381" t="s">
        <v>25</v>
      </c>
      <c r="F381">
        <v>2180.73</v>
      </c>
    </row>
    <row r="382" spans="1:6" x14ac:dyDescent="0.35">
      <c r="A382">
        <v>1392</v>
      </c>
      <c r="B382" s="4">
        <v>45507.375085336993</v>
      </c>
      <c r="C382" t="s">
        <v>8</v>
      </c>
      <c r="D382" t="s">
        <v>22</v>
      </c>
      <c r="E382" t="s">
        <v>24</v>
      </c>
      <c r="F382">
        <v>4507.1400000000003</v>
      </c>
    </row>
    <row r="383" spans="1:6" x14ac:dyDescent="0.35">
      <c r="A383">
        <v>1317</v>
      </c>
      <c r="B383" s="4">
        <v>45507.375085336993</v>
      </c>
      <c r="C383" t="s">
        <v>15</v>
      </c>
      <c r="D383" t="s">
        <v>17</v>
      </c>
      <c r="E383" t="s">
        <v>24</v>
      </c>
      <c r="F383">
        <v>3408.36</v>
      </c>
    </row>
    <row r="384" spans="1:6" x14ac:dyDescent="0.35">
      <c r="A384">
        <v>1040</v>
      </c>
      <c r="B384" s="4">
        <v>45507.375085336993</v>
      </c>
      <c r="C384" t="s">
        <v>11</v>
      </c>
      <c r="D384" t="s">
        <v>16</v>
      </c>
      <c r="E384" t="s">
        <v>25</v>
      </c>
      <c r="F384">
        <v>11048.72</v>
      </c>
    </row>
    <row r="385" spans="1:6" x14ac:dyDescent="0.35">
      <c r="A385">
        <v>1015</v>
      </c>
      <c r="B385" s="4">
        <v>45508.375085336993</v>
      </c>
      <c r="C385" t="s">
        <v>7</v>
      </c>
      <c r="D385" t="s">
        <v>20</v>
      </c>
      <c r="E385" t="s">
        <v>23</v>
      </c>
      <c r="F385">
        <v>1663.8</v>
      </c>
    </row>
    <row r="386" spans="1:6" x14ac:dyDescent="0.35">
      <c r="A386">
        <v>1119</v>
      </c>
      <c r="B386" s="4">
        <v>45508.375085336993</v>
      </c>
      <c r="C386" t="s">
        <v>12</v>
      </c>
      <c r="D386" t="s">
        <v>19</v>
      </c>
      <c r="E386" t="s">
        <v>23</v>
      </c>
      <c r="F386">
        <v>1423.72</v>
      </c>
    </row>
    <row r="387" spans="1:6" x14ac:dyDescent="0.35">
      <c r="A387">
        <v>1284</v>
      </c>
      <c r="B387" s="4">
        <v>45508.375085336993</v>
      </c>
      <c r="C387" t="s">
        <v>10</v>
      </c>
      <c r="D387" t="s">
        <v>19</v>
      </c>
      <c r="E387" t="s">
        <v>23</v>
      </c>
      <c r="F387">
        <v>6403.89</v>
      </c>
    </row>
    <row r="388" spans="1:6" x14ac:dyDescent="0.35">
      <c r="A388">
        <v>1161</v>
      </c>
      <c r="B388" s="4">
        <v>45509.375085336993</v>
      </c>
      <c r="C388" t="s">
        <v>15</v>
      </c>
      <c r="D388" t="s">
        <v>19</v>
      </c>
      <c r="E388" t="s">
        <v>23</v>
      </c>
      <c r="F388">
        <v>3921.31</v>
      </c>
    </row>
    <row r="389" spans="1:6" x14ac:dyDescent="0.35">
      <c r="A389">
        <v>1201</v>
      </c>
      <c r="B389" s="4">
        <v>45509.375085336993</v>
      </c>
      <c r="C389" t="s">
        <v>9</v>
      </c>
      <c r="D389" t="s">
        <v>19</v>
      </c>
      <c r="E389" t="s">
        <v>23</v>
      </c>
      <c r="F389">
        <v>2669.55</v>
      </c>
    </row>
    <row r="390" spans="1:6" x14ac:dyDescent="0.35">
      <c r="A390">
        <v>1202</v>
      </c>
      <c r="B390" s="4">
        <v>45509.375085336993</v>
      </c>
      <c r="C390" t="s">
        <v>9</v>
      </c>
      <c r="D390" t="s">
        <v>22</v>
      </c>
      <c r="E390" t="s">
        <v>23</v>
      </c>
      <c r="F390">
        <v>3527.05</v>
      </c>
    </row>
    <row r="391" spans="1:6" x14ac:dyDescent="0.35">
      <c r="A391">
        <v>1133</v>
      </c>
      <c r="B391" s="4">
        <v>45509.375085336993</v>
      </c>
      <c r="C391" t="s">
        <v>6</v>
      </c>
      <c r="D391" t="s">
        <v>22</v>
      </c>
      <c r="E391" t="s">
        <v>24</v>
      </c>
      <c r="F391">
        <v>5710.57</v>
      </c>
    </row>
    <row r="392" spans="1:6" x14ac:dyDescent="0.35">
      <c r="A392">
        <v>1268</v>
      </c>
      <c r="B392" s="4">
        <v>45509.375085336993</v>
      </c>
      <c r="C392" t="s">
        <v>9</v>
      </c>
      <c r="D392" t="s">
        <v>21</v>
      </c>
      <c r="E392" t="s">
        <v>24</v>
      </c>
      <c r="F392">
        <v>2043.25</v>
      </c>
    </row>
    <row r="393" spans="1:6" x14ac:dyDescent="0.35">
      <c r="A393">
        <v>1037</v>
      </c>
      <c r="B393" s="4">
        <v>45509.375085336993</v>
      </c>
      <c r="C393" t="s">
        <v>14</v>
      </c>
      <c r="D393" t="s">
        <v>17</v>
      </c>
      <c r="E393" t="s">
        <v>23</v>
      </c>
      <c r="F393">
        <v>5349.19</v>
      </c>
    </row>
    <row r="394" spans="1:6" x14ac:dyDescent="0.35">
      <c r="A394">
        <v>1125</v>
      </c>
      <c r="B394" s="4">
        <v>45509.375085336993</v>
      </c>
      <c r="C394" t="s">
        <v>14</v>
      </c>
      <c r="D394" t="s">
        <v>19</v>
      </c>
      <c r="E394" t="s">
        <v>24</v>
      </c>
      <c r="F394">
        <v>3748.33</v>
      </c>
    </row>
    <row r="395" spans="1:6" x14ac:dyDescent="0.35">
      <c r="A395">
        <v>1036</v>
      </c>
      <c r="B395" s="4">
        <v>45509.375085336993</v>
      </c>
      <c r="C395" t="s">
        <v>15</v>
      </c>
      <c r="D395" t="s">
        <v>20</v>
      </c>
      <c r="E395" t="s">
        <v>25</v>
      </c>
      <c r="F395">
        <v>368.86</v>
      </c>
    </row>
    <row r="396" spans="1:6" x14ac:dyDescent="0.35">
      <c r="A396">
        <v>1160</v>
      </c>
      <c r="B396" s="4">
        <v>45510.375085336993</v>
      </c>
      <c r="C396" t="s">
        <v>12</v>
      </c>
      <c r="D396" t="s">
        <v>18</v>
      </c>
      <c r="E396" t="s">
        <v>23</v>
      </c>
      <c r="F396">
        <v>4296.01</v>
      </c>
    </row>
    <row r="397" spans="1:6" x14ac:dyDescent="0.35">
      <c r="A397">
        <v>1101</v>
      </c>
      <c r="B397" s="4">
        <v>45510.375085336993</v>
      </c>
      <c r="C397" t="s">
        <v>11</v>
      </c>
      <c r="D397" t="s">
        <v>19</v>
      </c>
      <c r="E397" t="s">
        <v>24</v>
      </c>
      <c r="F397">
        <v>4075.55</v>
      </c>
    </row>
    <row r="398" spans="1:6" x14ac:dyDescent="0.35">
      <c r="A398">
        <v>1301</v>
      </c>
      <c r="B398" s="4">
        <v>45510.375085336993</v>
      </c>
      <c r="C398" t="s">
        <v>6</v>
      </c>
      <c r="D398" t="s">
        <v>22</v>
      </c>
      <c r="E398" t="s">
        <v>24</v>
      </c>
      <c r="F398">
        <v>4785.3</v>
      </c>
    </row>
    <row r="399" spans="1:6" x14ac:dyDescent="0.35">
      <c r="A399">
        <v>1271</v>
      </c>
      <c r="B399" s="4">
        <v>45510.375085336993</v>
      </c>
      <c r="C399" t="s">
        <v>13</v>
      </c>
      <c r="D399" t="s">
        <v>19</v>
      </c>
      <c r="E399" t="s">
        <v>23</v>
      </c>
      <c r="F399">
        <v>2762.08</v>
      </c>
    </row>
    <row r="400" spans="1:6" x14ac:dyDescent="0.35">
      <c r="A400">
        <v>1142</v>
      </c>
      <c r="B400" s="4">
        <v>45511.375085336993</v>
      </c>
      <c r="C400" t="s">
        <v>9</v>
      </c>
      <c r="D400" t="s">
        <v>20</v>
      </c>
      <c r="E400" t="s">
        <v>24</v>
      </c>
      <c r="F400">
        <v>11961.39</v>
      </c>
    </row>
    <row r="401" spans="1:6" x14ac:dyDescent="0.35">
      <c r="A401">
        <v>1151</v>
      </c>
      <c r="B401" s="4">
        <v>45511.375085336993</v>
      </c>
      <c r="C401" t="s">
        <v>11</v>
      </c>
      <c r="D401" t="s">
        <v>18</v>
      </c>
      <c r="E401" t="s">
        <v>24</v>
      </c>
      <c r="F401">
        <v>1073.77</v>
      </c>
    </row>
    <row r="402" spans="1:6" x14ac:dyDescent="0.35">
      <c r="A402">
        <v>1128</v>
      </c>
      <c r="B402" s="4">
        <v>45511.375085336993</v>
      </c>
      <c r="C402" t="s">
        <v>6</v>
      </c>
      <c r="D402" t="s">
        <v>18</v>
      </c>
      <c r="E402" t="s">
        <v>25</v>
      </c>
      <c r="F402">
        <v>5173.16</v>
      </c>
    </row>
    <row r="403" spans="1:6" x14ac:dyDescent="0.35">
      <c r="A403">
        <v>1012</v>
      </c>
      <c r="B403" s="4">
        <v>45512.375085336993</v>
      </c>
      <c r="C403" t="s">
        <v>6</v>
      </c>
      <c r="D403" t="s">
        <v>17</v>
      </c>
      <c r="E403" t="s">
        <v>24</v>
      </c>
      <c r="F403">
        <v>3681.81</v>
      </c>
    </row>
    <row r="404" spans="1:6" x14ac:dyDescent="0.35">
      <c r="A404">
        <v>1145</v>
      </c>
      <c r="B404" s="4">
        <v>45512.375085336993</v>
      </c>
      <c r="C404" t="s">
        <v>14</v>
      </c>
      <c r="D404" t="s">
        <v>19</v>
      </c>
      <c r="E404" t="s">
        <v>23</v>
      </c>
      <c r="F404">
        <v>5012.57</v>
      </c>
    </row>
    <row r="405" spans="1:6" x14ac:dyDescent="0.35">
      <c r="A405">
        <v>1153</v>
      </c>
      <c r="B405" s="4">
        <v>45512.375085336993</v>
      </c>
      <c r="C405" t="s">
        <v>15</v>
      </c>
      <c r="D405" t="s">
        <v>19</v>
      </c>
      <c r="E405" t="s">
        <v>23</v>
      </c>
      <c r="F405">
        <v>619.78</v>
      </c>
    </row>
    <row r="406" spans="1:6" x14ac:dyDescent="0.35">
      <c r="A406">
        <v>1228</v>
      </c>
      <c r="B406" s="4">
        <v>45513.375085336993</v>
      </c>
      <c r="C406" t="s">
        <v>15</v>
      </c>
      <c r="D406" t="s">
        <v>17</v>
      </c>
      <c r="E406" t="s">
        <v>23</v>
      </c>
      <c r="F406">
        <v>3641.84</v>
      </c>
    </row>
    <row r="407" spans="1:6" x14ac:dyDescent="0.35">
      <c r="A407">
        <v>1024</v>
      </c>
      <c r="B407" s="4">
        <v>45513.375085336993</v>
      </c>
      <c r="C407" t="s">
        <v>13</v>
      </c>
      <c r="D407" t="s">
        <v>17</v>
      </c>
      <c r="E407" t="s">
        <v>24</v>
      </c>
      <c r="F407">
        <v>4677.72</v>
      </c>
    </row>
    <row r="408" spans="1:6" x14ac:dyDescent="0.35">
      <c r="A408">
        <v>1314</v>
      </c>
      <c r="B408" s="4">
        <v>45513.375085336993</v>
      </c>
      <c r="C408" t="s">
        <v>15</v>
      </c>
      <c r="D408" t="s">
        <v>17</v>
      </c>
      <c r="E408" t="s">
        <v>23</v>
      </c>
      <c r="F408">
        <v>8381.77</v>
      </c>
    </row>
    <row r="409" spans="1:6" x14ac:dyDescent="0.35">
      <c r="A409">
        <v>1249</v>
      </c>
      <c r="B409" s="4">
        <v>45514.375085336993</v>
      </c>
      <c r="C409" t="s">
        <v>7</v>
      </c>
      <c r="D409" t="s">
        <v>16</v>
      </c>
      <c r="E409" t="s">
        <v>24</v>
      </c>
      <c r="F409">
        <v>5443.63</v>
      </c>
    </row>
    <row r="410" spans="1:6" x14ac:dyDescent="0.35">
      <c r="A410">
        <v>1360</v>
      </c>
      <c r="B410" s="4">
        <v>45514.375085336993</v>
      </c>
      <c r="C410" t="s">
        <v>6</v>
      </c>
      <c r="D410" t="s">
        <v>19</v>
      </c>
      <c r="E410" t="s">
        <v>25</v>
      </c>
      <c r="F410">
        <v>1539.64</v>
      </c>
    </row>
    <row r="411" spans="1:6" x14ac:dyDescent="0.35">
      <c r="A411">
        <v>1099</v>
      </c>
      <c r="B411" s="4">
        <v>45514.375085336993</v>
      </c>
      <c r="C411" t="s">
        <v>14</v>
      </c>
      <c r="D411" t="s">
        <v>21</v>
      </c>
      <c r="E411" t="s">
        <v>24</v>
      </c>
      <c r="F411">
        <v>4726.7700000000004</v>
      </c>
    </row>
    <row r="412" spans="1:6" x14ac:dyDescent="0.35">
      <c r="A412">
        <v>1268</v>
      </c>
      <c r="B412" s="4">
        <v>45514.375085336993</v>
      </c>
      <c r="C412" t="s">
        <v>6</v>
      </c>
      <c r="D412" t="s">
        <v>19</v>
      </c>
      <c r="E412" t="s">
        <v>23</v>
      </c>
      <c r="F412">
        <v>8398.9500000000007</v>
      </c>
    </row>
    <row r="413" spans="1:6" x14ac:dyDescent="0.35">
      <c r="A413">
        <v>1117</v>
      </c>
      <c r="B413" s="4">
        <v>45514.375085336993</v>
      </c>
      <c r="C413" t="s">
        <v>8</v>
      </c>
      <c r="D413" t="s">
        <v>20</v>
      </c>
      <c r="E413" t="s">
        <v>25</v>
      </c>
      <c r="F413">
        <v>5573.49</v>
      </c>
    </row>
    <row r="414" spans="1:6" x14ac:dyDescent="0.35">
      <c r="A414">
        <v>1361</v>
      </c>
      <c r="B414" s="4">
        <v>45514.375085336993</v>
      </c>
      <c r="C414" t="s">
        <v>6</v>
      </c>
      <c r="D414" t="s">
        <v>20</v>
      </c>
      <c r="E414" t="s">
        <v>23</v>
      </c>
      <c r="F414">
        <v>6107.4</v>
      </c>
    </row>
    <row r="415" spans="1:6" x14ac:dyDescent="0.35">
      <c r="A415">
        <v>1258</v>
      </c>
      <c r="B415" s="4">
        <v>45514.375085336993</v>
      </c>
      <c r="C415" t="s">
        <v>12</v>
      </c>
      <c r="D415" t="s">
        <v>19</v>
      </c>
      <c r="E415" t="s">
        <v>23</v>
      </c>
      <c r="F415">
        <v>2436.41</v>
      </c>
    </row>
    <row r="416" spans="1:6" x14ac:dyDescent="0.35">
      <c r="A416">
        <v>1201</v>
      </c>
      <c r="B416" s="4">
        <v>45514.375085336993</v>
      </c>
      <c r="C416" t="s">
        <v>6</v>
      </c>
      <c r="D416" t="s">
        <v>21</v>
      </c>
      <c r="E416" t="s">
        <v>23</v>
      </c>
      <c r="F416">
        <v>1016.95</v>
      </c>
    </row>
    <row r="417" spans="1:6" x14ac:dyDescent="0.35">
      <c r="A417">
        <v>1074</v>
      </c>
      <c r="B417" s="4">
        <v>45514.375085336993</v>
      </c>
      <c r="C417" t="s">
        <v>13</v>
      </c>
      <c r="D417" t="s">
        <v>17</v>
      </c>
      <c r="E417" t="s">
        <v>25</v>
      </c>
      <c r="F417">
        <v>4951.24</v>
      </c>
    </row>
    <row r="418" spans="1:6" x14ac:dyDescent="0.35">
      <c r="A418">
        <v>1031</v>
      </c>
      <c r="B418" s="4">
        <v>45514.375085336993</v>
      </c>
      <c r="C418" t="s">
        <v>14</v>
      </c>
      <c r="D418" t="s">
        <v>21</v>
      </c>
      <c r="E418" t="s">
        <v>23</v>
      </c>
      <c r="F418">
        <v>2634.61</v>
      </c>
    </row>
    <row r="419" spans="1:6" x14ac:dyDescent="0.35">
      <c r="A419">
        <v>1025</v>
      </c>
      <c r="B419" s="4">
        <v>45515.375085336993</v>
      </c>
      <c r="C419" t="s">
        <v>14</v>
      </c>
      <c r="D419" t="s">
        <v>18</v>
      </c>
      <c r="E419" t="s">
        <v>25</v>
      </c>
      <c r="F419">
        <v>4952.5200000000004</v>
      </c>
    </row>
    <row r="420" spans="1:6" x14ac:dyDescent="0.35">
      <c r="A420">
        <v>1276</v>
      </c>
      <c r="B420" s="4">
        <v>45516.375085336993</v>
      </c>
      <c r="C420" t="s">
        <v>6</v>
      </c>
      <c r="D420" t="s">
        <v>17</v>
      </c>
      <c r="E420" t="s">
        <v>23</v>
      </c>
      <c r="F420">
        <v>1493.69</v>
      </c>
    </row>
    <row r="421" spans="1:6" x14ac:dyDescent="0.35">
      <c r="A421">
        <v>1292</v>
      </c>
      <c r="B421" s="4">
        <v>45516.375085336993</v>
      </c>
      <c r="C421" t="s">
        <v>12</v>
      </c>
      <c r="D421" t="s">
        <v>21</v>
      </c>
      <c r="E421" t="s">
        <v>24</v>
      </c>
      <c r="F421">
        <v>409.85</v>
      </c>
    </row>
    <row r="422" spans="1:6" x14ac:dyDescent="0.35">
      <c r="A422">
        <v>1129</v>
      </c>
      <c r="B422" s="4">
        <v>45516.375085336993</v>
      </c>
      <c r="C422" t="s">
        <v>6</v>
      </c>
      <c r="D422" t="s">
        <v>20</v>
      </c>
      <c r="E422" t="s">
        <v>25</v>
      </c>
      <c r="F422">
        <v>8060.33</v>
      </c>
    </row>
    <row r="423" spans="1:6" x14ac:dyDescent="0.35">
      <c r="A423">
        <v>1316</v>
      </c>
      <c r="B423" s="4">
        <v>45516.375085336993</v>
      </c>
      <c r="C423" t="s">
        <v>14</v>
      </c>
      <c r="D423" t="s">
        <v>19</v>
      </c>
      <c r="E423" t="s">
        <v>24</v>
      </c>
      <c r="F423">
        <v>5925.93</v>
      </c>
    </row>
    <row r="424" spans="1:6" x14ac:dyDescent="0.35">
      <c r="A424">
        <v>1307</v>
      </c>
      <c r="B424" s="4">
        <v>45516.375085336993</v>
      </c>
      <c r="C424" t="s">
        <v>11</v>
      </c>
      <c r="D424" t="s">
        <v>19</v>
      </c>
      <c r="E424" t="s">
        <v>23</v>
      </c>
      <c r="F424">
        <v>4124.4799999999996</v>
      </c>
    </row>
    <row r="425" spans="1:6" x14ac:dyDescent="0.35">
      <c r="A425">
        <v>1136</v>
      </c>
      <c r="B425" s="4">
        <v>45516.375085336993</v>
      </c>
      <c r="C425" t="s">
        <v>15</v>
      </c>
      <c r="D425" t="s">
        <v>20</v>
      </c>
      <c r="E425" t="s">
        <v>23</v>
      </c>
      <c r="F425">
        <v>4368.8999999999996</v>
      </c>
    </row>
    <row r="426" spans="1:6" x14ac:dyDescent="0.35">
      <c r="A426">
        <v>1379</v>
      </c>
      <c r="B426" s="4">
        <v>45516.375085336993</v>
      </c>
      <c r="C426" t="s">
        <v>13</v>
      </c>
      <c r="D426" t="s">
        <v>19</v>
      </c>
      <c r="E426" t="s">
        <v>24</v>
      </c>
      <c r="F426">
        <v>5972.47</v>
      </c>
    </row>
    <row r="427" spans="1:6" x14ac:dyDescent="0.35">
      <c r="A427">
        <v>1164</v>
      </c>
      <c r="B427" s="4">
        <v>45517.375085336993</v>
      </c>
      <c r="C427" t="s">
        <v>13</v>
      </c>
      <c r="D427" t="s">
        <v>17</v>
      </c>
      <c r="E427" t="s">
        <v>23</v>
      </c>
      <c r="F427">
        <v>1539.58</v>
      </c>
    </row>
    <row r="428" spans="1:6" x14ac:dyDescent="0.35">
      <c r="A428">
        <v>1143</v>
      </c>
      <c r="B428" s="4">
        <v>45517.375085336993</v>
      </c>
      <c r="C428" t="s">
        <v>9</v>
      </c>
      <c r="D428" t="s">
        <v>21</v>
      </c>
      <c r="E428" t="s">
        <v>24</v>
      </c>
      <c r="F428">
        <v>4907.6499999999996</v>
      </c>
    </row>
    <row r="429" spans="1:6" x14ac:dyDescent="0.35">
      <c r="A429">
        <v>1157</v>
      </c>
      <c r="B429" s="4">
        <v>45517.375085336993</v>
      </c>
      <c r="C429" t="s">
        <v>14</v>
      </c>
      <c r="D429" t="s">
        <v>18</v>
      </c>
      <c r="E429" t="s">
        <v>25</v>
      </c>
      <c r="F429">
        <v>4339.04</v>
      </c>
    </row>
    <row r="430" spans="1:6" x14ac:dyDescent="0.35">
      <c r="A430">
        <v>1120</v>
      </c>
      <c r="B430" s="4">
        <v>45517.375085336993</v>
      </c>
      <c r="C430" t="s">
        <v>14</v>
      </c>
      <c r="D430" t="s">
        <v>17</v>
      </c>
      <c r="E430" t="s">
        <v>25</v>
      </c>
      <c r="F430">
        <v>4448.51</v>
      </c>
    </row>
    <row r="431" spans="1:6" x14ac:dyDescent="0.35">
      <c r="A431">
        <v>1326</v>
      </c>
      <c r="B431" s="4">
        <v>45517.375085336993</v>
      </c>
      <c r="C431" t="s">
        <v>7</v>
      </c>
      <c r="D431" t="s">
        <v>21</v>
      </c>
      <c r="E431" t="s">
        <v>25</v>
      </c>
      <c r="F431">
        <v>3433.75</v>
      </c>
    </row>
    <row r="432" spans="1:6" x14ac:dyDescent="0.35">
      <c r="A432">
        <v>1101</v>
      </c>
      <c r="B432" s="4">
        <v>45517.375085336993</v>
      </c>
      <c r="C432" t="s">
        <v>12</v>
      </c>
      <c r="D432" t="s">
        <v>17</v>
      </c>
      <c r="E432" t="s">
        <v>25</v>
      </c>
      <c r="F432">
        <v>8880.68</v>
      </c>
    </row>
    <row r="433" spans="1:6" x14ac:dyDescent="0.35">
      <c r="A433">
        <v>1022</v>
      </c>
      <c r="B433" s="4">
        <v>45518.375085336993</v>
      </c>
      <c r="C433" t="s">
        <v>9</v>
      </c>
      <c r="D433" t="s">
        <v>19</v>
      </c>
      <c r="E433" t="s">
        <v>24</v>
      </c>
      <c r="F433">
        <v>5226.6099999999997</v>
      </c>
    </row>
    <row r="434" spans="1:6" x14ac:dyDescent="0.35">
      <c r="A434">
        <v>1276</v>
      </c>
      <c r="B434" s="4">
        <v>45518.375085336993</v>
      </c>
      <c r="C434" t="s">
        <v>14</v>
      </c>
      <c r="D434" t="s">
        <v>16</v>
      </c>
      <c r="E434" t="s">
        <v>25</v>
      </c>
      <c r="F434">
        <v>6136.23</v>
      </c>
    </row>
    <row r="435" spans="1:6" x14ac:dyDescent="0.35">
      <c r="A435">
        <v>1235</v>
      </c>
      <c r="B435" s="4">
        <v>45518.375085336993</v>
      </c>
      <c r="C435" t="s">
        <v>8</v>
      </c>
      <c r="D435" t="s">
        <v>18</v>
      </c>
      <c r="E435" t="s">
        <v>25</v>
      </c>
      <c r="F435">
        <v>2455.02</v>
      </c>
    </row>
    <row r="436" spans="1:6" x14ac:dyDescent="0.35">
      <c r="A436">
        <v>1129</v>
      </c>
      <c r="B436" s="4">
        <v>45518.375085336993</v>
      </c>
      <c r="C436" t="s">
        <v>7</v>
      </c>
      <c r="D436" t="s">
        <v>21</v>
      </c>
      <c r="E436" t="s">
        <v>25</v>
      </c>
      <c r="F436">
        <v>902.5</v>
      </c>
    </row>
    <row r="437" spans="1:6" x14ac:dyDescent="0.35">
      <c r="A437">
        <v>1097</v>
      </c>
      <c r="B437" s="4">
        <v>45518.375085336993</v>
      </c>
      <c r="C437" t="s">
        <v>15</v>
      </c>
      <c r="D437" t="s">
        <v>21</v>
      </c>
      <c r="E437" t="s">
        <v>23</v>
      </c>
      <c r="F437">
        <v>3632.11</v>
      </c>
    </row>
    <row r="438" spans="1:6" x14ac:dyDescent="0.35">
      <c r="A438">
        <v>1037</v>
      </c>
      <c r="B438" s="4">
        <v>45518.375085336993</v>
      </c>
      <c r="C438" t="s">
        <v>6</v>
      </c>
      <c r="D438" t="s">
        <v>22</v>
      </c>
      <c r="E438" t="s">
        <v>23</v>
      </c>
      <c r="F438">
        <v>252.24</v>
      </c>
    </row>
    <row r="439" spans="1:6" x14ac:dyDescent="0.35">
      <c r="A439">
        <v>1043</v>
      </c>
      <c r="B439" s="4">
        <v>45518.375085336993</v>
      </c>
      <c r="C439" t="s">
        <v>14</v>
      </c>
      <c r="D439" t="s">
        <v>19</v>
      </c>
      <c r="E439" t="s">
        <v>23</v>
      </c>
      <c r="F439">
        <v>2419.09</v>
      </c>
    </row>
    <row r="440" spans="1:6" x14ac:dyDescent="0.35">
      <c r="A440">
        <v>1083</v>
      </c>
      <c r="B440" s="4">
        <v>45518.375085336993</v>
      </c>
      <c r="C440" t="s">
        <v>12</v>
      </c>
      <c r="D440" t="s">
        <v>17</v>
      </c>
      <c r="E440" t="s">
        <v>23</v>
      </c>
      <c r="F440">
        <v>6118.5</v>
      </c>
    </row>
    <row r="441" spans="1:6" x14ac:dyDescent="0.35">
      <c r="A441">
        <v>1223</v>
      </c>
      <c r="B441" s="4">
        <v>45519.375085336993</v>
      </c>
      <c r="C441" t="s">
        <v>11</v>
      </c>
      <c r="D441" t="s">
        <v>19</v>
      </c>
      <c r="E441" t="s">
        <v>23</v>
      </c>
      <c r="F441">
        <v>1529.63</v>
      </c>
    </row>
    <row r="442" spans="1:6" x14ac:dyDescent="0.35">
      <c r="A442">
        <v>1065</v>
      </c>
      <c r="B442" s="4">
        <v>45519.375085336993</v>
      </c>
      <c r="C442" t="s">
        <v>9</v>
      </c>
      <c r="D442" t="s">
        <v>16</v>
      </c>
      <c r="E442" t="s">
        <v>25</v>
      </c>
      <c r="F442">
        <v>781.69</v>
      </c>
    </row>
    <row r="443" spans="1:6" x14ac:dyDescent="0.35">
      <c r="A443">
        <v>1363</v>
      </c>
      <c r="B443" s="4">
        <v>45519.375085336993</v>
      </c>
      <c r="C443" t="s">
        <v>13</v>
      </c>
      <c r="D443" t="s">
        <v>20</v>
      </c>
      <c r="E443" t="s">
        <v>23</v>
      </c>
      <c r="F443">
        <v>1217.6500000000001</v>
      </c>
    </row>
    <row r="444" spans="1:6" x14ac:dyDescent="0.35">
      <c r="A444">
        <v>1232</v>
      </c>
      <c r="B444" s="4">
        <v>45520.375085336993</v>
      </c>
      <c r="C444" t="s">
        <v>13</v>
      </c>
      <c r="D444" t="s">
        <v>17</v>
      </c>
      <c r="E444" t="s">
        <v>24</v>
      </c>
      <c r="F444">
        <v>2383.35</v>
      </c>
    </row>
    <row r="445" spans="1:6" x14ac:dyDescent="0.35">
      <c r="A445">
        <v>1283</v>
      </c>
      <c r="B445" s="4">
        <v>45520.375085336993</v>
      </c>
      <c r="C445" t="s">
        <v>8</v>
      </c>
      <c r="D445" t="s">
        <v>21</v>
      </c>
      <c r="E445" t="s">
        <v>25</v>
      </c>
      <c r="F445">
        <v>962.19</v>
      </c>
    </row>
    <row r="446" spans="1:6" x14ac:dyDescent="0.35">
      <c r="A446">
        <v>1378</v>
      </c>
      <c r="B446" s="4">
        <v>45520.375085336993</v>
      </c>
      <c r="C446" t="s">
        <v>9</v>
      </c>
      <c r="D446" t="s">
        <v>22</v>
      </c>
      <c r="E446" t="s">
        <v>24</v>
      </c>
      <c r="F446">
        <v>8351.84</v>
      </c>
    </row>
    <row r="447" spans="1:6" x14ac:dyDescent="0.35">
      <c r="A447">
        <v>1180</v>
      </c>
      <c r="B447" s="4">
        <v>45521.375085336993</v>
      </c>
      <c r="C447" t="s">
        <v>6</v>
      </c>
      <c r="D447" t="s">
        <v>20</v>
      </c>
      <c r="E447" t="s">
        <v>24</v>
      </c>
      <c r="F447">
        <v>2489.35</v>
      </c>
    </row>
    <row r="448" spans="1:6" x14ac:dyDescent="0.35">
      <c r="A448">
        <v>1373</v>
      </c>
      <c r="B448" s="4">
        <v>45521.375085336993</v>
      </c>
      <c r="C448" t="s">
        <v>9</v>
      </c>
      <c r="D448" t="s">
        <v>18</v>
      </c>
      <c r="E448" t="s">
        <v>23</v>
      </c>
      <c r="F448">
        <v>9944.57</v>
      </c>
    </row>
    <row r="449" spans="1:6" x14ac:dyDescent="0.35">
      <c r="A449">
        <v>1390</v>
      </c>
      <c r="B449" s="4">
        <v>45521.375085336993</v>
      </c>
      <c r="C449" t="s">
        <v>14</v>
      </c>
      <c r="D449" t="s">
        <v>16</v>
      </c>
      <c r="E449" t="s">
        <v>25</v>
      </c>
      <c r="F449">
        <v>2478.02</v>
      </c>
    </row>
    <row r="450" spans="1:6" x14ac:dyDescent="0.35">
      <c r="A450">
        <v>1002</v>
      </c>
      <c r="B450" s="4">
        <v>45521.375085336993</v>
      </c>
      <c r="C450" t="s">
        <v>9</v>
      </c>
      <c r="D450" t="s">
        <v>19</v>
      </c>
      <c r="E450" t="s">
        <v>23</v>
      </c>
      <c r="F450">
        <v>7309.47</v>
      </c>
    </row>
    <row r="451" spans="1:6" x14ac:dyDescent="0.35">
      <c r="A451">
        <v>1311</v>
      </c>
      <c r="B451" s="4">
        <v>45521.375085336993</v>
      </c>
      <c r="C451" t="s">
        <v>7</v>
      </c>
      <c r="D451" t="s">
        <v>17</v>
      </c>
      <c r="E451" t="s">
        <v>25</v>
      </c>
      <c r="F451">
        <v>1544.69</v>
      </c>
    </row>
    <row r="452" spans="1:6" x14ac:dyDescent="0.35">
      <c r="A452">
        <v>1149</v>
      </c>
      <c r="B452" s="4">
        <v>45522.375085336993</v>
      </c>
      <c r="C452" t="s">
        <v>7</v>
      </c>
      <c r="D452" t="s">
        <v>20</v>
      </c>
      <c r="E452" t="s">
        <v>24</v>
      </c>
      <c r="F452">
        <v>4829.63</v>
      </c>
    </row>
    <row r="453" spans="1:6" x14ac:dyDescent="0.35">
      <c r="A453">
        <v>1372</v>
      </c>
      <c r="B453" s="4">
        <v>45522.375085336993</v>
      </c>
      <c r="C453" t="s">
        <v>13</v>
      </c>
      <c r="D453" t="s">
        <v>17</v>
      </c>
      <c r="E453" t="s">
        <v>23</v>
      </c>
      <c r="F453">
        <v>3333.59</v>
      </c>
    </row>
    <row r="454" spans="1:6" x14ac:dyDescent="0.35">
      <c r="A454">
        <v>1218</v>
      </c>
      <c r="B454" s="4">
        <v>45523.375085336993</v>
      </c>
      <c r="C454" t="s">
        <v>8</v>
      </c>
      <c r="D454" t="s">
        <v>21</v>
      </c>
      <c r="E454" t="s">
        <v>23</v>
      </c>
      <c r="F454">
        <v>10978.19</v>
      </c>
    </row>
    <row r="455" spans="1:6" x14ac:dyDescent="0.35">
      <c r="A455">
        <v>1283</v>
      </c>
      <c r="B455" s="4">
        <v>45523.375085336993</v>
      </c>
      <c r="C455" t="s">
        <v>10</v>
      </c>
      <c r="D455" t="s">
        <v>19</v>
      </c>
      <c r="E455" t="s">
        <v>25</v>
      </c>
      <c r="F455">
        <v>2044.55</v>
      </c>
    </row>
    <row r="456" spans="1:6" x14ac:dyDescent="0.35">
      <c r="A456">
        <v>1058</v>
      </c>
      <c r="B456" s="4">
        <v>45523.375085336993</v>
      </c>
      <c r="C456" t="s">
        <v>7</v>
      </c>
      <c r="D456" t="s">
        <v>22</v>
      </c>
      <c r="E456" t="s">
        <v>25</v>
      </c>
      <c r="F456">
        <v>3883.4</v>
      </c>
    </row>
    <row r="457" spans="1:6" x14ac:dyDescent="0.35">
      <c r="A457">
        <v>1119</v>
      </c>
      <c r="B457" s="4">
        <v>45523.375085336993</v>
      </c>
      <c r="C457" t="s">
        <v>12</v>
      </c>
      <c r="D457" t="s">
        <v>16</v>
      </c>
      <c r="E457" t="s">
        <v>23</v>
      </c>
      <c r="F457">
        <v>4964.6099999999997</v>
      </c>
    </row>
    <row r="458" spans="1:6" x14ac:dyDescent="0.35">
      <c r="A458">
        <v>1376</v>
      </c>
      <c r="B458" s="4">
        <v>45523.375085336993</v>
      </c>
      <c r="C458" t="s">
        <v>6</v>
      </c>
      <c r="D458" t="s">
        <v>16</v>
      </c>
      <c r="E458" t="s">
        <v>24</v>
      </c>
      <c r="F458">
        <v>6340.02</v>
      </c>
    </row>
    <row r="459" spans="1:6" x14ac:dyDescent="0.35">
      <c r="A459">
        <v>1226</v>
      </c>
      <c r="B459" s="4">
        <v>45523.375085336993</v>
      </c>
      <c r="C459" t="s">
        <v>12</v>
      </c>
      <c r="D459" t="s">
        <v>21</v>
      </c>
      <c r="E459" t="s">
        <v>24</v>
      </c>
      <c r="F459">
        <v>3217.8</v>
      </c>
    </row>
    <row r="460" spans="1:6" x14ac:dyDescent="0.35">
      <c r="A460">
        <v>1336</v>
      </c>
      <c r="B460" s="4">
        <v>45523.375085336993</v>
      </c>
      <c r="C460" t="s">
        <v>15</v>
      </c>
      <c r="D460" t="s">
        <v>19</v>
      </c>
      <c r="E460" t="s">
        <v>23</v>
      </c>
      <c r="F460">
        <v>3784.4</v>
      </c>
    </row>
    <row r="461" spans="1:6" x14ac:dyDescent="0.35">
      <c r="A461">
        <v>1263</v>
      </c>
      <c r="B461" s="4">
        <v>45524.375085336993</v>
      </c>
      <c r="C461" t="s">
        <v>6</v>
      </c>
      <c r="D461" t="s">
        <v>17</v>
      </c>
      <c r="E461" t="s">
        <v>25</v>
      </c>
      <c r="F461">
        <v>2812.54</v>
      </c>
    </row>
    <row r="462" spans="1:6" x14ac:dyDescent="0.35">
      <c r="A462">
        <v>1219</v>
      </c>
      <c r="B462" s="4">
        <v>45524.375085336993</v>
      </c>
      <c r="C462" t="s">
        <v>15</v>
      </c>
      <c r="D462" t="s">
        <v>20</v>
      </c>
      <c r="E462" t="s">
        <v>23</v>
      </c>
      <c r="F462">
        <v>3331.98</v>
      </c>
    </row>
    <row r="463" spans="1:6" x14ac:dyDescent="0.35">
      <c r="A463">
        <v>1279</v>
      </c>
      <c r="B463" s="4">
        <v>45525.375085336993</v>
      </c>
      <c r="C463" t="s">
        <v>9</v>
      </c>
      <c r="D463" t="s">
        <v>21</v>
      </c>
      <c r="E463" t="s">
        <v>25</v>
      </c>
      <c r="F463">
        <v>885.86</v>
      </c>
    </row>
    <row r="464" spans="1:6" x14ac:dyDescent="0.35">
      <c r="A464">
        <v>1118</v>
      </c>
      <c r="B464" s="4">
        <v>45525.375085336993</v>
      </c>
      <c r="C464" t="s">
        <v>6</v>
      </c>
      <c r="D464" t="s">
        <v>21</v>
      </c>
      <c r="E464" t="s">
        <v>25</v>
      </c>
      <c r="F464">
        <v>4506.1400000000003</v>
      </c>
    </row>
    <row r="465" spans="1:6" x14ac:dyDescent="0.35">
      <c r="A465">
        <v>1202</v>
      </c>
      <c r="B465" s="4">
        <v>45525.375085336993</v>
      </c>
      <c r="C465" t="s">
        <v>8</v>
      </c>
      <c r="D465" t="s">
        <v>17</v>
      </c>
      <c r="E465" t="s">
        <v>25</v>
      </c>
      <c r="F465">
        <v>279.93</v>
      </c>
    </row>
    <row r="466" spans="1:6" x14ac:dyDescent="0.35">
      <c r="A466">
        <v>1394</v>
      </c>
      <c r="B466" s="4">
        <v>45526.375085336993</v>
      </c>
      <c r="C466" t="s">
        <v>6</v>
      </c>
      <c r="D466" t="s">
        <v>20</v>
      </c>
      <c r="E466" t="s">
        <v>24</v>
      </c>
      <c r="F466">
        <v>970.98</v>
      </c>
    </row>
    <row r="467" spans="1:6" x14ac:dyDescent="0.35">
      <c r="A467">
        <v>1182</v>
      </c>
      <c r="B467" s="4">
        <v>45526.375085336993</v>
      </c>
      <c r="C467" t="s">
        <v>9</v>
      </c>
      <c r="D467" t="s">
        <v>16</v>
      </c>
      <c r="E467" t="s">
        <v>23</v>
      </c>
      <c r="F467">
        <v>10737.68</v>
      </c>
    </row>
    <row r="468" spans="1:6" x14ac:dyDescent="0.35">
      <c r="A468">
        <v>1364</v>
      </c>
      <c r="B468" s="4">
        <v>45527.375085336993</v>
      </c>
      <c r="C468" t="s">
        <v>14</v>
      </c>
      <c r="D468" t="s">
        <v>19</v>
      </c>
      <c r="E468" t="s">
        <v>25</v>
      </c>
      <c r="F468">
        <v>4977.1099999999997</v>
      </c>
    </row>
    <row r="469" spans="1:6" x14ac:dyDescent="0.35">
      <c r="A469">
        <v>1212</v>
      </c>
      <c r="B469" s="4">
        <v>45527.375085336993</v>
      </c>
      <c r="C469" t="s">
        <v>6</v>
      </c>
      <c r="D469" t="s">
        <v>18</v>
      </c>
      <c r="E469" t="s">
        <v>25</v>
      </c>
      <c r="F469">
        <v>3699.91</v>
      </c>
    </row>
    <row r="470" spans="1:6" x14ac:dyDescent="0.35">
      <c r="A470">
        <v>1385</v>
      </c>
      <c r="B470" s="4">
        <v>45527.375085336993</v>
      </c>
      <c r="C470" t="s">
        <v>7</v>
      </c>
      <c r="D470" t="s">
        <v>21</v>
      </c>
      <c r="E470" t="s">
        <v>23</v>
      </c>
      <c r="F470">
        <v>4599.0600000000004</v>
      </c>
    </row>
    <row r="471" spans="1:6" x14ac:dyDescent="0.35">
      <c r="A471">
        <v>1103</v>
      </c>
      <c r="B471" s="4">
        <v>45527.375085336993</v>
      </c>
      <c r="C471" t="s">
        <v>14</v>
      </c>
      <c r="D471" t="s">
        <v>19</v>
      </c>
      <c r="E471" t="s">
        <v>25</v>
      </c>
      <c r="F471">
        <v>4878.2700000000004</v>
      </c>
    </row>
    <row r="472" spans="1:6" x14ac:dyDescent="0.35">
      <c r="A472">
        <v>1228</v>
      </c>
      <c r="B472" s="4">
        <v>45528.375085336993</v>
      </c>
      <c r="C472" t="s">
        <v>11</v>
      </c>
      <c r="D472" t="s">
        <v>19</v>
      </c>
      <c r="E472" t="s">
        <v>23</v>
      </c>
      <c r="F472">
        <v>1406.84</v>
      </c>
    </row>
    <row r="473" spans="1:6" x14ac:dyDescent="0.35">
      <c r="A473">
        <v>1002</v>
      </c>
      <c r="B473" s="4">
        <v>45528.375085336993</v>
      </c>
      <c r="C473" t="s">
        <v>13</v>
      </c>
      <c r="D473" t="s">
        <v>21</v>
      </c>
      <c r="E473" t="s">
        <v>24</v>
      </c>
      <c r="F473">
        <v>1711.29</v>
      </c>
    </row>
    <row r="474" spans="1:6" x14ac:dyDescent="0.35">
      <c r="A474">
        <v>1309</v>
      </c>
      <c r="B474" s="4">
        <v>45529.375085336993</v>
      </c>
      <c r="C474" t="s">
        <v>13</v>
      </c>
      <c r="D474" t="s">
        <v>18</v>
      </c>
      <c r="E474" t="s">
        <v>24</v>
      </c>
      <c r="F474">
        <v>2536.9299999999998</v>
      </c>
    </row>
    <row r="475" spans="1:6" x14ac:dyDescent="0.35">
      <c r="A475">
        <v>1134</v>
      </c>
      <c r="B475" s="4">
        <v>45529.375085336993</v>
      </c>
      <c r="C475" t="s">
        <v>6</v>
      </c>
      <c r="D475" t="s">
        <v>20</v>
      </c>
      <c r="E475" t="s">
        <v>24</v>
      </c>
      <c r="F475">
        <v>3421.17</v>
      </c>
    </row>
    <row r="476" spans="1:6" x14ac:dyDescent="0.35">
      <c r="A476">
        <v>1100</v>
      </c>
      <c r="B476" s="4">
        <v>45529.375085336993</v>
      </c>
      <c r="C476" t="s">
        <v>13</v>
      </c>
      <c r="D476" t="s">
        <v>19</v>
      </c>
      <c r="E476" t="s">
        <v>23</v>
      </c>
      <c r="F476">
        <v>4588.13</v>
      </c>
    </row>
    <row r="477" spans="1:6" x14ac:dyDescent="0.35">
      <c r="A477">
        <v>1130</v>
      </c>
      <c r="B477" s="4">
        <v>45529.375085336993</v>
      </c>
      <c r="C477" t="s">
        <v>10</v>
      </c>
      <c r="D477" t="s">
        <v>19</v>
      </c>
      <c r="E477" t="s">
        <v>25</v>
      </c>
      <c r="F477">
        <v>1672.05</v>
      </c>
    </row>
    <row r="478" spans="1:6" x14ac:dyDescent="0.35">
      <c r="A478">
        <v>1337</v>
      </c>
      <c r="B478" s="4">
        <v>45529.375085336993</v>
      </c>
      <c r="C478" t="s">
        <v>8</v>
      </c>
      <c r="D478" t="s">
        <v>19</v>
      </c>
      <c r="E478" t="s">
        <v>24</v>
      </c>
      <c r="F478">
        <v>1275.23</v>
      </c>
    </row>
    <row r="479" spans="1:6" x14ac:dyDescent="0.35">
      <c r="A479">
        <v>1212</v>
      </c>
      <c r="B479" s="4">
        <v>45529.375085336993</v>
      </c>
      <c r="C479" t="s">
        <v>8</v>
      </c>
      <c r="D479" t="s">
        <v>22</v>
      </c>
      <c r="E479" t="s">
        <v>24</v>
      </c>
      <c r="F479">
        <v>1081.3</v>
      </c>
    </row>
    <row r="480" spans="1:6" x14ac:dyDescent="0.35">
      <c r="A480">
        <v>1326</v>
      </c>
      <c r="B480" s="4">
        <v>45529.375085336993</v>
      </c>
      <c r="C480" t="s">
        <v>8</v>
      </c>
      <c r="D480" t="s">
        <v>22</v>
      </c>
      <c r="E480" t="s">
        <v>23</v>
      </c>
      <c r="F480">
        <v>1950.61</v>
      </c>
    </row>
    <row r="481" spans="1:6" x14ac:dyDescent="0.35">
      <c r="A481">
        <v>1028</v>
      </c>
      <c r="B481" s="4">
        <v>45530.375085336993</v>
      </c>
      <c r="C481" t="s">
        <v>7</v>
      </c>
      <c r="D481" t="s">
        <v>20</v>
      </c>
      <c r="E481" t="s">
        <v>24</v>
      </c>
      <c r="F481">
        <v>1634.72</v>
      </c>
    </row>
    <row r="482" spans="1:6" x14ac:dyDescent="0.35">
      <c r="A482">
        <v>1320</v>
      </c>
      <c r="B482" s="4">
        <v>45530.375085336993</v>
      </c>
      <c r="C482" t="s">
        <v>10</v>
      </c>
      <c r="D482" t="s">
        <v>20</v>
      </c>
      <c r="E482" t="s">
        <v>24</v>
      </c>
      <c r="F482">
        <v>3086.28</v>
      </c>
    </row>
    <row r="483" spans="1:6" x14ac:dyDescent="0.35">
      <c r="A483">
        <v>1236</v>
      </c>
      <c r="B483" s="4">
        <v>45530.375085336993</v>
      </c>
      <c r="C483" t="s">
        <v>9</v>
      </c>
      <c r="D483" t="s">
        <v>20</v>
      </c>
      <c r="E483" t="s">
        <v>25</v>
      </c>
      <c r="F483">
        <v>2129.77</v>
      </c>
    </row>
    <row r="484" spans="1:6" x14ac:dyDescent="0.35">
      <c r="A484">
        <v>1222</v>
      </c>
      <c r="B484" s="4">
        <v>45530.375085336993</v>
      </c>
      <c r="C484" t="s">
        <v>15</v>
      </c>
      <c r="D484" t="s">
        <v>17</v>
      </c>
      <c r="E484" t="s">
        <v>23</v>
      </c>
      <c r="F484">
        <v>587.76</v>
      </c>
    </row>
    <row r="485" spans="1:6" x14ac:dyDescent="0.35">
      <c r="A485">
        <v>1282</v>
      </c>
      <c r="B485" s="4">
        <v>45530.375085336993</v>
      </c>
      <c r="C485" t="s">
        <v>10</v>
      </c>
      <c r="D485" t="s">
        <v>16</v>
      </c>
      <c r="E485" t="s">
        <v>25</v>
      </c>
      <c r="F485">
        <v>11716.62</v>
      </c>
    </row>
    <row r="486" spans="1:6" x14ac:dyDescent="0.35">
      <c r="A486">
        <v>1392</v>
      </c>
      <c r="B486" s="4">
        <v>45530.375085336993</v>
      </c>
      <c r="C486" t="s">
        <v>8</v>
      </c>
      <c r="D486" t="s">
        <v>19</v>
      </c>
      <c r="E486" t="s">
        <v>25</v>
      </c>
      <c r="F486">
        <v>2337.41</v>
      </c>
    </row>
    <row r="487" spans="1:6" x14ac:dyDescent="0.35">
      <c r="A487">
        <v>1110</v>
      </c>
      <c r="B487" s="4">
        <v>45531.375085336993</v>
      </c>
      <c r="C487" t="s">
        <v>6</v>
      </c>
      <c r="D487" t="s">
        <v>22</v>
      </c>
      <c r="E487" t="s">
        <v>24</v>
      </c>
      <c r="F487">
        <v>1954.87</v>
      </c>
    </row>
    <row r="488" spans="1:6" x14ac:dyDescent="0.35">
      <c r="A488">
        <v>1341</v>
      </c>
      <c r="B488" s="4">
        <v>45531.375085336993</v>
      </c>
      <c r="C488" t="s">
        <v>6</v>
      </c>
      <c r="D488" t="s">
        <v>21</v>
      </c>
      <c r="E488" t="s">
        <v>25</v>
      </c>
      <c r="F488">
        <v>3961.86</v>
      </c>
    </row>
    <row r="489" spans="1:6" x14ac:dyDescent="0.35">
      <c r="A489">
        <v>1041</v>
      </c>
      <c r="B489" s="4">
        <v>45531.375085336993</v>
      </c>
      <c r="C489" t="s">
        <v>11</v>
      </c>
      <c r="D489" t="s">
        <v>16</v>
      </c>
      <c r="E489" t="s">
        <v>25</v>
      </c>
      <c r="F489">
        <v>5044.1000000000004</v>
      </c>
    </row>
    <row r="490" spans="1:6" x14ac:dyDescent="0.35">
      <c r="A490">
        <v>1390</v>
      </c>
      <c r="B490" s="4">
        <v>45532.375085336993</v>
      </c>
      <c r="C490" t="s">
        <v>14</v>
      </c>
      <c r="D490" t="s">
        <v>20</v>
      </c>
      <c r="E490" t="s">
        <v>23</v>
      </c>
      <c r="F490">
        <v>8008.67</v>
      </c>
    </row>
    <row r="491" spans="1:6" x14ac:dyDescent="0.35">
      <c r="A491">
        <v>1241</v>
      </c>
      <c r="B491" s="4">
        <v>45532.375085336993</v>
      </c>
      <c r="C491" t="s">
        <v>10</v>
      </c>
      <c r="D491" t="s">
        <v>22</v>
      </c>
      <c r="E491" t="s">
        <v>25</v>
      </c>
      <c r="F491">
        <v>6074.49</v>
      </c>
    </row>
    <row r="492" spans="1:6" x14ac:dyDescent="0.35">
      <c r="A492">
        <v>1262</v>
      </c>
      <c r="B492" s="4">
        <v>45532.375085336993</v>
      </c>
      <c r="C492" t="s">
        <v>9</v>
      </c>
      <c r="D492" t="s">
        <v>16</v>
      </c>
      <c r="E492" t="s">
        <v>23</v>
      </c>
      <c r="F492">
        <v>3008.56</v>
      </c>
    </row>
    <row r="493" spans="1:6" x14ac:dyDescent="0.35">
      <c r="A493">
        <v>1022</v>
      </c>
      <c r="B493" s="4">
        <v>45532.375085336993</v>
      </c>
      <c r="C493" t="s">
        <v>12</v>
      </c>
      <c r="D493" t="s">
        <v>17</v>
      </c>
      <c r="E493" t="s">
        <v>24</v>
      </c>
      <c r="F493">
        <v>3002.45</v>
      </c>
    </row>
    <row r="494" spans="1:6" x14ac:dyDescent="0.35">
      <c r="A494">
        <v>1176</v>
      </c>
      <c r="B494" s="4">
        <v>45532.375085336993</v>
      </c>
      <c r="C494" t="s">
        <v>15</v>
      </c>
      <c r="D494" t="s">
        <v>17</v>
      </c>
      <c r="E494" t="s">
        <v>23</v>
      </c>
      <c r="F494">
        <v>1628.32</v>
      </c>
    </row>
    <row r="495" spans="1:6" x14ac:dyDescent="0.35">
      <c r="A495">
        <v>1151</v>
      </c>
      <c r="B495" s="4">
        <v>45532.375085336993</v>
      </c>
      <c r="C495" t="s">
        <v>9</v>
      </c>
      <c r="D495" t="s">
        <v>16</v>
      </c>
      <c r="E495" t="s">
        <v>25</v>
      </c>
      <c r="F495">
        <v>1833.82</v>
      </c>
    </row>
    <row r="496" spans="1:6" x14ac:dyDescent="0.35">
      <c r="A496">
        <v>1347</v>
      </c>
      <c r="B496" s="4">
        <v>45532.375085336993</v>
      </c>
      <c r="C496" t="s">
        <v>8</v>
      </c>
      <c r="D496" t="s">
        <v>21</v>
      </c>
      <c r="E496" t="s">
        <v>23</v>
      </c>
      <c r="F496">
        <v>923.45</v>
      </c>
    </row>
    <row r="497" spans="1:6" x14ac:dyDescent="0.35">
      <c r="A497">
        <v>1182</v>
      </c>
      <c r="B497" s="4">
        <v>45533.375085336993</v>
      </c>
      <c r="C497" t="s">
        <v>9</v>
      </c>
      <c r="D497" t="s">
        <v>22</v>
      </c>
      <c r="E497" t="s">
        <v>23</v>
      </c>
      <c r="F497">
        <v>2318.11</v>
      </c>
    </row>
    <row r="498" spans="1:6" x14ac:dyDescent="0.35">
      <c r="A498">
        <v>1353</v>
      </c>
      <c r="B498" s="4">
        <v>45533.375085336993</v>
      </c>
      <c r="C498" t="s">
        <v>7</v>
      </c>
      <c r="D498" t="s">
        <v>19</v>
      </c>
      <c r="E498" t="s">
        <v>23</v>
      </c>
      <c r="F498">
        <v>1268.03</v>
      </c>
    </row>
    <row r="499" spans="1:6" x14ac:dyDescent="0.35">
      <c r="A499">
        <v>1287</v>
      </c>
      <c r="B499" s="4">
        <v>45533.375085336993</v>
      </c>
      <c r="C499" t="s">
        <v>6</v>
      </c>
      <c r="D499" t="s">
        <v>21</v>
      </c>
      <c r="E499" t="s">
        <v>25</v>
      </c>
      <c r="F499">
        <v>3731.89</v>
      </c>
    </row>
    <row r="500" spans="1:6" x14ac:dyDescent="0.35">
      <c r="A500">
        <v>1040</v>
      </c>
      <c r="B500" s="4">
        <v>45533.375085336993</v>
      </c>
      <c r="C500" t="s">
        <v>14</v>
      </c>
      <c r="D500" t="s">
        <v>22</v>
      </c>
      <c r="E500" t="s">
        <v>24</v>
      </c>
      <c r="F500">
        <v>312.45</v>
      </c>
    </row>
    <row r="501" spans="1:6" x14ac:dyDescent="0.35">
      <c r="A501">
        <v>1380</v>
      </c>
      <c r="B501" s="4">
        <v>45533.375085336993</v>
      </c>
      <c r="C501" t="s">
        <v>7</v>
      </c>
      <c r="D501" t="s">
        <v>19</v>
      </c>
      <c r="E501" t="s">
        <v>23</v>
      </c>
      <c r="F501">
        <v>17398.810000000001</v>
      </c>
    </row>
    <row r="502" spans="1:6" x14ac:dyDescent="0.35">
      <c r="A502">
        <v>1370</v>
      </c>
      <c r="B502" s="4">
        <v>45534.375085336993</v>
      </c>
      <c r="C502" t="s">
        <v>6</v>
      </c>
      <c r="D502" t="s">
        <v>22</v>
      </c>
      <c r="E502" t="s">
        <v>23</v>
      </c>
      <c r="F502">
        <v>2372.88</v>
      </c>
    </row>
    <row r="503" spans="1:6" x14ac:dyDescent="0.35">
      <c r="A503">
        <v>1229</v>
      </c>
      <c r="B503" s="4">
        <v>45534.375085336993</v>
      </c>
      <c r="C503" t="s">
        <v>6</v>
      </c>
      <c r="D503" t="s">
        <v>21</v>
      </c>
      <c r="E503" t="s">
        <v>25</v>
      </c>
      <c r="F503">
        <v>1154.17</v>
      </c>
    </row>
    <row r="504" spans="1:6" x14ac:dyDescent="0.35">
      <c r="A504">
        <v>1325</v>
      </c>
      <c r="B504" s="4">
        <v>45534.375085336993</v>
      </c>
      <c r="C504" t="s">
        <v>15</v>
      </c>
      <c r="D504" t="s">
        <v>20</v>
      </c>
      <c r="E504" t="s">
        <v>25</v>
      </c>
      <c r="F504">
        <v>1250.83</v>
      </c>
    </row>
    <row r="505" spans="1:6" x14ac:dyDescent="0.35">
      <c r="A505">
        <v>1179</v>
      </c>
      <c r="B505" s="4">
        <v>45534.375085336993</v>
      </c>
      <c r="C505" t="s">
        <v>9</v>
      </c>
      <c r="D505" t="s">
        <v>21</v>
      </c>
      <c r="E505" t="s">
        <v>23</v>
      </c>
      <c r="F505">
        <v>2923.61</v>
      </c>
    </row>
    <row r="506" spans="1:6" x14ac:dyDescent="0.35">
      <c r="A506">
        <v>1279</v>
      </c>
      <c r="B506" s="4">
        <v>45534.375085336993</v>
      </c>
      <c r="C506" t="s">
        <v>9</v>
      </c>
      <c r="D506" t="s">
        <v>21</v>
      </c>
      <c r="E506" t="s">
        <v>23</v>
      </c>
      <c r="F506">
        <v>1730.61</v>
      </c>
    </row>
    <row r="507" spans="1:6" x14ac:dyDescent="0.35">
      <c r="A507">
        <v>1039</v>
      </c>
      <c r="B507" s="4">
        <v>45534.375085336993</v>
      </c>
      <c r="C507" t="s">
        <v>11</v>
      </c>
      <c r="D507" t="s">
        <v>22</v>
      </c>
      <c r="E507" t="s">
        <v>25</v>
      </c>
      <c r="F507">
        <v>1144.32</v>
      </c>
    </row>
    <row r="508" spans="1:6" x14ac:dyDescent="0.35">
      <c r="A508">
        <v>1389</v>
      </c>
      <c r="B508" s="4">
        <v>45534.375085336993</v>
      </c>
      <c r="C508" t="s">
        <v>10</v>
      </c>
      <c r="D508" t="s">
        <v>18</v>
      </c>
      <c r="E508" t="s">
        <v>25</v>
      </c>
      <c r="F508">
        <v>6381.2</v>
      </c>
    </row>
    <row r="509" spans="1:6" x14ac:dyDescent="0.35">
      <c r="A509">
        <v>1024</v>
      </c>
      <c r="B509" s="4">
        <v>45534.375085336993</v>
      </c>
      <c r="C509" t="s">
        <v>15</v>
      </c>
      <c r="D509" t="s">
        <v>19</v>
      </c>
      <c r="E509" t="s">
        <v>23</v>
      </c>
      <c r="F509">
        <v>1943.02</v>
      </c>
    </row>
    <row r="510" spans="1:6" x14ac:dyDescent="0.35">
      <c r="A510">
        <v>1131</v>
      </c>
      <c r="B510" s="4">
        <v>45535.375085336993</v>
      </c>
      <c r="C510" t="s">
        <v>14</v>
      </c>
      <c r="D510" t="s">
        <v>16</v>
      </c>
      <c r="E510" t="s">
        <v>24</v>
      </c>
      <c r="F510">
        <v>10288.950000000001</v>
      </c>
    </row>
    <row r="511" spans="1:6" x14ac:dyDescent="0.35">
      <c r="A511">
        <v>1359</v>
      </c>
      <c r="B511" s="4">
        <v>45536.375085336993</v>
      </c>
      <c r="C511" t="s">
        <v>12</v>
      </c>
      <c r="D511" t="s">
        <v>16</v>
      </c>
      <c r="E511" t="s">
        <v>25</v>
      </c>
      <c r="F511">
        <v>6763.74</v>
      </c>
    </row>
    <row r="512" spans="1:6" x14ac:dyDescent="0.35">
      <c r="A512">
        <v>1359</v>
      </c>
      <c r="B512" s="4">
        <v>45536.375085336993</v>
      </c>
      <c r="C512" t="s">
        <v>7</v>
      </c>
      <c r="D512" t="s">
        <v>22</v>
      </c>
      <c r="E512" t="s">
        <v>24</v>
      </c>
      <c r="F512">
        <v>4576.05</v>
      </c>
    </row>
    <row r="513" spans="1:6" x14ac:dyDescent="0.35">
      <c r="A513">
        <v>1207</v>
      </c>
      <c r="B513" s="4">
        <v>45536.375085336993</v>
      </c>
      <c r="C513" t="s">
        <v>15</v>
      </c>
      <c r="D513" t="s">
        <v>17</v>
      </c>
      <c r="E513" t="s">
        <v>24</v>
      </c>
      <c r="F513">
        <v>468.91</v>
      </c>
    </row>
    <row r="514" spans="1:6" x14ac:dyDescent="0.35">
      <c r="A514">
        <v>1340</v>
      </c>
      <c r="B514" s="4">
        <v>45537.375085336993</v>
      </c>
      <c r="C514" t="s">
        <v>15</v>
      </c>
      <c r="D514" t="s">
        <v>22</v>
      </c>
      <c r="E514" t="s">
        <v>25</v>
      </c>
      <c r="F514">
        <v>9441</v>
      </c>
    </row>
    <row r="515" spans="1:6" x14ac:dyDescent="0.35">
      <c r="A515">
        <v>1106</v>
      </c>
      <c r="B515" s="4">
        <v>45537.375085336993</v>
      </c>
      <c r="C515" t="s">
        <v>15</v>
      </c>
      <c r="D515" t="s">
        <v>19</v>
      </c>
      <c r="E515" t="s">
        <v>25</v>
      </c>
      <c r="F515">
        <v>3683.3</v>
      </c>
    </row>
    <row r="516" spans="1:6" x14ac:dyDescent="0.35">
      <c r="A516">
        <v>1214</v>
      </c>
      <c r="B516" s="4">
        <v>45537.375085336993</v>
      </c>
      <c r="C516" t="s">
        <v>11</v>
      </c>
      <c r="D516" t="s">
        <v>16</v>
      </c>
      <c r="E516" t="s">
        <v>23</v>
      </c>
      <c r="F516">
        <v>2026.19</v>
      </c>
    </row>
    <row r="517" spans="1:6" x14ac:dyDescent="0.35">
      <c r="A517">
        <v>1307</v>
      </c>
      <c r="B517" s="4">
        <v>45537.375085336993</v>
      </c>
      <c r="C517" t="s">
        <v>8</v>
      </c>
      <c r="D517" t="s">
        <v>20</v>
      </c>
      <c r="E517" t="s">
        <v>23</v>
      </c>
      <c r="F517">
        <v>6915.83</v>
      </c>
    </row>
    <row r="518" spans="1:6" x14ac:dyDescent="0.35">
      <c r="A518">
        <v>1172</v>
      </c>
      <c r="B518" s="4">
        <v>45539.375085336993</v>
      </c>
      <c r="C518" t="s">
        <v>12</v>
      </c>
      <c r="D518" t="s">
        <v>16</v>
      </c>
      <c r="E518" t="s">
        <v>24</v>
      </c>
      <c r="F518">
        <v>11824.72</v>
      </c>
    </row>
    <row r="519" spans="1:6" x14ac:dyDescent="0.35">
      <c r="A519">
        <v>1013</v>
      </c>
      <c r="B519" s="4">
        <v>45539.375085336993</v>
      </c>
      <c r="C519" t="s">
        <v>13</v>
      </c>
      <c r="D519" t="s">
        <v>21</v>
      </c>
      <c r="E519" t="s">
        <v>24</v>
      </c>
      <c r="F519">
        <v>3851.32</v>
      </c>
    </row>
    <row r="520" spans="1:6" x14ac:dyDescent="0.35">
      <c r="A520">
        <v>1331</v>
      </c>
      <c r="B520" s="4">
        <v>45540.375085336993</v>
      </c>
      <c r="C520" t="s">
        <v>12</v>
      </c>
      <c r="D520" t="s">
        <v>18</v>
      </c>
      <c r="E520" t="s">
        <v>25</v>
      </c>
      <c r="F520">
        <v>9078.66</v>
      </c>
    </row>
    <row r="521" spans="1:6" x14ac:dyDescent="0.35">
      <c r="A521">
        <v>1313</v>
      </c>
      <c r="B521" s="4">
        <v>45540.375085336993</v>
      </c>
      <c r="C521" t="s">
        <v>14</v>
      </c>
      <c r="D521" t="s">
        <v>17</v>
      </c>
      <c r="E521" t="s">
        <v>24</v>
      </c>
      <c r="F521">
        <v>7600.75</v>
      </c>
    </row>
    <row r="522" spans="1:6" x14ac:dyDescent="0.35">
      <c r="A522">
        <v>1216</v>
      </c>
      <c r="B522" s="4">
        <v>45541.375085336993</v>
      </c>
      <c r="C522" t="s">
        <v>13</v>
      </c>
      <c r="D522" t="s">
        <v>16</v>
      </c>
      <c r="E522" t="s">
        <v>25</v>
      </c>
      <c r="F522">
        <v>3512.07</v>
      </c>
    </row>
    <row r="523" spans="1:6" x14ac:dyDescent="0.35">
      <c r="A523">
        <v>1277</v>
      </c>
      <c r="B523" s="4">
        <v>45541.375085336993</v>
      </c>
      <c r="C523" t="s">
        <v>7</v>
      </c>
      <c r="D523" t="s">
        <v>21</v>
      </c>
      <c r="E523" t="s">
        <v>24</v>
      </c>
      <c r="F523">
        <v>2486.08</v>
      </c>
    </row>
    <row r="524" spans="1:6" x14ac:dyDescent="0.35">
      <c r="A524">
        <v>1220</v>
      </c>
      <c r="B524" s="4">
        <v>45541.375085336993</v>
      </c>
      <c r="C524" t="s">
        <v>14</v>
      </c>
      <c r="D524" t="s">
        <v>19</v>
      </c>
      <c r="E524" t="s">
        <v>25</v>
      </c>
      <c r="F524">
        <v>12491.92</v>
      </c>
    </row>
    <row r="525" spans="1:6" x14ac:dyDescent="0.35">
      <c r="A525">
        <v>1095</v>
      </c>
      <c r="B525" s="4">
        <v>45542.375085336993</v>
      </c>
      <c r="C525" t="s">
        <v>8</v>
      </c>
      <c r="D525" t="s">
        <v>21</v>
      </c>
      <c r="E525" t="s">
        <v>24</v>
      </c>
      <c r="F525">
        <v>16168.88</v>
      </c>
    </row>
    <row r="526" spans="1:6" x14ac:dyDescent="0.35">
      <c r="A526">
        <v>1355</v>
      </c>
      <c r="B526" s="4">
        <v>45542.375085336993</v>
      </c>
      <c r="C526" t="s">
        <v>11</v>
      </c>
      <c r="D526" t="s">
        <v>22</v>
      </c>
      <c r="E526" t="s">
        <v>23</v>
      </c>
      <c r="F526">
        <v>750.56</v>
      </c>
    </row>
    <row r="527" spans="1:6" x14ac:dyDescent="0.35">
      <c r="A527">
        <v>1054</v>
      </c>
      <c r="B527" s="4">
        <v>45542.375085336993</v>
      </c>
      <c r="C527" t="s">
        <v>8</v>
      </c>
      <c r="D527" t="s">
        <v>19</v>
      </c>
      <c r="E527" t="s">
        <v>25</v>
      </c>
      <c r="F527">
        <v>1808</v>
      </c>
    </row>
    <row r="528" spans="1:6" x14ac:dyDescent="0.35">
      <c r="A528">
        <v>1106</v>
      </c>
      <c r="B528" s="4">
        <v>45542.375085336993</v>
      </c>
      <c r="C528" t="s">
        <v>6</v>
      </c>
      <c r="D528" t="s">
        <v>22</v>
      </c>
      <c r="E528" t="s">
        <v>25</v>
      </c>
      <c r="F528">
        <v>3275.87</v>
      </c>
    </row>
    <row r="529" spans="1:6" x14ac:dyDescent="0.35">
      <c r="A529">
        <v>1134</v>
      </c>
      <c r="B529" s="4">
        <v>45542.375085336993</v>
      </c>
      <c r="C529" t="s">
        <v>8</v>
      </c>
      <c r="D529" t="s">
        <v>22</v>
      </c>
      <c r="E529" t="s">
        <v>23</v>
      </c>
      <c r="F529">
        <v>399.97</v>
      </c>
    </row>
    <row r="530" spans="1:6" x14ac:dyDescent="0.35">
      <c r="A530">
        <v>1021</v>
      </c>
      <c r="B530" s="4">
        <v>45542.375085336993</v>
      </c>
      <c r="C530" t="s">
        <v>8</v>
      </c>
      <c r="D530" t="s">
        <v>17</v>
      </c>
      <c r="E530" t="s">
        <v>23</v>
      </c>
      <c r="F530">
        <v>1584.15</v>
      </c>
    </row>
    <row r="531" spans="1:6" x14ac:dyDescent="0.35">
      <c r="A531">
        <v>1303</v>
      </c>
      <c r="B531" s="4">
        <v>45542.375085336993</v>
      </c>
      <c r="C531" t="s">
        <v>9</v>
      </c>
      <c r="D531" t="s">
        <v>16</v>
      </c>
      <c r="E531" t="s">
        <v>25</v>
      </c>
      <c r="F531">
        <v>1011.58</v>
      </c>
    </row>
    <row r="532" spans="1:6" x14ac:dyDescent="0.35">
      <c r="A532">
        <v>1088</v>
      </c>
      <c r="B532" s="4">
        <v>45543.375085336993</v>
      </c>
      <c r="C532" t="s">
        <v>12</v>
      </c>
      <c r="D532" t="s">
        <v>22</v>
      </c>
      <c r="E532" t="s">
        <v>25</v>
      </c>
      <c r="F532">
        <v>693.82</v>
      </c>
    </row>
    <row r="533" spans="1:6" x14ac:dyDescent="0.35">
      <c r="A533">
        <v>1017</v>
      </c>
      <c r="B533" s="4">
        <v>45543.375085336993</v>
      </c>
      <c r="C533" t="s">
        <v>9</v>
      </c>
      <c r="D533" t="s">
        <v>17</v>
      </c>
      <c r="E533" t="s">
        <v>24</v>
      </c>
      <c r="F533">
        <v>7665.01</v>
      </c>
    </row>
    <row r="534" spans="1:6" x14ac:dyDescent="0.35">
      <c r="A534">
        <v>1094</v>
      </c>
      <c r="B534" s="4">
        <v>45543.375085336993</v>
      </c>
      <c r="C534" t="s">
        <v>10</v>
      </c>
      <c r="D534" t="s">
        <v>19</v>
      </c>
      <c r="E534" t="s">
        <v>24</v>
      </c>
      <c r="F534">
        <v>6431.11</v>
      </c>
    </row>
    <row r="535" spans="1:6" x14ac:dyDescent="0.35">
      <c r="A535">
        <v>1185</v>
      </c>
      <c r="B535" s="4">
        <v>45543.375085336993</v>
      </c>
      <c r="C535" t="s">
        <v>11</v>
      </c>
      <c r="D535" t="s">
        <v>17</v>
      </c>
      <c r="E535" t="s">
        <v>24</v>
      </c>
      <c r="F535">
        <v>1606.59</v>
      </c>
    </row>
    <row r="536" spans="1:6" x14ac:dyDescent="0.35">
      <c r="A536">
        <v>1205</v>
      </c>
      <c r="B536" s="4">
        <v>45543.375085336993</v>
      </c>
      <c r="C536" t="s">
        <v>10</v>
      </c>
      <c r="D536" t="s">
        <v>19</v>
      </c>
      <c r="E536" t="s">
        <v>24</v>
      </c>
      <c r="F536">
        <v>4682.34</v>
      </c>
    </row>
    <row r="537" spans="1:6" x14ac:dyDescent="0.35">
      <c r="A537">
        <v>1135</v>
      </c>
      <c r="B537" s="4">
        <v>45544.375085336993</v>
      </c>
      <c r="C537" t="s">
        <v>10</v>
      </c>
      <c r="D537" t="s">
        <v>20</v>
      </c>
      <c r="E537" t="s">
        <v>23</v>
      </c>
      <c r="F537">
        <v>3307.85</v>
      </c>
    </row>
    <row r="538" spans="1:6" x14ac:dyDescent="0.35">
      <c r="A538">
        <v>1273</v>
      </c>
      <c r="B538" s="4">
        <v>45544.375085336993</v>
      </c>
      <c r="C538" t="s">
        <v>7</v>
      </c>
      <c r="D538" t="s">
        <v>20</v>
      </c>
      <c r="E538" t="s">
        <v>23</v>
      </c>
      <c r="F538">
        <v>4424.04</v>
      </c>
    </row>
    <row r="539" spans="1:6" x14ac:dyDescent="0.35">
      <c r="A539">
        <v>1322</v>
      </c>
      <c r="B539" s="4">
        <v>45544.375085336993</v>
      </c>
      <c r="C539" t="s">
        <v>8</v>
      </c>
      <c r="D539" t="s">
        <v>16</v>
      </c>
      <c r="E539" t="s">
        <v>25</v>
      </c>
      <c r="F539">
        <v>1748.66</v>
      </c>
    </row>
    <row r="540" spans="1:6" x14ac:dyDescent="0.35">
      <c r="A540">
        <v>1302</v>
      </c>
      <c r="B540" s="4">
        <v>45544.375085336993</v>
      </c>
      <c r="C540" t="s">
        <v>10</v>
      </c>
      <c r="D540" t="s">
        <v>19</v>
      </c>
      <c r="E540" t="s">
        <v>23</v>
      </c>
      <c r="F540">
        <v>3758.04</v>
      </c>
    </row>
    <row r="541" spans="1:6" x14ac:dyDescent="0.35">
      <c r="A541">
        <v>1311</v>
      </c>
      <c r="B541" s="4">
        <v>45544.375085336993</v>
      </c>
      <c r="C541" t="s">
        <v>10</v>
      </c>
      <c r="D541" t="s">
        <v>18</v>
      </c>
      <c r="E541" t="s">
        <v>23</v>
      </c>
      <c r="F541">
        <v>3694.87</v>
      </c>
    </row>
    <row r="542" spans="1:6" x14ac:dyDescent="0.35">
      <c r="A542">
        <v>1124</v>
      </c>
      <c r="B542" s="4">
        <v>45544.375085336993</v>
      </c>
      <c r="C542" t="s">
        <v>10</v>
      </c>
      <c r="D542" t="s">
        <v>17</v>
      </c>
      <c r="E542" t="s">
        <v>24</v>
      </c>
      <c r="F542">
        <v>1972.19</v>
      </c>
    </row>
    <row r="543" spans="1:6" x14ac:dyDescent="0.35">
      <c r="A543">
        <v>1046</v>
      </c>
      <c r="B543" s="4">
        <v>45544.375085336993</v>
      </c>
      <c r="C543" t="s">
        <v>11</v>
      </c>
      <c r="D543" t="s">
        <v>19</v>
      </c>
      <c r="E543" t="s">
        <v>24</v>
      </c>
      <c r="F543">
        <v>3838.32</v>
      </c>
    </row>
    <row r="544" spans="1:6" x14ac:dyDescent="0.35">
      <c r="A544">
        <v>1223</v>
      </c>
      <c r="B544" s="4">
        <v>45545.375085336993</v>
      </c>
      <c r="C544" t="s">
        <v>10</v>
      </c>
      <c r="D544" t="s">
        <v>22</v>
      </c>
      <c r="E544" t="s">
        <v>25</v>
      </c>
      <c r="F544">
        <v>1235.68</v>
      </c>
    </row>
    <row r="545" spans="1:6" x14ac:dyDescent="0.35">
      <c r="A545">
        <v>1065</v>
      </c>
      <c r="B545" s="4">
        <v>45545.375085336993</v>
      </c>
      <c r="C545" t="s">
        <v>8</v>
      </c>
      <c r="D545" t="s">
        <v>16</v>
      </c>
      <c r="E545" t="s">
        <v>24</v>
      </c>
      <c r="F545">
        <v>4652.12</v>
      </c>
    </row>
    <row r="546" spans="1:6" x14ac:dyDescent="0.35">
      <c r="A546">
        <v>1143</v>
      </c>
      <c r="B546" s="4">
        <v>45545.375085336993</v>
      </c>
      <c r="C546" t="s">
        <v>8</v>
      </c>
      <c r="D546" t="s">
        <v>17</v>
      </c>
      <c r="E546" t="s">
        <v>25</v>
      </c>
      <c r="F546">
        <v>2736.81</v>
      </c>
    </row>
    <row r="547" spans="1:6" x14ac:dyDescent="0.35">
      <c r="A547">
        <v>1311</v>
      </c>
      <c r="B547" s="4">
        <v>45545.375085336993</v>
      </c>
      <c r="C547" t="s">
        <v>12</v>
      </c>
      <c r="D547" t="s">
        <v>17</v>
      </c>
      <c r="E547" t="s">
        <v>24</v>
      </c>
      <c r="F547">
        <v>3846.03</v>
      </c>
    </row>
    <row r="548" spans="1:6" x14ac:dyDescent="0.35">
      <c r="A548">
        <v>1077</v>
      </c>
      <c r="B548" s="4">
        <v>45545.375085336993</v>
      </c>
      <c r="C548" t="s">
        <v>6</v>
      </c>
      <c r="D548" t="s">
        <v>19</v>
      </c>
      <c r="E548" t="s">
        <v>24</v>
      </c>
      <c r="F548">
        <v>932.71</v>
      </c>
    </row>
    <row r="549" spans="1:6" x14ac:dyDescent="0.35">
      <c r="A549">
        <v>1025</v>
      </c>
      <c r="B549" s="4">
        <v>45546.375085336993</v>
      </c>
      <c r="C549" t="s">
        <v>9</v>
      </c>
      <c r="D549" t="s">
        <v>19</v>
      </c>
      <c r="E549" t="s">
        <v>25</v>
      </c>
      <c r="F549">
        <v>1483.9</v>
      </c>
    </row>
    <row r="550" spans="1:6" x14ac:dyDescent="0.35">
      <c r="A550">
        <v>1226</v>
      </c>
      <c r="B550" s="4">
        <v>45546.375085336993</v>
      </c>
      <c r="C550" t="s">
        <v>15</v>
      </c>
      <c r="D550" t="s">
        <v>17</v>
      </c>
      <c r="E550" t="s">
        <v>24</v>
      </c>
      <c r="F550">
        <v>2273.85</v>
      </c>
    </row>
    <row r="551" spans="1:6" x14ac:dyDescent="0.35">
      <c r="A551">
        <v>1041</v>
      </c>
      <c r="B551" s="4">
        <v>45546.375085336993</v>
      </c>
      <c r="C551" t="s">
        <v>9</v>
      </c>
      <c r="D551" t="s">
        <v>20</v>
      </c>
      <c r="E551" t="s">
        <v>23</v>
      </c>
      <c r="F551">
        <v>4068.3</v>
      </c>
    </row>
    <row r="552" spans="1:6" x14ac:dyDescent="0.35">
      <c r="A552">
        <v>1133</v>
      </c>
      <c r="B552" s="4">
        <v>45546.375085336993</v>
      </c>
      <c r="C552" t="s">
        <v>8</v>
      </c>
      <c r="D552" t="s">
        <v>16</v>
      </c>
      <c r="E552" t="s">
        <v>24</v>
      </c>
      <c r="F552">
        <v>3144.87</v>
      </c>
    </row>
    <row r="553" spans="1:6" x14ac:dyDescent="0.35">
      <c r="A553">
        <v>1204</v>
      </c>
      <c r="B553" s="4">
        <v>45546.375085336993</v>
      </c>
      <c r="C553" t="s">
        <v>14</v>
      </c>
      <c r="D553" t="s">
        <v>16</v>
      </c>
      <c r="E553" t="s">
        <v>23</v>
      </c>
      <c r="F553">
        <v>1348.25</v>
      </c>
    </row>
    <row r="554" spans="1:6" x14ac:dyDescent="0.35">
      <c r="A554">
        <v>1255</v>
      </c>
      <c r="B554" s="4">
        <v>45546.375085336993</v>
      </c>
      <c r="C554" t="s">
        <v>15</v>
      </c>
      <c r="D554" t="s">
        <v>17</v>
      </c>
      <c r="E554" t="s">
        <v>25</v>
      </c>
      <c r="F554">
        <v>3300.37</v>
      </c>
    </row>
    <row r="555" spans="1:6" x14ac:dyDescent="0.35">
      <c r="A555">
        <v>1358</v>
      </c>
      <c r="B555" s="4">
        <v>45546.375085336993</v>
      </c>
      <c r="C555" t="s">
        <v>14</v>
      </c>
      <c r="D555" t="s">
        <v>20</v>
      </c>
      <c r="E555" t="s">
        <v>23</v>
      </c>
      <c r="F555">
        <v>2573.79</v>
      </c>
    </row>
    <row r="556" spans="1:6" x14ac:dyDescent="0.35">
      <c r="A556">
        <v>1359</v>
      </c>
      <c r="B556" s="4">
        <v>45546.375085336993</v>
      </c>
      <c r="C556" t="s">
        <v>11</v>
      </c>
      <c r="D556" t="s">
        <v>21</v>
      </c>
      <c r="E556" t="s">
        <v>23</v>
      </c>
      <c r="F556">
        <v>4354.3999999999996</v>
      </c>
    </row>
    <row r="557" spans="1:6" x14ac:dyDescent="0.35">
      <c r="A557">
        <v>1032</v>
      </c>
      <c r="B557" s="4">
        <v>45547.375085336993</v>
      </c>
      <c r="C557" t="s">
        <v>13</v>
      </c>
      <c r="D557" t="s">
        <v>17</v>
      </c>
      <c r="E557" t="s">
        <v>24</v>
      </c>
      <c r="F557">
        <v>2541.35</v>
      </c>
    </row>
    <row r="558" spans="1:6" x14ac:dyDescent="0.35">
      <c r="A558">
        <v>1171</v>
      </c>
      <c r="B558" s="4">
        <v>45547.375085336993</v>
      </c>
      <c r="C558" t="s">
        <v>10</v>
      </c>
      <c r="D558" t="s">
        <v>17</v>
      </c>
      <c r="E558" t="s">
        <v>23</v>
      </c>
      <c r="F558">
        <v>5226.6899999999996</v>
      </c>
    </row>
    <row r="559" spans="1:6" x14ac:dyDescent="0.35">
      <c r="A559">
        <v>1047</v>
      </c>
      <c r="B559" s="4">
        <v>45547.375085336993</v>
      </c>
      <c r="C559" t="s">
        <v>6</v>
      </c>
      <c r="D559" t="s">
        <v>19</v>
      </c>
      <c r="E559" t="s">
        <v>24</v>
      </c>
      <c r="F559">
        <v>1206.8</v>
      </c>
    </row>
    <row r="560" spans="1:6" x14ac:dyDescent="0.35">
      <c r="A560">
        <v>1333</v>
      </c>
      <c r="B560" s="4">
        <v>45548.375085336993</v>
      </c>
      <c r="C560" t="s">
        <v>7</v>
      </c>
      <c r="D560" t="s">
        <v>17</v>
      </c>
      <c r="E560" t="s">
        <v>24</v>
      </c>
      <c r="F560">
        <v>181.25</v>
      </c>
    </row>
    <row r="561" spans="1:6" x14ac:dyDescent="0.35">
      <c r="A561">
        <v>1041</v>
      </c>
      <c r="B561" s="4">
        <v>45548.375085336993</v>
      </c>
      <c r="C561" t="s">
        <v>9</v>
      </c>
      <c r="D561" t="s">
        <v>22</v>
      </c>
      <c r="E561" t="s">
        <v>25</v>
      </c>
      <c r="F561">
        <v>2431.41</v>
      </c>
    </row>
    <row r="562" spans="1:6" x14ac:dyDescent="0.35">
      <c r="A562">
        <v>1021</v>
      </c>
      <c r="B562" s="4">
        <v>45548.375085336993</v>
      </c>
      <c r="C562" t="s">
        <v>9</v>
      </c>
      <c r="D562" t="s">
        <v>16</v>
      </c>
      <c r="E562" t="s">
        <v>25</v>
      </c>
      <c r="F562">
        <v>4938.75</v>
      </c>
    </row>
    <row r="563" spans="1:6" x14ac:dyDescent="0.35">
      <c r="A563">
        <v>1166</v>
      </c>
      <c r="B563" s="4">
        <v>45548.375085336993</v>
      </c>
      <c r="C563" t="s">
        <v>14</v>
      </c>
      <c r="D563" t="s">
        <v>16</v>
      </c>
      <c r="E563" t="s">
        <v>24</v>
      </c>
      <c r="F563">
        <v>4051.83</v>
      </c>
    </row>
    <row r="564" spans="1:6" x14ac:dyDescent="0.35">
      <c r="A564">
        <v>1160</v>
      </c>
      <c r="B564" s="4">
        <v>45549.375085336993</v>
      </c>
      <c r="C564" t="s">
        <v>15</v>
      </c>
      <c r="D564" t="s">
        <v>21</v>
      </c>
      <c r="E564" t="s">
        <v>23</v>
      </c>
      <c r="F564">
        <v>4593.45</v>
      </c>
    </row>
    <row r="565" spans="1:6" x14ac:dyDescent="0.35">
      <c r="A565">
        <v>1235</v>
      </c>
      <c r="B565" s="4">
        <v>45549.375085336993</v>
      </c>
      <c r="C565" t="s">
        <v>14</v>
      </c>
      <c r="D565" t="s">
        <v>17</v>
      </c>
      <c r="E565" t="s">
        <v>23</v>
      </c>
      <c r="F565">
        <v>3020.23</v>
      </c>
    </row>
    <row r="566" spans="1:6" x14ac:dyDescent="0.35">
      <c r="A566">
        <v>1283</v>
      </c>
      <c r="B566" s="4">
        <v>45549.375085336993</v>
      </c>
      <c r="C566" t="s">
        <v>12</v>
      </c>
      <c r="D566" t="s">
        <v>18</v>
      </c>
      <c r="E566" t="s">
        <v>24</v>
      </c>
      <c r="F566">
        <v>11447.31</v>
      </c>
    </row>
    <row r="567" spans="1:6" x14ac:dyDescent="0.35">
      <c r="A567">
        <v>1131</v>
      </c>
      <c r="B567" s="4">
        <v>45549.375085336993</v>
      </c>
      <c r="C567" t="s">
        <v>8</v>
      </c>
      <c r="D567" t="s">
        <v>20</v>
      </c>
      <c r="E567" t="s">
        <v>24</v>
      </c>
      <c r="F567">
        <v>1702.85</v>
      </c>
    </row>
    <row r="568" spans="1:6" x14ac:dyDescent="0.35">
      <c r="A568">
        <v>1396</v>
      </c>
      <c r="B568" s="4">
        <v>45550.375085336993</v>
      </c>
      <c r="C568" t="s">
        <v>9</v>
      </c>
      <c r="D568" t="s">
        <v>18</v>
      </c>
      <c r="E568" t="s">
        <v>24</v>
      </c>
      <c r="F568">
        <v>9604.99</v>
      </c>
    </row>
    <row r="569" spans="1:6" x14ac:dyDescent="0.35">
      <c r="A569">
        <v>1172</v>
      </c>
      <c r="B569" s="4">
        <v>45550.375085336993</v>
      </c>
      <c r="C569" t="s">
        <v>11</v>
      </c>
      <c r="D569" t="s">
        <v>20</v>
      </c>
      <c r="E569" t="s">
        <v>24</v>
      </c>
      <c r="F569">
        <v>2723.46</v>
      </c>
    </row>
    <row r="570" spans="1:6" x14ac:dyDescent="0.35">
      <c r="A570">
        <v>1228</v>
      </c>
      <c r="B570" s="4">
        <v>45551.375085336993</v>
      </c>
      <c r="C570" t="s">
        <v>12</v>
      </c>
      <c r="D570" t="s">
        <v>19</v>
      </c>
      <c r="E570" t="s">
        <v>25</v>
      </c>
      <c r="F570">
        <v>3613.33</v>
      </c>
    </row>
    <row r="571" spans="1:6" x14ac:dyDescent="0.35">
      <c r="A571">
        <v>1068</v>
      </c>
      <c r="B571" s="4">
        <v>45551.375085336993</v>
      </c>
      <c r="C571" t="s">
        <v>8</v>
      </c>
      <c r="D571" t="s">
        <v>22</v>
      </c>
      <c r="E571" t="s">
        <v>23</v>
      </c>
      <c r="F571">
        <v>9285.91</v>
      </c>
    </row>
    <row r="572" spans="1:6" x14ac:dyDescent="0.35">
      <c r="A572">
        <v>1366</v>
      </c>
      <c r="B572" s="4">
        <v>45551.375085336993</v>
      </c>
      <c r="C572" t="s">
        <v>8</v>
      </c>
      <c r="D572" t="s">
        <v>19</v>
      </c>
      <c r="E572" t="s">
        <v>24</v>
      </c>
      <c r="F572">
        <v>4750.78</v>
      </c>
    </row>
    <row r="573" spans="1:6" x14ac:dyDescent="0.35">
      <c r="A573">
        <v>1021</v>
      </c>
      <c r="B573" s="4">
        <v>45551.375085336993</v>
      </c>
      <c r="C573" t="s">
        <v>10</v>
      </c>
      <c r="D573" t="s">
        <v>19</v>
      </c>
      <c r="E573" t="s">
        <v>23</v>
      </c>
      <c r="F573">
        <v>1649.98</v>
      </c>
    </row>
    <row r="574" spans="1:6" x14ac:dyDescent="0.35">
      <c r="A574">
        <v>1135</v>
      </c>
      <c r="B574" s="4">
        <v>45552.375085336993</v>
      </c>
      <c r="C574" t="s">
        <v>6</v>
      </c>
      <c r="D574" t="s">
        <v>17</v>
      </c>
      <c r="E574" t="s">
        <v>23</v>
      </c>
      <c r="F574">
        <v>1151.97</v>
      </c>
    </row>
    <row r="575" spans="1:6" x14ac:dyDescent="0.35">
      <c r="A575">
        <v>1004</v>
      </c>
      <c r="B575" s="4">
        <v>45552.375085336993</v>
      </c>
      <c r="C575" t="s">
        <v>8</v>
      </c>
      <c r="D575" t="s">
        <v>18</v>
      </c>
      <c r="E575" t="s">
        <v>23</v>
      </c>
      <c r="F575">
        <v>4906.71</v>
      </c>
    </row>
    <row r="576" spans="1:6" x14ac:dyDescent="0.35">
      <c r="A576">
        <v>1241</v>
      </c>
      <c r="B576" s="4">
        <v>45552.375085336993</v>
      </c>
      <c r="C576" t="s">
        <v>10</v>
      </c>
      <c r="D576" t="s">
        <v>18</v>
      </c>
      <c r="E576" t="s">
        <v>24</v>
      </c>
      <c r="F576">
        <v>888.11</v>
      </c>
    </row>
    <row r="577" spans="1:6" x14ac:dyDescent="0.35">
      <c r="A577">
        <v>1323</v>
      </c>
      <c r="B577" s="4">
        <v>45552.375085336993</v>
      </c>
      <c r="C577" t="s">
        <v>7</v>
      </c>
      <c r="D577" t="s">
        <v>16</v>
      </c>
      <c r="E577" t="s">
        <v>23</v>
      </c>
      <c r="F577">
        <v>562.58000000000004</v>
      </c>
    </row>
    <row r="578" spans="1:6" x14ac:dyDescent="0.35">
      <c r="A578">
        <v>1285</v>
      </c>
      <c r="B578" s="4">
        <v>45552.375085336993</v>
      </c>
      <c r="C578" t="s">
        <v>8</v>
      </c>
      <c r="D578" t="s">
        <v>17</v>
      </c>
      <c r="E578" t="s">
        <v>25</v>
      </c>
      <c r="F578">
        <v>2558.9699999999998</v>
      </c>
    </row>
    <row r="579" spans="1:6" x14ac:dyDescent="0.35">
      <c r="A579">
        <v>1011</v>
      </c>
      <c r="B579" s="4">
        <v>45552.375085336993</v>
      </c>
      <c r="C579" t="s">
        <v>8</v>
      </c>
      <c r="D579" t="s">
        <v>17</v>
      </c>
      <c r="E579" t="s">
        <v>25</v>
      </c>
      <c r="F579">
        <v>3291.71</v>
      </c>
    </row>
    <row r="580" spans="1:6" x14ac:dyDescent="0.35">
      <c r="A580">
        <v>1230</v>
      </c>
      <c r="B580" s="4">
        <v>45553.375085336993</v>
      </c>
      <c r="C580" t="s">
        <v>10</v>
      </c>
      <c r="D580" t="s">
        <v>20</v>
      </c>
      <c r="E580" t="s">
        <v>24</v>
      </c>
      <c r="F580">
        <v>3401.25</v>
      </c>
    </row>
    <row r="581" spans="1:6" x14ac:dyDescent="0.35">
      <c r="A581">
        <v>1378</v>
      </c>
      <c r="B581" s="4">
        <v>45553.375085336993</v>
      </c>
      <c r="C581" t="s">
        <v>10</v>
      </c>
      <c r="D581" t="s">
        <v>16</v>
      </c>
      <c r="E581" t="s">
        <v>25</v>
      </c>
      <c r="F581">
        <v>5989.13</v>
      </c>
    </row>
    <row r="582" spans="1:6" x14ac:dyDescent="0.35">
      <c r="A582">
        <v>1327</v>
      </c>
      <c r="B582" s="4">
        <v>45553.375085336993</v>
      </c>
      <c r="C582" t="s">
        <v>9</v>
      </c>
      <c r="D582" t="s">
        <v>19</v>
      </c>
      <c r="E582" t="s">
        <v>23</v>
      </c>
      <c r="F582">
        <v>2811.16</v>
      </c>
    </row>
    <row r="583" spans="1:6" x14ac:dyDescent="0.35">
      <c r="A583">
        <v>1319</v>
      </c>
      <c r="B583" s="4">
        <v>45553.375085336993</v>
      </c>
      <c r="C583" t="s">
        <v>11</v>
      </c>
      <c r="D583" t="s">
        <v>20</v>
      </c>
      <c r="E583" t="s">
        <v>25</v>
      </c>
      <c r="F583">
        <v>318.44</v>
      </c>
    </row>
    <row r="584" spans="1:6" x14ac:dyDescent="0.35">
      <c r="A584">
        <v>1352</v>
      </c>
      <c r="B584" s="4">
        <v>45554.375085336993</v>
      </c>
      <c r="C584" t="s">
        <v>7</v>
      </c>
      <c r="D584" t="s">
        <v>19</v>
      </c>
      <c r="E584" t="s">
        <v>24</v>
      </c>
      <c r="F584">
        <v>447.42</v>
      </c>
    </row>
    <row r="585" spans="1:6" x14ac:dyDescent="0.35">
      <c r="A585">
        <v>1142</v>
      </c>
      <c r="B585" s="4">
        <v>45554.375085336993</v>
      </c>
      <c r="C585" t="s">
        <v>9</v>
      </c>
      <c r="D585" t="s">
        <v>16</v>
      </c>
      <c r="E585" t="s">
        <v>25</v>
      </c>
      <c r="F585">
        <v>6881.74</v>
      </c>
    </row>
    <row r="586" spans="1:6" x14ac:dyDescent="0.35">
      <c r="A586">
        <v>1368</v>
      </c>
      <c r="B586" s="4">
        <v>45554.375085336993</v>
      </c>
      <c r="C586" t="s">
        <v>6</v>
      </c>
      <c r="D586" t="s">
        <v>21</v>
      </c>
      <c r="E586" t="s">
        <v>24</v>
      </c>
      <c r="F586">
        <v>3330.94</v>
      </c>
    </row>
    <row r="587" spans="1:6" x14ac:dyDescent="0.35">
      <c r="A587">
        <v>1027</v>
      </c>
      <c r="B587" s="4">
        <v>45555.375085336993</v>
      </c>
      <c r="C587" t="s">
        <v>15</v>
      </c>
      <c r="D587" t="s">
        <v>22</v>
      </c>
      <c r="E587" t="s">
        <v>25</v>
      </c>
      <c r="F587">
        <v>13924</v>
      </c>
    </row>
    <row r="588" spans="1:6" x14ac:dyDescent="0.35">
      <c r="A588">
        <v>1019</v>
      </c>
      <c r="B588" s="4">
        <v>45555.375085336993</v>
      </c>
      <c r="C588" t="s">
        <v>7</v>
      </c>
      <c r="D588" t="s">
        <v>19</v>
      </c>
      <c r="E588" t="s">
        <v>24</v>
      </c>
      <c r="F588">
        <v>2354.46</v>
      </c>
    </row>
    <row r="589" spans="1:6" x14ac:dyDescent="0.35">
      <c r="A589">
        <v>1180</v>
      </c>
      <c r="B589" s="4">
        <v>45556.375085336993</v>
      </c>
      <c r="C589" t="s">
        <v>14</v>
      </c>
      <c r="D589" t="s">
        <v>18</v>
      </c>
      <c r="E589" t="s">
        <v>24</v>
      </c>
      <c r="F589">
        <v>8488.6299999999992</v>
      </c>
    </row>
    <row r="590" spans="1:6" x14ac:dyDescent="0.35">
      <c r="A590">
        <v>1060</v>
      </c>
      <c r="B590" s="4">
        <v>45556.375085336993</v>
      </c>
      <c r="C590" t="s">
        <v>7</v>
      </c>
      <c r="D590" t="s">
        <v>17</v>
      </c>
      <c r="E590" t="s">
        <v>24</v>
      </c>
      <c r="F590">
        <v>5382.43</v>
      </c>
    </row>
    <row r="591" spans="1:6" x14ac:dyDescent="0.35">
      <c r="A591">
        <v>1363</v>
      </c>
      <c r="B591" s="4">
        <v>45557.375085336993</v>
      </c>
      <c r="C591" t="s">
        <v>6</v>
      </c>
      <c r="D591" t="s">
        <v>21</v>
      </c>
      <c r="E591" t="s">
        <v>24</v>
      </c>
      <c r="F591">
        <v>3407.44</v>
      </c>
    </row>
    <row r="592" spans="1:6" x14ac:dyDescent="0.35">
      <c r="A592">
        <v>1346</v>
      </c>
      <c r="B592" s="4">
        <v>45558.375085336993</v>
      </c>
      <c r="C592" t="s">
        <v>10</v>
      </c>
      <c r="D592" t="s">
        <v>22</v>
      </c>
      <c r="E592" t="s">
        <v>25</v>
      </c>
      <c r="F592">
        <v>5347.59</v>
      </c>
    </row>
    <row r="593" spans="1:6" x14ac:dyDescent="0.35">
      <c r="A593">
        <v>1257</v>
      </c>
      <c r="B593" s="4">
        <v>45558.375085336993</v>
      </c>
      <c r="C593" t="s">
        <v>11</v>
      </c>
      <c r="D593" t="s">
        <v>18</v>
      </c>
      <c r="E593" t="s">
        <v>24</v>
      </c>
      <c r="F593">
        <v>3413.82</v>
      </c>
    </row>
    <row r="594" spans="1:6" x14ac:dyDescent="0.35">
      <c r="A594">
        <v>1255</v>
      </c>
      <c r="B594" s="4">
        <v>45558.375085336993</v>
      </c>
      <c r="C594" t="s">
        <v>15</v>
      </c>
      <c r="D594" t="s">
        <v>21</v>
      </c>
      <c r="E594" t="s">
        <v>23</v>
      </c>
      <c r="F594">
        <v>1516.65</v>
      </c>
    </row>
    <row r="595" spans="1:6" x14ac:dyDescent="0.35">
      <c r="A595">
        <v>1384</v>
      </c>
      <c r="B595" s="4">
        <v>45559.375085336993</v>
      </c>
      <c r="C595" t="s">
        <v>10</v>
      </c>
      <c r="D595" t="s">
        <v>17</v>
      </c>
      <c r="E595" t="s">
        <v>25</v>
      </c>
      <c r="F595">
        <v>4229.37</v>
      </c>
    </row>
    <row r="596" spans="1:6" x14ac:dyDescent="0.35">
      <c r="A596">
        <v>1249</v>
      </c>
      <c r="B596" s="4">
        <v>45559.375085336993</v>
      </c>
      <c r="C596" t="s">
        <v>12</v>
      </c>
      <c r="D596" t="s">
        <v>17</v>
      </c>
      <c r="E596" t="s">
        <v>23</v>
      </c>
      <c r="F596">
        <v>6176.16</v>
      </c>
    </row>
    <row r="597" spans="1:6" x14ac:dyDescent="0.35">
      <c r="A597">
        <v>1301</v>
      </c>
      <c r="B597" s="4">
        <v>45559.375085336993</v>
      </c>
      <c r="C597" t="s">
        <v>8</v>
      </c>
      <c r="D597" t="s">
        <v>21</v>
      </c>
      <c r="E597" t="s">
        <v>23</v>
      </c>
      <c r="F597">
        <v>503.18</v>
      </c>
    </row>
    <row r="598" spans="1:6" x14ac:dyDescent="0.35">
      <c r="A598">
        <v>1178</v>
      </c>
      <c r="B598" s="4">
        <v>45559.375085336993</v>
      </c>
      <c r="C598" t="s">
        <v>12</v>
      </c>
      <c r="D598" t="s">
        <v>19</v>
      </c>
      <c r="E598" t="s">
        <v>25</v>
      </c>
      <c r="F598">
        <v>2967.77</v>
      </c>
    </row>
    <row r="599" spans="1:6" x14ac:dyDescent="0.35">
      <c r="A599">
        <v>1048</v>
      </c>
      <c r="B599" s="4">
        <v>45559.375085336993</v>
      </c>
      <c r="C599" t="s">
        <v>7</v>
      </c>
      <c r="D599" t="s">
        <v>17</v>
      </c>
      <c r="E599" t="s">
        <v>23</v>
      </c>
      <c r="F599">
        <v>3280.91</v>
      </c>
    </row>
    <row r="600" spans="1:6" x14ac:dyDescent="0.35">
      <c r="A600">
        <v>1011</v>
      </c>
      <c r="B600" s="4">
        <v>45559.375085336993</v>
      </c>
      <c r="C600" t="s">
        <v>10</v>
      </c>
      <c r="D600" t="s">
        <v>20</v>
      </c>
      <c r="E600" t="s">
        <v>23</v>
      </c>
      <c r="F600">
        <v>102.79</v>
      </c>
    </row>
    <row r="601" spans="1:6" x14ac:dyDescent="0.35">
      <c r="A601">
        <v>1396</v>
      </c>
      <c r="B601" s="4">
        <v>45559.375085336993</v>
      </c>
      <c r="C601" t="s">
        <v>6</v>
      </c>
      <c r="D601" t="s">
        <v>20</v>
      </c>
      <c r="E601" t="s">
        <v>23</v>
      </c>
      <c r="F601">
        <v>1264.28</v>
      </c>
    </row>
    <row r="602" spans="1:6" x14ac:dyDescent="0.35">
      <c r="A602">
        <v>1114</v>
      </c>
      <c r="B602" s="4">
        <v>45559.375085336993</v>
      </c>
      <c r="C602" t="s">
        <v>7</v>
      </c>
      <c r="D602" t="s">
        <v>22</v>
      </c>
      <c r="E602" t="s">
        <v>24</v>
      </c>
      <c r="F602">
        <v>5817.52</v>
      </c>
    </row>
    <row r="603" spans="1:6" x14ac:dyDescent="0.35">
      <c r="A603">
        <v>1275</v>
      </c>
      <c r="B603" s="4">
        <v>45560.375085336993</v>
      </c>
      <c r="C603" t="s">
        <v>14</v>
      </c>
      <c r="D603" t="s">
        <v>19</v>
      </c>
      <c r="E603" t="s">
        <v>25</v>
      </c>
      <c r="F603">
        <v>618.37</v>
      </c>
    </row>
    <row r="604" spans="1:6" x14ac:dyDescent="0.35">
      <c r="A604">
        <v>1162</v>
      </c>
      <c r="B604" s="4">
        <v>45560.375085336993</v>
      </c>
      <c r="C604" t="s">
        <v>8</v>
      </c>
      <c r="D604" t="s">
        <v>22</v>
      </c>
      <c r="E604" t="s">
        <v>23</v>
      </c>
      <c r="F604">
        <v>558.12</v>
      </c>
    </row>
    <row r="605" spans="1:6" x14ac:dyDescent="0.35">
      <c r="A605">
        <v>1167</v>
      </c>
      <c r="B605" s="4">
        <v>45560.375085336993</v>
      </c>
      <c r="C605" t="s">
        <v>12</v>
      </c>
      <c r="D605" t="s">
        <v>18</v>
      </c>
      <c r="E605" t="s">
        <v>24</v>
      </c>
      <c r="F605">
        <v>646.37</v>
      </c>
    </row>
    <row r="606" spans="1:6" x14ac:dyDescent="0.35">
      <c r="A606">
        <v>1213</v>
      </c>
      <c r="B606" s="4">
        <v>45560.375085336993</v>
      </c>
      <c r="C606" t="s">
        <v>13</v>
      </c>
      <c r="D606" t="s">
        <v>21</v>
      </c>
      <c r="E606" t="s">
        <v>23</v>
      </c>
      <c r="F606">
        <v>1164.3699999999999</v>
      </c>
    </row>
    <row r="607" spans="1:6" x14ac:dyDescent="0.35">
      <c r="A607">
        <v>1126</v>
      </c>
      <c r="B607" s="4">
        <v>45561.375085336993</v>
      </c>
      <c r="C607" t="s">
        <v>13</v>
      </c>
      <c r="D607" t="s">
        <v>18</v>
      </c>
      <c r="E607" t="s">
        <v>23</v>
      </c>
      <c r="F607">
        <v>6606.7</v>
      </c>
    </row>
    <row r="608" spans="1:6" x14ac:dyDescent="0.35">
      <c r="A608">
        <v>1396</v>
      </c>
      <c r="B608" s="4">
        <v>45561.375085336993</v>
      </c>
      <c r="C608" t="s">
        <v>10</v>
      </c>
      <c r="D608" t="s">
        <v>21</v>
      </c>
      <c r="E608" t="s">
        <v>23</v>
      </c>
      <c r="F608">
        <v>5884.93</v>
      </c>
    </row>
    <row r="609" spans="1:6" x14ac:dyDescent="0.35">
      <c r="A609">
        <v>1021</v>
      </c>
      <c r="B609" s="4">
        <v>45561.375085336993</v>
      </c>
      <c r="C609" t="s">
        <v>10</v>
      </c>
      <c r="D609" t="s">
        <v>20</v>
      </c>
      <c r="E609" t="s">
        <v>25</v>
      </c>
      <c r="F609">
        <v>1281.7</v>
      </c>
    </row>
    <row r="610" spans="1:6" x14ac:dyDescent="0.35">
      <c r="A610">
        <v>1074</v>
      </c>
      <c r="B610" s="4">
        <v>45561.375085336993</v>
      </c>
      <c r="C610" t="s">
        <v>7</v>
      </c>
      <c r="D610" t="s">
        <v>20</v>
      </c>
      <c r="E610" t="s">
        <v>24</v>
      </c>
      <c r="F610">
        <v>3483.18</v>
      </c>
    </row>
    <row r="611" spans="1:6" x14ac:dyDescent="0.35">
      <c r="A611">
        <v>1025</v>
      </c>
      <c r="B611" s="4">
        <v>45561.375085336993</v>
      </c>
      <c r="C611" t="s">
        <v>13</v>
      </c>
      <c r="D611" t="s">
        <v>19</v>
      </c>
      <c r="E611" t="s">
        <v>25</v>
      </c>
      <c r="F611">
        <v>2969.22</v>
      </c>
    </row>
    <row r="612" spans="1:6" x14ac:dyDescent="0.35">
      <c r="A612">
        <v>1119</v>
      </c>
      <c r="B612" s="4">
        <v>45561.375085336993</v>
      </c>
      <c r="C612" t="s">
        <v>12</v>
      </c>
      <c r="D612" t="s">
        <v>20</v>
      </c>
      <c r="E612" t="s">
        <v>24</v>
      </c>
      <c r="F612">
        <v>3625.59</v>
      </c>
    </row>
    <row r="613" spans="1:6" x14ac:dyDescent="0.35">
      <c r="A613">
        <v>1206</v>
      </c>
      <c r="B613" s="4">
        <v>45561.375085336993</v>
      </c>
      <c r="C613" t="s">
        <v>7</v>
      </c>
      <c r="D613" t="s">
        <v>16</v>
      </c>
      <c r="E613" t="s">
        <v>23</v>
      </c>
      <c r="F613">
        <v>1193.5899999999999</v>
      </c>
    </row>
    <row r="614" spans="1:6" x14ac:dyDescent="0.35">
      <c r="A614">
        <v>1397</v>
      </c>
      <c r="B614" s="4">
        <v>45561.375085336993</v>
      </c>
      <c r="C614" t="s">
        <v>11</v>
      </c>
      <c r="D614" t="s">
        <v>22</v>
      </c>
      <c r="E614" t="s">
        <v>23</v>
      </c>
      <c r="F614">
        <v>4287.6400000000003</v>
      </c>
    </row>
    <row r="615" spans="1:6" x14ac:dyDescent="0.35">
      <c r="A615">
        <v>1012</v>
      </c>
      <c r="B615" s="4">
        <v>45562.375085336993</v>
      </c>
      <c r="C615" t="s">
        <v>6</v>
      </c>
      <c r="D615" t="s">
        <v>16</v>
      </c>
      <c r="E615" t="s">
        <v>25</v>
      </c>
      <c r="F615">
        <v>1606.09</v>
      </c>
    </row>
    <row r="616" spans="1:6" x14ac:dyDescent="0.35">
      <c r="A616">
        <v>1248</v>
      </c>
      <c r="B616" s="4">
        <v>45562.375085336993</v>
      </c>
      <c r="C616" t="s">
        <v>11</v>
      </c>
      <c r="D616" t="s">
        <v>20</v>
      </c>
      <c r="E616" t="s">
        <v>24</v>
      </c>
      <c r="F616">
        <v>1197.17</v>
      </c>
    </row>
    <row r="617" spans="1:6" x14ac:dyDescent="0.35">
      <c r="A617">
        <v>1120</v>
      </c>
      <c r="B617" s="4">
        <v>45564.375085336993</v>
      </c>
      <c r="C617" t="s">
        <v>8</v>
      </c>
      <c r="D617" t="s">
        <v>16</v>
      </c>
      <c r="E617" t="s">
        <v>23</v>
      </c>
      <c r="F617">
        <v>1600.07</v>
      </c>
    </row>
    <row r="618" spans="1:6" x14ac:dyDescent="0.35">
      <c r="A618">
        <v>1020</v>
      </c>
      <c r="B618" s="4">
        <v>45564.375085336993</v>
      </c>
      <c r="C618" t="s">
        <v>10</v>
      </c>
      <c r="D618" t="s">
        <v>20</v>
      </c>
      <c r="E618" t="s">
        <v>23</v>
      </c>
      <c r="F618">
        <v>5711.15</v>
      </c>
    </row>
    <row r="619" spans="1:6" x14ac:dyDescent="0.35">
      <c r="A619">
        <v>1294</v>
      </c>
      <c r="B619" s="4">
        <v>45564.375085336993</v>
      </c>
      <c r="C619" t="s">
        <v>15</v>
      </c>
      <c r="D619" t="s">
        <v>20</v>
      </c>
      <c r="E619" t="s">
        <v>24</v>
      </c>
      <c r="F619">
        <v>1360.08</v>
      </c>
    </row>
    <row r="620" spans="1:6" x14ac:dyDescent="0.35">
      <c r="A620">
        <v>1020</v>
      </c>
      <c r="B620" s="4">
        <v>45564.375085336993</v>
      </c>
      <c r="C620" t="s">
        <v>9</v>
      </c>
      <c r="D620" t="s">
        <v>20</v>
      </c>
      <c r="E620" t="s">
        <v>24</v>
      </c>
      <c r="F620">
        <v>5340.42</v>
      </c>
    </row>
    <row r="621" spans="1:6" x14ac:dyDescent="0.35">
      <c r="A621">
        <v>1381</v>
      </c>
      <c r="B621" s="4">
        <v>45565.375085336993</v>
      </c>
      <c r="C621" t="s">
        <v>11</v>
      </c>
      <c r="D621" t="s">
        <v>20</v>
      </c>
      <c r="E621" t="s">
        <v>25</v>
      </c>
      <c r="F621">
        <v>10589.6</v>
      </c>
    </row>
    <row r="622" spans="1:6" x14ac:dyDescent="0.35">
      <c r="A622">
        <v>1007</v>
      </c>
      <c r="B622" s="4">
        <v>45565.375085336993</v>
      </c>
      <c r="C622" t="s">
        <v>9</v>
      </c>
      <c r="D622" t="s">
        <v>20</v>
      </c>
      <c r="E622" t="s">
        <v>23</v>
      </c>
      <c r="F622">
        <v>3754.92</v>
      </c>
    </row>
    <row r="623" spans="1:6" x14ac:dyDescent="0.35">
      <c r="A623">
        <v>1217</v>
      </c>
      <c r="B623" s="4">
        <v>45566.375085336993</v>
      </c>
      <c r="C623" t="s">
        <v>15</v>
      </c>
      <c r="D623" t="s">
        <v>21</v>
      </c>
      <c r="E623" t="s">
        <v>24</v>
      </c>
      <c r="F623">
        <v>5163.78</v>
      </c>
    </row>
    <row r="624" spans="1:6" x14ac:dyDescent="0.35">
      <c r="A624">
        <v>1396</v>
      </c>
      <c r="B624" s="4">
        <v>45566.375085336993</v>
      </c>
      <c r="C624" t="s">
        <v>6</v>
      </c>
      <c r="D624" t="s">
        <v>17</v>
      </c>
      <c r="E624" t="s">
        <v>25</v>
      </c>
      <c r="F624">
        <v>3660.36</v>
      </c>
    </row>
    <row r="625" spans="1:6" x14ac:dyDescent="0.35">
      <c r="A625">
        <v>1009</v>
      </c>
      <c r="B625" s="4">
        <v>45566.375085336993</v>
      </c>
      <c r="C625" t="s">
        <v>14</v>
      </c>
      <c r="D625" t="s">
        <v>16</v>
      </c>
      <c r="E625" t="s">
        <v>23</v>
      </c>
      <c r="F625">
        <v>1118.29</v>
      </c>
    </row>
    <row r="626" spans="1:6" x14ac:dyDescent="0.35">
      <c r="A626">
        <v>1051</v>
      </c>
      <c r="B626" s="4">
        <v>45566.375085336993</v>
      </c>
      <c r="C626" t="s">
        <v>12</v>
      </c>
      <c r="D626" t="s">
        <v>18</v>
      </c>
      <c r="E626" t="s">
        <v>23</v>
      </c>
      <c r="F626">
        <v>1923.21</v>
      </c>
    </row>
    <row r="627" spans="1:6" x14ac:dyDescent="0.35">
      <c r="A627">
        <v>1169</v>
      </c>
      <c r="B627" s="4">
        <v>45566.375085336993</v>
      </c>
      <c r="C627" t="s">
        <v>13</v>
      </c>
      <c r="D627" t="s">
        <v>21</v>
      </c>
      <c r="E627" t="s">
        <v>24</v>
      </c>
      <c r="F627">
        <v>2748.53</v>
      </c>
    </row>
    <row r="628" spans="1:6" x14ac:dyDescent="0.35">
      <c r="A628">
        <v>1302</v>
      </c>
      <c r="B628" s="4">
        <v>45567.375085336993</v>
      </c>
      <c r="C628" t="s">
        <v>6</v>
      </c>
      <c r="D628" t="s">
        <v>22</v>
      </c>
      <c r="E628" t="s">
        <v>25</v>
      </c>
      <c r="F628">
        <v>7317.73</v>
      </c>
    </row>
    <row r="629" spans="1:6" x14ac:dyDescent="0.35">
      <c r="A629">
        <v>1150</v>
      </c>
      <c r="B629" s="4">
        <v>45567.375085336993</v>
      </c>
      <c r="C629" t="s">
        <v>10</v>
      </c>
      <c r="D629" t="s">
        <v>20</v>
      </c>
      <c r="E629" t="s">
        <v>24</v>
      </c>
      <c r="F629">
        <v>1754.76</v>
      </c>
    </row>
    <row r="630" spans="1:6" x14ac:dyDescent="0.35">
      <c r="A630">
        <v>1119</v>
      </c>
      <c r="B630" s="4">
        <v>45567.375085336993</v>
      </c>
      <c r="C630" t="s">
        <v>7</v>
      </c>
      <c r="D630" t="s">
        <v>17</v>
      </c>
      <c r="E630" t="s">
        <v>23</v>
      </c>
      <c r="F630">
        <v>801.53</v>
      </c>
    </row>
    <row r="631" spans="1:6" x14ac:dyDescent="0.35">
      <c r="A631">
        <v>1145</v>
      </c>
      <c r="B631" s="4">
        <v>45567.375085336993</v>
      </c>
      <c r="C631" t="s">
        <v>7</v>
      </c>
      <c r="D631" t="s">
        <v>16</v>
      </c>
      <c r="E631" t="s">
        <v>23</v>
      </c>
      <c r="F631">
        <v>9129.56</v>
      </c>
    </row>
    <row r="632" spans="1:6" x14ac:dyDescent="0.35">
      <c r="A632">
        <v>1106</v>
      </c>
      <c r="B632" s="4">
        <v>45567.375085336993</v>
      </c>
      <c r="C632" t="s">
        <v>13</v>
      </c>
      <c r="D632" t="s">
        <v>17</v>
      </c>
      <c r="E632" t="s">
        <v>25</v>
      </c>
      <c r="F632">
        <v>2521.7399999999998</v>
      </c>
    </row>
    <row r="633" spans="1:6" x14ac:dyDescent="0.35">
      <c r="A633">
        <v>1146</v>
      </c>
      <c r="B633" s="4">
        <v>45567.375085336993</v>
      </c>
      <c r="C633" t="s">
        <v>7</v>
      </c>
      <c r="D633" t="s">
        <v>22</v>
      </c>
      <c r="E633" t="s">
        <v>25</v>
      </c>
      <c r="F633">
        <v>3845.09</v>
      </c>
    </row>
    <row r="634" spans="1:6" x14ac:dyDescent="0.35">
      <c r="A634">
        <v>1191</v>
      </c>
      <c r="B634" s="4">
        <v>45567.375085336993</v>
      </c>
      <c r="C634" t="s">
        <v>11</v>
      </c>
      <c r="D634" t="s">
        <v>21</v>
      </c>
      <c r="E634" t="s">
        <v>25</v>
      </c>
      <c r="F634">
        <v>1539.12</v>
      </c>
    </row>
    <row r="635" spans="1:6" x14ac:dyDescent="0.35">
      <c r="A635">
        <v>1251</v>
      </c>
      <c r="B635" s="4">
        <v>45568.375085336993</v>
      </c>
      <c r="C635" t="s">
        <v>15</v>
      </c>
      <c r="D635" t="s">
        <v>17</v>
      </c>
      <c r="E635" t="s">
        <v>25</v>
      </c>
      <c r="F635">
        <v>1844.37</v>
      </c>
    </row>
    <row r="636" spans="1:6" x14ac:dyDescent="0.35">
      <c r="A636">
        <v>1255</v>
      </c>
      <c r="B636" s="4">
        <v>45568.375085336993</v>
      </c>
      <c r="C636" t="s">
        <v>15</v>
      </c>
      <c r="D636" t="s">
        <v>17</v>
      </c>
      <c r="E636" t="s">
        <v>24</v>
      </c>
      <c r="F636">
        <v>8480.83</v>
      </c>
    </row>
    <row r="637" spans="1:6" x14ac:dyDescent="0.35">
      <c r="A637">
        <v>1350</v>
      </c>
      <c r="B637" s="4">
        <v>45568.375085336993</v>
      </c>
      <c r="C637" t="s">
        <v>8</v>
      </c>
      <c r="D637" t="s">
        <v>18</v>
      </c>
      <c r="E637" t="s">
        <v>24</v>
      </c>
      <c r="F637">
        <v>3969.58</v>
      </c>
    </row>
    <row r="638" spans="1:6" x14ac:dyDescent="0.35">
      <c r="A638">
        <v>1019</v>
      </c>
      <c r="B638" s="4">
        <v>45568.375085336993</v>
      </c>
      <c r="C638" t="s">
        <v>15</v>
      </c>
      <c r="D638" t="s">
        <v>22</v>
      </c>
      <c r="E638" t="s">
        <v>23</v>
      </c>
      <c r="F638">
        <v>2555.23</v>
      </c>
    </row>
    <row r="639" spans="1:6" x14ac:dyDescent="0.35">
      <c r="A639">
        <v>1366</v>
      </c>
      <c r="B639" s="4">
        <v>45568.375085336993</v>
      </c>
      <c r="C639" t="s">
        <v>13</v>
      </c>
      <c r="D639" t="s">
        <v>20</v>
      </c>
      <c r="E639" t="s">
        <v>25</v>
      </c>
      <c r="F639">
        <v>2366.69</v>
      </c>
    </row>
    <row r="640" spans="1:6" x14ac:dyDescent="0.35">
      <c r="A640">
        <v>1287</v>
      </c>
      <c r="B640" s="4">
        <v>45568.375085336993</v>
      </c>
      <c r="C640" t="s">
        <v>7</v>
      </c>
      <c r="D640" t="s">
        <v>18</v>
      </c>
      <c r="E640" t="s">
        <v>25</v>
      </c>
      <c r="F640">
        <v>4847.68</v>
      </c>
    </row>
    <row r="641" spans="1:6" x14ac:dyDescent="0.35">
      <c r="A641">
        <v>1226</v>
      </c>
      <c r="B641" s="4">
        <v>45569.375085336993</v>
      </c>
      <c r="C641" t="s">
        <v>10</v>
      </c>
      <c r="D641" t="s">
        <v>17</v>
      </c>
      <c r="E641" t="s">
        <v>24</v>
      </c>
      <c r="F641">
        <v>1858.01</v>
      </c>
    </row>
    <row r="642" spans="1:6" x14ac:dyDescent="0.35">
      <c r="A642">
        <v>1129</v>
      </c>
      <c r="B642" s="4">
        <v>45569.375085336993</v>
      </c>
      <c r="C642" t="s">
        <v>6</v>
      </c>
      <c r="D642" t="s">
        <v>20</v>
      </c>
      <c r="E642" t="s">
        <v>25</v>
      </c>
      <c r="F642">
        <v>2455.89</v>
      </c>
    </row>
    <row r="643" spans="1:6" x14ac:dyDescent="0.35">
      <c r="A643">
        <v>1384</v>
      </c>
      <c r="B643" s="4">
        <v>45569.375085336993</v>
      </c>
      <c r="C643" t="s">
        <v>10</v>
      </c>
      <c r="D643" t="s">
        <v>16</v>
      </c>
      <c r="E643" t="s">
        <v>23</v>
      </c>
      <c r="F643">
        <v>8828.5400000000009</v>
      </c>
    </row>
    <row r="644" spans="1:6" x14ac:dyDescent="0.35">
      <c r="A644">
        <v>1304</v>
      </c>
      <c r="B644" s="4">
        <v>45569.375085336993</v>
      </c>
      <c r="C644" t="s">
        <v>13</v>
      </c>
      <c r="D644" t="s">
        <v>17</v>
      </c>
      <c r="E644" t="s">
        <v>24</v>
      </c>
      <c r="F644">
        <v>1277.83</v>
      </c>
    </row>
    <row r="645" spans="1:6" x14ac:dyDescent="0.35">
      <c r="A645">
        <v>1106</v>
      </c>
      <c r="B645" s="4">
        <v>45569.375085336993</v>
      </c>
      <c r="C645" t="s">
        <v>9</v>
      </c>
      <c r="D645" t="s">
        <v>19</v>
      </c>
      <c r="E645" t="s">
        <v>25</v>
      </c>
      <c r="F645">
        <v>711.66</v>
      </c>
    </row>
    <row r="646" spans="1:6" x14ac:dyDescent="0.35">
      <c r="A646">
        <v>1307</v>
      </c>
      <c r="B646" s="4">
        <v>45569.375085336993</v>
      </c>
      <c r="C646" t="s">
        <v>8</v>
      </c>
      <c r="D646" t="s">
        <v>17</v>
      </c>
      <c r="E646" t="s">
        <v>25</v>
      </c>
      <c r="F646">
        <v>8344.2000000000007</v>
      </c>
    </row>
    <row r="647" spans="1:6" x14ac:dyDescent="0.35">
      <c r="A647">
        <v>1294</v>
      </c>
      <c r="B647" s="4">
        <v>45569.375085336993</v>
      </c>
      <c r="C647" t="s">
        <v>13</v>
      </c>
      <c r="D647" t="s">
        <v>17</v>
      </c>
      <c r="E647" t="s">
        <v>23</v>
      </c>
      <c r="F647">
        <v>892.64</v>
      </c>
    </row>
    <row r="648" spans="1:6" x14ac:dyDescent="0.35">
      <c r="A648">
        <v>1002</v>
      </c>
      <c r="B648" s="4">
        <v>45570.375085336993</v>
      </c>
      <c r="C648" t="s">
        <v>14</v>
      </c>
      <c r="D648" t="s">
        <v>21</v>
      </c>
      <c r="E648" t="s">
        <v>23</v>
      </c>
      <c r="F648">
        <v>8228.99</v>
      </c>
    </row>
    <row r="649" spans="1:6" x14ac:dyDescent="0.35">
      <c r="A649">
        <v>1125</v>
      </c>
      <c r="B649" s="4">
        <v>45570.375085336993</v>
      </c>
      <c r="C649" t="s">
        <v>13</v>
      </c>
      <c r="D649" t="s">
        <v>21</v>
      </c>
      <c r="E649" t="s">
        <v>25</v>
      </c>
      <c r="F649">
        <v>483.15</v>
      </c>
    </row>
    <row r="650" spans="1:6" x14ac:dyDescent="0.35">
      <c r="A650">
        <v>1061</v>
      </c>
      <c r="B650" s="4">
        <v>45570.375085336993</v>
      </c>
      <c r="C650" t="s">
        <v>13</v>
      </c>
      <c r="D650" t="s">
        <v>19</v>
      </c>
      <c r="E650" t="s">
        <v>25</v>
      </c>
      <c r="F650">
        <v>5010.1000000000004</v>
      </c>
    </row>
    <row r="651" spans="1:6" x14ac:dyDescent="0.35">
      <c r="A651">
        <v>1163</v>
      </c>
      <c r="B651" s="4">
        <v>45570.375085336993</v>
      </c>
      <c r="C651" t="s">
        <v>15</v>
      </c>
      <c r="D651" t="s">
        <v>16</v>
      </c>
      <c r="E651" t="s">
        <v>24</v>
      </c>
      <c r="F651">
        <v>5198.68</v>
      </c>
    </row>
    <row r="652" spans="1:6" x14ac:dyDescent="0.35">
      <c r="A652">
        <v>1155</v>
      </c>
      <c r="B652" s="4">
        <v>45571.375085336993</v>
      </c>
      <c r="C652" t="s">
        <v>15</v>
      </c>
      <c r="D652" t="s">
        <v>21</v>
      </c>
      <c r="E652" t="s">
        <v>23</v>
      </c>
      <c r="F652">
        <v>1910.86</v>
      </c>
    </row>
    <row r="653" spans="1:6" x14ac:dyDescent="0.35">
      <c r="A653">
        <v>1235</v>
      </c>
      <c r="B653" s="4">
        <v>45571.375085336993</v>
      </c>
      <c r="C653" t="s">
        <v>14</v>
      </c>
      <c r="D653" t="s">
        <v>17</v>
      </c>
      <c r="E653" t="s">
        <v>23</v>
      </c>
      <c r="F653">
        <v>6143.59</v>
      </c>
    </row>
    <row r="654" spans="1:6" x14ac:dyDescent="0.35">
      <c r="A654">
        <v>1116</v>
      </c>
      <c r="B654" s="4">
        <v>45571.375085336993</v>
      </c>
      <c r="C654" t="s">
        <v>10</v>
      </c>
      <c r="D654" t="s">
        <v>22</v>
      </c>
      <c r="E654" t="s">
        <v>23</v>
      </c>
      <c r="F654">
        <v>5131.9799999999996</v>
      </c>
    </row>
    <row r="655" spans="1:6" x14ac:dyDescent="0.35">
      <c r="A655">
        <v>1089</v>
      </c>
      <c r="B655" s="4">
        <v>45571.375085336993</v>
      </c>
      <c r="C655" t="s">
        <v>15</v>
      </c>
      <c r="D655" t="s">
        <v>19</v>
      </c>
      <c r="E655" t="s">
        <v>25</v>
      </c>
      <c r="F655">
        <v>214.17</v>
      </c>
    </row>
    <row r="656" spans="1:6" x14ac:dyDescent="0.35">
      <c r="A656">
        <v>1281</v>
      </c>
      <c r="B656" s="4">
        <v>45571.375085336993</v>
      </c>
      <c r="C656" t="s">
        <v>11</v>
      </c>
      <c r="D656" t="s">
        <v>16</v>
      </c>
      <c r="E656" t="s">
        <v>25</v>
      </c>
      <c r="F656">
        <v>5495.02</v>
      </c>
    </row>
    <row r="657" spans="1:6" x14ac:dyDescent="0.35">
      <c r="A657">
        <v>1370</v>
      </c>
      <c r="B657" s="4">
        <v>45571.375085336993</v>
      </c>
      <c r="C657" t="s">
        <v>7</v>
      </c>
      <c r="D657" t="s">
        <v>20</v>
      </c>
      <c r="E657" t="s">
        <v>23</v>
      </c>
      <c r="F657">
        <v>4869.3</v>
      </c>
    </row>
    <row r="658" spans="1:6" x14ac:dyDescent="0.35">
      <c r="A658">
        <v>1067</v>
      </c>
      <c r="B658" s="4">
        <v>45571.375085336993</v>
      </c>
      <c r="C658" t="s">
        <v>7</v>
      </c>
      <c r="D658" t="s">
        <v>19</v>
      </c>
      <c r="E658" t="s">
        <v>23</v>
      </c>
      <c r="F658">
        <v>540.57000000000005</v>
      </c>
    </row>
    <row r="659" spans="1:6" x14ac:dyDescent="0.35">
      <c r="A659">
        <v>1208</v>
      </c>
      <c r="B659" s="4">
        <v>45572.375085336993</v>
      </c>
      <c r="C659" t="s">
        <v>11</v>
      </c>
      <c r="D659" t="s">
        <v>19</v>
      </c>
      <c r="E659" t="s">
        <v>24</v>
      </c>
      <c r="F659">
        <v>3251.97</v>
      </c>
    </row>
    <row r="660" spans="1:6" x14ac:dyDescent="0.35">
      <c r="A660">
        <v>1312</v>
      </c>
      <c r="B660" s="4">
        <v>45573.375085336993</v>
      </c>
      <c r="C660" t="s">
        <v>7</v>
      </c>
      <c r="D660" t="s">
        <v>21</v>
      </c>
      <c r="E660" t="s">
        <v>23</v>
      </c>
      <c r="F660">
        <v>4245.67</v>
      </c>
    </row>
    <row r="661" spans="1:6" x14ac:dyDescent="0.35">
      <c r="A661">
        <v>1324</v>
      </c>
      <c r="B661" s="4">
        <v>45573.375085336993</v>
      </c>
      <c r="C661" t="s">
        <v>9</v>
      </c>
      <c r="D661" t="s">
        <v>16</v>
      </c>
      <c r="E661" t="s">
        <v>23</v>
      </c>
      <c r="F661">
        <v>615.82000000000005</v>
      </c>
    </row>
    <row r="662" spans="1:6" x14ac:dyDescent="0.35">
      <c r="A662">
        <v>1087</v>
      </c>
      <c r="B662" s="4">
        <v>45574.375085336993</v>
      </c>
      <c r="C662" t="s">
        <v>7</v>
      </c>
      <c r="D662" t="s">
        <v>18</v>
      </c>
      <c r="E662" t="s">
        <v>23</v>
      </c>
      <c r="F662">
        <v>4059.6</v>
      </c>
    </row>
    <row r="663" spans="1:6" x14ac:dyDescent="0.35">
      <c r="A663">
        <v>1304</v>
      </c>
      <c r="B663" s="4">
        <v>45575.375085336993</v>
      </c>
      <c r="C663" t="s">
        <v>7</v>
      </c>
      <c r="D663" t="s">
        <v>19</v>
      </c>
      <c r="E663" t="s">
        <v>24</v>
      </c>
      <c r="F663">
        <v>1706.79</v>
      </c>
    </row>
    <row r="664" spans="1:6" x14ac:dyDescent="0.35">
      <c r="A664">
        <v>1230</v>
      </c>
      <c r="B664" s="4">
        <v>45575.375085336993</v>
      </c>
      <c r="C664" t="s">
        <v>6</v>
      </c>
      <c r="D664" t="s">
        <v>16</v>
      </c>
      <c r="E664" t="s">
        <v>25</v>
      </c>
      <c r="F664">
        <v>5373.89</v>
      </c>
    </row>
    <row r="665" spans="1:6" x14ac:dyDescent="0.35">
      <c r="A665">
        <v>1377</v>
      </c>
      <c r="B665" s="4">
        <v>45575.375085336993</v>
      </c>
      <c r="C665" t="s">
        <v>11</v>
      </c>
      <c r="D665" t="s">
        <v>17</v>
      </c>
      <c r="E665" t="s">
        <v>23</v>
      </c>
      <c r="F665">
        <v>10578.27</v>
      </c>
    </row>
    <row r="666" spans="1:6" x14ac:dyDescent="0.35">
      <c r="A666">
        <v>1144</v>
      </c>
      <c r="B666" s="4">
        <v>45575.375085336993</v>
      </c>
      <c r="C666" t="s">
        <v>14</v>
      </c>
      <c r="D666" t="s">
        <v>18</v>
      </c>
      <c r="E666" t="s">
        <v>23</v>
      </c>
      <c r="F666">
        <v>5242.34</v>
      </c>
    </row>
    <row r="667" spans="1:6" x14ac:dyDescent="0.35">
      <c r="A667">
        <v>1287</v>
      </c>
      <c r="B667" s="4">
        <v>45576.375085336993</v>
      </c>
      <c r="C667" t="s">
        <v>14</v>
      </c>
      <c r="D667" t="s">
        <v>21</v>
      </c>
      <c r="E667" t="s">
        <v>24</v>
      </c>
      <c r="F667">
        <v>547.9</v>
      </c>
    </row>
    <row r="668" spans="1:6" x14ac:dyDescent="0.35">
      <c r="A668">
        <v>1041</v>
      </c>
      <c r="B668" s="4">
        <v>45576.375085336993</v>
      </c>
      <c r="C668" t="s">
        <v>9</v>
      </c>
      <c r="D668" t="s">
        <v>21</v>
      </c>
      <c r="E668" t="s">
        <v>23</v>
      </c>
      <c r="F668">
        <v>1680.93</v>
      </c>
    </row>
    <row r="669" spans="1:6" x14ac:dyDescent="0.35">
      <c r="A669">
        <v>1091</v>
      </c>
      <c r="B669" s="4">
        <v>45576.375085336993</v>
      </c>
      <c r="C669" t="s">
        <v>9</v>
      </c>
      <c r="D669" t="s">
        <v>22</v>
      </c>
      <c r="E669" t="s">
        <v>23</v>
      </c>
      <c r="F669">
        <v>1571.62</v>
      </c>
    </row>
    <row r="670" spans="1:6" x14ac:dyDescent="0.35">
      <c r="A670">
        <v>1228</v>
      </c>
      <c r="B670" s="4">
        <v>45576.375085336993</v>
      </c>
      <c r="C670" t="s">
        <v>11</v>
      </c>
      <c r="D670" t="s">
        <v>21</v>
      </c>
      <c r="E670" t="s">
        <v>25</v>
      </c>
      <c r="F670">
        <v>2532.69</v>
      </c>
    </row>
    <row r="671" spans="1:6" x14ac:dyDescent="0.35">
      <c r="A671">
        <v>1313</v>
      </c>
      <c r="B671" s="4">
        <v>45576.375085336993</v>
      </c>
      <c r="C671" t="s">
        <v>12</v>
      </c>
      <c r="D671" t="s">
        <v>22</v>
      </c>
      <c r="E671" t="s">
        <v>24</v>
      </c>
      <c r="F671">
        <v>3372.88</v>
      </c>
    </row>
    <row r="672" spans="1:6" x14ac:dyDescent="0.35">
      <c r="A672">
        <v>1292</v>
      </c>
      <c r="B672" s="4">
        <v>45576.375085336993</v>
      </c>
      <c r="C672" t="s">
        <v>15</v>
      </c>
      <c r="D672" t="s">
        <v>16</v>
      </c>
      <c r="E672" t="s">
        <v>24</v>
      </c>
      <c r="F672">
        <v>4205.08</v>
      </c>
    </row>
    <row r="673" spans="1:6" x14ac:dyDescent="0.35">
      <c r="A673">
        <v>1186</v>
      </c>
      <c r="B673" s="4">
        <v>45577.375085336993</v>
      </c>
      <c r="C673" t="s">
        <v>13</v>
      </c>
      <c r="D673" t="s">
        <v>18</v>
      </c>
      <c r="E673" t="s">
        <v>23</v>
      </c>
      <c r="F673">
        <v>1979.73</v>
      </c>
    </row>
    <row r="674" spans="1:6" x14ac:dyDescent="0.35">
      <c r="A674">
        <v>1322</v>
      </c>
      <c r="B674" s="4">
        <v>45578.375085336993</v>
      </c>
      <c r="C674" t="s">
        <v>11</v>
      </c>
      <c r="D674" t="s">
        <v>19</v>
      </c>
      <c r="E674" t="s">
        <v>25</v>
      </c>
      <c r="F674">
        <v>1169.5999999999999</v>
      </c>
    </row>
    <row r="675" spans="1:6" x14ac:dyDescent="0.35">
      <c r="A675">
        <v>1108</v>
      </c>
      <c r="B675" s="4">
        <v>45578.375085336993</v>
      </c>
      <c r="C675" t="s">
        <v>15</v>
      </c>
      <c r="D675" t="s">
        <v>18</v>
      </c>
      <c r="E675" t="s">
        <v>24</v>
      </c>
      <c r="F675">
        <v>6043.34</v>
      </c>
    </row>
    <row r="676" spans="1:6" x14ac:dyDescent="0.35">
      <c r="A676">
        <v>1276</v>
      </c>
      <c r="B676" s="4">
        <v>45578.375085336993</v>
      </c>
      <c r="C676" t="s">
        <v>9</v>
      </c>
      <c r="D676" t="s">
        <v>20</v>
      </c>
      <c r="E676" t="s">
        <v>25</v>
      </c>
      <c r="F676">
        <v>3107.87</v>
      </c>
    </row>
    <row r="677" spans="1:6" x14ac:dyDescent="0.35">
      <c r="A677">
        <v>1100</v>
      </c>
      <c r="B677" s="4">
        <v>45578.375085336993</v>
      </c>
      <c r="C677" t="s">
        <v>11</v>
      </c>
      <c r="D677" t="s">
        <v>20</v>
      </c>
      <c r="E677" t="s">
        <v>25</v>
      </c>
      <c r="F677">
        <v>2759.92</v>
      </c>
    </row>
    <row r="678" spans="1:6" x14ac:dyDescent="0.35">
      <c r="A678">
        <v>1052</v>
      </c>
      <c r="B678" s="4">
        <v>45579.375085336993</v>
      </c>
      <c r="C678" t="s">
        <v>11</v>
      </c>
      <c r="D678" t="s">
        <v>19</v>
      </c>
      <c r="E678" t="s">
        <v>24</v>
      </c>
      <c r="F678">
        <v>4085.51</v>
      </c>
    </row>
    <row r="679" spans="1:6" x14ac:dyDescent="0.35">
      <c r="A679">
        <v>1383</v>
      </c>
      <c r="B679" s="4">
        <v>45579.375085336993</v>
      </c>
      <c r="C679" t="s">
        <v>6</v>
      </c>
      <c r="D679" t="s">
        <v>18</v>
      </c>
      <c r="E679" t="s">
        <v>24</v>
      </c>
      <c r="F679">
        <v>2339.44</v>
      </c>
    </row>
    <row r="680" spans="1:6" x14ac:dyDescent="0.35">
      <c r="A680">
        <v>1284</v>
      </c>
      <c r="B680" s="4">
        <v>45580.375085336993</v>
      </c>
      <c r="C680" t="s">
        <v>11</v>
      </c>
      <c r="D680" t="s">
        <v>19</v>
      </c>
      <c r="E680" t="s">
        <v>23</v>
      </c>
      <c r="F680">
        <v>5610.62</v>
      </c>
    </row>
    <row r="681" spans="1:6" x14ac:dyDescent="0.35">
      <c r="A681">
        <v>1202</v>
      </c>
      <c r="B681" s="4">
        <v>45580.375085336993</v>
      </c>
      <c r="C681" t="s">
        <v>8</v>
      </c>
      <c r="D681" t="s">
        <v>21</v>
      </c>
      <c r="E681" t="s">
        <v>23</v>
      </c>
      <c r="F681">
        <v>4253.58</v>
      </c>
    </row>
    <row r="682" spans="1:6" x14ac:dyDescent="0.35">
      <c r="A682">
        <v>1027</v>
      </c>
      <c r="B682" s="4">
        <v>45580.375085336993</v>
      </c>
      <c r="C682" t="s">
        <v>13</v>
      </c>
      <c r="D682" t="s">
        <v>20</v>
      </c>
      <c r="E682" t="s">
        <v>24</v>
      </c>
      <c r="F682">
        <v>4195.79</v>
      </c>
    </row>
    <row r="683" spans="1:6" x14ac:dyDescent="0.35">
      <c r="A683">
        <v>1135</v>
      </c>
      <c r="B683" s="4">
        <v>45580.375085336993</v>
      </c>
      <c r="C683" t="s">
        <v>15</v>
      </c>
      <c r="D683" t="s">
        <v>21</v>
      </c>
      <c r="E683" t="s">
        <v>24</v>
      </c>
      <c r="F683">
        <v>1563.09</v>
      </c>
    </row>
    <row r="684" spans="1:6" x14ac:dyDescent="0.35">
      <c r="A684">
        <v>1344</v>
      </c>
      <c r="B684" s="4">
        <v>45580.375085336993</v>
      </c>
      <c r="C684" t="s">
        <v>7</v>
      </c>
      <c r="D684" t="s">
        <v>18</v>
      </c>
      <c r="E684" t="s">
        <v>25</v>
      </c>
      <c r="F684">
        <v>3303.64</v>
      </c>
    </row>
    <row r="685" spans="1:6" x14ac:dyDescent="0.35">
      <c r="A685">
        <v>1292</v>
      </c>
      <c r="B685" s="4">
        <v>45580.375085336993</v>
      </c>
      <c r="C685" t="s">
        <v>6</v>
      </c>
      <c r="D685" t="s">
        <v>21</v>
      </c>
      <c r="E685" t="s">
        <v>24</v>
      </c>
      <c r="F685">
        <v>3045.72</v>
      </c>
    </row>
    <row r="686" spans="1:6" x14ac:dyDescent="0.35">
      <c r="A686">
        <v>1119</v>
      </c>
      <c r="B686" s="4">
        <v>45580.375085336993</v>
      </c>
      <c r="C686" t="s">
        <v>9</v>
      </c>
      <c r="D686" t="s">
        <v>20</v>
      </c>
      <c r="E686" t="s">
        <v>23</v>
      </c>
      <c r="F686">
        <v>6086.33</v>
      </c>
    </row>
    <row r="687" spans="1:6" x14ac:dyDescent="0.35">
      <c r="A687">
        <v>1383</v>
      </c>
      <c r="B687" s="4">
        <v>45581.375085336993</v>
      </c>
      <c r="C687" t="s">
        <v>9</v>
      </c>
      <c r="D687" t="s">
        <v>17</v>
      </c>
      <c r="E687" t="s">
        <v>23</v>
      </c>
      <c r="F687">
        <v>1674.91</v>
      </c>
    </row>
    <row r="688" spans="1:6" x14ac:dyDescent="0.35">
      <c r="A688">
        <v>1271</v>
      </c>
      <c r="B688" s="4">
        <v>45581.375085336993</v>
      </c>
      <c r="C688" t="s">
        <v>14</v>
      </c>
      <c r="D688" t="s">
        <v>22</v>
      </c>
      <c r="E688" t="s">
        <v>25</v>
      </c>
      <c r="F688">
        <v>7503.85</v>
      </c>
    </row>
    <row r="689" spans="1:6" x14ac:dyDescent="0.35">
      <c r="A689">
        <v>1387</v>
      </c>
      <c r="B689" s="4">
        <v>45582.375085336993</v>
      </c>
      <c r="C689" t="s">
        <v>6</v>
      </c>
      <c r="D689" t="s">
        <v>19</v>
      </c>
      <c r="E689" t="s">
        <v>24</v>
      </c>
      <c r="F689">
        <v>4822.37</v>
      </c>
    </row>
    <row r="690" spans="1:6" x14ac:dyDescent="0.35">
      <c r="A690">
        <v>1167</v>
      </c>
      <c r="B690" s="4">
        <v>45582.375085336993</v>
      </c>
      <c r="C690" t="s">
        <v>11</v>
      </c>
      <c r="D690" t="s">
        <v>22</v>
      </c>
      <c r="E690" t="s">
        <v>24</v>
      </c>
      <c r="F690">
        <v>4110.18</v>
      </c>
    </row>
    <row r="691" spans="1:6" x14ac:dyDescent="0.35">
      <c r="A691">
        <v>1057</v>
      </c>
      <c r="B691" s="4">
        <v>45582.375085336993</v>
      </c>
      <c r="C691" t="s">
        <v>13</v>
      </c>
      <c r="D691" t="s">
        <v>17</v>
      </c>
      <c r="E691" t="s">
        <v>23</v>
      </c>
      <c r="F691">
        <v>4157.47</v>
      </c>
    </row>
    <row r="692" spans="1:6" x14ac:dyDescent="0.35">
      <c r="A692">
        <v>1256</v>
      </c>
      <c r="B692" s="4">
        <v>45582.375085336993</v>
      </c>
      <c r="C692" t="s">
        <v>8</v>
      </c>
      <c r="D692" t="s">
        <v>19</v>
      </c>
      <c r="E692" t="s">
        <v>23</v>
      </c>
      <c r="F692">
        <v>483.4</v>
      </c>
    </row>
    <row r="693" spans="1:6" x14ac:dyDescent="0.35">
      <c r="A693">
        <v>1001</v>
      </c>
      <c r="B693" s="4">
        <v>45582.375085336993</v>
      </c>
      <c r="C693" t="s">
        <v>13</v>
      </c>
      <c r="D693" t="s">
        <v>21</v>
      </c>
      <c r="E693" t="s">
        <v>23</v>
      </c>
      <c r="F693">
        <v>1341.05</v>
      </c>
    </row>
    <row r="694" spans="1:6" x14ac:dyDescent="0.35">
      <c r="A694">
        <v>1267</v>
      </c>
      <c r="B694" s="4">
        <v>45583.375085336993</v>
      </c>
      <c r="C694" t="s">
        <v>9</v>
      </c>
      <c r="D694" t="s">
        <v>16</v>
      </c>
      <c r="E694" t="s">
        <v>23</v>
      </c>
      <c r="F694">
        <v>2582.66</v>
      </c>
    </row>
    <row r="695" spans="1:6" x14ac:dyDescent="0.35">
      <c r="A695">
        <v>1254</v>
      </c>
      <c r="B695" s="4">
        <v>45583.375085336993</v>
      </c>
      <c r="C695" t="s">
        <v>10</v>
      </c>
      <c r="D695" t="s">
        <v>20</v>
      </c>
      <c r="E695" t="s">
        <v>25</v>
      </c>
      <c r="F695">
        <v>4878.6899999999996</v>
      </c>
    </row>
    <row r="696" spans="1:6" x14ac:dyDescent="0.35">
      <c r="A696">
        <v>1263</v>
      </c>
      <c r="B696" s="4">
        <v>45583.375085336993</v>
      </c>
      <c r="C696" t="s">
        <v>15</v>
      </c>
      <c r="D696" t="s">
        <v>19</v>
      </c>
      <c r="E696" t="s">
        <v>25</v>
      </c>
      <c r="F696">
        <v>1689.52</v>
      </c>
    </row>
    <row r="697" spans="1:6" x14ac:dyDescent="0.35">
      <c r="A697">
        <v>1359</v>
      </c>
      <c r="B697" s="4">
        <v>45583.375085336993</v>
      </c>
      <c r="C697" t="s">
        <v>10</v>
      </c>
      <c r="D697" t="s">
        <v>16</v>
      </c>
      <c r="E697" t="s">
        <v>24</v>
      </c>
      <c r="F697">
        <v>2900.25</v>
      </c>
    </row>
    <row r="698" spans="1:6" x14ac:dyDescent="0.35">
      <c r="A698">
        <v>1310</v>
      </c>
      <c r="B698" s="4">
        <v>45584.375085336993</v>
      </c>
      <c r="C698" t="s">
        <v>10</v>
      </c>
      <c r="D698" t="s">
        <v>20</v>
      </c>
      <c r="E698" t="s">
        <v>25</v>
      </c>
      <c r="F698">
        <v>4475.3599999999997</v>
      </c>
    </row>
    <row r="699" spans="1:6" x14ac:dyDescent="0.35">
      <c r="A699">
        <v>1216</v>
      </c>
      <c r="B699" s="4">
        <v>45584.375085336993</v>
      </c>
      <c r="C699" t="s">
        <v>12</v>
      </c>
      <c r="D699" t="s">
        <v>22</v>
      </c>
      <c r="E699" t="s">
        <v>25</v>
      </c>
      <c r="F699">
        <v>7092.94</v>
      </c>
    </row>
    <row r="700" spans="1:6" x14ac:dyDescent="0.35">
      <c r="A700">
        <v>1186</v>
      </c>
      <c r="B700" s="4">
        <v>45584.375085336993</v>
      </c>
      <c r="C700" t="s">
        <v>7</v>
      </c>
      <c r="D700" t="s">
        <v>19</v>
      </c>
      <c r="E700" t="s">
        <v>23</v>
      </c>
      <c r="F700">
        <v>2720.66</v>
      </c>
    </row>
    <row r="701" spans="1:6" x14ac:dyDescent="0.35">
      <c r="A701">
        <v>1255</v>
      </c>
      <c r="B701" s="4">
        <v>45585.375085336993</v>
      </c>
      <c r="C701" t="s">
        <v>11</v>
      </c>
      <c r="D701" t="s">
        <v>21</v>
      </c>
      <c r="E701" t="s">
        <v>24</v>
      </c>
      <c r="F701">
        <v>565.72</v>
      </c>
    </row>
    <row r="702" spans="1:6" x14ac:dyDescent="0.35">
      <c r="A702">
        <v>1344</v>
      </c>
      <c r="B702" s="4">
        <v>45585.375085336993</v>
      </c>
      <c r="C702" t="s">
        <v>6</v>
      </c>
      <c r="D702" t="s">
        <v>22</v>
      </c>
      <c r="E702" t="s">
        <v>24</v>
      </c>
      <c r="F702">
        <v>3333.15</v>
      </c>
    </row>
    <row r="703" spans="1:6" x14ac:dyDescent="0.35">
      <c r="A703">
        <v>1028</v>
      </c>
      <c r="B703" s="4">
        <v>45585.375085336993</v>
      </c>
      <c r="C703" t="s">
        <v>8</v>
      </c>
      <c r="D703" t="s">
        <v>19</v>
      </c>
      <c r="E703" t="s">
        <v>23</v>
      </c>
      <c r="F703">
        <v>6179.71</v>
      </c>
    </row>
    <row r="704" spans="1:6" x14ac:dyDescent="0.35">
      <c r="A704">
        <v>1311</v>
      </c>
      <c r="B704" s="4">
        <v>45586.375085336993</v>
      </c>
      <c r="C704" t="s">
        <v>12</v>
      </c>
      <c r="D704" t="s">
        <v>19</v>
      </c>
      <c r="E704" t="s">
        <v>24</v>
      </c>
      <c r="F704">
        <v>3305.42</v>
      </c>
    </row>
    <row r="705" spans="1:6" x14ac:dyDescent="0.35">
      <c r="A705">
        <v>1343</v>
      </c>
      <c r="B705" s="4">
        <v>45586.375085336993</v>
      </c>
      <c r="C705" t="s">
        <v>9</v>
      </c>
      <c r="D705" t="s">
        <v>21</v>
      </c>
      <c r="E705" t="s">
        <v>24</v>
      </c>
      <c r="F705">
        <v>2701.32</v>
      </c>
    </row>
    <row r="706" spans="1:6" x14ac:dyDescent="0.35">
      <c r="A706">
        <v>1365</v>
      </c>
      <c r="B706" s="4">
        <v>45586.375085336993</v>
      </c>
      <c r="C706" t="s">
        <v>11</v>
      </c>
      <c r="D706" t="s">
        <v>16</v>
      </c>
      <c r="E706" t="s">
        <v>24</v>
      </c>
      <c r="F706">
        <v>16763.490000000002</v>
      </c>
    </row>
    <row r="707" spans="1:6" x14ac:dyDescent="0.35">
      <c r="A707">
        <v>1180</v>
      </c>
      <c r="B707" s="4">
        <v>45586.375085336993</v>
      </c>
      <c r="C707" t="s">
        <v>14</v>
      </c>
      <c r="D707" t="s">
        <v>22</v>
      </c>
      <c r="E707" t="s">
        <v>23</v>
      </c>
      <c r="F707">
        <v>6173.43</v>
      </c>
    </row>
    <row r="708" spans="1:6" x14ac:dyDescent="0.35">
      <c r="A708">
        <v>1177</v>
      </c>
      <c r="B708" s="4">
        <v>45586.375085336993</v>
      </c>
      <c r="C708" t="s">
        <v>14</v>
      </c>
      <c r="D708" t="s">
        <v>20</v>
      </c>
      <c r="E708" t="s">
        <v>24</v>
      </c>
      <c r="F708">
        <v>2109</v>
      </c>
    </row>
    <row r="709" spans="1:6" x14ac:dyDescent="0.35">
      <c r="A709">
        <v>1003</v>
      </c>
      <c r="B709" s="4">
        <v>45586.375085336993</v>
      </c>
      <c r="C709" t="s">
        <v>10</v>
      </c>
      <c r="D709" t="s">
        <v>16</v>
      </c>
      <c r="E709" t="s">
        <v>25</v>
      </c>
      <c r="F709">
        <v>4109.4399999999996</v>
      </c>
    </row>
    <row r="710" spans="1:6" x14ac:dyDescent="0.35">
      <c r="A710">
        <v>1079</v>
      </c>
      <c r="B710" s="4">
        <v>45587.375085336993</v>
      </c>
      <c r="C710" t="s">
        <v>6</v>
      </c>
      <c r="D710" t="s">
        <v>21</v>
      </c>
      <c r="E710" t="s">
        <v>25</v>
      </c>
      <c r="F710">
        <v>3632.67</v>
      </c>
    </row>
    <row r="711" spans="1:6" x14ac:dyDescent="0.35">
      <c r="A711">
        <v>1187</v>
      </c>
      <c r="B711" s="4">
        <v>45587.375085336993</v>
      </c>
      <c r="C711" t="s">
        <v>8</v>
      </c>
      <c r="D711" t="s">
        <v>16</v>
      </c>
      <c r="E711" t="s">
        <v>24</v>
      </c>
      <c r="F711">
        <v>1235.22</v>
      </c>
    </row>
    <row r="712" spans="1:6" x14ac:dyDescent="0.35">
      <c r="A712">
        <v>1043</v>
      </c>
      <c r="B712" s="4">
        <v>45587.375085336993</v>
      </c>
      <c r="C712" t="s">
        <v>14</v>
      </c>
      <c r="D712" t="s">
        <v>20</v>
      </c>
      <c r="E712" t="s">
        <v>24</v>
      </c>
      <c r="F712">
        <v>491.47</v>
      </c>
    </row>
    <row r="713" spans="1:6" x14ac:dyDescent="0.35">
      <c r="A713">
        <v>1201</v>
      </c>
      <c r="B713" s="4">
        <v>45587.375085336993</v>
      </c>
      <c r="C713" t="s">
        <v>12</v>
      </c>
      <c r="D713" t="s">
        <v>19</v>
      </c>
      <c r="E713" t="s">
        <v>24</v>
      </c>
      <c r="F713">
        <v>2731.89</v>
      </c>
    </row>
    <row r="714" spans="1:6" x14ac:dyDescent="0.35">
      <c r="A714">
        <v>1242</v>
      </c>
      <c r="B714" s="4">
        <v>45587.375085336993</v>
      </c>
      <c r="C714" t="s">
        <v>8</v>
      </c>
      <c r="D714" t="s">
        <v>19</v>
      </c>
      <c r="E714" t="s">
        <v>25</v>
      </c>
      <c r="F714">
        <v>4064.16</v>
      </c>
    </row>
    <row r="715" spans="1:6" x14ac:dyDescent="0.35">
      <c r="A715">
        <v>1217</v>
      </c>
      <c r="B715" s="4">
        <v>45588.375085336993</v>
      </c>
      <c r="C715" t="s">
        <v>10</v>
      </c>
      <c r="D715" t="s">
        <v>16</v>
      </c>
      <c r="E715" t="s">
        <v>25</v>
      </c>
      <c r="F715">
        <v>1883.39</v>
      </c>
    </row>
    <row r="716" spans="1:6" x14ac:dyDescent="0.35">
      <c r="A716">
        <v>1191</v>
      </c>
      <c r="B716" s="4">
        <v>45588.375085336993</v>
      </c>
      <c r="C716" t="s">
        <v>13</v>
      </c>
      <c r="D716" t="s">
        <v>16</v>
      </c>
      <c r="E716" t="s">
        <v>23</v>
      </c>
      <c r="F716">
        <v>5493.83</v>
      </c>
    </row>
    <row r="717" spans="1:6" x14ac:dyDescent="0.35">
      <c r="A717">
        <v>1330</v>
      </c>
      <c r="B717" s="4">
        <v>45588.375085336993</v>
      </c>
      <c r="C717" t="s">
        <v>8</v>
      </c>
      <c r="D717" t="s">
        <v>19</v>
      </c>
      <c r="E717" t="s">
        <v>23</v>
      </c>
      <c r="F717">
        <v>3580.54</v>
      </c>
    </row>
    <row r="718" spans="1:6" x14ac:dyDescent="0.35">
      <c r="A718">
        <v>1160</v>
      </c>
      <c r="B718" s="4">
        <v>45588.375085336993</v>
      </c>
      <c r="C718" t="s">
        <v>14</v>
      </c>
      <c r="D718" t="s">
        <v>19</v>
      </c>
      <c r="E718" t="s">
        <v>24</v>
      </c>
      <c r="F718">
        <v>2207.1999999999998</v>
      </c>
    </row>
    <row r="719" spans="1:6" x14ac:dyDescent="0.35">
      <c r="A719">
        <v>1042</v>
      </c>
      <c r="B719" s="4">
        <v>45588.375085336993</v>
      </c>
      <c r="C719" t="s">
        <v>11</v>
      </c>
      <c r="D719" t="s">
        <v>21</v>
      </c>
      <c r="E719" t="s">
        <v>24</v>
      </c>
      <c r="F719">
        <v>2269.17</v>
      </c>
    </row>
    <row r="720" spans="1:6" x14ac:dyDescent="0.35">
      <c r="A720">
        <v>1325</v>
      </c>
      <c r="B720" s="4">
        <v>45588.375085336993</v>
      </c>
      <c r="C720" t="s">
        <v>6</v>
      </c>
      <c r="D720" t="s">
        <v>19</v>
      </c>
      <c r="E720" t="s">
        <v>24</v>
      </c>
      <c r="F720">
        <v>6155.47</v>
      </c>
    </row>
    <row r="721" spans="1:6" x14ac:dyDescent="0.35">
      <c r="A721">
        <v>1026</v>
      </c>
      <c r="B721" s="4">
        <v>45589.375085336993</v>
      </c>
      <c r="C721" t="s">
        <v>8</v>
      </c>
      <c r="D721" t="s">
        <v>22</v>
      </c>
      <c r="E721" t="s">
        <v>24</v>
      </c>
      <c r="F721">
        <v>3497.39</v>
      </c>
    </row>
    <row r="722" spans="1:6" x14ac:dyDescent="0.35">
      <c r="A722">
        <v>1389</v>
      </c>
      <c r="B722" s="4">
        <v>45589.375085336993</v>
      </c>
      <c r="C722" t="s">
        <v>9</v>
      </c>
      <c r="D722" t="s">
        <v>17</v>
      </c>
      <c r="E722" t="s">
        <v>23</v>
      </c>
      <c r="F722">
        <v>1894.01</v>
      </c>
    </row>
    <row r="723" spans="1:6" x14ac:dyDescent="0.35">
      <c r="A723">
        <v>1011</v>
      </c>
      <c r="B723" s="4">
        <v>45589.375085336993</v>
      </c>
      <c r="C723" t="s">
        <v>13</v>
      </c>
      <c r="D723" t="s">
        <v>16</v>
      </c>
      <c r="E723" t="s">
        <v>23</v>
      </c>
      <c r="F723">
        <v>7901.06</v>
      </c>
    </row>
    <row r="724" spans="1:6" x14ac:dyDescent="0.35">
      <c r="A724">
        <v>1309</v>
      </c>
      <c r="B724" s="4">
        <v>45589.375085336993</v>
      </c>
      <c r="C724" t="s">
        <v>11</v>
      </c>
      <c r="D724" t="s">
        <v>16</v>
      </c>
      <c r="E724" t="s">
        <v>25</v>
      </c>
      <c r="F724">
        <v>3034.64</v>
      </c>
    </row>
    <row r="725" spans="1:6" x14ac:dyDescent="0.35">
      <c r="A725">
        <v>1372</v>
      </c>
      <c r="B725" s="4">
        <v>45589.375085336993</v>
      </c>
      <c r="C725" t="s">
        <v>7</v>
      </c>
      <c r="D725" t="s">
        <v>21</v>
      </c>
      <c r="E725" t="s">
        <v>24</v>
      </c>
      <c r="F725">
        <v>6395.83</v>
      </c>
    </row>
    <row r="726" spans="1:6" x14ac:dyDescent="0.35">
      <c r="A726">
        <v>1346</v>
      </c>
      <c r="B726" s="4">
        <v>45589.375085336993</v>
      </c>
      <c r="C726" t="s">
        <v>7</v>
      </c>
      <c r="D726" t="s">
        <v>22</v>
      </c>
      <c r="E726" t="s">
        <v>25</v>
      </c>
      <c r="F726">
        <v>4291.9399999999996</v>
      </c>
    </row>
    <row r="727" spans="1:6" x14ac:dyDescent="0.35">
      <c r="A727">
        <v>1238</v>
      </c>
      <c r="B727" s="4">
        <v>45590.375085336993</v>
      </c>
      <c r="C727" t="s">
        <v>8</v>
      </c>
      <c r="D727" t="s">
        <v>19</v>
      </c>
      <c r="E727" t="s">
        <v>25</v>
      </c>
      <c r="F727">
        <v>991.23</v>
      </c>
    </row>
    <row r="728" spans="1:6" x14ac:dyDescent="0.35">
      <c r="A728">
        <v>1028</v>
      </c>
      <c r="B728" s="4">
        <v>45590.375085336993</v>
      </c>
      <c r="C728" t="s">
        <v>11</v>
      </c>
      <c r="D728" t="s">
        <v>21</v>
      </c>
      <c r="E728" t="s">
        <v>23</v>
      </c>
      <c r="F728">
        <v>3390.82</v>
      </c>
    </row>
    <row r="729" spans="1:6" x14ac:dyDescent="0.35">
      <c r="A729">
        <v>1222</v>
      </c>
      <c r="B729" s="4">
        <v>45590.375085336993</v>
      </c>
      <c r="C729" t="s">
        <v>15</v>
      </c>
      <c r="D729" t="s">
        <v>18</v>
      </c>
      <c r="E729" t="s">
        <v>25</v>
      </c>
      <c r="F729">
        <v>9047.32</v>
      </c>
    </row>
    <row r="730" spans="1:6" x14ac:dyDescent="0.35">
      <c r="A730">
        <v>1198</v>
      </c>
      <c r="B730" s="4">
        <v>45590.375085336993</v>
      </c>
      <c r="C730" t="s">
        <v>9</v>
      </c>
      <c r="D730" t="s">
        <v>18</v>
      </c>
      <c r="E730" t="s">
        <v>23</v>
      </c>
      <c r="F730">
        <v>1004.72</v>
      </c>
    </row>
    <row r="731" spans="1:6" x14ac:dyDescent="0.35">
      <c r="A731">
        <v>1263</v>
      </c>
      <c r="B731" s="4">
        <v>45591.375085336993</v>
      </c>
      <c r="C731" t="s">
        <v>6</v>
      </c>
      <c r="D731" t="s">
        <v>17</v>
      </c>
      <c r="E731" t="s">
        <v>23</v>
      </c>
      <c r="F731">
        <v>4110.53</v>
      </c>
    </row>
    <row r="732" spans="1:6" x14ac:dyDescent="0.35">
      <c r="A732">
        <v>1123</v>
      </c>
      <c r="B732" s="4">
        <v>45592.375085336993</v>
      </c>
      <c r="C732" t="s">
        <v>14</v>
      </c>
      <c r="D732" t="s">
        <v>19</v>
      </c>
      <c r="E732" t="s">
        <v>23</v>
      </c>
      <c r="F732">
        <v>6060.27</v>
      </c>
    </row>
    <row r="733" spans="1:6" x14ac:dyDescent="0.35">
      <c r="A733">
        <v>1292</v>
      </c>
      <c r="B733" s="4">
        <v>45592.375085336993</v>
      </c>
      <c r="C733" t="s">
        <v>9</v>
      </c>
      <c r="D733" t="s">
        <v>16</v>
      </c>
      <c r="E733" t="s">
        <v>23</v>
      </c>
      <c r="F733">
        <v>1456.42</v>
      </c>
    </row>
    <row r="734" spans="1:6" x14ac:dyDescent="0.35">
      <c r="A734">
        <v>1100</v>
      </c>
      <c r="B734" s="4">
        <v>45592.375085336993</v>
      </c>
      <c r="C734" t="s">
        <v>11</v>
      </c>
      <c r="D734" t="s">
        <v>17</v>
      </c>
      <c r="E734" t="s">
        <v>24</v>
      </c>
      <c r="F734">
        <v>1737.35</v>
      </c>
    </row>
    <row r="735" spans="1:6" x14ac:dyDescent="0.35">
      <c r="A735">
        <v>1103</v>
      </c>
      <c r="B735" s="4">
        <v>45592.375085336993</v>
      </c>
      <c r="C735" t="s">
        <v>11</v>
      </c>
      <c r="D735" t="s">
        <v>18</v>
      </c>
      <c r="E735" t="s">
        <v>24</v>
      </c>
      <c r="F735">
        <v>10148.09</v>
      </c>
    </row>
    <row r="736" spans="1:6" x14ac:dyDescent="0.35">
      <c r="A736">
        <v>1195</v>
      </c>
      <c r="B736" s="4">
        <v>45592.375085336993</v>
      </c>
      <c r="C736" t="s">
        <v>13</v>
      </c>
      <c r="D736" t="s">
        <v>22</v>
      </c>
      <c r="E736" t="s">
        <v>24</v>
      </c>
      <c r="F736">
        <v>9808.41</v>
      </c>
    </row>
    <row r="737" spans="1:6" x14ac:dyDescent="0.35">
      <c r="A737">
        <v>1337</v>
      </c>
      <c r="B737" s="4">
        <v>45592.375085336993</v>
      </c>
      <c r="C737" t="s">
        <v>8</v>
      </c>
      <c r="D737" t="s">
        <v>19</v>
      </c>
      <c r="E737" t="s">
        <v>23</v>
      </c>
      <c r="F737">
        <v>7651.6</v>
      </c>
    </row>
    <row r="738" spans="1:6" x14ac:dyDescent="0.35">
      <c r="A738">
        <v>1277</v>
      </c>
      <c r="B738" s="4">
        <v>45592.375085336993</v>
      </c>
      <c r="C738" t="s">
        <v>15</v>
      </c>
      <c r="D738" t="s">
        <v>18</v>
      </c>
      <c r="E738" t="s">
        <v>23</v>
      </c>
      <c r="F738">
        <v>2401.81</v>
      </c>
    </row>
    <row r="739" spans="1:6" x14ac:dyDescent="0.35">
      <c r="A739">
        <v>1159</v>
      </c>
      <c r="B739" s="4">
        <v>45593.375085336993</v>
      </c>
      <c r="C739" t="s">
        <v>14</v>
      </c>
      <c r="D739" t="s">
        <v>19</v>
      </c>
      <c r="E739" t="s">
        <v>23</v>
      </c>
      <c r="F739">
        <v>1250.46</v>
      </c>
    </row>
    <row r="740" spans="1:6" x14ac:dyDescent="0.35">
      <c r="A740">
        <v>1102</v>
      </c>
      <c r="B740" s="4">
        <v>45593.375085336993</v>
      </c>
      <c r="C740" t="s">
        <v>6</v>
      </c>
      <c r="D740" t="s">
        <v>18</v>
      </c>
      <c r="E740" t="s">
        <v>24</v>
      </c>
      <c r="F740">
        <v>1023.67</v>
      </c>
    </row>
    <row r="741" spans="1:6" x14ac:dyDescent="0.35">
      <c r="A741">
        <v>1269</v>
      </c>
      <c r="B741" s="4">
        <v>45593.375085336993</v>
      </c>
      <c r="C741" t="s">
        <v>9</v>
      </c>
      <c r="D741" t="s">
        <v>21</v>
      </c>
      <c r="E741" t="s">
        <v>24</v>
      </c>
      <c r="F741">
        <v>1794.95</v>
      </c>
    </row>
    <row r="742" spans="1:6" x14ac:dyDescent="0.35">
      <c r="A742">
        <v>1368</v>
      </c>
      <c r="B742" s="4">
        <v>45593.375085336993</v>
      </c>
      <c r="C742" t="s">
        <v>9</v>
      </c>
      <c r="D742" t="s">
        <v>22</v>
      </c>
      <c r="E742" t="s">
        <v>24</v>
      </c>
      <c r="F742">
        <v>1715.33</v>
      </c>
    </row>
    <row r="743" spans="1:6" x14ac:dyDescent="0.35">
      <c r="A743">
        <v>1250</v>
      </c>
      <c r="B743" s="4">
        <v>45593.375085336993</v>
      </c>
      <c r="C743" t="s">
        <v>13</v>
      </c>
      <c r="D743" t="s">
        <v>17</v>
      </c>
      <c r="E743" t="s">
        <v>24</v>
      </c>
      <c r="F743">
        <v>2544.6999999999998</v>
      </c>
    </row>
    <row r="744" spans="1:6" x14ac:dyDescent="0.35">
      <c r="A744">
        <v>1301</v>
      </c>
      <c r="B744" s="4">
        <v>45593.375085336993</v>
      </c>
      <c r="C744" t="s">
        <v>14</v>
      </c>
      <c r="D744" t="s">
        <v>20</v>
      </c>
      <c r="E744" t="s">
        <v>23</v>
      </c>
      <c r="F744">
        <v>1840.76</v>
      </c>
    </row>
    <row r="745" spans="1:6" x14ac:dyDescent="0.35">
      <c r="A745">
        <v>1305</v>
      </c>
      <c r="B745" s="4">
        <v>45593.375085336993</v>
      </c>
      <c r="C745" t="s">
        <v>12</v>
      </c>
      <c r="D745" t="s">
        <v>21</v>
      </c>
      <c r="E745" t="s">
        <v>25</v>
      </c>
      <c r="F745">
        <v>3918.51</v>
      </c>
    </row>
    <row r="746" spans="1:6" x14ac:dyDescent="0.35">
      <c r="A746">
        <v>1083</v>
      </c>
      <c r="B746" s="4">
        <v>45593.375085336993</v>
      </c>
      <c r="C746" t="s">
        <v>11</v>
      </c>
      <c r="D746" t="s">
        <v>20</v>
      </c>
      <c r="E746" t="s">
        <v>25</v>
      </c>
      <c r="F746">
        <v>772.19</v>
      </c>
    </row>
    <row r="747" spans="1:6" x14ac:dyDescent="0.35">
      <c r="A747">
        <v>1005</v>
      </c>
      <c r="B747" s="4">
        <v>45593.375085336993</v>
      </c>
      <c r="C747" t="s">
        <v>15</v>
      </c>
      <c r="D747" t="s">
        <v>17</v>
      </c>
      <c r="E747" t="s">
        <v>25</v>
      </c>
      <c r="F747">
        <v>2634.62</v>
      </c>
    </row>
    <row r="748" spans="1:6" x14ac:dyDescent="0.35">
      <c r="A748">
        <v>1065</v>
      </c>
      <c r="B748" s="4">
        <v>45594.375085336993</v>
      </c>
      <c r="C748" t="s">
        <v>6</v>
      </c>
      <c r="D748" t="s">
        <v>21</v>
      </c>
      <c r="E748" t="s">
        <v>23</v>
      </c>
      <c r="F748">
        <v>3620.1</v>
      </c>
    </row>
    <row r="749" spans="1:6" x14ac:dyDescent="0.35">
      <c r="A749">
        <v>1131</v>
      </c>
      <c r="B749" s="4">
        <v>45594.375085336993</v>
      </c>
      <c r="C749" t="s">
        <v>12</v>
      </c>
      <c r="D749" t="s">
        <v>22</v>
      </c>
      <c r="E749" t="s">
        <v>25</v>
      </c>
      <c r="F749">
        <v>13009.97</v>
      </c>
    </row>
    <row r="750" spans="1:6" x14ac:dyDescent="0.35">
      <c r="A750">
        <v>1399</v>
      </c>
      <c r="B750" s="4">
        <v>45594.375085336993</v>
      </c>
      <c r="C750" t="s">
        <v>15</v>
      </c>
      <c r="D750" t="s">
        <v>21</v>
      </c>
      <c r="E750" t="s">
        <v>23</v>
      </c>
      <c r="F750">
        <v>1331.23</v>
      </c>
    </row>
    <row r="751" spans="1:6" x14ac:dyDescent="0.35">
      <c r="A751">
        <v>1051</v>
      </c>
      <c r="B751" s="4">
        <v>45595.375085336993</v>
      </c>
      <c r="C751" t="s">
        <v>14</v>
      </c>
      <c r="D751" t="s">
        <v>19</v>
      </c>
      <c r="E751" t="s">
        <v>23</v>
      </c>
      <c r="F751">
        <v>2108.48</v>
      </c>
    </row>
    <row r="752" spans="1:6" x14ac:dyDescent="0.35">
      <c r="A752">
        <v>1072</v>
      </c>
      <c r="B752" s="4">
        <v>45595.375085336993</v>
      </c>
      <c r="C752" t="s">
        <v>7</v>
      </c>
      <c r="D752" t="s">
        <v>19</v>
      </c>
      <c r="E752" t="s">
        <v>25</v>
      </c>
      <c r="F752">
        <v>2943.81</v>
      </c>
    </row>
    <row r="753" spans="1:6" x14ac:dyDescent="0.35">
      <c r="A753">
        <v>1115</v>
      </c>
      <c r="B753" s="4">
        <v>45595.375085336993</v>
      </c>
      <c r="C753" t="s">
        <v>8</v>
      </c>
      <c r="D753" t="s">
        <v>18</v>
      </c>
      <c r="E753" t="s">
        <v>24</v>
      </c>
      <c r="F753">
        <v>1201.8599999999999</v>
      </c>
    </row>
    <row r="754" spans="1:6" x14ac:dyDescent="0.35">
      <c r="A754">
        <v>1290</v>
      </c>
      <c r="B754" s="4">
        <v>45595.375085336993</v>
      </c>
      <c r="C754" t="s">
        <v>10</v>
      </c>
      <c r="D754" t="s">
        <v>19</v>
      </c>
      <c r="E754" t="s">
        <v>24</v>
      </c>
      <c r="F754">
        <v>6052.22</v>
      </c>
    </row>
    <row r="755" spans="1:6" x14ac:dyDescent="0.35">
      <c r="A755">
        <v>1068</v>
      </c>
      <c r="B755" s="4">
        <v>45595.375085336993</v>
      </c>
      <c r="C755" t="s">
        <v>15</v>
      </c>
      <c r="D755" t="s">
        <v>16</v>
      </c>
      <c r="E755" t="s">
        <v>24</v>
      </c>
      <c r="F755">
        <v>4141.79</v>
      </c>
    </row>
    <row r="756" spans="1:6" x14ac:dyDescent="0.35">
      <c r="A756">
        <v>1150</v>
      </c>
      <c r="B756" s="4">
        <v>45596.375085336993</v>
      </c>
      <c r="C756" t="s">
        <v>8</v>
      </c>
      <c r="D756" t="s">
        <v>16</v>
      </c>
      <c r="E756" t="s">
        <v>24</v>
      </c>
      <c r="F756">
        <v>4617.8599999999997</v>
      </c>
    </row>
    <row r="757" spans="1:6" x14ac:dyDescent="0.35">
      <c r="A757">
        <v>1280</v>
      </c>
      <c r="B757" s="4">
        <v>45596.375085336993</v>
      </c>
      <c r="C757" t="s">
        <v>7</v>
      </c>
      <c r="D757" t="s">
        <v>16</v>
      </c>
      <c r="E757" t="s">
        <v>24</v>
      </c>
      <c r="F757">
        <v>3306</v>
      </c>
    </row>
    <row r="758" spans="1:6" x14ac:dyDescent="0.35">
      <c r="A758">
        <v>1225</v>
      </c>
      <c r="B758" s="4">
        <v>45596.375085336993</v>
      </c>
      <c r="C758" t="s">
        <v>9</v>
      </c>
      <c r="D758" t="s">
        <v>18</v>
      </c>
      <c r="E758" t="s">
        <v>24</v>
      </c>
      <c r="F758">
        <v>4086.92</v>
      </c>
    </row>
    <row r="759" spans="1:6" x14ac:dyDescent="0.35">
      <c r="A759">
        <v>1380</v>
      </c>
      <c r="B759" s="4">
        <v>45596.375085336993</v>
      </c>
      <c r="C759" t="s">
        <v>13</v>
      </c>
      <c r="D759" t="s">
        <v>22</v>
      </c>
      <c r="E759" t="s">
        <v>23</v>
      </c>
      <c r="F759">
        <v>3006.79</v>
      </c>
    </row>
    <row r="760" spans="1:6" x14ac:dyDescent="0.35">
      <c r="A760">
        <v>1237</v>
      </c>
      <c r="B760" s="4">
        <v>45596.375085336993</v>
      </c>
      <c r="C760" t="s">
        <v>13</v>
      </c>
      <c r="D760" t="s">
        <v>19</v>
      </c>
      <c r="E760" t="s">
        <v>25</v>
      </c>
      <c r="F760">
        <v>4014.99</v>
      </c>
    </row>
    <row r="761" spans="1:6" x14ac:dyDescent="0.35">
      <c r="A761">
        <v>1032</v>
      </c>
      <c r="B761" s="4">
        <v>45596.375085336993</v>
      </c>
      <c r="C761" t="s">
        <v>10</v>
      </c>
      <c r="D761" t="s">
        <v>21</v>
      </c>
      <c r="E761" t="s">
        <v>23</v>
      </c>
      <c r="F761">
        <v>13719.32</v>
      </c>
    </row>
    <row r="762" spans="1:6" x14ac:dyDescent="0.35">
      <c r="A762">
        <v>1231</v>
      </c>
      <c r="B762" s="4">
        <v>45597.375085336993</v>
      </c>
      <c r="C762" t="s">
        <v>8</v>
      </c>
      <c r="D762" t="s">
        <v>17</v>
      </c>
      <c r="E762" t="s">
        <v>25</v>
      </c>
      <c r="F762">
        <v>3505.26</v>
      </c>
    </row>
    <row r="763" spans="1:6" x14ac:dyDescent="0.35">
      <c r="A763">
        <v>1135</v>
      </c>
      <c r="B763" s="4">
        <v>45597.375085336993</v>
      </c>
      <c r="C763" t="s">
        <v>9</v>
      </c>
      <c r="D763" t="s">
        <v>21</v>
      </c>
      <c r="E763" t="s">
        <v>23</v>
      </c>
      <c r="F763">
        <v>1904.32</v>
      </c>
    </row>
    <row r="764" spans="1:6" x14ac:dyDescent="0.35">
      <c r="A764">
        <v>1145</v>
      </c>
      <c r="B764" s="4">
        <v>45597.375085336993</v>
      </c>
      <c r="C764" t="s">
        <v>7</v>
      </c>
      <c r="D764" t="s">
        <v>21</v>
      </c>
      <c r="E764" t="s">
        <v>23</v>
      </c>
      <c r="F764">
        <v>1881.2</v>
      </c>
    </row>
    <row r="765" spans="1:6" x14ac:dyDescent="0.35">
      <c r="A765">
        <v>1309</v>
      </c>
      <c r="B765" s="4">
        <v>45597.375085336993</v>
      </c>
      <c r="C765" t="s">
        <v>7</v>
      </c>
      <c r="D765" t="s">
        <v>20</v>
      </c>
      <c r="E765" t="s">
        <v>24</v>
      </c>
      <c r="F765">
        <v>554.97</v>
      </c>
    </row>
    <row r="766" spans="1:6" x14ac:dyDescent="0.35">
      <c r="A766">
        <v>1065</v>
      </c>
      <c r="B766" s="4">
        <v>45597.375085336993</v>
      </c>
      <c r="C766" t="s">
        <v>15</v>
      </c>
      <c r="D766" t="s">
        <v>19</v>
      </c>
      <c r="E766" t="s">
        <v>24</v>
      </c>
      <c r="F766">
        <v>3776.88</v>
      </c>
    </row>
    <row r="767" spans="1:6" x14ac:dyDescent="0.35">
      <c r="A767">
        <v>1076</v>
      </c>
      <c r="B767" s="4">
        <v>45597.375085336993</v>
      </c>
      <c r="C767" t="s">
        <v>12</v>
      </c>
      <c r="D767" t="s">
        <v>17</v>
      </c>
      <c r="E767" t="s">
        <v>23</v>
      </c>
      <c r="F767">
        <v>2013.02</v>
      </c>
    </row>
    <row r="768" spans="1:6" x14ac:dyDescent="0.35">
      <c r="A768">
        <v>1349</v>
      </c>
      <c r="B768" s="4">
        <v>45598.375085336993</v>
      </c>
      <c r="C768" t="s">
        <v>13</v>
      </c>
      <c r="D768" t="s">
        <v>17</v>
      </c>
      <c r="E768" t="s">
        <v>25</v>
      </c>
      <c r="F768">
        <v>8233.58</v>
      </c>
    </row>
    <row r="769" spans="1:6" x14ac:dyDescent="0.35">
      <c r="A769">
        <v>1133</v>
      </c>
      <c r="B769" s="4">
        <v>45598.375085336993</v>
      </c>
      <c r="C769" t="s">
        <v>8</v>
      </c>
      <c r="D769" t="s">
        <v>18</v>
      </c>
      <c r="E769" t="s">
        <v>25</v>
      </c>
      <c r="F769">
        <v>3208.36</v>
      </c>
    </row>
    <row r="770" spans="1:6" x14ac:dyDescent="0.35">
      <c r="A770">
        <v>1176</v>
      </c>
      <c r="B770" s="4">
        <v>45598.375085336993</v>
      </c>
      <c r="C770" t="s">
        <v>9</v>
      </c>
      <c r="D770" t="s">
        <v>19</v>
      </c>
      <c r="E770" t="s">
        <v>24</v>
      </c>
      <c r="F770">
        <v>4506.33</v>
      </c>
    </row>
    <row r="771" spans="1:6" x14ac:dyDescent="0.35">
      <c r="A771">
        <v>1390</v>
      </c>
      <c r="B771" s="4">
        <v>45598.375085336993</v>
      </c>
      <c r="C771" t="s">
        <v>10</v>
      </c>
      <c r="D771" t="s">
        <v>16</v>
      </c>
      <c r="E771" t="s">
        <v>24</v>
      </c>
      <c r="F771">
        <v>3072.22</v>
      </c>
    </row>
    <row r="772" spans="1:6" x14ac:dyDescent="0.35">
      <c r="A772">
        <v>1156</v>
      </c>
      <c r="B772" s="4">
        <v>45598.375085336993</v>
      </c>
      <c r="C772" t="s">
        <v>8</v>
      </c>
      <c r="D772" t="s">
        <v>17</v>
      </c>
      <c r="E772" t="s">
        <v>23</v>
      </c>
      <c r="F772">
        <v>7387.06</v>
      </c>
    </row>
    <row r="773" spans="1:6" x14ac:dyDescent="0.35">
      <c r="A773">
        <v>1395</v>
      </c>
      <c r="B773" s="4">
        <v>45598.375085336993</v>
      </c>
      <c r="C773" t="s">
        <v>12</v>
      </c>
      <c r="D773" t="s">
        <v>19</v>
      </c>
      <c r="E773" t="s">
        <v>23</v>
      </c>
      <c r="F773">
        <v>5677.59</v>
      </c>
    </row>
    <row r="774" spans="1:6" x14ac:dyDescent="0.35">
      <c r="A774">
        <v>1080</v>
      </c>
      <c r="B774" s="4">
        <v>45599.375085336993</v>
      </c>
      <c r="C774" t="s">
        <v>7</v>
      </c>
      <c r="D774" t="s">
        <v>20</v>
      </c>
      <c r="E774" t="s">
        <v>23</v>
      </c>
      <c r="F774">
        <v>7869.43</v>
      </c>
    </row>
    <row r="775" spans="1:6" x14ac:dyDescent="0.35">
      <c r="A775">
        <v>1153</v>
      </c>
      <c r="B775" s="4">
        <v>45599.375085336993</v>
      </c>
      <c r="C775" t="s">
        <v>14</v>
      </c>
      <c r="D775" t="s">
        <v>16</v>
      </c>
      <c r="E775" t="s">
        <v>23</v>
      </c>
      <c r="F775">
        <v>1905.17</v>
      </c>
    </row>
    <row r="776" spans="1:6" x14ac:dyDescent="0.35">
      <c r="A776">
        <v>1110</v>
      </c>
      <c r="B776" s="4">
        <v>45599.375085336993</v>
      </c>
      <c r="C776" t="s">
        <v>10</v>
      </c>
      <c r="D776" t="s">
        <v>17</v>
      </c>
      <c r="E776" t="s">
        <v>24</v>
      </c>
      <c r="F776">
        <v>6906.03</v>
      </c>
    </row>
    <row r="777" spans="1:6" x14ac:dyDescent="0.35">
      <c r="A777">
        <v>1176</v>
      </c>
      <c r="B777" s="4">
        <v>45599.375085336993</v>
      </c>
      <c r="C777" t="s">
        <v>10</v>
      </c>
      <c r="D777" t="s">
        <v>16</v>
      </c>
      <c r="E777" t="s">
        <v>25</v>
      </c>
      <c r="F777">
        <v>1297.0899999999999</v>
      </c>
    </row>
    <row r="778" spans="1:6" x14ac:dyDescent="0.35">
      <c r="A778">
        <v>1226</v>
      </c>
      <c r="B778" s="4">
        <v>45599.375085336993</v>
      </c>
      <c r="C778" t="s">
        <v>15</v>
      </c>
      <c r="D778" t="s">
        <v>20</v>
      </c>
      <c r="E778" t="s">
        <v>23</v>
      </c>
      <c r="F778">
        <v>914.2</v>
      </c>
    </row>
    <row r="779" spans="1:6" x14ac:dyDescent="0.35">
      <c r="A779">
        <v>1144</v>
      </c>
      <c r="B779" s="4">
        <v>45599.375085336993</v>
      </c>
      <c r="C779" t="s">
        <v>10</v>
      </c>
      <c r="D779" t="s">
        <v>22</v>
      </c>
      <c r="E779" t="s">
        <v>25</v>
      </c>
      <c r="F779">
        <v>6277.5</v>
      </c>
    </row>
    <row r="780" spans="1:6" x14ac:dyDescent="0.35">
      <c r="A780">
        <v>1007</v>
      </c>
      <c r="B780" s="4">
        <v>45599.375085336993</v>
      </c>
      <c r="C780" t="s">
        <v>15</v>
      </c>
      <c r="D780" t="s">
        <v>21</v>
      </c>
      <c r="E780" t="s">
        <v>25</v>
      </c>
      <c r="F780">
        <v>385.8</v>
      </c>
    </row>
    <row r="781" spans="1:6" x14ac:dyDescent="0.35">
      <c r="A781">
        <v>1094</v>
      </c>
      <c r="B781" s="4">
        <v>45600.375085336993</v>
      </c>
      <c r="C781" t="s">
        <v>9</v>
      </c>
      <c r="D781" t="s">
        <v>20</v>
      </c>
      <c r="E781" t="s">
        <v>25</v>
      </c>
      <c r="F781">
        <v>864.76</v>
      </c>
    </row>
    <row r="782" spans="1:6" x14ac:dyDescent="0.35">
      <c r="A782">
        <v>1006</v>
      </c>
      <c r="B782" s="4">
        <v>45600.375085336993</v>
      </c>
      <c r="C782" t="s">
        <v>8</v>
      </c>
      <c r="D782" t="s">
        <v>21</v>
      </c>
      <c r="E782" t="s">
        <v>24</v>
      </c>
      <c r="F782">
        <v>3610.47</v>
      </c>
    </row>
    <row r="783" spans="1:6" x14ac:dyDescent="0.35">
      <c r="A783">
        <v>1171</v>
      </c>
      <c r="B783" s="4">
        <v>45600.375085336993</v>
      </c>
      <c r="C783" t="s">
        <v>10</v>
      </c>
      <c r="D783" t="s">
        <v>17</v>
      </c>
      <c r="E783" t="s">
        <v>24</v>
      </c>
      <c r="F783">
        <v>2094.5500000000002</v>
      </c>
    </row>
    <row r="784" spans="1:6" x14ac:dyDescent="0.35">
      <c r="A784">
        <v>1341</v>
      </c>
      <c r="B784" s="4">
        <v>45600.375085336993</v>
      </c>
      <c r="C784" t="s">
        <v>13</v>
      </c>
      <c r="D784" t="s">
        <v>17</v>
      </c>
      <c r="E784" t="s">
        <v>24</v>
      </c>
      <c r="F784">
        <v>3154.06</v>
      </c>
    </row>
    <row r="785" spans="1:6" x14ac:dyDescent="0.35">
      <c r="A785">
        <v>1191</v>
      </c>
      <c r="B785" s="4">
        <v>45600.375085336993</v>
      </c>
      <c r="C785" t="s">
        <v>9</v>
      </c>
      <c r="D785" t="s">
        <v>21</v>
      </c>
      <c r="E785" t="s">
        <v>24</v>
      </c>
      <c r="F785">
        <v>3344.35</v>
      </c>
    </row>
    <row r="786" spans="1:6" x14ac:dyDescent="0.35">
      <c r="A786">
        <v>1120</v>
      </c>
      <c r="B786" s="4">
        <v>45600.375085336993</v>
      </c>
      <c r="C786" t="s">
        <v>12</v>
      </c>
      <c r="D786" t="s">
        <v>20</v>
      </c>
      <c r="E786" t="s">
        <v>24</v>
      </c>
      <c r="F786">
        <v>752.62</v>
      </c>
    </row>
    <row r="787" spans="1:6" x14ac:dyDescent="0.35">
      <c r="A787">
        <v>1266</v>
      </c>
      <c r="B787" s="4">
        <v>45601.375085336993</v>
      </c>
      <c r="C787" t="s">
        <v>12</v>
      </c>
      <c r="D787" t="s">
        <v>22</v>
      </c>
      <c r="E787" t="s">
        <v>24</v>
      </c>
      <c r="F787">
        <v>7578.52</v>
      </c>
    </row>
    <row r="788" spans="1:6" x14ac:dyDescent="0.35">
      <c r="A788">
        <v>1372</v>
      </c>
      <c r="B788" s="4">
        <v>45601.375085336993</v>
      </c>
      <c r="C788" t="s">
        <v>15</v>
      </c>
      <c r="D788" t="s">
        <v>20</v>
      </c>
      <c r="E788" t="s">
        <v>25</v>
      </c>
      <c r="F788">
        <v>4695.47</v>
      </c>
    </row>
    <row r="789" spans="1:6" x14ac:dyDescent="0.35">
      <c r="A789">
        <v>1300</v>
      </c>
      <c r="B789" s="4">
        <v>45601.375085336993</v>
      </c>
      <c r="C789" t="s">
        <v>11</v>
      </c>
      <c r="D789" t="s">
        <v>19</v>
      </c>
      <c r="E789" t="s">
        <v>24</v>
      </c>
      <c r="F789">
        <v>1993.03</v>
      </c>
    </row>
    <row r="790" spans="1:6" x14ac:dyDescent="0.35">
      <c r="A790">
        <v>1062</v>
      </c>
      <c r="B790" s="4">
        <v>45601.375085336993</v>
      </c>
      <c r="C790" t="s">
        <v>8</v>
      </c>
      <c r="D790" t="s">
        <v>18</v>
      </c>
      <c r="E790" t="s">
        <v>25</v>
      </c>
      <c r="F790">
        <v>4892.6499999999996</v>
      </c>
    </row>
    <row r="791" spans="1:6" x14ac:dyDescent="0.35">
      <c r="A791">
        <v>1237</v>
      </c>
      <c r="B791" s="4">
        <v>45602.375085336993</v>
      </c>
      <c r="C791" t="s">
        <v>7</v>
      </c>
      <c r="D791" t="s">
        <v>16</v>
      </c>
      <c r="E791" t="s">
        <v>24</v>
      </c>
      <c r="F791">
        <v>6439.28</v>
      </c>
    </row>
    <row r="792" spans="1:6" x14ac:dyDescent="0.35">
      <c r="A792">
        <v>1028</v>
      </c>
      <c r="B792" s="4">
        <v>45602.375085336993</v>
      </c>
      <c r="C792" t="s">
        <v>13</v>
      </c>
      <c r="D792" t="s">
        <v>22</v>
      </c>
      <c r="E792" t="s">
        <v>25</v>
      </c>
      <c r="F792">
        <v>1339.8</v>
      </c>
    </row>
    <row r="793" spans="1:6" x14ac:dyDescent="0.35">
      <c r="A793">
        <v>1295</v>
      </c>
      <c r="B793" s="4">
        <v>45602.375085336993</v>
      </c>
      <c r="C793" t="s">
        <v>8</v>
      </c>
      <c r="D793" t="s">
        <v>22</v>
      </c>
      <c r="E793" t="s">
        <v>25</v>
      </c>
      <c r="F793">
        <v>3106.78</v>
      </c>
    </row>
    <row r="794" spans="1:6" x14ac:dyDescent="0.35">
      <c r="A794">
        <v>1270</v>
      </c>
      <c r="B794" s="4">
        <v>45603.375085336993</v>
      </c>
      <c r="C794" t="s">
        <v>7</v>
      </c>
      <c r="D794" t="s">
        <v>16</v>
      </c>
      <c r="E794" t="s">
        <v>23</v>
      </c>
      <c r="F794">
        <v>1346.41</v>
      </c>
    </row>
    <row r="795" spans="1:6" x14ac:dyDescent="0.35">
      <c r="A795">
        <v>1058</v>
      </c>
      <c r="B795" s="4">
        <v>45603.375085336993</v>
      </c>
      <c r="C795" t="s">
        <v>11</v>
      </c>
      <c r="D795" t="s">
        <v>22</v>
      </c>
      <c r="E795" t="s">
        <v>23</v>
      </c>
      <c r="F795">
        <v>5042.59</v>
      </c>
    </row>
    <row r="796" spans="1:6" x14ac:dyDescent="0.35">
      <c r="A796">
        <v>1007</v>
      </c>
      <c r="B796" s="4">
        <v>45603.375085336993</v>
      </c>
      <c r="C796" t="s">
        <v>12</v>
      </c>
      <c r="D796" t="s">
        <v>16</v>
      </c>
      <c r="E796" t="s">
        <v>25</v>
      </c>
      <c r="F796">
        <v>5183.55</v>
      </c>
    </row>
    <row r="797" spans="1:6" x14ac:dyDescent="0.35">
      <c r="A797">
        <v>1142</v>
      </c>
      <c r="B797" s="4">
        <v>45603.375085336993</v>
      </c>
      <c r="C797" t="s">
        <v>14</v>
      </c>
      <c r="D797" t="s">
        <v>22</v>
      </c>
      <c r="E797" t="s">
        <v>24</v>
      </c>
      <c r="F797">
        <v>4554.72</v>
      </c>
    </row>
    <row r="798" spans="1:6" x14ac:dyDescent="0.35">
      <c r="A798">
        <v>1134</v>
      </c>
      <c r="B798" s="4">
        <v>45604.375085336993</v>
      </c>
      <c r="C798" t="s">
        <v>9</v>
      </c>
      <c r="D798" t="s">
        <v>16</v>
      </c>
      <c r="E798" t="s">
        <v>25</v>
      </c>
      <c r="F798">
        <v>5609.08</v>
      </c>
    </row>
    <row r="799" spans="1:6" x14ac:dyDescent="0.35">
      <c r="A799">
        <v>1319</v>
      </c>
      <c r="B799" s="4">
        <v>45604.375085336993</v>
      </c>
      <c r="C799" t="s">
        <v>12</v>
      </c>
      <c r="D799" t="s">
        <v>17</v>
      </c>
      <c r="E799" t="s">
        <v>23</v>
      </c>
      <c r="F799">
        <v>2238.34</v>
      </c>
    </row>
    <row r="800" spans="1:6" x14ac:dyDescent="0.35">
      <c r="A800">
        <v>1062</v>
      </c>
      <c r="B800" s="4">
        <v>45604.375085336993</v>
      </c>
      <c r="C800" t="s">
        <v>9</v>
      </c>
      <c r="D800" t="s">
        <v>17</v>
      </c>
      <c r="E800" t="s">
        <v>24</v>
      </c>
      <c r="F800">
        <v>15932.29</v>
      </c>
    </row>
    <row r="801" spans="1:6" x14ac:dyDescent="0.35">
      <c r="A801">
        <v>1161</v>
      </c>
      <c r="B801" s="4">
        <v>45604.375085336993</v>
      </c>
      <c r="C801" t="s">
        <v>13</v>
      </c>
      <c r="D801" t="s">
        <v>16</v>
      </c>
      <c r="E801" t="s">
        <v>23</v>
      </c>
      <c r="F801">
        <v>2546.7600000000002</v>
      </c>
    </row>
    <row r="802" spans="1:6" x14ac:dyDescent="0.35">
      <c r="A802">
        <v>1185</v>
      </c>
      <c r="B802" s="4">
        <v>45606.375085336993</v>
      </c>
      <c r="C802" t="s">
        <v>12</v>
      </c>
      <c r="D802" t="s">
        <v>21</v>
      </c>
      <c r="E802" t="s">
        <v>24</v>
      </c>
      <c r="F802">
        <v>3789.01</v>
      </c>
    </row>
    <row r="803" spans="1:6" x14ac:dyDescent="0.35">
      <c r="A803">
        <v>1033</v>
      </c>
      <c r="B803" s="4">
        <v>45606.375085336993</v>
      </c>
      <c r="C803" t="s">
        <v>8</v>
      </c>
      <c r="D803" t="s">
        <v>21</v>
      </c>
      <c r="E803" t="s">
        <v>23</v>
      </c>
      <c r="F803">
        <v>894.29</v>
      </c>
    </row>
    <row r="804" spans="1:6" x14ac:dyDescent="0.35">
      <c r="A804">
        <v>1383</v>
      </c>
      <c r="B804" s="4">
        <v>45606.375085336993</v>
      </c>
      <c r="C804" t="s">
        <v>9</v>
      </c>
      <c r="D804" t="s">
        <v>17</v>
      </c>
      <c r="E804" t="s">
        <v>25</v>
      </c>
      <c r="F804">
        <v>6245.04</v>
      </c>
    </row>
    <row r="805" spans="1:6" x14ac:dyDescent="0.35">
      <c r="A805">
        <v>1041</v>
      </c>
      <c r="B805" s="4">
        <v>45606.375085336993</v>
      </c>
      <c r="C805" t="s">
        <v>12</v>
      </c>
      <c r="D805" t="s">
        <v>18</v>
      </c>
      <c r="E805" t="s">
        <v>23</v>
      </c>
      <c r="F805">
        <v>5321.98</v>
      </c>
    </row>
    <row r="806" spans="1:6" x14ac:dyDescent="0.35">
      <c r="A806">
        <v>1201</v>
      </c>
      <c r="B806" s="4">
        <v>45606.375085336993</v>
      </c>
      <c r="C806" t="s">
        <v>9</v>
      </c>
      <c r="D806" t="s">
        <v>18</v>
      </c>
      <c r="E806" t="s">
        <v>24</v>
      </c>
      <c r="F806">
        <v>1157.58</v>
      </c>
    </row>
    <row r="807" spans="1:6" x14ac:dyDescent="0.35">
      <c r="A807">
        <v>1288</v>
      </c>
      <c r="B807" s="4">
        <v>45606.375085336993</v>
      </c>
      <c r="C807" t="s">
        <v>6</v>
      </c>
      <c r="D807" t="s">
        <v>22</v>
      </c>
      <c r="E807" t="s">
        <v>25</v>
      </c>
      <c r="F807">
        <v>742.57</v>
      </c>
    </row>
    <row r="808" spans="1:6" x14ac:dyDescent="0.35">
      <c r="A808">
        <v>1069</v>
      </c>
      <c r="B808" s="4">
        <v>45606.375085336993</v>
      </c>
      <c r="C808" t="s">
        <v>9</v>
      </c>
      <c r="D808" t="s">
        <v>18</v>
      </c>
      <c r="E808" t="s">
        <v>23</v>
      </c>
      <c r="F808">
        <v>3797.13</v>
      </c>
    </row>
    <row r="809" spans="1:6" x14ac:dyDescent="0.35">
      <c r="A809">
        <v>1002</v>
      </c>
      <c r="B809" s="4">
        <v>45606.375085336993</v>
      </c>
      <c r="C809" t="s">
        <v>15</v>
      </c>
      <c r="D809" t="s">
        <v>19</v>
      </c>
      <c r="E809" t="s">
        <v>23</v>
      </c>
      <c r="F809">
        <v>2122.46</v>
      </c>
    </row>
    <row r="810" spans="1:6" x14ac:dyDescent="0.35">
      <c r="A810">
        <v>1317</v>
      </c>
      <c r="B810" s="4">
        <v>45607.375085336993</v>
      </c>
      <c r="C810" t="s">
        <v>8</v>
      </c>
      <c r="D810" t="s">
        <v>20</v>
      </c>
      <c r="E810" t="s">
        <v>24</v>
      </c>
      <c r="F810">
        <v>2512.14</v>
      </c>
    </row>
    <row r="811" spans="1:6" x14ac:dyDescent="0.35">
      <c r="A811">
        <v>1150</v>
      </c>
      <c r="B811" s="4">
        <v>45607.375085336993</v>
      </c>
      <c r="C811" t="s">
        <v>15</v>
      </c>
      <c r="D811" t="s">
        <v>22</v>
      </c>
      <c r="E811" t="s">
        <v>24</v>
      </c>
      <c r="F811">
        <v>2926.64</v>
      </c>
    </row>
    <row r="812" spans="1:6" x14ac:dyDescent="0.35">
      <c r="A812">
        <v>1332</v>
      </c>
      <c r="B812" s="4">
        <v>45607.375085336993</v>
      </c>
      <c r="C812" t="s">
        <v>11</v>
      </c>
      <c r="D812" t="s">
        <v>18</v>
      </c>
      <c r="E812" t="s">
        <v>24</v>
      </c>
      <c r="F812">
        <v>1799.63</v>
      </c>
    </row>
    <row r="813" spans="1:6" x14ac:dyDescent="0.35">
      <c r="A813">
        <v>1385</v>
      </c>
      <c r="B813" s="4">
        <v>45607.375085336993</v>
      </c>
      <c r="C813" t="s">
        <v>10</v>
      </c>
      <c r="D813" t="s">
        <v>18</v>
      </c>
      <c r="E813" t="s">
        <v>23</v>
      </c>
      <c r="F813">
        <v>2535.3200000000002</v>
      </c>
    </row>
    <row r="814" spans="1:6" x14ac:dyDescent="0.35">
      <c r="A814">
        <v>1081</v>
      </c>
      <c r="B814" s="4">
        <v>45607.375085336993</v>
      </c>
      <c r="C814" t="s">
        <v>8</v>
      </c>
      <c r="D814" t="s">
        <v>19</v>
      </c>
      <c r="E814" t="s">
        <v>24</v>
      </c>
      <c r="F814">
        <v>7253.78</v>
      </c>
    </row>
    <row r="815" spans="1:6" x14ac:dyDescent="0.35">
      <c r="A815">
        <v>1280</v>
      </c>
      <c r="B815" s="4">
        <v>45608.375085336993</v>
      </c>
      <c r="C815" t="s">
        <v>15</v>
      </c>
      <c r="D815" t="s">
        <v>18</v>
      </c>
      <c r="E815" t="s">
        <v>24</v>
      </c>
      <c r="F815">
        <v>11425.45</v>
      </c>
    </row>
    <row r="816" spans="1:6" x14ac:dyDescent="0.35">
      <c r="A816">
        <v>1260</v>
      </c>
      <c r="B816" s="4">
        <v>45608.375085336993</v>
      </c>
      <c r="C816" t="s">
        <v>13</v>
      </c>
      <c r="D816" t="s">
        <v>18</v>
      </c>
      <c r="E816" t="s">
        <v>24</v>
      </c>
      <c r="F816">
        <v>4703.68</v>
      </c>
    </row>
    <row r="817" spans="1:6" x14ac:dyDescent="0.35">
      <c r="A817">
        <v>1298</v>
      </c>
      <c r="B817" s="4">
        <v>45608.375085336993</v>
      </c>
      <c r="C817" t="s">
        <v>6</v>
      </c>
      <c r="D817" t="s">
        <v>18</v>
      </c>
      <c r="E817" t="s">
        <v>25</v>
      </c>
      <c r="F817">
        <v>4437.08</v>
      </c>
    </row>
    <row r="818" spans="1:6" x14ac:dyDescent="0.35">
      <c r="A818">
        <v>1225</v>
      </c>
      <c r="B818" s="4">
        <v>45608.375085336993</v>
      </c>
      <c r="C818" t="s">
        <v>14</v>
      </c>
      <c r="D818" t="s">
        <v>19</v>
      </c>
      <c r="E818" t="s">
        <v>25</v>
      </c>
      <c r="F818">
        <v>4492.7700000000004</v>
      </c>
    </row>
    <row r="819" spans="1:6" x14ac:dyDescent="0.35">
      <c r="A819">
        <v>1142</v>
      </c>
      <c r="B819" s="4">
        <v>45609.375085336993</v>
      </c>
      <c r="C819" t="s">
        <v>14</v>
      </c>
      <c r="D819" t="s">
        <v>18</v>
      </c>
      <c r="E819" t="s">
        <v>25</v>
      </c>
      <c r="F819">
        <v>2628.67</v>
      </c>
    </row>
    <row r="820" spans="1:6" x14ac:dyDescent="0.35">
      <c r="A820">
        <v>1220</v>
      </c>
      <c r="B820" s="4">
        <v>45609.375085336993</v>
      </c>
      <c r="C820" t="s">
        <v>10</v>
      </c>
      <c r="D820" t="s">
        <v>19</v>
      </c>
      <c r="E820" t="s">
        <v>25</v>
      </c>
      <c r="F820">
        <v>1773.66</v>
      </c>
    </row>
    <row r="821" spans="1:6" x14ac:dyDescent="0.35">
      <c r="A821">
        <v>1011</v>
      </c>
      <c r="B821" s="4">
        <v>45609.375085336993</v>
      </c>
      <c r="C821" t="s">
        <v>15</v>
      </c>
      <c r="D821" t="s">
        <v>19</v>
      </c>
      <c r="E821" t="s">
        <v>25</v>
      </c>
      <c r="F821">
        <v>3815.39</v>
      </c>
    </row>
    <row r="822" spans="1:6" x14ac:dyDescent="0.35">
      <c r="A822">
        <v>1282</v>
      </c>
      <c r="B822" s="4">
        <v>45609.375085336993</v>
      </c>
      <c r="C822" t="s">
        <v>13</v>
      </c>
      <c r="D822" t="s">
        <v>18</v>
      </c>
      <c r="E822" t="s">
        <v>24</v>
      </c>
      <c r="F822">
        <v>6118.54</v>
      </c>
    </row>
    <row r="823" spans="1:6" x14ac:dyDescent="0.35">
      <c r="A823">
        <v>1092</v>
      </c>
      <c r="B823" s="4">
        <v>45610.375085336993</v>
      </c>
      <c r="C823" t="s">
        <v>7</v>
      </c>
      <c r="D823" t="s">
        <v>17</v>
      </c>
      <c r="E823" t="s">
        <v>25</v>
      </c>
      <c r="F823">
        <v>257.26</v>
      </c>
    </row>
    <row r="824" spans="1:6" x14ac:dyDescent="0.35">
      <c r="A824">
        <v>1156</v>
      </c>
      <c r="B824" s="4">
        <v>45610.375085336993</v>
      </c>
      <c r="C824" t="s">
        <v>10</v>
      </c>
      <c r="D824" t="s">
        <v>18</v>
      </c>
      <c r="E824" t="s">
        <v>24</v>
      </c>
      <c r="F824">
        <v>3784.84</v>
      </c>
    </row>
    <row r="825" spans="1:6" x14ac:dyDescent="0.35">
      <c r="A825">
        <v>1320</v>
      </c>
      <c r="B825" s="4">
        <v>45610.375085336993</v>
      </c>
      <c r="C825" t="s">
        <v>6</v>
      </c>
      <c r="D825" t="s">
        <v>17</v>
      </c>
      <c r="E825" t="s">
        <v>25</v>
      </c>
      <c r="F825">
        <v>5249.26</v>
      </c>
    </row>
    <row r="826" spans="1:6" x14ac:dyDescent="0.35">
      <c r="A826">
        <v>1136</v>
      </c>
      <c r="B826" s="4">
        <v>45610.375085336993</v>
      </c>
      <c r="C826" t="s">
        <v>15</v>
      </c>
      <c r="D826" t="s">
        <v>21</v>
      </c>
      <c r="E826" t="s">
        <v>25</v>
      </c>
      <c r="F826">
        <v>2176.58</v>
      </c>
    </row>
    <row r="827" spans="1:6" x14ac:dyDescent="0.35">
      <c r="A827">
        <v>1028</v>
      </c>
      <c r="B827" s="4">
        <v>45610.375085336993</v>
      </c>
      <c r="C827" t="s">
        <v>13</v>
      </c>
      <c r="D827" t="s">
        <v>19</v>
      </c>
      <c r="E827" t="s">
        <v>25</v>
      </c>
      <c r="F827">
        <v>3279.74</v>
      </c>
    </row>
    <row r="828" spans="1:6" x14ac:dyDescent="0.35">
      <c r="A828">
        <v>1036</v>
      </c>
      <c r="B828" s="4">
        <v>45611.375085336993</v>
      </c>
      <c r="C828" t="s">
        <v>12</v>
      </c>
      <c r="D828" t="s">
        <v>21</v>
      </c>
      <c r="E828" t="s">
        <v>23</v>
      </c>
      <c r="F828">
        <v>5896.51</v>
      </c>
    </row>
    <row r="829" spans="1:6" x14ac:dyDescent="0.35">
      <c r="A829">
        <v>1397</v>
      </c>
      <c r="B829" s="4">
        <v>45611.375085336993</v>
      </c>
      <c r="C829" t="s">
        <v>15</v>
      </c>
      <c r="D829" t="s">
        <v>19</v>
      </c>
      <c r="E829" t="s">
        <v>25</v>
      </c>
      <c r="F829">
        <v>3425.9</v>
      </c>
    </row>
    <row r="830" spans="1:6" x14ac:dyDescent="0.35">
      <c r="A830">
        <v>1339</v>
      </c>
      <c r="B830" s="4">
        <v>45611.375085336993</v>
      </c>
      <c r="C830" t="s">
        <v>9</v>
      </c>
      <c r="D830" t="s">
        <v>17</v>
      </c>
      <c r="E830" t="s">
        <v>25</v>
      </c>
      <c r="F830">
        <v>1316.52</v>
      </c>
    </row>
    <row r="831" spans="1:6" x14ac:dyDescent="0.35">
      <c r="A831">
        <v>1266</v>
      </c>
      <c r="B831" s="4">
        <v>45611.375085336993</v>
      </c>
      <c r="C831" t="s">
        <v>8</v>
      </c>
      <c r="D831" t="s">
        <v>17</v>
      </c>
      <c r="E831" t="s">
        <v>23</v>
      </c>
      <c r="F831">
        <v>3628.34</v>
      </c>
    </row>
    <row r="832" spans="1:6" x14ac:dyDescent="0.35">
      <c r="A832">
        <v>1290</v>
      </c>
      <c r="B832" s="4">
        <v>45611.375085336993</v>
      </c>
      <c r="C832" t="s">
        <v>12</v>
      </c>
      <c r="D832" t="s">
        <v>19</v>
      </c>
      <c r="E832" t="s">
        <v>25</v>
      </c>
      <c r="F832">
        <v>4049.3</v>
      </c>
    </row>
    <row r="833" spans="1:6" x14ac:dyDescent="0.35">
      <c r="A833">
        <v>1039</v>
      </c>
      <c r="B833" s="4">
        <v>45612.375085336993</v>
      </c>
      <c r="C833" t="s">
        <v>10</v>
      </c>
      <c r="D833" t="s">
        <v>21</v>
      </c>
      <c r="E833" t="s">
        <v>23</v>
      </c>
      <c r="F833">
        <v>739.92</v>
      </c>
    </row>
    <row r="834" spans="1:6" x14ac:dyDescent="0.35">
      <c r="A834">
        <v>1164</v>
      </c>
      <c r="B834" s="4">
        <v>45612.375085336993</v>
      </c>
      <c r="C834" t="s">
        <v>12</v>
      </c>
      <c r="D834" t="s">
        <v>18</v>
      </c>
      <c r="E834" t="s">
        <v>23</v>
      </c>
      <c r="F834">
        <v>10769.62</v>
      </c>
    </row>
    <row r="835" spans="1:6" x14ac:dyDescent="0.35">
      <c r="A835">
        <v>1187</v>
      </c>
      <c r="B835" s="4">
        <v>45612.375085336993</v>
      </c>
      <c r="C835" t="s">
        <v>14</v>
      </c>
      <c r="D835" t="s">
        <v>16</v>
      </c>
      <c r="E835" t="s">
        <v>25</v>
      </c>
      <c r="F835">
        <v>1977.58</v>
      </c>
    </row>
    <row r="836" spans="1:6" x14ac:dyDescent="0.35">
      <c r="A836">
        <v>1358</v>
      </c>
      <c r="B836" s="4">
        <v>45612.375085336993</v>
      </c>
      <c r="C836" t="s">
        <v>15</v>
      </c>
      <c r="D836" t="s">
        <v>18</v>
      </c>
      <c r="E836" t="s">
        <v>23</v>
      </c>
      <c r="F836">
        <v>2061.9899999999998</v>
      </c>
    </row>
    <row r="837" spans="1:6" x14ac:dyDescent="0.35">
      <c r="A837">
        <v>1285</v>
      </c>
      <c r="B837" s="4">
        <v>45612.375085336993</v>
      </c>
      <c r="C837" t="s">
        <v>12</v>
      </c>
      <c r="D837" t="s">
        <v>19</v>
      </c>
      <c r="E837" t="s">
        <v>23</v>
      </c>
      <c r="F837">
        <v>2165.4499999999998</v>
      </c>
    </row>
    <row r="838" spans="1:6" x14ac:dyDescent="0.35">
      <c r="A838">
        <v>1021</v>
      </c>
      <c r="B838" s="4">
        <v>45612.375085336993</v>
      </c>
      <c r="C838" t="s">
        <v>9</v>
      </c>
      <c r="D838" t="s">
        <v>20</v>
      </c>
      <c r="E838" t="s">
        <v>23</v>
      </c>
      <c r="F838">
        <v>1404.58</v>
      </c>
    </row>
    <row r="839" spans="1:6" x14ac:dyDescent="0.35">
      <c r="A839">
        <v>1177</v>
      </c>
      <c r="B839" s="4">
        <v>45612.375085336993</v>
      </c>
      <c r="C839" t="s">
        <v>9</v>
      </c>
      <c r="D839" t="s">
        <v>18</v>
      </c>
      <c r="E839" t="s">
        <v>24</v>
      </c>
      <c r="F839">
        <v>1170.99</v>
      </c>
    </row>
    <row r="840" spans="1:6" x14ac:dyDescent="0.35">
      <c r="A840">
        <v>1242</v>
      </c>
      <c r="B840" s="4">
        <v>45612.375085336993</v>
      </c>
      <c r="C840" t="s">
        <v>14</v>
      </c>
      <c r="D840" t="s">
        <v>21</v>
      </c>
      <c r="E840" t="s">
        <v>25</v>
      </c>
      <c r="F840">
        <v>5742.32</v>
      </c>
    </row>
    <row r="841" spans="1:6" x14ac:dyDescent="0.35">
      <c r="A841">
        <v>1287</v>
      </c>
      <c r="B841" s="4">
        <v>45613.375085336993</v>
      </c>
      <c r="C841" t="s">
        <v>10</v>
      </c>
      <c r="D841" t="s">
        <v>18</v>
      </c>
      <c r="E841" t="s">
        <v>25</v>
      </c>
      <c r="F841">
        <v>7621.23</v>
      </c>
    </row>
    <row r="842" spans="1:6" x14ac:dyDescent="0.35">
      <c r="A842">
        <v>1267</v>
      </c>
      <c r="B842" s="4">
        <v>45613.375085336993</v>
      </c>
      <c r="C842" t="s">
        <v>12</v>
      </c>
      <c r="D842" t="s">
        <v>20</v>
      </c>
      <c r="E842" t="s">
        <v>23</v>
      </c>
      <c r="F842">
        <v>11942.57</v>
      </c>
    </row>
    <row r="843" spans="1:6" x14ac:dyDescent="0.35">
      <c r="A843">
        <v>1055</v>
      </c>
      <c r="B843" s="4">
        <v>45613.375085336993</v>
      </c>
      <c r="C843" t="s">
        <v>11</v>
      </c>
      <c r="D843" t="s">
        <v>22</v>
      </c>
      <c r="E843" t="s">
        <v>25</v>
      </c>
      <c r="F843">
        <v>1882.44</v>
      </c>
    </row>
    <row r="844" spans="1:6" x14ac:dyDescent="0.35">
      <c r="A844">
        <v>1381</v>
      </c>
      <c r="B844" s="4">
        <v>45614.375085336993</v>
      </c>
      <c r="C844" t="s">
        <v>7</v>
      </c>
      <c r="D844" t="s">
        <v>22</v>
      </c>
      <c r="E844" t="s">
        <v>25</v>
      </c>
      <c r="F844">
        <v>2272.9899999999998</v>
      </c>
    </row>
    <row r="845" spans="1:6" x14ac:dyDescent="0.35">
      <c r="A845">
        <v>1077</v>
      </c>
      <c r="B845" s="4">
        <v>45614.375085336993</v>
      </c>
      <c r="C845" t="s">
        <v>15</v>
      </c>
      <c r="D845" t="s">
        <v>21</v>
      </c>
      <c r="E845" t="s">
        <v>25</v>
      </c>
      <c r="F845">
        <v>7690.7</v>
      </c>
    </row>
    <row r="846" spans="1:6" x14ac:dyDescent="0.35">
      <c r="A846">
        <v>1294</v>
      </c>
      <c r="B846" s="4">
        <v>45615.375085336993</v>
      </c>
      <c r="C846" t="s">
        <v>6</v>
      </c>
      <c r="D846" t="s">
        <v>22</v>
      </c>
      <c r="E846" t="s">
        <v>25</v>
      </c>
      <c r="F846">
        <v>4540.47</v>
      </c>
    </row>
    <row r="847" spans="1:6" x14ac:dyDescent="0.35">
      <c r="A847">
        <v>1096</v>
      </c>
      <c r="B847" s="4">
        <v>45615.375085336993</v>
      </c>
      <c r="C847" t="s">
        <v>7</v>
      </c>
      <c r="D847" t="s">
        <v>22</v>
      </c>
      <c r="E847" t="s">
        <v>24</v>
      </c>
      <c r="F847">
        <v>2439.38</v>
      </c>
    </row>
    <row r="848" spans="1:6" x14ac:dyDescent="0.35">
      <c r="A848">
        <v>1125</v>
      </c>
      <c r="B848" s="4">
        <v>45615.375085336993</v>
      </c>
      <c r="C848" t="s">
        <v>14</v>
      </c>
      <c r="D848" t="s">
        <v>18</v>
      </c>
      <c r="E848" t="s">
        <v>24</v>
      </c>
      <c r="F848">
        <v>6811.5</v>
      </c>
    </row>
    <row r="849" spans="1:6" x14ac:dyDescent="0.35">
      <c r="A849">
        <v>1014</v>
      </c>
      <c r="B849" s="4">
        <v>45615.375085336993</v>
      </c>
      <c r="C849" t="s">
        <v>14</v>
      </c>
      <c r="D849" t="s">
        <v>19</v>
      </c>
      <c r="E849" t="s">
        <v>23</v>
      </c>
      <c r="F849">
        <v>1268.07</v>
      </c>
    </row>
    <row r="850" spans="1:6" x14ac:dyDescent="0.35">
      <c r="A850">
        <v>1034</v>
      </c>
      <c r="B850" s="4">
        <v>45615.375085336993</v>
      </c>
      <c r="C850" t="s">
        <v>6</v>
      </c>
      <c r="D850" t="s">
        <v>17</v>
      </c>
      <c r="E850" t="s">
        <v>25</v>
      </c>
      <c r="F850">
        <v>2740.63</v>
      </c>
    </row>
    <row r="851" spans="1:6" x14ac:dyDescent="0.35">
      <c r="A851">
        <v>1129</v>
      </c>
      <c r="B851" s="4">
        <v>45615.375085336993</v>
      </c>
      <c r="C851" t="s">
        <v>14</v>
      </c>
      <c r="D851" t="s">
        <v>22</v>
      </c>
      <c r="E851" t="s">
        <v>23</v>
      </c>
      <c r="F851">
        <v>3626.37</v>
      </c>
    </row>
    <row r="852" spans="1:6" x14ac:dyDescent="0.35">
      <c r="A852">
        <v>1332</v>
      </c>
      <c r="B852" s="4">
        <v>45615.375085336993</v>
      </c>
      <c r="C852" t="s">
        <v>8</v>
      </c>
      <c r="D852" t="s">
        <v>16</v>
      </c>
      <c r="E852" t="s">
        <v>23</v>
      </c>
      <c r="F852">
        <v>2884.81</v>
      </c>
    </row>
    <row r="853" spans="1:6" x14ac:dyDescent="0.35">
      <c r="A853">
        <v>1303</v>
      </c>
      <c r="B853" s="4">
        <v>45616.375085336993</v>
      </c>
      <c r="C853" t="s">
        <v>13</v>
      </c>
      <c r="D853" t="s">
        <v>19</v>
      </c>
      <c r="E853" t="s">
        <v>25</v>
      </c>
      <c r="F853">
        <v>1632</v>
      </c>
    </row>
    <row r="854" spans="1:6" x14ac:dyDescent="0.35">
      <c r="A854">
        <v>1374</v>
      </c>
      <c r="B854" s="4">
        <v>45616.375085336993</v>
      </c>
      <c r="C854" t="s">
        <v>8</v>
      </c>
      <c r="D854" t="s">
        <v>16</v>
      </c>
      <c r="E854" t="s">
        <v>25</v>
      </c>
      <c r="F854">
        <v>1422.11</v>
      </c>
    </row>
    <row r="855" spans="1:6" x14ac:dyDescent="0.35">
      <c r="A855">
        <v>1159</v>
      </c>
      <c r="B855" s="4">
        <v>45616.375085336993</v>
      </c>
      <c r="C855" t="s">
        <v>15</v>
      </c>
      <c r="D855" t="s">
        <v>17</v>
      </c>
      <c r="E855" t="s">
        <v>25</v>
      </c>
      <c r="F855">
        <v>7412.08</v>
      </c>
    </row>
    <row r="856" spans="1:6" x14ac:dyDescent="0.35">
      <c r="A856">
        <v>1247</v>
      </c>
      <c r="B856" s="4">
        <v>45616.375085336993</v>
      </c>
      <c r="C856" t="s">
        <v>7</v>
      </c>
      <c r="D856" t="s">
        <v>17</v>
      </c>
      <c r="E856" t="s">
        <v>23</v>
      </c>
      <c r="F856">
        <v>1022.58</v>
      </c>
    </row>
    <row r="857" spans="1:6" x14ac:dyDescent="0.35">
      <c r="A857">
        <v>1303</v>
      </c>
      <c r="B857" s="4">
        <v>45616.375085336993</v>
      </c>
      <c r="C857" t="s">
        <v>7</v>
      </c>
      <c r="D857" t="s">
        <v>18</v>
      </c>
      <c r="E857" t="s">
        <v>24</v>
      </c>
      <c r="F857">
        <v>6156.72</v>
      </c>
    </row>
    <row r="858" spans="1:6" x14ac:dyDescent="0.35">
      <c r="A858">
        <v>1330</v>
      </c>
      <c r="B858" s="4">
        <v>45616.375085336993</v>
      </c>
      <c r="C858" t="s">
        <v>8</v>
      </c>
      <c r="D858" t="s">
        <v>16</v>
      </c>
      <c r="E858" t="s">
        <v>24</v>
      </c>
      <c r="F858">
        <v>678.86</v>
      </c>
    </row>
    <row r="859" spans="1:6" x14ac:dyDescent="0.35">
      <c r="A859">
        <v>1228</v>
      </c>
      <c r="B859" s="4">
        <v>45617.375085336993</v>
      </c>
      <c r="C859" t="s">
        <v>15</v>
      </c>
      <c r="D859" t="s">
        <v>20</v>
      </c>
      <c r="E859" t="s">
        <v>25</v>
      </c>
      <c r="F859">
        <v>7981.94</v>
      </c>
    </row>
    <row r="860" spans="1:6" x14ac:dyDescent="0.35">
      <c r="A860">
        <v>1376</v>
      </c>
      <c r="B860" s="4">
        <v>45617.375085336993</v>
      </c>
      <c r="C860" t="s">
        <v>12</v>
      </c>
      <c r="D860" t="s">
        <v>18</v>
      </c>
      <c r="E860" t="s">
        <v>25</v>
      </c>
      <c r="F860">
        <v>6194.19</v>
      </c>
    </row>
    <row r="861" spans="1:6" x14ac:dyDescent="0.35">
      <c r="A861">
        <v>1305</v>
      </c>
      <c r="B861" s="4">
        <v>45617.375085336993</v>
      </c>
      <c r="C861" t="s">
        <v>7</v>
      </c>
      <c r="D861" t="s">
        <v>20</v>
      </c>
      <c r="E861" t="s">
        <v>23</v>
      </c>
      <c r="F861">
        <v>3976.72</v>
      </c>
    </row>
    <row r="862" spans="1:6" x14ac:dyDescent="0.35">
      <c r="A862">
        <v>1199</v>
      </c>
      <c r="B862" s="4">
        <v>45617.375085336993</v>
      </c>
      <c r="C862" t="s">
        <v>11</v>
      </c>
      <c r="D862" t="s">
        <v>21</v>
      </c>
      <c r="E862" t="s">
        <v>23</v>
      </c>
      <c r="F862">
        <v>3470.15</v>
      </c>
    </row>
    <row r="863" spans="1:6" x14ac:dyDescent="0.35">
      <c r="A863">
        <v>1111</v>
      </c>
      <c r="B863" s="4">
        <v>45618.375085336993</v>
      </c>
      <c r="C863" t="s">
        <v>9</v>
      </c>
      <c r="D863" t="s">
        <v>17</v>
      </c>
      <c r="E863" t="s">
        <v>25</v>
      </c>
      <c r="F863">
        <v>7336.48</v>
      </c>
    </row>
    <row r="864" spans="1:6" x14ac:dyDescent="0.35">
      <c r="A864">
        <v>1258</v>
      </c>
      <c r="B864" s="4">
        <v>45618.375085336993</v>
      </c>
      <c r="C864" t="s">
        <v>9</v>
      </c>
      <c r="D864" t="s">
        <v>19</v>
      </c>
      <c r="E864" t="s">
        <v>24</v>
      </c>
      <c r="F864">
        <v>519.32000000000005</v>
      </c>
    </row>
    <row r="865" spans="1:6" x14ac:dyDescent="0.35">
      <c r="A865">
        <v>1058</v>
      </c>
      <c r="B865" s="4">
        <v>45618.375085336993</v>
      </c>
      <c r="C865" t="s">
        <v>15</v>
      </c>
      <c r="D865" t="s">
        <v>21</v>
      </c>
      <c r="E865" t="s">
        <v>25</v>
      </c>
      <c r="F865">
        <v>7424.7</v>
      </c>
    </row>
    <row r="866" spans="1:6" x14ac:dyDescent="0.35">
      <c r="A866">
        <v>1098</v>
      </c>
      <c r="B866" s="4">
        <v>45618.375085336993</v>
      </c>
      <c r="C866" t="s">
        <v>13</v>
      </c>
      <c r="D866" t="s">
        <v>16</v>
      </c>
      <c r="E866" t="s">
        <v>25</v>
      </c>
      <c r="F866">
        <v>2466.12</v>
      </c>
    </row>
    <row r="867" spans="1:6" x14ac:dyDescent="0.35">
      <c r="A867">
        <v>1287</v>
      </c>
      <c r="B867" s="4">
        <v>45619.375085336993</v>
      </c>
      <c r="C867" t="s">
        <v>15</v>
      </c>
      <c r="D867" t="s">
        <v>16</v>
      </c>
      <c r="E867" t="s">
        <v>23</v>
      </c>
      <c r="F867">
        <v>534.17999999999995</v>
      </c>
    </row>
    <row r="868" spans="1:6" x14ac:dyDescent="0.35">
      <c r="A868">
        <v>1194</v>
      </c>
      <c r="B868" s="4">
        <v>45619.375085336993</v>
      </c>
      <c r="C868" t="s">
        <v>15</v>
      </c>
      <c r="D868" t="s">
        <v>22</v>
      </c>
      <c r="E868" t="s">
        <v>23</v>
      </c>
      <c r="F868">
        <v>8717.9699999999993</v>
      </c>
    </row>
    <row r="869" spans="1:6" x14ac:dyDescent="0.35">
      <c r="A869">
        <v>1120</v>
      </c>
      <c r="B869" s="4">
        <v>45619.375085336993</v>
      </c>
      <c r="C869" t="s">
        <v>6</v>
      </c>
      <c r="D869" t="s">
        <v>22</v>
      </c>
      <c r="E869" t="s">
        <v>24</v>
      </c>
      <c r="F869">
        <v>1523.82</v>
      </c>
    </row>
    <row r="870" spans="1:6" x14ac:dyDescent="0.35">
      <c r="A870">
        <v>1251</v>
      </c>
      <c r="B870" s="4">
        <v>45619.375085336993</v>
      </c>
      <c r="C870" t="s">
        <v>7</v>
      </c>
      <c r="D870" t="s">
        <v>17</v>
      </c>
      <c r="E870" t="s">
        <v>24</v>
      </c>
      <c r="F870">
        <v>2990.37</v>
      </c>
    </row>
    <row r="871" spans="1:6" x14ac:dyDescent="0.35">
      <c r="A871">
        <v>1177</v>
      </c>
      <c r="B871" s="4">
        <v>45619.375085336993</v>
      </c>
      <c r="C871" t="s">
        <v>12</v>
      </c>
      <c r="D871" t="s">
        <v>19</v>
      </c>
      <c r="E871" t="s">
        <v>25</v>
      </c>
      <c r="F871">
        <v>3139.82</v>
      </c>
    </row>
    <row r="872" spans="1:6" x14ac:dyDescent="0.35">
      <c r="A872">
        <v>1228</v>
      </c>
      <c r="B872" s="4">
        <v>45619.375085336993</v>
      </c>
      <c r="C872" t="s">
        <v>8</v>
      </c>
      <c r="D872" t="s">
        <v>17</v>
      </c>
      <c r="E872" t="s">
        <v>23</v>
      </c>
      <c r="F872">
        <v>754.86</v>
      </c>
    </row>
    <row r="873" spans="1:6" x14ac:dyDescent="0.35">
      <c r="A873">
        <v>1171</v>
      </c>
      <c r="B873" s="4">
        <v>45620.375085336993</v>
      </c>
      <c r="C873" t="s">
        <v>10</v>
      </c>
      <c r="D873" t="s">
        <v>18</v>
      </c>
      <c r="E873" t="s">
        <v>23</v>
      </c>
      <c r="F873">
        <v>4566.4399999999996</v>
      </c>
    </row>
    <row r="874" spans="1:6" x14ac:dyDescent="0.35">
      <c r="A874">
        <v>1241</v>
      </c>
      <c r="B874" s="4">
        <v>45620.375085336993</v>
      </c>
      <c r="C874" t="s">
        <v>14</v>
      </c>
      <c r="D874" t="s">
        <v>16</v>
      </c>
      <c r="E874" t="s">
        <v>24</v>
      </c>
      <c r="F874">
        <v>5009.4799999999996</v>
      </c>
    </row>
    <row r="875" spans="1:6" x14ac:dyDescent="0.35">
      <c r="A875">
        <v>1246</v>
      </c>
      <c r="B875" s="4">
        <v>45620.375085336993</v>
      </c>
      <c r="C875" t="s">
        <v>6</v>
      </c>
      <c r="D875" t="s">
        <v>22</v>
      </c>
      <c r="E875" t="s">
        <v>23</v>
      </c>
      <c r="F875">
        <v>7422.04</v>
      </c>
    </row>
    <row r="876" spans="1:6" x14ac:dyDescent="0.35">
      <c r="A876">
        <v>1228</v>
      </c>
      <c r="B876" s="4">
        <v>45620.375085336993</v>
      </c>
      <c r="C876" t="s">
        <v>11</v>
      </c>
      <c r="D876" t="s">
        <v>16</v>
      </c>
      <c r="E876" t="s">
        <v>25</v>
      </c>
      <c r="F876">
        <v>1206.4100000000001</v>
      </c>
    </row>
    <row r="877" spans="1:6" x14ac:dyDescent="0.35">
      <c r="A877">
        <v>1236</v>
      </c>
      <c r="B877" s="4">
        <v>45621.375085336993</v>
      </c>
      <c r="C877" t="s">
        <v>10</v>
      </c>
      <c r="D877" t="s">
        <v>16</v>
      </c>
      <c r="E877" t="s">
        <v>23</v>
      </c>
      <c r="F877">
        <v>1791.33</v>
      </c>
    </row>
    <row r="878" spans="1:6" x14ac:dyDescent="0.35">
      <c r="A878">
        <v>1144</v>
      </c>
      <c r="B878" s="4">
        <v>45621.375085336993</v>
      </c>
      <c r="C878" t="s">
        <v>7</v>
      </c>
      <c r="D878" t="s">
        <v>22</v>
      </c>
      <c r="E878" t="s">
        <v>25</v>
      </c>
      <c r="F878">
        <v>9306.23</v>
      </c>
    </row>
    <row r="879" spans="1:6" x14ac:dyDescent="0.35">
      <c r="A879">
        <v>1115</v>
      </c>
      <c r="B879" s="4">
        <v>45622.375085336993</v>
      </c>
      <c r="C879" t="s">
        <v>6</v>
      </c>
      <c r="D879" t="s">
        <v>17</v>
      </c>
      <c r="E879" t="s">
        <v>24</v>
      </c>
      <c r="F879">
        <v>3742.49</v>
      </c>
    </row>
    <row r="880" spans="1:6" x14ac:dyDescent="0.35">
      <c r="A880">
        <v>1287</v>
      </c>
      <c r="B880" s="4">
        <v>45622.375085336993</v>
      </c>
      <c r="C880" t="s">
        <v>15</v>
      </c>
      <c r="D880" t="s">
        <v>18</v>
      </c>
      <c r="E880" t="s">
        <v>23</v>
      </c>
      <c r="F880">
        <v>6038.03</v>
      </c>
    </row>
    <row r="881" spans="1:6" x14ac:dyDescent="0.35">
      <c r="A881">
        <v>1272</v>
      </c>
      <c r="B881" s="4">
        <v>45623.375085336993</v>
      </c>
      <c r="C881" t="s">
        <v>13</v>
      </c>
      <c r="D881" t="s">
        <v>16</v>
      </c>
      <c r="E881" t="s">
        <v>23</v>
      </c>
      <c r="F881">
        <v>7783.95</v>
      </c>
    </row>
    <row r="882" spans="1:6" x14ac:dyDescent="0.35">
      <c r="A882">
        <v>1310</v>
      </c>
      <c r="B882" s="4">
        <v>45623.375085336993</v>
      </c>
      <c r="C882" t="s">
        <v>12</v>
      </c>
      <c r="D882" t="s">
        <v>18</v>
      </c>
      <c r="E882" t="s">
        <v>23</v>
      </c>
      <c r="F882">
        <v>1675.96</v>
      </c>
    </row>
    <row r="883" spans="1:6" x14ac:dyDescent="0.35">
      <c r="A883">
        <v>1055</v>
      </c>
      <c r="B883" s="4">
        <v>45623.375085336993</v>
      </c>
      <c r="C883" t="s">
        <v>12</v>
      </c>
      <c r="D883" t="s">
        <v>22</v>
      </c>
      <c r="E883" t="s">
        <v>24</v>
      </c>
      <c r="F883">
        <v>675.76</v>
      </c>
    </row>
    <row r="884" spans="1:6" x14ac:dyDescent="0.35">
      <c r="A884">
        <v>1380</v>
      </c>
      <c r="B884" s="4">
        <v>45623.375085336993</v>
      </c>
      <c r="C884" t="s">
        <v>11</v>
      </c>
      <c r="D884" t="s">
        <v>16</v>
      </c>
      <c r="E884" t="s">
        <v>23</v>
      </c>
      <c r="F884">
        <v>1074.49</v>
      </c>
    </row>
    <row r="885" spans="1:6" x14ac:dyDescent="0.35">
      <c r="A885">
        <v>1109</v>
      </c>
      <c r="B885" s="4">
        <v>45623.375085336993</v>
      </c>
      <c r="C885" t="s">
        <v>8</v>
      </c>
      <c r="D885" t="s">
        <v>16</v>
      </c>
      <c r="E885" t="s">
        <v>24</v>
      </c>
      <c r="F885">
        <v>2265.7399999999998</v>
      </c>
    </row>
    <row r="886" spans="1:6" x14ac:dyDescent="0.35">
      <c r="A886">
        <v>1160</v>
      </c>
      <c r="B886" s="4">
        <v>45623.375085336993</v>
      </c>
      <c r="C886" t="s">
        <v>8</v>
      </c>
      <c r="D886" t="s">
        <v>19</v>
      </c>
      <c r="E886" t="s">
        <v>24</v>
      </c>
      <c r="F886">
        <v>3640.8</v>
      </c>
    </row>
    <row r="887" spans="1:6" x14ac:dyDescent="0.35">
      <c r="A887">
        <v>1334</v>
      </c>
      <c r="B887" s="4">
        <v>45624.375085336993</v>
      </c>
      <c r="C887" t="s">
        <v>9</v>
      </c>
      <c r="D887" t="s">
        <v>20</v>
      </c>
      <c r="E887" t="s">
        <v>24</v>
      </c>
      <c r="F887">
        <v>1410.09</v>
      </c>
    </row>
    <row r="888" spans="1:6" x14ac:dyDescent="0.35">
      <c r="A888">
        <v>1303</v>
      </c>
      <c r="B888" s="4">
        <v>45624.375085336993</v>
      </c>
      <c r="C888" t="s">
        <v>11</v>
      </c>
      <c r="D888" t="s">
        <v>21</v>
      </c>
      <c r="E888" t="s">
        <v>24</v>
      </c>
      <c r="F888">
        <v>3919.55</v>
      </c>
    </row>
    <row r="889" spans="1:6" x14ac:dyDescent="0.35">
      <c r="A889">
        <v>1241</v>
      </c>
      <c r="B889" s="4">
        <v>45625.375085336993</v>
      </c>
      <c r="C889" t="s">
        <v>6</v>
      </c>
      <c r="D889" t="s">
        <v>20</v>
      </c>
      <c r="E889" t="s">
        <v>23</v>
      </c>
      <c r="F889">
        <v>7056.82</v>
      </c>
    </row>
    <row r="890" spans="1:6" x14ac:dyDescent="0.35">
      <c r="A890">
        <v>1293</v>
      </c>
      <c r="B890" s="4">
        <v>45625.375085336993</v>
      </c>
      <c r="C890" t="s">
        <v>8</v>
      </c>
      <c r="D890" t="s">
        <v>19</v>
      </c>
      <c r="E890" t="s">
        <v>23</v>
      </c>
      <c r="F890">
        <v>1825.44</v>
      </c>
    </row>
    <row r="891" spans="1:6" x14ac:dyDescent="0.35">
      <c r="A891">
        <v>1337</v>
      </c>
      <c r="B891" s="4">
        <v>45625.375085336993</v>
      </c>
      <c r="C891" t="s">
        <v>10</v>
      </c>
      <c r="D891" t="s">
        <v>16</v>
      </c>
      <c r="E891" t="s">
        <v>24</v>
      </c>
      <c r="F891">
        <v>3621.46</v>
      </c>
    </row>
    <row r="892" spans="1:6" x14ac:dyDescent="0.35">
      <c r="A892">
        <v>1052</v>
      </c>
      <c r="B892" s="4">
        <v>45625.375085336993</v>
      </c>
      <c r="C892" t="s">
        <v>8</v>
      </c>
      <c r="D892" t="s">
        <v>16</v>
      </c>
      <c r="E892" t="s">
        <v>24</v>
      </c>
      <c r="F892">
        <v>3029.78</v>
      </c>
    </row>
    <row r="893" spans="1:6" x14ac:dyDescent="0.35">
      <c r="A893">
        <v>1050</v>
      </c>
      <c r="B893" s="4">
        <v>45625.375085336993</v>
      </c>
      <c r="C893" t="s">
        <v>12</v>
      </c>
      <c r="D893" t="s">
        <v>16</v>
      </c>
      <c r="E893" t="s">
        <v>25</v>
      </c>
      <c r="F893">
        <v>8096.75</v>
      </c>
    </row>
    <row r="894" spans="1:6" x14ac:dyDescent="0.35">
      <c r="A894">
        <v>1185</v>
      </c>
      <c r="B894" s="4">
        <v>45626.375085336993</v>
      </c>
      <c r="C894" t="s">
        <v>8</v>
      </c>
      <c r="D894" t="s">
        <v>18</v>
      </c>
      <c r="E894" t="s">
        <v>25</v>
      </c>
      <c r="F894">
        <v>385.78</v>
      </c>
    </row>
    <row r="895" spans="1:6" x14ac:dyDescent="0.35">
      <c r="A895">
        <v>1157</v>
      </c>
      <c r="B895" s="4">
        <v>45626.375085336993</v>
      </c>
      <c r="C895" t="s">
        <v>14</v>
      </c>
      <c r="D895" t="s">
        <v>18</v>
      </c>
      <c r="E895" t="s">
        <v>25</v>
      </c>
      <c r="F895">
        <v>2691.03</v>
      </c>
    </row>
    <row r="896" spans="1:6" x14ac:dyDescent="0.35">
      <c r="A896">
        <v>1221</v>
      </c>
      <c r="B896" s="4">
        <v>45626.375085336993</v>
      </c>
      <c r="C896" t="s">
        <v>8</v>
      </c>
      <c r="D896" t="s">
        <v>20</v>
      </c>
      <c r="E896" t="s">
        <v>23</v>
      </c>
      <c r="F896">
        <v>9673.9500000000007</v>
      </c>
    </row>
    <row r="897" spans="1:6" x14ac:dyDescent="0.35">
      <c r="A897">
        <v>1207</v>
      </c>
      <c r="B897" s="4">
        <v>45627.375085336993</v>
      </c>
      <c r="C897" t="s">
        <v>15</v>
      </c>
      <c r="D897" t="s">
        <v>21</v>
      </c>
      <c r="E897" t="s">
        <v>23</v>
      </c>
      <c r="F897">
        <v>1696.78</v>
      </c>
    </row>
    <row r="898" spans="1:6" x14ac:dyDescent="0.35">
      <c r="A898">
        <v>1175</v>
      </c>
      <c r="B898" s="4">
        <v>45627.375085336993</v>
      </c>
      <c r="C898" t="s">
        <v>15</v>
      </c>
      <c r="D898" t="s">
        <v>20</v>
      </c>
      <c r="E898" t="s">
        <v>23</v>
      </c>
      <c r="F898">
        <v>1227.7</v>
      </c>
    </row>
    <row r="899" spans="1:6" x14ac:dyDescent="0.35">
      <c r="A899">
        <v>1311</v>
      </c>
      <c r="B899" s="4">
        <v>45627.375085336993</v>
      </c>
      <c r="C899" t="s">
        <v>6</v>
      </c>
      <c r="D899" t="s">
        <v>16</v>
      </c>
      <c r="E899" t="s">
        <v>25</v>
      </c>
      <c r="F899">
        <v>7059.31</v>
      </c>
    </row>
    <row r="900" spans="1:6" x14ac:dyDescent="0.35">
      <c r="A900">
        <v>1150</v>
      </c>
      <c r="B900" s="4">
        <v>45628.375085336993</v>
      </c>
      <c r="C900" t="s">
        <v>14</v>
      </c>
      <c r="D900" t="s">
        <v>18</v>
      </c>
      <c r="E900" t="s">
        <v>25</v>
      </c>
      <c r="F900">
        <v>5517.94</v>
      </c>
    </row>
    <row r="901" spans="1:6" x14ac:dyDescent="0.35">
      <c r="A901">
        <v>1230</v>
      </c>
      <c r="B901" s="4">
        <v>45628.375085336993</v>
      </c>
      <c r="C901" t="s">
        <v>11</v>
      </c>
      <c r="D901" t="s">
        <v>17</v>
      </c>
      <c r="E901" t="s">
        <v>24</v>
      </c>
      <c r="F901">
        <v>998.18</v>
      </c>
    </row>
    <row r="902" spans="1:6" x14ac:dyDescent="0.35">
      <c r="A902">
        <v>1068</v>
      </c>
      <c r="B902" s="4">
        <v>45628.375085336993</v>
      </c>
      <c r="C902" t="s">
        <v>14</v>
      </c>
      <c r="D902" t="s">
        <v>21</v>
      </c>
      <c r="E902" t="s">
        <v>24</v>
      </c>
      <c r="F902">
        <v>1304.8599999999999</v>
      </c>
    </row>
    <row r="903" spans="1:6" x14ac:dyDescent="0.35">
      <c r="A903">
        <v>1038</v>
      </c>
      <c r="B903" s="4">
        <v>45628.375085336993</v>
      </c>
      <c r="C903" t="s">
        <v>7</v>
      </c>
      <c r="D903" t="s">
        <v>16</v>
      </c>
      <c r="E903" t="s">
        <v>25</v>
      </c>
      <c r="F903">
        <v>4459.17</v>
      </c>
    </row>
    <row r="904" spans="1:6" x14ac:dyDescent="0.35">
      <c r="A904">
        <v>1227</v>
      </c>
      <c r="B904" s="4">
        <v>45629.375085336993</v>
      </c>
      <c r="C904" t="s">
        <v>12</v>
      </c>
      <c r="D904" t="s">
        <v>17</v>
      </c>
      <c r="E904" t="s">
        <v>25</v>
      </c>
      <c r="F904">
        <v>13304.08</v>
      </c>
    </row>
    <row r="905" spans="1:6" x14ac:dyDescent="0.35">
      <c r="A905">
        <v>1107</v>
      </c>
      <c r="B905" s="4">
        <v>45629.375085336993</v>
      </c>
      <c r="C905" t="s">
        <v>11</v>
      </c>
      <c r="D905" t="s">
        <v>21</v>
      </c>
      <c r="E905" t="s">
        <v>24</v>
      </c>
      <c r="F905">
        <v>3726.17</v>
      </c>
    </row>
    <row r="906" spans="1:6" x14ac:dyDescent="0.35">
      <c r="A906">
        <v>1019</v>
      </c>
      <c r="B906" s="4">
        <v>45630.375085336993</v>
      </c>
      <c r="C906" t="s">
        <v>6</v>
      </c>
      <c r="D906" t="s">
        <v>20</v>
      </c>
      <c r="E906" t="s">
        <v>24</v>
      </c>
      <c r="F906">
        <v>5583.04</v>
      </c>
    </row>
    <row r="907" spans="1:6" x14ac:dyDescent="0.35">
      <c r="A907">
        <v>1355</v>
      </c>
      <c r="B907" s="4">
        <v>45630.375085336993</v>
      </c>
      <c r="C907" t="s">
        <v>15</v>
      </c>
      <c r="D907" t="s">
        <v>22</v>
      </c>
      <c r="E907" t="s">
        <v>25</v>
      </c>
      <c r="F907">
        <v>4308.3900000000003</v>
      </c>
    </row>
    <row r="908" spans="1:6" x14ac:dyDescent="0.35">
      <c r="A908">
        <v>1319</v>
      </c>
      <c r="B908" s="4">
        <v>45630.375085336993</v>
      </c>
      <c r="C908" t="s">
        <v>14</v>
      </c>
      <c r="D908" t="s">
        <v>20</v>
      </c>
      <c r="E908" t="s">
        <v>25</v>
      </c>
      <c r="F908">
        <v>3421.4</v>
      </c>
    </row>
    <row r="909" spans="1:6" x14ac:dyDescent="0.35">
      <c r="A909">
        <v>1303</v>
      </c>
      <c r="B909" s="4">
        <v>45631.375085336993</v>
      </c>
      <c r="C909" t="s">
        <v>12</v>
      </c>
      <c r="D909" t="s">
        <v>18</v>
      </c>
      <c r="E909" t="s">
        <v>24</v>
      </c>
      <c r="F909">
        <v>5299.43</v>
      </c>
    </row>
    <row r="910" spans="1:6" x14ac:dyDescent="0.35">
      <c r="A910">
        <v>1129</v>
      </c>
      <c r="B910" s="4">
        <v>45631.375085336993</v>
      </c>
      <c r="C910" t="s">
        <v>6</v>
      </c>
      <c r="D910" t="s">
        <v>18</v>
      </c>
      <c r="E910" t="s">
        <v>25</v>
      </c>
      <c r="F910">
        <v>2662.28</v>
      </c>
    </row>
    <row r="911" spans="1:6" x14ac:dyDescent="0.35">
      <c r="A911">
        <v>1088</v>
      </c>
      <c r="B911" s="4">
        <v>45631.375085336993</v>
      </c>
      <c r="C911" t="s">
        <v>10</v>
      </c>
      <c r="D911" t="s">
        <v>22</v>
      </c>
      <c r="E911" t="s">
        <v>24</v>
      </c>
      <c r="F911">
        <v>2729.97</v>
      </c>
    </row>
    <row r="912" spans="1:6" x14ac:dyDescent="0.35">
      <c r="A912">
        <v>1037</v>
      </c>
      <c r="B912" s="4">
        <v>45632.375085336993</v>
      </c>
      <c r="C912" t="s">
        <v>14</v>
      </c>
      <c r="D912" t="s">
        <v>17</v>
      </c>
      <c r="E912" t="s">
        <v>24</v>
      </c>
      <c r="F912">
        <v>7225.53</v>
      </c>
    </row>
    <row r="913" spans="1:6" x14ac:dyDescent="0.35">
      <c r="A913">
        <v>1038</v>
      </c>
      <c r="B913" s="4">
        <v>45632.375085336993</v>
      </c>
      <c r="C913" t="s">
        <v>7</v>
      </c>
      <c r="D913" t="s">
        <v>19</v>
      </c>
      <c r="E913" t="s">
        <v>25</v>
      </c>
      <c r="F913">
        <v>8456.2900000000009</v>
      </c>
    </row>
    <row r="914" spans="1:6" x14ac:dyDescent="0.35">
      <c r="A914">
        <v>1386</v>
      </c>
      <c r="B914" s="4">
        <v>45632.375085336993</v>
      </c>
      <c r="C914" t="s">
        <v>11</v>
      </c>
      <c r="D914" t="s">
        <v>16</v>
      </c>
      <c r="E914" t="s">
        <v>25</v>
      </c>
      <c r="F914">
        <v>965.17</v>
      </c>
    </row>
    <row r="915" spans="1:6" x14ac:dyDescent="0.35">
      <c r="A915">
        <v>1153</v>
      </c>
      <c r="B915" s="4">
        <v>45632.375085336993</v>
      </c>
      <c r="C915" t="s">
        <v>12</v>
      </c>
      <c r="D915" t="s">
        <v>22</v>
      </c>
      <c r="E915" t="s">
        <v>25</v>
      </c>
      <c r="F915">
        <v>6279.67</v>
      </c>
    </row>
    <row r="916" spans="1:6" x14ac:dyDescent="0.35">
      <c r="A916">
        <v>1262</v>
      </c>
      <c r="B916" s="4">
        <v>45632.375085336993</v>
      </c>
      <c r="C916" t="s">
        <v>13</v>
      </c>
      <c r="D916" t="s">
        <v>19</v>
      </c>
      <c r="E916" t="s">
        <v>24</v>
      </c>
      <c r="F916">
        <v>3677.45</v>
      </c>
    </row>
    <row r="917" spans="1:6" x14ac:dyDescent="0.35">
      <c r="A917">
        <v>1232</v>
      </c>
      <c r="B917" s="4">
        <v>45632.375085336993</v>
      </c>
      <c r="C917" t="s">
        <v>13</v>
      </c>
      <c r="D917" t="s">
        <v>22</v>
      </c>
      <c r="E917" t="s">
        <v>23</v>
      </c>
      <c r="F917">
        <v>1562.03</v>
      </c>
    </row>
    <row r="918" spans="1:6" x14ac:dyDescent="0.35">
      <c r="A918">
        <v>1225</v>
      </c>
      <c r="B918" s="4">
        <v>45632.375085336993</v>
      </c>
      <c r="C918" t="s">
        <v>11</v>
      </c>
      <c r="D918" t="s">
        <v>17</v>
      </c>
      <c r="E918" t="s">
        <v>24</v>
      </c>
      <c r="F918">
        <v>790.41</v>
      </c>
    </row>
    <row r="919" spans="1:6" x14ac:dyDescent="0.35">
      <c r="A919">
        <v>1064</v>
      </c>
      <c r="B919" s="4">
        <v>45633.375085336993</v>
      </c>
      <c r="C919" t="s">
        <v>13</v>
      </c>
      <c r="D919" t="s">
        <v>18</v>
      </c>
      <c r="E919" t="s">
        <v>25</v>
      </c>
      <c r="F919">
        <v>1968.59</v>
      </c>
    </row>
    <row r="920" spans="1:6" x14ac:dyDescent="0.35">
      <c r="A920">
        <v>1087</v>
      </c>
      <c r="B920" s="4">
        <v>45633.375085336993</v>
      </c>
      <c r="C920" t="s">
        <v>12</v>
      </c>
      <c r="D920" t="s">
        <v>21</v>
      </c>
      <c r="E920" t="s">
        <v>25</v>
      </c>
      <c r="F920">
        <v>4295.3100000000004</v>
      </c>
    </row>
    <row r="921" spans="1:6" x14ac:dyDescent="0.35">
      <c r="A921">
        <v>1141</v>
      </c>
      <c r="B921" s="4">
        <v>45633.375085336993</v>
      </c>
      <c r="C921" t="s">
        <v>10</v>
      </c>
      <c r="D921" t="s">
        <v>19</v>
      </c>
      <c r="E921" t="s">
        <v>24</v>
      </c>
      <c r="F921">
        <v>5087.13</v>
      </c>
    </row>
    <row r="922" spans="1:6" x14ac:dyDescent="0.35">
      <c r="A922">
        <v>1208</v>
      </c>
      <c r="B922" s="4">
        <v>45633.375085336993</v>
      </c>
      <c r="C922" t="s">
        <v>13</v>
      </c>
      <c r="D922" t="s">
        <v>19</v>
      </c>
      <c r="E922" t="s">
        <v>25</v>
      </c>
      <c r="F922">
        <v>5242.17</v>
      </c>
    </row>
    <row r="923" spans="1:6" x14ac:dyDescent="0.35">
      <c r="A923">
        <v>1356</v>
      </c>
      <c r="B923" s="4">
        <v>45633.375085336993</v>
      </c>
      <c r="C923" t="s">
        <v>10</v>
      </c>
      <c r="D923" t="s">
        <v>20</v>
      </c>
      <c r="E923" t="s">
        <v>24</v>
      </c>
      <c r="F923">
        <v>3516.13</v>
      </c>
    </row>
    <row r="924" spans="1:6" x14ac:dyDescent="0.35">
      <c r="A924">
        <v>1219</v>
      </c>
      <c r="B924" s="4">
        <v>45634.375085336993</v>
      </c>
      <c r="C924" t="s">
        <v>8</v>
      </c>
      <c r="D924" t="s">
        <v>16</v>
      </c>
      <c r="E924" t="s">
        <v>24</v>
      </c>
      <c r="F924">
        <v>11051.73</v>
      </c>
    </row>
    <row r="925" spans="1:6" x14ac:dyDescent="0.35">
      <c r="A925">
        <v>1042</v>
      </c>
      <c r="B925" s="4">
        <v>45634.375085336993</v>
      </c>
      <c r="C925" t="s">
        <v>11</v>
      </c>
      <c r="D925" t="s">
        <v>20</v>
      </c>
      <c r="E925" t="s">
        <v>25</v>
      </c>
      <c r="F925">
        <v>4355.17</v>
      </c>
    </row>
    <row r="926" spans="1:6" x14ac:dyDescent="0.35">
      <c r="A926">
        <v>1321</v>
      </c>
      <c r="B926" s="4">
        <v>45635.375085336993</v>
      </c>
      <c r="C926" t="s">
        <v>10</v>
      </c>
      <c r="D926" t="s">
        <v>18</v>
      </c>
      <c r="E926" t="s">
        <v>24</v>
      </c>
      <c r="F926">
        <v>1792.37</v>
      </c>
    </row>
    <row r="927" spans="1:6" x14ac:dyDescent="0.35">
      <c r="A927">
        <v>1136</v>
      </c>
      <c r="B927" s="4">
        <v>45635.375085336993</v>
      </c>
      <c r="C927" t="s">
        <v>8</v>
      </c>
      <c r="D927" t="s">
        <v>22</v>
      </c>
      <c r="E927" t="s">
        <v>24</v>
      </c>
      <c r="F927">
        <v>3754.69</v>
      </c>
    </row>
    <row r="928" spans="1:6" x14ac:dyDescent="0.35">
      <c r="A928">
        <v>1059</v>
      </c>
      <c r="B928" s="4">
        <v>45635.375085336993</v>
      </c>
      <c r="C928" t="s">
        <v>12</v>
      </c>
      <c r="D928" t="s">
        <v>17</v>
      </c>
      <c r="E928" t="s">
        <v>24</v>
      </c>
      <c r="F928">
        <v>707.3</v>
      </c>
    </row>
    <row r="929" spans="1:6" x14ac:dyDescent="0.35">
      <c r="A929">
        <v>1311</v>
      </c>
      <c r="B929" s="4">
        <v>45635.375085336993</v>
      </c>
      <c r="C929" t="s">
        <v>8</v>
      </c>
      <c r="D929" t="s">
        <v>19</v>
      </c>
      <c r="E929" t="s">
        <v>25</v>
      </c>
      <c r="F929">
        <v>3257.06</v>
      </c>
    </row>
    <row r="930" spans="1:6" x14ac:dyDescent="0.35">
      <c r="A930">
        <v>1284</v>
      </c>
      <c r="B930" s="4">
        <v>45636.375085336993</v>
      </c>
      <c r="C930" t="s">
        <v>10</v>
      </c>
      <c r="D930" t="s">
        <v>22</v>
      </c>
      <c r="E930" t="s">
        <v>25</v>
      </c>
      <c r="F930">
        <v>1399.73</v>
      </c>
    </row>
    <row r="931" spans="1:6" x14ac:dyDescent="0.35">
      <c r="A931">
        <v>1364</v>
      </c>
      <c r="B931" s="4">
        <v>45637.375085336993</v>
      </c>
      <c r="C931" t="s">
        <v>13</v>
      </c>
      <c r="D931" t="s">
        <v>21</v>
      </c>
      <c r="E931" t="s">
        <v>24</v>
      </c>
      <c r="F931">
        <v>1052.31</v>
      </c>
    </row>
    <row r="932" spans="1:6" x14ac:dyDescent="0.35">
      <c r="A932">
        <v>1071</v>
      </c>
      <c r="B932" s="4">
        <v>45637.375085336993</v>
      </c>
      <c r="C932" t="s">
        <v>8</v>
      </c>
      <c r="D932" t="s">
        <v>19</v>
      </c>
      <c r="E932" t="s">
        <v>23</v>
      </c>
      <c r="F932">
        <v>3757.85</v>
      </c>
    </row>
    <row r="933" spans="1:6" x14ac:dyDescent="0.35">
      <c r="A933">
        <v>1322</v>
      </c>
      <c r="B933" s="4">
        <v>45637.375085336993</v>
      </c>
      <c r="C933" t="s">
        <v>15</v>
      </c>
      <c r="D933" t="s">
        <v>19</v>
      </c>
      <c r="E933" t="s">
        <v>24</v>
      </c>
      <c r="F933">
        <v>1389.92</v>
      </c>
    </row>
    <row r="934" spans="1:6" x14ac:dyDescent="0.35">
      <c r="A934">
        <v>1367</v>
      </c>
      <c r="B934" s="4">
        <v>45638.375085336993</v>
      </c>
      <c r="C934" t="s">
        <v>8</v>
      </c>
      <c r="D934" t="s">
        <v>17</v>
      </c>
      <c r="E934" t="s">
        <v>23</v>
      </c>
      <c r="F934">
        <v>2147.6999999999998</v>
      </c>
    </row>
    <row r="935" spans="1:6" x14ac:dyDescent="0.35">
      <c r="A935">
        <v>1068</v>
      </c>
      <c r="B935" s="4">
        <v>45638.375085336993</v>
      </c>
      <c r="C935" t="s">
        <v>9</v>
      </c>
      <c r="D935" t="s">
        <v>19</v>
      </c>
      <c r="E935" t="s">
        <v>25</v>
      </c>
      <c r="F935">
        <v>4411.46</v>
      </c>
    </row>
    <row r="936" spans="1:6" x14ac:dyDescent="0.35">
      <c r="A936">
        <v>1136</v>
      </c>
      <c r="B936" s="4">
        <v>45638.375085336993</v>
      </c>
      <c r="C936" t="s">
        <v>7</v>
      </c>
      <c r="D936" t="s">
        <v>20</v>
      </c>
      <c r="E936" t="s">
        <v>25</v>
      </c>
      <c r="F936">
        <v>2027.41</v>
      </c>
    </row>
    <row r="937" spans="1:6" x14ac:dyDescent="0.35">
      <c r="A937">
        <v>1183</v>
      </c>
      <c r="B937" s="4">
        <v>45638.375085336993</v>
      </c>
      <c r="C937" t="s">
        <v>14</v>
      </c>
      <c r="D937" t="s">
        <v>16</v>
      </c>
      <c r="E937" t="s">
        <v>24</v>
      </c>
      <c r="F937">
        <v>5222.54</v>
      </c>
    </row>
    <row r="938" spans="1:6" x14ac:dyDescent="0.35">
      <c r="A938">
        <v>1163</v>
      </c>
      <c r="B938" s="4">
        <v>45638.375085336993</v>
      </c>
      <c r="C938" t="s">
        <v>12</v>
      </c>
      <c r="D938" t="s">
        <v>19</v>
      </c>
      <c r="E938" t="s">
        <v>24</v>
      </c>
      <c r="F938">
        <v>6101.69</v>
      </c>
    </row>
    <row r="939" spans="1:6" x14ac:dyDescent="0.35">
      <c r="A939">
        <v>1059</v>
      </c>
      <c r="B939" s="4">
        <v>45639.375085336993</v>
      </c>
      <c r="C939" t="s">
        <v>9</v>
      </c>
      <c r="D939" t="s">
        <v>21</v>
      </c>
      <c r="E939" t="s">
        <v>23</v>
      </c>
      <c r="F939">
        <v>8057.56</v>
      </c>
    </row>
    <row r="940" spans="1:6" x14ac:dyDescent="0.35">
      <c r="A940">
        <v>1121</v>
      </c>
      <c r="B940" s="4">
        <v>45639.375085336993</v>
      </c>
      <c r="C940" t="s">
        <v>7</v>
      </c>
      <c r="D940" t="s">
        <v>16</v>
      </c>
      <c r="E940" t="s">
        <v>23</v>
      </c>
      <c r="F940">
        <v>1228.21</v>
      </c>
    </row>
    <row r="941" spans="1:6" x14ac:dyDescent="0.35">
      <c r="A941">
        <v>1284</v>
      </c>
      <c r="B941" s="4">
        <v>45639.375085336993</v>
      </c>
      <c r="C941" t="s">
        <v>12</v>
      </c>
      <c r="D941" t="s">
        <v>19</v>
      </c>
      <c r="E941" t="s">
        <v>25</v>
      </c>
      <c r="F941">
        <v>2474.96</v>
      </c>
    </row>
    <row r="942" spans="1:6" x14ac:dyDescent="0.35">
      <c r="A942">
        <v>1191</v>
      </c>
      <c r="B942" s="4">
        <v>45640.375085336993</v>
      </c>
      <c r="C942" t="s">
        <v>14</v>
      </c>
      <c r="D942" t="s">
        <v>21</v>
      </c>
      <c r="E942" t="s">
        <v>25</v>
      </c>
      <c r="F942">
        <v>1527.05</v>
      </c>
    </row>
    <row r="943" spans="1:6" x14ac:dyDescent="0.35">
      <c r="A943">
        <v>1343</v>
      </c>
      <c r="B943" s="4">
        <v>45640.375085336993</v>
      </c>
      <c r="C943" t="s">
        <v>11</v>
      </c>
      <c r="D943" t="s">
        <v>19</v>
      </c>
      <c r="E943" t="s">
        <v>23</v>
      </c>
      <c r="F943">
        <v>5197.47</v>
      </c>
    </row>
    <row r="944" spans="1:6" x14ac:dyDescent="0.35">
      <c r="A944">
        <v>1319</v>
      </c>
      <c r="B944" s="4">
        <v>45640.375085336993</v>
      </c>
      <c r="C944" t="s">
        <v>12</v>
      </c>
      <c r="D944" t="s">
        <v>21</v>
      </c>
      <c r="E944" t="s">
        <v>25</v>
      </c>
      <c r="F944">
        <v>2688</v>
      </c>
    </row>
    <row r="945" spans="1:6" x14ac:dyDescent="0.35">
      <c r="A945">
        <v>1385</v>
      </c>
      <c r="B945" s="4">
        <v>45640.375085336993</v>
      </c>
      <c r="C945" t="s">
        <v>12</v>
      </c>
      <c r="D945" t="s">
        <v>21</v>
      </c>
      <c r="E945" t="s">
        <v>23</v>
      </c>
      <c r="F945">
        <v>3807.56</v>
      </c>
    </row>
    <row r="946" spans="1:6" x14ac:dyDescent="0.35">
      <c r="A946">
        <v>1085</v>
      </c>
      <c r="B946" s="4">
        <v>45640.375085336993</v>
      </c>
      <c r="C946" t="s">
        <v>9</v>
      </c>
      <c r="D946" t="s">
        <v>19</v>
      </c>
      <c r="E946" t="s">
        <v>25</v>
      </c>
      <c r="F946">
        <v>398.99</v>
      </c>
    </row>
    <row r="947" spans="1:6" x14ac:dyDescent="0.35">
      <c r="A947">
        <v>1370</v>
      </c>
      <c r="B947" s="4">
        <v>45640.375085336993</v>
      </c>
      <c r="C947" t="s">
        <v>6</v>
      </c>
      <c r="D947" t="s">
        <v>19</v>
      </c>
      <c r="E947" t="s">
        <v>25</v>
      </c>
      <c r="F947">
        <v>5598.18</v>
      </c>
    </row>
    <row r="948" spans="1:6" x14ac:dyDescent="0.35">
      <c r="A948">
        <v>1204</v>
      </c>
      <c r="B948" s="4">
        <v>45640.375085336993</v>
      </c>
      <c r="C948" t="s">
        <v>10</v>
      </c>
      <c r="D948" t="s">
        <v>17</v>
      </c>
      <c r="E948" t="s">
        <v>23</v>
      </c>
      <c r="F948">
        <v>3352.2</v>
      </c>
    </row>
    <row r="949" spans="1:6" x14ac:dyDescent="0.35">
      <c r="A949">
        <v>1272</v>
      </c>
      <c r="B949" s="4">
        <v>45641.375085336993</v>
      </c>
      <c r="C949" t="s">
        <v>11</v>
      </c>
      <c r="D949" t="s">
        <v>20</v>
      </c>
      <c r="E949" t="s">
        <v>23</v>
      </c>
      <c r="F949">
        <v>3968.97</v>
      </c>
    </row>
    <row r="950" spans="1:6" x14ac:dyDescent="0.35">
      <c r="A950">
        <v>1217</v>
      </c>
      <c r="B950" s="4">
        <v>45641.375085336993</v>
      </c>
      <c r="C950" t="s">
        <v>9</v>
      </c>
      <c r="D950" t="s">
        <v>21</v>
      </c>
      <c r="E950" t="s">
        <v>24</v>
      </c>
      <c r="F950">
        <v>2486.9299999999998</v>
      </c>
    </row>
    <row r="951" spans="1:6" x14ac:dyDescent="0.35">
      <c r="A951">
        <v>1317</v>
      </c>
      <c r="B951" s="4">
        <v>45642.375085336993</v>
      </c>
      <c r="C951" t="s">
        <v>9</v>
      </c>
      <c r="D951" t="s">
        <v>16</v>
      </c>
      <c r="E951" t="s">
        <v>25</v>
      </c>
      <c r="F951">
        <v>7000.92</v>
      </c>
    </row>
    <row r="952" spans="1:6" x14ac:dyDescent="0.35">
      <c r="A952">
        <v>1323</v>
      </c>
      <c r="B952" s="4">
        <v>45642.375085336993</v>
      </c>
      <c r="C952" t="s">
        <v>13</v>
      </c>
      <c r="D952" t="s">
        <v>18</v>
      </c>
      <c r="E952" t="s">
        <v>25</v>
      </c>
      <c r="F952">
        <v>13218.86</v>
      </c>
    </row>
    <row r="953" spans="1:6" x14ac:dyDescent="0.35">
      <c r="A953">
        <v>1309</v>
      </c>
      <c r="B953" s="4">
        <v>45642.375085336993</v>
      </c>
      <c r="C953" t="s">
        <v>12</v>
      </c>
      <c r="D953" t="s">
        <v>16</v>
      </c>
      <c r="E953" t="s">
        <v>24</v>
      </c>
      <c r="F953">
        <v>4859.99</v>
      </c>
    </row>
    <row r="954" spans="1:6" x14ac:dyDescent="0.35">
      <c r="A954">
        <v>1253</v>
      </c>
      <c r="B954" s="4">
        <v>45642.375085336993</v>
      </c>
      <c r="C954" t="s">
        <v>12</v>
      </c>
      <c r="D954" t="s">
        <v>20</v>
      </c>
      <c r="E954" t="s">
        <v>25</v>
      </c>
      <c r="F954">
        <v>4940.2</v>
      </c>
    </row>
    <row r="955" spans="1:6" x14ac:dyDescent="0.35">
      <c r="A955">
        <v>1359</v>
      </c>
      <c r="B955" s="4">
        <v>45642.375085336993</v>
      </c>
      <c r="C955" t="s">
        <v>12</v>
      </c>
      <c r="D955" t="s">
        <v>20</v>
      </c>
      <c r="E955" t="s">
        <v>24</v>
      </c>
      <c r="F955">
        <v>3730.44</v>
      </c>
    </row>
    <row r="956" spans="1:6" x14ac:dyDescent="0.35">
      <c r="A956">
        <v>1231</v>
      </c>
      <c r="B956" s="4">
        <v>45642.375085336993</v>
      </c>
      <c r="C956" t="s">
        <v>12</v>
      </c>
      <c r="D956" t="s">
        <v>20</v>
      </c>
      <c r="E956" t="s">
        <v>24</v>
      </c>
      <c r="F956">
        <v>3987.39</v>
      </c>
    </row>
    <row r="957" spans="1:6" x14ac:dyDescent="0.35">
      <c r="A957">
        <v>1163</v>
      </c>
      <c r="B957" s="4">
        <v>45642.375085336993</v>
      </c>
      <c r="C957" t="s">
        <v>13</v>
      </c>
      <c r="D957" t="s">
        <v>22</v>
      </c>
      <c r="E957" t="s">
        <v>23</v>
      </c>
      <c r="F957">
        <v>5881.66</v>
      </c>
    </row>
    <row r="958" spans="1:6" x14ac:dyDescent="0.35">
      <c r="A958">
        <v>1274</v>
      </c>
      <c r="B958" s="4">
        <v>45642.375085336993</v>
      </c>
      <c r="C958" t="s">
        <v>10</v>
      </c>
      <c r="D958" t="s">
        <v>16</v>
      </c>
      <c r="E958" t="s">
        <v>23</v>
      </c>
      <c r="F958">
        <v>9640.73</v>
      </c>
    </row>
    <row r="959" spans="1:6" x14ac:dyDescent="0.35">
      <c r="A959">
        <v>1048</v>
      </c>
      <c r="B959" s="4">
        <v>45643.375085336993</v>
      </c>
      <c r="C959" t="s">
        <v>15</v>
      </c>
      <c r="D959" t="s">
        <v>22</v>
      </c>
      <c r="E959" t="s">
        <v>24</v>
      </c>
      <c r="F959">
        <v>2676.32</v>
      </c>
    </row>
    <row r="960" spans="1:6" x14ac:dyDescent="0.35">
      <c r="A960">
        <v>1101</v>
      </c>
      <c r="B960" s="4">
        <v>45643.375085336993</v>
      </c>
      <c r="C960" t="s">
        <v>14</v>
      </c>
      <c r="D960" t="s">
        <v>17</v>
      </c>
      <c r="E960" t="s">
        <v>25</v>
      </c>
      <c r="F960">
        <v>2596.81</v>
      </c>
    </row>
    <row r="961" spans="1:6" x14ac:dyDescent="0.35">
      <c r="A961">
        <v>1384</v>
      </c>
      <c r="B961" s="4">
        <v>45643.375085336993</v>
      </c>
      <c r="C961" t="s">
        <v>10</v>
      </c>
      <c r="D961" t="s">
        <v>17</v>
      </c>
      <c r="E961" t="s">
        <v>25</v>
      </c>
      <c r="F961">
        <v>1490.78</v>
      </c>
    </row>
    <row r="962" spans="1:6" x14ac:dyDescent="0.35">
      <c r="A962">
        <v>1011</v>
      </c>
      <c r="B962" s="4">
        <v>45644.375085336993</v>
      </c>
      <c r="C962" t="s">
        <v>13</v>
      </c>
      <c r="D962" t="s">
        <v>22</v>
      </c>
      <c r="E962" t="s">
        <v>25</v>
      </c>
      <c r="F962">
        <v>4048.75</v>
      </c>
    </row>
    <row r="963" spans="1:6" x14ac:dyDescent="0.35">
      <c r="A963">
        <v>1259</v>
      </c>
      <c r="B963" s="4">
        <v>45644.375085336993</v>
      </c>
      <c r="C963" t="s">
        <v>14</v>
      </c>
      <c r="D963" t="s">
        <v>22</v>
      </c>
      <c r="E963" t="s">
        <v>23</v>
      </c>
      <c r="F963">
        <v>3864.77</v>
      </c>
    </row>
    <row r="964" spans="1:6" x14ac:dyDescent="0.35">
      <c r="A964">
        <v>1375</v>
      </c>
      <c r="B964" s="4">
        <v>45644.375085336993</v>
      </c>
      <c r="C964" t="s">
        <v>6</v>
      </c>
      <c r="D964" t="s">
        <v>22</v>
      </c>
      <c r="E964" t="s">
        <v>23</v>
      </c>
      <c r="F964">
        <v>5289.78</v>
      </c>
    </row>
    <row r="965" spans="1:6" x14ac:dyDescent="0.35">
      <c r="A965">
        <v>1382</v>
      </c>
      <c r="B965" s="4">
        <v>45644.375085336993</v>
      </c>
      <c r="C965" t="s">
        <v>6</v>
      </c>
      <c r="D965" t="s">
        <v>17</v>
      </c>
      <c r="E965" t="s">
        <v>25</v>
      </c>
      <c r="F965">
        <v>1461.76</v>
      </c>
    </row>
    <row r="966" spans="1:6" x14ac:dyDescent="0.35">
      <c r="A966">
        <v>1030</v>
      </c>
      <c r="B966" s="4">
        <v>45644.375085336993</v>
      </c>
      <c r="C966" t="s">
        <v>15</v>
      </c>
      <c r="D966" t="s">
        <v>20</v>
      </c>
      <c r="E966" t="s">
        <v>23</v>
      </c>
      <c r="F966">
        <v>6015.21</v>
      </c>
    </row>
    <row r="967" spans="1:6" x14ac:dyDescent="0.35">
      <c r="A967">
        <v>1387</v>
      </c>
      <c r="B967" s="4">
        <v>45644.375085336993</v>
      </c>
      <c r="C967" t="s">
        <v>13</v>
      </c>
      <c r="D967" t="s">
        <v>22</v>
      </c>
      <c r="E967" t="s">
        <v>25</v>
      </c>
      <c r="F967">
        <v>3277.08</v>
      </c>
    </row>
    <row r="968" spans="1:6" x14ac:dyDescent="0.35">
      <c r="A968">
        <v>1006</v>
      </c>
      <c r="B968" s="4">
        <v>45644.375085336993</v>
      </c>
      <c r="C968" t="s">
        <v>11</v>
      </c>
      <c r="D968" t="s">
        <v>19</v>
      </c>
      <c r="E968" t="s">
        <v>24</v>
      </c>
      <c r="F968">
        <v>6102.35</v>
      </c>
    </row>
    <row r="969" spans="1:6" x14ac:dyDescent="0.35">
      <c r="A969">
        <v>1256</v>
      </c>
      <c r="B969" s="4">
        <v>45645.375085336993</v>
      </c>
      <c r="C969" t="s">
        <v>15</v>
      </c>
      <c r="D969" t="s">
        <v>16</v>
      </c>
      <c r="E969" t="s">
        <v>24</v>
      </c>
      <c r="F969">
        <v>2434.0100000000002</v>
      </c>
    </row>
    <row r="970" spans="1:6" x14ac:dyDescent="0.35">
      <c r="A970">
        <v>1308</v>
      </c>
      <c r="B970" s="4">
        <v>45645.375085336993</v>
      </c>
      <c r="C970" t="s">
        <v>9</v>
      </c>
      <c r="D970" t="s">
        <v>18</v>
      </c>
      <c r="E970" t="s">
        <v>25</v>
      </c>
      <c r="F970">
        <v>720.34</v>
      </c>
    </row>
    <row r="971" spans="1:6" x14ac:dyDescent="0.35">
      <c r="A971">
        <v>1232</v>
      </c>
      <c r="B971" s="4">
        <v>45646.375085336993</v>
      </c>
      <c r="C971" t="s">
        <v>8</v>
      </c>
      <c r="D971" t="s">
        <v>20</v>
      </c>
      <c r="E971" t="s">
        <v>23</v>
      </c>
      <c r="F971">
        <v>11256.17</v>
      </c>
    </row>
    <row r="972" spans="1:6" x14ac:dyDescent="0.35">
      <c r="A972">
        <v>1333</v>
      </c>
      <c r="B972" s="4">
        <v>45646.375085336993</v>
      </c>
      <c r="C972" t="s">
        <v>13</v>
      </c>
      <c r="D972" t="s">
        <v>16</v>
      </c>
      <c r="E972" t="s">
        <v>24</v>
      </c>
      <c r="F972">
        <v>3045.13</v>
      </c>
    </row>
    <row r="973" spans="1:6" x14ac:dyDescent="0.35">
      <c r="A973">
        <v>1287</v>
      </c>
      <c r="B973" s="4">
        <v>45647.375085336993</v>
      </c>
      <c r="C973" t="s">
        <v>11</v>
      </c>
      <c r="D973" t="s">
        <v>17</v>
      </c>
      <c r="E973" t="s">
        <v>25</v>
      </c>
      <c r="F973">
        <v>1283.67</v>
      </c>
    </row>
    <row r="974" spans="1:6" x14ac:dyDescent="0.35">
      <c r="A974">
        <v>1089</v>
      </c>
      <c r="B974" s="4">
        <v>45647.375085336993</v>
      </c>
      <c r="C974" t="s">
        <v>12</v>
      </c>
      <c r="D974" t="s">
        <v>17</v>
      </c>
      <c r="E974" t="s">
        <v>24</v>
      </c>
      <c r="F974">
        <v>3026.25</v>
      </c>
    </row>
    <row r="975" spans="1:6" x14ac:dyDescent="0.35">
      <c r="A975">
        <v>1129</v>
      </c>
      <c r="B975" s="4">
        <v>45647.375085336993</v>
      </c>
      <c r="C975" t="s">
        <v>11</v>
      </c>
      <c r="D975" t="s">
        <v>22</v>
      </c>
      <c r="E975" t="s">
        <v>23</v>
      </c>
      <c r="F975">
        <v>3122.17</v>
      </c>
    </row>
    <row r="976" spans="1:6" x14ac:dyDescent="0.35">
      <c r="A976">
        <v>1330</v>
      </c>
      <c r="B976" s="4">
        <v>45648.375085336993</v>
      </c>
      <c r="C976" t="s">
        <v>11</v>
      </c>
      <c r="D976" t="s">
        <v>21</v>
      </c>
      <c r="E976" t="s">
        <v>25</v>
      </c>
      <c r="F976">
        <v>1632.95</v>
      </c>
    </row>
    <row r="977" spans="1:6" x14ac:dyDescent="0.35">
      <c r="A977">
        <v>1049</v>
      </c>
      <c r="B977" s="4">
        <v>45649.375085336993</v>
      </c>
      <c r="C977" t="s">
        <v>12</v>
      </c>
      <c r="D977" t="s">
        <v>17</v>
      </c>
      <c r="E977" t="s">
        <v>25</v>
      </c>
      <c r="F977">
        <v>8078.08</v>
      </c>
    </row>
    <row r="978" spans="1:6" x14ac:dyDescent="0.35">
      <c r="A978">
        <v>1253</v>
      </c>
      <c r="B978" s="4">
        <v>45650.375085336993</v>
      </c>
      <c r="C978" t="s">
        <v>12</v>
      </c>
      <c r="D978" t="s">
        <v>19</v>
      </c>
      <c r="E978" t="s">
        <v>24</v>
      </c>
      <c r="F978">
        <v>5265.08</v>
      </c>
    </row>
    <row r="979" spans="1:6" x14ac:dyDescent="0.35">
      <c r="A979">
        <v>1164</v>
      </c>
      <c r="B979" s="4">
        <v>45650.375085336993</v>
      </c>
      <c r="C979" t="s">
        <v>8</v>
      </c>
      <c r="D979" t="s">
        <v>17</v>
      </c>
      <c r="E979" t="s">
        <v>24</v>
      </c>
      <c r="F979">
        <v>641.62</v>
      </c>
    </row>
    <row r="980" spans="1:6" x14ac:dyDescent="0.35">
      <c r="A980">
        <v>1003</v>
      </c>
      <c r="B980" s="4">
        <v>45650.375085336993</v>
      </c>
      <c r="C980" t="s">
        <v>11</v>
      </c>
      <c r="D980" t="s">
        <v>16</v>
      </c>
      <c r="E980" t="s">
        <v>23</v>
      </c>
      <c r="F980">
        <v>4873.67</v>
      </c>
    </row>
    <row r="981" spans="1:6" x14ac:dyDescent="0.35">
      <c r="A981">
        <v>1133</v>
      </c>
      <c r="B981" s="4">
        <v>45650.375085336993</v>
      </c>
      <c r="C981" t="s">
        <v>14</v>
      </c>
      <c r="D981" t="s">
        <v>20</v>
      </c>
      <c r="E981" t="s">
        <v>23</v>
      </c>
      <c r="F981">
        <v>1519.1</v>
      </c>
    </row>
    <row r="982" spans="1:6" x14ac:dyDescent="0.35">
      <c r="A982">
        <v>1226</v>
      </c>
      <c r="B982" s="4">
        <v>45650.375085336993</v>
      </c>
      <c r="C982" t="s">
        <v>11</v>
      </c>
      <c r="D982" t="s">
        <v>20</v>
      </c>
      <c r="E982" t="s">
        <v>23</v>
      </c>
      <c r="F982">
        <v>4247.1000000000004</v>
      </c>
    </row>
    <row r="983" spans="1:6" x14ac:dyDescent="0.35">
      <c r="A983">
        <v>1307</v>
      </c>
      <c r="B983" s="4">
        <v>45650.375085336993</v>
      </c>
      <c r="C983" t="s">
        <v>15</v>
      </c>
      <c r="D983" t="s">
        <v>17</v>
      </c>
      <c r="E983" t="s">
        <v>23</v>
      </c>
      <c r="F983">
        <v>3312.71</v>
      </c>
    </row>
    <row r="984" spans="1:6" x14ac:dyDescent="0.35">
      <c r="A984">
        <v>1189</v>
      </c>
      <c r="B984" s="4">
        <v>45651.375085336993</v>
      </c>
      <c r="C984" t="s">
        <v>6</v>
      </c>
      <c r="D984" t="s">
        <v>19</v>
      </c>
      <c r="E984" t="s">
        <v>23</v>
      </c>
      <c r="F984">
        <v>3414.28</v>
      </c>
    </row>
    <row r="985" spans="1:6" x14ac:dyDescent="0.35">
      <c r="A985">
        <v>1011</v>
      </c>
      <c r="B985" s="4">
        <v>45651.375085336993</v>
      </c>
      <c r="C985" t="s">
        <v>13</v>
      </c>
      <c r="D985" t="s">
        <v>20</v>
      </c>
      <c r="E985" t="s">
        <v>23</v>
      </c>
      <c r="F985">
        <v>4276.88</v>
      </c>
    </row>
    <row r="986" spans="1:6" x14ac:dyDescent="0.35">
      <c r="A986">
        <v>1127</v>
      </c>
      <c r="B986" s="4">
        <v>45652.375085336993</v>
      </c>
      <c r="C986" t="s">
        <v>15</v>
      </c>
      <c r="D986" t="s">
        <v>17</v>
      </c>
      <c r="E986" t="s">
        <v>24</v>
      </c>
      <c r="F986">
        <v>1940.59</v>
      </c>
    </row>
    <row r="987" spans="1:6" x14ac:dyDescent="0.35">
      <c r="A987">
        <v>1359</v>
      </c>
      <c r="B987" s="4">
        <v>45652.375085336993</v>
      </c>
      <c r="C987" t="s">
        <v>13</v>
      </c>
      <c r="D987" t="s">
        <v>17</v>
      </c>
      <c r="E987" t="s">
        <v>25</v>
      </c>
      <c r="F987">
        <v>4549.16</v>
      </c>
    </row>
    <row r="988" spans="1:6" x14ac:dyDescent="0.35">
      <c r="A988">
        <v>1312</v>
      </c>
      <c r="B988" s="4">
        <v>45652.375085336993</v>
      </c>
      <c r="C988" t="s">
        <v>10</v>
      </c>
      <c r="D988" t="s">
        <v>21</v>
      </c>
      <c r="E988" t="s">
        <v>24</v>
      </c>
      <c r="F988">
        <v>5577.82</v>
      </c>
    </row>
    <row r="989" spans="1:6" x14ac:dyDescent="0.35">
      <c r="A989">
        <v>1076</v>
      </c>
      <c r="B989" s="4">
        <v>45652.375085336993</v>
      </c>
      <c r="C989" t="s">
        <v>12</v>
      </c>
      <c r="D989" t="s">
        <v>17</v>
      </c>
      <c r="E989" t="s">
        <v>24</v>
      </c>
      <c r="F989">
        <v>4797.13</v>
      </c>
    </row>
    <row r="990" spans="1:6" x14ac:dyDescent="0.35">
      <c r="A990">
        <v>1019</v>
      </c>
      <c r="B990" s="4">
        <v>45652.375085336993</v>
      </c>
      <c r="C990" t="s">
        <v>13</v>
      </c>
      <c r="D990" t="s">
        <v>22</v>
      </c>
      <c r="E990" t="s">
        <v>25</v>
      </c>
      <c r="F990">
        <v>989.86</v>
      </c>
    </row>
    <row r="991" spans="1:6" x14ac:dyDescent="0.35">
      <c r="A991">
        <v>1026</v>
      </c>
      <c r="B991" s="4">
        <v>45652.375085336993</v>
      </c>
      <c r="C991" t="s">
        <v>11</v>
      </c>
      <c r="D991" t="s">
        <v>20</v>
      </c>
      <c r="E991" t="s">
        <v>24</v>
      </c>
      <c r="F991">
        <v>7779.86</v>
      </c>
    </row>
    <row r="992" spans="1:6" x14ac:dyDescent="0.35">
      <c r="A992">
        <v>1338</v>
      </c>
      <c r="B992" s="4">
        <v>45652.375085336993</v>
      </c>
      <c r="C992" t="s">
        <v>12</v>
      </c>
      <c r="D992" t="s">
        <v>18</v>
      </c>
      <c r="E992" t="s">
        <v>25</v>
      </c>
      <c r="F992">
        <v>6503.76</v>
      </c>
    </row>
    <row r="993" spans="1:6" x14ac:dyDescent="0.35">
      <c r="A993">
        <v>1195</v>
      </c>
      <c r="B993" s="4">
        <v>45652.375085336993</v>
      </c>
      <c r="C993" t="s">
        <v>7</v>
      </c>
      <c r="D993" t="s">
        <v>21</v>
      </c>
      <c r="E993" t="s">
        <v>24</v>
      </c>
      <c r="F993">
        <v>3338.16</v>
      </c>
    </row>
    <row r="994" spans="1:6" x14ac:dyDescent="0.35">
      <c r="A994">
        <v>1290</v>
      </c>
      <c r="B994" s="4">
        <v>45652.375085336993</v>
      </c>
      <c r="C994" t="s">
        <v>10</v>
      </c>
      <c r="D994" t="s">
        <v>19</v>
      </c>
      <c r="E994" t="s">
        <v>25</v>
      </c>
      <c r="F994">
        <v>5731.09</v>
      </c>
    </row>
    <row r="995" spans="1:6" x14ac:dyDescent="0.35">
      <c r="A995">
        <v>1161</v>
      </c>
      <c r="B995" s="4">
        <v>45653.375085336993</v>
      </c>
      <c r="C995" t="s">
        <v>13</v>
      </c>
      <c r="D995" t="s">
        <v>19</v>
      </c>
      <c r="E995" t="s">
        <v>25</v>
      </c>
      <c r="F995">
        <v>715.9</v>
      </c>
    </row>
    <row r="996" spans="1:6" x14ac:dyDescent="0.35">
      <c r="A996">
        <v>1062</v>
      </c>
      <c r="B996" s="4">
        <v>45653.375085336993</v>
      </c>
      <c r="C996" t="s">
        <v>10</v>
      </c>
      <c r="D996" t="s">
        <v>19</v>
      </c>
      <c r="E996" t="s">
        <v>24</v>
      </c>
      <c r="F996">
        <v>8565.9500000000007</v>
      </c>
    </row>
    <row r="997" spans="1:6" x14ac:dyDescent="0.35">
      <c r="A997">
        <v>1288</v>
      </c>
      <c r="B997" s="4">
        <v>45653.375085336993</v>
      </c>
      <c r="C997" t="s">
        <v>11</v>
      </c>
      <c r="D997" t="s">
        <v>16</v>
      </c>
      <c r="E997" t="s">
        <v>24</v>
      </c>
      <c r="F997">
        <v>1677.47</v>
      </c>
    </row>
    <row r="998" spans="1:6" x14ac:dyDescent="0.35">
      <c r="A998">
        <v>1152</v>
      </c>
      <c r="B998" s="4">
        <v>45653.375085336993</v>
      </c>
      <c r="C998" t="s">
        <v>13</v>
      </c>
      <c r="D998" t="s">
        <v>16</v>
      </c>
      <c r="E998" t="s">
        <v>25</v>
      </c>
      <c r="F998">
        <v>7945.62</v>
      </c>
    </row>
    <row r="999" spans="1:6" x14ac:dyDescent="0.35">
      <c r="A999">
        <v>1310</v>
      </c>
      <c r="B999" s="4">
        <v>45653.375085336993</v>
      </c>
      <c r="C999" t="s">
        <v>11</v>
      </c>
      <c r="D999" t="s">
        <v>18</v>
      </c>
      <c r="E999" t="s">
        <v>24</v>
      </c>
      <c r="F999">
        <v>3226.8</v>
      </c>
    </row>
    <row r="1000" spans="1:6" x14ac:dyDescent="0.35">
      <c r="A1000">
        <v>1077</v>
      </c>
      <c r="B1000" s="4">
        <v>45653.375085336993</v>
      </c>
      <c r="C1000" t="s">
        <v>12</v>
      </c>
      <c r="D1000" t="s">
        <v>18</v>
      </c>
      <c r="E1000" t="s">
        <v>24</v>
      </c>
      <c r="F1000">
        <v>4992.54</v>
      </c>
    </row>
    <row r="1001" spans="1:6" x14ac:dyDescent="0.35">
      <c r="A1001">
        <v>1132</v>
      </c>
      <c r="B1001" s="4">
        <v>45654.375085336993</v>
      </c>
      <c r="C1001" t="s">
        <v>6</v>
      </c>
      <c r="D1001" t="s">
        <v>18</v>
      </c>
      <c r="E1001" t="s">
        <v>24</v>
      </c>
      <c r="F1001">
        <v>5769.52</v>
      </c>
    </row>
    <row r="1002" spans="1:6" x14ac:dyDescent="0.35">
      <c r="A1002">
        <v>1279</v>
      </c>
      <c r="B1002" s="4">
        <v>45655.375085336993</v>
      </c>
      <c r="C1002" t="s">
        <v>8</v>
      </c>
      <c r="D1002" t="s">
        <v>19</v>
      </c>
      <c r="E1002" t="s">
        <v>25</v>
      </c>
      <c r="F1002">
        <v>1018.46</v>
      </c>
    </row>
    <row r="1003" spans="1:6" x14ac:dyDescent="0.35">
      <c r="A1003">
        <v>1101</v>
      </c>
      <c r="B1003" s="4">
        <v>45655.375085336993</v>
      </c>
      <c r="C1003" t="s">
        <v>14</v>
      </c>
      <c r="D1003" t="s">
        <v>16</v>
      </c>
      <c r="E1003" t="s">
        <v>23</v>
      </c>
      <c r="F1003">
        <v>3330.36</v>
      </c>
    </row>
    <row r="1004" spans="1:6" x14ac:dyDescent="0.35">
      <c r="A1004">
        <v>1343</v>
      </c>
      <c r="B1004" s="4">
        <v>45655.375085336993</v>
      </c>
      <c r="C1004" t="s">
        <v>15</v>
      </c>
      <c r="D1004" t="s">
        <v>20</v>
      </c>
      <c r="E1004" t="s">
        <v>23</v>
      </c>
      <c r="F1004">
        <v>1384.75</v>
      </c>
    </row>
    <row r="1005" spans="1:6" x14ac:dyDescent="0.35">
      <c r="A1005">
        <v>1165</v>
      </c>
      <c r="B1005" s="4">
        <v>45655.375085336993</v>
      </c>
      <c r="C1005" t="s">
        <v>6</v>
      </c>
      <c r="D1005" t="s">
        <v>22</v>
      </c>
      <c r="E1005" t="s">
        <v>25</v>
      </c>
      <c r="F1005">
        <v>1533.78</v>
      </c>
    </row>
    <row r="1006" spans="1:6" x14ac:dyDescent="0.35">
      <c r="A1006">
        <v>1278</v>
      </c>
      <c r="B1006" s="4">
        <v>45655.375085336993</v>
      </c>
      <c r="C1006" t="s">
        <v>11</v>
      </c>
      <c r="D1006" t="s">
        <v>19</v>
      </c>
      <c r="E1006" t="s">
        <v>24</v>
      </c>
      <c r="F1006">
        <v>6088.51</v>
      </c>
    </row>
    <row r="1007" spans="1:6" x14ac:dyDescent="0.35">
      <c r="A1007">
        <v>1174</v>
      </c>
      <c r="B1007" s="4">
        <v>45656.375085336993</v>
      </c>
      <c r="C1007" t="s">
        <v>9</v>
      </c>
      <c r="D1007" t="s">
        <v>20</v>
      </c>
      <c r="E1007" t="s">
        <v>25</v>
      </c>
      <c r="F1007">
        <v>3569.86</v>
      </c>
    </row>
    <row r="1008" spans="1:6" x14ac:dyDescent="0.35">
      <c r="A1008">
        <v>1110</v>
      </c>
      <c r="B1008" s="4">
        <v>45656.375085336993</v>
      </c>
      <c r="C1008" t="s">
        <v>11</v>
      </c>
      <c r="D1008" t="s">
        <v>22</v>
      </c>
      <c r="E1008" t="s">
        <v>23</v>
      </c>
      <c r="F1008">
        <v>6269.78</v>
      </c>
    </row>
    <row r="1009" spans="1:6" x14ac:dyDescent="0.35">
      <c r="A1009">
        <v>1316</v>
      </c>
      <c r="B1009" s="4">
        <v>45656.375085336993</v>
      </c>
      <c r="C1009" t="s">
        <v>12</v>
      </c>
      <c r="D1009" t="s">
        <v>21</v>
      </c>
      <c r="E1009" t="s">
        <v>25</v>
      </c>
      <c r="F1009">
        <v>5514.57</v>
      </c>
    </row>
    <row r="1010" spans="1:6" x14ac:dyDescent="0.35">
      <c r="A1010">
        <v>1215</v>
      </c>
      <c r="B1010" s="4">
        <v>45657.375085336993</v>
      </c>
      <c r="C1010" t="s">
        <v>13</v>
      </c>
      <c r="D1010" t="s">
        <v>19</v>
      </c>
      <c r="E1010" t="s">
        <v>25</v>
      </c>
      <c r="F1010">
        <v>494.94</v>
      </c>
    </row>
    <row r="1011" spans="1:6" x14ac:dyDescent="0.35">
      <c r="A1011">
        <v>1380</v>
      </c>
      <c r="B1011" s="4">
        <v>45657.375085336993</v>
      </c>
      <c r="C1011" t="s">
        <v>6</v>
      </c>
      <c r="D1011" t="s">
        <v>17</v>
      </c>
      <c r="E1011" t="s">
        <v>25</v>
      </c>
      <c r="F1011">
        <v>5130.17</v>
      </c>
    </row>
    <row r="1012" spans="1:6" x14ac:dyDescent="0.35">
      <c r="A1012">
        <v>1281</v>
      </c>
      <c r="B1012" s="4">
        <v>45657.375085336993</v>
      </c>
      <c r="C1012" t="s">
        <v>14</v>
      </c>
      <c r="D1012" t="s">
        <v>21</v>
      </c>
      <c r="E1012" t="s">
        <v>23</v>
      </c>
      <c r="F1012">
        <v>4651.29</v>
      </c>
    </row>
    <row r="1013" spans="1:6" x14ac:dyDescent="0.35">
      <c r="A1013">
        <v>1149</v>
      </c>
      <c r="B1013" s="4">
        <v>45657.375085336993</v>
      </c>
      <c r="C1013" t="s">
        <v>6</v>
      </c>
      <c r="D1013" t="s">
        <v>17</v>
      </c>
      <c r="E1013" t="s">
        <v>25</v>
      </c>
      <c r="F1013">
        <v>3094.98</v>
      </c>
    </row>
    <row r="1014" spans="1:6" x14ac:dyDescent="0.35">
      <c r="A1014">
        <v>1235</v>
      </c>
      <c r="B1014" s="4">
        <v>45658.375085336993</v>
      </c>
      <c r="C1014" t="s">
        <v>13</v>
      </c>
      <c r="D1014" t="s">
        <v>21</v>
      </c>
      <c r="E1014" t="s">
        <v>25</v>
      </c>
      <c r="F1014">
        <v>4436.8100000000004</v>
      </c>
    </row>
    <row r="1015" spans="1:6" x14ac:dyDescent="0.35">
      <c r="A1015">
        <v>1381</v>
      </c>
      <c r="B1015" s="4">
        <v>45658.375085336993</v>
      </c>
      <c r="C1015" t="s">
        <v>6</v>
      </c>
      <c r="D1015" t="s">
        <v>21</v>
      </c>
      <c r="E1015" t="s">
        <v>24</v>
      </c>
      <c r="F1015">
        <v>4598.88</v>
      </c>
    </row>
    <row r="1016" spans="1:6" x14ac:dyDescent="0.35">
      <c r="A1016">
        <v>1287</v>
      </c>
      <c r="B1016" s="4">
        <v>45659.375085336993</v>
      </c>
      <c r="C1016" t="s">
        <v>13</v>
      </c>
      <c r="D1016" t="s">
        <v>22</v>
      </c>
      <c r="E1016" t="s">
        <v>25</v>
      </c>
      <c r="F1016">
        <v>6628.2</v>
      </c>
    </row>
    <row r="1017" spans="1:6" x14ac:dyDescent="0.35">
      <c r="A1017">
        <v>1314</v>
      </c>
      <c r="B1017" s="4">
        <v>45659.375085336993</v>
      </c>
      <c r="C1017" t="s">
        <v>6</v>
      </c>
      <c r="D1017" t="s">
        <v>18</v>
      </c>
      <c r="E1017" t="s">
        <v>25</v>
      </c>
      <c r="F1017">
        <v>2719.02</v>
      </c>
    </row>
    <row r="1018" spans="1:6" x14ac:dyDescent="0.35">
      <c r="A1018">
        <v>1264</v>
      </c>
      <c r="B1018" s="4">
        <v>45659.375085336993</v>
      </c>
      <c r="C1018" t="s">
        <v>11</v>
      </c>
      <c r="D1018" t="s">
        <v>18</v>
      </c>
      <c r="E1018" t="s">
        <v>25</v>
      </c>
      <c r="F1018">
        <v>8628.0400000000009</v>
      </c>
    </row>
    <row r="1019" spans="1:6" x14ac:dyDescent="0.35">
      <c r="A1019">
        <v>1196</v>
      </c>
      <c r="B1019" s="4">
        <v>45659.375085336993</v>
      </c>
      <c r="C1019" t="s">
        <v>11</v>
      </c>
      <c r="D1019" t="s">
        <v>18</v>
      </c>
      <c r="E1019" t="s">
        <v>25</v>
      </c>
      <c r="F1019">
        <v>7953.45</v>
      </c>
    </row>
    <row r="1020" spans="1:6" x14ac:dyDescent="0.35">
      <c r="A1020">
        <v>1131</v>
      </c>
      <c r="B1020" s="4">
        <v>45660.375085336993</v>
      </c>
      <c r="C1020" t="s">
        <v>12</v>
      </c>
      <c r="D1020" t="s">
        <v>22</v>
      </c>
      <c r="E1020" t="s">
        <v>23</v>
      </c>
      <c r="F1020">
        <v>1894.72</v>
      </c>
    </row>
    <row r="1021" spans="1:6" x14ac:dyDescent="0.35">
      <c r="A1021">
        <v>1105</v>
      </c>
      <c r="B1021" s="4">
        <v>45660.375085336993</v>
      </c>
      <c r="C1021" t="s">
        <v>11</v>
      </c>
      <c r="D1021" t="s">
        <v>18</v>
      </c>
      <c r="E1021" t="s">
        <v>23</v>
      </c>
      <c r="F1021">
        <v>2473.7800000000002</v>
      </c>
    </row>
    <row r="1022" spans="1:6" x14ac:dyDescent="0.35">
      <c r="A1022">
        <v>1312</v>
      </c>
      <c r="B1022" s="4">
        <v>45660.375085336993</v>
      </c>
      <c r="C1022" t="s">
        <v>12</v>
      </c>
      <c r="D1022" t="s">
        <v>21</v>
      </c>
      <c r="E1022" t="s">
        <v>25</v>
      </c>
      <c r="F1022">
        <v>3684.99</v>
      </c>
    </row>
    <row r="1023" spans="1:6" x14ac:dyDescent="0.35">
      <c r="A1023">
        <v>1369</v>
      </c>
      <c r="B1023" s="4">
        <v>45661.375085336993</v>
      </c>
      <c r="C1023" t="s">
        <v>8</v>
      </c>
      <c r="D1023" t="s">
        <v>17</v>
      </c>
      <c r="E1023" t="s">
        <v>24</v>
      </c>
      <c r="F1023">
        <v>6088.06</v>
      </c>
    </row>
    <row r="1024" spans="1:6" x14ac:dyDescent="0.35">
      <c r="A1024">
        <v>1071</v>
      </c>
      <c r="B1024" s="4">
        <v>45661.375085336993</v>
      </c>
      <c r="C1024" t="s">
        <v>9</v>
      </c>
      <c r="D1024" t="s">
        <v>19</v>
      </c>
      <c r="E1024" t="s">
        <v>25</v>
      </c>
      <c r="F1024">
        <v>1047.77</v>
      </c>
    </row>
    <row r="1025" spans="1:6" x14ac:dyDescent="0.35">
      <c r="A1025">
        <v>1225</v>
      </c>
      <c r="B1025" s="4">
        <v>45661.375085336993</v>
      </c>
      <c r="C1025" t="s">
        <v>12</v>
      </c>
      <c r="D1025" t="s">
        <v>20</v>
      </c>
      <c r="E1025" t="s">
        <v>24</v>
      </c>
      <c r="F1025">
        <v>3022.4</v>
      </c>
    </row>
    <row r="1026" spans="1:6" x14ac:dyDescent="0.35">
      <c r="A1026">
        <v>1328</v>
      </c>
      <c r="B1026" s="4">
        <v>45661.375085336993</v>
      </c>
      <c r="C1026" t="s">
        <v>10</v>
      </c>
      <c r="D1026" t="s">
        <v>17</v>
      </c>
      <c r="E1026" t="s">
        <v>23</v>
      </c>
      <c r="F1026">
        <v>3122.12</v>
      </c>
    </row>
    <row r="1027" spans="1:6" x14ac:dyDescent="0.35">
      <c r="A1027">
        <v>1250</v>
      </c>
      <c r="B1027" s="4">
        <v>45661.375085336993</v>
      </c>
      <c r="C1027" t="s">
        <v>15</v>
      </c>
      <c r="D1027" t="s">
        <v>18</v>
      </c>
      <c r="E1027" t="s">
        <v>24</v>
      </c>
      <c r="F1027">
        <v>6090.06</v>
      </c>
    </row>
    <row r="1028" spans="1:6" x14ac:dyDescent="0.35">
      <c r="A1028">
        <v>1094</v>
      </c>
      <c r="B1028" s="4">
        <v>45662.375085336993</v>
      </c>
      <c r="C1028" t="s">
        <v>7</v>
      </c>
      <c r="D1028" t="s">
        <v>20</v>
      </c>
      <c r="E1028" t="s">
        <v>24</v>
      </c>
      <c r="F1028">
        <v>2023.36</v>
      </c>
    </row>
    <row r="1029" spans="1:6" x14ac:dyDescent="0.35">
      <c r="A1029">
        <v>1360</v>
      </c>
      <c r="B1029" s="4">
        <v>45663.375085336993</v>
      </c>
      <c r="C1029" t="s">
        <v>7</v>
      </c>
      <c r="D1029" t="s">
        <v>22</v>
      </c>
      <c r="E1029" t="s">
        <v>23</v>
      </c>
      <c r="F1029">
        <v>3070.44</v>
      </c>
    </row>
    <row r="1030" spans="1:6" x14ac:dyDescent="0.35">
      <c r="A1030">
        <v>1248</v>
      </c>
      <c r="B1030" s="4">
        <v>45663.375085336993</v>
      </c>
      <c r="C1030" t="s">
        <v>14</v>
      </c>
      <c r="D1030" t="s">
        <v>18</v>
      </c>
      <c r="E1030" t="s">
        <v>25</v>
      </c>
      <c r="F1030">
        <v>3344.96</v>
      </c>
    </row>
    <row r="1031" spans="1:6" x14ac:dyDescent="0.35">
      <c r="A1031">
        <v>1038</v>
      </c>
      <c r="B1031" s="4">
        <v>45663.375085336993</v>
      </c>
      <c r="C1031" t="s">
        <v>13</v>
      </c>
      <c r="D1031" t="s">
        <v>18</v>
      </c>
      <c r="E1031" t="s">
        <v>23</v>
      </c>
      <c r="F1031">
        <v>4450.3599999999997</v>
      </c>
    </row>
    <row r="1032" spans="1:6" x14ac:dyDescent="0.35">
      <c r="A1032">
        <v>1272</v>
      </c>
      <c r="B1032" s="4">
        <v>45663.375085336993</v>
      </c>
      <c r="C1032" t="s">
        <v>10</v>
      </c>
      <c r="D1032" t="s">
        <v>19</v>
      </c>
      <c r="E1032" t="s">
        <v>24</v>
      </c>
      <c r="F1032">
        <v>4878.29</v>
      </c>
    </row>
    <row r="1033" spans="1:6" x14ac:dyDescent="0.35">
      <c r="A1033">
        <v>1323</v>
      </c>
      <c r="B1033" s="4">
        <v>45664.375085336993</v>
      </c>
      <c r="C1033" t="s">
        <v>9</v>
      </c>
      <c r="D1033" t="s">
        <v>22</v>
      </c>
      <c r="E1033" t="s">
        <v>23</v>
      </c>
      <c r="F1033">
        <v>1743.01</v>
      </c>
    </row>
    <row r="1034" spans="1:6" x14ac:dyDescent="0.35">
      <c r="A1034">
        <v>1291</v>
      </c>
      <c r="B1034" s="4">
        <v>45665.375085336993</v>
      </c>
      <c r="C1034" t="s">
        <v>9</v>
      </c>
      <c r="D1034" t="s">
        <v>21</v>
      </c>
      <c r="E1034" t="s">
        <v>25</v>
      </c>
      <c r="F1034">
        <v>3901.12</v>
      </c>
    </row>
    <row r="1035" spans="1:6" x14ac:dyDescent="0.35">
      <c r="A1035">
        <v>1053</v>
      </c>
      <c r="B1035" s="4">
        <v>45665.375085336993</v>
      </c>
      <c r="C1035" t="s">
        <v>9</v>
      </c>
      <c r="D1035" t="s">
        <v>20</v>
      </c>
      <c r="E1035" t="s">
        <v>25</v>
      </c>
      <c r="F1035">
        <v>4230.5600000000004</v>
      </c>
    </row>
    <row r="1036" spans="1:6" x14ac:dyDescent="0.35">
      <c r="A1036">
        <v>1305</v>
      </c>
      <c r="B1036" s="4">
        <v>45665.375085336993</v>
      </c>
      <c r="C1036" t="s">
        <v>7</v>
      </c>
      <c r="D1036" t="s">
        <v>16</v>
      </c>
      <c r="E1036" t="s">
        <v>25</v>
      </c>
      <c r="F1036">
        <v>5360.43</v>
      </c>
    </row>
    <row r="1037" spans="1:6" x14ac:dyDescent="0.35">
      <c r="A1037">
        <v>1239</v>
      </c>
      <c r="B1037" s="4">
        <v>45665.375085336993</v>
      </c>
      <c r="C1037" t="s">
        <v>14</v>
      </c>
      <c r="D1037" t="s">
        <v>22</v>
      </c>
      <c r="E1037" t="s">
        <v>23</v>
      </c>
      <c r="F1037">
        <v>7042.52</v>
      </c>
    </row>
    <row r="1038" spans="1:6" x14ac:dyDescent="0.35">
      <c r="A1038">
        <v>1189</v>
      </c>
      <c r="B1038" s="4">
        <v>45665.375085336993</v>
      </c>
      <c r="C1038" t="s">
        <v>13</v>
      </c>
      <c r="D1038" t="s">
        <v>18</v>
      </c>
      <c r="E1038" t="s">
        <v>23</v>
      </c>
      <c r="F1038">
        <v>1273.2</v>
      </c>
    </row>
    <row r="1039" spans="1:6" x14ac:dyDescent="0.35">
      <c r="A1039">
        <v>1154</v>
      </c>
      <c r="B1039" s="4">
        <v>45665.375085336993</v>
      </c>
      <c r="C1039" t="s">
        <v>7</v>
      </c>
      <c r="D1039" t="s">
        <v>18</v>
      </c>
      <c r="E1039" t="s">
        <v>23</v>
      </c>
      <c r="F1039">
        <v>3460.77</v>
      </c>
    </row>
    <row r="1040" spans="1:6" x14ac:dyDescent="0.35">
      <c r="A1040">
        <v>1331</v>
      </c>
      <c r="B1040" s="4">
        <v>45665.375085336993</v>
      </c>
      <c r="C1040" t="s">
        <v>15</v>
      </c>
      <c r="D1040" t="s">
        <v>18</v>
      </c>
      <c r="E1040" t="s">
        <v>24</v>
      </c>
      <c r="F1040">
        <v>2605.12</v>
      </c>
    </row>
    <row r="1041" spans="1:6" x14ac:dyDescent="0.35">
      <c r="A1041">
        <v>1147</v>
      </c>
      <c r="B1041" s="4">
        <v>45665.375085336993</v>
      </c>
      <c r="C1041" t="s">
        <v>9</v>
      </c>
      <c r="D1041" t="s">
        <v>21</v>
      </c>
      <c r="E1041" t="s">
        <v>24</v>
      </c>
      <c r="F1041">
        <v>609.95000000000005</v>
      </c>
    </row>
    <row r="1042" spans="1:6" x14ac:dyDescent="0.35">
      <c r="A1042">
        <v>1359</v>
      </c>
      <c r="B1042" s="4">
        <v>45666.375085336993</v>
      </c>
      <c r="C1042" t="s">
        <v>15</v>
      </c>
      <c r="D1042" t="s">
        <v>18</v>
      </c>
      <c r="E1042" t="s">
        <v>23</v>
      </c>
      <c r="F1042">
        <v>3433.97</v>
      </c>
    </row>
    <row r="1043" spans="1:6" x14ac:dyDescent="0.35">
      <c r="A1043">
        <v>1355</v>
      </c>
      <c r="B1043" s="4">
        <v>45666.375085336993</v>
      </c>
      <c r="C1043" t="s">
        <v>15</v>
      </c>
      <c r="D1043" t="s">
        <v>18</v>
      </c>
      <c r="E1043" t="s">
        <v>25</v>
      </c>
      <c r="F1043">
        <v>2849.38</v>
      </c>
    </row>
    <row r="1044" spans="1:6" x14ac:dyDescent="0.35">
      <c r="A1044">
        <v>1184</v>
      </c>
      <c r="B1044" s="4">
        <v>45667.375085336993</v>
      </c>
      <c r="C1044" t="s">
        <v>9</v>
      </c>
      <c r="D1044" t="s">
        <v>20</v>
      </c>
      <c r="E1044" t="s">
        <v>23</v>
      </c>
      <c r="F1044">
        <v>2819.78</v>
      </c>
    </row>
    <row r="1045" spans="1:6" x14ac:dyDescent="0.35">
      <c r="A1045">
        <v>1004</v>
      </c>
      <c r="B1045" s="4">
        <v>45667.375085336993</v>
      </c>
      <c r="C1045" t="s">
        <v>10</v>
      </c>
      <c r="D1045" t="s">
        <v>19</v>
      </c>
      <c r="E1045" t="s">
        <v>25</v>
      </c>
      <c r="F1045">
        <v>3397.96</v>
      </c>
    </row>
    <row r="1046" spans="1:6" x14ac:dyDescent="0.35">
      <c r="A1046">
        <v>1245</v>
      </c>
      <c r="B1046" s="4">
        <v>45667.375085336993</v>
      </c>
      <c r="C1046" t="s">
        <v>8</v>
      </c>
      <c r="D1046" t="s">
        <v>18</v>
      </c>
      <c r="E1046" t="s">
        <v>25</v>
      </c>
      <c r="F1046">
        <v>1189.96</v>
      </c>
    </row>
    <row r="1047" spans="1:6" x14ac:dyDescent="0.35">
      <c r="A1047">
        <v>1126</v>
      </c>
      <c r="B1047" s="4">
        <v>45667.375085336993</v>
      </c>
      <c r="C1047" t="s">
        <v>11</v>
      </c>
      <c r="D1047" t="s">
        <v>18</v>
      </c>
      <c r="E1047" t="s">
        <v>23</v>
      </c>
      <c r="F1047">
        <v>1960.75</v>
      </c>
    </row>
    <row r="1048" spans="1:6" x14ac:dyDescent="0.35">
      <c r="A1048">
        <v>1345</v>
      </c>
      <c r="B1048" s="4">
        <v>45667.375085336993</v>
      </c>
      <c r="C1048" t="s">
        <v>15</v>
      </c>
      <c r="D1048" t="s">
        <v>18</v>
      </c>
      <c r="E1048" t="s">
        <v>25</v>
      </c>
      <c r="F1048">
        <v>4594.5</v>
      </c>
    </row>
    <row r="1049" spans="1:6" x14ac:dyDescent="0.35">
      <c r="A1049">
        <v>1171</v>
      </c>
      <c r="B1049" s="4">
        <v>45667.375085336993</v>
      </c>
      <c r="C1049" t="s">
        <v>15</v>
      </c>
      <c r="D1049" t="s">
        <v>20</v>
      </c>
      <c r="E1049" t="s">
        <v>25</v>
      </c>
      <c r="F1049">
        <v>3654.33</v>
      </c>
    </row>
    <row r="1050" spans="1:6" x14ac:dyDescent="0.35">
      <c r="A1050">
        <v>1227</v>
      </c>
      <c r="B1050" s="4">
        <v>45668.375085336993</v>
      </c>
      <c r="C1050" t="s">
        <v>9</v>
      </c>
      <c r="D1050" t="s">
        <v>22</v>
      </c>
      <c r="E1050" t="s">
        <v>23</v>
      </c>
      <c r="F1050">
        <v>4422.93</v>
      </c>
    </row>
    <row r="1051" spans="1:6" x14ac:dyDescent="0.35">
      <c r="A1051">
        <v>1148</v>
      </c>
      <c r="B1051" s="4">
        <v>45668.375085336993</v>
      </c>
      <c r="C1051" t="s">
        <v>15</v>
      </c>
      <c r="D1051" t="s">
        <v>21</v>
      </c>
      <c r="E1051" t="s">
        <v>24</v>
      </c>
      <c r="F1051">
        <v>2974.61</v>
      </c>
    </row>
    <row r="1052" spans="1:6" x14ac:dyDescent="0.35">
      <c r="A1052">
        <v>1183</v>
      </c>
      <c r="B1052" s="4">
        <v>45669.375085336993</v>
      </c>
      <c r="C1052" t="s">
        <v>13</v>
      </c>
      <c r="D1052" t="s">
        <v>21</v>
      </c>
      <c r="E1052" t="s">
        <v>25</v>
      </c>
      <c r="F1052">
        <v>1352.61</v>
      </c>
    </row>
    <row r="1053" spans="1:6" x14ac:dyDescent="0.35">
      <c r="A1053">
        <v>1058</v>
      </c>
      <c r="B1053" s="4">
        <v>45669.375085336993</v>
      </c>
      <c r="C1053" t="s">
        <v>15</v>
      </c>
      <c r="D1053" t="s">
        <v>17</v>
      </c>
      <c r="E1053" t="s">
        <v>24</v>
      </c>
      <c r="F1053">
        <v>1845.43</v>
      </c>
    </row>
    <row r="1054" spans="1:6" x14ac:dyDescent="0.35">
      <c r="A1054">
        <v>1258</v>
      </c>
      <c r="B1054" s="4">
        <v>45669.375085336993</v>
      </c>
      <c r="C1054" t="s">
        <v>11</v>
      </c>
      <c r="D1054" t="s">
        <v>20</v>
      </c>
      <c r="E1054" t="s">
        <v>24</v>
      </c>
      <c r="F1054">
        <v>1506.41</v>
      </c>
    </row>
    <row r="1055" spans="1:6" x14ac:dyDescent="0.35">
      <c r="A1055">
        <v>1109</v>
      </c>
      <c r="B1055" s="4">
        <v>45670.375085336993</v>
      </c>
      <c r="C1055" t="s">
        <v>7</v>
      </c>
      <c r="D1055" t="s">
        <v>21</v>
      </c>
      <c r="E1055" t="s">
        <v>25</v>
      </c>
      <c r="F1055">
        <v>4577.8900000000003</v>
      </c>
    </row>
    <row r="1056" spans="1:6" x14ac:dyDescent="0.35">
      <c r="A1056">
        <v>1201</v>
      </c>
      <c r="B1056" s="4">
        <v>45670.375085336993</v>
      </c>
      <c r="C1056" t="s">
        <v>11</v>
      </c>
      <c r="D1056" t="s">
        <v>18</v>
      </c>
      <c r="E1056" t="s">
        <v>25</v>
      </c>
      <c r="F1056">
        <v>4503.59</v>
      </c>
    </row>
    <row r="1057" spans="1:6" x14ac:dyDescent="0.35">
      <c r="A1057">
        <v>1126</v>
      </c>
      <c r="B1057" s="4">
        <v>45670.375085336993</v>
      </c>
      <c r="C1057" t="s">
        <v>12</v>
      </c>
      <c r="D1057" t="s">
        <v>18</v>
      </c>
      <c r="E1057" t="s">
        <v>23</v>
      </c>
      <c r="F1057">
        <v>4611.7700000000004</v>
      </c>
    </row>
    <row r="1058" spans="1:6" x14ac:dyDescent="0.35">
      <c r="A1058">
        <v>1258</v>
      </c>
      <c r="B1058" s="4">
        <v>45670.375085336993</v>
      </c>
      <c r="C1058" t="s">
        <v>10</v>
      </c>
      <c r="D1058" t="s">
        <v>20</v>
      </c>
      <c r="E1058" t="s">
        <v>25</v>
      </c>
      <c r="F1058">
        <v>3933.23</v>
      </c>
    </row>
    <row r="1059" spans="1:6" x14ac:dyDescent="0.35">
      <c r="A1059">
        <v>1137</v>
      </c>
      <c r="B1059" s="4">
        <v>45670.375085336993</v>
      </c>
      <c r="C1059" t="s">
        <v>7</v>
      </c>
      <c r="D1059" t="s">
        <v>21</v>
      </c>
      <c r="E1059" t="s">
        <v>25</v>
      </c>
      <c r="F1059">
        <v>8026.79</v>
      </c>
    </row>
    <row r="1060" spans="1:6" x14ac:dyDescent="0.35">
      <c r="A1060">
        <v>1111</v>
      </c>
      <c r="B1060" s="4">
        <v>45670.375085336993</v>
      </c>
      <c r="C1060" t="s">
        <v>13</v>
      </c>
      <c r="D1060" t="s">
        <v>16</v>
      </c>
      <c r="E1060" t="s">
        <v>23</v>
      </c>
      <c r="F1060">
        <v>1471.81</v>
      </c>
    </row>
    <row r="1061" spans="1:6" x14ac:dyDescent="0.35">
      <c r="A1061">
        <v>1024</v>
      </c>
      <c r="B1061" s="4">
        <v>45671.375085336993</v>
      </c>
      <c r="C1061" t="s">
        <v>11</v>
      </c>
      <c r="D1061" t="s">
        <v>22</v>
      </c>
      <c r="E1061" t="s">
        <v>23</v>
      </c>
      <c r="F1061">
        <v>2894.9</v>
      </c>
    </row>
    <row r="1062" spans="1:6" x14ac:dyDescent="0.35">
      <c r="A1062">
        <v>1241</v>
      </c>
      <c r="B1062" s="4">
        <v>45671.375085336993</v>
      </c>
      <c r="C1062" t="s">
        <v>8</v>
      </c>
      <c r="D1062" t="s">
        <v>21</v>
      </c>
      <c r="E1062" t="s">
        <v>23</v>
      </c>
      <c r="F1062">
        <v>2493.69</v>
      </c>
    </row>
    <row r="1063" spans="1:6" x14ac:dyDescent="0.35">
      <c r="A1063">
        <v>1209</v>
      </c>
      <c r="B1063" s="4">
        <v>45671.375085336993</v>
      </c>
      <c r="C1063" t="s">
        <v>6</v>
      </c>
      <c r="D1063" t="s">
        <v>20</v>
      </c>
      <c r="E1063" t="s">
        <v>23</v>
      </c>
      <c r="F1063">
        <v>2780.55</v>
      </c>
    </row>
    <row r="1064" spans="1:6" x14ac:dyDescent="0.35">
      <c r="A1064">
        <v>1323</v>
      </c>
      <c r="B1064" s="4">
        <v>45671.375085336993</v>
      </c>
      <c r="C1064" t="s">
        <v>13</v>
      </c>
      <c r="D1064" t="s">
        <v>22</v>
      </c>
      <c r="E1064" t="s">
        <v>23</v>
      </c>
      <c r="F1064">
        <v>6451.87</v>
      </c>
    </row>
    <row r="1065" spans="1:6" x14ac:dyDescent="0.35">
      <c r="A1065">
        <v>1053</v>
      </c>
      <c r="B1065" s="4">
        <v>45672.375085336993</v>
      </c>
      <c r="C1065" t="s">
        <v>9</v>
      </c>
      <c r="D1065" t="s">
        <v>18</v>
      </c>
      <c r="E1065" t="s">
        <v>23</v>
      </c>
      <c r="F1065">
        <v>3592.73</v>
      </c>
    </row>
    <row r="1066" spans="1:6" x14ac:dyDescent="0.35">
      <c r="A1066">
        <v>1089</v>
      </c>
      <c r="B1066" s="4">
        <v>45672.375085336993</v>
      </c>
      <c r="C1066" t="s">
        <v>10</v>
      </c>
      <c r="D1066" t="s">
        <v>20</v>
      </c>
      <c r="E1066" t="s">
        <v>24</v>
      </c>
      <c r="F1066">
        <v>5079.91</v>
      </c>
    </row>
    <row r="1067" spans="1:6" x14ac:dyDescent="0.35">
      <c r="A1067">
        <v>1315</v>
      </c>
      <c r="B1067" s="4">
        <v>45672.375085336993</v>
      </c>
      <c r="C1067" t="s">
        <v>15</v>
      </c>
      <c r="D1067" t="s">
        <v>16</v>
      </c>
      <c r="E1067" t="s">
        <v>23</v>
      </c>
      <c r="F1067">
        <v>4372.47</v>
      </c>
    </row>
    <row r="1068" spans="1:6" x14ac:dyDescent="0.35">
      <c r="A1068">
        <v>1307</v>
      </c>
      <c r="B1068" s="4">
        <v>45673.375085336993</v>
      </c>
      <c r="C1068" t="s">
        <v>14</v>
      </c>
      <c r="D1068" t="s">
        <v>16</v>
      </c>
      <c r="E1068" t="s">
        <v>25</v>
      </c>
      <c r="F1068">
        <v>5562.98</v>
      </c>
    </row>
    <row r="1069" spans="1:6" x14ac:dyDescent="0.35">
      <c r="A1069">
        <v>1159</v>
      </c>
      <c r="B1069" s="4">
        <v>45673.375085336993</v>
      </c>
      <c r="C1069" t="s">
        <v>10</v>
      </c>
      <c r="D1069" t="s">
        <v>21</v>
      </c>
      <c r="E1069" t="s">
        <v>24</v>
      </c>
      <c r="F1069">
        <v>6171.15</v>
      </c>
    </row>
    <row r="1070" spans="1:6" x14ac:dyDescent="0.35">
      <c r="A1070">
        <v>1146</v>
      </c>
      <c r="B1070" s="4">
        <v>45673.375085336993</v>
      </c>
      <c r="C1070" t="s">
        <v>13</v>
      </c>
      <c r="D1070" t="s">
        <v>20</v>
      </c>
      <c r="E1070" t="s">
        <v>25</v>
      </c>
      <c r="F1070">
        <v>9617.76</v>
      </c>
    </row>
    <row r="1071" spans="1:6" x14ac:dyDescent="0.35">
      <c r="A1071">
        <v>1393</v>
      </c>
      <c r="B1071" s="4">
        <v>45673.375085336993</v>
      </c>
      <c r="C1071" t="s">
        <v>8</v>
      </c>
      <c r="D1071" t="s">
        <v>21</v>
      </c>
      <c r="E1071" t="s">
        <v>24</v>
      </c>
      <c r="F1071">
        <v>2786.9</v>
      </c>
    </row>
    <row r="1072" spans="1:6" x14ac:dyDescent="0.35">
      <c r="A1072">
        <v>1141</v>
      </c>
      <c r="B1072" s="4">
        <v>45673.375085336993</v>
      </c>
      <c r="C1072" t="s">
        <v>7</v>
      </c>
      <c r="D1072" t="s">
        <v>22</v>
      </c>
      <c r="E1072" t="s">
        <v>25</v>
      </c>
      <c r="F1072">
        <v>686.24</v>
      </c>
    </row>
    <row r="1073" spans="1:6" x14ac:dyDescent="0.35">
      <c r="A1073">
        <v>1262</v>
      </c>
      <c r="B1073" s="4">
        <v>45673.375085336993</v>
      </c>
      <c r="C1073" t="s">
        <v>9</v>
      </c>
      <c r="D1073" t="s">
        <v>19</v>
      </c>
      <c r="E1073" t="s">
        <v>25</v>
      </c>
      <c r="F1073">
        <v>2907.7</v>
      </c>
    </row>
    <row r="1074" spans="1:6" x14ac:dyDescent="0.35">
      <c r="A1074">
        <v>1100</v>
      </c>
      <c r="B1074" s="4">
        <v>45673.375085336993</v>
      </c>
      <c r="C1074" t="s">
        <v>13</v>
      </c>
      <c r="D1074" t="s">
        <v>19</v>
      </c>
      <c r="E1074" t="s">
        <v>24</v>
      </c>
      <c r="F1074">
        <v>874.32</v>
      </c>
    </row>
    <row r="1075" spans="1:6" x14ac:dyDescent="0.35">
      <c r="A1075">
        <v>1129</v>
      </c>
      <c r="B1075" s="4">
        <v>45674.375085336993</v>
      </c>
      <c r="C1075" t="s">
        <v>10</v>
      </c>
      <c r="D1075" t="s">
        <v>18</v>
      </c>
      <c r="E1075" t="s">
        <v>23</v>
      </c>
      <c r="F1075">
        <v>7820.26</v>
      </c>
    </row>
    <row r="1076" spans="1:6" x14ac:dyDescent="0.35">
      <c r="A1076">
        <v>1358</v>
      </c>
      <c r="B1076" s="4">
        <v>45674.375085336993</v>
      </c>
      <c r="C1076" t="s">
        <v>10</v>
      </c>
      <c r="D1076" t="s">
        <v>22</v>
      </c>
      <c r="E1076" t="s">
        <v>25</v>
      </c>
      <c r="F1076">
        <v>4392.25</v>
      </c>
    </row>
    <row r="1077" spans="1:6" x14ac:dyDescent="0.35">
      <c r="A1077">
        <v>1345</v>
      </c>
      <c r="B1077" s="4">
        <v>45674.375085336993</v>
      </c>
      <c r="C1077" t="s">
        <v>6</v>
      </c>
      <c r="D1077" t="s">
        <v>16</v>
      </c>
      <c r="E1077" t="s">
        <v>23</v>
      </c>
      <c r="F1077">
        <v>4313.76</v>
      </c>
    </row>
    <row r="1078" spans="1:6" x14ac:dyDescent="0.35">
      <c r="A1078">
        <v>1003</v>
      </c>
      <c r="B1078" s="4">
        <v>45674.375085336993</v>
      </c>
      <c r="C1078" t="s">
        <v>9</v>
      </c>
      <c r="D1078" t="s">
        <v>16</v>
      </c>
      <c r="E1078" t="s">
        <v>23</v>
      </c>
      <c r="F1078">
        <v>4629.1400000000003</v>
      </c>
    </row>
    <row r="1079" spans="1:6" x14ac:dyDescent="0.35">
      <c r="A1079">
        <v>1358</v>
      </c>
      <c r="B1079" s="4">
        <v>45674.375085336993</v>
      </c>
      <c r="C1079" t="s">
        <v>7</v>
      </c>
      <c r="D1079" t="s">
        <v>16</v>
      </c>
      <c r="E1079" t="s">
        <v>24</v>
      </c>
      <c r="F1079">
        <v>3663.42</v>
      </c>
    </row>
    <row r="1080" spans="1:6" x14ac:dyDescent="0.35">
      <c r="A1080">
        <v>1007</v>
      </c>
      <c r="B1080" s="4">
        <v>45675.375085336993</v>
      </c>
      <c r="C1080" t="s">
        <v>9</v>
      </c>
      <c r="D1080" t="s">
        <v>17</v>
      </c>
      <c r="E1080" t="s">
        <v>23</v>
      </c>
      <c r="F1080">
        <v>5810.42</v>
      </c>
    </row>
    <row r="1081" spans="1:6" x14ac:dyDescent="0.35">
      <c r="A1081">
        <v>1086</v>
      </c>
      <c r="B1081" s="4">
        <v>45675.375085336993</v>
      </c>
      <c r="C1081" t="s">
        <v>13</v>
      </c>
      <c r="D1081" t="s">
        <v>21</v>
      </c>
      <c r="E1081" t="s">
        <v>23</v>
      </c>
      <c r="F1081">
        <v>2160.6999999999998</v>
      </c>
    </row>
    <row r="1082" spans="1:6" x14ac:dyDescent="0.35">
      <c r="A1082">
        <v>1279</v>
      </c>
      <c r="B1082" s="4">
        <v>45675.375085336993</v>
      </c>
      <c r="C1082" t="s">
        <v>7</v>
      </c>
      <c r="D1082" t="s">
        <v>20</v>
      </c>
      <c r="E1082" t="s">
        <v>25</v>
      </c>
      <c r="F1082">
        <v>2387.89</v>
      </c>
    </row>
    <row r="1083" spans="1:6" x14ac:dyDescent="0.35">
      <c r="A1083">
        <v>1363</v>
      </c>
      <c r="B1083" s="4">
        <v>45675.375085336993</v>
      </c>
      <c r="C1083" t="s">
        <v>6</v>
      </c>
      <c r="D1083" t="s">
        <v>18</v>
      </c>
      <c r="E1083" t="s">
        <v>23</v>
      </c>
      <c r="F1083">
        <v>3425.83</v>
      </c>
    </row>
    <row r="1084" spans="1:6" x14ac:dyDescent="0.35">
      <c r="A1084">
        <v>1348</v>
      </c>
      <c r="B1084" s="4">
        <v>45675.375085336993</v>
      </c>
      <c r="C1084" t="s">
        <v>15</v>
      </c>
      <c r="D1084" t="s">
        <v>18</v>
      </c>
      <c r="E1084" t="s">
        <v>24</v>
      </c>
      <c r="F1084">
        <v>4533.59</v>
      </c>
    </row>
    <row r="1085" spans="1:6" x14ac:dyDescent="0.35">
      <c r="A1085">
        <v>1375</v>
      </c>
      <c r="B1085" s="4">
        <v>45676.375085336993</v>
      </c>
      <c r="C1085" t="s">
        <v>9</v>
      </c>
      <c r="D1085" t="s">
        <v>17</v>
      </c>
      <c r="E1085" t="s">
        <v>24</v>
      </c>
      <c r="F1085">
        <v>1384.55</v>
      </c>
    </row>
    <row r="1086" spans="1:6" x14ac:dyDescent="0.35">
      <c r="A1086">
        <v>1315</v>
      </c>
      <c r="B1086" s="4">
        <v>45676.375085336993</v>
      </c>
      <c r="C1086" t="s">
        <v>10</v>
      </c>
      <c r="D1086" t="s">
        <v>21</v>
      </c>
      <c r="E1086" t="s">
        <v>23</v>
      </c>
      <c r="F1086">
        <v>2813.05</v>
      </c>
    </row>
    <row r="1087" spans="1:6" x14ac:dyDescent="0.35">
      <c r="A1087">
        <v>1230</v>
      </c>
      <c r="B1087" s="4">
        <v>45676.375085336993</v>
      </c>
      <c r="C1087" t="s">
        <v>8</v>
      </c>
      <c r="D1087" t="s">
        <v>19</v>
      </c>
      <c r="E1087" t="s">
        <v>23</v>
      </c>
      <c r="F1087">
        <v>940.75</v>
      </c>
    </row>
    <row r="1088" spans="1:6" x14ac:dyDescent="0.35">
      <c r="A1088">
        <v>1174</v>
      </c>
      <c r="B1088" s="4">
        <v>45676.375085336993</v>
      </c>
      <c r="C1088" t="s">
        <v>13</v>
      </c>
      <c r="D1088" t="s">
        <v>19</v>
      </c>
      <c r="E1088" t="s">
        <v>25</v>
      </c>
      <c r="F1088">
        <v>3047.63</v>
      </c>
    </row>
    <row r="1089" spans="1:6" x14ac:dyDescent="0.35">
      <c r="A1089">
        <v>1009</v>
      </c>
      <c r="B1089" s="4">
        <v>45677.375085336993</v>
      </c>
      <c r="C1089" t="s">
        <v>9</v>
      </c>
      <c r="D1089" t="s">
        <v>18</v>
      </c>
      <c r="E1089" t="s">
        <v>25</v>
      </c>
      <c r="F1089">
        <v>605.85</v>
      </c>
    </row>
    <row r="1090" spans="1:6" x14ac:dyDescent="0.35">
      <c r="A1090">
        <v>1168</v>
      </c>
      <c r="B1090" s="4">
        <v>45677.375085336993</v>
      </c>
      <c r="C1090" t="s">
        <v>13</v>
      </c>
      <c r="D1090" t="s">
        <v>21</v>
      </c>
      <c r="E1090" t="s">
        <v>25</v>
      </c>
      <c r="F1090">
        <v>1019.3</v>
      </c>
    </row>
    <row r="1091" spans="1:6" x14ac:dyDescent="0.35">
      <c r="A1091">
        <v>1284</v>
      </c>
      <c r="B1091" s="4">
        <v>45677.375085336993</v>
      </c>
      <c r="C1091" t="s">
        <v>11</v>
      </c>
      <c r="D1091" t="s">
        <v>22</v>
      </c>
      <c r="E1091" t="s">
        <v>25</v>
      </c>
      <c r="F1091">
        <v>1795.53</v>
      </c>
    </row>
    <row r="1092" spans="1:6" x14ac:dyDescent="0.35">
      <c r="A1092">
        <v>1227</v>
      </c>
      <c r="B1092" s="4">
        <v>45677.375085336993</v>
      </c>
      <c r="C1092" t="s">
        <v>7</v>
      </c>
      <c r="D1092" t="s">
        <v>21</v>
      </c>
      <c r="E1092" t="s">
        <v>24</v>
      </c>
      <c r="F1092">
        <v>2194.44</v>
      </c>
    </row>
    <row r="1093" spans="1:6" x14ac:dyDescent="0.35">
      <c r="A1093">
        <v>1315</v>
      </c>
      <c r="B1093" s="4">
        <v>45678.375085336993</v>
      </c>
      <c r="C1093" t="s">
        <v>10</v>
      </c>
      <c r="D1093" t="s">
        <v>22</v>
      </c>
      <c r="E1093" t="s">
        <v>24</v>
      </c>
      <c r="F1093">
        <v>8203.99</v>
      </c>
    </row>
    <row r="1094" spans="1:6" x14ac:dyDescent="0.35">
      <c r="A1094">
        <v>1373</v>
      </c>
      <c r="B1094" s="4">
        <v>45678.375085336993</v>
      </c>
      <c r="C1094" t="s">
        <v>6</v>
      </c>
      <c r="D1094" t="s">
        <v>16</v>
      </c>
      <c r="E1094" t="s">
        <v>23</v>
      </c>
      <c r="F1094">
        <v>5208.3999999999996</v>
      </c>
    </row>
    <row r="1095" spans="1:6" x14ac:dyDescent="0.35">
      <c r="A1095">
        <v>1279</v>
      </c>
      <c r="B1095" s="4">
        <v>45678.375085336993</v>
      </c>
      <c r="C1095" t="s">
        <v>7</v>
      </c>
      <c r="D1095" t="s">
        <v>21</v>
      </c>
      <c r="E1095" t="s">
        <v>23</v>
      </c>
      <c r="F1095">
        <v>3563.71</v>
      </c>
    </row>
    <row r="1096" spans="1:6" x14ac:dyDescent="0.35">
      <c r="A1096">
        <v>1171</v>
      </c>
      <c r="B1096" s="4">
        <v>45678.375085336993</v>
      </c>
      <c r="C1096" t="s">
        <v>15</v>
      </c>
      <c r="D1096" t="s">
        <v>20</v>
      </c>
      <c r="E1096" t="s">
        <v>23</v>
      </c>
      <c r="F1096">
        <v>8208.19</v>
      </c>
    </row>
    <row r="1097" spans="1:6" x14ac:dyDescent="0.35">
      <c r="A1097">
        <v>1147</v>
      </c>
      <c r="B1097" s="4">
        <v>45678.375085336993</v>
      </c>
      <c r="C1097" t="s">
        <v>13</v>
      </c>
      <c r="D1097" t="s">
        <v>17</v>
      </c>
      <c r="E1097" t="s">
        <v>24</v>
      </c>
      <c r="F1097">
        <v>3867.03</v>
      </c>
    </row>
    <row r="1098" spans="1:6" x14ac:dyDescent="0.35">
      <c r="A1098">
        <v>1337</v>
      </c>
      <c r="B1098" s="4">
        <v>45678.375085336993</v>
      </c>
      <c r="C1098" t="s">
        <v>6</v>
      </c>
      <c r="D1098" t="s">
        <v>21</v>
      </c>
      <c r="E1098" t="s">
        <v>24</v>
      </c>
      <c r="F1098">
        <v>3357.21</v>
      </c>
    </row>
    <row r="1099" spans="1:6" x14ac:dyDescent="0.35">
      <c r="A1099">
        <v>1110</v>
      </c>
      <c r="B1099" s="4">
        <v>45679.375085336993</v>
      </c>
      <c r="C1099" t="s">
        <v>7</v>
      </c>
      <c r="D1099" t="s">
        <v>18</v>
      </c>
      <c r="E1099" t="s">
        <v>25</v>
      </c>
      <c r="F1099">
        <v>5447.51</v>
      </c>
    </row>
    <row r="1100" spans="1:6" x14ac:dyDescent="0.35">
      <c r="A1100">
        <v>1172</v>
      </c>
      <c r="B1100" s="4">
        <v>45679.375085336993</v>
      </c>
      <c r="C1100" t="s">
        <v>15</v>
      </c>
      <c r="D1100" t="s">
        <v>18</v>
      </c>
      <c r="E1100" t="s">
        <v>24</v>
      </c>
      <c r="F1100">
        <v>4541.47</v>
      </c>
    </row>
    <row r="1101" spans="1:6" x14ac:dyDescent="0.35">
      <c r="A1101">
        <v>1293</v>
      </c>
      <c r="B1101" s="4">
        <v>45679.375085336993</v>
      </c>
      <c r="C1101" t="s">
        <v>6</v>
      </c>
      <c r="D1101" t="s">
        <v>20</v>
      </c>
      <c r="E1101" t="s">
        <v>24</v>
      </c>
      <c r="F1101">
        <v>3399.06</v>
      </c>
    </row>
    <row r="1102" spans="1:6" x14ac:dyDescent="0.35">
      <c r="A1102">
        <v>1252</v>
      </c>
      <c r="B1102" s="4">
        <v>45680.375085336993</v>
      </c>
      <c r="C1102" t="s">
        <v>15</v>
      </c>
      <c r="D1102" t="s">
        <v>22</v>
      </c>
      <c r="E1102" t="s">
        <v>23</v>
      </c>
      <c r="F1102">
        <v>3227.05</v>
      </c>
    </row>
    <row r="1103" spans="1:6" x14ac:dyDescent="0.35">
      <c r="A1103">
        <v>1329</v>
      </c>
      <c r="B1103" s="4">
        <v>45680.375085336993</v>
      </c>
      <c r="C1103" t="s">
        <v>13</v>
      </c>
      <c r="D1103" t="s">
        <v>16</v>
      </c>
      <c r="E1103" t="s">
        <v>24</v>
      </c>
      <c r="F1103">
        <v>5454.69</v>
      </c>
    </row>
    <row r="1104" spans="1:6" x14ac:dyDescent="0.35">
      <c r="A1104">
        <v>1156</v>
      </c>
      <c r="B1104" s="4">
        <v>45681.375085336993</v>
      </c>
      <c r="C1104" t="s">
        <v>7</v>
      </c>
      <c r="D1104" t="s">
        <v>20</v>
      </c>
      <c r="E1104" t="s">
        <v>25</v>
      </c>
      <c r="F1104">
        <v>6119.95</v>
      </c>
    </row>
    <row r="1105" spans="1:6" x14ac:dyDescent="0.35">
      <c r="A1105">
        <v>1333</v>
      </c>
      <c r="B1105" s="4">
        <v>45681.375085336993</v>
      </c>
      <c r="C1105" t="s">
        <v>13</v>
      </c>
      <c r="D1105" t="s">
        <v>19</v>
      </c>
      <c r="E1105" t="s">
        <v>24</v>
      </c>
      <c r="F1105">
        <v>2205.1799999999998</v>
      </c>
    </row>
    <row r="1106" spans="1:6" x14ac:dyDescent="0.35">
      <c r="A1106">
        <v>1083</v>
      </c>
      <c r="B1106" s="4">
        <v>45681.375085336993</v>
      </c>
      <c r="C1106" t="s">
        <v>15</v>
      </c>
      <c r="D1106" t="s">
        <v>17</v>
      </c>
      <c r="E1106" t="s">
        <v>24</v>
      </c>
      <c r="F1106">
        <v>3209.45</v>
      </c>
    </row>
    <row r="1107" spans="1:6" x14ac:dyDescent="0.35">
      <c r="A1107">
        <v>1150</v>
      </c>
      <c r="B1107" s="4">
        <v>45681.375085336993</v>
      </c>
      <c r="C1107" t="s">
        <v>11</v>
      </c>
      <c r="D1107" t="s">
        <v>21</v>
      </c>
      <c r="E1107" t="s">
        <v>24</v>
      </c>
      <c r="F1107">
        <v>1650.12</v>
      </c>
    </row>
    <row r="1108" spans="1:6" x14ac:dyDescent="0.35">
      <c r="A1108">
        <v>1206</v>
      </c>
      <c r="B1108" s="4">
        <v>45681.375085336993</v>
      </c>
      <c r="C1108" t="s">
        <v>13</v>
      </c>
      <c r="D1108" t="s">
        <v>16</v>
      </c>
      <c r="E1108" t="s">
        <v>25</v>
      </c>
      <c r="F1108">
        <v>3417.58</v>
      </c>
    </row>
    <row r="1109" spans="1:6" x14ac:dyDescent="0.35">
      <c r="A1109">
        <v>1050</v>
      </c>
      <c r="B1109" s="4">
        <v>45681.375085336993</v>
      </c>
      <c r="C1109" t="s">
        <v>13</v>
      </c>
      <c r="D1109" t="s">
        <v>18</v>
      </c>
      <c r="E1109" t="s">
        <v>24</v>
      </c>
      <c r="F1109">
        <v>3714.98</v>
      </c>
    </row>
    <row r="1110" spans="1:6" x14ac:dyDescent="0.35">
      <c r="A1110">
        <v>1103</v>
      </c>
      <c r="B1110" s="4">
        <v>45682.375085336993</v>
      </c>
      <c r="C1110" t="s">
        <v>14</v>
      </c>
      <c r="D1110" t="s">
        <v>20</v>
      </c>
      <c r="E1110" t="s">
        <v>25</v>
      </c>
      <c r="F1110">
        <v>1002.49</v>
      </c>
    </row>
    <row r="1111" spans="1:6" x14ac:dyDescent="0.35">
      <c r="A1111">
        <v>1286</v>
      </c>
      <c r="B1111" s="4">
        <v>45682.375085336993</v>
      </c>
      <c r="C1111" t="s">
        <v>13</v>
      </c>
      <c r="D1111" t="s">
        <v>20</v>
      </c>
      <c r="E1111" t="s">
        <v>24</v>
      </c>
      <c r="F1111">
        <v>9397.5499999999993</v>
      </c>
    </row>
    <row r="1112" spans="1:6" x14ac:dyDescent="0.35">
      <c r="A1112">
        <v>1189</v>
      </c>
      <c r="B1112" s="4">
        <v>45682.375085336993</v>
      </c>
      <c r="C1112" t="s">
        <v>10</v>
      </c>
      <c r="D1112" t="s">
        <v>16</v>
      </c>
      <c r="E1112" t="s">
        <v>25</v>
      </c>
      <c r="F1112">
        <v>5024.68</v>
      </c>
    </row>
    <row r="1113" spans="1:6" x14ac:dyDescent="0.35">
      <c r="A1113">
        <v>1368</v>
      </c>
      <c r="B1113" s="4">
        <v>45682.375085336993</v>
      </c>
      <c r="C1113" t="s">
        <v>9</v>
      </c>
      <c r="D1113" t="s">
        <v>22</v>
      </c>
      <c r="E1113" t="s">
        <v>24</v>
      </c>
      <c r="F1113">
        <v>966.42</v>
      </c>
    </row>
    <row r="1114" spans="1:6" x14ac:dyDescent="0.35">
      <c r="A1114">
        <v>1314</v>
      </c>
      <c r="B1114" s="4">
        <v>45682.375085336993</v>
      </c>
      <c r="C1114" t="s">
        <v>9</v>
      </c>
      <c r="D1114" t="s">
        <v>19</v>
      </c>
      <c r="E1114" t="s">
        <v>24</v>
      </c>
      <c r="F1114">
        <v>3211.68</v>
      </c>
    </row>
    <row r="1115" spans="1:6" x14ac:dyDescent="0.35">
      <c r="A1115">
        <v>1055</v>
      </c>
      <c r="B1115" s="4">
        <v>45682.375085336993</v>
      </c>
      <c r="C1115" t="s">
        <v>7</v>
      </c>
      <c r="D1115" t="s">
        <v>22</v>
      </c>
      <c r="E1115" t="s">
        <v>24</v>
      </c>
      <c r="F1115">
        <v>5360.77</v>
      </c>
    </row>
    <row r="1116" spans="1:6" x14ac:dyDescent="0.35">
      <c r="A1116">
        <v>1053</v>
      </c>
      <c r="B1116" s="4">
        <v>45682.375085336993</v>
      </c>
      <c r="C1116" t="s">
        <v>14</v>
      </c>
      <c r="D1116" t="s">
        <v>22</v>
      </c>
      <c r="E1116" t="s">
        <v>24</v>
      </c>
      <c r="F1116">
        <v>7223.49</v>
      </c>
    </row>
    <row r="1117" spans="1:6" x14ac:dyDescent="0.35">
      <c r="A1117">
        <v>1375</v>
      </c>
      <c r="B1117" s="4">
        <v>45683.375085336993</v>
      </c>
      <c r="C1117" t="s">
        <v>9</v>
      </c>
      <c r="D1117" t="s">
        <v>16</v>
      </c>
      <c r="E1117" t="s">
        <v>23</v>
      </c>
      <c r="F1117">
        <v>5152.74</v>
      </c>
    </row>
    <row r="1118" spans="1:6" x14ac:dyDescent="0.35">
      <c r="A1118">
        <v>1062</v>
      </c>
      <c r="B1118" s="4">
        <v>45683.375085336993</v>
      </c>
      <c r="C1118" t="s">
        <v>9</v>
      </c>
      <c r="D1118" t="s">
        <v>20</v>
      </c>
      <c r="E1118" t="s">
        <v>24</v>
      </c>
      <c r="F1118">
        <v>3235.69</v>
      </c>
    </row>
    <row r="1119" spans="1:6" x14ac:dyDescent="0.35">
      <c r="A1119">
        <v>1111</v>
      </c>
      <c r="B1119" s="4">
        <v>45683.375085336993</v>
      </c>
      <c r="C1119" t="s">
        <v>12</v>
      </c>
      <c r="D1119" t="s">
        <v>16</v>
      </c>
      <c r="E1119" t="s">
        <v>24</v>
      </c>
      <c r="F1119">
        <v>372.29</v>
      </c>
    </row>
    <row r="1120" spans="1:6" x14ac:dyDescent="0.35">
      <c r="A1120">
        <v>1348</v>
      </c>
      <c r="B1120" s="4">
        <v>45683.375085336993</v>
      </c>
      <c r="C1120" t="s">
        <v>13</v>
      </c>
      <c r="D1120" t="s">
        <v>19</v>
      </c>
      <c r="E1120" t="s">
        <v>25</v>
      </c>
      <c r="F1120">
        <v>1409.26</v>
      </c>
    </row>
    <row r="1121" spans="1:6" x14ac:dyDescent="0.35">
      <c r="A1121">
        <v>1345</v>
      </c>
      <c r="B1121" s="4">
        <v>45683.375085336993</v>
      </c>
      <c r="C1121" t="s">
        <v>7</v>
      </c>
      <c r="D1121" t="s">
        <v>18</v>
      </c>
      <c r="E1121" t="s">
        <v>24</v>
      </c>
      <c r="F1121">
        <v>1382.92</v>
      </c>
    </row>
    <row r="1122" spans="1:6" x14ac:dyDescent="0.35">
      <c r="A1122">
        <v>1348</v>
      </c>
      <c r="B1122" s="4">
        <v>45684.375085336993</v>
      </c>
      <c r="C1122" t="s">
        <v>14</v>
      </c>
      <c r="D1122" t="s">
        <v>19</v>
      </c>
      <c r="E1122" t="s">
        <v>25</v>
      </c>
      <c r="F1122">
        <v>987.89</v>
      </c>
    </row>
    <row r="1123" spans="1:6" x14ac:dyDescent="0.35">
      <c r="A1123">
        <v>1086</v>
      </c>
      <c r="B1123" s="4">
        <v>45684.375085336993</v>
      </c>
      <c r="C1123" t="s">
        <v>10</v>
      </c>
      <c r="D1123" t="s">
        <v>18</v>
      </c>
      <c r="E1123" t="s">
        <v>24</v>
      </c>
      <c r="F1123">
        <v>2795.69</v>
      </c>
    </row>
    <row r="1124" spans="1:6" x14ac:dyDescent="0.35">
      <c r="A1124">
        <v>1046</v>
      </c>
      <c r="B1124" s="4">
        <v>45684.375085336993</v>
      </c>
      <c r="C1124" t="s">
        <v>15</v>
      </c>
      <c r="D1124" t="s">
        <v>16</v>
      </c>
      <c r="E1124" t="s">
        <v>23</v>
      </c>
      <c r="F1124">
        <v>6077.68</v>
      </c>
    </row>
    <row r="1125" spans="1:6" x14ac:dyDescent="0.35">
      <c r="A1125">
        <v>1189</v>
      </c>
      <c r="B1125" s="4">
        <v>45684.375085336993</v>
      </c>
      <c r="C1125" t="s">
        <v>12</v>
      </c>
      <c r="D1125" t="s">
        <v>20</v>
      </c>
      <c r="E1125" t="s">
        <v>23</v>
      </c>
      <c r="F1125">
        <v>1225.78</v>
      </c>
    </row>
    <row r="1126" spans="1:6" x14ac:dyDescent="0.35">
      <c r="A1126">
        <v>1172</v>
      </c>
      <c r="B1126" s="4">
        <v>45685.375085336993</v>
      </c>
      <c r="C1126" t="s">
        <v>9</v>
      </c>
      <c r="D1126" t="s">
        <v>22</v>
      </c>
      <c r="E1126" t="s">
        <v>24</v>
      </c>
      <c r="F1126">
        <v>1353.97</v>
      </c>
    </row>
    <row r="1127" spans="1:6" x14ac:dyDescent="0.35">
      <c r="A1127">
        <v>1221</v>
      </c>
      <c r="B1127" s="4">
        <v>45685.375085336993</v>
      </c>
      <c r="C1127" t="s">
        <v>14</v>
      </c>
      <c r="D1127" t="s">
        <v>16</v>
      </c>
      <c r="E1127" t="s">
        <v>24</v>
      </c>
      <c r="F1127">
        <v>2690.39</v>
      </c>
    </row>
    <row r="1128" spans="1:6" x14ac:dyDescent="0.35">
      <c r="A1128">
        <v>1381</v>
      </c>
      <c r="B1128" s="4">
        <v>45686.375085336993</v>
      </c>
      <c r="C1128" t="s">
        <v>8</v>
      </c>
      <c r="D1128" t="s">
        <v>20</v>
      </c>
      <c r="E1128" t="s">
        <v>23</v>
      </c>
      <c r="F1128">
        <v>3151.22</v>
      </c>
    </row>
    <row r="1129" spans="1:6" x14ac:dyDescent="0.35">
      <c r="A1129">
        <v>1036</v>
      </c>
      <c r="B1129" s="4">
        <v>45686.375085336993</v>
      </c>
      <c r="C1129" t="s">
        <v>15</v>
      </c>
      <c r="D1129" t="s">
        <v>16</v>
      </c>
      <c r="E1129" t="s">
        <v>23</v>
      </c>
      <c r="F1129">
        <v>1548.29</v>
      </c>
    </row>
    <row r="1130" spans="1:6" x14ac:dyDescent="0.35">
      <c r="A1130">
        <v>1029</v>
      </c>
      <c r="B1130" s="4">
        <v>45686.375085336993</v>
      </c>
      <c r="C1130" t="s">
        <v>15</v>
      </c>
      <c r="D1130" t="s">
        <v>18</v>
      </c>
      <c r="E1130" t="s">
        <v>23</v>
      </c>
      <c r="F1130">
        <v>1215.55</v>
      </c>
    </row>
    <row r="1131" spans="1:6" x14ac:dyDescent="0.35">
      <c r="A1131">
        <v>1052</v>
      </c>
      <c r="B1131" s="4">
        <v>45686.375085336993</v>
      </c>
      <c r="C1131" t="s">
        <v>10</v>
      </c>
      <c r="D1131" t="s">
        <v>16</v>
      </c>
      <c r="E1131" t="s">
        <v>25</v>
      </c>
      <c r="F1131">
        <v>539.66</v>
      </c>
    </row>
    <row r="1132" spans="1:6" x14ac:dyDescent="0.35">
      <c r="A1132">
        <v>1176</v>
      </c>
      <c r="B1132" s="4">
        <v>45687.375085336993</v>
      </c>
      <c r="C1132" t="s">
        <v>11</v>
      </c>
      <c r="D1132" t="s">
        <v>16</v>
      </c>
      <c r="E1132" t="s">
        <v>23</v>
      </c>
      <c r="F1132">
        <v>6600.27</v>
      </c>
    </row>
    <row r="1133" spans="1:6" x14ac:dyDescent="0.35">
      <c r="A1133">
        <v>1141</v>
      </c>
      <c r="B1133" s="4">
        <v>45687.375085336993</v>
      </c>
      <c r="C1133" t="s">
        <v>11</v>
      </c>
      <c r="D1133" t="s">
        <v>17</v>
      </c>
      <c r="E1133" t="s">
        <v>24</v>
      </c>
      <c r="F1133">
        <v>2125.09</v>
      </c>
    </row>
    <row r="1134" spans="1:6" x14ac:dyDescent="0.35">
      <c r="A1134">
        <v>1025</v>
      </c>
      <c r="B1134" s="4">
        <v>45687.375085336993</v>
      </c>
      <c r="C1134" t="s">
        <v>10</v>
      </c>
      <c r="D1134" t="s">
        <v>18</v>
      </c>
      <c r="E1134" t="s">
        <v>23</v>
      </c>
      <c r="F1134">
        <v>1444.64</v>
      </c>
    </row>
    <row r="1135" spans="1:6" x14ac:dyDescent="0.35">
      <c r="A1135">
        <v>1117</v>
      </c>
      <c r="B1135" s="4">
        <v>45687.375085336993</v>
      </c>
      <c r="C1135" t="s">
        <v>11</v>
      </c>
      <c r="D1135" t="s">
        <v>16</v>
      </c>
      <c r="E1135" t="s">
        <v>25</v>
      </c>
      <c r="F1135">
        <v>8128.72</v>
      </c>
    </row>
    <row r="1136" spans="1:6" x14ac:dyDescent="0.35">
      <c r="A1136">
        <v>1017</v>
      </c>
      <c r="B1136" s="4">
        <v>45688.375085336993</v>
      </c>
      <c r="C1136" t="s">
        <v>14</v>
      </c>
      <c r="D1136" t="s">
        <v>18</v>
      </c>
      <c r="E1136" t="s">
        <v>23</v>
      </c>
      <c r="F1136">
        <v>1804.08</v>
      </c>
    </row>
    <row r="1137" spans="1:6" x14ac:dyDescent="0.35">
      <c r="A1137">
        <v>1151</v>
      </c>
      <c r="B1137" s="4">
        <v>45688.375085336993</v>
      </c>
      <c r="C1137" t="s">
        <v>13</v>
      </c>
      <c r="D1137" t="s">
        <v>18</v>
      </c>
      <c r="E1137" t="s">
        <v>23</v>
      </c>
      <c r="F1137">
        <v>4662.78</v>
      </c>
    </row>
    <row r="1138" spans="1:6" x14ac:dyDescent="0.35">
      <c r="A1138">
        <v>1202</v>
      </c>
      <c r="B1138" s="4">
        <v>45688.375085336993</v>
      </c>
      <c r="C1138" t="s">
        <v>11</v>
      </c>
      <c r="D1138" t="s">
        <v>20</v>
      </c>
      <c r="E1138" t="s">
        <v>23</v>
      </c>
      <c r="F1138">
        <v>1683.24</v>
      </c>
    </row>
    <row r="1139" spans="1:6" x14ac:dyDescent="0.35">
      <c r="A1139">
        <v>1165</v>
      </c>
      <c r="B1139" s="4">
        <v>45688.375085336993</v>
      </c>
      <c r="C1139" t="s">
        <v>8</v>
      </c>
      <c r="D1139" t="s">
        <v>18</v>
      </c>
      <c r="E1139" t="s">
        <v>25</v>
      </c>
      <c r="F1139">
        <v>4790.99</v>
      </c>
    </row>
    <row r="1140" spans="1:6" x14ac:dyDescent="0.35">
      <c r="A1140">
        <v>1348</v>
      </c>
      <c r="B1140" s="4">
        <v>45688.375085336993</v>
      </c>
      <c r="C1140" t="s">
        <v>13</v>
      </c>
      <c r="D1140" t="s">
        <v>20</v>
      </c>
      <c r="E1140" t="s">
        <v>23</v>
      </c>
      <c r="F1140">
        <v>1718.72</v>
      </c>
    </row>
    <row r="1141" spans="1:6" x14ac:dyDescent="0.35">
      <c r="A1141">
        <v>1395</v>
      </c>
      <c r="B1141" s="4">
        <v>45688.375085336993</v>
      </c>
      <c r="C1141" t="s">
        <v>9</v>
      </c>
      <c r="D1141" t="s">
        <v>18</v>
      </c>
      <c r="E1141" t="s">
        <v>25</v>
      </c>
      <c r="F1141">
        <v>11239.49</v>
      </c>
    </row>
    <row r="1142" spans="1:6" x14ac:dyDescent="0.35">
      <c r="A1142">
        <v>1068</v>
      </c>
      <c r="B1142" s="4">
        <v>45688.375085336993</v>
      </c>
      <c r="C1142" t="s">
        <v>6</v>
      </c>
      <c r="D1142" t="s">
        <v>21</v>
      </c>
      <c r="E1142" t="s">
        <v>24</v>
      </c>
      <c r="F1142">
        <v>8791.42</v>
      </c>
    </row>
    <row r="1143" spans="1:6" x14ac:dyDescent="0.35">
      <c r="A1143">
        <v>1167</v>
      </c>
      <c r="B1143" s="4">
        <v>45688.375085336993</v>
      </c>
      <c r="C1143" t="s">
        <v>14</v>
      </c>
      <c r="D1143" t="s">
        <v>21</v>
      </c>
      <c r="E1143" t="s">
        <v>23</v>
      </c>
      <c r="F1143">
        <v>1551.48</v>
      </c>
    </row>
    <row r="1144" spans="1:6" x14ac:dyDescent="0.35">
      <c r="A1144">
        <v>1285</v>
      </c>
      <c r="B1144" s="4">
        <v>45688.375085336993</v>
      </c>
      <c r="C1144" t="s">
        <v>9</v>
      </c>
      <c r="D1144" t="s">
        <v>18</v>
      </c>
      <c r="E1144" t="s">
        <v>25</v>
      </c>
      <c r="F1144">
        <v>713.67</v>
      </c>
    </row>
    <row r="1145" spans="1:6" x14ac:dyDescent="0.35">
      <c r="A1145">
        <v>1081</v>
      </c>
      <c r="B1145" s="4">
        <v>45689.375085336993</v>
      </c>
      <c r="C1145" t="s">
        <v>8</v>
      </c>
      <c r="D1145" t="s">
        <v>18</v>
      </c>
      <c r="E1145" t="s">
        <v>23</v>
      </c>
      <c r="F1145">
        <v>3558.31</v>
      </c>
    </row>
    <row r="1146" spans="1:6" x14ac:dyDescent="0.35">
      <c r="A1146">
        <v>1146</v>
      </c>
      <c r="B1146" s="4">
        <v>45689.375085336993</v>
      </c>
      <c r="C1146" t="s">
        <v>11</v>
      </c>
      <c r="D1146" t="s">
        <v>16</v>
      </c>
      <c r="E1146" t="s">
        <v>23</v>
      </c>
      <c r="F1146">
        <v>502.7</v>
      </c>
    </row>
    <row r="1147" spans="1:6" x14ac:dyDescent="0.35">
      <c r="A1147">
        <v>1255</v>
      </c>
      <c r="B1147" s="4">
        <v>45689.375085336993</v>
      </c>
      <c r="C1147" t="s">
        <v>12</v>
      </c>
      <c r="D1147" t="s">
        <v>19</v>
      </c>
      <c r="E1147" t="s">
        <v>25</v>
      </c>
      <c r="F1147">
        <v>14168.34</v>
      </c>
    </row>
    <row r="1148" spans="1:6" x14ac:dyDescent="0.35">
      <c r="A1148">
        <v>1250</v>
      </c>
      <c r="B1148" s="4">
        <v>45689.375085336993</v>
      </c>
      <c r="C1148" t="s">
        <v>14</v>
      </c>
      <c r="D1148" t="s">
        <v>20</v>
      </c>
      <c r="E1148" t="s">
        <v>25</v>
      </c>
      <c r="F1148">
        <v>2525.17</v>
      </c>
    </row>
    <row r="1149" spans="1:6" x14ac:dyDescent="0.35">
      <c r="A1149">
        <v>1018</v>
      </c>
      <c r="B1149" s="4">
        <v>45690.375085336993</v>
      </c>
      <c r="C1149" t="s">
        <v>12</v>
      </c>
      <c r="D1149" t="s">
        <v>18</v>
      </c>
      <c r="E1149" t="s">
        <v>23</v>
      </c>
      <c r="F1149">
        <v>2175.58</v>
      </c>
    </row>
    <row r="1150" spans="1:6" x14ac:dyDescent="0.35">
      <c r="A1150">
        <v>1248</v>
      </c>
      <c r="B1150" s="4">
        <v>45690.375085336993</v>
      </c>
      <c r="C1150" t="s">
        <v>15</v>
      </c>
      <c r="D1150" t="s">
        <v>16</v>
      </c>
      <c r="E1150" t="s">
        <v>25</v>
      </c>
      <c r="F1150">
        <v>4479.8100000000004</v>
      </c>
    </row>
    <row r="1151" spans="1:6" x14ac:dyDescent="0.35">
      <c r="A1151">
        <v>1150</v>
      </c>
      <c r="B1151" s="4">
        <v>45691.375085336993</v>
      </c>
      <c r="C1151" t="s">
        <v>12</v>
      </c>
      <c r="D1151" t="s">
        <v>17</v>
      </c>
      <c r="E1151" t="s">
        <v>25</v>
      </c>
      <c r="F1151">
        <v>5793.12</v>
      </c>
    </row>
    <row r="1152" spans="1:6" x14ac:dyDescent="0.35">
      <c r="A1152">
        <v>1310</v>
      </c>
      <c r="B1152" s="4">
        <v>45691.375085336993</v>
      </c>
      <c r="C1152" t="s">
        <v>12</v>
      </c>
      <c r="D1152" t="s">
        <v>16</v>
      </c>
      <c r="E1152" t="s">
        <v>23</v>
      </c>
      <c r="F1152">
        <v>5354.19</v>
      </c>
    </row>
    <row r="1153" spans="1:6" x14ac:dyDescent="0.35">
      <c r="A1153">
        <v>1169</v>
      </c>
      <c r="B1153" s="4">
        <v>45691.375085336993</v>
      </c>
      <c r="C1153" t="s">
        <v>11</v>
      </c>
      <c r="D1153" t="s">
        <v>16</v>
      </c>
      <c r="E1153" t="s">
        <v>23</v>
      </c>
      <c r="F1153">
        <v>3766.21</v>
      </c>
    </row>
    <row r="1154" spans="1:6" x14ac:dyDescent="0.35">
      <c r="A1154">
        <v>1350</v>
      </c>
      <c r="B1154" s="4">
        <v>45692.375085336993</v>
      </c>
      <c r="C1154" t="s">
        <v>11</v>
      </c>
      <c r="D1154" t="s">
        <v>18</v>
      </c>
      <c r="E1154" t="s">
        <v>24</v>
      </c>
      <c r="F1154">
        <v>5511.13</v>
      </c>
    </row>
    <row r="1155" spans="1:6" x14ac:dyDescent="0.35">
      <c r="A1155">
        <v>1232</v>
      </c>
      <c r="B1155" s="4">
        <v>45692.375085336993</v>
      </c>
      <c r="C1155" t="s">
        <v>6</v>
      </c>
      <c r="D1155" t="s">
        <v>17</v>
      </c>
      <c r="E1155" t="s">
        <v>23</v>
      </c>
      <c r="F1155">
        <v>4947.3999999999996</v>
      </c>
    </row>
    <row r="1156" spans="1:6" x14ac:dyDescent="0.35">
      <c r="A1156">
        <v>1064</v>
      </c>
      <c r="B1156" s="4">
        <v>45692.375085336993</v>
      </c>
      <c r="C1156" t="s">
        <v>10</v>
      </c>
      <c r="D1156" t="s">
        <v>18</v>
      </c>
      <c r="E1156" t="s">
        <v>23</v>
      </c>
      <c r="F1156">
        <v>6904.18</v>
      </c>
    </row>
    <row r="1157" spans="1:6" x14ac:dyDescent="0.35">
      <c r="A1157">
        <v>1399</v>
      </c>
      <c r="B1157" s="4">
        <v>45692.375085336993</v>
      </c>
      <c r="C1157" t="s">
        <v>9</v>
      </c>
      <c r="D1157" t="s">
        <v>17</v>
      </c>
      <c r="E1157" t="s">
        <v>23</v>
      </c>
      <c r="F1157">
        <v>4891.6899999999996</v>
      </c>
    </row>
    <row r="1158" spans="1:6" x14ac:dyDescent="0.35">
      <c r="A1158">
        <v>1257</v>
      </c>
      <c r="B1158" s="4">
        <v>45693.375085336993</v>
      </c>
      <c r="C1158" t="s">
        <v>7</v>
      </c>
      <c r="D1158" t="s">
        <v>20</v>
      </c>
      <c r="E1158" t="s">
        <v>23</v>
      </c>
      <c r="F1158">
        <v>811.49</v>
      </c>
    </row>
    <row r="1159" spans="1:6" x14ac:dyDescent="0.35">
      <c r="A1159">
        <v>1353</v>
      </c>
      <c r="B1159" s="4">
        <v>45693.375085336993</v>
      </c>
      <c r="C1159" t="s">
        <v>9</v>
      </c>
      <c r="D1159" t="s">
        <v>17</v>
      </c>
      <c r="E1159" t="s">
        <v>24</v>
      </c>
      <c r="F1159">
        <v>1790.97</v>
      </c>
    </row>
    <row r="1160" spans="1:6" x14ac:dyDescent="0.35">
      <c r="A1160">
        <v>1343</v>
      </c>
      <c r="B1160" s="4">
        <v>45693.375085336993</v>
      </c>
      <c r="C1160" t="s">
        <v>6</v>
      </c>
      <c r="D1160" t="s">
        <v>17</v>
      </c>
      <c r="E1160" t="s">
        <v>25</v>
      </c>
      <c r="F1160">
        <v>1172.08</v>
      </c>
    </row>
    <row r="1161" spans="1:6" x14ac:dyDescent="0.35">
      <c r="A1161">
        <v>1027</v>
      </c>
      <c r="B1161" s="4">
        <v>45693.375085336993</v>
      </c>
      <c r="C1161" t="s">
        <v>12</v>
      </c>
      <c r="D1161" t="s">
        <v>20</v>
      </c>
      <c r="E1161" t="s">
        <v>24</v>
      </c>
      <c r="F1161">
        <v>2935.98</v>
      </c>
    </row>
    <row r="1162" spans="1:6" x14ac:dyDescent="0.35">
      <c r="A1162">
        <v>1210</v>
      </c>
      <c r="B1162" s="4">
        <v>45693.375085336993</v>
      </c>
      <c r="C1162" t="s">
        <v>10</v>
      </c>
      <c r="D1162" t="s">
        <v>21</v>
      </c>
      <c r="E1162" t="s">
        <v>23</v>
      </c>
      <c r="F1162">
        <v>2661.8</v>
      </c>
    </row>
    <row r="1163" spans="1:6" x14ac:dyDescent="0.35">
      <c r="A1163">
        <v>1209</v>
      </c>
      <c r="B1163" s="4">
        <v>45694.375085336993</v>
      </c>
      <c r="C1163" t="s">
        <v>15</v>
      </c>
      <c r="D1163" t="s">
        <v>21</v>
      </c>
      <c r="E1163" t="s">
        <v>24</v>
      </c>
      <c r="F1163">
        <v>2301.0700000000002</v>
      </c>
    </row>
    <row r="1164" spans="1:6" x14ac:dyDescent="0.35">
      <c r="A1164">
        <v>1014</v>
      </c>
      <c r="B1164" s="4">
        <v>45694.375085336993</v>
      </c>
      <c r="C1164" t="s">
        <v>14</v>
      </c>
      <c r="D1164" t="s">
        <v>21</v>
      </c>
      <c r="E1164" t="s">
        <v>25</v>
      </c>
      <c r="F1164">
        <v>7126.07</v>
      </c>
    </row>
    <row r="1165" spans="1:6" x14ac:dyDescent="0.35">
      <c r="A1165">
        <v>1162</v>
      </c>
      <c r="B1165" s="4">
        <v>45694.375085336993</v>
      </c>
      <c r="C1165" t="s">
        <v>7</v>
      </c>
      <c r="D1165" t="s">
        <v>22</v>
      </c>
      <c r="E1165" t="s">
        <v>24</v>
      </c>
      <c r="F1165">
        <v>4000.76</v>
      </c>
    </row>
    <row r="1166" spans="1:6" x14ac:dyDescent="0.35">
      <c r="A1166">
        <v>1359</v>
      </c>
      <c r="B1166" s="4">
        <v>45694.375085336993</v>
      </c>
      <c r="C1166" t="s">
        <v>11</v>
      </c>
      <c r="D1166" t="s">
        <v>22</v>
      </c>
      <c r="E1166" t="s">
        <v>24</v>
      </c>
      <c r="F1166">
        <v>712.03</v>
      </c>
    </row>
    <row r="1167" spans="1:6" x14ac:dyDescent="0.35">
      <c r="A1167">
        <v>1103</v>
      </c>
      <c r="B1167" s="4">
        <v>45694.375085336993</v>
      </c>
      <c r="C1167" t="s">
        <v>14</v>
      </c>
      <c r="D1167" t="s">
        <v>16</v>
      </c>
      <c r="E1167" t="s">
        <v>23</v>
      </c>
      <c r="F1167">
        <v>3389.81</v>
      </c>
    </row>
    <row r="1168" spans="1:6" x14ac:dyDescent="0.35">
      <c r="A1168">
        <v>1004</v>
      </c>
      <c r="B1168" s="4">
        <v>45695.375085336993</v>
      </c>
      <c r="C1168" t="s">
        <v>12</v>
      </c>
      <c r="D1168" t="s">
        <v>18</v>
      </c>
      <c r="E1168" t="s">
        <v>25</v>
      </c>
      <c r="F1168">
        <v>1100.49</v>
      </c>
    </row>
    <row r="1169" spans="1:6" x14ac:dyDescent="0.35">
      <c r="A1169">
        <v>1111</v>
      </c>
      <c r="B1169" s="4">
        <v>45695.375085336993</v>
      </c>
      <c r="C1169" t="s">
        <v>7</v>
      </c>
      <c r="D1169" t="s">
        <v>20</v>
      </c>
      <c r="E1169" t="s">
        <v>24</v>
      </c>
      <c r="F1169">
        <v>482.67</v>
      </c>
    </row>
    <row r="1170" spans="1:6" x14ac:dyDescent="0.35">
      <c r="A1170">
        <v>1051</v>
      </c>
      <c r="B1170" s="4">
        <v>45695.375085336993</v>
      </c>
      <c r="C1170" t="s">
        <v>12</v>
      </c>
      <c r="D1170" t="s">
        <v>16</v>
      </c>
      <c r="E1170" t="s">
        <v>25</v>
      </c>
      <c r="F1170">
        <v>1383.89</v>
      </c>
    </row>
    <row r="1171" spans="1:6" x14ac:dyDescent="0.35">
      <c r="A1171">
        <v>1165</v>
      </c>
      <c r="B1171" s="4">
        <v>45695.375085336993</v>
      </c>
      <c r="C1171" t="s">
        <v>14</v>
      </c>
      <c r="D1171" t="s">
        <v>20</v>
      </c>
      <c r="E1171" t="s">
        <v>24</v>
      </c>
      <c r="F1171">
        <v>8947.8799999999992</v>
      </c>
    </row>
    <row r="1172" spans="1:6" x14ac:dyDescent="0.35">
      <c r="A1172">
        <v>1130</v>
      </c>
      <c r="B1172" s="4">
        <v>45695.375085336993</v>
      </c>
      <c r="C1172" t="s">
        <v>11</v>
      </c>
      <c r="D1172" t="s">
        <v>19</v>
      </c>
      <c r="E1172" t="s">
        <v>23</v>
      </c>
      <c r="F1172">
        <v>4820.6000000000004</v>
      </c>
    </row>
    <row r="1173" spans="1:6" x14ac:dyDescent="0.35">
      <c r="A1173">
        <v>1088</v>
      </c>
      <c r="B1173" s="4">
        <v>45696.375085336993</v>
      </c>
      <c r="C1173" t="s">
        <v>6</v>
      </c>
      <c r="D1173" t="s">
        <v>18</v>
      </c>
      <c r="E1173" t="s">
        <v>24</v>
      </c>
      <c r="F1173">
        <v>3249.64</v>
      </c>
    </row>
    <row r="1174" spans="1:6" x14ac:dyDescent="0.35">
      <c r="A1174">
        <v>1398</v>
      </c>
      <c r="B1174" s="4">
        <v>45696.375085336993</v>
      </c>
      <c r="C1174" t="s">
        <v>13</v>
      </c>
      <c r="D1174" t="s">
        <v>17</v>
      </c>
      <c r="E1174" t="s">
        <v>23</v>
      </c>
      <c r="F1174">
        <v>2157.54</v>
      </c>
    </row>
    <row r="1175" spans="1:6" x14ac:dyDescent="0.35">
      <c r="A1175">
        <v>1077</v>
      </c>
      <c r="B1175" s="4">
        <v>45697.375085336993</v>
      </c>
      <c r="C1175" t="s">
        <v>11</v>
      </c>
      <c r="D1175" t="s">
        <v>18</v>
      </c>
      <c r="E1175" t="s">
        <v>24</v>
      </c>
      <c r="F1175">
        <v>3012.8</v>
      </c>
    </row>
    <row r="1176" spans="1:6" x14ac:dyDescent="0.35">
      <c r="A1176">
        <v>1386</v>
      </c>
      <c r="B1176" s="4">
        <v>45697.375085336993</v>
      </c>
      <c r="C1176" t="s">
        <v>9</v>
      </c>
      <c r="D1176" t="s">
        <v>17</v>
      </c>
      <c r="E1176" t="s">
        <v>24</v>
      </c>
      <c r="F1176">
        <v>2239.02</v>
      </c>
    </row>
    <row r="1177" spans="1:6" x14ac:dyDescent="0.35">
      <c r="A1177">
        <v>1049</v>
      </c>
      <c r="B1177" s="4">
        <v>45698.375085336993</v>
      </c>
      <c r="C1177" t="s">
        <v>9</v>
      </c>
      <c r="D1177" t="s">
        <v>22</v>
      </c>
      <c r="E1177" t="s">
        <v>23</v>
      </c>
      <c r="F1177">
        <v>1262.6500000000001</v>
      </c>
    </row>
    <row r="1178" spans="1:6" x14ac:dyDescent="0.35">
      <c r="A1178">
        <v>1229</v>
      </c>
      <c r="B1178" s="4">
        <v>45698.375085336993</v>
      </c>
      <c r="C1178" t="s">
        <v>9</v>
      </c>
      <c r="D1178" t="s">
        <v>18</v>
      </c>
      <c r="E1178" t="s">
        <v>23</v>
      </c>
      <c r="F1178">
        <v>6253.7</v>
      </c>
    </row>
    <row r="1179" spans="1:6" x14ac:dyDescent="0.35">
      <c r="A1179">
        <v>1238</v>
      </c>
      <c r="B1179" s="4">
        <v>45698.375085336993</v>
      </c>
      <c r="C1179" t="s">
        <v>13</v>
      </c>
      <c r="D1179" t="s">
        <v>19</v>
      </c>
      <c r="E1179" t="s">
        <v>24</v>
      </c>
      <c r="F1179">
        <v>4908.7700000000004</v>
      </c>
    </row>
    <row r="1180" spans="1:6" x14ac:dyDescent="0.35">
      <c r="A1180">
        <v>1267</v>
      </c>
      <c r="B1180" s="4">
        <v>45699.375085336993</v>
      </c>
      <c r="C1180" t="s">
        <v>10</v>
      </c>
      <c r="D1180" t="s">
        <v>22</v>
      </c>
      <c r="E1180" t="s">
        <v>24</v>
      </c>
      <c r="F1180">
        <v>1473.6</v>
      </c>
    </row>
    <row r="1181" spans="1:6" x14ac:dyDescent="0.35">
      <c r="A1181">
        <v>1033</v>
      </c>
      <c r="B1181" s="4">
        <v>45699.375085336993</v>
      </c>
      <c r="C1181" t="s">
        <v>13</v>
      </c>
      <c r="D1181" t="s">
        <v>17</v>
      </c>
      <c r="E1181" t="s">
        <v>25</v>
      </c>
      <c r="F1181">
        <v>7481.09</v>
      </c>
    </row>
    <row r="1182" spans="1:6" x14ac:dyDescent="0.35">
      <c r="A1182">
        <v>1027</v>
      </c>
      <c r="B1182" s="4">
        <v>45699.375085336993</v>
      </c>
      <c r="C1182" t="s">
        <v>9</v>
      </c>
      <c r="D1182" t="s">
        <v>22</v>
      </c>
      <c r="E1182" t="s">
        <v>23</v>
      </c>
      <c r="F1182">
        <v>1214.7</v>
      </c>
    </row>
    <row r="1183" spans="1:6" x14ac:dyDescent="0.35">
      <c r="A1183">
        <v>1066</v>
      </c>
      <c r="B1183" s="4">
        <v>45699.375085336993</v>
      </c>
      <c r="C1183" t="s">
        <v>14</v>
      </c>
      <c r="D1183" t="s">
        <v>20</v>
      </c>
      <c r="E1183" t="s">
        <v>24</v>
      </c>
      <c r="F1183">
        <v>5597.07</v>
      </c>
    </row>
    <row r="1184" spans="1:6" x14ac:dyDescent="0.35">
      <c r="A1184">
        <v>1048</v>
      </c>
      <c r="B1184" s="4">
        <v>45699.375085336993</v>
      </c>
      <c r="C1184" t="s">
        <v>8</v>
      </c>
      <c r="D1184" t="s">
        <v>20</v>
      </c>
      <c r="E1184" t="s">
        <v>24</v>
      </c>
      <c r="F1184">
        <v>5381.97</v>
      </c>
    </row>
    <row r="1185" spans="1:6" x14ac:dyDescent="0.35">
      <c r="A1185">
        <v>1269</v>
      </c>
      <c r="B1185" s="4">
        <v>45700.375085336993</v>
      </c>
      <c r="C1185" t="s">
        <v>9</v>
      </c>
      <c r="D1185" t="s">
        <v>18</v>
      </c>
      <c r="E1185" t="s">
        <v>25</v>
      </c>
      <c r="F1185">
        <v>685.38</v>
      </c>
    </row>
    <row r="1186" spans="1:6" x14ac:dyDescent="0.35">
      <c r="A1186">
        <v>1259</v>
      </c>
      <c r="B1186" s="4">
        <v>45700.375085336993</v>
      </c>
      <c r="C1186" t="s">
        <v>14</v>
      </c>
      <c r="D1186" t="s">
        <v>18</v>
      </c>
      <c r="E1186" t="s">
        <v>25</v>
      </c>
      <c r="F1186">
        <v>5227.8900000000003</v>
      </c>
    </row>
    <row r="1187" spans="1:6" x14ac:dyDescent="0.35">
      <c r="A1187">
        <v>1019</v>
      </c>
      <c r="B1187" s="4">
        <v>45700.375085336993</v>
      </c>
      <c r="C1187" t="s">
        <v>8</v>
      </c>
      <c r="D1187" t="s">
        <v>18</v>
      </c>
      <c r="E1187" t="s">
        <v>24</v>
      </c>
      <c r="F1187">
        <v>5393.15</v>
      </c>
    </row>
    <row r="1188" spans="1:6" x14ac:dyDescent="0.35">
      <c r="A1188">
        <v>1334</v>
      </c>
      <c r="B1188" s="4">
        <v>45700.375085336993</v>
      </c>
      <c r="C1188" t="s">
        <v>14</v>
      </c>
      <c r="D1188" t="s">
        <v>16</v>
      </c>
      <c r="E1188" t="s">
        <v>25</v>
      </c>
      <c r="F1188">
        <v>8014.12</v>
      </c>
    </row>
    <row r="1189" spans="1:6" x14ac:dyDescent="0.35">
      <c r="A1189">
        <v>1078</v>
      </c>
      <c r="B1189" s="4">
        <v>45700.375085336993</v>
      </c>
      <c r="C1189" t="s">
        <v>13</v>
      </c>
      <c r="D1189" t="s">
        <v>16</v>
      </c>
      <c r="E1189" t="s">
        <v>25</v>
      </c>
      <c r="F1189">
        <v>4165.1400000000003</v>
      </c>
    </row>
    <row r="1190" spans="1:6" x14ac:dyDescent="0.35">
      <c r="A1190">
        <v>1118</v>
      </c>
      <c r="B1190" s="4">
        <v>45701.375085336993</v>
      </c>
      <c r="C1190" t="s">
        <v>12</v>
      </c>
      <c r="D1190" t="s">
        <v>17</v>
      </c>
      <c r="E1190" t="s">
        <v>25</v>
      </c>
      <c r="F1190">
        <v>871.39</v>
      </c>
    </row>
    <row r="1191" spans="1:6" x14ac:dyDescent="0.35">
      <c r="A1191">
        <v>1118</v>
      </c>
      <c r="B1191" s="4">
        <v>45701.375085336993</v>
      </c>
      <c r="C1191" t="s">
        <v>11</v>
      </c>
      <c r="D1191" t="s">
        <v>16</v>
      </c>
      <c r="E1191" t="s">
        <v>24</v>
      </c>
      <c r="F1191">
        <v>3413.38</v>
      </c>
    </row>
    <row r="1192" spans="1:6" x14ac:dyDescent="0.35">
      <c r="A1192">
        <v>1276</v>
      </c>
      <c r="B1192" s="4">
        <v>45701.375085336993</v>
      </c>
      <c r="C1192" t="s">
        <v>6</v>
      </c>
      <c r="D1192" t="s">
        <v>20</v>
      </c>
      <c r="E1192" t="s">
        <v>24</v>
      </c>
      <c r="F1192">
        <v>6373.37</v>
      </c>
    </row>
    <row r="1193" spans="1:6" x14ac:dyDescent="0.35">
      <c r="A1193">
        <v>1304</v>
      </c>
      <c r="B1193" s="4">
        <v>45701.375085336993</v>
      </c>
      <c r="C1193" t="s">
        <v>6</v>
      </c>
      <c r="D1193" t="s">
        <v>20</v>
      </c>
      <c r="E1193" t="s">
        <v>24</v>
      </c>
      <c r="F1193">
        <v>4694.58</v>
      </c>
    </row>
    <row r="1194" spans="1:6" x14ac:dyDescent="0.35">
      <c r="A1194">
        <v>1332</v>
      </c>
      <c r="B1194" s="4">
        <v>45701.375085336993</v>
      </c>
      <c r="C1194" t="s">
        <v>15</v>
      </c>
      <c r="D1194" t="s">
        <v>22</v>
      </c>
      <c r="E1194" t="s">
        <v>23</v>
      </c>
      <c r="F1194">
        <v>3630.8</v>
      </c>
    </row>
    <row r="1195" spans="1:6" x14ac:dyDescent="0.35">
      <c r="A1195">
        <v>1001</v>
      </c>
      <c r="B1195" s="4">
        <v>45702.375085336993</v>
      </c>
      <c r="C1195" t="s">
        <v>6</v>
      </c>
      <c r="D1195" t="s">
        <v>17</v>
      </c>
      <c r="E1195" t="s">
        <v>25</v>
      </c>
      <c r="F1195">
        <v>1368.78</v>
      </c>
    </row>
    <row r="1196" spans="1:6" x14ac:dyDescent="0.35">
      <c r="A1196">
        <v>1031</v>
      </c>
      <c r="B1196" s="4">
        <v>45703.375085336993</v>
      </c>
      <c r="C1196" t="s">
        <v>10</v>
      </c>
      <c r="D1196" t="s">
        <v>19</v>
      </c>
      <c r="E1196" t="s">
        <v>24</v>
      </c>
      <c r="F1196">
        <v>2900.69</v>
      </c>
    </row>
    <row r="1197" spans="1:6" x14ac:dyDescent="0.35">
      <c r="A1197">
        <v>1390</v>
      </c>
      <c r="B1197" s="4">
        <v>45704.375085336993</v>
      </c>
      <c r="C1197" t="s">
        <v>6</v>
      </c>
      <c r="D1197" t="s">
        <v>20</v>
      </c>
      <c r="E1197" t="s">
        <v>24</v>
      </c>
      <c r="F1197">
        <v>7099.75</v>
      </c>
    </row>
    <row r="1198" spans="1:6" x14ac:dyDescent="0.35">
      <c r="A1198">
        <v>1061</v>
      </c>
      <c r="B1198" s="4">
        <v>45704.375085336993</v>
      </c>
      <c r="C1198" t="s">
        <v>8</v>
      </c>
      <c r="D1198" t="s">
        <v>17</v>
      </c>
      <c r="E1198" t="s">
        <v>25</v>
      </c>
      <c r="F1198">
        <v>4042.48</v>
      </c>
    </row>
    <row r="1199" spans="1:6" x14ac:dyDescent="0.35">
      <c r="A1199">
        <v>1258</v>
      </c>
      <c r="B1199" s="4">
        <v>45704.375085336993</v>
      </c>
      <c r="C1199" t="s">
        <v>15</v>
      </c>
      <c r="D1199" t="s">
        <v>18</v>
      </c>
      <c r="E1199" t="s">
        <v>25</v>
      </c>
      <c r="F1199">
        <v>8485.7199999999993</v>
      </c>
    </row>
    <row r="1200" spans="1:6" x14ac:dyDescent="0.35">
      <c r="A1200">
        <v>1012</v>
      </c>
      <c r="B1200" s="4">
        <v>45705.375085336993</v>
      </c>
      <c r="C1200" t="s">
        <v>6</v>
      </c>
      <c r="D1200" t="s">
        <v>18</v>
      </c>
      <c r="E1200" t="s">
        <v>23</v>
      </c>
      <c r="F1200">
        <v>8729.25</v>
      </c>
    </row>
    <row r="1201" spans="1:6" x14ac:dyDescent="0.35">
      <c r="A1201">
        <v>1368</v>
      </c>
      <c r="B1201" s="4">
        <v>45705.375085336993</v>
      </c>
      <c r="C1201" t="s">
        <v>11</v>
      </c>
      <c r="D1201" t="s">
        <v>21</v>
      </c>
      <c r="E1201" t="s">
        <v>24</v>
      </c>
      <c r="F1201">
        <v>8001.63</v>
      </c>
    </row>
    <row r="1202" spans="1:6" x14ac:dyDescent="0.35">
      <c r="A1202">
        <v>1261</v>
      </c>
      <c r="B1202" s="4">
        <v>45705.375085336993</v>
      </c>
      <c r="C1202" t="s">
        <v>13</v>
      </c>
      <c r="D1202" t="s">
        <v>20</v>
      </c>
      <c r="E1202" t="s">
        <v>23</v>
      </c>
      <c r="F1202">
        <v>2553.12</v>
      </c>
    </row>
    <row r="1203" spans="1:6" x14ac:dyDescent="0.35">
      <c r="A1203">
        <v>1179</v>
      </c>
      <c r="B1203" s="4">
        <v>45706.375085336993</v>
      </c>
      <c r="C1203" t="s">
        <v>6</v>
      </c>
      <c r="D1203" t="s">
        <v>22</v>
      </c>
      <c r="E1203" t="s">
        <v>24</v>
      </c>
      <c r="F1203">
        <v>8777.11</v>
      </c>
    </row>
    <row r="1204" spans="1:6" x14ac:dyDescent="0.35">
      <c r="A1204">
        <v>1324</v>
      </c>
      <c r="B1204" s="4">
        <v>45706.375085336993</v>
      </c>
      <c r="C1204" t="s">
        <v>15</v>
      </c>
      <c r="D1204" t="s">
        <v>19</v>
      </c>
      <c r="E1204" t="s">
        <v>25</v>
      </c>
      <c r="F1204">
        <v>3126.18</v>
      </c>
    </row>
    <row r="1205" spans="1:6" x14ac:dyDescent="0.35">
      <c r="A1205">
        <v>1268</v>
      </c>
      <c r="B1205" s="4">
        <v>45706.375085336993</v>
      </c>
      <c r="C1205" t="s">
        <v>9</v>
      </c>
      <c r="D1205" t="s">
        <v>16</v>
      </c>
      <c r="E1205" t="s">
        <v>23</v>
      </c>
      <c r="F1205">
        <v>3975.02</v>
      </c>
    </row>
    <row r="1206" spans="1:6" x14ac:dyDescent="0.35">
      <c r="A1206">
        <v>1228</v>
      </c>
      <c r="B1206" s="4">
        <v>45706.375085336993</v>
      </c>
      <c r="C1206" t="s">
        <v>8</v>
      </c>
      <c r="D1206" t="s">
        <v>18</v>
      </c>
      <c r="E1206" t="s">
        <v>24</v>
      </c>
      <c r="F1206">
        <v>5894.52</v>
      </c>
    </row>
    <row r="1207" spans="1:6" x14ac:dyDescent="0.35">
      <c r="A1207">
        <v>1393</v>
      </c>
      <c r="B1207" s="4">
        <v>45707.375085336993</v>
      </c>
      <c r="C1207" t="s">
        <v>14</v>
      </c>
      <c r="D1207" t="s">
        <v>21</v>
      </c>
      <c r="E1207" t="s">
        <v>25</v>
      </c>
      <c r="F1207">
        <v>5550</v>
      </c>
    </row>
    <row r="1208" spans="1:6" x14ac:dyDescent="0.35">
      <c r="A1208">
        <v>1175</v>
      </c>
      <c r="B1208" s="4">
        <v>45707.375085336993</v>
      </c>
      <c r="C1208" t="s">
        <v>15</v>
      </c>
      <c r="D1208" t="s">
        <v>22</v>
      </c>
      <c r="E1208" t="s">
        <v>24</v>
      </c>
      <c r="F1208">
        <v>1672.82</v>
      </c>
    </row>
    <row r="1209" spans="1:6" x14ac:dyDescent="0.35">
      <c r="A1209">
        <v>1191</v>
      </c>
      <c r="B1209" s="4">
        <v>45707.375085336993</v>
      </c>
      <c r="C1209" t="s">
        <v>12</v>
      </c>
      <c r="D1209" t="s">
        <v>16</v>
      </c>
      <c r="E1209" t="s">
        <v>24</v>
      </c>
      <c r="F1209">
        <v>653.09</v>
      </c>
    </row>
    <row r="1210" spans="1:6" x14ac:dyDescent="0.35">
      <c r="A1210">
        <v>1050</v>
      </c>
      <c r="B1210" s="4">
        <v>45707.375085336993</v>
      </c>
      <c r="C1210" t="s">
        <v>15</v>
      </c>
      <c r="D1210" t="s">
        <v>16</v>
      </c>
      <c r="E1210" t="s">
        <v>24</v>
      </c>
      <c r="F1210">
        <v>751.57</v>
      </c>
    </row>
    <row r="1211" spans="1:6" x14ac:dyDescent="0.35">
      <c r="A1211">
        <v>1081</v>
      </c>
      <c r="B1211" s="4">
        <v>45707.375085336993</v>
      </c>
      <c r="C1211" t="s">
        <v>10</v>
      </c>
      <c r="D1211" t="s">
        <v>19</v>
      </c>
      <c r="E1211" t="s">
        <v>24</v>
      </c>
      <c r="F1211">
        <v>3533.07</v>
      </c>
    </row>
    <row r="1212" spans="1:6" x14ac:dyDescent="0.35">
      <c r="A1212">
        <v>1288</v>
      </c>
      <c r="B1212" s="4">
        <v>45707.375085336993</v>
      </c>
      <c r="C1212" t="s">
        <v>12</v>
      </c>
      <c r="D1212" t="s">
        <v>20</v>
      </c>
      <c r="E1212" t="s">
        <v>24</v>
      </c>
      <c r="F1212">
        <v>6820.2</v>
      </c>
    </row>
    <row r="1213" spans="1:6" x14ac:dyDescent="0.35">
      <c r="A1213">
        <v>1366</v>
      </c>
      <c r="B1213" s="4">
        <v>45707.375085336993</v>
      </c>
      <c r="C1213" t="s">
        <v>10</v>
      </c>
      <c r="D1213" t="s">
        <v>22</v>
      </c>
      <c r="E1213" t="s">
        <v>23</v>
      </c>
      <c r="F1213">
        <v>3271.81</v>
      </c>
    </row>
    <row r="1214" spans="1:6" x14ac:dyDescent="0.35">
      <c r="A1214">
        <v>1188</v>
      </c>
      <c r="B1214" s="4">
        <v>45708.375085336993</v>
      </c>
      <c r="C1214" t="s">
        <v>6</v>
      </c>
      <c r="D1214" t="s">
        <v>17</v>
      </c>
      <c r="E1214" t="s">
        <v>23</v>
      </c>
      <c r="F1214">
        <v>6645.75</v>
      </c>
    </row>
    <row r="1215" spans="1:6" x14ac:dyDescent="0.35">
      <c r="A1215">
        <v>1118</v>
      </c>
      <c r="B1215" s="4">
        <v>45708.375085336993</v>
      </c>
      <c r="C1215" t="s">
        <v>7</v>
      </c>
      <c r="D1215" t="s">
        <v>22</v>
      </c>
      <c r="E1215" t="s">
        <v>24</v>
      </c>
      <c r="F1215">
        <v>4349.08</v>
      </c>
    </row>
    <row r="1216" spans="1:6" x14ac:dyDescent="0.35">
      <c r="A1216">
        <v>1175</v>
      </c>
      <c r="B1216" s="4">
        <v>45708.375085336993</v>
      </c>
      <c r="C1216" t="s">
        <v>12</v>
      </c>
      <c r="D1216" t="s">
        <v>17</v>
      </c>
      <c r="E1216" t="s">
        <v>23</v>
      </c>
      <c r="F1216">
        <v>5009.1499999999996</v>
      </c>
    </row>
    <row r="1217" spans="1:6" x14ac:dyDescent="0.35">
      <c r="A1217">
        <v>1048</v>
      </c>
      <c r="B1217" s="4">
        <v>45708.375085336993</v>
      </c>
      <c r="C1217" t="s">
        <v>9</v>
      </c>
      <c r="D1217" t="s">
        <v>20</v>
      </c>
      <c r="E1217" t="s">
        <v>24</v>
      </c>
      <c r="F1217">
        <v>4139.43</v>
      </c>
    </row>
    <row r="1218" spans="1:6" x14ac:dyDescent="0.35">
      <c r="A1218">
        <v>1066</v>
      </c>
      <c r="B1218" s="4">
        <v>45708.375085336993</v>
      </c>
      <c r="C1218" t="s">
        <v>9</v>
      </c>
      <c r="D1218" t="s">
        <v>18</v>
      </c>
      <c r="E1218" t="s">
        <v>24</v>
      </c>
      <c r="F1218">
        <v>2723.3</v>
      </c>
    </row>
    <row r="1219" spans="1:6" x14ac:dyDescent="0.35">
      <c r="A1219">
        <v>1196</v>
      </c>
      <c r="B1219" s="4">
        <v>45708.375085336993</v>
      </c>
      <c r="C1219" t="s">
        <v>12</v>
      </c>
      <c r="D1219" t="s">
        <v>21</v>
      </c>
      <c r="E1219" t="s">
        <v>24</v>
      </c>
      <c r="F1219">
        <v>3638.76</v>
      </c>
    </row>
    <row r="1220" spans="1:6" x14ac:dyDescent="0.35">
      <c r="A1220">
        <v>1348</v>
      </c>
      <c r="B1220" s="4">
        <v>45709.375085336993</v>
      </c>
      <c r="C1220" t="s">
        <v>14</v>
      </c>
      <c r="D1220" t="s">
        <v>16</v>
      </c>
      <c r="E1220" t="s">
        <v>23</v>
      </c>
      <c r="F1220">
        <v>164.79</v>
      </c>
    </row>
    <row r="1221" spans="1:6" x14ac:dyDescent="0.35">
      <c r="A1221">
        <v>1095</v>
      </c>
      <c r="B1221" s="4">
        <v>45709.375085336993</v>
      </c>
      <c r="C1221" t="s">
        <v>9</v>
      </c>
      <c r="D1221" t="s">
        <v>17</v>
      </c>
      <c r="E1221" t="s">
        <v>23</v>
      </c>
      <c r="F1221">
        <v>4842.9799999999996</v>
      </c>
    </row>
    <row r="1222" spans="1:6" x14ac:dyDescent="0.35">
      <c r="A1222">
        <v>1341</v>
      </c>
      <c r="B1222" s="4">
        <v>45709.375085336993</v>
      </c>
      <c r="C1222" t="s">
        <v>13</v>
      </c>
      <c r="D1222" t="s">
        <v>19</v>
      </c>
      <c r="E1222" t="s">
        <v>24</v>
      </c>
      <c r="F1222">
        <v>3745.72</v>
      </c>
    </row>
    <row r="1223" spans="1:6" x14ac:dyDescent="0.35">
      <c r="A1223">
        <v>1315</v>
      </c>
      <c r="B1223" s="4">
        <v>45709.375085336993</v>
      </c>
      <c r="C1223" t="s">
        <v>6</v>
      </c>
      <c r="D1223" t="s">
        <v>22</v>
      </c>
      <c r="E1223" t="s">
        <v>24</v>
      </c>
      <c r="F1223">
        <v>3681.29</v>
      </c>
    </row>
    <row r="1224" spans="1:6" x14ac:dyDescent="0.35">
      <c r="A1224">
        <v>1226</v>
      </c>
      <c r="B1224" s="4">
        <v>45709.375085336993</v>
      </c>
      <c r="C1224" t="s">
        <v>13</v>
      </c>
      <c r="D1224" t="s">
        <v>21</v>
      </c>
      <c r="E1224" t="s">
        <v>25</v>
      </c>
      <c r="F1224">
        <v>10181.36</v>
      </c>
    </row>
    <row r="1225" spans="1:6" x14ac:dyDescent="0.35">
      <c r="A1225">
        <v>1121</v>
      </c>
      <c r="B1225" s="4">
        <v>45709.375085336993</v>
      </c>
      <c r="C1225" t="s">
        <v>11</v>
      </c>
      <c r="D1225" t="s">
        <v>16</v>
      </c>
      <c r="E1225" t="s">
        <v>23</v>
      </c>
      <c r="F1225">
        <v>2066.69</v>
      </c>
    </row>
    <row r="1226" spans="1:6" x14ac:dyDescent="0.35">
      <c r="A1226">
        <v>1396</v>
      </c>
      <c r="B1226" s="4">
        <v>45710.375085336993</v>
      </c>
      <c r="C1226" t="s">
        <v>7</v>
      </c>
      <c r="D1226" t="s">
        <v>19</v>
      </c>
      <c r="E1226" t="s">
        <v>24</v>
      </c>
      <c r="F1226">
        <v>7019.98</v>
      </c>
    </row>
    <row r="1227" spans="1:6" x14ac:dyDescent="0.35">
      <c r="A1227">
        <v>1140</v>
      </c>
      <c r="B1227" s="4">
        <v>45710.375085336993</v>
      </c>
      <c r="C1227" t="s">
        <v>13</v>
      </c>
      <c r="D1227" t="s">
        <v>16</v>
      </c>
      <c r="E1227" t="s">
        <v>25</v>
      </c>
      <c r="F1227">
        <v>1467.77</v>
      </c>
    </row>
    <row r="1228" spans="1:6" x14ac:dyDescent="0.35">
      <c r="A1228">
        <v>1226</v>
      </c>
      <c r="B1228" s="4">
        <v>45710.375085336993</v>
      </c>
      <c r="C1228" t="s">
        <v>14</v>
      </c>
      <c r="D1228" t="s">
        <v>22</v>
      </c>
      <c r="E1228" t="s">
        <v>24</v>
      </c>
      <c r="F1228">
        <v>1971.99</v>
      </c>
    </row>
    <row r="1229" spans="1:6" x14ac:dyDescent="0.35">
      <c r="A1229">
        <v>1259</v>
      </c>
      <c r="B1229" s="4">
        <v>45711.375085336993</v>
      </c>
      <c r="C1229" t="s">
        <v>10</v>
      </c>
      <c r="D1229" t="s">
        <v>21</v>
      </c>
      <c r="E1229" t="s">
        <v>23</v>
      </c>
      <c r="F1229">
        <v>1834.12</v>
      </c>
    </row>
    <row r="1230" spans="1:6" x14ac:dyDescent="0.35">
      <c r="A1230">
        <v>1287</v>
      </c>
      <c r="B1230" s="4">
        <v>45711.375085336993</v>
      </c>
      <c r="C1230" t="s">
        <v>11</v>
      </c>
      <c r="D1230" t="s">
        <v>16</v>
      </c>
      <c r="E1230" t="s">
        <v>23</v>
      </c>
      <c r="F1230">
        <v>892.62</v>
      </c>
    </row>
    <row r="1231" spans="1:6" x14ac:dyDescent="0.35">
      <c r="A1231">
        <v>1226</v>
      </c>
      <c r="B1231" s="4">
        <v>45712.375085336993</v>
      </c>
      <c r="C1231" t="s">
        <v>13</v>
      </c>
      <c r="D1231" t="s">
        <v>18</v>
      </c>
      <c r="E1231" t="s">
        <v>24</v>
      </c>
      <c r="F1231">
        <v>1096.8599999999999</v>
      </c>
    </row>
    <row r="1232" spans="1:6" x14ac:dyDescent="0.35">
      <c r="A1232">
        <v>1386</v>
      </c>
      <c r="B1232" s="4">
        <v>45712.375085336993</v>
      </c>
      <c r="C1232" t="s">
        <v>15</v>
      </c>
      <c r="D1232" t="s">
        <v>21</v>
      </c>
      <c r="E1232" t="s">
        <v>24</v>
      </c>
      <c r="F1232">
        <v>3697.44</v>
      </c>
    </row>
    <row r="1233" spans="1:6" x14ac:dyDescent="0.35">
      <c r="A1233">
        <v>1037</v>
      </c>
      <c r="B1233" s="4">
        <v>45712.375085336993</v>
      </c>
      <c r="C1233" t="s">
        <v>9</v>
      </c>
      <c r="D1233" t="s">
        <v>19</v>
      </c>
      <c r="E1233" t="s">
        <v>24</v>
      </c>
      <c r="F1233">
        <v>2365.88</v>
      </c>
    </row>
    <row r="1234" spans="1:6" x14ac:dyDescent="0.35">
      <c r="A1234">
        <v>1214</v>
      </c>
      <c r="B1234" s="4">
        <v>45713.375085336993</v>
      </c>
      <c r="C1234" t="s">
        <v>6</v>
      </c>
      <c r="D1234" t="s">
        <v>16</v>
      </c>
      <c r="E1234" t="s">
        <v>25</v>
      </c>
      <c r="F1234">
        <v>1564.63</v>
      </c>
    </row>
    <row r="1235" spans="1:6" x14ac:dyDescent="0.35">
      <c r="A1235">
        <v>1234</v>
      </c>
      <c r="B1235" s="4">
        <v>45713.375085336993</v>
      </c>
      <c r="C1235" t="s">
        <v>9</v>
      </c>
      <c r="D1235" t="s">
        <v>19</v>
      </c>
      <c r="E1235" t="s">
        <v>23</v>
      </c>
      <c r="F1235">
        <v>3199.58</v>
      </c>
    </row>
    <row r="1236" spans="1:6" x14ac:dyDescent="0.35">
      <c r="A1236">
        <v>1160</v>
      </c>
      <c r="B1236" s="4">
        <v>45713.375085336993</v>
      </c>
      <c r="C1236" t="s">
        <v>14</v>
      </c>
      <c r="D1236" t="s">
        <v>21</v>
      </c>
      <c r="E1236" t="s">
        <v>24</v>
      </c>
      <c r="F1236">
        <v>3022.21</v>
      </c>
    </row>
    <row r="1237" spans="1:6" x14ac:dyDescent="0.35">
      <c r="A1237">
        <v>1344</v>
      </c>
      <c r="B1237" s="4">
        <v>45713.375085336993</v>
      </c>
      <c r="C1237" t="s">
        <v>11</v>
      </c>
      <c r="D1237" t="s">
        <v>17</v>
      </c>
      <c r="E1237" t="s">
        <v>25</v>
      </c>
      <c r="F1237">
        <v>1370.41</v>
      </c>
    </row>
    <row r="1238" spans="1:6" x14ac:dyDescent="0.35">
      <c r="A1238">
        <v>1125</v>
      </c>
      <c r="B1238" s="4">
        <v>45714.375085336993</v>
      </c>
      <c r="C1238" t="s">
        <v>9</v>
      </c>
      <c r="D1238" t="s">
        <v>16</v>
      </c>
      <c r="E1238" t="s">
        <v>25</v>
      </c>
      <c r="F1238">
        <v>1815.7</v>
      </c>
    </row>
    <row r="1239" spans="1:6" x14ac:dyDescent="0.35">
      <c r="A1239">
        <v>1272</v>
      </c>
      <c r="B1239" s="4">
        <v>45714.375085336993</v>
      </c>
      <c r="C1239" t="s">
        <v>7</v>
      </c>
      <c r="D1239" t="s">
        <v>17</v>
      </c>
      <c r="E1239" t="s">
        <v>23</v>
      </c>
      <c r="F1239">
        <v>515.77</v>
      </c>
    </row>
    <row r="1240" spans="1:6" x14ac:dyDescent="0.35">
      <c r="A1240">
        <v>1020</v>
      </c>
      <c r="B1240" s="4">
        <v>45715.375085336993</v>
      </c>
      <c r="C1240" t="s">
        <v>15</v>
      </c>
      <c r="D1240" t="s">
        <v>18</v>
      </c>
      <c r="E1240" t="s">
        <v>25</v>
      </c>
      <c r="F1240">
        <v>1909.41</v>
      </c>
    </row>
    <row r="1241" spans="1:6" x14ac:dyDescent="0.35">
      <c r="A1241">
        <v>1380</v>
      </c>
      <c r="B1241" s="4">
        <v>45715.375085336993</v>
      </c>
      <c r="C1241" t="s">
        <v>6</v>
      </c>
      <c r="D1241" t="s">
        <v>19</v>
      </c>
      <c r="E1241" t="s">
        <v>24</v>
      </c>
      <c r="F1241">
        <v>446.64</v>
      </c>
    </row>
    <row r="1242" spans="1:6" x14ac:dyDescent="0.35">
      <c r="A1242">
        <v>1117</v>
      </c>
      <c r="B1242" s="4">
        <v>45716.375085336993</v>
      </c>
      <c r="C1242" t="s">
        <v>10</v>
      </c>
      <c r="D1242" t="s">
        <v>16</v>
      </c>
      <c r="E1242" t="s">
        <v>24</v>
      </c>
      <c r="F1242">
        <v>5084.26</v>
      </c>
    </row>
    <row r="1243" spans="1:6" x14ac:dyDescent="0.35">
      <c r="A1243">
        <v>1269</v>
      </c>
      <c r="B1243" s="4">
        <v>45716.375085336993</v>
      </c>
      <c r="C1243" t="s">
        <v>13</v>
      </c>
      <c r="D1243" t="s">
        <v>21</v>
      </c>
      <c r="E1243" t="s">
        <v>23</v>
      </c>
      <c r="F1243">
        <v>1552.25</v>
      </c>
    </row>
    <row r="1244" spans="1:6" x14ac:dyDescent="0.35">
      <c r="A1244">
        <v>1094</v>
      </c>
      <c r="B1244" s="4">
        <v>45716.375085336993</v>
      </c>
      <c r="C1244" t="s">
        <v>15</v>
      </c>
      <c r="D1244" t="s">
        <v>22</v>
      </c>
      <c r="E1244" t="s">
        <v>23</v>
      </c>
      <c r="F1244">
        <v>7713.57</v>
      </c>
    </row>
    <row r="1245" spans="1:6" x14ac:dyDescent="0.35">
      <c r="A1245">
        <v>1226</v>
      </c>
      <c r="B1245" s="4">
        <v>45716.375085336993</v>
      </c>
      <c r="C1245" t="s">
        <v>6</v>
      </c>
      <c r="D1245" t="s">
        <v>21</v>
      </c>
      <c r="E1245" t="s">
        <v>25</v>
      </c>
      <c r="F1245">
        <v>8221.7099999999991</v>
      </c>
    </row>
    <row r="1246" spans="1:6" x14ac:dyDescent="0.35">
      <c r="A1246">
        <v>1236</v>
      </c>
      <c r="B1246" s="4">
        <v>45716.375085336993</v>
      </c>
      <c r="C1246" t="s">
        <v>11</v>
      </c>
      <c r="D1246" t="s">
        <v>18</v>
      </c>
      <c r="E1246" t="s">
        <v>24</v>
      </c>
      <c r="F1246">
        <v>4134.09</v>
      </c>
    </row>
    <row r="1247" spans="1:6" x14ac:dyDescent="0.35">
      <c r="A1247">
        <v>1114</v>
      </c>
      <c r="B1247" s="4">
        <v>45717.375085336993</v>
      </c>
      <c r="C1247" t="s">
        <v>6</v>
      </c>
      <c r="D1247" t="s">
        <v>21</v>
      </c>
      <c r="E1247" t="s">
        <v>23</v>
      </c>
      <c r="F1247">
        <v>7695.18</v>
      </c>
    </row>
    <row r="1248" spans="1:6" x14ac:dyDescent="0.35">
      <c r="A1248">
        <v>1047</v>
      </c>
      <c r="B1248" s="4">
        <v>45718.375085336993</v>
      </c>
      <c r="C1248" t="s">
        <v>13</v>
      </c>
      <c r="D1248" t="s">
        <v>17</v>
      </c>
      <c r="E1248" t="s">
        <v>25</v>
      </c>
      <c r="F1248">
        <v>4795.17</v>
      </c>
    </row>
    <row r="1249" spans="1:6" x14ac:dyDescent="0.35">
      <c r="A1249">
        <v>1364</v>
      </c>
      <c r="B1249" s="4">
        <v>45718.375085336993</v>
      </c>
      <c r="C1249" t="s">
        <v>15</v>
      </c>
      <c r="D1249" t="s">
        <v>19</v>
      </c>
      <c r="E1249" t="s">
        <v>25</v>
      </c>
      <c r="F1249">
        <v>5630.95</v>
      </c>
    </row>
    <row r="1250" spans="1:6" x14ac:dyDescent="0.35">
      <c r="A1250">
        <v>1028</v>
      </c>
      <c r="B1250" s="4">
        <v>45718.375085336993</v>
      </c>
      <c r="C1250" t="s">
        <v>7</v>
      </c>
      <c r="D1250" t="s">
        <v>16</v>
      </c>
      <c r="E1250" t="s">
        <v>25</v>
      </c>
      <c r="F1250">
        <v>1242.3</v>
      </c>
    </row>
    <row r="1251" spans="1:6" x14ac:dyDescent="0.35">
      <c r="A1251">
        <v>1261</v>
      </c>
      <c r="B1251" s="4">
        <v>45718.375085336993</v>
      </c>
      <c r="C1251" t="s">
        <v>7</v>
      </c>
      <c r="D1251" t="s">
        <v>22</v>
      </c>
      <c r="E1251" t="s">
        <v>23</v>
      </c>
      <c r="F1251">
        <v>886.54</v>
      </c>
    </row>
    <row r="1252" spans="1:6" x14ac:dyDescent="0.35">
      <c r="A1252">
        <v>1190</v>
      </c>
      <c r="B1252" s="4">
        <v>45718.375085336993</v>
      </c>
      <c r="C1252" t="s">
        <v>11</v>
      </c>
      <c r="D1252" t="s">
        <v>21</v>
      </c>
      <c r="E1252" t="s">
        <v>24</v>
      </c>
      <c r="F1252">
        <v>5923.37</v>
      </c>
    </row>
    <row r="1253" spans="1:6" x14ac:dyDescent="0.35">
      <c r="A1253">
        <v>1208</v>
      </c>
      <c r="B1253" s="4">
        <v>45718.375085336993</v>
      </c>
      <c r="C1253" t="s">
        <v>11</v>
      </c>
      <c r="D1253" t="s">
        <v>22</v>
      </c>
      <c r="E1253" t="s">
        <v>23</v>
      </c>
      <c r="F1253">
        <v>6962.77</v>
      </c>
    </row>
    <row r="1254" spans="1:6" x14ac:dyDescent="0.35">
      <c r="A1254">
        <v>1128</v>
      </c>
      <c r="B1254" s="4">
        <v>45718.375085336993</v>
      </c>
      <c r="C1254" t="s">
        <v>10</v>
      </c>
      <c r="D1254" t="s">
        <v>18</v>
      </c>
      <c r="E1254" t="s">
        <v>23</v>
      </c>
      <c r="F1254">
        <v>5014.51</v>
      </c>
    </row>
    <row r="1255" spans="1:6" x14ac:dyDescent="0.35">
      <c r="A1255">
        <v>1229</v>
      </c>
      <c r="B1255" s="4">
        <v>45718.375085336993</v>
      </c>
      <c r="C1255" t="s">
        <v>14</v>
      </c>
      <c r="D1255" t="s">
        <v>21</v>
      </c>
      <c r="E1255" t="s">
        <v>24</v>
      </c>
      <c r="F1255">
        <v>4533.3599999999997</v>
      </c>
    </row>
    <row r="1256" spans="1:6" x14ac:dyDescent="0.35">
      <c r="A1256">
        <v>1374</v>
      </c>
      <c r="B1256" s="4">
        <v>45719.375085336993</v>
      </c>
      <c r="C1256" t="s">
        <v>8</v>
      </c>
      <c r="D1256" t="s">
        <v>18</v>
      </c>
      <c r="E1256" t="s">
        <v>25</v>
      </c>
      <c r="F1256">
        <v>709.51</v>
      </c>
    </row>
    <row r="1257" spans="1:6" x14ac:dyDescent="0.35">
      <c r="A1257">
        <v>1198</v>
      </c>
      <c r="B1257" s="4">
        <v>45719.375085336993</v>
      </c>
      <c r="C1257" t="s">
        <v>13</v>
      </c>
      <c r="D1257" t="s">
        <v>21</v>
      </c>
      <c r="E1257" t="s">
        <v>23</v>
      </c>
      <c r="F1257">
        <v>6244.94</v>
      </c>
    </row>
    <row r="1258" spans="1:6" x14ac:dyDescent="0.35">
      <c r="A1258">
        <v>1130</v>
      </c>
      <c r="B1258" s="4">
        <v>45719.375085336993</v>
      </c>
      <c r="C1258" t="s">
        <v>6</v>
      </c>
      <c r="D1258" t="s">
        <v>21</v>
      </c>
      <c r="E1258" t="s">
        <v>24</v>
      </c>
      <c r="F1258">
        <v>7345.14</v>
      </c>
    </row>
    <row r="1259" spans="1:6" x14ac:dyDescent="0.35">
      <c r="A1259">
        <v>1352</v>
      </c>
      <c r="B1259" s="4">
        <v>45719.375085336993</v>
      </c>
      <c r="C1259" t="s">
        <v>14</v>
      </c>
      <c r="D1259" t="s">
        <v>21</v>
      </c>
      <c r="E1259" t="s">
        <v>23</v>
      </c>
      <c r="F1259">
        <v>667.92</v>
      </c>
    </row>
    <row r="1260" spans="1:6" x14ac:dyDescent="0.35">
      <c r="A1260">
        <v>1098</v>
      </c>
      <c r="B1260" s="4">
        <v>45719.375085336993</v>
      </c>
      <c r="C1260" t="s">
        <v>10</v>
      </c>
      <c r="D1260" t="s">
        <v>16</v>
      </c>
      <c r="E1260" t="s">
        <v>25</v>
      </c>
      <c r="F1260">
        <v>6601.83</v>
      </c>
    </row>
    <row r="1261" spans="1:6" x14ac:dyDescent="0.35">
      <c r="A1261">
        <v>1369</v>
      </c>
      <c r="B1261" s="4">
        <v>45719.375085336993</v>
      </c>
      <c r="C1261" t="s">
        <v>7</v>
      </c>
      <c r="D1261" t="s">
        <v>22</v>
      </c>
      <c r="E1261" t="s">
        <v>24</v>
      </c>
      <c r="F1261">
        <v>3322.39</v>
      </c>
    </row>
    <row r="1262" spans="1:6" x14ac:dyDescent="0.35">
      <c r="A1262">
        <v>1215</v>
      </c>
      <c r="B1262" s="4">
        <v>45719.375085336993</v>
      </c>
      <c r="C1262" t="s">
        <v>6</v>
      </c>
      <c r="D1262" t="s">
        <v>20</v>
      </c>
      <c r="E1262" t="s">
        <v>25</v>
      </c>
      <c r="F1262">
        <v>280.11</v>
      </c>
    </row>
    <row r="1263" spans="1:6" x14ac:dyDescent="0.35">
      <c r="A1263">
        <v>1087</v>
      </c>
      <c r="B1263" s="4">
        <v>45719.375085336993</v>
      </c>
      <c r="C1263" t="s">
        <v>9</v>
      </c>
      <c r="D1263" t="s">
        <v>21</v>
      </c>
      <c r="E1263" t="s">
        <v>25</v>
      </c>
      <c r="F1263">
        <v>926.67</v>
      </c>
    </row>
    <row r="1264" spans="1:6" x14ac:dyDescent="0.35">
      <c r="A1264">
        <v>1391</v>
      </c>
      <c r="B1264" s="4">
        <v>45719.375085336993</v>
      </c>
      <c r="C1264" t="s">
        <v>13</v>
      </c>
      <c r="D1264" t="s">
        <v>22</v>
      </c>
      <c r="E1264" t="s">
        <v>24</v>
      </c>
      <c r="F1264">
        <v>987.72</v>
      </c>
    </row>
    <row r="1265" spans="1:6" x14ac:dyDescent="0.35">
      <c r="A1265">
        <v>1026</v>
      </c>
      <c r="B1265" s="4">
        <v>45720.375085336993</v>
      </c>
      <c r="C1265" t="s">
        <v>12</v>
      </c>
      <c r="D1265" t="s">
        <v>17</v>
      </c>
      <c r="E1265" t="s">
        <v>23</v>
      </c>
      <c r="F1265">
        <v>2283.79</v>
      </c>
    </row>
    <row r="1266" spans="1:6" x14ac:dyDescent="0.35">
      <c r="A1266">
        <v>1015</v>
      </c>
      <c r="B1266" s="4">
        <v>45720.375085336993</v>
      </c>
      <c r="C1266" t="s">
        <v>15</v>
      </c>
      <c r="D1266" t="s">
        <v>17</v>
      </c>
      <c r="E1266" t="s">
        <v>24</v>
      </c>
      <c r="F1266">
        <v>454.26</v>
      </c>
    </row>
    <row r="1267" spans="1:6" x14ac:dyDescent="0.35">
      <c r="A1267">
        <v>1110</v>
      </c>
      <c r="B1267" s="4">
        <v>45720.375085336993</v>
      </c>
      <c r="C1267" t="s">
        <v>11</v>
      </c>
      <c r="D1267" t="s">
        <v>22</v>
      </c>
      <c r="E1267" t="s">
        <v>25</v>
      </c>
      <c r="F1267">
        <v>12269.37</v>
      </c>
    </row>
    <row r="1268" spans="1:6" x14ac:dyDescent="0.35">
      <c r="A1268">
        <v>1374</v>
      </c>
      <c r="B1268" s="4">
        <v>45720.375085336993</v>
      </c>
      <c r="C1268" t="s">
        <v>8</v>
      </c>
      <c r="D1268" t="s">
        <v>19</v>
      </c>
      <c r="E1268" t="s">
        <v>25</v>
      </c>
      <c r="F1268">
        <v>5131.8</v>
      </c>
    </row>
    <row r="1269" spans="1:6" x14ac:dyDescent="0.35">
      <c r="A1269">
        <v>1179</v>
      </c>
      <c r="B1269" s="4">
        <v>45720.375085336993</v>
      </c>
      <c r="C1269" t="s">
        <v>15</v>
      </c>
      <c r="D1269" t="s">
        <v>19</v>
      </c>
      <c r="E1269" t="s">
        <v>24</v>
      </c>
      <c r="F1269">
        <v>1883.67</v>
      </c>
    </row>
    <row r="1270" spans="1:6" x14ac:dyDescent="0.35">
      <c r="A1270">
        <v>1260</v>
      </c>
      <c r="B1270" s="4">
        <v>45721.375085336993</v>
      </c>
      <c r="C1270" t="s">
        <v>11</v>
      </c>
      <c r="D1270" t="s">
        <v>16</v>
      </c>
      <c r="E1270" t="s">
        <v>24</v>
      </c>
      <c r="F1270">
        <v>2868.44</v>
      </c>
    </row>
    <row r="1271" spans="1:6" x14ac:dyDescent="0.35">
      <c r="A1271">
        <v>1380</v>
      </c>
      <c r="B1271" s="4">
        <v>45721.375085336993</v>
      </c>
      <c r="C1271" t="s">
        <v>12</v>
      </c>
      <c r="D1271" t="s">
        <v>20</v>
      </c>
      <c r="E1271" t="s">
        <v>25</v>
      </c>
      <c r="F1271">
        <v>4084.93</v>
      </c>
    </row>
    <row r="1272" spans="1:6" x14ac:dyDescent="0.35">
      <c r="A1272">
        <v>1366</v>
      </c>
      <c r="B1272" s="4">
        <v>45722.375085336993</v>
      </c>
      <c r="C1272" t="s">
        <v>11</v>
      </c>
      <c r="D1272" t="s">
        <v>22</v>
      </c>
      <c r="E1272" t="s">
        <v>23</v>
      </c>
      <c r="F1272">
        <v>614.48</v>
      </c>
    </row>
    <row r="1273" spans="1:6" x14ac:dyDescent="0.35">
      <c r="A1273">
        <v>1094</v>
      </c>
      <c r="B1273" s="4">
        <v>45722.375085336993</v>
      </c>
      <c r="C1273" t="s">
        <v>15</v>
      </c>
      <c r="D1273" t="s">
        <v>18</v>
      </c>
      <c r="E1273" t="s">
        <v>24</v>
      </c>
      <c r="F1273">
        <v>3330.31</v>
      </c>
    </row>
    <row r="1274" spans="1:6" x14ac:dyDescent="0.35">
      <c r="A1274">
        <v>1238</v>
      </c>
      <c r="B1274" s="4">
        <v>45722.375085336993</v>
      </c>
      <c r="C1274" t="s">
        <v>15</v>
      </c>
      <c r="D1274" t="s">
        <v>20</v>
      </c>
      <c r="E1274" t="s">
        <v>23</v>
      </c>
      <c r="F1274">
        <v>989.5</v>
      </c>
    </row>
    <row r="1275" spans="1:6" x14ac:dyDescent="0.35">
      <c r="A1275">
        <v>1180</v>
      </c>
      <c r="B1275" s="4">
        <v>45722.375085336993</v>
      </c>
      <c r="C1275" t="s">
        <v>6</v>
      </c>
      <c r="D1275" t="s">
        <v>20</v>
      </c>
      <c r="E1275" t="s">
        <v>25</v>
      </c>
      <c r="F1275">
        <v>2698.56</v>
      </c>
    </row>
    <row r="1276" spans="1:6" x14ac:dyDescent="0.35">
      <c r="A1276">
        <v>1085</v>
      </c>
      <c r="B1276" s="4">
        <v>45723.375085336993</v>
      </c>
      <c r="C1276" t="s">
        <v>14</v>
      </c>
      <c r="D1276" t="s">
        <v>20</v>
      </c>
      <c r="E1276" t="s">
        <v>23</v>
      </c>
      <c r="F1276">
        <v>4237.03</v>
      </c>
    </row>
    <row r="1277" spans="1:6" x14ac:dyDescent="0.35">
      <c r="A1277">
        <v>1317</v>
      </c>
      <c r="B1277" s="4">
        <v>45723.375085336993</v>
      </c>
      <c r="C1277" t="s">
        <v>14</v>
      </c>
      <c r="D1277" t="s">
        <v>17</v>
      </c>
      <c r="E1277" t="s">
        <v>23</v>
      </c>
      <c r="F1277">
        <v>306.01</v>
      </c>
    </row>
    <row r="1278" spans="1:6" x14ac:dyDescent="0.35">
      <c r="A1278">
        <v>1364</v>
      </c>
      <c r="B1278" s="4">
        <v>45723.375085336993</v>
      </c>
      <c r="C1278" t="s">
        <v>12</v>
      </c>
      <c r="D1278" t="s">
        <v>18</v>
      </c>
      <c r="E1278" t="s">
        <v>24</v>
      </c>
      <c r="F1278">
        <v>4140.2</v>
      </c>
    </row>
    <row r="1279" spans="1:6" x14ac:dyDescent="0.35">
      <c r="A1279">
        <v>1214</v>
      </c>
      <c r="B1279" s="4">
        <v>45723.375085336993</v>
      </c>
      <c r="C1279" t="s">
        <v>9</v>
      </c>
      <c r="D1279" t="s">
        <v>19</v>
      </c>
      <c r="E1279" t="s">
        <v>25</v>
      </c>
      <c r="F1279">
        <v>1624.38</v>
      </c>
    </row>
    <row r="1280" spans="1:6" x14ac:dyDescent="0.35">
      <c r="A1280">
        <v>1214</v>
      </c>
      <c r="B1280" s="4">
        <v>45724.375085336993</v>
      </c>
      <c r="C1280" t="s">
        <v>11</v>
      </c>
      <c r="D1280" t="s">
        <v>16</v>
      </c>
      <c r="E1280" t="s">
        <v>24</v>
      </c>
      <c r="F1280">
        <v>4297.72</v>
      </c>
    </row>
    <row r="1281" spans="1:6" x14ac:dyDescent="0.35">
      <c r="A1281">
        <v>1312</v>
      </c>
      <c r="B1281" s="4">
        <v>45724.375085336993</v>
      </c>
      <c r="C1281" t="s">
        <v>6</v>
      </c>
      <c r="D1281" t="s">
        <v>17</v>
      </c>
      <c r="E1281" t="s">
        <v>23</v>
      </c>
      <c r="F1281">
        <v>4520.07</v>
      </c>
    </row>
    <row r="1282" spans="1:6" x14ac:dyDescent="0.35">
      <c r="A1282">
        <v>1353</v>
      </c>
      <c r="B1282" s="4">
        <v>45724.375085336993</v>
      </c>
      <c r="C1282" t="s">
        <v>10</v>
      </c>
      <c r="D1282" t="s">
        <v>22</v>
      </c>
      <c r="E1282" t="s">
        <v>23</v>
      </c>
      <c r="F1282">
        <v>1481.45</v>
      </c>
    </row>
    <row r="1283" spans="1:6" x14ac:dyDescent="0.35">
      <c r="A1283">
        <v>1154</v>
      </c>
      <c r="B1283" s="4">
        <v>45725.375085336993</v>
      </c>
      <c r="C1283" t="s">
        <v>11</v>
      </c>
      <c r="D1283" t="s">
        <v>18</v>
      </c>
      <c r="E1283" t="s">
        <v>24</v>
      </c>
      <c r="F1283">
        <v>3401.77</v>
      </c>
    </row>
    <row r="1284" spans="1:6" x14ac:dyDescent="0.35">
      <c r="A1284">
        <v>1216</v>
      </c>
      <c r="B1284" s="4">
        <v>45725.375085336993</v>
      </c>
      <c r="C1284" t="s">
        <v>8</v>
      </c>
      <c r="D1284" t="s">
        <v>22</v>
      </c>
      <c r="E1284" t="s">
        <v>23</v>
      </c>
      <c r="F1284">
        <v>6989.23</v>
      </c>
    </row>
    <row r="1285" spans="1:6" x14ac:dyDescent="0.35">
      <c r="A1285">
        <v>1118</v>
      </c>
      <c r="B1285" s="4">
        <v>45726.375085336993</v>
      </c>
      <c r="C1285" t="s">
        <v>7</v>
      </c>
      <c r="D1285" t="s">
        <v>21</v>
      </c>
      <c r="E1285" t="s">
        <v>24</v>
      </c>
      <c r="F1285">
        <v>9134.5400000000009</v>
      </c>
    </row>
    <row r="1286" spans="1:6" x14ac:dyDescent="0.35">
      <c r="A1286">
        <v>1084</v>
      </c>
      <c r="B1286" s="4">
        <v>45726.375085336993</v>
      </c>
      <c r="C1286" t="s">
        <v>8</v>
      </c>
      <c r="D1286" t="s">
        <v>16</v>
      </c>
      <c r="E1286" t="s">
        <v>23</v>
      </c>
      <c r="F1286">
        <v>561.66999999999996</v>
      </c>
    </row>
    <row r="1287" spans="1:6" x14ac:dyDescent="0.35">
      <c r="A1287">
        <v>1137</v>
      </c>
      <c r="B1287" s="4">
        <v>45726.375085336993</v>
      </c>
      <c r="C1287" t="s">
        <v>14</v>
      </c>
      <c r="D1287" t="s">
        <v>17</v>
      </c>
      <c r="E1287" t="s">
        <v>25</v>
      </c>
      <c r="F1287">
        <v>1315.19</v>
      </c>
    </row>
    <row r="1288" spans="1:6" x14ac:dyDescent="0.35">
      <c r="A1288">
        <v>1215</v>
      </c>
      <c r="B1288" s="4">
        <v>45727.375085336993</v>
      </c>
      <c r="C1288" t="s">
        <v>12</v>
      </c>
      <c r="D1288" t="s">
        <v>22</v>
      </c>
      <c r="E1288" t="s">
        <v>25</v>
      </c>
      <c r="F1288">
        <v>1943.52</v>
      </c>
    </row>
    <row r="1289" spans="1:6" x14ac:dyDescent="0.35">
      <c r="A1289">
        <v>1097</v>
      </c>
      <c r="B1289" s="4">
        <v>45727.375085336993</v>
      </c>
      <c r="C1289" t="s">
        <v>11</v>
      </c>
      <c r="D1289" t="s">
        <v>22</v>
      </c>
      <c r="E1289" t="s">
        <v>24</v>
      </c>
      <c r="F1289">
        <v>10187.69</v>
      </c>
    </row>
    <row r="1290" spans="1:6" x14ac:dyDescent="0.35">
      <c r="A1290">
        <v>1392</v>
      </c>
      <c r="B1290" s="4">
        <v>45727.375085336993</v>
      </c>
      <c r="C1290" t="s">
        <v>12</v>
      </c>
      <c r="D1290" t="s">
        <v>20</v>
      </c>
      <c r="E1290" t="s">
        <v>23</v>
      </c>
      <c r="F1290">
        <v>2419.81</v>
      </c>
    </row>
    <row r="1291" spans="1:6" x14ac:dyDescent="0.35">
      <c r="A1291">
        <v>1272</v>
      </c>
      <c r="B1291" s="4">
        <v>45728.375085336993</v>
      </c>
      <c r="C1291" t="s">
        <v>13</v>
      </c>
      <c r="D1291" t="s">
        <v>18</v>
      </c>
      <c r="E1291" t="s">
        <v>23</v>
      </c>
      <c r="F1291">
        <v>13517.06</v>
      </c>
    </row>
    <row r="1292" spans="1:6" x14ac:dyDescent="0.35">
      <c r="A1292">
        <v>1364</v>
      </c>
      <c r="B1292" s="4">
        <v>45728.375085336993</v>
      </c>
      <c r="C1292" t="s">
        <v>11</v>
      </c>
      <c r="D1292" t="s">
        <v>22</v>
      </c>
      <c r="E1292" t="s">
        <v>23</v>
      </c>
      <c r="F1292">
        <v>4625.47</v>
      </c>
    </row>
    <row r="1293" spans="1:6" x14ac:dyDescent="0.35">
      <c r="A1293">
        <v>1127</v>
      </c>
      <c r="B1293" s="4">
        <v>45729.375085336993</v>
      </c>
      <c r="C1293" t="s">
        <v>8</v>
      </c>
      <c r="D1293" t="s">
        <v>21</v>
      </c>
      <c r="E1293" t="s">
        <v>23</v>
      </c>
      <c r="F1293">
        <v>3045.99</v>
      </c>
    </row>
    <row r="1294" spans="1:6" x14ac:dyDescent="0.35">
      <c r="A1294">
        <v>1189</v>
      </c>
      <c r="B1294" s="4">
        <v>45729.375085336993</v>
      </c>
      <c r="C1294" t="s">
        <v>14</v>
      </c>
      <c r="D1294" t="s">
        <v>22</v>
      </c>
      <c r="E1294" t="s">
        <v>23</v>
      </c>
      <c r="F1294">
        <v>2161.92</v>
      </c>
    </row>
    <row r="1295" spans="1:6" x14ac:dyDescent="0.35">
      <c r="A1295">
        <v>1032</v>
      </c>
      <c r="B1295" s="4">
        <v>45729.375085336993</v>
      </c>
      <c r="C1295" t="s">
        <v>10</v>
      </c>
      <c r="D1295" t="s">
        <v>16</v>
      </c>
      <c r="E1295" t="s">
        <v>23</v>
      </c>
      <c r="F1295">
        <v>319.85000000000002</v>
      </c>
    </row>
    <row r="1296" spans="1:6" x14ac:dyDescent="0.35">
      <c r="A1296">
        <v>1098</v>
      </c>
      <c r="B1296" s="4">
        <v>45730.375085336993</v>
      </c>
      <c r="C1296" t="s">
        <v>15</v>
      </c>
      <c r="D1296" t="s">
        <v>20</v>
      </c>
      <c r="E1296" t="s">
        <v>25</v>
      </c>
      <c r="F1296">
        <v>2415.4299999999998</v>
      </c>
    </row>
    <row r="1297" spans="1:6" x14ac:dyDescent="0.35">
      <c r="A1297">
        <v>1281</v>
      </c>
      <c r="B1297" s="4">
        <v>45730.375085336993</v>
      </c>
      <c r="C1297" t="s">
        <v>12</v>
      </c>
      <c r="D1297" t="s">
        <v>16</v>
      </c>
      <c r="E1297" t="s">
        <v>25</v>
      </c>
      <c r="F1297">
        <v>8461.2999999999993</v>
      </c>
    </row>
    <row r="1298" spans="1:6" x14ac:dyDescent="0.35">
      <c r="A1298">
        <v>1148</v>
      </c>
      <c r="B1298" s="4">
        <v>45730.375085336993</v>
      </c>
      <c r="C1298" t="s">
        <v>14</v>
      </c>
      <c r="D1298" t="s">
        <v>18</v>
      </c>
      <c r="E1298" t="s">
        <v>24</v>
      </c>
      <c r="F1298">
        <v>10309</v>
      </c>
    </row>
    <row r="1299" spans="1:6" x14ac:dyDescent="0.35">
      <c r="A1299">
        <v>1214</v>
      </c>
      <c r="B1299" s="4">
        <v>45730.375085336993</v>
      </c>
      <c r="C1299" t="s">
        <v>9</v>
      </c>
      <c r="D1299" t="s">
        <v>17</v>
      </c>
      <c r="E1299" t="s">
        <v>24</v>
      </c>
      <c r="F1299">
        <v>6089.71</v>
      </c>
    </row>
    <row r="1300" spans="1:6" x14ac:dyDescent="0.35">
      <c r="A1300">
        <v>1222</v>
      </c>
      <c r="B1300" s="4">
        <v>45730.375085336993</v>
      </c>
      <c r="C1300" t="s">
        <v>15</v>
      </c>
      <c r="D1300" t="s">
        <v>17</v>
      </c>
      <c r="E1300" t="s">
        <v>23</v>
      </c>
      <c r="F1300">
        <v>2261.5100000000002</v>
      </c>
    </row>
    <row r="1301" spans="1:6" x14ac:dyDescent="0.35">
      <c r="A1301">
        <v>1130</v>
      </c>
      <c r="B1301" s="4">
        <v>45731.375085336993</v>
      </c>
      <c r="C1301" t="s">
        <v>10</v>
      </c>
      <c r="D1301" t="s">
        <v>16</v>
      </c>
      <c r="E1301" t="s">
        <v>24</v>
      </c>
      <c r="F1301">
        <v>2764.08</v>
      </c>
    </row>
    <row r="1302" spans="1:6" x14ac:dyDescent="0.35">
      <c r="A1302">
        <v>1263</v>
      </c>
      <c r="B1302" s="4">
        <v>45731.375085336993</v>
      </c>
      <c r="C1302" t="s">
        <v>11</v>
      </c>
      <c r="D1302" t="s">
        <v>19</v>
      </c>
      <c r="E1302" t="s">
        <v>25</v>
      </c>
      <c r="F1302">
        <v>11403.51</v>
      </c>
    </row>
    <row r="1303" spans="1:6" x14ac:dyDescent="0.35">
      <c r="A1303">
        <v>1312</v>
      </c>
      <c r="B1303" s="4">
        <v>45731.375085336993</v>
      </c>
      <c r="C1303" t="s">
        <v>10</v>
      </c>
      <c r="D1303" t="s">
        <v>18</v>
      </c>
      <c r="E1303" t="s">
        <v>24</v>
      </c>
      <c r="F1303">
        <v>3903.76</v>
      </c>
    </row>
    <row r="1304" spans="1:6" x14ac:dyDescent="0.35">
      <c r="A1304">
        <v>1392</v>
      </c>
      <c r="B1304" s="4">
        <v>45732.375085336993</v>
      </c>
      <c r="C1304" t="s">
        <v>13</v>
      </c>
      <c r="D1304" t="s">
        <v>17</v>
      </c>
      <c r="E1304" t="s">
        <v>25</v>
      </c>
      <c r="F1304">
        <v>3133.34</v>
      </c>
    </row>
    <row r="1305" spans="1:6" x14ac:dyDescent="0.35">
      <c r="A1305">
        <v>1220</v>
      </c>
      <c r="B1305" s="4">
        <v>45732.375085336993</v>
      </c>
      <c r="C1305" t="s">
        <v>11</v>
      </c>
      <c r="D1305" t="s">
        <v>20</v>
      </c>
      <c r="E1305" t="s">
        <v>24</v>
      </c>
      <c r="F1305">
        <v>2207.19</v>
      </c>
    </row>
    <row r="1306" spans="1:6" x14ac:dyDescent="0.35">
      <c r="A1306">
        <v>1127</v>
      </c>
      <c r="B1306" s="4">
        <v>45732.375085336993</v>
      </c>
      <c r="C1306" t="s">
        <v>14</v>
      </c>
      <c r="D1306" t="s">
        <v>18</v>
      </c>
      <c r="E1306" t="s">
        <v>23</v>
      </c>
      <c r="F1306">
        <v>5333.95</v>
      </c>
    </row>
    <row r="1307" spans="1:6" x14ac:dyDescent="0.35">
      <c r="A1307">
        <v>1359</v>
      </c>
      <c r="B1307" s="4">
        <v>45732.375085336993</v>
      </c>
      <c r="C1307" t="s">
        <v>12</v>
      </c>
      <c r="D1307" t="s">
        <v>17</v>
      </c>
      <c r="E1307" t="s">
        <v>24</v>
      </c>
      <c r="F1307">
        <v>1512.49</v>
      </c>
    </row>
    <row r="1308" spans="1:6" x14ac:dyDescent="0.35">
      <c r="A1308">
        <v>1159</v>
      </c>
      <c r="B1308" s="4">
        <v>45732.375085336993</v>
      </c>
      <c r="C1308" t="s">
        <v>6</v>
      </c>
      <c r="D1308" t="s">
        <v>17</v>
      </c>
      <c r="E1308" t="s">
        <v>23</v>
      </c>
      <c r="F1308">
        <v>2804.06</v>
      </c>
    </row>
    <row r="1309" spans="1:6" x14ac:dyDescent="0.35">
      <c r="A1309">
        <v>1164</v>
      </c>
      <c r="B1309" s="4">
        <v>45732.375085336993</v>
      </c>
      <c r="C1309" t="s">
        <v>12</v>
      </c>
      <c r="D1309" t="s">
        <v>16</v>
      </c>
      <c r="E1309" t="s">
        <v>25</v>
      </c>
      <c r="F1309">
        <v>2038.65</v>
      </c>
    </row>
    <row r="1310" spans="1:6" x14ac:dyDescent="0.35">
      <c r="A1310">
        <v>1136</v>
      </c>
      <c r="B1310" s="4">
        <v>45732.375085336993</v>
      </c>
      <c r="C1310" t="s">
        <v>13</v>
      </c>
      <c r="D1310" t="s">
        <v>22</v>
      </c>
      <c r="E1310" t="s">
        <v>23</v>
      </c>
      <c r="F1310">
        <v>2943.06</v>
      </c>
    </row>
    <row r="1311" spans="1:6" x14ac:dyDescent="0.35">
      <c r="A1311">
        <v>1201</v>
      </c>
      <c r="B1311" s="4">
        <v>45732.375085336993</v>
      </c>
      <c r="C1311" t="s">
        <v>11</v>
      </c>
      <c r="D1311" t="s">
        <v>20</v>
      </c>
      <c r="E1311" t="s">
        <v>24</v>
      </c>
      <c r="F1311">
        <v>1186.8900000000001</v>
      </c>
    </row>
    <row r="1312" spans="1:6" x14ac:dyDescent="0.35">
      <c r="A1312">
        <v>1172</v>
      </c>
      <c r="B1312" s="4">
        <v>45733.375085336993</v>
      </c>
      <c r="C1312" t="s">
        <v>8</v>
      </c>
      <c r="D1312" t="s">
        <v>19</v>
      </c>
      <c r="E1312" t="s">
        <v>23</v>
      </c>
      <c r="F1312">
        <v>4716.53</v>
      </c>
    </row>
    <row r="1313" spans="1:6" x14ac:dyDescent="0.35">
      <c r="A1313">
        <v>1140</v>
      </c>
      <c r="B1313" s="4">
        <v>45733.375085336993</v>
      </c>
      <c r="C1313" t="s">
        <v>10</v>
      </c>
      <c r="D1313" t="s">
        <v>22</v>
      </c>
      <c r="E1313" t="s">
        <v>25</v>
      </c>
      <c r="F1313">
        <v>5054.87</v>
      </c>
    </row>
    <row r="1314" spans="1:6" x14ac:dyDescent="0.35">
      <c r="A1314">
        <v>1009</v>
      </c>
      <c r="B1314" s="4">
        <v>45734.375085336993</v>
      </c>
      <c r="C1314" t="s">
        <v>7</v>
      </c>
      <c r="D1314" t="s">
        <v>22</v>
      </c>
      <c r="E1314" t="s">
        <v>24</v>
      </c>
      <c r="F1314">
        <v>477.66</v>
      </c>
    </row>
    <row r="1315" spans="1:6" x14ac:dyDescent="0.35">
      <c r="A1315">
        <v>1024</v>
      </c>
      <c r="B1315" s="4">
        <v>45734.375085336993</v>
      </c>
      <c r="C1315" t="s">
        <v>7</v>
      </c>
      <c r="D1315" t="s">
        <v>16</v>
      </c>
      <c r="E1315" t="s">
        <v>25</v>
      </c>
      <c r="F1315">
        <v>6370.92</v>
      </c>
    </row>
    <row r="1316" spans="1:6" x14ac:dyDescent="0.35">
      <c r="A1316">
        <v>1174</v>
      </c>
      <c r="B1316" s="4">
        <v>45735.375085336993</v>
      </c>
      <c r="C1316" t="s">
        <v>11</v>
      </c>
      <c r="D1316" t="s">
        <v>17</v>
      </c>
      <c r="E1316" t="s">
        <v>24</v>
      </c>
      <c r="F1316">
        <v>3103.38</v>
      </c>
    </row>
    <row r="1317" spans="1:6" x14ac:dyDescent="0.35">
      <c r="A1317">
        <v>1235</v>
      </c>
      <c r="B1317" s="4">
        <v>45736.375085336993</v>
      </c>
      <c r="C1317" t="s">
        <v>14</v>
      </c>
      <c r="D1317" t="s">
        <v>21</v>
      </c>
      <c r="E1317" t="s">
        <v>25</v>
      </c>
      <c r="F1317">
        <v>4876.96</v>
      </c>
    </row>
    <row r="1318" spans="1:6" x14ac:dyDescent="0.35">
      <c r="A1318">
        <v>1245</v>
      </c>
      <c r="B1318" s="4">
        <v>45736.375085336993</v>
      </c>
      <c r="C1318" t="s">
        <v>6</v>
      </c>
      <c r="D1318" t="s">
        <v>20</v>
      </c>
      <c r="E1318" t="s">
        <v>25</v>
      </c>
      <c r="F1318">
        <v>1307.6099999999999</v>
      </c>
    </row>
    <row r="1319" spans="1:6" x14ac:dyDescent="0.35">
      <c r="A1319">
        <v>1138</v>
      </c>
      <c r="B1319" s="4">
        <v>45736.375085336993</v>
      </c>
      <c r="C1319" t="s">
        <v>14</v>
      </c>
      <c r="D1319" t="s">
        <v>18</v>
      </c>
      <c r="E1319" t="s">
        <v>25</v>
      </c>
      <c r="F1319">
        <v>12497.13</v>
      </c>
    </row>
    <row r="1320" spans="1:6" x14ac:dyDescent="0.35">
      <c r="A1320">
        <v>1130</v>
      </c>
      <c r="B1320" s="4">
        <v>45736.375085336993</v>
      </c>
      <c r="C1320" t="s">
        <v>14</v>
      </c>
      <c r="D1320" t="s">
        <v>19</v>
      </c>
      <c r="E1320" t="s">
        <v>25</v>
      </c>
      <c r="F1320">
        <v>4272.87</v>
      </c>
    </row>
    <row r="1321" spans="1:6" x14ac:dyDescent="0.35">
      <c r="A1321">
        <v>1314</v>
      </c>
      <c r="B1321" s="4">
        <v>45736.375085336993</v>
      </c>
      <c r="C1321" t="s">
        <v>13</v>
      </c>
      <c r="D1321" t="s">
        <v>22</v>
      </c>
      <c r="E1321" t="s">
        <v>24</v>
      </c>
      <c r="F1321">
        <v>2830.76</v>
      </c>
    </row>
    <row r="1322" spans="1:6" x14ac:dyDescent="0.35">
      <c r="A1322">
        <v>1259</v>
      </c>
      <c r="B1322" s="4">
        <v>45736.375085336993</v>
      </c>
      <c r="C1322" t="s">
        <v>12</v>
      </c>
      <c r="D1322" t="s">
        <v>22</v>
      </c>
      <c r="E1322" t="s">
        <v>25</v>
      </c>
      <c r="F1322">
        <v>2981.46</v>
      </c>
    </row>
    <row r="1323" spans="1:6" x14ac:dyDescent="0.35">
      <c r="A1323">
        <v>1122</v>
      </c>
      <c r="B1323" s="4">
        <v>45736.375085336993</v>
      </c>
      <c r="C1323" t="s">
        <v>14</v>
      </c>
      <c r="D1323" t="s">
        <v>22</v>
      </c>
      <c r="E1323" t="s">
        <v>23</v>
      </c>
      <c r="F1323">
        <v>1386.29</v>
      </c>
    </row>
    <row r="1324" spans="1:6" x14ac:dyDescent="0.35">
      <c r="A1324">
        <v>1179</v>
      </c>
      <c r="B1324" s="4">
        <v>45737.375085336993</v>
      </c>
      <c r="C1324" t="s">
        <v>13</v>
      </c>
      <c r="D1324" t="s">
        <v>16</v>
      </c>
      <c r="E1324" t="s">
        <v>25</v>
      </c>
      <c r="F1324">
        <v>3508.05</v>
      </c>
    </row>
    <row r="1325" spans="1:6" x14ac:dyDescent="0.35">
      <c r="A1325">
        <v>1284</v>
      </c>
      <c r="B1325" s="4">
        <v>45737.375085336993</v>
      </c>
      <c r="C1325" t="s">
        <v>7</v>
      </c>
      <c r="D1325" t="s">
        <v>19</v>
      </c>
      <c r="E1325" t="s">
        <v>24</v>
      </c>
      <c r="F1325">
        <v>1994.95</v>
      </c>
    </row>
    <row r="1326" spans="1:6" x14ac:dyDescent="0.35">
      <c r="A1326">
        <v>1156</v>
      </c>
      <c r="B1326" s="4">
        <v>45737.375085336993</v>
      </c>
      <c r="C1326" t="s">
        <v>14</v>
      </c>
      <c r="D1326" t="s">
        <v>16</v>
      </c>
      <c r="E1326" t="s">
        <v>23</v>
      </c>
      <c r="F1326">
        <v>5333.41</v>
      </c>
    </row>
    <row r="1327" spans="1:6" x14ac:dyDescent="0.35">
      <c r="A1327">
        <v>1053</v>
      </c>
      <c r="B1327" s="4">
        <v>45737.375085336993</v>
      </c>
      <c r="C1327" t="s">
        <v>12</v>
      </c>
      <c r="D1327" t="s">
        <v>21</v>
      </c>
      <c r="E1327" t="s">
        <v>25</v>
      </c>
      <c r="F1327">
        <v>2431.7600000000002</v>
      </c>
    </row>
    <row r="1328" spans="1:6" x14ac:dyDescent="0.35">
      <c r="A1328">
        <v>1356</v>
      </c>
      <c r="B1328" s="4">
        <v>45738.375085336993</v>
      </c>
      <c r="C1328" t="s">
        <v>8</v>
      </c>
      <c r="D1328" t="s">
        <v>20</v>
      </c>
      <c r="E1328" t="s">
        <v>23</v>
      </c>
      <c r="F1328">
        <v>5399.03</v>
      </c>
    </row>
    <row r="1329" spans="1:6" x14ac:dyDescent="0.35">
      <c r="A1329">
        <v>1038</v>
      </c>
      <c r="B1329" s="4">
        <v>45738.375085336993</v>
      </c>
      <c r="C1329" t="s">
        <v>8</v>
      </c>
      <c r="D1329" t="s">
        <v>17</v>
      </c>
      <c r="E1329" t="s">
        <v>23</v>
      </c>
      <c r="F1329">
        <v>1500.35</v>
      </c>
    </row>
    <row r="1330" spans="1:6" x14ac:dyDescent="0.35">
      <c r="A1330">
        <v>1386</v>
      </c>
      <c r="B1330" s="4">
        <v>45738.375085336993</v>
      </c>
      <c r="C1330" t="s">
        <v>15</v>
      </c>
      <c r="D1330" t="s">
        <v>16</v>
      </c>
      <c r="E1330" t="s">
        <v>23</v>
      </c>
      <c r="F1330">
        <v>9759.51</v>
      </c>
    </row>
    <row r="1331" spans="1:6" x14ac:dyDescent="0.35">
      <c r="A1331">
        <v>1329</v>
      </c>
      <c r="B1331" s="4">
        <v>45738.375085336993</v>
      </c>
      <c r="C1331" t="s">
        <v>8</v>
      </c>
      <c r="D1331" t="s">
        <v>20</v>
      </c>
      <c r="E1331" t="s">
        <v>23</v>
      </c>
      <c r="F1331">
        <v>846.11</v>
      </c>
    </row>
    <row r="1332" spans="1:6" x14ac:dyDescent="0.35">
      <c r="A1332">
        <v>1346</v>
      </c>
      <c r="B1332" s="4">
        <v>45739.375085336993</v>
      </c>
      <c r="C1332" t="s">
        <v>11</v>
      </c>
      <c r="D1332" t="s">
        <v>18</v>
      </c>
      <c r="E1332" t="s">
        <v>25</v>
      </c>
      <c r="F1332">
        <v>3598.42</v>
      </c>
    </row>
    <row r="1333" spans="1:6" x14ac:dyDescent="0.35">
      <c r="A1333">
        <v>1245</v>
      </c>
      <c r="B1333" s="4">
        <v>45739.375085336993</v>
      </c>
      <c r="C1333" t="s">
        <v>6</v>
      </c>
      <c r="D1333" t="s">
        <v>19</v>
      </c>
      <c r="E1333" t="s">
        <v>23</v>
      </c>
      <c r="F1333">
        <v>8292.19</v>
      </c>
    </row>
    <row r="1334" spans="1:6" x14ac:dyDescent="0.35">
      <c r="A1334">
        <v>1067</v>
      </c>
      <c r="B1334" s="4">
        <v>45740.375085336993</v>
      </c>
      <c r="C1334" t="s">
        <v>9</v>
      </c>
      <c r="D1334" t="s">
        <v>20</v>
      </c>
      <c r="E1334" t="s">
        <v>25</v>
      </c>
      <c r="F1334">
        <v>2574.6999999999998</v>
      </c>
    </row>
    <row r="1335" spans="1:6" x14ac:dyDescent="0.35">
      <c r="A1335">
        <v>1103</v>
      </c>
      <c r="B1335" s="4">
        <v>45740.375085336993</v>
      </c>
      <c r="C1335" t="s">
        <v>8</v>
      </c>
      <c r="D1335" t="s">
        <v>22</v>
      </c>
      <c r="E1335" t="s">
        <v>24</v>
      </c>
      <c r="F1335">
        <v>2053.7600000000002</v>
      </c>
    </row>
    <row r="1336" spans="1:6" x14ac:dyDescent="0.35">
      <c r="A1336">
        <v>1129</v>
      </c>
      <c r="B1336" s="4">
        <v>45740.375085336993</v>
      </c>
      <c r="C1336" t="s">
        <v>13</v>
      </c>
      <c r="D1336" t="s">
        <v>18</v>
      </c>
      <c r="E1336" t="s">
        <v>25</v>
      </c>
      <c r="F1336">
        <v>1676.66</v>
      </c>
    </row>
    <row r="1337" spans="1:6" x14ac:dyDescent="0.35">
      <c r="A1337">
        <v>1348</v>
      </c>
      <c r="B1337" s="4">
        <v>45740.375085336993</v>
      </c>
      <c r="C1337" t="s">
        <v>9</v>
      </c>
      <c r="D1337" t="s">
        <v>20</v>
      </c>
      <c r="E1337" t="s">
        <v>23</v>
      </c>
      <c r="F1337">
        <v>1543.32</v>
      </c>
    </row>
    <row r="1338" spans="1:6" x14ac:dyDescent="0.35">
      <c r="A1338">
        <v>1014</v>
      </c>
      <c r="B1338" s="4">
        <v>45740.375085336993</v>
      </c>
      <c r="C1338" t="s">
        <v>7</v>
      </c>
      <c r="D1338" t="s">
        <v>21</v>
      </c>
      <c r="E1338" t="s">
        <v>25</v>
      </c>
      <c r="F1338">
        <v>2882.75</v>
      </c>
    </row>
    <row r="1339" spans="1:6" x14ac:dyDescent="0.35">
      <c r="A1339">
        <v>1386</v>
      </c>
      <c r="B1339" s="4">
        <v>45741.375085336993</v>
      </c>
      <c r="C1339" t="s">
        <v>7</v>
      </c>
      <c r="D1339" t="s">
        <v>22</v>
      </c>
      <c r="E1339" t="s">
        <v>24</v>
      </c>
      <c r="F1339">
        <v>200.49</v>
      </c>
    </row>
    <row r="1340" spans="1:6" x14ac:dyDescent="0.35">
      <c r="A1340">
        <v>1222</v>
      </c>
      <c r="B1340" s="4">
        <v>45741.375085336993</v>
      </c>
      <c r="C1340" t="s">
        <v>9</v>
      </c>
      <c r="D1340" t="s">
        <v>20</v>
      </c>
      <c r="E1340" t="s">
        <v>25</v>
      </c>
      <c r="F1340">
        <v>6600.46</v>
      </c>
    </row>
    <row r="1341" spans="1:6" x14ac:dyDescent="0.35">
      <c r="A1341">
        <v>1097</v>
      </c>
      <c r="B1341" s="4">
        <v>45741.375085336993</v>
      </c>
      <c r="C1341" t="s">
        <v>7</v>
      </c>
      <c r="D1341" t="s">
        <v>16</v>
      </c>
      <c r="E1341" t="s">
        <v>25</v>
      </c>
      <c r="F1341">
        <v>3960.4</v>
      </c>
    </row>
    <row r="1342" spans="1:6" x14ac:dyDescent="0.35">
      <c r="A1342">
        <v>1234</v>
      </c>
      <c r="B1342" s="4">
        <v>45742.375085336993</v>
      </c>
      <c r="C1342" t="s">
        <v>14</v>
      </c>
      <c r="D1342" t="s">
        <v>19</v>
      </c>
      <c r="E1342" t="s">
        <v>25</v>
      </c>
      <c r="F1342">
        <v>6576.44</v>
      </c>
    </row>
    <row r="1343" spans="1:6" x14ac:dyDescent="0.35">
      <c r="A1343">
        <v>1285</v>
      </c>
      <c r="B1343" s="4">
        <v>45742.375085336993</v>
      </c>
      <c r="C1343" t="s">
        <v>6</v>
      </c>
      <c r="D1343" t="s">
        <v>19</v>
      </c>
      <c r="E1343" t="s">
        <v>23</v>
      </c>
      <c r="F1343">
        <v>2863.09</v>
      </c>
    </row>
    <row r="1344" spans="1:6" x14ac:dyDescent="0.35">
      <c r="A1344">
        <v>1375</v>
      </c>
      <c r="B1344" s="4">
        <v>45742.375085336993</v>
      </c>
      <c r="C1344" t="s">
        <v>15</v>
      </c>
      <c r="D1344" t="s">
        <v>20</v>
      </c>
      <c r="E1344" t="s">
        <v>24</v>
      </c>
      <c r="F1344">
        <v>9279</v>
      </c>
    </row>
    <row r="1345" spans="1:6" x14ac:dyDescent="0.35">
      <c r="A1345">
        <v>1309</v>
      </c>
      <c r="B1345" s="4">
        <v>45742.375085336993</v>
      </c>
      <c r="C1345" t="s">
        <v>14</v>
      </c>
      <c r="D1345" t="s">
        <v>19</v>
      </c>
      <c r="E1345" t="s">
        <v>24</v>
      </c>
      <c r="F1345">
        <v>2764.69</v>
      </c>
    </row>
    <row r="1346" spans="1:6" x14ac:dyDescent="0.35">
      <c r="A1346">
        <v>1028</v>
      </c>
      <c r="B1346" s="4">
        <v>45742.375085336993</v>
      </c>
      <c r="C1346" t="s">
        <v>7</v>
      </c>
      <c r="D1346" t="s">
        <v>22</v>
      </c>
      <c r="E1346" t="s">
        <v>24</v>
      </c>
      <c r="F1346">
        <v>4568.59</v>
      </c>
    </row>
    <row r="1347" spans="1:6" x14ac:dyDescent="0.35">
      <c r="A1347">
        <v>1346</v>
      </c>
      <c r="B1347" s="4">
        <v>45743.375085336993</v>
      </c>
      <c r="C1347" t="s">
        <v>10</v>
      </c>
      <c r="D1347" t="s">
        <v>20</v>
      </c>
      <c r="E1347" t="s">
        <v>24</v>
      </c>
      <c r="F1347">
        <v>4950.68</v>
      </c>
    </row>
    <row r="1348" spans="1:6" x14ac:dyDescent="0.35">
      <c r="A1348">
        <v>1372</v>
      </c>
      <c r="B1348" s="4">
        <v>45743.375085336993</v>
      </c>
      <c r="C1348" t="s">
        <v>11</v>
      </c>
      <c r="D1348" t="s">
        <v>20</v>
      </c>
      <c r="E1348" t="s">
        <v>23</v>
      </c>
      <c r="F1348">
        <v>1689.36</v>
      </c>
    </row>
    <row r="1349" spans="1:6" x14ac:dyDescent="0.35">
      <c r="A1349">
        <v>1043</v>
      </c>
      <c r="B1349" s="4">
        <v>45743.375085336993</v>
      </c>
      <c r="C1349" t="s">
        <v>10</v>
      </c>
      <c r="D1349" t="s">
        <v>21</v>
      </c>
      <c r="E1349" t="s">
        <v>24</v>
      </c>
      <c r="F1349">
        <v>5000.99</v>
      </c>
    </row>
    <row r="1350" spans="1:6" x14ac:dyDescent="0.35">
      <c r="A1350">
        <v>1111</v>
      </c>
      <c r="B1350" s="4">
        <v>45743.375085336993</v>
      </c>
      <c r="C1350" t="s">
        <v>7</v>
      </c>
      <c r="D1350" t="s">
        <v>22</v>
      </c>
      <c r="E1350" t="s">
        <v>25</v>
      </c>
      <c r="F1350">
        <v>1383.79</v>
      </c>
    </row>
    <row r="1351" spans="1:6" x14ac:dyDescent="0.35">
      <c r="A1351">
        <v>1071</v>
      </c>
      <c r="B1351" s="4">
        <v>45743.375085336993</v>
      </c>
      <c r="C1351" t="s">
        <v>15</v>
      </c>
      <c r="D1351" t="s">
        <v>22</v>
      </c>
      <c r="E1351" t="s">
        <v>23</v>
      </c>
      <c r="F1351">
        <v>3765.19</v>
      </c>
    </row>
    <row r="1352" spans="1:6" x14ac:dyDescent="0.35">
      <c r="A1352">
        <v>1360</v>
      </c>
      <c r="B1352" s="4">
        <v>45743.375085336993</v>
      </c>
      <c r="C1352" t="s">
        <v>6</v>
      </c>
      <c r="D1352" t="s">
        <v>17</v>
      </c>
      <c r="E1352" t="s">
        <v>24</v>
      </c>
      <c r="F1352">
        <v>7944.33</v>
      </c>
    </row>
    <row r="1353" spans="1:6" x14ac:dyDescent="0.35">
      <c r="A1353">
        <v>1222</v>
      </c>
      <c r="B1353" s="4">
        <v>45744.375085336993</v>
      </c>
      <c r="C1353" t="s">
        <v>13</v>
      </c>
      <c r="D1353" t="s">
        <v>19</v>
      </c>
      <c r="E1353" t="s">
        <v>23</v>
      </c>
      <c r="F1353">
        <v>2155.1999999999998</v>
      </c>
    </row>
    <row r="1354" spans="1:6" x14ac:dyDescent="0.35">
      <c r="A1354">
        <v>1280</v>
      </c>
      <c r="B1354" s="4">
        <v>45744.375085336993</v>
      </c>
      <c r="C1354" t="s">
        <v>11</v>
      </c>
      <c r="D1354" t="s">
        <v>20</v>
      </c>
      <c r="E1354" t="s">
        <v>23</v>
      </c>
      <c r="F1354">
        <v>4103.84</v>
      </c>
    </row>
    <row r="1355" spans="1:6" x14ac:dyDescent="0.35">
      <c r="A1355">
        <v>1269</v>
      </c>
      <c r="B1355" s="4">
        <v>45744.375085336993</v>
      </c>
      <c r="C1355" t="s">
        <v>12</v>
      </c>
      <c r="D1355" t="s">
        <v>21</v>
      </c>
      <c r="E1355" t="s">
        <v>23</v>
      </c>
      <c r="F1355">
        <v>8410.77</v>
      </c>
    </row>
    <row r="1356" spans="1:6" x14ac:dyDescent="0.35">
      <c r="A1356">
        <v>1286</v>
      </c>
      <c r="B1356" s="4">
        <v>45744.375085336993</v>
      </c>
      <c r="C1356" t="s">
        <v>10</v>
      </c>
      <c r="D1356" t="s">
        <v>19</v>
      </c>
      <c r="E1356" t="s">
        <v>25</v>
      </c>
      <c r="F1356">
        <v>4631.1899999999996</v>
      </c>
    </row>
    <row r="1357" spans="1:6" x14ac:dyDescent="0.35">
      <c r="A1357">
        <v>1039</v>
      </c>
      <c r="B1357" s="4">
        <v>45744.375085336993</v>
      </c>
      <c r="C1357" t="s">
        <v>13</v>
      </c>
      <c r="D1357" t="s">
        <v>21</v>
      </c>
      <c r="E1357" t="s">
        <v>24</v>
      </c>
      <c r="F1357">
        <v>5975.25</v>
      </c>
    </row>
    <row r="1358" spans="1:6" x14ac:dyDescent="0.35">
      <c r="A1358">
        <v>1086</v>
      </c>
      <c r="B1358" s="4">
        <v>45745.375085336993</v>
      </c>
      <c r="C1358" t="s">
        <v>13</v>
      </c>
      <c r="D1358" t="s">
        <v>17</v>
      </c>
      <c r="E1358" t="s">
        <v>23</v>
      </c>
      <c r="F1358">
        <v>2177.0300000000002</v>
      </c>
    </row>
    <row r="1359" spans="1:6" x14ac:dyDescent="0.35">
      <c r="A1359">
        <v>1244</v>
      </c>
      <c r="B1359" s="4">
        <v>45745.375085336993</v>
      </c>
      <c r="C1359" t="s">
        <v>6</v>
      </c>
      <c r="D1359" t="s">
        <v>20</v>
      </c>
      <c r="E1359" t="s">
        <v>24</v>
      </c>
      <c r="F1359">
        <v>3791.45</v>
      </c>
    </row>
    <row r="1360" spans="1:6" x14ac:dyDescent="0.35">
      <c r="A1360">
        <v>1011</v>
      </c>
      <c r="B1360" s="4">
        <v>45745.375085336993</v>
      </c>
      <c r="C1360" t="s">
        <v>9</v>
      </c>
      <c r="D1360" t="s">
        <v>17</v>
      </c>
      <c r="E1360" t="s">
        <v>23</v>
      </c>
      <c r="F1360">
        <v>2768.21</v>
      </c>
    </row>
    <row r="1361" spans="1:6" x14ac:dyDescent="0.35">
      <c r="A1361">
        <v>1277</v>
      </c>
      <c r="B1361" s="4">
        <v>45745.375085336993</v>
      </c>
      <c r="C1361" t="s">
        <v>9</v>
      </c>
      <c r="D1361" t="s">
        <v>17</v>
      </c>
      <c r="E1361" t="s">
        <v>25</v>
      </c>
      <c r="F1361">
        <v>3402.38</v>
      </c>
    </row>
    <row r="1362" spans="1:6" x14ac:dyDescent="0.35">
      <c r="A1362">
        <v>1153</v>
      </c>
      <c r="B1362" s="4">
        <v>45746.375085336993</v>
      </c>
      <c r="C1362" t="s">
        <v>14</v>
      </c>
      <c r="D1362" t="s">
        <v>19</v>
      </c>
      <c r="E1362" t="s">
        <v>23</v>
      </c>
      <c r="F1362">
        <v>290.64</v>
      </c>
    </row>
    <row r="1363" spans="1:6" x14ac:dyDescent="0.35">
      <c r="A1363">
        <v>1309</v>
      </c>
      <c r="B1363" s="4">
        <v>45746.375085336993</v>
      </c>
      <c r="C1363" t="s">
        <v>14</v>
      </c>
      <c r="D1363" t="s">
        <v>19</v>
      </c>
      <c r="E1363" t="s">
        <v>23</v>
      </c>
      <c r="F1363">
        <v>8701.2000000000007</v>
      </c>
    </row>
    <row r="1364" spans="1:6" x14ac:dyDescent="0.35">
      <c r="A1364">
        <v>1064</v>
      </c>
      <c r="B1364" s="4">
        <v>45746.375085336993</v>
      </c>
      <c r="C1364" t="s">
        <v>8</v>
      </c>
      <c r="D1364" t="s">
        <v>17</v>
      </c>
      <c r="E1364" t="s">
        <v>25</v>
      </c>
      <c r="F1364">
        <v>4075.15</v>
      </c>
    </row>
    <row r="1365" spans="1:6" x14ac:dyDescent="0.35">
      <c r="A1365">
        <v>1327</v>
      </c>
      <c r="B1365" s="4">
        <v>45746.375085336993</v>
      </c>
      <c r="C1365" t="s">
        <v>6</v>
      </c>
      <c r="D1365" t="s">
        <v>19</v>
      </c>
      <c r="E1365" t="s">
        <v>23</v>
      </c>
      <c r="F1365">
        <v>5612.88</v>
      </c>
    </row>
    <row r="1366" spans="1:6" x14ac:dyDescent="0.35">
      <c r="A1366">
        <v>1347</v>
      </c>
      <c r="B1366" s="4">
        <v>45746.375085336993</v>
      </c>
      <c r="C1366" t="s">
        <v>7</v>
      </c>
      <c r="D1366" t="s">
        <v>21</v>
      </c>
      <c r="E1366" t="s">
        <v>24</v>
      </c>
      <c r="F1366">
        <v>2542.85</v>
      </c>
    </row>
    <row r="1367" spans="1:6" x14ac:dyDescent="0.35">
      <c r="A1367">
        <v>1091</v>
      </c>
      <c r="B1367" s="4">
        <v>45747.375085336993</v>
      </c>
      <c r="C1367" t="s">
        <v>9</v>
      </c>
      <c r="D1367" t="s">
        <v>19</v>
      </c>
      <c r="E1367" t="s">
        <v>24</v>
      </c>
      <c r="F1367">
        <v>2806.27</v>
      </c>
    </row>
    <row r="1368" spans="1:6" x14ac:dyDescent="0.35">
      <c r="A1368">
        <v>1166</v>
      </c>
      <c r="B1368" s="4">
        <v>45747.375085336993</v>
      </c>
      <c r="C1368" t="s">
        <v>9</v>
      </c>
      <c r="D1368" t="s">
        <v>17</v>
      </c>
      <c r="E1368" t="s">
        <v>25</v>
      </c>
      <c r="F1368">
        <v>5064.58</v>
      </c>
    </row>
    <row r="1369" spans="1:6" x14ac:dyDescent="0.35">
      <c r="A1369">
        <v>1236</v>
      </c>
      <c r="B1369" s="4">
        <v>45747.375085336993</v>
      </c>
      <c r="C1369" t="s">
        <v>11</v>
      </c>
      <c r="D1369" t="s">
        <v>21</v>
      </c>
      <c r="E1369" t="s">
        <v>25</v>
      </c>
      <c r="F1369">
        <v>5597.09</v>
      </c>
    </row>
    <row r="1370" spans="1:6" x14ac:dyDescent="0.35">
      <c r="A1370">
        <v>1081</v>
      </c>
      <c r="B1370" s="4">
        <v>45748.375085336993</v>
      </c>
      <c r="C1370" t="s">
        <v>6</v>
      </c>
      <c r="D1370" t="s">
        <v>20</v>
      </c>
      <c r="E1370" t="s">
        <v>24</v>
      </c>
      <c r="F1370">
        <v>6811.67</v>
      </c>
    </row>
    <row r="1371" spans="1:6" x14ac:dyDescent="0.35">
      <c r="A1371">
        <v>1169</v>
      </c>
      <c r="B1371" s="4">
        <v>45748.375085336993</v>
      </c>
      <c r="C1371" t="s">
        <v>14</v>
      </c>
      <c r="D1371" t="s">
        <v>19</v>
      </c>
      <c r="E1371" t="s">
        <v>24</v>
      </c>
      <c r="F1371">
        <v>1683.61</v>
      </c>
    </row>
    <row r="1372" spans="1:6" x14ac:dyDescent="0.35">
      <c r="A1372">
        <v>1057</v>
      </c>
      <c r="B1372" s="4">
        <v>45748.375085336993</v>
      </c>
      <c r="C1372" t="s">
        <v>11</v>
      </c>
      <c r="D1372" t="s">
        <v>17</v>
      </c>
      <c r="E1372" t="s">
        <v>24</v>
      </c>
      <c r="F1372">
        <v>1955.95</v>
      </c>
    </row>
    <row r="1373" spans="1:6" x14ac:dyDescent="0.35">
      <c r="A1373">
        <v>1077</v>
      </c>
      <c r="B1373" s="4">
        <v>45748.375085336993</v>
      </c>
      <c r="C1373" t="s">
        <v>15</v>
      </c>
      <c r="D1373" t="s">
        <v>22</v>
      </c>
      <c r="E1373" t="s">
        <v>25</v>
      </c>
      <c r="F1373">
        <v>4979.3599999999997</v>
      </c>
    </row>
    <row r="1374" spans="1:6" x14ac:dyDescent="0.35">
      <c r="A1374">
        <v>1217</v>
      </c>
      <c r="B1374" s="4">
        <v>45748.375085336993</v>
      </c>
      <c r="C1374" t="s">
        <v>7</v>
      </c>
      <c r="D1374" t="s">
        <v>16</v>
      </c>
      <c r="E1374" t="s">
        <v>23</v>
      </c>
      <c r="F1374">
        <v>8405.2000000000007</v>
      </c>
    </row>
    <row r="1375" spans="1:6" x14ac:dyDescent="0.35">
      <c r="A1375">
        <v>1009</v>
      </c>
      <c r="B1375" s="4">
        <v>45748.375085336993</v>
      </c>
      <c r="C1375" t="s">
        <v>13</v>
      </c>
      <c r="D1375" t="s">
        <v>18</v>
      </c>
      <c r="E1375" t="s">
        <v>24</v>
      </c>
      <c r="F1375">
        <v>4494.74</v>
      </c>
    </row>
    <row r="1376" spans="1:6" x14ac:dyDescent="0.35">
      <c r="A1376">
        <v>1159</v>
      </c>
      <c r="B1376" s="4">
        <v>45748.375085336993</v>
      </c>
      <c r="C1376" t="s">
        <v>7</v>
      </c>
      <c r="D1376" t="s">
        <v>22</v>
      </c>
      <c r="E1376" t="s">
        <v>25</v>
      </c>
      <c r="F1376">
        <v>4535.1099999999997</v>
      </c>
    </row>
    <row r="1377" spans="1:6" x14ac:dyDescent="0.35">
      <c r="A1377">
        <v>1046</v>
      </c>
      <c r="B1377" s="4">
        <v>45749.375085336993</v>
      </c>
      <c r="C1377" t="s">
        <v>11</v>
      </c>
      <c r="D1377" t="s">
        <v>19</v>
      </c>
      <c r="E1377" t="s">
        <v>24</v>
      </c>
      <c r="F1377">
        <v>1577.88</v>
      </c>
    </row>
    <row r="1378" spans="1:6" x14ac:dyDescent="0.35">
      <c r="A1378">
        <v>1073</v>
      </c>
      <c r="B1378" s="4">
        <v>45749.375085336993</v>
      </c>
      <c r="C1378" t="s">
        <v>8</v>
      </c>
      <c r="D1378" t="s">
        <v>19</v>
      </c>
      <c r="E1378" t="s">
        <v>25</v>
      </c>
      <c r="F1378">
        <v>5784.35</v>
      </c>
    </row>
    <row r="1379" spans="1:6" x14ac:dyDescent="0.35">
      <c r="A1379">
        <v>1283</v>
      </c>
      <c r="B1379" s="4">
        <v>45749.375085336993</v>
      </c>
      <c r="C1379" t="s">
        <v>13</v>
      </c>
      <c r="D1379" t="s">
        <v>18</v>
      </c>
      <c r="E1379" t="s">
        <v>23</v>
      </c>
      <c r="F1379">
        <v>3686.84</v>
      </c>
    </row>
    <row r="1380" spans="1:6" x14ac:dyDescent="0.35">
      <c r="A1380">
        <v>1275</v>
      </c>
      <c r="B1380" s="4">
        <v>45750.375085336993</v>
      </c>
      <c r="C1380" t="s">
        <v>11</v>
      </c>
      <c r="D1380" t="s">
        <v>22</v>
      </c>
      <c r="E1380" t="s">
        <v>23</v>
      </c>
      <c r="F1380">
        <v>3995.36</v>
      </c>
    </row>
    <row r="1381" spans="1:6" x14ac:dyDescent="0.35">
      <c r="A1381">
        <v>1299</v>
      </c>
      <c r="B1381" s="4">
        <v>45750.375085336993</v>
      </c>
      <c r="C1381" t="s">
        <v>7</v>
      </c>
      <c r="D1381" t="s">
        <v>21</v>
      </c>
      <c r="E1381" t="s">
        <v>23</v>
      </c>
      <c r="F1381">
        <v>4700.29</v>
      </c>
    </row>
    <row r="1382" spans="1:6" x14ac:dyDescent="0.35">
      <c r="A1382">
        <v>1349</v>
      </c>
      <c r="B1382" s="4">
        <v>45750.375085336993</v>
      </c>
      <c r="C1382" t="s">
        <v>7</v>
      </c>
      <c r="D1382" t="s">
        <v>20</v>
      </c>
      <c r="E1382" t="s">
        <v>23</v>
      </c>
      <c r="F1382">
        <v>1812.45</v>
      </c>
    </row>
    <row r="1383" spans="1:6" x14ac:dyDescent="0.35">
      <c r="A1383">
        <v>1046</v>
      </c>
      <c r="B1383" s="4">
        <v>45750.375085336993</v>
      </c>
      <c r="C1383" t="s">
        <v>10</v>
      </c>
      <c r="D1383" t="s">
        <v>19</v>
      </c>
      <c r="E1383" t="s">
        <v>24</v>
      </c>
      <c r="F1383">
        <v>933.56</v>
      </c>
    </row>
    <row r="1384" spans="1:6" x14ac:dyDescent="0.35">
      <c r="A1384">
        <v>1318</v>
      </c>
      <c r="B1384" s="4">
        <v>45752.375085336993</v>
      </c>
      <c r="C1384" t="s">
        <v>6</v>
      </c>
      <c r="D1384" t="s">
        <v>16</v>
      </c>
      <c r="E1384" t="s">
        <v>23</v>
      </c>
      <c r="F1384">
        <v>5361.89</v>
      </c>
    </row>
    <row r="1385" spans="1:6" x14ac:dyDescent="0.35">
      <c r="A1385">
        <v>1268</v>
      </c>
      <c r="B1385" s="4">
        <v>45753.375085336993</v>
      </c>
      <c r="C1385" t="s">
        <v>11</v>
      </c>
      <c r="D1385" t="s">
        <v>17</v>
      </c>
      <c r="E1385" t="s">
        <v>23</v>
      </c>
      <c r="F1385">
        <v>5758.25</v>
      </c>
    </row>
    <row r="1386" spans="1:6" x14ac:dyDescent="0.35">
      <c r="A1386">
        <v>1272</v>
      </c>
      <c r="B1386" s="4">
        <v>45753.375085336993</v>
      </c>
      <c r="C1386" t="s">
        <v>15</v>
      </c>
      <c r="D1386" t="s">
        <v>16</v>
      </c>
      <c r="E1386" t="s">
        <v>24</v>
      </c>
      <c r="F1386">
        <v>4368.41</v>
      </c>
    </row>
    <row r="1387" spans="1:6" x14ac:dyDescent="0.35">
      <c r="A1387">
        <v>1273</v>
      </c>
      <c r="B1387" s="4">
        <v>45753.375085336993</v>
      </c>
      <c r="C1387" t="s">
        <v>12</v>
      </c>
      <c r="D1387" t="s">
        <v>18</v>
      </c>
      <c r="E1387" t="s">
        <v>24</v>
      </c>
      <c r="F1387">
        <v>3240.96</v>
      </c>
    </row>
    <row r="1388" spans="1:6" x14ac:dyDescent="0.35">
      <c r="A1388">
        <v>1266</v>
      </c>
      <c r="B1388" s="4">
        <v>45754.375085336993</v>
      </c>
      <c r="C1388" t="s">
        <v>14</v>
      </c>
      <c r="D1388" t="s">
        <v>21</v>
      </c>
      <c r="E1388" t="s">
        <v>24</v>
      </c>
      <c r="F1388">
        <v>3986.09</v>
      </c>
    </row>
    <row r="1389" spans="1:6" x14ac:dyDescent="0.35">
      <c r="A1389">
        <v>1076</v>
      </c>
      <c r="B1389" s="4">
        <v>45754.375085336993</v>
      </c>
      <c r="C1389" t="s">
        <v>12</v>
      </c>
      <c r="D1389" t="s">
        <v>19</v>
      </c>
      <c r="E1389" t="s">
        <v>23</v>
      </c>
      <c r="F1389">
        <v>2239.0700000000002</v>
      </c>
    </row>
    <row r="1390" spans="1:6" x14ac:dyDescent="0.35">
      <c r="A1390">
        <v>1266</v>
      </c>
      <c r="B1390" s="4">
        <v>45754.375085336993</v>
      </c>
      <c r="C1390" t="s">
        <v>7</v>
      </c>
      <c r="D1390" t="s">
        <v>22</v>
      </c>
      <c r="E1390" t="s">
        <v>24</v>
      </c>
      <c r="F1390">
        <v>5861.59</v>
      </c>
    </row>
    <row r="1391" spans="1:6" x14ac:dyDescent="0.35">
      <c r="A1391">
        <v>1034</v>
      </c>
      <c r="B1391" s="4">
        <v>45754.375085336993</v>
      </c>
      <c r="C1391" t="s">
        <v>7</v>
      </c>
      <c r="D1391" t="s">
        <v>16</v>
      </c>
      <c r="E1391" t="s">
        <v>24</v>
      </c>
      <c r="F1391">
        <v>4414.5200000000004</v>
      </c>
    </row>
    <row r="1392" spans="1:6" x14ac:dyDescent="0.35">
      <c r="A1392">
        <v>1233</v>
      </c>
      <c r="B1392" s="4">
        <v>45755.375085336993</v>
      </c>
      <c r="C1392" t="s">
        <v>7</v>
      </c>
      <c r="D1392" t="s">
        <v>22</v>
      </c>
      <c r="E1392" t="s">
        <v>24</v>
      </c>
      <c r="F1392">
        <v>1569.9</v>
      </c>
    </row>
    <row r="1393" spans="1:6" x14ac:dyDescent="0.35">
      <c r="A1393">
        <v>1385</v>
      </c>
      <c r="B1393" s="4">
        <v>45755.375085336993</v>
      </c>
      <c r="C1393" t="s">
        <v>12</v>
      </c>
      <c r="D1393" t="s">
        <v>20</v>
      </c>
      <c r="E1393" t="s">
        <v>23</v>
      </c>
      <c r="F1393">
        <v>6165.22</v>
      </c>
    </row>
    <row r="1394" spans="1:6" x14ac:dyDescent="0.35">
      <c r="A1394">
        <v>1246</v>
      </c>
      <c r="B1394" s="4">
        <v>45755.375085336993</v>
      </c>
      <c r="C1394" t="s">
        <v>6</v>
      </c>
      <c r="D1394" t="s">
        <v>19</v>
      </c>
      <c r="E1394" t="s">
        <v>25</v>
      </c>
      <c r="F1394">
        <v>5305.12</v>
      </c>
    </row>
    <row r="1395" spans="1:6" x14ac:dyDescent="0.35">
      <c r="A1395">
        <v>1216</v>
      </c>
      <c r="B1395" s="4">
        <v>45755.375085336993</v>
      </c>
      <c r="C1395" t="s">
        <v>10</v>
      </c>
      <c r="D1395" t="s">
        <v>17</v>
      </c>
      <c r="E1395" t="s">
        <v>25</v>
      </c>
      <c r="F1395">
        <v>1371.24</v>
      </c>
    </row>
    <row r="1396" spans="1:6" x14ac:dyDescent="0.35">
      <c r="A1396">
        <v>1113</v>
      </c>
      <c r="B1396" s="4">
        <v>45756.375085336993</v>
      </c>
      <c r="C1396" t="s">
        <v>7</v>
      </c>
      <c r="D1396" t="s">
        <v>20</v>
      </c>
      <c r="E1396" t="s">
        <v>24</v>
      </c>
      <c r="F1396">
        <v>5016.47</v>
      </c>
    </row>
    <row r="1397" spans="1:6" x14ac:dyDescent="0.35">
      <c r="A1397">
        <v>1003</v>
      </c>
      <c r="B1397" s="4">
        <v>45756.375085336993</v>
      </c>
      <c r="C1397" t="s">
        <v>10</v>
      </c>
      <c r="D1397" t="s">
        <v>17</v>
      </c>
      <c r="E1397" t="s">
        <v>24</v>
      </c>
      <c r="F1397">
        <v>6548.41</v>
      </c>
    </row>
    <row r="1398" spans="1:6" x14ac:dyDescent="0.35">
      <c r="A1398">
        <v>1345</v>
      </c>
      <c r="B1398" s="4">
        <v>45757.375085336993</v>
      </c>
      <c r="C1398" t="s">
        <v>10</v>
      </c>
      <c r="D1398" t="s">
        <v>20</v>
      </c>
      <c r="E1398" t="s">
        <v>23</v>
      </c>
      <c r="F1398">
        <v>2495.86</v>
      </c>
    </row>
    <row r="1399" spans="1:6" x14ac:dyDescent="0.35">
      <c r="A1399">
        <v>1300</v>
      </c>
      <c r="B1399" s="4">
        <v>45757.375085336993</v>
      </c>
      <c r="C1399" t="s">
        <v>9</v>
      </c>
      <c r="D1399" t="s">
        <v>18</v>
      </c>
      <c r="E1399" t="s">
        <v>23</v>
      </c>
      <c r="F1399">
        <v>976.4</v>
      </c>
    </row>
    <row r="1400" spans="1:6" x14ac:dyDescent="0.35">
      <c r="A1400">
        <v>1128</v>
      </c>
      <c r="B1400" s="4">
        <v>45758.375085336993</v>
      </c>
      <c r="C1400" t="s">
        <v>6</v>
      </c>
      <c r="D1400" t="s">
        <v>18</v>
      </c>
      <c r="E1400" t="s">
        <v>23</v>
      </c>
      <c r="F1400">
        <v>6153.84</v>
      </c>
    </row>
    <row r="1401" spans="1:6" x14ac:dyDescent="0.35">
      <c r="A1401">
        <v>1068</v>
      </c>
      <c r="B1401" s="4">
        <v>45759.375085336993</v>
      </c>
      <c r="C1401" t="s">
        <v>7</v>
      </c>
      <c r="D1401" t="s">
        <v>22</v>
      </c>
      <c r="E1401" t="s">
        <v>24</v>
      </c>
      <c r="F1401">
        <v>2899.13</v>
      </c>
    </row>
    <row r="1402" spans="1:6" x14ac:dyDescent="0.35">
      <c r="A1402">
        <v>1149</v>
      </c>
      <c r="B1402" s="4">
        <v>45759.375085336993</v>
      </c>
      <c r="C1402" t="s">
        <v>13</v>
      </c>
      <c r="D1402" t="s">
        <v>22</v>
      </c>
      <c r="E1402" t="s">
        <v>24</v>
      </c>
      <c r="F1402">
        <v>1711.94</v>
      </c>
    </row>
    <row r="1403" spans="1:6" x14ac:dyDescent="0.35">
      <c r="A1403">
        <v>1062</v>
      </c>
      <c r="B1403" s="4">
        <v>45759.375085336993</v>
      </c>
      <c r="C1403" t="s">
        <v>9</v>
      </c>
      <c r="D1403" t="s">
        <v>20</v>
      </c>
      <c r="E1403" t="s">
        <v>24</v>
      </c>
      <c r="F1403">
        <v>2939.57</v>
      </c>
    </row>
    <row r="1404" spans="1:6" x14ac:dyDescent="0.35">
      <c r="A1404">
        <v>1316</v>
      </c>
      <c r="B1404" s="4">
        <v>45759.375085336993</v>
      </c>
      <c r="C1404" t="s">
        <v>9</v>
      </c>
      <c r="D1404" t="s">
        <v>18</v>
      </c>
      <c r="E1404" t="s">
        <v>24</v>
      </c>
      <c r="F1404">
        <v>1049.05</v>
      </c>
    </row>
    <row r="1405" spans="1:6" x14ac:dyDescent="0.35">
      <c r="A1405">
        <v>1163</v>
      </c>
      <c r="B1405" s="4">
        <v>45759.375085336993</v>
      </c>
      <c r="C1405" t="s">
        <v>10</v>
      </c>
      <c r="D1405" t="s">
        <v>20</v>
      </c>
      <c r="E1405" t="s">
        <v>24</v>
      </c>
      <c r="F1405">
        <v>1479.06</v>
      </c>
    </row>
    <row r="1406" spans="1:6" x14ac:dyDescent="0.35">
      <c r="A1406">
        <v>1091</v>
      </c>
      <c r="B1406" s="4">
        <v>45759.375085336993</v>
      </c>
      <c r="C1406" t="s">
        <v>7</v>
      </c>
      <c r="D1406" t="s">
        <v>21</v>
      </c>
      <c r="E1406" t="s">
        <v>24</v>
      </c>
      <c r="F1406">
        <v>2602.27</v>
      </c>
    </row>
    <row r="1407" spans="1:6" x14ac:dyDescent="0.35">
      <c r="A1407">
        <v>1191</v>
      </c>
      <c r="B1407" s="4">
        <v>45759.375085336993</v>
      </c>
      <c r="C1407" t="s">
        <v>15</v>
      </c>
      <c r="D1407" t="s">
        <v>22</v>
      </c>
      <c r="E1407" t="s">
        <v>25</v>
      </c>
      <c r="F1407">
        <v>2128.87</v>
      </c>
    </row>
    <row r="1408" spans="1:6" x14ac:dyDescent="0.35">
      <c r="A1408">
        <v>1388</v>
      </c>
      <c r="B1408" s="4">
        <v>45760.375085336993</v>
      </c>
      <c r="C1408" t="s">
        <v>7</v>
      </c>
      <c r="D1408" t="s">
        <v>21</v>
      </c>
      <c r="E1408" t="s">
        <v>23</v>
      </c>
      <c r="F1408">
        <v>1611.61</v>
      </c>
    </row>
    <row r="1409" spans="1:6" x14ac:dyDescent="0.35">
      <c r="A1409">
        <v>1131</v>
      </c>
      <c r="B1409" s="4">
        <v>45760.375085336993</v>
      </c>
      <c r="C1409" t="s">
        <v>10</v>
      </c>
      <c r="D1409" t="s">
        <v>18</v>
      </c>
      <c r="E1409" t="s">
        <v>24</v>
      </c>
      <c r="F1409">
        <v>5845.46</v>
      </c>
    </row>
    <row r="1410" spans="1:6" x14ac:dyDescent="0.35">
      <c r="A1410">
        <v>1245</v>
      </c>
      <c r="B1410" s="4">
        <v>45760.375085336993</v>
      </c>
      <c r="C1410" t="s">
        <v>7</v>
      </c>
      <c r="D1410" t="s">
        <v>16</v>
      </c>
      <c r="E1410" t="s">
        <v>23</v>
      </c>
      <c r="F1410">
        <v>1486.65</v>
      </c>
    </row>
    <row r="1411" spans="1:6" x14ac:dyDescent="0.35">
      <c r="A1411">
        <v>1299</v>
      </c>
      <c r="B1411" s="4">
        <v>45760.375085336993</v>
      </c>
      <c r="C1411" t="s">
        <v>9</v>
      </c>
      <c r="D1411" t="s">
        <v>21</v>
      </c>
      <c r="E1411" t="s">
        <v>23</v>
      </c>
      <c r="F1411">
        <v>470.1</v>
      </c>
    </row>
    <row r="1412" spans="1:6" x14ac:dyDescent="0.35">
      <c r="A1412">
        <v>1257</v>
      </c>
      <c r="B1412" s="4">
        <v>45760.375085336993</v>
      </c>
      <c r="C1412" t="s">
        <v>9</v>
      </c>
      <c r="D1412" t="s">
        <v>19</v>
      </c>
      <c r="E1412" t="s">
        <v>25</v>
      </c>
      <c r="F1412">
        <v>892.6</v>
      </c>
    </row>
    <row r="1413" spans="1:6" x14ac:dyDescent="0.35">
      <c r="A1413">
        <v>1190</v>
      </c>
      <c r="B1413" s="4">
        <v>45760.375085336993</v>
      </c>
      <c r="C1413" t="s">
        <v>15</v>
      </c>
      <c r="D1413" t="s">
        <v>21</v>
      </c>
      <c r="E1413" t="s">
        <v>25</v>
      </c>
      <c r="F1413">
        <v>1647.59</v>
      </c>
    </row>
    <row r="1414" spans="1:6" x14ac:dyDescent="0.35">
      <c r="A1414">
        <v>1191</v>
      </c>
      <c r="B1414" s="4">
        <v>45760.375085336993</v>
      </c>
      <c r="C1414" t="s">
        <v>7</v>
      </c>
      <c r="D1414" t="s">
        <v>21</v>
      </c>
      <c r="E1414" t="s">
        <v>23</v>
      </c>
      <c r="F1414">
        <v>1410.82</v>
      </c>
    </row>
    <row r="1415" spans="1:6" x14ac:dyDescent="0.35">
      <c r="A1415">
        <v>1376</v>
      </c>
      <c r="B1415" s="4">
        <v>45760.375085336993</v>
      </c>
      <c r="C1415" t="s">
        <v>14</v>
      </c>
      <c r="D1415" t="s">
        <v>22</v>
      </c>
      <c r="E1415" t="s">
        <v>25</v>
      </c>
      <c r="F1415">
        <v>209.13</v>
      </c>
    </row>
    <row r="1416" spans="1:6" x14ac:dyDescent="0.35">
      <c r="A1416">
        <v>1005</v>
      </c>
      <c r="B1416" s="4">
        <v>45761.375085336993</v>
      </c>
      <c r="C1416" t="s">
        <v>7</v>
      </c>
      <c r="D1416" t="s">
        <v>16</v>
      </c>
      <c r="E1416" t="s">
        <v>24</v>
      </c>
      <c r="F1416">
        <v>4325.53</v>
      </c>
    </row>
    <row r="1417" spans="1:6" x14ac:dyDescent="0.35">
      <c r="A1417">
        <v>1261</v>
      </c>
      <c r="B1417" s="4">
        <v>45761.375085336993</v>
      </c>
      <c r="C1417" t="s">
        <v>15</v>
      </c>
      <c r="D1417" t="s">
        <v>22</v>
      </c>
      <c r="E1417" t="s">
        <v>25</v>
      </c>
      <c r="F1417">
        <v>8243.84</v>
      </c>
    </row>
    <row r="1418" spans="1:6" x14ac:dyDescent="0.35">
      <c r="A1418">
        <v>1387</v>
      </c>
      <c r="B1418" s="4">
        <v>45761.375085336993</v>
      </c>
      <c r="C1418" t="s">
        <v>12</v>
      </c>
      <c r="D1418" t="s">
        <v>18</v>
      </c>
      <c r="E1418" t="s">
        <v>24</v>
      </c>
      <c r="F1418">
        <v>4511.7</v>
      </c>
    </row>
    <row r="1419" spans="1:6" x14ac:dyDescent="0.35">
      <c r="A1419">
        <v>1176</v>
      </c>
      <c r="B1419" s="4">
        <v>45762.375085336993</v>
      </c>
      <c r="C1419" t="s">
        <v>8</v>
      </c>
      <c r="D1419" t="s">
        <v>22</v>
      </c>
      <c r="E1419" t="s">
        <v>24</v>
      </c>
      <c r="F1419">
        <v>3944.13</v>
      </c>
    </row>
    <row r="1420" spans="1:6" x14ac:dyDescent="0.35">
      <c r="A1420">
        <v>1246</v>
      </c>
      <c r="B1420" s="4">
        <v>45762.375085336993</v>
      </c>
      <c r="C1420" t="s">
        <v>7</v>
      </c>
      <c r="D1420" t="s">
        <v>16</v>
      </c>
      <c r="E1420" t="s">
        <v>24</v>
      </c>
      <c r="F1420">
        <v>2084.6</v>
      </c>
    </row>
    <row r="1421" spans="1:6" x14ac:dyDescent="0.35">
      <c r="A1421">
        <v>1323</v>
      </c>
      <c r="B1421" s="4">
        <v>45762.375085336993</v>
      </c>
      <c r="C1421" t="s">
        <v>9</v>
      </c>
      <c r="D1421" t="s">
        <v>20</v>
      </c>
      <c r="E1421" t="s">
        <v>25</v>
      </c>
      <c r="F1421">
        <v>2756.22</v>
      </c>
    </row>
    <row r="1422" spans="1:6" x14ac:dyDescent="0.35">
      <c r="A1422">
        <v>1357</v>
      </c>
      <c r="B1422" s="4">
        <v>45763.375085336993</v>
      </c>
      <c r="C1422" t="s">
        <v>14</v>
      </c>
      <c r="D1422" t="s">
        <v>19</v>
      </c>
      <c r="E1422" t="s">
        <v>25</v>
      </c>
      <c r="F1422">
        <v>3474.26</v>
      </c>
    </row>
    <row r="1423" spans="1:6" x14ac:dyDescent="0.35">
      <c r="A1423">
        <v>1340</v>
      </c>
      <c r="B1423" s="4">
        <v>45763.375085336993</v>
      </c>
      <c r="C1423" t="s">
        <v>10</v>
      </c>
      <c r="D1423" t="s">
        <v>21</v>
      </c>
      <c r="E1423" t="s">
        <v>23</v>
      </c>
      <c r="F1423">
        <v>5000.82</v>
      </c>
    </row>
    <row r="1424" spans="1:6" x14ac:dyDescent="0.35">
      <c r="A1424">
        <v>1053</v>
      </c>
      <c r="B1424" s="4">
        <v>45763.375085336993</v>
      </c>
      <c r="C1424" t="s">
        <v>13</v>
      </c>
      <c r="D1424" t="s">
        <v>21</v>
      </c>
      <c r="E1424" t="s">
        <v>24</v>
      </c>
      <c r="F1424">
        <v>2757.34</v>
      </c>
    </row>
    <row r="1425" spans="1:6" x14ac:dyDescent="0.35">
      <c r="A1425">
        <v>1293</v>
      </c>
      <c r="B1425" s="4">
        <v>45763.375085336993</v>
      </c>
      <c r="C1425" t="s">
        <v>13</v>
      </c>
      <c r="D1425" t="s">
        <v>17</v>
      </c>
      <c r="E1425" t="s">
        <v>23</v>
      </c>
      <c r="F1425">
        <v>6101.3</v>
      </c>
    </row>
    <row r="1426" spans="1:6" x14ac:dyDescent="0.35">
      <c r="A1426">
        <v>1116</v>
      </c>
      <c r="B1426" s="4">
        <v>45764.375085336993</v>
      </c>
      <c r="C1426" t="s">
        <v>10</v>
      </c>
      <c r="D1426" t="s">
        <v>16</v>
      </c>
      <c r="E1426" t="s">
        <v>24</v>
      </c>
      <c r="F1426">
        <v>1703.22</v>
      </c>
    </row>
    <row r="1427" spans="1:6" x14ac:dyDescent="0.35">
      <c r="A1427">
        <v>1243</v>
      </c>
      <c r="B1427" s="4">
        <v>45764.375085336993</v>
      </c>
      <c r="C1427" t="s">
        <v>10</v>
      </c>
      <c r="D1427" t="s">
        <v>17</v>
      </c>
      <c r="E1427" t="s">
        <v>24</v>
      </c>
      <c r="F1427">
        <v>1440.3</v>
      </c>
    </row>
    <row r="1428" spans="1:6" x14ac:dyDescent="0.35">
      <c r="A1428">
        <v>1164</v>
      </c>
      <c r="B1428" s="4">
        <v>45765.375085336993</v>
      </c>
      <c r="C1428" t="s">
        <v>10</v>
      </c>
      <c r="D1428" t="s">
        <v>18</v>
      </c>
      <c r="E1428" t="s">
        <v>23</v>
      </c>
      <c r="F1428">
        <v>2672.49</v>
      </c>
    </row>
    <row r="1429" spans="1:6" x14ac:dyDescent="0.35">
      <c r="A1429">
        <v>1140</v>
      </c>
      <c r="B1429" s="4">
        <v>45765.375085336993</v>
      </c>
      <c r="C1429" t="s">
        <v>8</v>
      </c>
      <c r="D1429" t="s">
        <v>22</v>
      </c>
      <c r="E1429" t="s">
        <v>25</v>
      </c>
      <c r="F1429">
        <v>483.43</v>
      </c>
    </row>
    <row r="1430" spans="1:6" x14ac:dyDescent="0.35">
      <c r="A1430">
        <v>1004</v>
      </c>
      <c r="B1430" s="4">
        <v>45765.375085336993</v>
      </c>
      <c r="C1430" t="s">
        <v>7</v>
      </c>
      <c r="D1430" t="s">
        <v>20</v>
      </c>
      <c r="E1430" t="s">
        <v>24</v>
      </c>
      <c r="F1430">
        <v>1704.53</v>
      </c>
    </row>
    <row r="1431" spans="1:6" x14ac:dyDescent="0.35">
      <c r="A1431">
        <v>1144</v>
      </c>
      <c r="B1431" s="4">
        <v>45765.375085336993</v>
      </c>
      <c r="C1431" t="s">
        <v>9</v>
      </c>
      <c r="D1431" t="s">
        <v>16</v>
      </c>
      <c r="E1431" t="s">
        <v>24</v>
      </c>
      <c r="F1431">
        <v>5906.14</v>
      </c>
    </row>
    <row r="1432" spans="1:6" x14ac:dyDescent="0.35">
      <c r="A1432">
        <v>1395</v>
      </c>
      <c r="B1432" s="4">
        <v>45765.375085336993</v>
      </c>
      <c r="C1432" t="s">
        <v>7</v>
      </c>
      <c r="D1432" t="s">
        <v>17</v>
      </c>
      <c r="E1432" t="s">
        <v>23</v>
      </c>
      <c r="F1432">
        <v>1517.59</v>
      </c>
    </row>
    <row r="1433" spans="1:6" x14ac:dyDescent="0.35">
      <c r="A1433">
        <v>1274</v>
      </c>
      <c r="B1433" s="4">
        <v>45766.375085336993</v>
      </c>
      <c r="C1433" t="s">
        <v>13</v>
      </c>
      <c r="D1433" t="s">
        <v>22</v>
      </c>
      <c r="E1433" t="s">
        <v>25</v>
      </c>
      <c r="F1433">
        <v>655.19000000000005</v>
      </c>
    </row>
    <row r="1434" spans="1:6" x14ac:dyDescent="0.35">
      <c r="A1434">
        <v>1352</v>
      </c>
      <c r="B1434" s="4">
        <v>45766.375085336993</v>
      </c>
      <c r="C1434" t="s">
        <v>11</v>
      </c>
      <c r="D1434" t="s">
        <v>17</v>
      </c>
      <c r="E1434" t="s">
        <v>24</v>
      </c>
      <c r="F1434">
        <v>5399.74</v>
      </c>
    </row>
    <row r="1435" spans="1:6" x14ac:dyDescent="0.35">
      <c r="A1435">
        <v>1016</v>
      </c>
      <c r="B1435" s="4">
        <v>45766.375085336993</v>
      </c>
      <c r="C1435" t="s">
        <v>9</v>
      </c>
      <c r="D1435" t="s">
        <v>21</v>
      </c>
      <c r="E1435" t="s">
        <v>25</v>
      </c>
      <c r="F1435">
        <v>2793.72</v>
      </c>
    </row>
    <row r="1436" spans="1:6" x14ac:dyDescent="0.35">
      <c r="A1436">
        <v>1000</v>
      </c>
      <c r="B1436" s="4">
        <v>45767.375085336993</v>
      </c>
      <c r="C1436" t="s">
        <v>14</v>
      </c>
      <c r="D1436" t="s">
        <v>20</v>
      </c>
      <c r="E1436" t="s">
        <v>24</v>
      </c>
      <c r="F1436">
        <v>3002.63</v>
      </c>
    </row>
    <row r="1437" spans="1:6" x14ac:dyDescent="0.35">
      <c r="A1437">
        <v>1059</v>
      </c>
      <c r="B1437" s="4">
        <v>45767.375085336993</v>
      </c>
      <c r="C1437" t="s">
        <v>15</v>
      </c>
      <c r="D1437" t="s">
        <v>21</v>
      </c>
      <c r="E1437" t="s">
        <v>25</v>
      </c>
      <c r="F1437">
        <v>864.32</v>
      </c>
    </row>
    <row r="1438" spans="1:6" x14ac:dyDescent="0.35">
      <c r="A1438">
        <v>1091</v>
      </c>
      <c r="B1438" s="4">
        <v>45767.375085336993</v>
      </c>
      <c r="C1438" t="s">
        <v>8</v>
      </c>
      <c r="D1438" t="s">
        <v>16</v>
      </c>
      <c r="E1438" t="s">
        <v>24</v>
      </c>
      <c r="F1438">
        <v>405.04</v>
      </c>
    </row>
    <row r="1439" spans="1:6" x14ac:dyDescent="0.35">
      <c r="A1439">
        <v>1199</v>
      </c>
      <c r="B1439" s="4">
        <v>45767.375085336993</v>
      </c>
      <c r="C1439" t="s">
        <v>8</v>
      </c>
      <c r="D1439" t="s">
        <v>22</v>
      </c>
      <c r="E1439" t="s">
        <v>25</v>
      </c>
      <c r="F1439">
        <v>1666.9</v>
      </c>
    </row>
    <row r="1440" spans="1:6" x14ac:dyDescent="0.35">
      <c r="A1440">
        <v>1163</v>
      </c>
      <c r="B1440" s="4">
        <v>45768.375085336993</v>
      </c>
      <c r="C1440" t="s">
        <v>11</v>
      </c>
      <c r="D1440" t="s">
        <v>19</v>
      </c>
      <c r="E1440" t="s">
        <v>23</v>
      </c>
      <c r="F1440">
        <v>4502.6099999999997</v>
      </c>
    </row>
    <row r="1441" spans="1:6" x14ac:dyDescent="0.35">
      <c r="A1441">
        <v>1215</v>
      </c>
      <c r="B1441" s="4">
        <v>45768.375085336993</v>
      </c>
      <c r="C1441" t="s">
        <v>14</v>
      </c>
      <c r="D1441" t="s">
        <v>19</v>
      </c>
      <c r="E1441" t="s">
        <v>23</v>
      </c>
      <c r="F1441">
        <v>1759.03</v>
      </c>
    </row>
    <row r="1442" spans="1:6" x14ac:dyDescent="0.35">
      <c r="A1442">
        <v>1373</v>
      </c>
      <c r="B1442" s="4">
        <v>45768.375085336993</v>
      </c>
      <c r="C1442" t="s">
        <v>10</v>
      </c>
      <c r="D1442" t="s">
        <v>16</v>
      </c>
      <c r="E1442" t="s">
        <v>25</v>
      </c>
      <c r="F1442">
        <v>4956.78</v>
      </c>
    </row>
    <row r="1443" spans="1:6" x14ac:dyDescent="0.35">
      <c r="A1443">
        <v>1392</v>
      </c>
      <c r="B1443" s="4">
        <v>45768.375085336993</v>
      </c>
      <c r="C1443" t="s">
        <v>15</v>
      </c>
      <c r="D1443" t="s">
        <v>18</v>
      </c>
      <c r="E1443" t="s">
        <v>25</v>
      </c>
      <c r="F1443">
        <v>5388.18</v>
      </c>
    </row>
    <row r="1444" spans="1:6" x14ac:dyDescent="0.35">
      <c r="A1444">
        <v>1284</v>
      </c>
      <c r="B1444" s="4">
        <v>45768.375085336993</v>
      </c>
      <c r="C1444" t="s">
        <v>12</v>
      </c>
      <c r="D1444" t="s">
        <v>20</v>
      </c>
      <c r="E1444" t="s">
        <v>23</v>
      </c>
      <c r="F1444">
        <v>4512.38</v>
      </c>
    </row>
    <row r="1445" spans="1:6" x14ac:dyDescent="0.35">
      <c r="A1445">
        <v>1133</v>
      </c>
      <c r="B1445" s="4">
        <v>45769.375085336993</v>
      </c>
      <c r="C1445" t="s">
        <v>11</v>
      </c>
      <c r="D1445" t="s">
        <v>18</v>
      </c>
      <c r="E1445" t="s">
        <v>23</v>
      </c>
      <c r="F1445">
        <v>4974.0200000000004</v>
      </c>
    </row>
    <row r="1446" spans="1:6" x14ac:dyDescent="0.35">
      <c r="A1446">
        <v>1163</v>
      </c>
      <c r="B1446" s="4">
        <v>45769.375085336993</v>
      </c>
      <c r="C1446" t="s">
        <v>9</v>
      </c>
      <c r="D1446" t="s">
        <v>20</v>
      </c>
      <c r="E1446" t="s">
        <v>25</v>
      </c>
      <c r="F1446">
        <v>2737.46</v>
      </c>
    </row>
    <row r="1447" spans="1:6" x14ac:dyDescent="0.35">
      <c r="A1447">
        <v>1367</v>
      </c>
      <c r="B1447" s="4">
        <v>45769.375085336993</v>
      </c>
      <c r="C1447" t="s">
        <v>9</v>
      </c>
      <c r="D1447" t="s">
        <v>17</v>
      </c>
      <c r="E1447" t="s">
        <v>24</v>
      </c>
      <c r="F1447">
        <v>6290.43</v>
      </c>
    </row>
    <row r="1448" spans="1:6" x14ac:dyDescent="0.35">
      <c r="A1448">
        <v>1287</v>
      </c>
      <c r="B1448" s="4">
        <v>45769.375085336993</v>
      </c>
      <c r="C1448" t="s">
        <v>6</v>
      </c>
      <c r="D1448" t="s">
        <v>21</v>
      </c>
      <c r="E1448" t="s">
        <v>23</v>
      </c>
      <c r="F1448">
        <v>4983.16</v>
      </c>
    </row>
    <row r="1449" spans="1:6" x14ac:dyDescent="0.35">
      <c r="A1449">
        <v>1201</v>
      </c>
      <c r="B1449" s="4">
        <v>45769.375085336993</v>
      </c>
      <c r="C1449" t="s">
        <v>7</v>
      </c>
      <c r="D1449" t="s">
        <v>18</v>
      </c>
      <c r="E1449" t="s">
        <v>24</v>
      </c>
      <c r="F1449">
        <v>3330.37</v>
      </c>
    </row>
    <row r="1450" spans="1:6" x14ac:dyDescent="0.35">
      <c r="A1450">
        <v>1128</v>
      </c>
      <c r="B1450" s="4">
        <v>45769.375085336993</v>
      </c>
      <c r="C1450" t="s">
        <v>14</v>
      </c>
      <c r="D1450" t="s">
        <v>16</v>
      </c>
      <c r="E1450" t="s">
        <v>23</v>
      </c>
      <c r="F1450">
        <v>7169.93</v>
      </c>
    </row>
    <row r="1451" spans="1:6" x14ac:dyDescent="0.35">
      <c r="A1451">
        <v>1379</v>
      </c>
      <c r="B1451" s="4">
        <v>45769.375085336993</v>
      </c>
      <c r="C1451" t="s">
        <v>12</v>
      </c>
      <c r="D1451" t="s">
        <v>16</v>
      </c>
      <c r="E1451" t="s">
        <v>24</v>
      </c>
      <c r="F1451">
        <v>1653.24</v>
      </c>
    </row>
    <row r="1452" spans="1:6" x14ac:dyDescent="0.35">
      <c r="A1452">
        <v>1008</v>
      </c>
      <c r="B1452" s="4">
        <v>45769.375085336993</v>
      </c>
      <c r="C1452" t="s">
        <v>9</v>
      </c>
      <c r="D1452" t="s">
        <v>16</v>
      </c>
      <c r="E1452" t="s">
        <v>24</v>
      </c>
      <c r="F1452">
        <v>3873.99</v>
      </c>
    </row>
    <row r="1453" spans="1:6" x14ac:dyDescent="0.35">
      <c r="A1453">
        <v>1219</v>
      </c>
      <c r="B1453" s="4">
        <v>45770.375085336993</v>
      </c>
      <c r="C1453" t="s">
        <v>6</v>
      </c>
      <c r="D1453" t="s">
        <v>16</v>
      </c>
      <c r="E1453" t="s">
        <v>24</v>
      </c>
      <c r="F1453">
        <v>7567.72</v>
      </c>
    </row>
    <row r="1454" spans="1:6" x14ac:dyDescent="0.35">
      <c r="A1454">
        <v>1023</v>
      </c>
      <c r="B1454" s="4">
        <v>45770.375085336993</v>
      </c>
      <c r="C1454" t="s">
        <v>15</v>
      </c>
      <c r="D1454" t="s">
        <v>16</v>
      </c>
      <c r="E1454" t="s">
        <v>25</v>
      </c>
      <c r="F1454">
        <v>8009.67</v>
      </c>
    </row>
    <row r="1455" spans="1:6" x14ac:dyDescent="0.35">
      <c r="A1455">
        <v>1370</v>
      </c>
      <c r="B1455" s="4">
        <v>45770.375085336993</v>
      </c>
      <c r="C1455" t="s">
        <v>15</v>
      </c>
      <c r="D1455" t="s">
        <v>21</v>
      </c>
      <c r="E1455" t="s">
        <v>24</v>
      </c>
      <c r="F1455">
        <v>3128.83</v>
      </c>
    </row>
    <row r="1456" spans="1:6" x14ac:dyDescent="0.35">
      <c r="A1456">
        <v>1299</v>
      </c>
      <c r="B1456" s="4">
        <v>45771.375085336993</v>
      </c>
      <c r="C1456" t="s">
        <v>14</v>
      </c>
      <c r="D1456" t="s">
        <v>18</v>
      </c>
      <c r="E1456" t="s">
        <v>23</v>
      </c>
      <c r="F1456">
        <v>1876.35</v>
      </c>
    </row>
    <row r="1457" spans="1:6" x14ac:dyDescent="0.35">
      <c r="A1457">
        <v>1096</v>
      </c>
      <c r="B1457" s="4">
        <v>45771.375085336993</v>
      </c>
      <c r="C1457" t="s">
        <v>11</v>
      </c>
      <c r="D1457" t="s">
        <v>17</v>
      </c>
      <c r="E1457" t="s">
        <v>23</v>
      </c>
      <c r="F1457">
        <v>1555.23</v>
      </c>
    </row>
    <row r="1458" spans="1:6" x14ac:dyDescent="0.35">
      <c r="A1458">
        <v>1343</v>
      </c>
      <c r="B1458" s="4">
        <v>45771.375085336993</v>
      </c>
      <c r="C1458" t="s">
        <v>7</v>
      </c>
      <c r="D1458" t="s">
        <v>16</v>
      </c>
      <c r="E1458" t="s">
        <v>23</v>
      </c>
      <c r="F1458">
        <v>5986.96</v>
      </c>
    </row>
    <row r="1459" spans="1:6" x14ac:dyDescent="0.35">
      <c r="A1459">
        <v>1339</v>
      </c>
      <c r="B1459" s="4">
        <v>45771.375085336993</v>
      </c>
      <c r="C1459" t="s">
        <v>9</v>
      </c>
      <c r="D1459" t="s">
        <v>17</v>
      </c>
      <c r="E1459" t="s">
        <v>25</v>
      </c>
      <c r="F1459">
        <v>2008.36</v>
      </c>
    </row>
    <row r="1460" spans="1:6" x14ac:dyDescent="0.35">
      <c r="A1460">
        <v>1143</v>
      </c>
      <c r="B1460" s="4">
        <v>45771.375085336993</v>
      </c>
      <c r="C1460" t="s">
        <v>7</v>
      </c>
      <c r="D1460" t="s">
        <v>19</v>
      </c>
      <c r="E1460" t="s">
        <v>24</v>
      </c>
      <c r="F1460">
        <v>8527.43</v>
      </c>
    </row>
    <row r="1461" spans="1:6" x14ac:dyDescent="0.35">
      <c r="A1461">
        <v>1149</v>
      </c>
      <c r="B1461" s="4">
        <v>45772.375085336993</v>
      </c>
      <c r="C1461" t="s">
        <v>10</v>
      </c>
      <c r="D1461" t="s">
        <v>22</v>
      </c>
      <c r="E1461" t="s">
        <v>25</v>
      </c>
      <c r="F1461">
        <v>2223.34</v>
      </c>
    </row>
    <row r="1462" spans="1:6" x14ac:dyDescent="0.35">
      <c r="A1462">
        <v>1399</v>
      </c>
      <c r="B1462" s="4">
        <v>45772.375085336993</v>
      </c>
      <c r="C1462" t="s">
        <v>8</v>
      </c>
      <c r="D1462" t="s">
        <v>20</v>
      </c>
      <c r="E1462" t="s">
        <v>24</v>
      </c>
      <c r="F1462">
        <v>6832.19</v>
      </c>
    </row>
    <row r="1463" spans="1:6" x14ac:dyDescent="0.35">
      <c r="A1463">
        <v>1128</v>
      </c>
      <c r="B1463" s="4">
        <v>45772.375085336993</v>
      </c>
      <c r="C1463" t="s">
        <v>10</v>
      </c>
      <c r="D1463" t="s">
        <v>18</v>
      </c>
      <c r="E1463" t="s">
        <v>24</v>
      </c>
      <c r="F1463">
        <v>2352.42</v>
      </c>
    </row>
    <row r="1464" spans="1:6" x14ac:dyDescent="0.35">
      <c r="A1464">
        <v>1141</v>
      </c>
      <c r="B1464" s="4">
        <v>45772.375085336993</v>
      </c>
      <c r="C1464" t="s">
        <v>11</v>
      </c>
      <c r="D1464" t="s">
        <v>20</v>
      </c>
      <c r="E1464" t="s">
        <v>24</v>
      </c>
      <c r="F1464">
        <v>7386.07</v>
      </c>
    </row>
    <row r="1465" spans="1:6" x14ac:dyDescent="0.35">
      <c r="A1465">
        <v>1371</v>
      </c>
      <c r="B1465" s="4">
        <v>45772.375085336993</v>
      </c>
      <c r="C1465" t="s">
        <v>8</v>
      </c>
      <c r="D1465" t="s">
        <v>16</v>
      </c>
      <c r="E1465" t="s">
        <v>24</v>
      </c>
      <c r="F1465">
        <v>946.49</v>
      </c>
    </row>
    <row r="1466" spans="1:6" x14ac:dyDescent="0.35">
      <c r="A1466">
        <v>1113</v>
      </c>
      <c r="B1466" s="4">
        <v>45772.375085336993</v>
      </c>
      <c r="C1466" t="s">
        <v>13</v>
      </c>
      <c r="D1466" t="s">
        <v>21</v>
      </c>
      <c r="E1466" t="s">
        <v>23</v>
      </c>
      <c r="F1466">
        <v>3402.41</v>
      </c>
    </row>
    <row r="1467" spans="1:6" x14ac:dyDescent="0.35">
      <c r="A1467">
        <v>1322</v>
      </c>
      <c r="B1467" s="4">
        <v>45773.375085336993</v>
      </c>
      <c r="C1467" t="s">
        <v>11</v>
      </c>
      <c r="D1467" t="s">
        <v>17</v>
      </c>
      <c r="E1467" t="s">
        <v>24</v>
      </c>
      <c r="F1467">
        <v>4534.63</v>
      </c>
    </row>
    <row r="1468" spans="1:6" x14ac:dyDescent="0.35">
      <c r="A1468">
        <v>1104</v>
      </c>
      <c r="B1468" s="4">
        <v>45773.375085336993</v>
      </c>
      <c r="C1468" t="s">
        <v>11</v>
      </c>
      <c r="D1468" t="s">
        <v>21</v>
      </c>
      <c r="E1468" t="s">
        <v>24</v>
      </c>
      <c r="F1468">
        <v>1389.7</v>
      </c>
    </row>
    <row r="1469" spans="1:6" x14ac:dyDescent="0.35">
      <c r="A1469">
        <v>1304</v>
      </c>
      <c r="B1469" s="4">
        <v>45773.375085336993</v>
      </c>
      <c r="C1469" t="s">
        <v>14</v>
      </c>
      <c r="D1469" t="s">
        <v>17</v>
      </c>
      <c r="E1469" t="s">
        <v>24</v>
      </c>
      <c r="F1469">
        <v>2300.77</v>
      </c>
    </row>
    <row r="1470" spans="1:6" x14ac:dyDescent="0.35">
      <c r="A1470">
        <v>1266</v>
      </c>
      <c r="B1470" s="4">
        <v>45773.375085336993</v>
      </c>
      <c r="C1470" t="s">
        <v>14</v>
      </c>
      <c r="D1470" t="s">
        <v>16</v>
      </c>
      <c r="E1470" t="s">
        <v>24</v>
      </c>
      <c r="F1470">
        <v>2826.99</v>
      </c>
    </row>
    <row r="1471" spans="1:6" x14ac:dyDescent="0.35">
      <c r="A1471">
        <v>1377</v>
      </c>
      <c r="B1471" s="4">
        <v>45774.375085336993</v>
      </c>
      <c r="C1471" t="s">
        <v>15</v>
      </c>
      <c r="D1471" t="s">
        <v>21</v>
      </c>
      <c r="E1471" t="s">
        <v>25</v>
      </c>
      <c r="F1471">
        <v>2103.4899999999998</v>
      </c>
    </row>
    <row r="1472" spans="1:6" x14ac:dyDescent="0.35">
      <c r="A1472">
        <v>1083</v>
      </c>
      <c r="B1472" s="4">
        <v>45774.375085336993</v>
      </c>
      <c r="C1472" t="s">
        <v>7</v>
      </c>
      <c r="D1472" t="s">
        <v>16</v>
      </c>
      <c r="E1472" t="s">
        <v>23</v>
      </c>
      <c r="F1472">
        <v>3089.78</v>
      </c>
    </row>
    <row r="1473" spans="1:6" x14ac:dyDescent="0.35">
      <c r="A1473">
        <v>1292</v>
      </c>
      <c r="B1473" s="4">
        <v>45774.375085336993</v>
      </c>
      <c r="C1473" t="s">
        <v>12</v>
      </c>
      <c r="D1473" t="s">
        <v>17</v>
      </c>
      <c r="E1473" t="s">
        <v>24</v>
      </c>
      <c r="F1473">
        <v>2752.94</v>
      </c>
    </row>
    <row r="1474" spans="1:6" x14ac:dyDescent="0.35">
      <c r="A1474">
        <v>1251</v>
      </c>
      <c r="B1474" s="4">
        <v>45774.375085336993</v>
      </c>
      <c r="C1474" t="s">
        <v>10</v>
      </c>
      <c r="D1474" t="s">
        <v>21</v>
      </c>
      <c r="E1474" t="s">
        <v>23</v>
      </c>
      <c r="F1474">
        <v>6311.98</v>
      </c>
    </row>
    <row r="1475" spans="1:6" x14ac:dyDescent="0.35">
      <c r="A1475">
        <v>1016</v>
      </c>
      <c r="B1475" s="4">
        <v>45774.375085336993</v>
      </c>
      <c r="C1475" t="s">
        <v>13</v>
      </c>
      <c r="D1475" t="s">
        <v>21</v>
      </c>
      <c r="E1475" t="s">
        <v>24</v>
      </c>
      <c r="F1475">
        <v>1888.41</v>
      </c>
    </row>
    <row r="1476" spans="1:6" x14ac:dyDescent="0.35">
      <c r="A1476">
        <v>1157</v>
      </c>
      <c r="B1476" s="4">
        <v>45775.375085336993</v>
      </c>
      <c r="C1476" t="s">
        <v>10</v>
      </c>
      <c r="D1476" t="s">
        <v>18</v>
      </c>
      <c r="E1476" t="s">
        <v>25</v>
      </c>
      <c r="F1476">
        <v>4595.3500000000004</v>
      </c>
    </row>
    <row r="1477" spans="1:6" x14ac:dyDescent="0.35">
      <c r="A1477">
        <v>1357</v>
      </c>
      <c r="B1477" s="4">
        <v>45775.375085336993</v>
      </c>
      <c r="C1477" t="s">
        <v>11</v>
      </c>
      <c r="D1477" t="s">
        <v>19</v>
      </c>
      <c r="E1477" t="s">
        <v>24</v>
      </c>
      <c r="F1477">
        <v>4138.1499999999996</v>
      </c>
    </row>
    <row r="1478" spans="1:6" x14ac:dyDescent="0.35">
      <c r="A1478">
        <v>1376</v>
      </c>
      <c r="B1478" s="4">
        <v>45775.375085336993</v>
      </c>
      <c r="C1478" t="s">
        <v>7</v>
      </c>
      <c r="D1478" t="s">
        <v>16</v>
      </c>
      <c r="E1478" t="s">
        <v>25</v>
      </c>
      <c r="F1478">
        <v>4978.43</v>
      </c>
    </row>
    <row r="1479" spans="1:6" x14ac:dyDescent="0.35">
      <c r="A1479">
        <v>1072</v>
      </c>
      <c r="B1479" s="4">
        <v>45776.375085336993</v>
      </c>
      <c r="C1479" t="s">
        <v>13</v>
      </c>
      <c r="D1479" t="s">
        <v>22</v>
      </c>
      <c r="E1479" t="s">
        <v>23</v>
      </c>
      <c r="F1479">
        <v>3874.08</v>
      </c>
    </row>
    <row r="1480" spans="1:6" x14ac:dyDescent="0.35">
      <c r="A1480">
        <v>1075</v>
      </c>
      <c r="B1480" s="4">
        <v>45776.375085336993</v>
      </c>
      <c r="C1480" t="s">
        <v>7</v>
      </c>
      <c r="D1480" t="s">
        <v>21</v>
      </c>
      <c r="E1480" t="s">
        <v>24</v>
      </c>
      <c r="F1480">
        <v>4862.41</v>
      </c>
    </row>
    <row r="1481" spans="1:6" x14ac:dyDescent="0.35">
      <c r="A1481">
        <v>1177</v>
      </c>
      <c r="B1481" s="4">
        <v>45776.375085336993</v>
      </c>
      <c r="C1481" t="s">
        <v>12</v>
      </c>
      <c r="D1481" t="s">
        <v>17</v>
      </c>
      <c r="E1481" t="s">
        <v>24</v>
      </c>
      <c r="F1481">
        <v>7938.33</v>
      </c>
    </row>
    <row r="1482" spans="1:6" x14ac:dyDescent="0.35">
      <c r="A1482">
        <v>1016</v>
      </c>
      <c r="B1482" s="4">
        <v>45776.375085336993</v>
      </c>
      <c r="C1482" t="s">
        <v>9</v>
      </c>
      <c r="D1482" t="s">
        <v>18</v>
      </c>
      <c r="E1482" t="s">
        <v>23</v>
      </c>
      <c r="F1482">
        <v>2625.84</v>
      </c>
    </row>
    <row r="1483" spans="1:6" x14ac:dyDescent="0.35">
      <c r="A1483">
        <v>1199</v>
      </c>
      <c r="B1483" s="4">
        <v>45776.375085336993</v>
      </c>
      <c r="C1483" t="s">
        <v>13</v>
      </c>
      <c r="D1483" t="s">
        <v>22</v>
      </c>
      <c r="E1483" t="s">
        <v>25</v>
      </c>
      <c r="F1483">
        <v>5993.76</v>
      </c>
    </row>
    <row r="1484" spans="1:6" x14ac:dyDescent="0.35">
      <c r="A1484">
        <v>1100</v>
      </c>
      <c r="B1484" s="4">
        <v>45776.375085336993</v>
      </c>
      <c r="C1484" t="s">
        <v>8</v>
      </c>
      <c r="D1484" t="s">
        <v>19</v>
      </c>
      <c r="E1484" t="s">
        <v>24</v>
      </c>
      <c r="F1484">
        <v>3459.55</v>
      </c>
    </row>
    <row r="1485" spans="1:6" x14ac:dyDescent="0.35">
      <c r="A1485">
        <v>1059</v>
      </c>
      <c r="B1485" s="4">
        <v>45777.375085336993</v>
      </c>
      <c r="C1485" t="s">
        <v>9</v>
      </c>
      <c r="D1485" t="s">
        <v>21</v>
      </c>
      <c r="E1485" t="s">
        <v>23</v>
      </c>
      <c r="F1485">
        <v>5733.57</v>
      </c>
    </row>
    <row r="1486" spans="1:6" x14ac:dyDescent="0.35">
      <c r="A1486">
        <v>1038</v>
      </c>
      <c r="B1486" s="4">
        <v>45777.375085336993</v>
      </c>
      <c r="C1486" t="s">
        <v>10</v>
      </c>
      <c r="D1486" t="s">
        <v>18</v>
      </c>
      <c r="E1486" t="s">
        <v>25</v>
      </c>
      <c r="F1486">
        <v>4291.32</v>
      </c>
    </row>
    <row r="1487" spans="1:6" x14ac:dyDescent="0.35">
      <c r="A1487">
        <v>1046</v>
      </c>
      <c r="B1487" s="4">
        <v>45778.375085336993</v>
      </c>
      <c r="C1487" t="s">
        <v>12</v>
      </c>
      <c r="D1487" t="s">
        <v>16</v>
      </c>
      <c r="E1487" t="s">
        <v>24</v>
      </c>
      <c r="F1487">
        <v>3607.94</v>
      </c>
    </row>
    <row r="1488" spans="1:6" x14ac:dyDescent="0.35">
      <c r="A1488">
        <v>1295</v>
      </c>
      <c r="B1488" s="4">
        <v>45780.375085336993</v>
      </c>
      <c r="C1488" t="s">
        <v>11</v>
      </c>
      <c r="D1488" t="s">
        <v>20</v>
      </c>
      <c r="E1488" t="s">
        <v>23</v>
      </c>
      <c r="F1488">
        <v>3703.62</v>
      </c>
    </row>
    <row r="1489" spans="1:6" x14ac:dyDescent="0.35">
      <c r="A1489">
        <v>1148</v>
      </c>
      <c r="B1489" s="4">
        <v>45780.375085336993</v>
      </c>
      <c r="C1489" t="s">
        <v>15</v>
      </c>
      <c r="D1489" t="s">
        <v>21</v>
      </c>
      <c r="E1489" t="s">
        <v>25</v>
      </c>
      <c r="F1489">
        <v>2443.67</v>
      </c>
    </row>
    <row r="1490" spans="1:6" x14ac:dyDescent="0.35">
      <c r="A1490">
        <v>1168</v>
      </c>
      <c r="B1490" s="4">
        <v>45780.375085336993</v>
      </c>
      <c r="C1490" t="s">
        <v>9</v>
      </c>
      <c r="D1490" t="s">
        <v>17</v>
      </c>
      <c r="E1490" t="s">
        <v>24</v>
      </c>
      <c r="F1490">
        <v>3655.67</v>
      </c>
    </row>
    <row r="1491" spans="1:6" x14ac:dyDescent="0.35">
      <c r="A1491">
        <v>1106</v>
      </c>
      <c r="B1491" s="4">
        <v>45780.375085336993</v>
      </c>
      <c r="C1491" t="s">
        <v>15</v>
      </c>
      <c r="D1491" t="s">
        <v>21</v>
      </c>
      <c r="E1491" t="s">
        <v>23</v>
      </c>
      <c r="F1491">
        <v>4950.84</v>
      </c>
    </row>
    <row r="1492" spans="1:6" x14ac:dyDescent="0.35">
      <c r="A1492">
        <v>1057</v>
      </c>
      <c r="B1492" s="4">
        <v>45780.375085336993</v>
      </c>
      <c r="C1492" t="s">
        <v>13</v>
      </c>
      <c r="D1492" t="s">
        <v>21</v>
      </c>
      <c r="E1492" t="s">
        <v>24</v>
      </c>
      <c r="F1492">
        <v>13263.6</v>
      </c>
    </row>
    <row r="1493" spans="1:6" x14ac:dyDescent="0.35">
      <c r="A1493">
        <v>1102</v>
      </c>
      <c r="B1493" s="4">
        <v>45780.375085336993</v>
      </c>
      <c r="C1493" t="s">
        <v>12</v>
      </c>
      <c r="D1493" t="s">
        <v>18</v>
      </c>
      <c r="E1493" t="s">
        <v>25</v>
      </c>
      <c r="F1493">
        <v>2552.16</v>
      </c>
    </row>
    <row r="1494" spans="1:6" x14ac:dyDescent="0.35">
      <c r="A1494">
        <v>1135</v>
      </c>
      <c r="B1494" s="4">
        <v>45780.375085336993</v>
      </c>
      <c r="C1494" t="s">
        <v>14</v>
      </c>
      <c r="D1494" t="s">
        <v>20</v>
      </c>
      <c r="E1494" t="s">
        <v>25</v>
      </c>
      <c r="F1494">
        <v>2958.57</v>
      </c>
    </row>
    <row r="1495" spans="1:6" x14ac:dyDescent="0.35">
      <c r="A1495">
        <v>1285</v>
      </c>
      <c r="B1495" s="4">
        <v>45780.375085336993</v>
      </c>
      <c r="C1495" t="s">
        <v>7</v>
      </c>
      <c r="D1495" t="s">
        <v>17</v>
      </c>
      <c r="E1495" t="s">
        <v>23</v>
      </c>
      <c r="F1495">
        <v>2301.65</v>
      </c>
    </row>
    <row r="1496" spans="1:6" x14ac:dyDescent="0.35">
      <c r="A1496">
        <v>1272</v>
      </c>
      <c r="B1496" s="4">
        <v>45781.375085336993</v>
      </c>
      <c r="C1496" t="s">
        <v>15</v>
      </c>
      <c r="D1496" t="s">
        <v>18</v>
      </c>
      <c r="E1496" t="s">
        <v>25</v>
      </c>
      <c r="F1496">
        <v>704.83</v>
      </c>
    </row>
    <row r="1497" spans="1:6" x14ac:dyDescent="0.35">
      <c r="A1497">
        <v>1384</v>
      </c>
      <c r="B1497" s="4">
        <v>45781.375085336993</v>
      </c>
      <c r="C1497" t="s">
        <v>13</v>
      </c>
      <c r="D1497" t="s">
        <v>18</v>
      </c>
      <c r="E1497" t="s">
        <v>25</v>
      </c>
      <c r="F1497">
        <v>2283.2800000000002</v>
      </c>
    </row>
    <row r="1498" spans="1:6" x14ac:dyDescent="0.35">
      <c r="A1498">
        <v>1008</v>
      </c>
      <c r="B1498" s="4">
        <v>45781.375085336993</v>
      </c>
      <c r="C1498" t="s">
        <v>11</v>
      </c>
      <c r="D1498" t="s">
        <v>16</v>
      </c>
      <c r="E1498" t="s">
        <v>23</v>
      </c>
      <c r="F1498">
        <v>10143.709999999999</v>
      </c>
    </row>
    <row r="1499" spans="1:6" x14ac:dyDescent="0.35">
      <c r="A1499">
        <v>1232</v>
      </c>
      <c r="B1499" s="4">
        <v>45781.375085336993</v>
      </c>
      <c r="C1499" t="s">
        <v>9</v>
      </c>
      <c r="D1499" t="s">
        <v>19</v>
      </c>
      <c r="E1499" t="s">
        <v>25</v>
      </c>
      <c r="F1499">
        <v>3221.85</v>
      </c>
    </row>
    <row r="1500" spans="1:6" x14ac:dyDescent="0.35">
      <c r="A1500">
        <v>1191</v>
      </c>
      <c r="B1500" s="4">
        <v>45781.375085336993</v>
      </c>
      <c r="C1500" t="s">
        <v>7</v>
      </c>
      <c r="D1500" t="s">
        <v>21</v>
      </c>
      <c r="E1500" t="s">
        <v>25</v>
      </c>
      <c r="F1500">
        <v>2500.5500000000002</v>
      </c>
    </row>
    <row r="1501" spans="1:6" x14ac:dyDescent="0.35">
      <c r="A1501">
        <v>1202</v>
      </c>
      <c r="B1501" s="4">
        <v>45781.375085336993</v>
      </c>
      <c r="C1501" t="s">
        <v>6</v>
      </c>
      <c r="D1501" t="s">
        <v>21</v>
      </c>
      <c r="E1501" t="s">
        <v>25</v>
      </c>
      <c r="F1501">
        <v>3653.59</v>
      </c>
    </row>
    <row r="1502" spans="1:6" x14ac:dyDescent="0.35">
      <c r="A1502">
        <v>1370</v>
      </c>
      <c r="B1502" s="4">
        <v>45781.375085336993</v>
      </c>
      <c r="C1502" t="s">
        <v>15</v>
      </c>
      <c r="D1502" t="s">
        <v>16</v>
      </c>
      <c r="E1502" t="s">
        <v>24</v>
      </c>
      <c r="F1502">
        <v>184.77</v>
      </c>
    </row>
    <row r="1503" spans="1:6" x14ac:dyDescent="0.35">
      <c r="A1503">
        <v>1139</v>
      </c>
      <c r="B1503" s="4">
        <v>45782.375085336993</v>
      </c>
      <c r="C1503" t="s">
        <v>14</v>
      </c>
      <c r="D1503" t="s">
        <v>16</v>
      </c>
      <c r="E1503" t="s">
        <v>24</v>
      </c>
      <c r="F1503">
        <v>1641.11</v>
      </c>
    </row>
    <row r="1504" spans="1:6" x14ac:dyDescent="0.35">
      <c r="A1504">
        <v>1072</v>
      </c>
      <c r="B1504" s="4">
        <v>45782.375085336993</v>
      </c>
      <c r="C1504" t="s">
        <v>11</v>
      </c>
      <c r="D1504" t="s">
        <v>22</v>
      </c>
      <c r="E1504" t="s">
        <v>23</v>
      </c>
      <c r="F1504">
        <v>5438.99</v>
      </c>
    </row>
    <row r="1505" spans="1:6" x14ac:dyDescent="0.35">
      <c r="A1505">
        <v>1263</v>
      </c>
      <c r="B1505" s="4">
        <v>45782.375085336993</v>
      </c>
      <c r="C1505" t="s">
        <v>7</v>
      </c>
      <c r="D1505" t="s">
        <v>19</v>
      </c>
      <c r="E1505" t="s">
        <v>25</v>
      </c>
      <c r="F1505">
        <v>3535.41</v>
      </c>
    </row>
    <row r="1506" spans="1:6" x14ac:dyDescent="0.35">
      <c r="A1506">
        <v>1396</v>
      </c>
      <c r="B1506" s="4">
        <v>45783.375085336993</v>
      </c>
      <c r="C1506" t="s">
        <v>7</v>
      </c>
      <c r="D1506" t="s">
        <v>22</v>
      </c>
      <c r="E1506" t="s">
        <v>23</v>
      </c>
      <c r="F1506">
        <v>4043.17</v>
      </c>
    </row>
    <row r="1507" spans="1:6" x14ac:dyDescent="0.35">
      <c r="A1507">
        <v>1261</v>
      </c>
      <c r="B1507" s="4">
        <v>45783.375085336993</v>
      </c>
      <c r="C1507" t="s">
        <v>13</v>
      </c>
      <c r="D1507" t="s">
        <v>20</v>
      </c>
      <c r="E1507" t="s">
        <v>23</v>
      </c>
      <c r="F1507">
        <v>3344.62</v>
      </c>
    </row>
    <row r="1508" spans="1:6" x14ac:dyDescent="0.35">
      <c r="A1508">
        <v>1223</v>
      </c>
      <c r="B1508" s="4">
        <v>45783.375085336993</v>
      </c>
      <c r="C1508" t="s">
        <v>9</v>
      </c>
      <c r="D1508" t="s">
        <v>19</v>
      </c>
      <c r="E1508" t="s">
        <v>23</v>
      </c>
      <c r="F1508">
        <v>4698.17</v>
      </c>
    </row>
    <row r="1509" spans="1:6" x14ac:dyDescent="0.35">
      <c r="A1509">
        <v>1222</v>
      </c>
      <c r="B1509" s="4">
        <v>45783.375085336993</v>
      </c>
      <c r="C1509" t="s">
        <v>15</v>
      </c>
      <c r="D1509" t="s">
        <v>19</v>
      </c>
      <c r="E1509" t="s">
        <v>23</v>
      </c>
      <c r="F1509">
        <v>2362.2600000000002</v>
      </c>
    </row>
    <row r="1510" spans="1:6" x14ac:dyDescent="0.35">
      <c r="A1510">
        <v>1382</v>
      </c>
      <c r="B1510" s="4">
        <v>45783.375085336993</v>
      </c>
      <c r="C1510" t="s">
        <v>9</v>
      </c>
      <c r="D1510" t="s">
        <v>18</v>
      </c>
      <c r="E1510" t="s">
        <v>25</v>
      </c>
      <c r="F1510">
        <v>4112.4399999999996</v>
      </c>
    </row>
    <row r="1511" spans="1:6" x14ac:dyDescent="0.35">
      <c r="A1511">
        <v>1329</v>
      </c>
      <c r="B1511" s="4">
        <v>45784.375085336993</v>
      </c>
      <c r="C1511" t="s">
        <v>10</v>
      </c>
      <c r="D1511" t="s">
        <v>22</v>
      </c>
      <c r="E1511" t="s">
        <v>25</v>
      </c>
      <c r="F1511">
        <v>2141.61</v>
      </c>
    </row>
    <row r="1512" spans="1:6" x14ac:dyDescent="0.35">
      <c r="A1512">
        <v>1145</v>
      </c>
      <c r="B1512" s="4">
        <v>45784.375085336993</v>
      </c>
      <c r="C1512" t="s">
        <v>15</v>
      </c>
      <c r="D1512" t="s">
        <v>16</v>
      </c>
      <c r="E1512" t="s">
        <v>25</v>
      </c>
      <c r="F1512">
        <v>5999.26</v>
      </c>
    </row>
    <row r="1513" spans="1:6" x14ac:dyDescent="0.35">
      <c r="A1513">
        <v>1051</v>
      </c>
      <c r="B1513" s="4">
        <v>45784.375085336993</v>
      </c>
      <c r="C1513" t="s">
        <v>7</v>
      </c>
      <c r="D1513" t="s">
        <v>17</v>
      </c>
      <c r="E1513" t="s">
        <v>25</v>
      </c>
      <c r="F1513">
        <v>2408.6999999999998</v>
      </c>
    </row>
    <row r="1514" spans="1:6" x14ac:dyDescent="0.35">
      <c r="A1514">
        <v>1125</v>
      </c>
      <c r="B1514" s="4">
        <v>45784.375085336993</v>
      </c>
      <c r="C1514" t="s">
        <v>8</v>
      </c>
      <c r="D1514" t="s">
        <v>16</v>
      </c>
      <c r="E1514" t="s">
        <v>23</v>
      </c>
      <c r="F1514">
        <v>1009.15</v>
      </c>
    </row>
    <row r="1515" spans="1:6" x14ac:dyDescent="0.35">
      <c r="A1515">
        <v>1383</v>
      </c>
      <c r="B1515" s="4">
        <v>45785.375085336993</v>
      </c>
      <c r="C1515" t="s">
        <v>11</v>
      </c>
      <c r="D1515" t="s">
        <v>19</v>
      </c>
      <c r="E1515" t="s">
        <v>24</v>
      </c>
      <c r="F1515">
        <v>9249</v>
      </c>
    </row>
    <row r="1516" spans="1:6" x14ac:dyDescent="0.35">
      <c r="A1516">
        <v>1381</v>
      </c>
      <c r="B1516" s="4">
        <v>45785.375085336993</v>
      </c>
      <c r="C1516" t="s">
        <v>13</v>
      </c>
      <c r="D1516" t="s">
        <v>17</v>
      </c>
      <c r="E1516" t="s">
        <v>25</v>
      </c>
      <c r="F1516">
        <v>5399.78</v>
      </c>
    </row>
    <row r="1517" spans="1:6" x14ac:dyDescent="0.35">
      <c r="A1517">
        <v>1121</v>
      </c>
      <c r="B1517" s="4">
        <v>45785.375085336993</v>
      </c>
      <c r="C1517" t="s">
        <v>6</v>
      </c>
      <c r="D1517" t="s">
        <v>22</v>
      </c>
      <c r="E1517" t="s">
        <v>23</v>
      </c>
      <c r="F1517">
        <v>653.61</v>
      </c>
    </row>
    <row r="1518" spans="1:6" x14ac:dyDescent="0.35">
      <c r="A1518">
        <v>1222</v>
      </c>
      <c r="B1518" s="4">
        <v>45785.375085336993</v>
      </c>
      <c r="C1518" t="s">
        <v>11</v>
      </c>
      <c r="D1518" t="s">
        <v>16</v>
      </c>
      <c r="E1518" t="s">
        <v>23</v>
      </c>
      <c r="F1518">
        <v>4994.6899999999996</v>
      </c>
    </row>
    <row r="1519" spans="1:6" x14ac:dyDescent="0.35">
      <c r="A1519">
        <v>1251</v>
      </c>
      <c r="B1519" s="4">
        <v>45785.375085336993</v>
      </c>
      <c r="C1519" t="s">
        <v>11</v>
      </c>
      <c r="D1519" t="s">
        <v>16</v>
      </c>
      <c r="E1519" t="s">
        <v>25</v>
      </c>
      <c r="F1519">
        <v>7301.62</v>
      </c>
    </row>
    <row r="1520" spans="1:6" x14ac:dyDescent="0.35">
      <c r="A1520">
        <v>1282</v>
      </c>
      <c r="B1520" s="4">
        <v>45786.375085336993</v>
      </c>
      <c r="C1520" t="s">
        <v>15</v>
      </c>
      <c r="D1520" t="s">
        <v>21</v>
      </c>
      <c r="E1520" t="s">
        <v>25</v>
      </c>
      <c r="F1520">
        <v>2588.37</v>
      </c>
    </row>
    <row r="1521" spans="1:6" x14ac:dyDescent="0.35">
      <c r="A1521">
        <v>1164</v>
      </c>
      <c r="B1521" s="4">
        <v>45786.375085336993</v>
      </c>
      <c r="C1521" t="s">
        <v>12</v>
      </c>
      <c r="D1521" t="s">
        <v>18</v>
      </c>
      <c r="E1521" t="s">
        <v>23</v>
      </c>
      <c r="F1521">
        <v>4855.74</v>
      </c>
    </row>
    <row r="1522" spans="1:6" x14ac:dyDescent="0.35">
      <c r="A1522">
        <v>1337</v>
      </c>
      <c r="B1522" s="4">
        <v>45786.375085336993</v>
      </c>
      <c r="C1522" t="s">
        <v>6</v>
      </c>
      <c r="D1522" t="s">
        <v>19</v>
      </c>
      <c r="E1522" t="s">
        <v>23</v>
      </c>
      <c r="F1522">
        <v>3922.92</v>
      </c>
    </row>
    <row r="1523" spans="1:6" x14ac:dyDescent="0.35">
      <c r="A1523">
        <v>1310</v>
      </c>
      <c r="B1523" s="4">
        <v>45787.375085336993</v>
      </c>
      <c r="C1523" t="s">
        <v>11</v>
      </c>
      <c r="D1523" t="s">
        <v>19</v>
      </c>
      <c r="E1523" t="s">
        <v>24</v>
      </c>
      <c r="F1523">
        <v>6811.9</v>
      </c>
    </row>
    <row r="1524" spans="1:6" x14ac:dyDescent="0.35">
      <c r="A1524">
        <v>1191</v>
      </c>
      <c r="B1524" s="4">
        <v>45787.375085336993</v>
      </c>
      <c r="C1524" t="s">
        <v>11</v>
      </c>
      <c r="D1524" t="s">
        <v>20</v>
      </c>
      <c r="E1524" t="s">
        <v>24</v>
      </c>
      <c r="F1524">
        <v>5450.79</v>
      </c>
    </row>
    <row r="1525" spans="1:6" x14ac:dyDescent="0.35">
      <c r="A1525">
        <v>1231</v>
      </c>
      <c r="B1525" s="4">
        <v>45787.375085336993</v>
      </c>
      <c r="C1525" t="s">
        <v>10</v>
      </c>
      <c r="D1525" t="s">
        <v>20</v>
      </c>
      <c r="E1525" t="s">
        <v>24</v>
      </c>
      <c r="F1525">
        <v>2477.4699999999998</v>
      </c>
    </row>
    <row r="1526" spans="1:6" x14ac:dyDescent="0.35">
      <c r="A1526">
        <v>1297</v>
      </c>
      <c r="B1526" s="4">
        <v>45787.375085336993</v>
      </c>
      <c r="C1526" t="s">
        <v>7</v>
      </c>
      <c r="D1526" t="s">
        <v>16</v>
      </c>
      <c r="E1526" t="s">
        <v>23</v>
      </c>
      <c r="F1526">
        <v>7115.01</v>
      </c>
    </row>
    <row r="1527" spans="1:6" x14ac:dyDescent="0.35">
      <c r="A1527">
        <v>1219</v>
      </c>
      <c r="B1527" s="4">
        <v>45787.375085336993</v>
      </c>
      <c r="C1527" t="s">
        <v>10</v>
      </c>
      <c r="D1527" t="s">
        <v>17</v>
      </c>
      <c r="E1527" t="s">
        <v>24</v>
      </c>
      <c r="F1527">
        <v>5222.0200000000004</v>
      </c>
    </row>
    <row r="1528" spans="1:6" x14ac:dyDescent="0.35">
      <c r="A1528">
        <v>1281</v>
      </c>
      <c r="B1528" s="4">
        <v>45788.375085336993</v>
      </c>
      <c r="C1528" t="s">
        <v>8</v>
      </c>
      <c r="D1528" t="s">
        <v>19</v>
      </c>
      <c r="E1528" t="s">
        <v>23</v>
      </c>
      <c r="F1528">
        <v>5764.55</v>
      </c>
    </row>
    <row r="1529" spans="1:6" x14ac:dyDescent="0.35">
      <c r="A1529">
        <v>1376</v>
      </c>
      <c r="B1529" s="4">
        <v>45788.375085336993</v>
      </c>
      <c r="C1529" t="s">
        <v>7</v>
      </c>
      <c r="D1529" t="s">
        <v>21</v>
      </c>
      <c r="E1529" t="s">
        <v>23</v>
      </c>
      <c r="F1529">
        <v>1882.65</v>
      </c>
    </row>
    <row r="1530" spans="1:6" x14ac:dyDescent="0.35">
      <c r="A1530">
        <v>1219</v>
      </c>
      <c r="B1530" s="4">
        <v>45788.375085336993</v>
      </c>
      <c r="C1530" t="s">
        <v>9</v>
      </c>
      <c r="D1530" t="s">
        <v>22</v>
      </c>
      <c r="E1530" t="s">
        <v>25</v>
      </c>
      <c r="F1530">
        <v>2099.87</v>
      </c>
    </row>
    <row r="1531" spans="1:6" x14ac:dyDescent="0.35">
      <c r="A1531">
        <v>1396</v>
      </c>
      <c r="B1531" s="4">
        <v>45788.375085336993</v>
      </c>
      <c r="C1531" t="s">
        <v>13</v>
      </c>
      <c r="D1531" t="s">
        <v>19</v>
      </c>
      <c r="E1531" t="s">
        <v>24</v>
      </c>
      <c r="F1531">
        <v>8795.68</v>
      </c>
    </row>
    <row r="1532" spans="1:6" x14ac:dyDescent="0.35">
      <c r="A1532">
        <v>1189</v>
      </c>
      <c r="B1532" s="4">
        <v>45788.375085336993</v>
      </c>
      <c r="C1532" t="s">
        <v>14</v>
      </c>
      <c r="D1532" t="s">
        <v>18</v>
      </c>
      <c r="E1532" t="s">
        <v>23</v>
      </c>
      <c r="F1532">
        <v>5048.8599999999997</v>
      </c>
    </row>
    <row r="1533" spans="1:6" x14ac:dyDescent="0.35">
      <c r="A1533">
        <v>1317</v>
      </c>
      <c r="B1533" s="4">
        <v>45789.375085336993</v>
      </c>
      <c r="C1533" t="s">
        <v>15</v>
      </c>
      <c r="D1533" t="s">
        <v>21</v>
      </c>
      <c r="E1533" t="s">
        <v>25</v>
      </c>
      <c r="F1533">
        <v>1616.53</v>
      </c>
    </row>
    <row r="1534" spans="1:6" x14ac:dyDescent="0.35">
      <c r="A1534">
        <v>1378</v>
      </c>
      <c r="B1534" s="4">
        <v>45789.375085336993</v>
      </c>
      <c r="C1534" t="s">
        <v>8</v>
      </c>
      <c r="D1534" t="s">
        <v>20</v>
      </c>
      <c r="E1534" t="s">
        <v>23</v>
      </c>
      <c r="F1534">
        <v>2593.9499999999998</v>
      </c>
    </row>
    <row r="1535" spans="1:6" x14ac:dyDescent="0.35">
      <c r="A1535">
        <v>1130</v>
      </c>
      <c r="B1535" s="4">
        <v>45789.375085336993</v>
      </c>
      <c r="C1535" t="s">
        <v>15</v>
      </c>
      <c r="D1535" t="s">
        <v>22</v>
      </c>
      <c r="E1535" t="s">
        <v>24</v>
      </c>
      <c r="F1535">
        <v>2342.58</v>
      </c>
    </row>
    <row r="1536" spans="1:6" x14ac:dyDescent="0.35">
      <c r="A1536">
        <v>1376</v>
      </c>
      <c r="B1536" s="4">
        <v>45789.375085336993</v>
      </c>
      <c r="C1536" t="s">
        <v>8</v>
      </c>
      <c r="D1536" t="s">
        <v>22</v>
      </c>
      <c r="E1536" t="s">
        <v>24</v>
      </c>
      <c r="F1536">
        <v>2211.6</v>
      </c>
    </row>
    <row r="1537" spans="1:6" x14ac:dyDescent="0.35">
      <c r="A1537">
        <v>1050</v>
      </c>
      <c r="B1537" s="4">
        <v>45789.375085336993</v>
      </c>
      <c r="C1537" t="s">
        <v>10</v>
      </c>
      <c r="D1537" t="s">
        <v>22</v>
      </c>
      <c r="E1537" t="s">
        <v>23</v>
      </c>
      <c r="F1537">
        <v>6242.6</v>
      </c>
    </row>
    <row r="1538" spans="1:6" x14ac:dyDescent="0.35">
      <c r="A1538">
        <v>1092</v>
      </c>
      <c r="B1538" s="4">
        <v>45789.375085336993</v>
      </c>
      <c r="C1538" t="s">
        <v>14</v>
      </c>
      <c r="D1538" t="s">
        <v>21</v>
      </c>
      <c r="E1538" t="s">
        <v>24</v>
      </c>
      <c r="F1538">
        <v>6765.46</v>
      </c>
    </row>
    <row r="1539" spans="1:6" x14ac:dyDescent="0.35">
      <c r="A1539">
        <v>1218</v>
      </c>
      <c r="B1539" s="4">
        <v>45789.375085336993</v>
      </c>
      <c r="C1539" t="s">
        <v>9</v>
      </c>
      <c r="D1539" t="s">
        <v>18</v>
      </c>
      <c r="E1539" t="s">
        <v>25</v>
      </c>
      <c r="F1539">
        <v>7590.59</v>
      </c>
    </row>
    <row r="1540" spans="1:6" x14ac:dyDescent="0.35">
      <c r="A1540">
        <v>1048</v>
      </c>
      <c r="B1540" s="4">
        <v>45789.375085336993</v>
      </c>
      <c r="C1540" t="s">
        <v>9</v>
      </c>
      <c r="D1540" t="s">
        <v>21</v>
      </c>
      <c r="E1540" t="s">
        <v>24</v>
      </c>
      <c r="F1540">
        <v>1214.58</v>
      </c>
    </row>
    <row r="1541" spans="1:6" x14ac:dyDescent="0.35">
      <c r="A1541">
        <v>1057</v>
      </c>
      <c r="B1541" s="4">
        <v>45790.375085336993</v>
      </c>
      <c r="C1541" t="s">
        <v>15</v>
      </c>
      <c r="D1541" t="s">
        <v>22</v>
      </c>
      <c r="E1541" t="s">
        <v>23</v>
      </c>
      <c r="F1541">
        <v>934.46</v>
      </c>
    </row>
    <row r="1542" spans="1:6" x14ac:dyDescent="0.35">
      <c r="A1542">
        <v>1059</v>
      </c>
      <c r="B1542" s="4">
        <v>45790.375085336993</v>
      </c>
      <c r="C1542" t="s">
        <v>10</v>
      </c>
      <c r="D1542" t="s">
        <v>19</v>
      </c>
      <c r="E1542" t="s">
        <v>25</v>
      </c>
      <c r="F1542">
        <v>6003.11</v>
      </c>
    </row>
    <row r="1543" spans="1:6" x14ac:dyDescent="0.35">
      <c r="A1543">
        <v>1225</v>
      </c>
      <c r="B1543" s="4">
        <v>45790.375085336993</v>
      </c>
      <c r="C1543" t="s">
        <v>13</v>
      </c>
      <c r="D1543" t="s">
        <v>19</v>
      </c>
      <c r="E1543" t="s">
        <v>25</v>
      </c>
      <c r="F1543">
        <v>1872.25</v>
      </c>
    </row>
    <row r="1544" spans="1:6" x14ac:dyDescent="0.35">
      <c r="A1544">
        <v>1002</v>
      </c>
      <c r="B1544" s="4">
        <v>45791.375085336993</v>
      </c>
      <c r="C1544" t="s">
        <v>11</v>
      </c>
      <c r="D1544" t="s">
        <v>22</v>
      </c>
      <c r="E1544" t="s">
        <v>25</v>
      </c>
      <c r="F1544">
        <v>4334.62</v>
      </c>
    </row>
    <row r="1545" spans="1:6" x14ac:dyDescent="0.35">
      <c r="A1545">
        <v>1197</v>
      </c>
      <c r="B1545" s="4">
        <v>45791.375085336993</v>
      </c>
      <c r="C1545" t="s">
        <v>14</v>
      </c>
      <c r="D1545" t="s">
        <v>21</v>
      </c>
      <c r="E1545" t="s">
        <v>24</v>
      </c>
      <c r="F1545">
        <v>2342.87</v>
      </c>
    </row>
    <row r="1546" spans="1:6" x14ac:dyDescent="0.35">
      <c r="A1546">
        <v>1316</v>
      </c>
      <c r="B1546" s="4">
        <v>45791.375085336993</v>
      </c>
      <c r="C1546" t="s">
        <v>12</v>
      </c>
      <c r="D1546" t="s">
        <v>18</v>
      </c>
      <c r="E1546" t="s">
        <v>25</v>
      </c>
      <c r="F1546">
        <v>6201.45</v>
      </c>
    </row>
    <row r="1547" spans="1:6" x14ac:dyDescent="0.35">
      <c r="A1547">
        <v>1310</v>
      </c>
      <c r="B1547" s="4">
        <v>45792.375085336993</v>
      </c>
      <c r="C1547" t="s">
        <v>15</v>
      </c>
      <c r="D1547" t="s">
        <v>21</v>
      </c>
      <c r="E1547" t="s">
        <v>23</v>
      </c>
      <c r="F1547">
        <v>2797.31</v>
      </c>
    </row>
    <row r="1548" spans="1:6" x14ac:dyDescent="0.35">
      <c r="A1548">
        <v>1105</v>
      </c>
      <c r="B1548" s="4">
        <v>45792.375085336993</v>
      </c>
      <c r="C1548" t="s">
        <v>8</v>
      </c>
      <c r="D1548" t="s">
        <v>17</v>
      </c>
      <c r="E1548" t="s">
        <v>25</v>
      </c>
      <c r="F1548">
        <v>7414.58</v>
      </c>
    </row>
    <row r="1549" spans="1:6" x14ac:dyDescent="0.35">
      <c r="A1549">
        <v>1246</v>
      </c>
      <c r="B1549" s="4">
        <v>45792.375085336993</v>
      </c>
      <c r="C1549" t="s">
        <v>12</v>
      </c>
      <c r="D1549" t="s">
        <v>20</v>
      </c>
      <c r="E1549" t="s">
        <v>23</v>
      </c>
      <c r="F1549">
        <v>6172.7</v>
      </c>
    </row>
    <row r="1550" spans="1:6" x14ac:dyDescent="0.35">
      <c r="A1550">
        <v>1375</v>
      </c>
      <c r="B1550" s="4">
        <v>45792.375085336993</v>
      </c>
      <c r="C1550" t="s">
        <v>6</v>
      </c>
      <c r="D1550" t="s">
        <v>22</v>
      </c>
      <c r="E1550" t="s">
        <v>25</v>
      </c>
      <c r="F1550">
        <v>1717.87</v>
      </c>
    </row>
    <row r="1551" spans="1:6" x14ac:dyDescent="0.35">
      <c r="A1551">
        <v>1375</v>
      </c>
      <c r="B1551" s="4">
        <v>45792.375085336993</v>
      </c>
      <c r="C1551" t="s">
        <v>11</v>
      </c>
      <c r="D1551" t="s">
        <v>21</v>
      </c>
      <c r="E1551" t="s">
        <v>24</v>
      </c>
      <c r="F1551">
        <v>5757.42</v>
      </c>
    </row>
    <row r="1552" spans="1:6" x14ac:dyDescent="0.35">
      <c r="A1552">
        <v>1083</v>
      </c>
      <c r="B1552" s="4">
        <v>45792.375085336993</v>
      </c>
      <c r="C1552" t="s">
        <v>7</v>
      </c>
      <c r="D1552" t="s">
        <v>19</v>
      </c>
      <c r="E1552" t="s">
        <v>23</v>
      </c>
      <c r="F1552">
        <v>3509.88</v>
      </c>
    </row>
    <row r="1553" spans="1:6" x14ac:dyDescent="0.35">
      <c r="A1553">
        <v>1364</v>
      </c>
      <c r="B1553" s="4">
        <v>45792.375085336993</v>
      </c>
      <c r="C1553" t="s">
        <v>13</v>
      </c>
      <c r="D1553" t="s">
        <v>22</v>
      </c>
      <c r="E1553" t="s">
        <v>24</v>
      </c>
      <c r="F1553">
        <v>3388.3</v>
      </c>
    </row>
    <row r="1554" spans="1:6" x14ac:dyDescent="0.35">
      <c r="A1554">
        <v>1276</v>
      </c>
      <c r="B1554" s="4">
        <v>45793.375085336993</v>
      </c>
      <c r="C1554" t="s">
        <v>6</v>
      </c>
      <c r="D1554" t="s">
        <v>18</v>
      </c>
      <c r="E1554" t="s">
        <v>23</v>
      </c>
      <c r="F1554">
        <v>7127.6</v>
      </c>
    </row>
    <row r="1555" spans="1:6" x14ac:dyDescent="0.35">
      <c r="A1555">
        <v>1009</v>
      </c>
      <c r="B1555" s="4">
        <v>45793.375085336993</v>
      </c>
      <c r="C1555" t="s">
        <v>15</v>
      </c>
      <c r="D1555" t="s">
        <v>19</v>
      </c>
      <c r="E1555" t="s">
        <v>23</v>
      </c>
      <c r="F1555">
        <v>10779.1</v>
      </c>
    </row>
    <row r="1556" spans="1:6" x14ac:dyDescent="0.35">
      <c r="A1556">
        <v>1070</v>
      </c>
      <c r="B1556" s="4">
        <v>45793.375085336993</v>
      </c>
      <c r="C1556" t="s">
        <v>6</v>
      </c>
      <c r="D1556" t="s">
        <v>18</v>
      </c>
      <c r="E1556" t="s">
        <v>23</v>
      </c>
      <c r="F1556">
        <v>6908.09</v>
      </c>
    </row>
    <row r="1557" spans="1:6" x14ac:dyDescent="0.35">
      <c r="A1557">
        <v>1085</v>
      </c>
      <c r="B1557" s="4">
        <v>45793.375085336993</v>
      </c>
      <c r="C1557" t="s">
        <v>9</v>
      </c>
      <c r="D1557" t="s">
        <v>19</v>
      </c>
      <c r="E1557" t="s">
        <v>25</v>
      </c>
      <c r="F1557">
        <v>1944.83</v>
      </c>
    </row>
    <row r="1558" spans="1:6" x14ac:dyDescent="0.35">
      <c r="A1558">
        <v>1111</v>
      </c>
      <c r="B1558" s="4">
        <v>45793.375085336993</v>
      </c>
      <c r="C1558" t="s">
        <v>9</v>
      </c>
      <c r="D1558" t="s">
        <v>21</v>
      </c>
      <c r="E1558" t="s">
        <v>25</v>
      </c>
      <c r="F1558">
        <v>3547.47</v>
      </c>
    </row>
    <row r="1559" spans="1:6" x14ac:dyDescent="0.35">
      <c r="A1559">
        <v>1361</v>
      </c>
      <c r="B1559" s="4">
        <v>45793.375085336993</v>
      </c>
      <c r="C1559" t="s">
        <v>8</v>
      </c>
      <c r="D1559" t="s">
        <v>16</v>
      </c>
      <c r="E1559" t="s">
        <v>23</v>
      </c>
      <c r="F1559">
        <v>7432.4</v>
      </c>
    </row>
    <row r="1560" spans="1:6" x14ac:dyDescent="0.35">
      <c r="A1560">
        <v>1145</v>
      </c>
      <c r="B1560" s="4">
        <v>45793.375085336993</v>
      </c>
      <c r="C1560" t="s">
        <v>6</v>
      </c>
      <c r="D1560" t="s">
        <v>22</v>
      </c>
      <c r="E1560" t="s">
        <v>24</v>
      </c>
      <c r="F1560">
        <v>921.49</v>
      </c>
    </row>
    <row r="1561" spans="1:6" x14ac:dyDescent="0.35">
      <c r="A1561">
        <v>1215</v>
      </c>
      <c r="B1561" s="4">
        <v>45794.375085336993</v>
      </c>
      <c r="C1561" t="s">
        <v>11</v>
      </c>
      <c r="D1561" t="s">
        <v>18</v>
      </c>
      <c r="E1561" t="s">
        <v>23</v>
      </c>
      <c r="F1561">
        <v>3773.52</v>
      </c>
    </row>
    <row r="1562" spans="1:6" x14ac:dyDescent="0.35">
      <c r="A1562">
        <v>1267</v>
      </c>
      <c r="B1562" s="4">
        <v>45795.375085336993</v>
      </c>
      <c r="C1562" t="s">
        <v>8</v>
      </c>
      <c r="D1562" t="s">
        <v>16</v>
      </c>
      <c r="E1562" t="s">
        <v>23</v>
      </c>
      <c r="F1562">
        <v>3597.9</v>
      </c>
    </row>
    <row r="1563" spans="1:6" x14ac:dyDescent="0.35">
      <c r="A1563">
        <v>1287</v>
      </c>
      <c r="B1563" s="4">
        <v>45795.375085336993</v>
      </c>
      <c r="C1563" t="s">
        <v>9</v>
      </c>
      <c r="D1563" t="s">
        <v>20</v>
      </c>
      <c r="E1563" t="s">
        <v>24</v>
      </c>
      <c r="F1563">
        <v>2556.31</v>
      </c>
    </row>
    <row r="1564" spans="1:6" x14ac:dyDescent="0.35">
      <c r="A1564">
        <v>1006</v>
      </c>
      <c r="B1564" s="4">
        <v>45795.375085336993</v>
      </c>
      <c r="C1564" t="s">
        <v>15</v>
      </c>
      <c r="D1564" t="s">
        <v>21</v>
      </c>
      <c r="E1564" t="s">
        <v>24</v>
      </c>
      <c r="F1564">
        <v>10586.38</v>
      </c>
    </row>
    <row r="1565" spans="1:6" x14ac:dyDescent="0.35">
      <c r="A1565">
        <v>1342</v>
      </c>
      <c r="B1565" s="4">
        <v>45795.375085336993</v>
      </c>
      <c r="C1565" t="s">
        <v>9</v>
      </c>
      <c r="D1565" t="s">
        <v>16</v>
      </c>
      <c r="E1565" t="s">
        <v>23</v>
      </c>
      <c r="F1565">
        <v>2488.36</v>
      </c>
    </row>
    <row r="1566" spans="1:6" x14ac:dyDescent="0.35">
      <c r="A1566">
        <v>1008</v>
      </c>
      <c r="B1566" s="4">
        <v>45795.375085336993</v>
      </c>
      <c r="C1566" t="s">
        <v>10</v>
      </c>
      <c r="D1566" t="s">
        <v>21</v>
      </c>
      <c r="E1566" t="s">
        <v>25</v>
      </c>
      <c r="F1566">
        <v>2891.88</v>
      </c>
    </row>
    <row r="1567" spans="1:6" x14ac:dyDescent="0.35">
      <c r="A1567">
        <v>1242</v>
      </c>
      <c r="B1567" s="4">
        <v>45795.375085336993</v>
      </c>
      <c r="C1567" t="s">
        <v>11</v>
      </c>
      <c r="D1567" t="s">
        <v>18</v>
      </c>
      <c r="E1567" t="s">
        <v>24</v>
      </c>
      <c r="F1567">
        <v>2749.97</v>
      </c>
    </row>
    <row r="1568" spans="1:6" x14ac:dyDescent="0.35">
      <c r="A1568">
        <v>1072</v>
      </c>
      <c r="B1568" s="4">
        <v>45795.375085336993</v>
      </c>
      <c r="C1568" t="s">
        <v>13</v>
      </c>
      <c r="D1568" t="s">
        <v>19</v>
      </c>
      <c r="E1568" t="s">
        <v>23</v>
      </c>
      <c r="F1568">
        <v>3440.94</v>
      </c>
    </row>
    <row r="1569" spans="1:6" x14ac:dyDescent="0.35">
      <c r="A1569">
        <v>1133</v>
      </c>
      <c r="B1569" s="4">
        <v>45795.375085336993</v>
      </c>
      <c r="C1569" t="s">
        <v>10</v>
      </c>
      <c r="D1569" t="s">
        <v>18</v>
      </c>
      <c r="E1569" t="s">
        <v>24</v>
      </c>
      <c r="F1569">
        <v>5030.1400000000003</v>
      </c>
    </row>
    <row r="1570" spans="1:6" x14ac:dyDescent="0.35">
      <c r="A1570">
        <v>1327</v>
      </c>
      <c r="B1570" s="4">
        <v>45796.375085336993</v>
      </c>
      <c r="C1570" t="s">
        <v>8</v>
      </c>
      <c r="D1570" t="s">
        <v>21</v>
      </c>
      <c r="E1570" t="s">
        <v>24</v>
      </c>
      <c r="F1570">
        <v>5417.66</v>
      </c>
    </row>
    <row r="1571" spans="1:6" x14ac:dyDescent="0.35">
      <c r="A1571">
        <v>1290</v>
      </c>
      <c r="B1571" s="4">
        <v>45796.375085336993</v>
      </c>
      <c r="C1571" t="s">
        <v>9</v>
      </c>
      <c r="D1571" t="s">
        <v>19</v>
      </c>
      <c r="E1571" t="s">
        <v>25</v>
      </c>
      <c r="F1571">
        <v>4414.71</v>
      </c>
    </row>
    <row r="1572" spans="1:6" x14ac:dyDescent="0.35">
      <c r="A1572">
        <v>1299</v>
      </c>
      <c r="B1572" s="4">
        <v>45796.375085336993</v>
      </c>
      <c r="C1572" t="s">
        <v>12</v>
      </c>
      <c r="D1572" t="s">
        <v>16</v>
      </c>
      <c r="E1572" t="s">
        <v>23</v>
      </c>
      <c r="F1572">
        <v>2931.66</v>
      </c>
    </row>
    <row r="1573" spans="1:6" x14ac:dyDescent="0.35">
      <c r="A1573">
        <v>1230</v>
      </c>
      <c r="B1573" s="4">
        <v>45796.375085336993</v>
      </c>
      <c r="C1573" t="s">
        <v>11</v>
      </c>
      <c r="D1573" t="s">
        <v>21</v>
      </c>
      <c r="E1573" t="s">
        <v>24</v>
      </c>
      <c r="F1573">
        <v>1464.96</v>
      </c>
    </row>
    <row r="1574" spans="1:6" x14ac:dyDescent="0.35">
      <c r="A1574">
        <v>1056</v>
      </c>
      <c r="B1574" s="4">
        <v>45797.375085336993</v>
      </c>
      <c r="C1574" t="s">
        <v>7</v>
      </c>
      <c r="D1574" t="s">
        <v>16</v>
      </c>
      <c r="E1574" t="s">
        <v>25</v>
      </c>
      <c r="F1574">
        <v>455.45</v>
      </c>
    </row>
    <row r="1575" spans="1:6" x14ac:dyDescent="0.35">
      <c r="A1575">
        <v>1300</v>
      </c>
      <c r="B1575" s="4">
        <v>45797.375085336993</v>
      </c>
      <c r="C1575" t="s">
        <v>10</v>
      </c>
      <c r="D1575" t="s">
        <v>20</v>
      </c>
      <c r="E1575" t="s">
        <v>24</v>
      </c>
      <c r="F1575">
        <v>3057.37</v>
      </c>
    </row>
    <row r="1576" spans="1:6" x14ac:dyDescent="0.35">
      <c r="A1576">
        <v>1121</v>
      </c>
      <c r="B1576" s="4">
        <v>45797.375085336993</v>
      </c>
      <c r="C1576" t="s">
        <v>15</v>
      </c>
      <c r="D1576" t="s">
        <v>18</v>
      </c>
      <c r="E1576" t="s">
        <v>23</v>
      </c>
      <c r="F1576">
        <v>3321.41</v>
      </c>
    </row>
    <row r="1577" spans="1:6" x14ac:dyDescent="0.35">
      <c r="A1577">
        <v>1093</v>
      </c>
      <c r="B1577" s="4">
        <v>45798.375085336993</v>
      </c>
      <c r="C1577" t="s">
        <v>15</v>
      </c>
      <c r="D1577" t="s">
        <v>17</v>
      </c>
      <c r="E1577" t="s">
        <v>24</v>
      </c>
      <c r="F1577">
        <v>6140.44</v>
      </c>
    </row>
    <row r="1578" spans="1:6" x14ac:dyDescent="0.35">
      <c r="A1578">
        <v>1276</v>
      </c>
      <c r="B1578" s="4">
        <v>45798.375085336993</v>
      </c>
      <c r="C1578" t="s">
        <v>8</v>
      </c>
      <c r="D1578" t="s">
        <v>21</v>
      </c>
      <c r="E1578" t="s">
        <v>23</v>
      </c>
      <c r="F1578">
        <v>224.12</v>
      </c>
    </row>
    <row r="1579" spans="1:6" x14ac:dyDescent="0.35">
      <c r="A1579">
        <v>1260</v>
      </c>
      <c r="B1579" s="4">
        <v>45798.375085336993</v>
      </c>
      <c r="C1579" t="s">
        <v>6</v>
      </c>
      <c r="D1579" t="s">
        <v>17</v>
      </c>
      <c r="E1579" t="s">
        <v>24</v>
      </c>
      <c r="F1579">
        <v>14190.43</v>
      </c>
    </row>
    <row r="1580" spans="1:6" x14ac:dyDescent="0.35">
      <c r="A1580">
        <v>1101</v>
      </c>
      <c r="B1580" s="4">
        <v>45798.375085336993</v>
      </c>
      <c r="C1580" t="s">
        <v>6</v>
      </c>
      <c r="D1580" t="s">
        <v>20</v>
      </c>
      <c r="E1580" t="s">
        <v>24</v>
      </c>
      <c r="F1580">
        <v>3426.57</v>
      </c>
    </row>
    <row r="1581" spans="1:6" x14ac:dyDescent="0.35">
      <c r="A1581">
        <v>1266</v>
      </c>
      <c r="B1581" s="4">
        <v>45799.375085336993</v>
      </c>
      <c r="C1581" t="s">
        <v>11</v>
      </c>
      <c r="D1581" t="s">
        <v>21</v>
      </c>
      <c r="E1581" t="s">
        <v>23</v>
      </c>
      <c r="F1581">
        <v>3118.55</v>
      </c>
    </row>
    <row r="1582" spans="1:6" x14ac:dyDescent="0.35">
      <c r="A1582">
        <v>1223</v>
      </c>
      <c r="B1582" s="4">
        <v>45800.375085336993</v>
      </c>
      <c r="C1582" t="s">
        <v>15</v>
      </c>
      <c r="D1582" t="s">
        <v>21</v>
      </c>
      <c r="E1582" t="s">
        <v>23</v>
      </c>
      <c r="F1582">
        <v>3520.32</v>
      </c>
    </row>
    <row r="1583" spans="1:6" x14ac:dyDescent="0.35">
      <c r="A1583">
        <v>1036</v>
      </c>
      <c r="B1583" s="4">
        <v>45800.375085336993</v>
      </c>
      <c r="C1583" t="s">
        <v>14</v>
      </c>
      <c r="D1583" t="s">
        <v>18</v>
      </c>
      <c r="E1583" t="s">
        <v>23</v>
      </c>
      <c r="F1583">
        <v>3097.26</v>
      </c>
    </row>
    <row r="1584" spans="1:6" x14ac:dyDescent="0.35">
      <c r="A1584">
        <v>1072</v>
      </c>
      <c r="B1584" s="4">
        <v>45800.375085336993</v>
      </c>
      <c r="C1584" t="s">
        <v>15</v>
      </c>
      <c r="D1584" t="s">
        <v>17</v>
      </c>
      <c r="E1584" t="s">
        <v>24</v>
      </c>
      <c r="F1584">
        <v>2051.5100000000002</v>
      </c>
    </row>
    <row r="1585" spans="1:6" x14ac:dyDescent="0.35">
      <c r="A1585">
        <v>1185</v>
      </c>
      <c r="B1585" s="4">
        <v>45800.375085336993</v>
      </c>
      <c r="C1585" t="s">
        <v>7</v>
      </c>
      <c r="D1585" t="s">
        <v>16</v>
      </c>
      <c r="E1585" t="s">
        <v>23</v>
      </c>
      <c r="F1585">
        <v>5589.34</v>
      </c>
    </row>
    <row r="1586" spans="1:6" x14ac:dyDescent="0.35">
      <c r="A1586">
        <v>1327</v>
      </c>
      <c r="B1586" s="4">
        <v>45801.375085336993</v>
      </c>
      <c r="C1586" t="s">
        <v>9</v>
      </c>
      <c r="D1586" t="s">
        <v>17</v>
      </c>
      <c r="E1586" t="s">
        <v>23</v>
      </c>
      <c r="F1586">
        <v>803.53</v>
      </c>
    </row>
    <row r="1587" spans="1:6" x14ac:dyDescent="0.35">
      <c r="A1587">
        <v>1099</v>
      </c>
      <c r="B1587" s="4">
        <v>45802.375085336993</v>
      </c>
      <c r="C1587" t="s">
        <v>8</v>
      </c>
      <c r="D1587" t="s">
        <v>17</v>
      </c>
      <c r="E1587" t="s">
        <v>25</v>
      </c>
      <c r="F1587">
        <v>1711.71</v>
      </c>
    </row>
    <row r="1588" spans="1:6" x14ac:dyDescent="0.35">
      <c r="A1588">
        <v>1299</v>
      </c>
      <c r="B1588" s="4">
        <v>45802.375085336993</v>
      </c>
      <c r="C1588" t="s">
        <v>10</v>
      </c>
      <c r="D1588" t="s">
        <v>21</v>
      </c>
      <c r="E1588" t="s">
        <v>24</v>
      </c>
      <c r="F1588">
        <v>1596.23</v>
      </c>
    </row>
    <row r="1589" spans="1:6" x14ac:dyDescent="0.35">
      <c r="A1589">
        <v>1116</v>
      </c>
      <c r="B1589" s="4">
        <v>45803.375085336993</v>
      </c>
      <c r="C1589" t="s">
        <v>14</v>
      </c>
      <c r="D1589" t="s">
        <v>17</v>
      </c>
      <c r="E1589" t="s">
        <v>23</v>
      </c>
      <c r="F1589">
        <v>6314.53</v>
      </c>
    </row>
    <row r="1590" spans="1:6" x14ac:dyDescent="0.35">
      <c r="A1590">
        <v>1173</v>
      </c>
      <c r="B1590" s="4">
        <v>45803.375085336993</v>
      </c>
      <c r="C1590" t="s">
        <v>12</v>
      </c>
      <c r="D1590" t="s">
        <v>20</v>
      </c>
      <c r="E1590" t="s">
        <v>24</v>
      </c>
      <c r="F1590">
        <v>4551.28</v>
      </c>
    </row>
    <row r="1591" spans="1:6" x14ac:dyDescent="0.35">
      <c r="A1591">
        <v>1349</v>
      </c>
      <c r="B1591" s="4">
        <v>45803.375085336993</v>
      </c>
      <c r="C1591" t="s">
        <v>6</v>
      </c>
      <c r="D1591" t="s">
        <v>19</v>
      </c>
      <c r="E1591" t="s">
        <v>23</v>
      </c>
      <c r="F1591">
        <v>1003.97</v>
      </c>
    </row>
    <row r="1592" spans="1:6" x14ac:dyDescent="0.35">
      <c r="A1592">
        <v>1211</v>
      </c>
      <c r="B1592" s="4">
        <v>45804.375085336993</v>
      </c>
      <c r="C1592" t="s">
        <v>9</v>
      </c>
      <c r="D1592" t="s">
        <v>22</v>
      </c>
      <c r="E1592" t="s">
        <v>23</v>
      </c>
      <c r="F1592">
        <v>1824.95</v>
      </c>
    </row>
    <row r="1593" spans="1:6" x14ac:dyDescent="0.35">
      <c r="A1593">
        <v>1288</v>
      </c>
      <c r="B1593" s="4">
        <v>45804.375085336993</v>
      </c>
      <c r="C1593" t="s">
        <v>15</v>
      </c>
      <c r="D1593" t="s">
        <v>17</v>
      </c>
      <c r="E1593" t="s">
        <v>25</v>
      </c>
      <c r="F1593">
        <v>915.43</v>
      </c>
    </row>
    <row r="1594" spans="1:6" x14ac:dyDescent="0.35">
      <c r="A1594">
        <v>1198</v>
      </c>
      <c r="B1594" s="4">
        <v>45804.375085336993</v>
      </c>
      <c r="C1594" t="s">
        <v>13</v>
      </c>
      <c r="D1594" t="s">
        <v>20</v>
      </c>
      <c r="E1594" t="s">
        <v>25</v>
      </c>
      <c r="F1594">
        <v>6543.95</v>
      </c>
    </row>
    <row r="1595" spans="1:6" x14ac:dyDescent="0.35">
      <c r="A1595">
        <v>1363</v>
      </c>
      <c r="B1595" s="4">
        <v>45804.375085336993</v>
      </c>
      <c r="C1595" t="s">
        <v>9</v>
      </c>
      <c r="D1595" t="s">
        <v>18</v>
      </c>
      <c r="E1595" t="s">
        <v>25</v>
      </c>
      <c r="F1595">
        <v>8091.84</v>
      </c>
    </row>
    <row r="1596" spans="1:6" x14ac:dyDescent="0.35">
      <c r="A1596">
        <v>1210</v>
      </c>
      <c r="B1596" s="4">
        <v>45804.375085336993</v>
      </c>
      <c r="C1596" t="s">
        <v>13</v>
      </c>
      <c r="D1596" t="s">
        <v>16</v>
      </c>
      <c r="E1596" t="s">
        <v>23</v>
      </c>
      <c r="F1596">
        <v>2948.05</v>
      </c>
    </row>
    <row r="1597" spans="1:6" x14ac:dyDescent="0.35">
      <c r="A1597">
        <v>1229</v>
      </c>
      <c r="B1597" s="4">
        <v>45804.375085336993</v>
      </c>
      <c r="C1597" t="s">
        <v>9</v>
      </c>
      <c r="D1597" t="s">
        <v>20</v>
      </c>
      <c r="E1597" t="s">
        <v>23</v>
      </c>
      <c r="F1597">
        <v>7786.42</v>
      </c>
    </row>
    <row r="1598" spans="1:6" x14ac:dyDescent="0.35">
      <c r="A1598">
        <v>1251</v>
      </c>
      <c r="B1598" s="4">
        <v>45805.375085336993</v>
      </c>
      <c r="C1598" t="s">
        <v>15</v>
      </c>
      <c r="D1598" t="s">
        <v>16</v>
      </c>
      <c r="E1598" t="s">
        <v>23</v>
      </c>
      <c r="F1598">
        <v>1321.33</v>
      </c>
    </row>
    <row r="1599" spans="1:6" x14ac:dyDescent="0.35">
      <c r="A1599">
        <v>1328</v>
      </c>
      <c r="B1599" s="4">
        <v>45805.375085336993</v>
      </c>
      <c r="C1599" t="s">
        <v>7</v>
      </c>
      <c r="D1599" t="s">
        <v>22</v>
      </c>
      <c r="E1599" t="s">
        <v>25</v>
      </c>
      <c r="F1599">
        <v>7259.02</v>
      </c>
    </row>
    <row r="1600" spans="1:6" x14ac:dyDescent="0.35">
      <c r="A1600">
        <v>1268</v>
      </c>
      <c r="B1600" s="4">
        <v>45805.375085336993</v>
      </c>
      <c r="C1600" t="s">
        <v>14</v>
      </c>
      <c r="D1600" t="s">
        <v>19</v>
      </c>
      <c r="E1600" t="s">
        <v>23</v>
      </c>
      <c r="F1600">
        <v>9215.98</v>
      </c>
    </row>
    <row r="1601" spans="1:6" x14ac:dyDescent="0.35">
      <c r="A1601">
        <v>1363</v>
      </c>
      <c r="B1601" s="4">
        <v>45805.375085336993</v>
      </c>
      <c r="C1601" t="s">
        <v>12</v>
      </c>
      <c r="D1601" t="s">
        <v>18</v>
      </c>
      <c r="E1601" t="s">
        <v>24</v>
      </c>
      <c r="F1601">
        <v>579.48</v>
      </c>
    </row>
    <row r="1602" spans="1:6" x14ac:dyDescent="0.35">
      <c r="A1602">
        <v>1224</v>
      </c>
      <c r="B1602" s="4">
        <v>45805.375085336993</v>
      </c>
      <c r="C1602" t="s">
        <v>7</v>
      </c>
      <c r="D1602" t="s">
        <v>22</v>
      </c>
      <c r="E1602" t="s">
        <v>24</v>
      </c>
      <c r="F1602">
        <v>4567.33</v>
      </c>
    </row>
    <row r="1603" spans="1:6" x14ac:dyDescent="0.35">
      <c r="A1603">
        <v>1284</v>
      </c>
      <c r="B1603" s="4">
        <v>45806.375085336993</v>
      </c>
      <c r="C1603" t="s">
        <v>11</v>
      </c>
      <c r="D1603" t="s">
        <v>20</v>
      </c>
      <c r="E1603" t="s">
        <v>23</v>
      </c>
      <c r="F1603">
        <v>8350.2000000000007</v>
      </c>
    </row>
    <row r="1604" spans="1:6" x14ac:dyDescent="0.35">
      <c r="A1604">
        <v>1026</v>
      </c>
      <c r="B1604" s="4">
        <v>45806.375085336993</v>
      </c>
      <c r="C1604" t="s">
        <v>7</v>
      </c>
      <c r="D1604" t="s">
        <v>21</v>
      </c>
      <c r="E1604" t="s">
        <v>23</v>
      </c>
      <c r="F1604">
        <v>5860.66</v>
      </c>
    </row>
    <row r="1605" spans="1:6" x14ac:dyDescent="0.35">
      <c r="A1605">
        <v>1206</v>
      </c>
      <c r="B1605" s="4">
        <v>45806.375085336993</v>
      </c>
      <c r="C1605" t="s">
        <v>12</v>
      </c>
      <c r="D1605" t="s">
        <v>21</v>
      </c>
      <c r="E1605" t="s">
        <v>25</v>
      </c>
      <c r="F1605">
        <v>2498.29</v>
      </c>
    </row>
    <row r="1606" spans="1:6" x14ac:dyDescent="0.35">
      <c r="A1606">
        <v>1205</v>
      </c>
      <c r="B1606" s="4">
        <v>45806.375085336993</v>
      </c>
      <c r="C1606" t="s">
        <v>6</v>
      </c>
      <c r="D1606" t="s">
        <v>16</v>
      </c>
      <c r="E1606" t="s">
        <v>24</v>
      </c>
      <c r="F1606">
        <v>4717.28</v>
      </c>
    </row>
    <row r="1607" spans="1:6" x14ac:dyDescent="0.35">
      <c r="A1607">
        <v>1288</v>
      </c>
      <c r="B1607" s="4">
        <v>45806.375085336993</v>
      </c>
      <c r="C1607" t="s">
        <v>8</v>
      </c>
      <c r="D1607" t="s">
        <v>19</v>
      </c>
      <c r="E1607" t="s">
        <v>24</v>
      </c>
      <c r="F1607">
        <v>1428.45</v>
      </c>
    </row>
    <row r="1608" spans="1:6" x14ac:dyDescent="0.35">
      <c r="A1608">
        <v>1132</v>
      </c>
      <c r="B1608" s="4">
        <v>45806.375085336993</v>
      </c>
      <c r="C1608" t="s">
        <v>14</v>
      </c>
      <c r="D1608" t="s">
        <v>22</v>
      </c>
      <c r="E1608" t="s">
        <v>25</v>
      </c>
      <c r="F1608">
        <v>3921.71</v>
      </c>
    </row>
    <row r="1609" spans="1:6" x14ac:dyDescent="0.35">
      <c r="A1609">
        <v>1001</v>
      </c>
      <c r="B1609" s="4">
        <v>45806.375085336993</v>
      </c>
      <c r="C1609" t="s">
        <v>8</v>
      </c>
      <c r="D1609" t="s">
        <v>17</v>
      </c>
      <c r="E1609" t="s">
        <v>24</v>
      </c>
      <c r="F1609">
        <v>10761.82</v>
      </c>
    </row>
    <row r="1610" spans="1:6" x14ac:dyDescent="0.35">
      <c r="A1610">
        <v>1187</v>
      </c>
      <c r="B1610" s="4">
        <v>45806.375085336993</v>
      </c>
      <c r="C1610" t="s">
        <v>12</v>
      </c>
      <c r="D1610" t="s">
        <v>18</v>
      </c>
      <c r="E1610" t="s">
        <v>23</v>
      </c>
      <c r="F1610">
        <v>3304.01</v>
      </c>
    </row>
    <row r="1611" spans="1:6" x14ac:dyDescent="0.35">
      <c r="A1611">
        <v>1214</v>
      </c>
      <c r="B1611" s="4">
        <v>45808.375085336993</v>
      </c>
      <c r="C1611" t="s">
        <v>12</v>
      </c>
      <c r="D1611" t="s">
        <v>19</v>
      </c>
      <c r="E1611" t="s">
        <v>24</v>
      </c>
      <c r="F1611">
        <v>3443.7</v>
      </c>
    </row>
    <row r="1612" spans="1:6" x14ac:dyDescent="0.35">
      <c r="A1612">
        <v>1101</v>
      </c>
      <c r="B1612" s="4">
        <v>45808.375085336993</v>
      </c>
      <c r="C1612" t="s">
        <v>6</v>
      </c>
      <c r="D1612" t="s">
        <v>21</v>
      </c>
      <c r="E1612" t="s">
        <v>24</v>
      </c>
      <c r="F1612">
        <v>3060.13</v>
      </c>
    </row>
    <row r="1613" spans="1:6" x14ac:dyDescent="0.35">
      <c r="A1613">
        <v>1147</v>
      </c>
      <c r="B1613" s="4">
        <v>45808.375085336993</v>
      </c>
      <c r="C1613" t="s">
        <v>15</v>
      </c>
      <c r="D1613" t="s">
        <v>16</v>
      </c>
      <c r="E1613" t="s">
        <v>25</v>
      </c>
      <c r="F1613">
        <v>1080.1400000000001</v>
      </c>
    </row>
    <row r="1614" spans="1:6" x14ac:dyDescent="0.35">
      <c r="A1614">
        <v>1068</v>
      </c>
      <c r="B1614" s="4">
        <v>45808.375085336993</v>
      </c>
      <c r="C1614" t="s">
        <v>9</v>
      </c>
      <c r="D1614" t="s">
        <v>21</v>
      </c>
      <c r="E1614" t="s">
        <v>23</v>
      </c>
      <c r="F1614">
        <v>4243.92</v>
      </c>
    </row>
    <row r="1615" spans="1:6" x14ac:dyDescent="0.35">
      <c r="A1615">
        <v>1201</v>
      </c>
      <c r="B1615" s="4">
        <v>45809.375085336993</v>
      </c>
      <c r="C1615" t="s">
        <v>7</v>
      </c>
      <c r="D1615" t="s">
        <v>17</v>
      </c>
      <c r="E1615" t="s">
        <v>24</v>
      </c>
      <c r="F1615">
        <v>1230.3800000000001</v>
      </c>
    </row>
    <row r="1616" spans="1:6" x14ac:dyDescent="0.35">
      <c r="A1616">
        <v>1274</v>
      </c>
      <c r="B1616" s="4">
        <v>45809.375085336993</v>
      </c>
      <c r="C1616" t="s">
        <v>8</v>
      </c>
      <c r="D1616" t="s">
        <v>21</v>
      </c>
      <c r="E1616" t="s">
        <v>24</v>
      </c>
      <c r="F1616">
        <v>1350.34</v>
      </c>
    </row>
    <row r="1617" spans="1:6" x14ac:dyDescent="0.35">
      <c r="A1617">
        <v>1373</v>
      </c>
      <c r="B1617" s="4">
        <v>45809.375085336993</v>
      </c>
      <c r="C1617" t="s">
        <v>14</v>
      </c>
      <c r="D1617" t="s">
        <v>19</v>
      </c>
      <c r="E1617" t="s">
        <v>25</v>
      </c>
      <c r="F1617">
        <v>4338.2299999999996</v>
      </c>
    </row>
    <row r="1618" spans="1:6" x14ac:dyDescent="0.35">
      <c r="A1618">
        <v>1181</v>
      </c>
      <c r="B1618" s="4">
        <v>45809.375085336993</v>
      </c>
      <c r="C1618" t="s">
        <v>11</v>
      </c>
      <c r="D1618" t="s">
        <v>22</v>
      </c>
      <c r="E1618" t="s">
        <v>23</v>
      </c>
      <c r="F1618">
        <v>393.07</v>
      </c>
    </row>
    <row r="1619" spans="1:6" x14ac:dyDescent="0.35">
      <c r="A1619">
        <v>1246</v>
      </c>
      <c r="B1619" s="4">
        <v>45809.375085336993</v>
      </c>
      <c r="C1619" t="s">
        <v>13</v>
      </c>
      <c r="D1619" t="s">
        <v>16</v>
      </c>
      <c r="E1619" t="s">
        <v>25</v>
      </c>
      <c r="F1619">
        <v>400.14</v>
      </c>
    </row>
    <row r="1620" spans="1:6" x14ac:dyDescent="0.35">
      <c r="A1620">
        <v>1287</v>
      </c>
      <c r="B1620" s="4">
        <v>45810.375085336993</v>
      </c>
      <c r="C1620" t="s">
        <v>8</v>
      </c>
      <c r="D1620" t="s">
        <v>18</v>
      </c>
      <c r="E1620" t="s">
        <v>25</v>
      </c>
      <c r="F1620">
        <v>608.49</v>
      </c>
    </row>
    <row r="1621" spans="1:6" x14ac:dyDescent="0.35">
      <c r="A1621">
        <v>1237</v>
      </c>
      <c r="B1621" s="4">
        <v>45810.375085336993</v>
      </c>
      <c r="C1621" t="s">
        <v>7</v>
      </c>
      <c r="D1621" t="s">
        <v>18</v>
      </c>
      <c r="E1621" t="s">
        <v>23</v>
      </c>
      <c r="F1621">
        <v>870.24</v>
      </c>
    </row>
    <row r="1622" spans="1:6" x14ac:dyDescent="0.35">
      <c r="A1622">
        <v>1223</v>
      </c>
      <c r="B1622" s="4">
        <v>45810.375085336993</v>
      </c>
      <c r="C1622" t="s">
        <v>11</v>
      </c>
      <c r="D1622" t="s">
        <v>17</v>
      </c>
      <c r="E1622" t="s">
        <v>25</v>
      </c>
      <c r="F1622">
        <v>2175.1999999999998</v>
      </c>
    </row>
    <row r="1623" spans="1:6" x14ac:dyDescent="0.35">
      <c r="A1623">
        <v>1344</v>
      </c>
      <c r="B1623" s="4">
        <v>45810.375085336993</v>
      </c>
      <c r="C1623" t="s">
        <v>7</v>
      </c>
      <c r="D1623" t="s">
        <v>20</v>
      </c>
      <c r="E1623" t="s">
        <v>25</v>
      </c>
      <c r="F1623">
        <v>1424.11</v>
      </c>
    </row>
    <row r="1624" spans="1:6" x14ac:dyDescent="0.35">
      <c r="A1624">
        <v>1261</v>
      </c>
      <c r="B1624" s="4">
        <v>45811.375085336993</v>
      </c>
      <c r="C1624" t="s">
        <v>9</v>
      </c>
      <c r="D1624" t="s">
        <v>16</v>
      </c>
      <c r="E1624" t="s">
        <v>25</v>
      </c>
      <c r="F1624">
        <v>2140.98</v>
      </c>
    </row>
    <row r="1625" spans="1:6" x14ac:dyDescent="0.35">
      <c r="A1625">
        <v>1158</v>
      </c>
      <c r="B1625" s="4">
        <v>45811.375085336993</v>
      </c>
      <c r="C1625" t="s">
        <v>10</v>
      </c>
      <c r="D1625" t="s">
        <v>18</v>
      </c>
      <c r="E1625" t="s">
        <v>24</v>
      </c>
      <c r="F1625">
        <v>3605.64</v>
      </c>
    </row>
    <row r="1626" spans="1:6" x14ac:dyDescent="0.35">
      <c r="A1626">
        <v>1333</v>
      </c>
      <c r="B1626" s="4">
        <v>45811.375085336993</v>
      </c>
      <c r="C1626" t="s">
        <v>11</v>
      </c>
      <c r="D1626" t="s">
        <v>22</v>
      </c>
      <c r="E1626" t="s">
        <v>24</v>
      </c>
      <c r="F1626">
        <v>1450.63</v>
      </c>
    </row>
    <row r="1627" spans="1:6" x14ac:dyDescent="0.35">
      <c r="A1627">
        <v>1123</v>
      </c>
      <c r="B1627" s="4">
        <v>45811.375085336993</v>
      </c>
      <c r="C1627" t="s">
        <v>14</v>
      </c>
      <c r="D1627" t="s">
        <v>21</v>
      </c>
      <c r="E1627" t="s">
        <v>25</v>
      </c>
      <c r="F1627">
        <v>5180.03</v>
      </c>
    </row>
    <row r="1628" spans="1:6" x14ac:dyDescent="0.35">
      <c r="A1628">
        <v>1087</v>
      </c>
      <c r="B1628" s="4">
        <v>45811.375085336993</v>
      </c>
      <c r="C1628" t="s">
        <v>7</v>
      </c>
      <c r="D1628" t="s">
        <v>16</v>
      </c>
      <c r="E1628" t="s">
        <v>23</v>
      </c>
      <c r="F1628">
        <v>9896.92</v>
      </c>
    </row>
    <row r="1629" spans="1:6" x14ac:dyDescent="0.35">
      <c r="A1629">
        <v>1132</v>
      </c>
      <c r="B1629" s="4">
        <v>45811.375085336993</v>
      </c>
      <c r="C1629" t="s">
        <v>11</v>
      </c>
      <c r="D1629" t="s">
        <v>19</v>
      </c>
      <c r="E1629" t="s">
        <v>25</v>
      </c>
      <c r="F1629">
        <v>6721.65</v>
      </c>
    </row>
    <row r="1630" spans="1:6" x14ac:dyDescent="0.35">
      <c r="A1630">
        <v>1127</v>
      </c>
      <c r="B1630" s="4">
        <v>45812.375085336993</v>
      </c>
      <c r="C1630" t="s">
        <v>11</v>
      </c>
      <c r="D1630" t="s">
        <v>17</v>
      </c>
      <c r="E1630" t="s">
        <v>23</v>
      </c>
      <c r="F1630">
        <v>2343.73</v>
      </c>
    </row>
    <row r="1631" spans="1:6" x14ac:dyDescent="0.35">
      <c r="A1631">
        <v>1200</v>
      </c>
      <c r="B1631" s="4">
        <v>45812.375085336993</v>
      </c>
      <c r="C1631" t="s">
        <v>15</v>
      </c>
      <c r="D1631" t="s">
        <v>18</v>
      </c>
      <c r="E1631" t="s">
        <v>23</v>
      </c>
      <c r="F1631">
        <v>5409.9</v>
      </c>
    </row>
    <row r="1632" spans="1:6" x14ac:dyDescent="0.35">
      <c r="A1632">
        <v>1101</v>
      </c>
      <c r="B1632" s="4">
        <v>45812.375085336993</v>
      </c>
      <c r="C1632" t="s">
        <v>9</v>
      </c>
      <c r="D1632" t="s">
        <v>19</v>
      </c>
      <c r="E1632" t="s">
        <v>25</v>
      </c>
      <c r="F1632">
        <v>2142.87</v>
      </c>
    </row>
    <row r="1633" spans="1:6" x14ac:dyDescent="0.35">
      <c r="A1633">
        <v>1146</v>
      </c>
      <c r="B1633" s="4">
        <v>45812.375085336993</v>
      </c>
      <c r="C1633" t="s">
        <v>10</v>
      </c>
      <c r="D1633" t="s">
        <v>16</v>
      </c>
      <c r="E1633" t="s">
        <v>25</v>
      </c>
      <c r="F1633">
        <v>860.38</v>
      </c>
    </row>
    <row r="1634" spans="1:6" x14ac:dyDescent="0.35">
      <c r="A1634">
        <v>1062</v>
      </c>
      <c r="B1634" s="4">
        <v>45812.375085336993</v>
      </c>
      <c r="C1634" t="s">
        <v>11</v>
      </c>
      <c r="D1634" t="s">
        <v>16</v>
      </c>
      <c r="E1634" t="s">
        <v>25</v>
      </c>
      <c r="F1634">
        <v>1105.48</v>
      </c>
    </row>
    <row r="1635" spans="1:6" x14ac:dyDescent="0.35">
      <c r="A1635">
        <v>1223</v>
      </c>
      <c r="B1635" s="4">
        <v>45813.375085336993</v>
      </c>
      <c r="C1635" t="s">
        <v>12</v>
      </c>
      <c r="D1635" t="s">
        <v>20</v>
      </c>
      <c r="E1635" t="s">
        <v>23</v>
      </c>
      <c r="F1635">
        <v>2915.99</v>
      </c>
    </row>
    <row r="1636" spans="1:6" x14ac:dyDescent="0.35">
      <c r="A1636">
        <v>1295</v>
      </c>
      <c r="B1636" s="4">
        <v>45813.375085336993</v>
      </c>
      <c r="C1636" t="s">
        <v>6</v>
      </c>
      <c r="D1636" t="s">
        <v>21</v>
      </c>
      <c r="E1636" t="s">
        <v>23</v>
      </c>
      <c r="F1636">
        <v>2068.23</v>
      </c>
    </row>
    <row r="1637" spans="1:6" x14ac:dyDescent="0.35">
      <c r="A1637">
        <v>1280</v>
      </c>
      <c r="B1637" s="4">
        <v>45813.375085336993</v>
      </c>
      <c r="C1637" t="s">
        <v>12</v>
      </c>
      <c r="D1637" t="s">
        <v>18</v>
      </c>
      <c r="E1637" t="s">
        <v>23</v>
      </c>
      <c r="F1637">
        <v>2619.37</v>
      </c>
    </row>
    <row r="1638" spans="1:6" x14ac:dyDescent="0.35">
      <c r="A1638">
        <v>1002</v>
      </c>
      <c r="B1638" s="4">
        <v>45814.375085336993</v>
      </c>
      <c r="C1638" t="s">
        <v>14</v>
      </c>
      <c r="D1638" t="s">
        <v>18</v>
      </c>
      <c r="E1638" t="s">
        <v>24</v>
      </c>
      <c r="F1638">
        <v>1497.79</v>
      </c>
    </row>
    <row r="1639" spans="1:6" x14ac:dyDescent="0.35">
      <c r="A1639">
        <v>1300</v>
      </c>
      <c r="B1639" s="4">
        <v>45814.375085336993</v>
      </c>
      <c r="C1639" t="s">
        <v>15</v>
      </c>
      <c r="D1639" t="s">
        <v>17</v>
      </c>
      <c r="E1639" t="s">
        <v>25</v>
      </c>
      <c r="F1639">
        <v>1322.65</v>
      </c>
    </row>
    <row r="1640" spans="1:6" x14ac:dyDescent="0.35">
      <c r="A1640">
        <v>1035</v>
      </c>
      <c r="B1640" s="4">
        <v>45814.375085336993</v>
      </c>
      <c r="C1640" t="s">
        <v>12</v>
      </c>
      <c r="D1640" t="s">
        <v>19</v>
      </c>
      <c r="E1640" t="s">
        <v>24</v>
      </c>
      <c r="F1640">
        <v>3848.35</v>
      </c>
    </row>
    <row r="1641" spans="1:6" x14ac:dyDescent="0.35">
      <c r="A1641">
        <v>1037</v>
      </c>
      <c r="B1641" s="4">
        <v>45815.375085336993</v>
      </c>
      <c r="C1641" t="s">
        <v>10</v>
      </c>
      <c r="D1641" t="s">
        <v>18</v>
      </c>
      <c r="E1641" t="s">
        <v>25</v>
      </c>
      <c r="F1641">
        <v>2365.13</v>
      </c>
    </row>
    <row r="1642" spans="1:6" x14ac:dyDescent="0.35">
      <c r="A1642">
        <v>1185</v>
      </c>
      <c r="B1642" s="4">
        <v>45815.375085336993</v>
      </c>
      <c r="C1642" t="s">
        <v>8</v>
      </c>
      <c r="D1642" t="s">
        <v>17</v>
      </c>
      <c r="E1642" t="s">
        <v>23</v>
      </c>
      <c r="F1642">
        <v>3577.69</v>
      </c>
    </row>
    <row r="1643" spans="1:6" x14ac:dyDescent="0.35">
      <c r="A1643">
        <v>1181</v>
      </c>
      <c r="B1643" s="4">
        <v>45816.375085336993</v>
      </c>
      <c r="C1643" t="s">
        <v>14</v>
      </c>
      <c r="D1643" t="s">
        <v>20</v>
      </c>
      <c r="E1643" t="s">
        <v>23</v>
      </c>
      <c r="F1643">
        <v>7894.67</v>
      </c>
    </row>
    <row r="1644" spans="1:6" x14ac:dyDescent="0.35">
      <c r="A1644">
        <v>1338</v>
      </c>
      <c r="B1644" s="4">
        <v>45817.375085336993</v>
      </c>
      <c r="C1644" t="s">
        <v>6</v>
      </c>
      <c r="D1644" t="s">
        <v>18</v>
      </c>
      <c r="E1644" t="s">
        <v>23</v>
      </c>
      <c r="F1644">
        <v>2883.76</v>
      </c>
    </row>
    <row r="1645" spans="1:6" x14ac:dyDescent="0.35">
      <c r="A1645">
        <v>1083</v>
      </c>
      <c r="B1645" s="4">
        <v>45817.375085336993</v>
      </c>
      <c r="C1645" t="s">
        <v>14</v>
      </c>
      <c r="D1645" t="s">
        <v>19</v>
      </c>
      <c r="E1645" t="s">
        <v>24</v>
      </c>
      <c r="F1645">
        <v>907.98</v>
      </c>
    </row>
    <row r="1646" spans="1:6" x14ac:dyDescent="0.35">
      <c r="A1646">
        <v>1387</v>
      </c>
      <c r="B1646" s="4">
        <v>45817.375085336993</v>
      </c>
      <c r="C1646" t="s">
        <v>12</v>
      </c>
      <c r="D1646" t="s">
        <v>21</v>
      </c>
      <c r="E1646" t="s">
        <v>23</v>
      </c>
      <c r="F1646">
        <v>4273.63</v>
      </c>
    </row>
    <row r="1647" spans="1:6" x14ac:dyDescent="0.35">
      <c r="A1647">
        <v>1276</v>
      </c>
      <c r="B1647" s="4">
        <v>45817.375085336993</v>
      </c>
      <c r="C1647" t="s">
        <v>14</v>
      </c>
      <c r="D1647" t="s">
        <v>20</v>
      </c>
      <c r="E1647" t="s">
        <v>23</v>
      </c>
      <c r="F1647">
        <v>1807.85</v>
      </c>
    </row>
    <row r="1648" spans="1:6" x14ac:dyDescent="0.35">
      <c r="A1648">
        <v>1016</v>
      </c>
      <c r="B1648" s="4">
        <v>45817.375085336993</v>
      </c>
      <c r="C1648" t="s">
        <v>8</v>
      </c>
      <c r="D1648" t="s">
        <v>22</v>
      </c>
      <c r="E1648" t="s">
        <v>23</v>
      </c>
      <c r="F1648">
        <v>5124.53</v>
      </c>
    </row>
    <row r="1649" spans="1:6" x14ac:dyDescent="0.35">
      <c r="A1649">
        <v>1329</v>
      </c>
      <c r="B1649" s="4">
        <v>45817.375085336993</v>
      </c>
      <c r="C1649" t="s">
        <v>6</v>
      </c>
      <c r="D1649" t="s">
        <v>19</v>
      </c>
      <c r="E1649" t="s">
        <v>24</v>
      </c>
      <c r="F1649">
        <v>5776.05</v>
      </c>
    </row>
    <row r="1650" spans="1:6" x14ac:dyDescent="0.35">
      <c r="A1650">
        <v>1080</v>
      </c>
      <c r="B1650" s="4">
        <v>45817.375085336993</v>
      </c>
      <c r="C1650" t="s">
        <v>12</v>
      </c>
      <c r="D1650" t="s">
        <v>22</v>
      </c>
      <c r="E1650" t="s">
        <v>23</v>
      </c>
      <c r="F1650">
        <v>3675.47</v>
      </c>
    </row>
    <row r="1651" spans="1:6" x14ac:dyDescent="0.35">
      <c r="A1651">
        <v>1319</v>
      </c>
      <c r="B1651" s="4">
        <v>45818.375085336993</v>
      </c>
      <c r="C1651" t="s">
        <v>10</v>
      </c>
      <c r="D1651" t="s">
        <v>19</v>
      </c>
      <c r="E1651" t="s">
        <v>25</v>
      </c>
      <c r="F1651">
        <v>7649.95</v>
      </c>
    </row>
    <row r="1652" spans="1:6" x14ac:dyDescent="0.35">
      <c r="A1652">
        <v>1014</v>
      </c>
      <c r="B1652" s="4">
        <v>45818.375085336993</v>
      </c>
      <c r="C1652" t="s">
        <v>12</v>
      </c>
      <c r="D1652" t="s">
        <v>17</v>
      </c>
      <c r="E1652" t="s">
        <v>24</v>
      </c>
      <c r="F1652">
        <v>1664.61</v>
      </c>
    </row>
    <row r="1653" spans="1:6" x14ac:dyDescent="0.35">
      <c r="A1653">
        <v>1169</v>
      </c>
      <c r="B1653" s="4">
        <v>45819.375085336993</v>
      </c>
      <c r="C1653" t="s">
        <v>13</v>
      </c>
      <c r="D1653" t="s">
        <v>22</v>
      </c>
      <c r="E1653" t="s">
        <v>23</v>
      </c>
      <c r="F1653">
        <v>5882.23</v>
      </c>
    </row>
    <row r="1654" spans="1:6" x14ac:dyDescent="0.35">
      <c r="A1654">
        <v>1063</v>
      </c>
      <c r="B1654" s="4">
        <v>45819.375085336993</v>
      </c>
      <c r="C1654" t="s">
        <v>13</v>
      </c>
      <c r="D1654" t="s">
        <v>18</v>
      </c>
      <c r="E1654" t="s">
        <v>23</v>
      </c>
      <c r="F1654">
        <v>3425.81</v>
      </c>
    </row>
    <row r="1655" spans="1:6" x14ac:dyDescent="0.35">
      <c r="A1655">
        <v>1267</v>
      </c>
      <c r="B1655" s="4">
        <v>45819.375085336993</v>
      </c>
      <c r="C1655" t="s">
        <v>7</v>
      </c>
      <c r="D1655" t="s">
        <v>16</v>
      </c>
      <c r="E1655" t="s">
        <v>25</v>
      </c>
      <c r="F1655">
        <v>1339.54</v>
      </c>
    </row>
    <row r="1656" spans="1:6" x14ac:dyDescent="0.35">
      <c r="A1656">
        <v>1234</v>
      </c>
      <c r="B1656" s="4">
        <v>45819.375085336993</v>
      </c>
      <c r="C1656" t="s">
        <v>6</v>
      </c>
      <c r="D1656" t="s">
        <v>21</v>
      </c>
      <c r="E1656" t="s">
        <v>23</v>
      </c>
      <c r="F1656">
        <v>1343.77</v>
      </c>
    </row>
    <row r="1657" spans="1:6" x14ac:dyDescent="0.35">
      <c r="A1657">
        <v>1207</v>
      </c>
      <c r="B1657" s="4">
        <v>45819.375085336993</v>
      </c>
      <c r="C1657" t="s">
        <v>10</v>
      </c>
      <c r="D1657" t="s">
        <v>21</v>
      </c>
      <c r="E1657" t="s">
        <v>23</v>
      </c>
      <c r="F1657">
        <v>2399.41</v>
      </c>
    </row>
    <row r="1658" spans="1:6" x14ac:dyDescent="0.35">
      <c r="A1658">
        <v>1102</v>
      </c>
      <c r="B1658" s="4">
        <v>45819.375085336993</v>
      </c>
      <c r="C1658" t="s">
        <v>15</v>
      </c>
      <c r="D1658" t="s">
        <v>18</v>
      </c>
      <c r="E1658" t="s">
        <v>23</v>
      </c>
      <c r="F1658">
        <v>7186.83</v>
      </c>
    </row>
    <row r="1659" spans="1:6" x14ac:dyDescent="0.35">
      <c r="A1659">
        <v>1222</v>
      </c>
      <c r="B1659" s="4">
        <v>45819.375085336993</v>
      </c>
      <c r="C1659" t="s">
        <v>10</v>
      </c>
      <c r="D1659" t="s">
        <v>20</v>
      </c>
      <c r="E1659" t="s">
        <v>23</v>
      </c>
      <c r="F1659">
        <v>1773.34</v>
      </c>
    </row>
    <row r="1660" spans="1:6" x14ac:dyDescent="0.35">
      <c r="A1660">
        <v>1353</v>
      </c>
      <c r="B1660" s="4">
        <v>45820.375085336993</v>
      </c>
      <c r="C1660" t="s">
        <v>11</v>
      </c>
      <c r="D1660" t="s">
        <v>21</v>
      </c>
      <c r="E1660" t="s">
        <v>23</v>
      </c>
      <c r="F1660">
        <v>8668.02</v>
      </c>
    </row>
    <row r="1661" spans="1:6" x14ac:dyDescent="0.35">
      <c r="A1661">
        <v>1379</v>
      </c>
      <c r="B1661" s="4">
        <v>45820.375085336993</v>
      </c>
      <c r="C1661" t="s">
        <v>13</v>
      </c>
      <c r="D1661" t="s">
        <v>17</v>
      </c>
      <c r="E1661" t="s">
        <v>25</v>
      </c>
      <c r="F1661">
        <v>2126.4</v>
      </c>
    </row>
    <row r="1662" spans="1:6" x14ac:dyDescent="0.35">
      <c r="A1662">
        <v>1242</v>
      </c>
      <c r="B1662" s="4">
        <v>45820.375085336993</v>
      </c>
      <c r="C1662" t="s">
        <v>13</v>
      </c>
      <c r="D1662" t="s">
        <v>16</v>
      </c>
      <c r="E1662" t="s">
        <v>24</v>
      </c>
      <c r="F1662">
        <v>1577.42</v>
      </c>
    </row>
    <row r="1663" spans="1:6" x14ac:dyDescent="0.35">
      <c r="A1663">
        <v>1313</v>
      </c>
      <c r="B1663" s="4">
        <v>45821.375085336993</v>
      </c>
      <c r="C1663" t="s">
        <v>11</v>
      </c>
      <c r="D1663" t="s">
        <v>18</v>
      </c>
      <c r="E1663" t="s">
        <v>25</v>
      </c>
      <c r="F1663">
        <v>1998.81</v>
      </c>
    </row>
    <row r="1664" spans="1:6" x14ac:dyDescent="0.35">
      <c r="A1664">
        <v>1364</v>
      </c>
      <c r="B1664" s="4">
        <v>45821.375085336993</v>
      </c>
      <c r="C1664" t="s">
        <v>13</v>
      </c>
      <c r="D1664" t="s">
        <v>22</v>
      </c>
      <c r="E1664" t="s">
        <v>25</v>
      </c>
      <c r="F1664">
        <v>4426.9799999999996</v>
      </c>
    </row>
    <row r="1665" spans="1:6" x14ac:dyDescent="0.35">
      <c r="A1665">
        <v>1382</v>
      </c>
      <c r="B1665" s="4">
        <v>45821.375085336993</v>
      </c>
      <c r="C1665" t="s">
        <v>13</v>
      </c>
      <c r="D1665" t="s">
        <v>18</v>
      </c>
      <c r="E1665" t="s">
        <v>23</v>
      </c>
      <c r="F1665">
        <v>475.24</v>
      </c>
    </row>
    <row r="1666" spans="1:6" x14ac:dyDescent="0.35">
      <c r="A1666">
        <v>1301</v>
      </c>
      <c r="B1666" s="4">
        <v>45821.375085336993</v>
      </c>
      <c r="C1666" t="s">
        <v>7</v>
      </c>
      <c r="D1666" t="s">
        <v>16</v>
      </c>
      <c r="E1666" t="s">
        <v>25</v>
      </c>
      <c r="F1666">
        <v>8734.5</v>
      </c>
    </row>
    <row r="1667" spans="1:6" x14ac:dyDescent="0.35">
      <c r="A1667">
        <v>1336</v>
      </c>
      <c r="B1667" s="4">
        <v>45821.375085336993</v>
      </c>
      <c r="C1667" t="s">
        <v>15</v>
      </c>
      <c r="D1667" t="s">
        <v>21</v>
      </c>
      <c r="E1667" t="s">
        <v>24</v>
      </c>
      <c r="F1667">
        <v>6704.42</v>
      </c>
    </row>
    <row r="1668" spans="1:6" x14ac:dyDescent="0.35">
      <c r="A1668">
        <v>1191</v>
      </c>
      <c r="B1668" s="4">
        <v>45822.375085336993</v>
      </c>
      <c r="C1668" t="s">
        <v>6</v>
      </c>
      <c r="D1668" t="s">
        <v>17</v>
      </c>
      <c r="E1668" t="s">
        <v>24</v>
      </c>
      <c r="F1668">
        <v>2403.2399999999998</v>
      </c>
    </row>
    <row r="1669" spans="1:6" x14ac:dyDescent="0.35">
      <c r="A1669">
        <v>1074</v>
      </c>
      <c r="B1669" s="4">
        <v>45822.375085336993</v>
      </c>
      <c r="C1669" t="s">
        <v>15</v>
      </c>
      <c r="D1669" t="s">
        <v>21</v>
      </c>
      <c r="E1669" t="s">
        <v>23</v>
      </c>
      <c r="F1669">
        <v>1509.59</v>
      </c>
    </row>
    <row r="1670" spans="1:6" x14ac:dyDescent="0.35">
      <c r="A1670">
        <v>1225</v>
      </c>
      <c r="B1670" s="4">
        <v>45822.375085336993</v>
      </c>
      <c r="C1670" t="s">
        <v>13</v>
      </c>
      <c r="D1670" t="s">
        <v>18</v>
      </c>
      <c r="E1670" t="s">
        <v>24</v>
      </c>
      <c r="F1670">
        <v>1406.97</v>
      </c>
    </row>
    <row r="1671" spans="1:6" x14ac:dyDescent="0.35">
      <c r="A1671">
        <v>1008</v>
      </c>
      <c r="B1671" s="4">
        <v>45823.375085336993</v>
      </c>
      <c r="C1671" t="s">
        <v>7</v>
      </c>
      <c r="D1671" t="s">
        <v>22</v>
      </c>
      <c r="E1671" t="s">
        <v>23</v>
      </c>
      <c r="F1671">
        <v>3782.77</v>
      </c>
    </row>
    <row r="1672" spans="1:6" x14ac:dyDescent="0.35">
      <c r="A1672">
        <v>1152</v>
      </c>
      <c r="B1672" s="4">
        <v>45824.375085336993</v>
      </c>
      <c r="C1672" t="s">
        <v>6</v>
      </c>
      <c r="D1672" t="s">
        <v>18</v>
      </c>
      <c r="E1672" t="s">
        <v>24</v>
      </c>
      <c r="F1672">
        <v>5429.31</v>
      </c>
    </row>
    <row r="1673" spans="1:6" x14ac:dyDescent="0.35">
      <c r="A1673">
        <v>1388</v>
      </c>
      <c r="B1673" s="4">
        <v>45824.375085336993</v>
      </c>
      <c r="C1673" t="s">
        <v>15</v>
      </c>
      <c r="D1673" t="s">
        <v>22</v>
      </c>
      <c r="E1673" t="s">
        <v>25</v>
      </c>
      <c r="F1673">
        <v>7509.13</v>
      </c>
    </row>
    <row r="1674" spans="1:6" x14ac:dyDescent="0.35">
      <c r="A1674">
        <v>1056</v>
      </c>
      <c r="B1674" s="4">
        <v>45824.375085336993</v>
      </c>
      <c r="C1674" t="s">
        <v>13</v>
      </c>
      <c r="D1674" t="s">
        <v>20</v>
      </c>
      <c r="E1674" t="s">
        <v>25</v>
      </c>
      <c r="F1674">
        <v>4077.14</v>
      </c>
    </row>
    <row r="1675" spans="1:6" x14ac:dyDescent="0.35">
      <c r="A1675">
        <v>1356</v>
      </c>
      <c r="B1675" s="4">
        <v>45824.375085336993</v>
      </c>
      <c r="C1675" t="s">
        <v>11</v>
      </c>
      <c r="D1675" t="s">
        <v>17</v>
      </c>
      <c r="E1675" t="s">
        <v>24</v>
      </c>
      <c r="F1675">
        <v>6725.99</v>
      </c>
    </row>
    <row r="1676" spans="1:6" x14ac:dyDescent="0.35">
      <c r="A1676">
        <v>1339</v>
      </c>
      <c r="B1676" s="4">
        <v>45824.375085336993</v>
      </c>
      <c r="C1676" t="s">
        <v>7</v>
      </c>
      <c r="D1676" t="s">
        <v>19</v>
      </c>
      <c r="E1676" t="s">
        <v>23</v>
      </c>
      <c r="F1676">
        <v>3205.57</v>
      </c>
    </row>
    <row r="1677" spans="1:6" x14ac:dyDescent="0.35">
      <c r="A1677">
        <v>1313</v>
      </c>
      <c r="B1677" s="4">
        <v>45824.375085336993</v>
      </c>
      <c r="C1677" t="s">
        <v>9</v>
      </c>
      <c r="D1677" t="s">
        <v>19</v>
      </c>
      <c r="E1677" t="s">
        <v>25</v>
      </c>
      <c r="F1677">
        <v>2898.86</v>
      </c>
    </row>
    <row r="1678" spans="1:6" x14ac:dyDescent="0.35">
      <c r="A1678">
        <v>1216</v>
      </c>
      <c r="B1678" s="4">
        <v>45825.375085336993</v>
      </c>
      <c r="C1678" t="s">
        <v>12</v>
      </c>
      <c r="D1678" t="s">
        <v>20</v>
      </c>
      <c r="E1678" t="s">
        <v>23</v>
      </c>
      <c r="F1678">
        <v>10324.959999999999</v>
      </c>
    </row>
    <row r="1679" spans="1:6" x14ac:dyDescent="0.35">
      <c r="A1679">
        <v>1267</v>
      </c>
      <c r="B1679" s="4">
        <v>45825.375085336993</v>
      </c>
      <c r="C1679" t="s">
        <v>10</v>
      </c>
      <c r="D1679" t="s">
        <v>17</v>
      </c>
      <c r="E1679" t="s">
        <v>23</v>
      </c>
      <c r="F1679">
        <v>2623.55</v>
      </c>
    </row>
    <row r="1680" spans="1:6" x14ac:dyDescent="0.35">
      <c r="A1680">
        <v>1301</v>
      </c>
      <c r="B1680" s="4">
        <v>45825.375085336993</v>
      </c>
      <c r="C1680" t="s">
        <v>6</v>
      </c>
      <c r="D1680" t="s">
        <v>22</v>
      </c>
      <c r="E1680" t="s">
        <v>23</v>
      </c>
      <c r="F1680">
        <v>3210.43</v>
      </c>
    </row>
    <row r="1681" spans="1:6" x14ac:dyDescent="0.35">
      <c r="A1681">
        <v>1288</v>
      </c>
      <c r="B1681" s="4">
        <v>45825.375085336993</v>
      </c>
      <c r="C1681" t="s">
        <v>10</v>
      </c>
      <c r="D1681" t="s">
        <v>22</v>
      </c>
      <c r="E1681" t="s">
        <v>23</v>
      </c>
      <c r="F1681">
        <v>4092.78</v>
      </c>
    </row>
    <row r="1682" spans="1:6" x14ac:dyDescent="0.35">
      <c r="A1682">
        <v>1268</v>
      </c>
      <c r="B1682" s="4">
        <v>45825.375085336993</v>
      </c>
      <c r="C1682" t="s">
        <v>12</v>
      </c>
      <c r="D1682" t="s">
        <v>20</v>
      </c>
      <c r="E1682" t="s">
        <v>24</v>
      </c>
      <c r="F1682">
        <v>8898.59</v>
      </c>
    </row>
    <row r="1683" spans="1:6" x14ac:dyDescent="0.35">
      <c r="A1683">
        <v>1095</v>
      </c>
      <c r="B1683" s="4">
        <v>45825.375085336993</v>
      </c>
      <c r="C1683" t="s">
        <v>13</v>
      </c>
      <c r="D1683" t="s">
        <v>21</v>
      </c>
      <c r="E1683" t="s">
        <v>23</v>
      </c>
      <c r="F1683">
        <v>1453.93</v>
      </c>
    </row>
    <row r="1684" spans="1:6" x14ac:dyDescent="0.35">
      <c r="A1684">
        <v>1068</v>
      </c>
      <c r="B1684" s="4">
        <v>45826.375085336993</v>
      </c>
      <c r="C1684" t="s">
        <v>15</v>
      </c>
      <c r="D1684" t="s">
        <v>20</v>
      </c>
      <c r="E1684" t="s">
        <v>25</v>
      </c>
      <c r="F1684">
        <v>557.27</v>
      </c>
    </row>
    <row r="1685" spans="1:6" x14ac:dyDescent="0.35">
      <c r="A1685">
        <v>1193</v>
      </c>
      <c r="B1685" s="4">
        <v>45826.375085336993</v>
      </c>
      <c r="C1685" t="s">
        <v>11</v>
      </c>
      <c r="D1685" t="s">
        <v>21</v>
      </c>
      <c r="E1685" t="s">
        <v>25</v>
      </c>
      <c r="F1685">
        <v>2680.46</v>
      </c>
    </row>
    <row r="1686" spans="1:6" x14ac:dyDescent="0.35">
      <c r="A1686">
        <v>1025</v>
      </c>
      <c r="B1686" s="4">
        <v>45826.375085336993</v>
      </c>
      <c r="C1686" t="s">
        <v>12</v>
      </c>
      <c r="D1686" t="s">
        <v>20</v>
      </c>
      <c r="E1686" t="s">
        <v>23</v>
      </c>
      <c r="F1686">
        <v>409.77</v>
      </c>
    </row>
    <row r="1687" spans="1:6" x14ac:dyDescent="0.35">
      <c r="A1687">
        <v>1179</v>
      </c>
      <c r="B1687" s="4">
        <v>45826.375085336993</v>
      </c>
      <c r="C1687" t="s">
        <v>15</v>
      </c>
      <c r="D1687" t="s">
        <v>16</v>
      </c>
      <c r="E1687" t="s">
        <v>24</v>
      </c>
      <c r="F1687">
        <v>1908.35</v>
      </c>
    </row>
    <row r="1688" spans="1:6" x14ac:dyDescent="0.35">
      <c r="A1688">
        <v>1323</v>
      </c>
      <c r="B1688" s="4">
        <v>45826.375085336993</v>
      </c>
      <c r="C1688" t="s">
        <v>9</v>
      </c>
      <c r="D1688" t="s">
        <v>17</v>
      </c>
      <c r="E1688" t="s">
        <v>25</v>
      </c>
      <c r="F1688">
        <v>1031.5</v>
      </c>
    </row>
    <row r="1689" spans="1:6" x14ac:dyDescent="0.35">
      <c r="A1689">
        <v>1144</v>
      </c>
      <c r="B1689" s="4">
        <v>45827.375085336993</v>
      </c>
      <c r="C1689" t="s">
        <v>6</v>
      </c>
      <c r="D1689" t="s">
        <v>17</v>
      </c>
      <c r="E1689" t="s">
        <v>24</v>
      </c>
      <c r="F1689">
        <v>10799.73</v>
      </c>
    </row>
    <row r="1690" spans="1:6" x14ac:dyDescent="0.35">
      <c r="A1690">
        <v>1291</v>
      </c>
      <c r="B1690" s="4">
        <v>45827.375085336993</v>
      </c>
      <c r="C1690" t="s">
        <v>8</v>
      </c>
      <c r="D1690" t="s">
        <v>17</v>
      </c>
      <c r="E1690" t="s">
        <v>25</v>
      </c>
      <c r="F1690">
        <v>2076.14</v>
      </c>
    </row>
    <row r="1691" spans="1:6" x14ac:dyDescent="0.35">
      <c r="A1691">
        <v>1372</v>
      </c>
      <c r="B1691" s="4">
        <v>45827.375085336993</v>
      </c>
      <c r="C1691" t="s">
        <v>10</v>
      </c>
      <c r="D1691" t="s">
        <v>21</v>
      </c>
      <c r="E1691" t="s">
        <v>25</v>
      </c>
      <c r="F1691">
        <v>2201.0300000000002</v>
      </c>
    </row>
    <row r="1692" spans="1:6" x14ac:dyDescent="0.35">
      <c r="A1692">
        <v>1051</v>
      </c>
      <c r="B1692" s="4">
        <v>45828.375085336993</v>
      </c>
      <c r="C1692" t="s">
        <v>15</v>
      </c>
      <c r="D1692" t="s">
        <v>17</v>
      </c>
      <c r="E1692" t="s">
        <v>25</v>
      </c>
      <c r="F1692">
        <v>3482.56</v>
      </c>
    </row>
    <row r="1693" spans="1:6" x14ac:dyDescent="0.35">
      <c r="A1693">
        <v>1119</v>
      </c>
      <c r="B1693" s="4">
        <v>45828.375085336993</v>
      </c>
      <c r="C1693" t="s">
        <v>8</v>
      </c>
      <c r="D1693" t="s">
        <v>18</v>
      </c>
      <c r="E1693" t="s">
        <v>24</v>
      </c>
      <c r="F1693">
        <v>8902.06</v>
      </c>
    </row>
    <row r="1694" spans="1:6" x14ac:dyDescent="0.35">
      <c r="A1694">
        <v>1023</v>
      </c>
      <c r="B1694" s="4">
        <v>45828.375085336993</v>
      </c>
      <c r="C1694" t="s">
        <v>7</v>
      </c>
      <c r="D1694" t="s">
        <v>22</v>
      </c>
      <c r="E1694" t="s">
        <v>24</v>
      </c>
      <c r="F1694">
        <v>2701.08</v>
      </c>
    </row>
    <row r="1695" spans="1:6" x14ac:dyDescent="0.35">
      <c r="A1695">
        <v>1096</v>
      </c>
      <c r="B1695" s="4">
        <v>45828.375085336993</v>
      </c>
      <c r="C1695" t="s">
        <v>14</v>
      </c>
      <c r="D1695" t="s">
        <v>16</v>
      </c>
      <c r="E1695" t="s">
        <v>25</v>
      </c>
      <c r="F1695">
        <v>1468.97</v>
      </c>
    </row>
    <row r="1696" spans="1:6" x14ac:dyDescent="0.35">
      <c r="A1696">
        <v>1097</v>
      </c>
      <c r="B1696" s="4">
        <v>45829.375085336993</v>
      </c>
      <c r="C1696" t="s">
        <v>10</v>
      </c>
      <c r="D1696" t="s">
        <v>16</v>
      </c>
      <c r="E1696" t="s">
        <v>25</v>
      </c>
      <c r="F1696">
        <v>4317.29</v>
      </c>
    </row>
    <row r="1697" spans="1:6" x14ac:dyDescent="0.35">
      <c r="A1697">
        <v>1086</v>
      </c>
      <c r="B1697" s="4">
        <v>45829.375085336993</v>
      </c>
      <c r="C1697" t="s">
        <v>8</v>
      </c>
      <c r="D1697" t="s">
        <v>18</v>
      </c>
      <c r="E1697" t="s">
        <v>23</v>
      </c>
      <c r="F1697">
        <v>5663.47</v>
      </c>
    </row>
    <row r="1698" spans="1:6" x14ac:dyDescent="0.35">
      <c r="A1698">
        <v>1117</v>
      </c>
      <c r="B1698" s="4">
        <v>45829.375085336993</v>
      </c>
      <c r="C1698" t="s">
        <v>10</v>
      </c>
      <c r="D1698" t="s">
        <v>21</v>
      </c>
      <c r="E1698" t="s">
        <v>23</v>
      </c>
      <c r="F1698">
        <v>5036.53</v>
      </c>
    </row>
    <row r="1699" spans="1:6" x14ac:dyDescent="0.35">
      <c r="A1699">
        <v>1217</v>
      </c>
      <c r="B1699" s="4">
        <v>45829.375085336993</v>
      </c>
      <c r="C1699" t="s">
        <v>8</v>
      </c>
      <c r="D1699" t="s">
        <v>16</v>
      </c>
      <c r="E1699" t="s">
        <v>23</v>
      </c>
      <c r="F1699">
        <v>2438.69</v>
      </c>
    </row>
    <row r="1700" spans="1:6" x14ac:dyDescent="0.35">
      <c r="A1700">
        <v>1279</v>
      </c>
      <c r="B1700" s="4">
        <v>45829.375085336993</v>
      </c>
      <c r="C1700" t="s">
        <v>6</v>
      </c>
      <c r="D1700" t="s">
        <v>18</v>
      </c>
      <c r="E1700" t="s">
        <v>25</v>
      </c>
      <c r="F1700">
        <v>7092.62</v>
      </c>
    </row>
    <row r="1701" spans="1:6" x14ac:dyDescent="0.35">
      <c r="A1701">
        <v>1270</v>
      </c>
      <c r="B1701" s="4">
        <v>45829.375085336993</v>
      </c>
      <c r="C1701" t="s">
        <v>10</v>
      </c>
      <c r="D1701" t="s">
        <v>18</v>
      </c>
      <c r="E1701" t="s">
        <v>23</v>
      </c>
      <c r="F1701">
        <v>2706.42</v>
      </c>
    </row>
    <row r="1702" spans="1:6" x14ac:dyDescent="0.35">
      <c r="A1702">
        <v>1004</v>
      </c>
      <c r="B1702" s="4">
        <v>45830.375085336993</v>
      </c>
      <c r="C1702" t="s">
        <v>14</v>
      </c>
      <c r="D1702" t="s">
        <v>19</v>
      </c>
      <c r="E1702" t="s">
        <v>23</v>
      </c>
      <c r="F1702">
        <v>1667.97</v>
      </c>
    </row>
    <row r="1703" spans="1:6" x14ac:dyDescent="0.35">
      <c r="A1703">
        <v>1256</v>
      </c>
      <c r="B1703" s="4">
        <v>45830.375085336993</v>
      </c>
      <c r="C1703" t="s">
        <v>7</v>
      </c>
      <c r="D1703" t="s">
        <v>16</v>
      </c>
      <c r="E1703" t="s">
        <v>25</v>
      </c>
      <c r="F1703">
        <v>5309.32</v>
      </c>
    </row>
    <row r="1704" spans="1:6" x14ac:dyDescent="0.35">
      <c r="A1704">
        <v>1088</v>
      </c>
      <c r="B1704" s="4">
        <v>45830.375085336993</v>
      </c>
      <c r="C1704" t="s">
        <v>8</v>
      </c>
      <c r="D1704" t="s">
        <v>16</v>
      </c>
      <c r="E1704" t="s">
        <v>25</v>
      </c>
      <c r="F1704">
        <v>2782.24</v>
      </c>
    </row>
    <row r="1705" spans="1:6" x14ac:dyDescent="0.35">
      <c r="A1705">
        <v>1194</v>
      </c>
      <c r="B1705" s="4">
        <v>45830.375085336993</v>
      </c>
      <c r="C1705" t="s">
        <v>6</v>
      </c>
      <c r="D1705" t="s">
        <v>17</v>
      </c>
      <c r="E1705" t="s">
        <v>23</v>
      </c>
      <c r="F1705">
        <v>6539.07</v>
      </c>
    </row>
    <row r="1706" spans="1:6" x14ac:dyDescent="0.35">
      <c r="A1706">
        <v>1180</v>
      </c>
      <c r="B1706" s="4">
        <v>45830.375085336993</v>
      </c>
      <c r="C1706" t="s">
        <v>6</v>
      </c>
      <c r="D1706" t="s">
        <v>19</v>
      </c>
      <c r="E1706" t="s">
        <v>23</v>
      </c>
      <c r="F1706">
        <v>1728.52</v>
      </c>
    </row>
    <row r="1707" spans="1:6" x14ac:dyDescent="0.35">
      <c r="A1707">
        <v>1190</v>
      </c>
      <c r="B1707" s="4">
        <v>45831.375085336993</v>
      </c>
      <c r="C1707" t="s">
        <v>12</v>
      </c>
      <c r="D1707" t="s">
        <v>17</v>
      </c>
      <c r="E1707" t="s">
        <v>23</v>
      </c>
      <c r="F1707">
        <v>2467.35</v>
      </c>
    </row>
    <row r="1708" spans="1:6" x14ac:dyDescent="0.35">
      <c r="A1708">
        <v>1339</v>
      </c>
      <c r="B1708" s="4">
        <v>45831.375085336993</v>
      </c>
      <c r="C1708" t="s">
        <v>6</v>
      </c>
      <c r="D1708" t="s">
        <v>21</v>
      </c>
      <c r="E1708" t="s">
        <v>25</v>
      </c>
      <c r="F1708">
        <v>6323.3</v>
      </c>
    </row>
    <row r="1709" spans="1:6" x14ac:dyDescent="0.35">
      <c r="A1709">
        <v>1190</v>
      </c>
      <c r="B1709" s="4">
        <v>45831.375085336993</v>
      </c>
      <c r="C1709" t="s">
        <v>7</v>
      </c>
      <c r="D1709" t="s">
        <v>22</v>
      </c>
      <c r="E1709" t="s">
        <v>25</v>
      </c>
      <c r="F1709">
        <v>2542.59</v>
      </c>
    </row>
    <row r="1710" spans="1:6" x14ac:dyDescent="0.35">
      <c r="A1710">
        <v>1265</v>
      </c>
      <c r="B1710" s="4">
        <v>45831.375085336993</v>
      </c>
      <c r="C1710" t="s">
        <v>15</v>
      </c>
      <c r="D1710" t="s">
        <v>18</v>
      </c>
      <c r="E1710" t="s">
        <v>24</v>
      </c>
      <c r="F1710">
        <v>3356.04</v>
      </c>
    </row>
    <row r="1711" spans="1:6" x14ac:dyDescent="0.35">
      <c r="A1711">
        <v>1200</v>
      </c>
      <c r="B1711" s="4">
        <v>45831.375085336993</v>
      </c>
      <c r="C1711" t="s">
        <v>7</v>
      </c>
      <c r="D1711" t="s">
        <v>20</v>
      </c>
      <c r="E1711" t="s">
        <v>24</v>
      </c>
      <c r="F1711">
        <v>5006.32</v>
      </c>
    </row>
    <row r="1712" spans="1:6" x14ac:dyDescent="0.35">
      <c r="A1712">
        <v>1395</v>
      </c>
      <c r="B1712" s="4">
        <v>45832.375085336993</v>
      </c>
      <c r="C1712" t="s">
        <v>12</v>
      </c>
      <c r="D1712" t="s">
        <v>20</v>
      </c>
      <c r="E1712" t="s">
        <v>24</v>
      </c>
      <c r="F1712">
        <v>4170.82</v>
      </c>
    </row>
    <row r="1713" spans="1:6" x14ac:dyDescent="0.35">
      <c r="A1713">
        <v>1038</v>
      </c>
      <c r="B1713" s="4">
        <v>45832.375085336993</v>
      </c>
      <c r="C1713" t="s">
        <v>9</v>
      </c>
      <c r="D1713" t="s">
        <v>22</v>
      </c>
      <c r="E1713" t="s">
        <v>23</v>
      </c>
      <c r="F1713">
        <v>4003.78</v>
      </c>
    </row>
    <row r="1714" spans="1:6" x14ac:dyDescent="0.35">
      <c r="A1714">
        <v>1361</v>
      </c>
      <c r="B1714" s="4">
        <v>45832.375085336993</v>
      </c>
      <c r="C1714" t="s">
        <v>8</v>
      </c>
      <c r="D1714" t="s">
        <v>20</v>
      </c>
      <c r="E1714" t="s">
        <v>23</v>
      </c>
      <c r="F1714">
        <v>4936.62</v>
      </c>
    </row>
    <row r="1715" spans="1:6" x14ac:dyDescent="0.35">
      <c r="A1715">
        <v>1294</v>
      </c>
      <c r="B1715" s="4">
        <v>45832.375085336993</v>
      </c>
      <c r="C1715" t="s">
        <v>6</v>
      </c>
      <c r="D1715" t="s">
        <v>20</v>
      </c>
      <c r="E1715" t="s">
        <v>24</v>
      </c>
      <c r="F1715">
        <v>1279.05</v>
      </c>
    </row>
    <row r="1716" spans="1:6" x14ac:dyDescent="0.35">
      <c r="A1716">
        <v>1253</v>
      </c>
      <c r="B1716" s="4">
        <v>45833.375085336993</v>
      </c>
      <c r="C1716" t="s">
        <v>12</v>
      </c>
      <c r="D1716" t="s">
        <v>18</v>
      </c>
      <c r="E1716" t="s">
        <v>23</v>
      </c>
      <c r="F1716">
        <v>9840.98</v>
      </c>
    </row>
    <row r="1717" spans="1:6" x14ac:dyDescent="0.35">
      <c r="A1717">
        <v>1281</v>
      </c>
      <c r="B1717" s="4">
        <v>45833.375085336993</v>
      </c>
      <c r="C1717" t="s">
        <v>14</v>
      </c>
      <c r="D1717" t="s">
        <v>16</v>
      </c>
      <c r="E1717" t="s">
        <v>25</v>
      </c>
      <c r="F1717">
        <v>1950.92</v>
      </c>
    </row>
    <row r="1718" spans="1:6" x14ac:dyDescent="0.35">
      <c r="A1718">
        <v>1047</v>
      </c>
      <c r="B1718" s="4">
        <v>45833.375085336993</v>
      </c>
      <c r="C1718" t="s">
        <v>10</v>
      </c>
      <c r="D1718" t="s">
        <v>17</v>
      </c>
      <c r="E1718" t="s">
        <v>23</v>
      </c>
      <c r="F1718">
        <v>4522.6099999999997</v>
      </c>
    </row>
    <row r="1719" spans="1:6" x14ac:dyDescent="0.35">
      <c r="A1719">
        <v>1306</v>
      </c>
      <c r="B1719" s="4">
        <v>45833.375085336993</v>
      </c>
      <c r="C1719" t="s">
        <v>12</v>
      </c>
      <c r="D1719" t="s">
        <v>19</v>
      </c>
      <c r="E1719" t="s">
        <v>25</v>
      </c>
      <c r="F1719">
        <v>5706.43</v>
      </c>
    </row>
    <row r="1720" spans="1:6" x14ac:dyDescent="0.35">
      <c r="A1720">
        <v>1213</v>
      </c>
      <c r="B1720" s="4">
        <v>45834.375085336993</v>
      </c>
      <c r="C1720" t="s">
        <v>8</v>
      </c>
      <c r="D1720" t="s">
        <v>22</v>
      </c>
      <c r="E1720" t="s">
        <v>23</v>
      </c>
      <c r="F1720">
        <v>2712.76</v>
      </c>
    </row>
    <row r="1721" spans="1:6" x14ac:dyDescent="0.35">
      <c r="A1721">
        <v>1011</v>
      </c>
      <c r="B1721" s="4">
        <v>45834.375085336993</v>
      </c>
      <c r="C1721" t="s">
        <v>14</v>
      </c>
      <c r="D1721" t="s">
        <v>22</v>
      </c>
      <c r="E1721" t="s">
        <v>24</v>
      </c>
      <c r="F1721">
        <v>4596.6499999999996</v>
      </c>
    </row>
    <row r="1722" spans="1:6" x14ac:dyDescent="0.35">
      <c r="A1722">
        <v>1399</v>
      </c>
      <c r="B1722" s="4">
        <v>45834.375085336993</v>
      </c>
      <c r="C1722" t="s">
        <v>6</v>
      </c>
      <c r="D1722" t="s">
        <v>16</v>
      </c>
      <c r="E1722" t="s">
        <v>24</v>
      </c>
      <c r="F1722">
        <v>5597.63</v>
      </c>
    </row>
    <row r="1723" spans="1:6" x14ac:dyDescent="0.35">
      <c r="A1723">
        <v>1251</v>
      </c>
      <c r="B1723" s="4">
        <v>45834.375085336993</v>
      </c>
      <c r="C1723" t="s">
        <v>9</v>
      </c>
      <c r="D1723" t="s">
        <v>22</v>
      </c>
      <c r="E1723" t="s">
        <v>25</v>
      </c>
      <c r="F1723">
        <v>5170.5200000000004</v>
      </c>
    </row>
    <row r="1724" spans="1:6" x14ac:dyDescent="0.35">
      <c r="A1724">
        <v>1360</v>
      </c>
      <c r="B1724" s="4">
        <v>45834.375085336993</v>
      </c>
      <c r="C1724" t="s">
        <v>8</v>
      </c>
      <c r="D1724" t="s">
        <v>17</v>
      </c>
      <c r="E1724" t="s">
        <v>24</v>
      </c>
      <c r="F1724">
        <v>2299.69</v>
      </c>
    </row>
    <row r="1725" spans="1:6" x14ac:dyDescent="0.35">
      <c r="A1725">
        <v>1169</v>
      </c>
      <c r="B1725" s="4">
        <v>45835.375085336993</v>
      </c>
      <c r="C1725" t="s">
        <v>7</v>
      </c>
      <c r="D1725" t="s">
        <v>16</v>
      </c>
      <c r="E1725" t="s">
        <v>25</v>
      </c>
      <c r="F1725">
        <v>2396.33</v>
      </c>
    </row>
    <row r="1726" spans="1:6" x14ac:dyDescent="0.35">
      <c r="A1726">
        <v>1000</v>
      </c>
      <c r="B1726" s="4">
        <v>45835.375085336993</v>
      </c>
      <c r="C1726" t="s">
        <v>13</v>
      </c>
      <c r="D1726" t="s">
        <v>22</v>
      </c>
      <c r="E1726" t="s">
        <v>23</v>
      </c>
      <c r="F1726">
        <v>4218.3599999999997</v>
      </c>
    </row>
    <row r="1727" spans="1:6" x14ac:dyDescent="0.35">
      <c r="A1727">
        <v>1043</v>
      </c>
      <c r="B1727" s="4">
        <v>45836.375085336993</v>
      </c>
      <c r="C1727" t="s">
        <v>9</v>
      </c>
      <c r="D1727" t="s">
        <v>17</v>
      </c>
      <c r="E1727" t="s">
        <v>24</v>
      </c>
      <c r="F1727">
        <v>2773.89</v>
      </c>
    </row>
    <row r="1728" spans="1:6" x14ac:dyDescent="0.35">
      <c r="A1728">
        <v>1370</v>
      </c>
      <c r="B1728" s="4">
        <v>45836.375085336993</v>
      </c>
      <c r="C1728" t="s">
        <v>12</v>
      </c>
      <c r="D1728" t="s">
        <v>20</v>
      </c>
      <c r="E1728" t="s">
        <v>23</v>
      </c>
      <c r="F1728">
        <v>5481.27</v>
      </c>
    </row>
    <row r="1729" spans="1:6" x14ac:dyDescent="0.35">
      <c r="A1729">
        <v>1325</v>
      </c>
      <c r="B1729" s="4">
        <v>45836.375085336993</v>
      </c>
      <c r="C1729" t="s">
        <v>6</v>
      </c>
      <c r="D1729" t="s">
        <v>17</v>
      </c>
      <c r="E1729" t="s">
        <v>25</v>
      </c>
      <c r="F1729">
        <v>2369.12</v>
      </c>
    </row>
    <row r="1730" spans="1:6" x14ac:dyDescent="0.35">
      <c r="A1730">
        <v>1112</v>
      </c>
      <c r="B1730" s="4">
        <v>45836.375085336993</v>
      </c>
      <c r="C1730" t="s">
        <v>7</v>
      </c>
      <c r="D1730" t="s">
        <v>21</v>
      </c>
      <c r="E1730" t="s">
        <v>25</v>
      </c>
      <c r="F1730">
        <v>1587.12</v>
      </c>
    </row>
    <row r="1731" spans="1:6" x14ac:dyDescent="0.35">
      <c r="A1731">
        <v>1151</v>
      </c>
      <c r="B1731" s="4">
        <v>45836.375085336993</v>
      </c>
      <c r="C1731" t="s">
        <v>8</v>
      </c>
      <c r="D1731" t="s">
        <v>17</v>
      </c>
      <c r="E1731" t="s">
        <v>24</v>
      </c>
      <c r="F1731">
        <v>3139.96</v>
      </c>
    </row>
    <row r="1732" spans="1:6" x14ac:dyDescent="0.35">
      <c r="A1732">
        <v>1181</v>
      </c>
      <c r="B1732" s="4">
        <v>45836.375085336993</v>
      </c>
      <c r="C1732" t="s">
        <v>12</v>
      </c>
      <c r="D1732" t="s">
        <v>20</v>
      </c>
      <c r="E1732" t="s">
        <v>24</v>
      </c>
      <c r="F1732">
        <v>2940.2</v>
      </c>
    </row>
    <row r="1733" spans="1:6" x14ac:dyDescent="0.35">
      <c r="A1733">
        <v>1241</v>
      </c>
      <c r="B1733" s="4">
        <v>45837.375085336993</v>
      </c>
      <c r="C1733" t="s">
        <v>12</v>
      </c>
      <c r="D1733" t="s">
        <v>22</v>
      </c>
      <c r="E1733" t="s">
        <v>23</v>
      </c>
      <c r="F1733">
        <v>2019.21</v>
      </c>
    </row>
    <row r="1734" spans="1:6" x14ac:dyDescent="0.35">
      <c r="A1734">
        <v>1236</v>
      </c>
      <c r="B1734" s="4">
        <v>45837.375085336993</v>
      </c>
      <c r="C1734" t="s">
        <v>10</v>
      </c>
      <c r="D1734" t="s">
        <v>17</v>
      </c>
      <c r="E1734" t="s">
        <v>25</v>
      </c>
      <c r="F1734">
        <v>1534.56</v>
      </c>
    </row>
    <row r="1735" spans="1:6" x14ac:dyDescent="0.35">
      <c r="A1735">
        <v>1263</v>
      </c>
      <c r="B1735" s="4">
        <v>45837.375085336993</v>
      </c>
      <c r="C1735" t="s">
        <v>15</v>
      </c>
      <c r="D1735" t="s">
        <v>22</v>
      </c>
      <c r="E1735" t="s">
        <v>25</v>
      </c>
      <c r="F1735">
        <v>1609.88</v>
      </c>
    </row>
    <row r="1736" spans="1:6" x14ac:dyDescent="0.35">
      <c r="A1736">
        <v>1343</v>
      </c>
      <c r="B1736" s="4">
        <v>45837.375085336993</v>
      </c>
      <c r="C1736" t="s">
        <v>10</v>
      </c>
      <c r="D1736" t="s">
        <v>16</v>
      </c>
      <c r="E1736" t="s">
        <v>25</v>
      </c>
      <c r="F1736">
        <v>7563.36</v>
      </c>
    </row>
    <row r="1737" spans="1:6" x14ac:dyDescent="0.35">
      <c r="A1737">
        <v>1341</v>
      </c>
      <c r="B1737" s="4">
        <v>45838.375085336993</v>
      </c>
      <c r="C1737" t="s">
        <v>9</v>
      </c>
      <c r="D1737" t="s">
        <v>18</v>
      </c>
      <c r="E1737" t="s">
        <v>25</v>
      </c>
      <c r="F1737">
        <v>1764.01</v>
      </c>
    </row>
    <row r="1738" spans="1:6" x14ac:dyDescent="0.35">
      <c r="A1738">
        <v>1032</v>
      </c>
      <c r="B1738" s="4">
        <v>45838.375085336993</v>
      </c>
      <c r="C1738" t="s">
        <v>8</v>
      </c>
      <c r="D1738" t="s">
        <v>22</v>
      </c>
      <c r="E1738" t="s">
        <v>23</v>
      </c>
      <c r="F1738">
        <v>7592.99</v>
      </c>
    </row>
    <row r="1739" spans="1:6" x14ac:dyDescent="0.35">
      <c r="A1739">
        <v>1287</v>
      </c>
      <c r="B1739" s="4">
        <v>45838.375085336993</v>
      </c>
      <c r="C1739" t="s">
        <v>12</v>
      </c>
      <c r="D1739" t="s">
        <v>21</v>
      </c>
      <c r="E1739" t="s">
        <v>23</v>
      </c>
      <c r="F1739">
        <v>9488.91</v>
      </c>
    </row>
    <row r="1740" spans="1:6" x14ac:dyDescent="0.35">
      <c r="A1740">
        <v>1334</v>
      </c>
      <c r="B1740" s="4">
        <v>45838.375085336993</v>
      </c>
      <c r="C1740" t="s">
        <v>15</v>
      </c>
      <c r="D1740" t="s">
        <v>19</v>
      </c>
      <c r="E1740" t="s">
        <v>25</v>
      </c>
      <c r="F1740">
        <v>1884.18</v>
      </c>
    </row>
    <row r="1741" spans="1:6" x14ac:dyDescent="0.35">
      <c r="A1741">
        <v>1317</v>
      </c>
      <c r="B1741" s="4">
        <v>45839.375085336993</v>
      </c>
      <c r="C1741" t="s">
        <v>11</v>
      </c>
      <c r="D1741" t="s">
        <v>21</v>
      </c>
      <c r="E1741" t="s">
        <v>23</v>
      </c>
      <c r="F1741">
        <v>4326.58</v>
      </c>
    </row>
    <row r="1742" spans="1:6" x14ac:dyDescent="0.35">
      <c r="A1742">
        <v>1236</v>
      </c>
      <c r="B1742" s="4">
        <v>45839.375085336993</v>
      </c>
      <c r="C1742" t="s">
        <v>10</v>
      </c>
      <c r="D1742" t="s">
        <v>16</v>
      </c>
      <c r="E1742" t="s">
        <v>25</v>
      </c>
      <c r="F1742">
        <v>2861.46</v>
      </c>
    </row>
    <row r="1743" spans="1:6" x14ac:dyDescent="0.35">
      <c r="A1743">
        <v>1063</v>
      </c>
      <c r="B1743" s="4">
        <v>45839.375085336993</v>
      </c>
      <c r="C1743" t="s">
        <v>15</v>
      </c>
      <c r="D1743" t="s">
        <v>19</v>
      </c>
      <c r="E1743" t="s">
        <v>23</v>
      </c>
      <c r="F1743">
        <v>11151.92</v>
      </c>
    </row>
    <row r="1744" spans="1:6" x14ac:dyDescent="0.35">
      <c r="A1744">
        <v>1283</v>
      </c>
      <c r="B1744" s="4">
        <v>45839.375085336993</v>
      </c>
      <c r="C1744" t="s">
        <v>13</v>
      </c>
      <c r="D1744" t="s">
        <v>16</v>
      </c>
      <c r="E1744" t="s">
        <v>24</v>
      </c>
      <c r="F1744">
        <v>8101.75</v>
      </c>
    </row>
    <row r="1745" spans="1:6" x14ac:dyDescent="0.35">
      <c r="A1745">
        <v>1001</v>
      </c>
      <c r="B1745" s="4">
        <v>45839.375085336993</v>
      </c>
      <c r="C1745" t="s">
        <v>14</v>
      </c>
      <c r="D1745" t="s">
        <v>20</v>
      </c>
      <c r="E1745" t="s">
        <v>25</v>
      </c>
      <c r="F1745">
        <v>3204.11</v>
      </c>
    </row>
    <row r="1746" spans="1:6" x14ac:dyDescent="0.35">
      <c r="A1746">
        <v>1075</v>
      </c>
      <c r="B1746" s="4">
        <v>45839.375085336993</v>
      </c>
      <c r="C1746" t="s">
        <v>10</v>
      </c>
      <c r="D1746" t="s">
        <v>21</v>
      </c>
      <c r="E1746" t="s">
        <v>24</v>
      </c>
      <c r="F1746">
        <v>4250.22</v>
      </c>
    </row>
    <row r="1747" spans="1:6" x14ac:dyDescent="0.35">
      <c r="A1747">
        <v>1065</v>
      </c>
      <c r="B1747" s="4">
        <v>45840.375085336993</v>
      </c>
      <c r="C1747" t="s">
        <v>14</v>
      </c>
      <c r="D1747" t="s">
        <v>19</v>
      </c>
      <c r="E1747" t="s">
        <v>23</v>
      </c>
      <c r="F1747">
        <v>564.65</v>
      </c>
    </row>
    <row r="1748" spans="1:6" x14ac:dyDescent="0.35">
      <c r="A1748">
        <v>1144</v>
      </c>
      <c r="B1748" s="4">
        <v>45840.375085336993</v>
      </c>
      <c r="C1748" t="s">
        <v>10</v>
      </c>
      <c r="D1748" t="s">
        <v>19</v>
      </c>
      <c r="E1748" t="s">
        <v>25</v>
      </c>
      <c r="F1748">
        <v>1082.83</v>
      </c>
    </row>
    <row r="1749" spans="1:6" x14ac:dyDescent="0.35">
      <c r="A1749">
        <v>1148</v>
      </c>
      <c r="B1749" s="4">
        <v>45840.375085336993</v>
      </c>
      <c r="C1749" t="s">
        <v>10</v>
      </c>
      <c r="D1749" t="s">
        <v>22</v>
      </c>
      <c r="E1749" t="s">
        <v>25</v>
      </c>
      <c r="F1749">
        <v>10097.129999999999</v>
      </c>
    </row>
    <row r="1750" spans="1:6" x14ac:dyDescent="0.35">
      <c r="A1750">
        <v>1277</v>
      </c>
      <c r="B1750" s="4">
        <v>45841.375085336993</v>
      </c>
      <c r="C1750" t="s">
        <v>10</v>
      </c>
      <c r="D1750" t="s">
        <v>21</v>
      </c>
      <c r="E1750" t="s">
        <v>23</v>
      </c>
      <c r="F1750">
        <v>387.1</v>
      </c>
    </row>
    <row r="1751" spans="1:6" x14ac:dyDescent="0.35">
      <c r="A1751">
        <v>1260</v>
      </c>
      <c r="B1751" s="4">
        <v>45841.375085336993</v>
      </c>
      <c r="C1751" t="s">
        <v>6</v>
      </c>
      <c r="D1751" t="s">
        <v>17</v>
      </c>
      <c r="E1751" t="s">
        <v>23</v>
      </c>
      <c r="F1751">
        <v>3196.11</v>
      </c>
    </row>
    <row r="1752" spans="1:6" x14ac:dyDescent="0.35">
      <c r="A1752">
        <v>1294</v>
      </c>
      <c r="B1752" s="4">
        <v>45841.375085336993</v>
      </c>
      <c r="C1752" t="s">
        <v>15</v>
      </c>
      <c r="D1752" t="s">
        <v>18</v>
      </c>
      <c r="E1752" t="s">
        <v>24</v>
      </c>
      <c r="F1752">
        <v>469.68</v>
      </c>
    </row>
    <row r="1753" spans="1:6" x14ac:dyDescent="0.35">
      <c r="A1753">
        <v>1112</v>
      </c>
      <c r="B1753" s="4">
        <v>45841.375085336993</v>
      </c>
      <c r="C1753" t="s">
        <v>10</v>
      </c>
      <c r="D1753" t="s">
        <v>18</v>
      </c>
      <c r="E1753" t="s">
        <v>25</v>
      </c>
      <c r="F1753">
        <v>6906.44</v>
      </c>
    </row>
    <row r="1754" spans="1:6" x14ac:dyDescent="0.35">
      <c r="A1754">
        <v>1272</v>
      </c>
      <c r="B1754" s="4">
        <v>45842.375085336993</v>
      </c>
      <c r="C1754" t="s">
        <v>6</v>
      </c>
      <c r="D1754" t="s">
        <v>18</v>
      </c>
      <c r="E1754" t="s">
        <v>25</v>
      </c>
      <c r="F1754">
        <v>12225.4</v>
      </c>
    </row>
    <row r="1755" spans="1:6" x14ac:dyDescent="0.35">
      <c r="A1755">
        <v>1296</v>
      </c>
      <c r="B1755" s="4">
        <v>45842.375085336993</v>
      </c>
      <c r="C1755" t="s">
        <v>12</v>
      </c>
      <c r="D1755" t="s">
        <v>16</v>
      </c>
      <c r="E1755" t="s">
        <v>25</v>
      </c>
      <c r="F1755">
        <v>6982.38</v>
      </c>
    </row>
    <row r="1756" spans="1:6" x14ac:dyDescent="0.35">
      <c r="A1756">
        <v>1113</v>
      </c>
      <c r="B1756" s="4">
        <v>45842.375085336993</v>
      </c>
      <c r="C1756" t="s">
        <v>13</v>
      </c>
      <c r="D1756" t="s">
        <v>16</v>
      </c>
      <c r="E1756" t="s">
        <v>23</v>
      </c>
      <c r="F1756">
        <v>1119.45</v>
      </c>
    </row>
    <row r="1757" spans="1:6" x14ac:dyDescent="0.35">
      <c r="A1757">
        <v>1011</v>
      </c>
      <c r="B1757" s="4">
        <v>45843.375085336993</v>
      </c>
      <c r="C1757" t="s">
        <v>10</v>
      </c>
      <c r="D1757" t="s">
        <v>19</v>
      </c>
      <c r="E1757" t="s">
        <v>25</v>
      </c>
      <c r="F1757">
        <v>3060.51</v>
      </c>
    </row>
    <row r="1758" spans="1:6" x14ac:dyDescent="0.35">
      <c r="A1758">
        <v>1333</v>
      </c>
      <c r="B1758" s="4">
        <v>45843.375085336993</v>
      </c>
      <c r="C1758" t="s">
        <v>12</v>
      </c>
      <c r="D1758" t="s">
        <v>16</v>
      </c>
      <c r="E1758" t="s">
        <v>23</v>
      </c>
      <c r="F1758">
        <v>3179.84</v>
      </c>
    </row>
    <row r="1759" spans="1:6" x14ac:dyDescent="0.35">
      <c r="A1759">
        <v>1181</v>
      </c>
      <c r="B1759" s="4">
        <v>45843.375085336993</v>
      </c>
      <c r="C1759" t="s">
        <v>13</v>
      </c>
      <c r="D1759" t="s">
        <v>16</v>
      </c>
      <c r="E1759" t="s">
        <v>24</v>
      </c>
      <c r="F1759">
        <v>5754.8</v>
      </c>
    </row>
    <row r="1760" spans="1:6" x14ac:dyDescent="0.35">
      <c r="A1760">
        <v>1100</v>
      </c>
      <c r="B1760" s="4">
        <v>45843.375085336993</v>
      </c>
      <c r="C1760" t="s">
        <v>13</v>
      </c>
      <c r="D1760" t="s">
        <v>17</v>
      </c>
      <c r="E1760" t="s">
        <v>25</v>
      </c>
      <c r="F1760">
        <v>6264.73</v>
      </c>
    </row>
    <row r="1761" spans="1:6" x14ac:dyDescent="0.35">
      <c r="A1761">
        <v>1182</v>
      </c>
      <c r="B1761" s="4">
        <v>45843.375085336993</v>
      </c>
      <c r="C1761" t="s">
        <v>9</v>
      </c>
      <c r="D1761" t="s">
        <v>20</v>
      </c>
      <c r="E1761" t="s">
        <v>23</v>
      </c>
      <c r="F1761">
        <v>398.56</v>
      </c>
    </row>
    <row r="1762" spans="1:6" x14ac:dyDescent="0.35">
      <c r="A1762">
        <v>1041</v>
      </c>
      <c r="B1762" s="4">
        <v>45843.375085336993</v>
      </c>
      <c r="C1762" t="s">
        <v>7</v>
      </c>
      <c r="D1762" t="s">
        <v>20</v>
      </c>
      <c r="E1762" t="s">
        <v>23</v>
      </c>
      <c r="F1762">
        <v>5711.32</v>
      </c>
    </row>
    <row r="1763" spans="1:6" x14ac:dyDescent="0.35">
      <c r="A1763">
        <v>1041</v>
      </c>
      <c r="B1763" s="4">
        <v>45843.375085336993</v>
      </c>
      <c r="C1763" t="s">
        <v>10</v>
      </c>
      <c r="D1763" t="s">
        <v>20</v>
      </c>
      <c r="E1763" t="s">
        <v>23</v>
      </c>
      <c r="F1763">
        <v>3186.6</v>
      </c>
    </row>
    <row r="1764" spans="1:6" x14ac:dyDescent="0.35">
      <c r="A1764">
        <v>1324</v>
      </c>
      <c r="B1764" s="4">
        <v>45844.375085336993</v>
      </c>
      <c r="C1764" t="s">
        <v>11</v>
      </c>
      <c r="D1764" t="s">
        <v>17</v>
      </c>
      <c r="E1764" t="s">
        <v>24</v>
      </c>
      <c r="F1764">
        <v>6930.13</v>
      </c>
    </row>
    <row r="1765" spans="1:6" x14ac:dyDescent="0.35">
      <c r="A1765">
        <v>1390</v>
      </c>
      <c r="B1765" s="4">
        <v>45844.375085336993</v>
      </c>
      <c r="C1765" t="s">
        <v>15</v>
      </c>
      <c r="D1765" t="s">
        <v>19</v>
      </c>
      <c r="E1765" t="s">
        <v>23</v>
      </c>
      <c r="F1765">
        <v>1710.75</v>
      </c>
    </row>
    <row r="1766" spans="1:6" x14ac:dyDescent="0.35">
      <c r="A1766">
        <v>1159</v>
      </c>
      <c r="B1766" s="4">
        <v>45844.375085336993</v>
      </c>
      <c r="C1766" t="s">
        <v>6</v>
      </c>
      <c r="D1766" t="s">
        <v>19</v>
      </c>
      <c r="E1766" t="s">
        <v>25</v>
      </c>
      <c r="F1766">
        <v>5930.43</v>
      </c>
    </row>
    <row r="1767" spans="1:6" x14ac:dyDescent="0.35">
      <c r="A1767">
        <v>1132</v>
      </c>
      <c r="B1767" s="4">
        <v>45844.375085336993</v>
      </c>
      <c r="C1767" t="s">
        <v>13</v>
      </c>
      <c r="D1767" t="s">
        <v>16</v>
      </c>
      <c r="E1767" t="s">
        <v>25</v>
      </c>
      <c r="F1767">
        <v>1787.15</v>
      </c>
    </row>
    <row r="1768" spans="1:6" x14ac:dyDescent="0.35">
      <c r="A1768">
        <v>1330</v>
      </c>
      <c r="B1768" s="4">
        <v>45844.375085336993</v>
      </c>
      <c r="C1768" t="s">
        <v>8</v>
      </c>
      <c r="D1768" t="s">
        <v>22</v>
      </c>
      <c r="E1768" t="s">
        <v>25</v>
      </c>
      <c r="F1768">
        <v>182.44</v>
      </c>
    </row>
    <row r="1769" spans="1:6" x14ac:dyDescent="0.35">
      <c r="A1769">
        <v>1214</v>
      </c>
      <c r="B1769" s="4">
        <v>45845.375085336993</v>
      </c>
      <c r="C1769" t="s">
        <v>8</v>
      </c>
      <c r="D1769" t="s">
        <v>16</v>
      </c>
      <c r="E1769" t="s">
        <v>23</v>
      </c>
      <c r="F1769">
        <v>3436.87</v>
      </c>
    </row>
    <row r="1770" spans="1:6" x14ac:dyDescent="0.35">
      <c r="A1770">
        <v>1338</v>
      </c>
      <c r="B1770" s="4">
        <v>45845.375085336993</v>
      </c>
      <c r="C1770" t="s">
        <v>11</v>
      </c>
      <c r="D1770" t="s">
        <v>19</v>
      </c>
      <c r="E1770" t="s">
        <v>24</v>
      </c>
      <c r="F1770">
        <v>4676.57</v>
      </c>
    </row>
    <row r="1771" spans="1:6" x14ac:dyDescent="0.35">
      <c r="A1771">
        <v>1132</v>
      </c>
      <c r="B1771" s="4">
        <v>45846.375085336993</v>
      </c>
      <c r="C1771" t="s">
        <v>11</v>
      </c>
      <c r="D1771" t="s">
        <v>17</v>
      </c>
      <c r="E1771" t="s">
        <v>23</v>
      </c>
      <c r="F1771">
        <v>5088.78</v>
      </c>
    </row>
    <row r="1772" spans="1:6" x14ac:dyDescent="0.35">
      <c r="A1772">
        <v>1289</v>
      </c>
      <c r="B1772" s="4">
        <v>45846.375085336993</v>
      </c>
      <c r="C1772" t="s">
        <v>8</v>
      </c>
      <c r="D1772" t="s">
        <v>19</v>
      </c>
      <c r="E1772" t="s">
        <v>23</v>
      </c>
      <c r="F1772">
        <v>8639.23</v>
      </c>
    </row>
    <row r="1773" spans="1:6" x14ac:dyDescent="0.35">
      <c r="A1773">
        <v>1128</v>
      </c>
      <c r="B1773" s="4">
        <v>45846.375085336993</v>
      </c>
      <c r="C1773" t="s">
        <v>12</v>
      </c>
      <c r="D1773" t="s">
        <v>17</v>
      </c>
      <c r="E1773" t="s">
        <v>25</v>
      </c>
      <c r="F1773">
        <v>657.21</v>
      </c>
    </row>
    <row r="1774" spans="1:6" x14ac:dyDescent="0.35">
      <c r="A1774">
        <v>1074</v>
      </c>
      <c r="B1774" s="4">
        <v>45846.375085336993</v>
      </c>
      <c r="C1774" t="s">
        <v>6</v>
      </c>
      <c r="D1774" t="s">
        <v>17</v>
      </c>
      <c r="E1774" t="s">
        <v>24</v>
      </c>
      <c r="F1774">
        <v>2497.08</v>
      </c>
    </row>
    <row r="1775" spans="1:6" x14ac:dyDescent="0.35">
      <c r="A1775">
        <v>1223</v>
      </c>
      <c r="B1775" s="4">
        <v>45846.375085336993</v>
      </c>
      <c r="C1775" t="s">
        <v>13</v>
      </c>
      <c r="D1775" t="s">
        <v>19</v>
      </c>
      <c r="E1775" t="s">
        <v>25</v>
      </c>
      <c r="F1775">
        <v>2593.31</v>
      </c>
    </row>
    <row r="1776" spans="1:6" x14ac:dyDescent="0.35">
      <c r="A1776">
        <v>1319</v>
      </c>
      <c r="B1776" s="4">
        <v>45846.375085336993</v>
      </c>
      <c r="C1776" t="s">
        <v>15</v>
      </c>
      <c r="D1776" t="s">
        <v>22</v>
      </c>
      <c r="E1776" t="s">
        <v>24</v>
      </c>
      <c r="F1776">
        <v>1510.54</v>
      </c>
    </row>
    <row r="1777" spans="1:6" x14ac:dyDescent="0.35">
      <c r="A1777">
        <v>1352</v>
      </c>
      <c r="B1777" s="4">
        <v>45847.375085336993</v>
      </c>
      <c r="C1777" t="s">
        <v>11</v>
      </c>
      <c r="D1777" t="s">
        <v>20</v>
      </c>
      <c r="E1777" t="s">
        <v>24</v>
      </c>
      <c r="F1777">
        <v>1528.62</v>
      </c>
    </row>
    <row r="1778" spans="1:6" x14ac:dyDescent="0.35">
      <c r="A1778">
        <v>1374</v>
      </c>
      <c r="B1778" s="4">
        <v>45847.375085336993</v>
      </c>
      <c r="C1778" t="s">
        <v>10</v>
      </c>
      <c r="D1778" t="s">
        <v>18</v>
      </c>
      <c r="E1778" t="s">
        <v>23</v>
      </c>
      <c r="F1778">
        <v>5557.03</v>
      </c>
    </row>
    <row r="1779" spans="1:6" x14ac:dyDescent="0.35">
      <c r="A1779">
        <v>1185</v>
      </c>
      <c r="B1779" s="4">
        <v>45847.375085336993</v>
      </c>
      <c r="C1779" t="s">
        <v>13</v>
      </c>
      <c r="D1779" t="s">
        <v>22</v>
      </c>
      <c r="E1779" t="s">
        <v>23</v>
      </c>
      <c r="F1779">
        <v>8698.84</v>
      </c>
    </row>
    <row r="1780" spans="1:6" x14ac:dyDescent="0.35">
      <c r="A1780">
        <v>1004</v>
      </c>
      <c r="B1780" s="4">
        <v>45848.375085336993</v>
      </c>
      <c r="C1780" t="s">
        <v>8</v>
      </c>
      <c r="D1780" t="s">
        <v>18</v>
      </c>
      <c r="E1780" t="s">
        <v>24</v>
      </c>
      <c r="F1780">
        <v>4440.6499999999996</v>
      </c>
    </row>
    <row r="1781" spans="1:6" x14ac:dyDescent="0.35">
      <c r="A1781">
        <v>1335</v>
      </c>
      <c r="B1781" s="4">
        <v>45848.375085336993</v>
      </c>
      <c r="C1781" t="s">
        <v>9</v>
      </c>
      <c r="D1781" t="s">
        <v>16</v>
      </c>
      <c r="E1781" t="s">
        <v>25</v>
      </c>
      <c r="F1781">
        <v>2929.13</v>
      </c>
    </row>
    <row r="1782" spans="1:6" x14ac:dyDescent="0.35">
      <c r="A1782">
        <v>1384</v>
      </c>
      <c r="B1782" s="4">
        <v>45848.375085336993</v>
      </c>
      <c r="C1782" t="s">
        <v>6</v>
      </c>
      <c r="D1782" t="s">
        <v>20</v>
      </c>
      <c r="E1782" t="s">
        <v>25</v>
      </c>
      <c r="F1782">
        <v>4083.8</v>
      </c>
    </row>
    <row r="1783" spans="1:6" x14ac:dyDescent="0.35">
      <c r="A1783">
        <v>1252</v>
      </c>
      <c r="B1783" s="4">
        <v>45848.375085336993</v>
      </c>
      <c r="C1783" t="s">
        <v>14</v>
      </c>
      <c r="D1783" t="s">
        <v>19</v>
      </c>
      <c r="E1783" t="s">
        <v>23</v>
      </c>
      <c r="F1783">
        <v>2749.07</v>
      </c>
    </row>
    <row r="1784" spans="1:6" x14ac:dyDescent="0.35">
      <c r="A1784">
        <v>1003</v>
      </c>
      <c r="B1784" s="4">
        <v>45848.375085336993</v>
      </c>
      <c r="C1784" t="s">
        <v>10</v>
      </c>
      <c r="D1784" t="s">
        <v>22</v>
      </c>
      <c r="E1784" t="s">
        <v>23</v>
      </c>
      <c r="F1784">
        <v>5017.75</v>
      </c>
    </row>
    <row r="1785" spans="1:6" x14ac:dyDescent="0.35">
      <c r="A1785">
        <v>1292</v>
      </c>
      <c r="B1785" s="4">
        <v>45848.375085336993</v>
      </c>
      <c r="C1785" t="s">
        <v>6</v>
      </c>
      <c r="D1785" t="s">
        <v>20</v>
      </c>
      <c r="E1785" t="s">
        <v>23</v>
      </c>
      <c r="F1785">
        <v>1210.04</v>
      </c>
    </row>
    <row r="1786" spans="1:6" x14ac:dyDescent="0.35">
      <c r="A1786">
        <v>1225</v>
      </c>
      <c r="B1786" s="4">
        <v>45848.375085336993</v>
      </c>
      <c r="C1786" t="s">
        <v>8</v>
      </c>
      <c r="D1786" t="s">
        <v>19</v>
      </c>
      <c r="E1786" t="s">
        <v>23</v>
      </c>
      <c r="F1786">
        <v>8503.15</v>
      </c>
    </row>
    <row r="1787" spans="1:6" x14ac:dyDescent="0.35">
      <c r="A1787">
        <v>1317</v>
      </c>
      <c r="B1787" s="4">
        <v>45849.375085336993</v>
      </c>
      <c r="C1787" t="s">
        <v>13</v>
      </c>
      <c r="D1787" t="s">
        <v>18</v>
      </c>
      <c r="E1787" t="s">
        <v>24</v>
      </c>
      <c r="F1787">
        <v>4509.7299999999996</v>
      </c>
    </row>
    <row r="1788" spans="1:6" x14ac:dyDescent="0.35">
      <c r="A1788">
        <v>1116</v>
      </c>
      <c r="B1788" s="4">
        <v>45849.375085336993</v>
      </c>
      <c r="C1788" t="s">
        <v>14</v>
      </c>
      <c r="D1788" t="s">
        <v>20</v>
      </c>
      <c r="E1788" t="s">
        <v>25</v>
      </c>
      <c r="F1788">
        <v>1383.56</v>
      </c>
    </row>
    <row r="1789" spans="1:6" x14ac:dyDescent="0.35">
      <c r="A1789">
        <v>1143</v>
      </c>
      <c r="B1789" s="4">
        <v>45849.375085336993</v>
      </c>
      <c r="C1789" t="s">
        <v>11</v>
      </c>
      <c r="D1789" t="s">
        <v>22</v>
      </c>
      <c r="E1789" t="s">
        <v>24</v>
      </c>
      <c r="F1789">
        <v>3039.75</v>
      </c>
    </row>
    <row r="1790" spans="1:6" x14ac:dyDescent="0.35">
      <c r="A1790">
        <v>1039</v>
      </c>
      <c r="B1790" s="4">
        <v>45850.375085336993</v>
      </c>
      <c r="C1790" t="s">
        <v>9</v>
      </c>
      <c r="D1790" t="s">
        <v>17</v>
      </c>
      <c r="E1790" t="s">
        <v>25</v>
      </c>
      <c r="F1790">
        <v>2201.0700000000002</v>
      </c>
    </row>
    <row r="1791" spans="1:6" x14ac:dyDescent="0.35">
      <c r="A1791">
        <v>1172</v>
      </c>
      <c r="B1791" s="4">
        <v>45850.375085336993</v>
      </c>
      <c r="C1791" t="s">
        <v>11</v>
      </c>
      <c r="D1791" t="s">
        <v>21</v>
      </c>
      <c r="E1791" t="s">
        <v>23</v>
      </c>
      <c r="F1791">
        <v>3029.6</v>
      </c>
    </row>
    <row r="1792" spans="1:6" x14ac:dyDescent="0.35">
      <c r="A1792">
        <v>1165</v>
      </c>
      <c r="B1792" s="4">
        <v>45850.375085336993</v>
      </c>
      <c r="C1792" t="s">
        <v>9</v>
      </c>
      <c r="D1792" t="s">
        <v>20</v>
      </c>
      <c r="E1792" t="s">
        <v>25</v>
      </c>
      <c r="F1792">
        <v>3819.14</v>
      </c>
    </row>
    <row r="1793" spans="1:6" x14ac:dyDescent="0.35">
      <c r="A1793">
        <v>1061</v>
      </c>
      <c r="B1793" s="4">
        <v>45850.375085336993</v>
      </c>
      <c r="C1793" t="s">
        <v>15</v>
      </c>
      <c r="D1793" t="s">
        <v>18</v>
      </c>
      <c r="E1793" t="s">
        <v>24</v>
      </c>
      <c r="F1793">
        <v>1981.19</v>
      </c>
    </row>
    <row r="1794" spans="1:6" x14ac:dyDescent="0.35">
      <c r="A1794">
        <v>1062</v>
      </c>
      <c r="B1794" s="4">
        <v>45850.375085336993</v>
      </c>
      <c r="C1794" t="s">
        <v>12</v>
      </c>
      <c r="D1794" t="s">
        <v>16</v>
      </c>
      <c r="E1794" t="s">
        <v>24</v>
      </c>
      <c r="F1794">
        <v>1325.69</v>
      </c>
    </row>
    <row r="1795" spans="1:6" x14ac:dyDescent="0.35">
      <c r="A1795">
        <v>1095</v>
      </c>
      <c r="B1795" s="4">
        <v>45850.375085336993</v>
      </c>
      <c r="C1795" t="s">
        <v>12</v>
      </c>
      <c r="D1795" t="s">
        <v>20</v>
      </c>
      <c r="E1795" t="s">
        <v>25</v>
      </c>
      <c r="F1795">
        <v>9878.0400000000009</v>
      </c>
    </row>
    <row r="1796" spans="1:6" x14ac:dyDescent="0.35">
      <c r="A1796">
        <v>1256</v>
      </c>
      <c r="B1796" s="4">
        <v>45850.375085336993</v>
      </c>
      <c r="C1796" t="s">
        <v>8</v>
      </c>
      <c r="D1796" t="s">
        <v>22</v>
      </c>
      <c r="E1796" t="s">
        <v>25</v>
      </c>
      <c r="F1796">
        <v>1925.29</v>
      </c>
    </row>
    <row r="1797" spans="1:6" x14ac:dyDescent="0.35">
      <c r="A1797">
        <v>1041</v>
      </c>
      <c r="B1797" s="4">
        <v>45851.375085336993</v>
      </c>
      <c r="C1797" t="s">
        <v>12</v>
      </c>
      <c r="D1797" t="s">
        <v>18</v>
      </c>
      <c r="E1797" t="s">
        <v>23</v>
      </c>
      <c r="F1797">
        <v>5935.78</v>
      </c>
    </row>
    <row r="1798" spans="1:6" x14ac:dyDescent="0.35">
      <c r="A1798">
        <v>1011</v>
      </c>
      <c r="B1798" s="4">
        <v>45851.375085336993</v>
      </c>
      <c r="C1798" t="s">
        <v>10</v>
      </c>
      <c r="D1798" t="s">
        <v>18</v>
      </c>
      <c r="E1798" t="s">
        <v>23</v>
      </c>
      <c r="F1798">
        <v>3167.24</v>
      </c>
    </row>
    <row r="1799" spans="1:6" x14ac:dyDescent="0.35">
      <c r="A1799">
        <v>1018</v>
      </c>
      <c r="B1799" s="4">
        <v>45851.375085336993</v>
      </c>
      <c r="C1799" t="s">
        <v>9</v>
      </c>
      <c r="D1799" t="s">
        <v>17</v>
      </c>
      <c r="E1799" t="s">
        <v>23</v>
      </c>
      <c r="F1799">
        <v>4961.1000000000004</v>
      </c>
    </row>
    <row r="1800" spans="1:6" x14ac:dyDescent="0.35">
      <c r="A1800">
        <v>1110</v>
      </c>
      <c r="B1800" s="4">
        <v>45851.375085336993</v>
      </c>
      <c r="C1800" t="s">
        <v>10</v>
      </c>
      <c r="D1800" t="s">
        <v>19</v>
      </c>
      <c r="E1800" t="s">
        <v>23</v>
      </c>
      <c r="F1800">
        <v>2741.87</v>
      </c>
    </row>
    <row r="1801" spans="1:6" x14ac:dyDescent="0.35">
      <c r="A1801">
        <v>1260</v>
      </c>
      <c r="B1801" s="4">
        <v>45851.375085336993</v>
      </c>
      <c r="C1801" t="s">
        <v>7</v>
      </c>
      <c r="D1801" t="s">
        <v>19</v>
      </c>
      <c r="E1801" t="s">
        <v>25</v>
      </c>
      <c r="F1801">
        <v>4804.5</v>
      </c>
    </row>
    <row r="1802" spans="1:6" x14ac:dyDescent="0.35">
      <c r="A1802">
        <v>1108</v>
      </c>
      <c r="B1802" s="4">
        <v>45852.375085336993</v>
      </c>
      <c r="C1802" t="s">
        <v>9</v>
      </c>
      <c r="D1802" t="s">
        <v>18</v>
      </c>
      <c r="E1802" t="s">
        <v>25</v>
      </c>
      <c r="F1802">
        <v>4554.03</v>
      </c>
    </row>
    <row r="1803" spans="1:6" x14ac:dyDescent="0.35">
      <c r="A1803">
        <v>1302</v>
      </c>
      <c r="B1803" s="4">
        <v>45852.375085336993</v>
      </c>
      <c r="C1803" t="s">
        <v>15</v>
      </c>
      <c r="D1803" t="s">
        <v>21</v>
      </c>
      <c r="E1803" t="s">
        <v>25</v>
      </c>
      <c r="F1803">
        <v>2964.81</v>
      </c>
    </row>
    <row r="1804" spans="1:6" x14ac:dyDescent="0.35">
      <c r="A1804">
        <v>1171</v>
      </c>
      <c r="B1804" s="4">
        <v>45852.375085336993</v>
      </c>
      <c r="C1804" t="s">
        <v>6</v>
      </c>
      <c r="D1804" t="s">
        <v>16</v>
      </c>
      <c r="E1804" t="s">
        <v>25</v>
      </c>
      <c r="F1804">
        <v>4999.1899999999996</v>
      </c>
    </row>
    <row r="1805" spans="1:6" x14ac:dyDescent="0.35">
      <c r="A1805">
        <v>1084</v>
      </c>
      <c r="B1805" s="4">
        <v>45852.375085336993</v>
      </c>
      <c r="C1805" t="s">
        <v>12</v>
      </c>
      <c r="D1805" t="s">
        <v>20</v>
      </c>
      <c r="E1805" t="s">
        <v>23</v>
      </c>
      <c r="F1805">
        <v>6245.59</v>
      </c>
    </row>
    <row r="1806" spans="1:6" x14ac:dyDescent="0.35">
      <c r="A1806">
        <v>1009</v>
      </c>
      <c r="B1806" s="4">
        <v>45853.375085336993</v>
      </c>
      <c r="C1806" t="s">
        <v>11</v>
      </c>
      <c r="D1806" t="s">
        <v>22</v>
      </c>
      <c r="E1806" t="s">
        <v>23</v>
      </c>
      <c r="F1806">
        <v>4411.34</v>
      </c>
    </row>
    <row r="1807" spans="1:6" x14ac:dyDescent="0.35">
      <c r="A1807">
        <v>1282</v>
      </c>
      <c r="B1807" s="4">
        <v>45853.375085336993</v>
      </c>
      <c r="C1807" t="s">
        <v>7</v>
      </c>
      <c r="D1807" t="s">
        <v>18</v>
      </c>
      <c r="E1807" t="s">
        <v>24</v>
      </c>
      <c r="F1807">
        <v>4228.91</v>
      </c>
    </row>
    <row r="1808" spans="1:6" x14ac:dyDescent="0.35">
      <c r="A1808">
        <v>1013</v>
      </c>
      <c r="B1808" s="4">
        <v>45853.375085336993</v>
      </c>
      <c r="C1808" t="s">
        <v>14</v>
      </c>
      <c r="D1808" t="s">
        <v>21</v>
      </c>
      <c r="E1808" t="s">
        <v>24</v>
      </c>
      <c r="F1808">
        <v>1649.13</v>
      </c>
    </row>
    <row r="1809" spans="1:6" x14ac:dyDescent="0.35">
      <c r="A1809">
        <v>1246</v>
      </c>
      <c r="B1809" s="4">
        <v>45854.375085336993</v>
      </c>
      <c r="C1809" t="s">
        <v>15</v>
      </c>
      <c r="D1809" t="s">
        <v>18</v>
      </c>
      <c r="E1809" t="s">
        <v>24</v>
      </c>
      <c r="F1809">
        <v>2433.84</v>
      </c>
    </row>
    <row r="1810" spans="1:6" x14ac:dyDescent="0.35">
      <c r="A1810">
        <v>1203</v>
      </c>
      <c r="B1810" s="4">
        <v>45854.375085336993</v>
      </c>
      <c r="C1810" t="s">
        <v>10</v>
      </c>
      <c r="D1810" t="s">
        <v>18</v>
      </c>
      <c r="E1810" t="s">
        <v>25</v>
      </c>
      <c r="F1810">
        <v>5725.7</v>
      </c>
    </row>
    <row r="1811" spans="1:6" x14ac:dyDescent="0.35">
      <c r="A1811">
        <v>1238</v>
      </c>
      <c r="B1811" s="4">
        <v>45854.375085336993</v>
      </c>
      <c r="C1811" t="s">
        <v>7</v>
      </c>
      <c r="D1811" t="s">
        <v>16</v>
      </c>
      <c r="E1811" t="s">
        <v>25</v>
      </c>
      <c r="F1811">
        <v>2460.94</v>
      </c>
    </row>
    <row r="1812" spans="1:6" x14ac:dyDescent="0.35">
      <c r="A1812">
        <v>1024</v>
      </c>
      <c r="B1812" s="4">
        <v>45854.375085336993</v>
      </c>
      <c r="C1812" t="s">
        <v>11</v>
      </c>
      <c r="D1812" t="s">
        <v>22</v>
      </c>
      <c r="E1812" t="s">
        <v>23</v>
      </c>
      <c r="F1812">
        <v>7549.67</v>
      </c>
    </row>
    <row r="1813" spans="1:6" x14ac:dyDescent="0.35">
      <c r="A1813">
        <v>1159</v>
      </c>
      <c r="B1813" s="4">
        <v>45855.375085336993</v>
      </c>
      <c r="C1813" t="s">
        <v>9</v>
      </c>
      <c r="D1813" t="s">
        <v>17</v>
      </c>
      <c r="E1813" t="s">
        <v>24</v>
      </c>
      <c r="F1813">
        <v>1631.3</v>
      </c>
    </row>
    <row r="1814" spans="1:6" x14ac:dyDescent="0.35">
      <c r="A1814">
        <v>1239</v>
      </c>
      <c r="B1814" s="4">
        <v>45855.375085336993</v>
      </c>
      <c r="C1814" t="s">
        <v>8</v>
      </c>
      <c r="D1814" t="s">
        <v>19</v>
      </c>
      <c r="E1814" t="s">
        <v>25</v>
      </c>
      <c r="F1814">
        <v>6716.57</v>
      </c>
    </row>
    <row r="1815" spans="1:6" x14ac:dyDescent="0.35">
      <c r="A1815">
        <v>1223</v>
      </c>
      <c r="B1815" s="4">
        <v>45855.375085336993</v>
      </c>
      <c r="C1815" t="s">
        <v>15</v>
      </c>
      <c r="D1815" t="s">
        <v>19</v>
      </c>
      <c r="E1815" t="s">
        <v>24</v>
      </c>
      <c r="F1815">
        <v>5317.25</v>
      </c>
    </row>
    <row r="1816" spans="1:6" x14ac:dyDescent="0.35">
      <c r="A1816">
        <v>1329</v>
      </c>
      <c r="B1816" s="4">
        <v>45855.375085336993</v>
      </c>
      <c r="C1816" t="s">
        <v>6</v>
      </c>
      <c r="D1816" t="s">
        <v>21</v>
      </c>
      <c r="E1816" t="s">
        <v>23</v>
      </c>
      <c r="F1816">
        <v>5449.65</v>
      </c>
    </row>
    <row r="1817" spans="1:6" x14ac:dyDescent="0.35">
      <c r="A1817">
        <v>1252</v>
      </c>
      <c r="B1817" s="4">
        <v>45855.375085336993</v>
      </c>
      <c r="C1817" t="s">
        <v>13</v>
      </c>
      <c r="D1817" t="s">
        <v>21</v>
      </c>
      <c r="E1817" t="s">
        <v>23</v>
      </c>
      <c r="F1817">
        <v>2507.89</v>
      </c>
    </row>
    <row r="1818" spans="1:6" x14ac:dyDescent="0.35">
      <c r="A1818">
        <v>1337</v>
      </c>
      <c r="B1818" s="4">
        <v>45855.375085336993</v>
      </c>
      <c r="C1818" t="s">
        <v>8</v>
      </c>
      <c r="D1818" t="s">
        <v>21</v>
      </c>
      <c r="E1818" t="s">
        <v>25</v>
      </c>
      <c r="F1818">
        <v>7048.7</v>
      </c>
    </row>
    <row r="1819" spans="1:6" x14ac:dyDescent="0.35">
      <c r="A1819">
        <v>1016</v>
      </c>
      <c r="B1819" s="4">
        <v>45855.375085336993</v>
      </c>
      <c r="C1819" t="s">
        <v>8</v>
      </c>
      <c r="D1819" t="s">
        <v>22</v>
      </c>
      <c r="E1819" t="s">
        <v>25</v>
      </c>
      <c r="F1819">
        <v>3418.79</v>
      </c>
    </row>
    <row r="1820" spans="1:6" x14ac:dyDescent="0.35">
      <c r="A1820">
        <v>1069</v>
      </c>
      <c r="B1820" s="4">
        <v>45855.375085336993</v>
      </c>
      <c r="C1820" t="s">
        <v>15</v>
      </c>
      <c r="D1820" t="s">
        <v>22</v>
      </c>
      <c r="E1820" t="s">
        <v>23</v>
      </c>
      <c r="F1820">
        <v>6001.53</v>
      </c>
    </row>
    <row r="1821" spans="1:6" x14ac:dyDescent="0.35">
      <c r="A1821">
        <v>1010</v>
      </c>
      <c r="B1821" s="4">
        <v>45856.375085336993</v>
      </c>
      <c r="C1821" t="s">
        <v>13</v>
      </c>
      <c r="D1821" t="s">
        <v>19</v>
      </c>
      <c r="E1821" t="s">
        <v>25</v>
      </c>
      <c r="F1821">
        <v>1511</v>
      </c>
    </row>
    <row r="1822" spans="1:6" x14ac:dyDescent="0.35">
      <c r="A1822">
        <v>1256</v>
      </c>
      <c r="B1822" s="4">
        <v>45856.375085336993</v>
      </c>
      <c r="C1822" t="s">
        <v>11</v>
      </c>
      <c r="D1822" t="s">
        <v>17</v>
      </c>
      <c r="E1822" t="s">
        <v>25</v>
      </c>
      <c r="F1822">
        <v>9146.5499999999993</v>
      </c>
    </row>
    <row r="1823" spans="1:6" x14ac:dyDescent="0.35">
      <c r="A1823">
        <v>1216</v>
      </c>
      <c r="B1823" s="4">
        <v>45856.375085336993</v>
      </c>
      <c r="C1823" t="s">
        <v>7</v>
      </c>
      <c r="D1823" t="s">
        <v>21</v>
      </c>
      <c r="E1823" t="s">
        <v>25</v>
      </c>
      <c r="F1823">
        <v>2140.42</v>
      </c>
    </row>
    <row r="1824" spans="1:6" x14ac:dyDescent="0.35">
      <c r="A1824">
        <v>1029</v>
      </c>
      <c r="B1824" s="4">
        <v>45856.375085336993</v>
      </c>
      <c r="C1824" t="s">
        <v>10</v>
      </c>
      <c r="D1824" t="s">
        <v>17</v>
      </c>
      <c r="E1824" t="s">
        <v>23</v>
      </c>
      <c r="F1824">
        <v>3629.12</v>
      </c>
    </row>
    <row r="1825" spans="1:6" x14ac:dyDescent="0.35">
      <c r="A1825">
        <v>1038</v>
      </c>
      <c r="B1825" s="4">
        <v>45856.375085336993</v>
      </c>
      <c r="C1825" t="s">
        <v>10</v>
      </c>
      <c r="D1825" t="s">
        <v>17</v>
      </c>
      <c r="E1825" t="s">
        <v>23</v>
      </c>
      <c r="F1825">
        <v>5789.22</v>
      </c>
    </row>
    <row r="1826" spans="1:6" x14ac:dyDescent="0.35">
      <c r="A1826">
        <v>1323</v>
      </c>
      <c r="B1826" s="4">
        <v>45856.375085336993</v>
      </c>
      <c r="C1826" t="s">
        <v>6</v>
      </c>
      <c r="D1826" t="s">
        <v>18</v>
      </c>
      <c r="E1826" t="s">
        <v>23</v>
      </c>
      <c r="F1826">
        <v>1800.28</v>
      </c>
    </row>
    <row r="1827" spans="1:6" x14ac:dyDescent="0.35">
      <c r="A1827">
        <v>1158</v>
      </c>
      <c r="B1827" s="4">
        <v>45856.375085336993</v>
      </c>
      <c r="C1827" t="s">
        <v>7</v>
      </c>
      <c r="D1827" t="s">
        <v>19</v>
      </c>
      <c r="E1827" t="s">
        <v>25</v>
      </c>
      <c r="F1827">
        <v>2328.25</v>
      </c>
    </row>
    <row r="1828" spans="1:6" x14ac:dyDescent="0.35">
      <c r="A1828">
        <v>1060</v>
      </c>
      <c r="B1828" s="4">
        <v>45857.375085336993</v>
      </c>
      <c r="C1828" t="s">
        <v>14</v>
      </c>
      <c r="D1828" t="s">
        <v>17</v>
      </c>
      <c r="E1828" t="s">
        <v>23</v>
      </c>
      <c r="F1828">
        <v>7001.8</v>
      </c>
    </row>
    <row r="1829" spans="1:6" x14ac:dyDescent="0.35">
      <c r="A1829">
        <v>1311</v>
      </c>
      <c r="B1829" s="4">
        <v>45857.375085336993</v>
      </c>
      <c r="C1829" t="s">
        <v>12</v>
      </c>
      <c r="D1829" t="s">
        <v>17</v>
      </c>
      <c r="E1829" t="s">
        <v>25</v>
      </c>
      <c r="F1829">
        <v>12680.37</v>
      </c>
    </row>
    <row r="1830" spans="1:6" x14ac:dyDescent="0.35">
      <c r="A1830">
        <v>1033</v>
      </c>
      <c r="B1830" s="4">
        <v>45857.375085336993</v>
      </c>
      <c r="C1830" t="s">
        <v>9</v>
      </c>
      <c r="D1830" t="s">
        <v>18</v>
      </c>
      <c r="E1830" t="s">
        <v>24</v>
      </c>
      <c r="F1830">
        <v>2955.44</v>
      </c>
    </row>
    <row r="1831" spans="1:6" x14ac:dyDescent="0.35">
      <c r="A1831">
        <v>1375</v>
      </c>
      <c r="B1831" s="4">
        <v>45857.375085336993</v>
      </c>
      <c r="C1831" t="s">
        <v>6</v>
      </c>
      <c r="D1831" t="s">
        <v>16</v>
      </c>
      <c r="E1831" t="s">
        <v>24</v>
      </c>
      <c r="F1831">
        <v>1002.82</v>
      </c>
    </row>
    <row r="1832" spans="1:6" x14ac:dyDescent="0.35">
      <c r="A1832">
        <v>1060</v>
      </c>
      <c r="B1832" s="4">
        <v>45857.375085336993</v>
      </c>
      <c r="C1832" t="s">
        <v>10</v>
      </c>
      <c r="D1832" t="s">
        <v>16</v>
      </c>
      <c r="E1832" t="s">
        <v>24</v>
      </c>
      <c r="F1832">
        <v>5666.85</v>
      </c>
    </row>
    <row r="1833" spans="1:6" x14ac:dyDescent="0.35">
      <c r="A1833">
        <v>1192</v>
      </c>
      <c r="B1833" s="4">
        <v>45857.375085336993</v>
      </c>
      <c r="C1833" t="s">
        <v>15</v>
      </c>
      <c r="D1833" t="s">
        <v>17</v>
      </c>
      <c r="E1833" t="s">
        <v>23</v>
      </c>
      <c r="F1833">
        <v>3279.65</v>
      </c>
    </row>
    <row r="1834" spans="1:6" x14ac:dyDescent="0.35">
      <c r="A1834">
        <v>1231</v>
      </c>
      <c r="B1834" s="4">
        <v>45857.375085336993</v>
      </c>
      <c r="C1834" t="s">
        <v>6</v>
      </c>
      <c r="D1834" t="s">
        <v>17</v>
      </c>
      <c r="E1834" t="s">
        <v>25</v>
      </c>
      <c r="F1834">
        <v>3973.62</v>
      </c>
    </row>
    <row r="1835" spans="1:6" x14ac:dyDescent="0.35">
      <c r="A1835">
        <v>1244</v>
      </c>
      <c r="B1835" s="4">
        <v>45858.375085336993</v>
      </c>
      <c r="C1835" t="s">
        <v>10</v>
      </c>
      <c r="D1835" t="s">
        <v>16</v>
      </c>
      <c r="E1835" t="s">
        <v>24</v>
      </c>
      <c r="F1835">
        <v>3525.66</v>
      </c>
    </row>
    <row r="1836" spans="1:6" x14ac:dyDescent="0.35">
      <c r="A1836">
        <v>1335</v>
      </c>
      <c r="B1836" s="4">
        <v>45858.375085336993</v>
      </c>
      <c r="C1836" t="s">
        <v>15</v>
      </c>
      <c r="D1836" t="s">
        <v>16</v>
      </c>
      <c r="E1836" t="s">
        <v>25</v>
      </c>
      <c r="F1836">
        <v>3816.23</v>
      </c>
    </row>
    <row r="1837" spans="1:6" x14ac:dyDescent="0.35">
      <c r="A1837">
        <v>1197</v>
      </c>
      <c r="B1837" s="4">
        <v>45858.375085336993</v>
      </c>
      <c r="C1837" t="s">
        <v>12</v>
      </c>
      <c r="D1837" t="s">
        <v>19</v>
      </c>
      <c r="E1837" t="s">
        <v>24</v>
      </c>
      <c r="F1837">
        <v>6852.07</v>
      </c>
    </row>
    <row r="1838" spans="1:6" x14ac:dyDescent="0.35">
      <c r="A1838">
        <v>1202</v>
      </c>
      <c r="B1838" s="4">
        <v>45858.375085336993</v>
      </c>
      <c r="C1838" t="s">
        <v>7</v>
      </c>
      <c r="D1838" t="s">
        <v>18</v>
      </c>
      <c r="E1838" t="s">
        <v>23</v>
      </c>
      <c r="F1838">
        <v>1309.97</v>
      </c>
    </row>
    <row r="1839" spans="1:6" x14ac:dyDescent="0.35">
      <c r="A1839">
        <v>1218</v>
      </c>
      <c r="B1839" s="4">
        <v>45858.375085336993</v>
      </c>
      <c r="C1839" t="s">
        <v>7</v>
      </c>
      <c r="D1839" t="s">
        <v>21</v>
      </c>
      <c r="E1839" t="s">
        <v>23</v>
      </c>
      <c r="F1839">
        <v>4968.55</v>
      </c>
    </row>
    <row r="1840" spans="1:6" x14ac:dyDescent="0.35">
      <c r="A1840">
        <v>1303</v>
      </c>
      <c r="B1840" s="4">
        <v>45859.375085336993</v>
      </c>
      <c r="C1840" t="s">
        <v>10</v>
      </c>
      <c r="D1840" t="s">
        <v>20</v>
      </c>
      <c r="E1840" t="s">
        <v>25</v>
      </c>
      <c r="F1840">
        <v>2098.36</v>
      </c>
    </row>
    <row r="1841" spans="1:6" x14ac:dyDescent="0.35">
      <c r="A1841">
        <v>1104</v>
      </c>
      <c r="B1841" s="4">
        <v>45859.375085336993</v>
      </c>
      <c r="C1841" t="s">
        <v>14</v>
      </c>
      <c r="D1841" t="s">
        <v>18</v>
      </c>
      <c r="E1841" t="s">
        <v>24</v>
      </c>
      <c r="F1841">
        <v>185.74</v>
      </c>
    </row>
    <row r="1842" spans="1:6" x14ac:dyDescent="0.35">
      <c r="A1842">
        <v>1217</v>
      </c>
      <c r="B1842" s="4">
        <v>45859.375085336993</v>
      </c>
      <c r="C1842" t="s">
        <v>11</v>
      </c>
      <c r="D1842" t="s">
        <v>22</v>
      </c>
      <c r="E1842" t="s">
        <v>25</v>
      </c>
      <c r="F1842">
        <v>1831.8</v>
      </c>
    </row>
    <row r="1843" spans="1:6" x14ac:dyDescent="0.35">
      <c r="A1843">
        <v>1138</v>
      </c>
      <c r="B1843" s="4">
        <v>45859.375085336993</v>
      </c>
      <c r="C1843" t="s">
        <v>15</v>
      </c>
      <c r="D1843" t="s">
        <v>21</v>
      </c>
      <c r="E1843" t="s">
        <v>25</v>
      </c>
      <c r="F1843">
        <v>4333</v>
      </c>
    </row>
    <row r="1844" spans="1:6" x14ac:dyDescent="0.35">
      <c r="A1844">
        <v>1230</v>
      </c>
      <c r="B1844" s="4">
        <v>45860.375085336993</v>
      </c>
      <c r="C1844" t="s">
        <v>15</v>
      </c>
      <c r="D1844" t="s">
        <v>18</v>
      </c>
      <c r="E1844" t="s">
        <v>25</v>
      </c>
      <c r="F1844">
        <v>4162.91</v>
      </c>
    </row>
    <row r="1845" spans="1:6" x14ac:dyDescent="0.35">
      <c r="A1845">
        <v>1143</v>
      </c>
      <c r="B1845" s="4">
        <v>45860.375085336993</v>
      </c>
      <c r="C1845" t="s">
        <v>10</v>
      </c>
      <c r="D1845" t="s">
        <v>19</v>
      </c>
      <c r="E1845" t="s">
        <v>25</v>
      </c>
      <c r="F1845">
        <v>2569.33</v>
      </c>
    </row>
    <row r="1846" spans="1:6" x14ac:dyDescent="0.35">
      <c r="A1846">
        <v>1149</v>
      </c>
      <c r="B1846" s="4">
        <v>45860.375085336993</v>
      </c>
      <c r="C1846" t="s">
        <v>11</v>
      </c>
      <c r="D1846" t="s">
        <v>22</v>
      </c>
      <c r="E1846" t="s">
        <v>25</v>
      </c>
      <c r="F1846">
        <v>3526.67</v>
      </c>
    </row>
    <row r="1847" spans="1:6" x14ac:dyDescent="0.35">
      <c r="A1847">
        <v>1036</v>
      </c>
      <c r="B1847" s="4">
        <v>45860.375085336993</v>
      </c>
      <c r="C1847" t="s">
        <v>14</v>
      </c>
      <c r="D1847" t="s">
        <v>18</v>
      </c>
      <c r="E1847" t="s">
        <v>25</v>
      </c>
      <c r="F1847">
        <v>3586.85</v>
      </c>
    </row>
    <row r="1848" spans="1:6" x14ac:dyDescent="0.35">
      <c r="A1848">
        <v>1393</v>
      </c>
      <c r="B1848" s="4">
        <v>45861.375085336993</v>
      </c>
      <c r="C1848" t="s">
        <v>11</v>
      </c>
      <c r="D1848" t="s">
        <v>19</v>
      </c>
      <c r="E1848" t="s">
        <v>24</v>
      </c>
      <c r="F1848">
        <v>2579.38</v>
      </c>
    </row>
    <row r="1849" spans="1:6" x14ac:dyDescent="0.35">
      <c r="A1849">
        <v>1160</v>
      </c>
      <c r="B1849" s="4">
        <v>45861.375085336993</v>
      </c>
      <c r="C1849" t="s">
        <v>7</v>
      </c>
      <c r="D1849" t="s">
        <v>20</v>
      </c>
      <c r="E1849" t="s">
        <v>25</v>
      </c>
      <c r="F1849">
        <v>3887.68</v>
      </c>
    </row>
    <row r="1850" spans="1:6" x14ac:dyDescent="0.35">
      <c r="A1850">
        <v>1212</v>
      </c>
      <c r="B1850" s="4">
        <v>45861.375085336993</v>
      </c>
      <c r="C1850" t="s">
        <v>14</v>
      </c>
      <c r="D1850" t="s">
        <v>18</v>
      </c>
      <c r="E1850" t="s">
        <v>23</v>
      </c>
      <c r="F1850">
        <v>1173.73</v>
      </c>
    </row>
    <row r="1851" spans="1:6" x14ac:dyDescent="0.35">
      <c r="A1851">
        <v>1028</v>
      </c>
      <c r="B1851" s="4">
        <v>45861.375085336993</v>
      </c>
      <c r="C1851" t="s">
        <v>12</v>
      </c>
      <c r="D1851" t="s">
        <v>22</v>
      </c>
      <c r="E1851" t="s">
        <v>23</v>
      </c>
      <c r="F1851">
        <v>9491.35</v>
      </c>
    </row>
    <row r="1852" spans="1:6" x14ac:dyDescent="0.35">
      <c r="A1852">
        <v>1335</v>
      </c>
      <c r="B1852" s="4">
        <v>45861.375085336993</v>
      </c>
      <c r="C1852" t="s">
        <v>15</v>
      </c>
      <c r="D1852" t="s">
        <v>21</v>
      </c>
      <c r="E1852" t="s">
        <v>24</v>
      </c>
      <c r="F1852">
        <v>4380.7700000000004</v>
      </c>
    </row>
    <row r="1853" spans="1:6" x14ac:dyDescent="0.35">
      <c r="A1853">
        <v>1127</v>
      </c>
      <c r="B1853" s="4">
        <v>45862.375085336993</v>
      </c>
      <c r="C1853" t="s">
        <v>14</v>
      </c>
      <c r="D1853" t="s">
        <v>16</v>
      </c>
      <c r="E1853" t="s">
        <v>25</v>
      </c>
      <c r="F1853">
        <v>1612.73</v>
      </c>
    </row>
    <row r="1854" spans="1:6" x14ac:dyDescent="0.35">
      <c r="A1854">
        <v>1007</v>
      </c>
      <c r="B1854" s="4">
        <v>45862.375085336993</v>
      </c>
      <c r="C1854" t="s">
        <v>9</v>
      </c>
      <c r="D1854" t="s">
        <v>22</v>
      </c>
      <c r="E1854" t="s">
        <v>25</v>
      </c>
      <c r="F1854">
        <v>9647.2900000000009</v>
      </c>
    </row>
    <row r="1855" spans="1:6" x14ac:dyDescent="0.35">
      <c r="A1855">
        <v>1232</v>
      </c>
      <c r="B1855" s="4">
        <v>45862.375085336993</v>
      </c>
      <c r="C1855" t="s">
        <v>12</v>
      </c>
      <c r="D1855" t="s">
        <v>16</v>
      </c>
      <c r="E1855" t="s">
        <v>25</v>
      </c>
      <c r="F1855">
        <v>3780.88</v>
      </c>
    </row>
    <row r="1856" spans="1:6" x14ac:dyDescent="0.35">
      <c r="A1856">
        <v>1292</v>
      </c>
      <c r="B1856" s="4">
        <v>45862.375085336993</v>
      </c>
      <c r="C1856" t="s">
        <v>6</v>
      </c>
      <c r="D1856" t="s">
        <v>19</v>
      </c>
      <c r="E1856" t="s">
        <v>25</v>
      </c>
      <c r="F1856">
        <v>709.44</v>
      </c>
    </row>
    <row r="1857" spans="1:6" x14ac:dyDescent="0.35">
      <c r="A1857">
        <v>1313</v>
      </c>
      <c r="B1857" s="4">
        <v>45862.375085336993</v>
      </c>
      <c r="C1857" t="s">
        <v>10</v>
      </c>
      <c r="D1857" t="s">
        <v>20</v>
      </c>
      <c r="E1857" t="s">
        <v>25</v>
      </c>
      <c r="F1857">
        <v>1117.81</v>
      </c>
    </row>
    <row r="1858" spans="1:6" x14ac:dyDescent="0.35">
      <c r="A1858">
        <v>1212</v>
      </c>
      <c r="B1858" s="4">
        <v>45863.375085336993</v>
      </c>
      <c r="C1858" t="s">
        <v>13</v>
      </c>
      <c r="D1858" t="s">
        <v>21</v>
      </c>
      <c r="E1858" t="s">
        <v>23</v>
      </c>
      <c r="F1858">
        <v>4376.3</v>
      </c>
    </row>
    <row r="1859" spans="1:6" x14ac:dyDescent="0.35">
      <c r="A1859">
        <v>1063</v>
      </c>
      <c r="B1859" s="4">
        <v>45863.375085336993</v>
      </c>
      <c r="C1859" t="s">
        <v>14</v>
      </c>
      <c r="D1859" t="s">
        <v>19</v>
      </c>
      <c r="E1859" t="s">
        <v>25</v>
      </c>
      <c r="F1859">
        <v>2311.17</v>
      </c>
    </row>
    <row r="1860" spans="1:6" x14ac:dyDescent="0.35">
      <c r="A1860">
        <v>1129</v>
      </c>
      <c r="B1860" s="4">
        <v>45863.375085336993</v>
      </c>
      <c r="C1860" t="s">
        <v>11</v>
      </c>
      <c r="D1860" t="s">
        <v>20</v>
      </c>
      <c r="E1860" t="s">
        <v>24</v>
      </c>
      <c r="F1860">
        <v>3719.33</v>
      </c>
    </row>
    <row r="1861" spans="1:6" x14ac:dyDescent="0.35">
      <c r="A1861">
        <v>1092</v>
      </c>
      <c r="B1861" s="4">
        <v>45863.375085336993</v>
      </c>
      <c r="C1861" t="s">
        <v>11</v>
      </c>
      <c r="D1861" t="s">
        <v>20</v>
      </c>
      <c r="E1861" t="s">
        <v>24</v>
      </c>
      <c r="F1861">
        <v>2841.01</v>
      </c>
    </row>
    <row r="1862" spans="1:6" x14ac:dyDescent="0.35">
      <c r="A1862">
        <v>1159</v>
      </c>
      <c r="B1862" s="4">
        <v>45864.375085336993</v>
      </c>
      <c r="C1862" t="s">
        <v>11</v>
      </c>
      <c r="D1862" t="s">
        <v>19</v>
      </c>
      <c r="E1862" t="s">
        <v>23</v>
      </c>
      <c r="F1862">
        <v>1952.85</v>
      </c>
    </row>
    <row r="1863" spans="1:6" x14ac:dyDescent="0.35">
      <c r="A1863">
        <v>1393</v>
      </c>
      <c r="B1863" s="4">
        <v>45864.375085336993</v>
      </c>
      <c r="C1863" t="s">
        <v>14</v>
      </c>
      <c r="D1863" t="s">
        <v>21</v>
      </c>
      <c r="E1863" t="s">
        <v>25</v>
      </c>
      <c r="F1863">
        <v>7956.77</v>
      </c>
    </row>
    <row r="1864" spans="1:6" x14ac:dyDescent="0.35">
      <c r="A1864">
        <v>1019</v>
      </c>
      <c r="B1864" s="4">
        <v>45864.375085336993</v>
      </c>
      <c r="C1864" t="s">
        <v>15</v>
      </c>
      <c r="D1864" t="s">
        <v>17</v>
      </c>
      <c r="E1864" t="s">
        <v>25</v>
      </c>
      <c r="F1864">
        <v>5711.89</v>
      </c>
    </row>
    <row r="1865" spans="1:6" x14ac:dyDescent="0.35">
      <c r="A1865">
        <v>1022</v>
      </c>
      <c r="B1865" s="4">
        <v>45864.375085336993</v>
      </c>
      <c r="C1865" t="s">
        <v>13</v>
      </c>
      <c r="D1865" t="s">
        <v>21</v>
      </c>
      <c r="E1865" t="s">
        <v>25</v>
      </c>
      <c r="F1865">
        <v>378.07</v>
      </c>
    </row>
    <row r="1866" spans="1:6" x14ac:dyDescent="0.35">
      <c r="A1866">
        <v>1160</v>
      </c>
      <c r="B1866" s="4">
        <v>45865.375085336993</v>
      </c>
      <c r="C1866" t="s">
        <v>12</v>
      </c>
      <c r="D1866" t="s">
        <v>22</v>
      </c>
      <c r="E1866" t="s">
        <v>24</v>
      </c>
      <c r="F1866">
        <v>2085.14</v>
      </c>
    </row>
    <row r="1867" spans="1:6" x14ac:dyDescent="0.35">
      <c r="A1867">
        <v>1282</v>
      </c>
      <c r="B1867" s="4">
        <v>45865.375085336993</v>
      </c>
      <c r="C1867" t="s">
        <v>11</v>
      </c>
      <c r="D1867" t="s">
        <v>19</v>
      </c>
      <c r="E1867" t="s">
        <v>24</v>
      </c>
      <c r="F1867">
        <v>3618.17</v>
      </c>
    </row>
    <row r="1868" spans="1:6" x14ac:dyDescent="0.35">
      <c r="A1868">
        <v>1310</v>
      </c>
      <c r="B1868" s="4">
        <v>45865.375085336993</v>
      </c>
      <c r="C1868" t="s">
        <v>8</v>
      </c>
      <c r="D1868" t="s">
        <v>16</v>
      </c>
      <c r="E1868" t="s">
        <v>24</v>
      </c>
      <c r="F1868">
        <v>4798.12</v>
      </c>
    </row>
    <row r="1869" spans="1:6" x14ac:dyDescent="0.35">
      <c r="A1869">
        <v>1285</v>
      </c>
      <c r="B1869" s="4">
        <v>45866.375085336993</v>
      </c>
      <c r="C1869" t="s">
        <v>15</v>
      </c>
      <c r="D1869" t="s">
        <v>17</v>
      </c>
      <c r="E1869" t="s">
        <v>25</v>
      </c>
      <c r="F1869">
        <v>3123.05</v>
      </c>
    </row>
    <row r="1870" spans="1:6" x14ac:dyDescent="0.35">
      <c r="A1870">
        <v>1170</v>
      </c>
      <c r="B1870" s="4">
        <v>45866.375085336993</v>
      </c>
      <c r="C1870" t="s">
        <v>10</v>
      </c>
      <c r="D1870" t="s">
        <v>22</v>
      </c>
      <c r="E1870" t="s">
        <v>25</v>
      </c>
      <c r="F1870">
        <v>1256.69</v>
      </c>
    </row>
    <row r="1871" spans="1:6" x14ac:dyDescent="0.35">
      <c r="A1871">
        <v>1140</v>
      </c>
      <c r="B1871" s="4">
        <v>45867.375085336993</v>
      </c>
      <c r="C1871" t="s">
        <v>15</v>
      </c>
      <c r="D1871" t="s">
        <v>22</v>
      </c>
      <c r="E1871" t="s">
        <v>24</v>
      </c>
      <c r="F1871">
        <v>6896.04</v>
      </c>
    </row>
    <row r="1872" spans="1:6" x14ac:dyDescent="0.35">
      <c r="A1872">
        <v>1227</v>
      </c>
      <c r="B1872" s="4">
        <v>45867.375085336993</v>
      </c>
      <c r="C1872" t="s">
        <v>13</v>
      </c>
      <c r="D1872" t="s">
        <v>20</v>
      </c>
      <c r="E1872" t="s">
        <v>25</v>
      </c>
      <c r="F1872">
        <v>275.81</v>
      </c>
    </row>
    <row r="1873" spans="1:6" x14ac:dyDescent="0.35">
      <c r="A1873">
        <v>1385</v>
      </c>
      <c r="B1873" s="4">
        <v>45867.375085336993</v>
      </c>
      <c r="C1873" t="s">
        <v>11</v>
      </c>
      <c r="D1873" t="s">
        <v>17</v>
      </c>
      <c r="E1873" t="s">
        <v>25</v>
      </c>
      <c r="F1873">
        <v>6328.4</v>
      </c>
    </row>
    <row r="1874" spans="1:6" x14ac:dyDescent="0.35">
      <c r="A1874">
        <v>1281</v>
      </c>
      <c r="B1874" s="4">
        <v>45868.375085336993</v>
      </c>
      <c r="C1874" t="s">
        <v>13</v>
      </c>
      <c r="D1874" t="s">
        <v>16</v>
      </c>
      <c r="E1874" t="s">
        <v>25</v>
      </c>
      <c r="F1874">
        <v>6058.71</v>
      </c>
    </row>
    <row r="1875" spans="1:6" x14ac:dyDescent="0.35">
      <c r="A1875">
        <v>1148</v>
      </c>
      <c r="B1875" s="4">
        <v>45869.375085336993</v>
      </c>
      <c r="C1875" t="s">
        <v>7</v>
      </c>
      <c r="D1875" t="s">
        <v>20</v>
      </c>
      <c r="E1875" t="s">
        <v>25</v>
      </c>
      <c r="F1875">
        <v>10505.17</v>
      </c>
    </row>
    <row r="1876" spans="1:6" x14ac:dyDescent="0.35">
      <c r="A1876">
        <v>1226</v>
      </c>
      <c r="B1876" s="4">
        <v>45869.375085336993</v>
      </c>
      <c r="C1876" t="s">
        <v>13</v>
      </c>
      <c r="D1876" t="s">
        <v>22</v>
      </c>
      <c r="E1876" t="s">
        <v>24</v>
      </c>
      <c r="F1876">
        <v>5275.89</v>
      </c>
    </row>
    <row r="1877" spans="1:6" x14ac:dyDescent="0.35">
      <c r="A1877">
        <v>1334</v>
      </c>
      <c r="B1877" s="4">
        <v>45870.375085336993</v>
      </c>
      <c r="C1877" t="s">
        <v>14</v>
      </c>
      <c r="D1877" t="s">
        <v>20</v>
      </c>
      <c r="E1877" t="s">
        <v>24</v>
      </c>
      <c r="F1877">
        <v>1161.1400000000001</v>
      </c>
    </row>
    <row r="1878" spans="1:6" x14ac:dyDescent="0.35">
      <c r="A1878">
        <v>1187</v>
      </c>
      <c r="B1878" s="4">
        <v>45870.375085336993</v>
      </c>
      <c r="C1878" t="s">
        <v>14</v>
      </c>
      <c r="D1878" t="s">
        <v>19</v>
      </c>
      <c r="E1878" t="s">
        <v>24</v>
      </c>
      <c r="F1878">
        <v>616.21</v>
      </c>
    </row>
    <row r="1879" spans="1:6" x14ac:dyDescent="0.35">
      <c r="A1879">
        <v>1341</v>
      </c>
      <c r="B1879" s="4">
        <v>45870.375085336993</v>
      </c>
      <c r="C1879" t="s">
        <v>10</v>
      </c>
      <c r="D1879" t="s">
        <v>20</v>
      </c>
      <c r="E1879" t="s">
        <v>23</v>
      </c>
      <c r="F1879">
        <v>4584.1499999999996</v>
      </c>
    </row>
    <row r="1880" spans="1:6" x14ac:dyDescent="0.35">
      <c r="A1880">
        <v>1223</v>
      </c>
      <c r="B1880" s="4">
        <v>45870.375085336993</v>
      </c>
      <c r="C1880" t="s">
        <v>7</v>
      </c>
      <c r="D1880" t="s">
        <v>17</v>
      </c>
      <c r="E1880" t="s">
        <v>24</v>
      </c>
      <c r="F1880">
        <v>2217.3000000000002</v>
      </c>
    </row>
    <row r="1881" spans="1:6" x14ac:dyDescent="0.35">
      <c r="A1881">
        <v>1045</v>
      </c>
      <c r="B1881" s="4">
        <v>45870.375085336993</v>
      </c>
      <c r="C1881" t="s">
        <v>6</v>
      </c>
      <c r="D1881" t="s">
        <v>19</v>
      </c>
      <c r="E1881" t="s">
        <v>23</v>
      </c>
      <c r="F1881">
        <v>1133.24</v>
      </c>
    </row>
    <row r="1882" spans="1:6" x14ac:dyDescent="0.35">
      <c r="A1882">
        <v>1184</v>
      </c>
      <c r="B1882" s="4">
        <v>45870.375085336993</v>
      </c>
      <c r="C1882" t="s">
        <v>11</v>
      </c>
      <c r="D1882" t="s">
        <v>17</v>
      </c>
      <c r="E1882" t="s">
        <v>24</v>
      </c>
      <c r="F1882">
        <v>2283.7199999999998</v>
      </c>
    </row>
    <row r="1883" spans="1:6" x14ac:dyDescent="0.35">
      <c r="A1883">
        <v>1121</v>
      </c>
      <c r="B1883" s="4">
        <v>45871.375085336993</v>
      </c>
      <c r="C1883" t="s">
        <v>10</v>
      </c>
      <c r="D1883" t="s">
        <v>20</v>
      </c>
      <c r="E1883" t="s">
        <v>24</v>
      </c>
      <c r="F1883">
        <v>485.28</v>
      </c>
    </row>
    <row r="1884" spans="1:6" x14ac:dyDescent="0.35">
      <c r="A1884">
        <v>1057</v>
      </c>
      <c r="B1884" s="4">
        <v>45872.375085336993</v>
      </c>
      <c r="C1884" t="s">
        <v>14</v>
      </c>
      <c r="D1884" t="s">
        <v>20</v>
      </c>
      <c r="E1884" t="s">
        <v>23</v>
      </c>
      <c r="F1884">
        <v>1564.66</v>
      </c>
    </row>
    <row r="1885" spans="1:6" x14ac:dyDescent="0.35">
      <c r="A1885">
        <v>1099</v>
      </c>
      <c r="B1885" s="4">
        <v>45872.375085336993</v>
      </c>
      <c r="C1885" t="s">
        <v>9</v>
      </c>
      <c r="D1885" t="s">
        <v>18</v>
      </c>
      <c r="E1885" t="s">
        <v>23</v>
      </c>
      <c r="F1885">
        <v>2314.12</v>
      </c>
    </row>
    <row r="1886" spans="1:6" x14ac:dyDescent="0.35">
      <c r="A1886">
        <v>1171</v>
      </c>
      <c r="B1886" s="4">
        <v>45873.375085336993</v>
      </c>
      <c r="C1886" t="s">
        <v>15</v>
      </c>
      <c r="D1886" t="s">
        <v>16</v>
      </c>
      <c r="E1886" t="s">
        <v>23</v>
      </c>
      <c r="F1886">
        <v>1732.73</v>
      </c>
    </row>
    <row r="1887" spans="1:6" x14ac:dyDescent="0.35">
      <c r="A1887">
        <v>1024</v>
      </c>
      <c r="B1887" s="4">
        <v>45873.375085336993</v>
      </c>
      <c r="C1887" t="s">
        <v>7</v>
      </c>
      <c r="D1887" t="s">
        <v>21</v>
      </c>
      <c r="E1887" t="s">
        <v>23</v>
      </c>
      <c r="F1887">
        <v>8020.54</v>
      </c>
    </row>
    <row r="1888" spans="1:6" x14ac:dyDescent="0.35">
      <c r="A1888">
        <v>1325</v>
      </c>
      <c r="B1888" s="4">
        <v>45873.375085336993</v>
      </c>
      <c r="C1888" t="s">
        <v>6</v>
      </c>
      <c r="D1888" t="s">
        <v>22</v>
      </c>
      <c r="E1888" t="s">
        <v>23</v>
      </c>
      <c r="F1888">
        <v>600.79999999999995</v>
      </c>
    </row>
    <row r="1889" spans="1:6" x14ac:dyDescent="0.35">
      <c r="A1889">
        <v>1243</v>
      </c>
      <c r="B1889" s="4">
        <v>45874.375085336993</v>
      </c>
      <c r="C1889" t="s">
        <v>7</v>
      </c>
      <c r="D1889" t="s">
        <v>19</v>
      </c>
      <c r="E1889" t="s">
        <v>25</v>
      </c>
      <c r="F1889">
        <v>2763.01</v>
      </c>
    </row>
    <row r="1890" spans="1:6" x14ac:dyDescent="0.35">
      <c r="A1890">
        <v>1321</v>
      </c>
      <c r="B1890" s="4">
        <v>45874.375085336993</v>
      </c>
      <c r="C1890" t="s">
        <v>11</v>
      </c>
      <c r="D1890" t="s">
        <v>22</v>
      </c>
      <c r="E1890" t="s">
        <v>24</v>
      </c>
      <c r="F1890">
        <v>3390.15</v>
      </c>
    </row>
    <row r="1891" spans="1:6" x14ac:dyDescent="0.35">
      <c r="A1891">
        <v>1153</v>
      </c>
      <c r="B1891" s="4">
        <v>45875.375085336993</v>
      </c>
      <c r="C1891" t="s">
        <v>15</v>
      </c>
      <c r="D1891" t="s">
        <v>17</v>
      </c>
      <c r="E1891" t="s">
        <v>23</v>
      </c>
      <c r="F1891">
        <v>1698.67</v>
      </c>
    </row>
    <row r="1892" spans="1:6" x14ac:dyDescent="0.35">
      <c r="A1892">
        <v>1126</v>
      </c>
      <c r="B1892" s="4">
        <v>45876.375085336993</v>
      </c>
      <c r="C1892" t="s">
        <v>8</v>
      </c>
      <c r="D1892" t="s">
        <v>18</v>
      </c>
      <c r="E1892" t="s">
        <v>25</v>
      </c>
      <c r="F1892">
        <v>2126.65</v>
      </c>
    </row>
    <row r="1893" spans="1:6" x14ac:dyDescent="0.35">
      <c r="A1893">
        <v>1335</v>
      </c>
      <c r="B1893" s="4">
        <v>45876.375085336993</v>
      </c>
      <c r="C1893" t="s">
        <v>15</v>
      </c>
      <c r="D1893" t="s">
        <v>20</v>
      </c>
      <c r="E1893" t="s">
        <v>24</v>
      </c>
      <c r="F1893">
        <v>1939.27</v>
      </c>
    </row>
    <row r="1894" spans="1:6" x14ac:dyDescent="0.35">
      <c r="A1894">
        <v>1300</v>
      </c>
      <c r="B1894" s="4">
        <v>45876.375085336993</v>
      </c>
      <c r="C1894" t="s">
        <v>8</v>
      </c>
      <c r="D1894" t="s">
        <v>22</v>
      </c>
      <c r="E1894" t="s">
        <v>24</v>
      </c>
      <c r="F1894">
        <v>4376.84</v>
      </c>
    </row>
    <row r="1895" spans="1:6" x14ac:dyDescent="0.35">
      <c r="A1895">
        <v>1228</v>
      </c>
      <c r="B1895" s="4">
        <v>45876.375085336993</v>
      </c>
      <c r="C1895" t="s">
        <v>11</v>
      </c>
      <c r="D1895" t="s">
        <v>22</v>
      </c>
      <c r="E1895" t="s">
        <v>24</v>
      </c>
      <c r="F1895">
        <v>3599.02</v>
      </c>
    </row>
    <row r="1896" spans="1:6" x14ac:dyDescent="0.35">
      <c r="A1896">
        <v>1328</v>
      </c>
      <c r="B1896" s="4">
        <v>45876.375085336993</v>
      </c>
      <c r="C1896" t="s">
        <v>13</v>
      </c>
      <c r="D1896" t="s">
        <v>19</v>
      </c>
      <c r="E1896" t="s">
        <v>25</v>
      </c>
      <c r="F1896">
        <v>9782.58</v>
      </c>
    </row>
    <row r="1897" spans="1:6" x14ac:dyDescent="0.35">
      <c r="A1897">
        <v>1174</v>
      </c>
      <c r="B1897" s="4">
        <v>45876.375085336993</v>
      </c>
      <c r="C1897" t="s">
        <v>8</v>
      </c>
      <c r="D1897" t="s">
        <v>17</v>
      </c>
      <c r="E1897" t="s">
        <v>24</v>
      </c>
      <c r="F1897">
        <v>3480.43</v>
      </c>
    </row>
    <row r="1898" spans="1:6" x14ac:dyDescent="0.35">
      <c r="A1898">
        <v>1132</v>
      </c>
      <c r="B1898" s="4">
        <v>45876.375085336993</v>
      </c>
      <c r="C1898" t="s">
        <v>14</v>
      </c>
      <c r="D1898" t="s">
        <v>20</v>
      </c>
      <c r="E1898" t="s">
        <v>25</v>
      </c>
      <c r="F1898">
        <v>8207.1299999999992</v>
      </c>
    </row>
    <row r="1899" spans="1:6" x14ac:dyDescent="0.35">
      <c r="A1899">
        <v>1060</v>
      </c>
      <c r="B1899" s="4">
        <v>45876.375085336993</v>
      </c>
      <c r="C1899" t="s">
        <v>10</v>
      </c>
      <c r="D1899" t="s">
        <v>17</v>
      </c>
      <c r="E1899" t="s">
        <v>25</v>
      </c>
      <c r="F1899">
        <v>1341.73</v>
      </c>
    </row>
    <row r="1900" spans="1:6" x14ac:dyDescent="0.35">
      <c r="A1900">
        <v>1062</v>
      </c>
      <c r="B1900" s="4">
        <v>45876.375085336993</v>
      </c>
      <c r="C1900" t="s">
        <v>15</v>
      </c>
      <c r="D1900" t="s">
        <v>19</v>
      </c>
      <c r="E1900" t="s">
        <v>25</v>
      </c>
      <c r="F1900">
        <v>5730.52</v>
      </c>
    </row>
    <row r="1901" spans="1:6" x14ac:dyDescent="0.35">
      <c r="A1901">
        <v>1265</v>
      </c>
      <c r="B1901" s="4">
        <v>45876.375085336993</v>
      </c>
      <c r="C1901" t="s">
        <v>15</v>
      </c>
      <c r="D1901" t="s">
        <v>16</v>
      </c>
      <c r="E1901" t="s">
        <v>23</v>
      </c>
      <c r="F1901">
        <v>5953.35</v>
      </c>
    </row>
    <row r="1902" spans="1:6" x14ac:dyDescent="0.35">
      <c r="A1902">
        <v>1360</v>
      </c>
      <c r="B1902" s="4">
        <v>45876.375085336993</v>
      </c>
      <c r="C1902" t="s">
        <v>15</v>
      </c>
      <c r="D1902" t="s">
        <v>21</v>
      </c>
      <c r="E1902" t="s">
        <v>23</v>
      </c>
      <c r="F1902">
        <v>5754.17</v>
      </c>
    </row>
    <row r="1903" spans="1:6" x14ac:dyDescent="0.35">
      <c r="A1903">
        <v>1040</v>
      </c>
      <c r="B1903" s="4">
        <v>45877.375085336993</v>
      </c>
      <c r="C1903" t="s">
        <v>10</v>
      </c>
      <c r="D1903" t="s">
        <v>21</v>
      </c>
      <c r="E1903" t="s">
        <v>23</v>
      </c>
      <c r="F1903">
        <v>560.79</v>
      </c>
    </row>
    <row r="1904" spans="1:6" x14ac:dyDescent="0.35">
      <c r="A1904">
        <v>1395</v>
      </c>
      <c r="B1904" s="4">
        <v>45877.375085336993</v>
      </c>
      <c r="C1904" t="s">
        <v>10</v>
      </c>
      <c r="D1904" t="s">
        <v>20</v>
      </c>
      <c r="E1904" t="s">
        <v>24</v>
      </c>
      <c r="F1904">
        <v>6502.63</v>
      </c>
    </row>
    <row r="1905" spans="1:6" x14ac:dyDescent="0.35">
      <c r="A1905">
        <v>1207</v>
      </c>
      <c r="B1905" s="4">
        <v>45877.375085336993</v>
      </c>
      <c r="C1905" t="s">
        <v>14</v>
      </c>
      <c r="D1905" t="s">
        <v>21</v>
      </c>
      <c r="E1905" t="s">
        <v>24</v>
      </c>
      <c r="F1905">
        <v>2430.36</v>
      </c>
    </row>
    <row r="1906" spans="1:6" x14ac:dyDescent="0.35">
      <c r="A1906">
        <v>1008</v>
      </c>
      <c r="B1906" s="4">
        <v>45878.375085336993</v>
      </c>
      <c r="C1906" t="s">
        <v>13</v>
      </c>
      <c r="D1906" t="s">
        <v>22</v>
      </c>
      <c r="E1906" t="s">
        <v>25</v>
      </c>
      <c r="F1906">
        <v>4094.5</v>
      </c>
    </row>
    <row r="1907" spans="1:6" x14ac:dyDescent="0.35">
      <c r="A1907">
        <v>1232</v>
      </c>
      <c r="B1907" s="4">
        <v>45879.375085336993</v>
      </c>
      <c r="C1907" t="s">
        <v>10</v>
      </c>
      <c r="D1907" t="s">
        <v>19</v>
      </c>
      <c r="E1907" t="s">
        <v>24</v>
      </c>
      <c r="F1907">
        <v>1634.88</v>
      </c>
    </row>
    <row r="1908" spans="1:6" x14ac:dyDescent="0.35">
      <c r="A1908">
        <v>1199</v>
      </c>
      <c r="B1908" s="4">
        <v>45879.375085336993</v>
      </c>
      <c r="C1908" t="s">
        <v>7</v>
      </c>
      <c r="D1908" t="s">
        <v>19</v>
      </c>
      <c r="E1908" t="s">
        <v>24</v>
      </c>
      <c r="F1908">
        <v>325.45999999999998</v>
      </c>
    </row>
    <row r="1909" spans="1:6" x14ac:dyDescent="0.35">
      <c r="A1909">
        <v>1340</v>
      </c>
      <c r="B1909" s="4">
        <v>45879.375085336993</v>
      </c>
      <c r="C1909" t="s">
        <v>12</v>
      </c>
      <c r="D1909" t="s">
        <v>17</v>
      </c>
      <c r="E1909" t="s">
        <v>23</v>
      </c>
      <c r="F1909">
        <v>2556.41</v>
      </c>
    </row>
    <row r="1910" spans="1:6" x14ac:dyDescent="0.35">
      <c r="A1910">
        <v>1285</v>
      </c>
      <c r="B1910" s="4">
        <v>45879.375085336993</v>
      </c>
      <c r="C1910" t="s">
        <v>12</v>
      </c>
      <c r="D1910" t="s">
        <v>22</v>
      </c>
      <c r="E1910" t="s">
        <v>25</v>
      </c>
      <c r="F1910">
        <v>2445.69</v>
      </c>
    </row>
    <row r="1911" spans="1:6" x14ac:dyDescent="0.35">
      <c r="A1911">
        <v>1117</v>
      </c>
      <c r="B1911" s="4">
        <v>45879.375085336993</v>
      </c>
      <c r="C1911" t="s">
        <v>8</v>
      </c>
      <c r="D1911" t="s">
        <v>20</v>
      </c>
      <c r="E1911" t="s">
        <v>23</v>
      </c>
      <c r="F1911">
        <v>3378.87</v>
      </c>
    </row>
    <row r="1912" spans="1:6" x14ac:dyDescent="0.35">
      <c r="A1912">
        <v>1180</v>
      </c>
      <c r="B1912" s="4">
        <v>45880.375085336993</v>
      </c>
      <c r="C1912" t="s">
        <v>10</v>
      </c>
      <c r="D1912" t="s">
        <v>16</v>
      </c>
      <c r="E1912" t="s">
        <v>24</v>
      </c>
      <c r="F1912">
        <v>2938.08</v>
      </c>
    </row>
    <row r="1913" spans="1:6" x14ac:dyDescent="0.35">
      <c r="A1913">
        <v>1370</v>
      </c>
      <c r="B1913" s="4">
        <v>45880.375085336993</v>
      </c>
      <c r="C1913" t="s">
        <v>7</v>
      </c>
      <c r="D1913" t="s">
        <v>18</v>
      </c>
      <c r="E1913" t="s">
        <v>25</v>
      </c>
      <c r="F1913">
        <v>5254.88</v>
      </c>
    </row>
    <row r="1914" spans="1:6" x14ac:dyDescent="0.35">
      <c r="A1914">
        <v>1143</v>
      </c>
      <c r="B1914" s="4">
        <v>45881.375085336993</v>
      </c>
      <c r="C1914" t="s">
        <v>9</v>
      </c>
      <c r="D1914" t="s">
        <v>20</v>
      </c>
      <c r="E1914" t="s">
        <v>24</v>
      </c>
      <c r="F1914">
        <v>4969.34</v>
      </c>
    </row>
    <row r="1915" spans="1:6" x14ac:dyDescent="0.35">
      <c r="A1915">
        <v>1357</v>
      </c>
      <c r="B1915" s="4">
        <v>45881.375085336993</v>
      </c>
      <c r="C1915" t="s">
        <v>9</v>
      </c>
      <c r="D1915" t="s">
        <v>16</v>
      </c>
      <c r="E1915" t="s">
        <v>25</v>
      </c>
      <c r="F1915">
        <v>1321.8</v>
      </c>
    </row>
    <row r="1916" spans="1:6" x14ac:dyDescent="0.35">
      <c r="A1916">
        <v>1112</v>
      </c>
      <c r="B1916" s="4">
        <v>45881.375085336993</v>
      </c>
      <c r="C1916" t="s">
        <v>8</v>
      </c>
      <c r="D1916" t="s">
        <v>16</v>
      </c>
      <c r="E1916" t="s">
        <v>23</v>
      </c>
      <c r="F1916">
        <v>4750.76</v>
      </c>
    </row>
    <row r="1917" spans="1:6" x14ac:dyDescent="0.35">
      <c r="A1917">
        <v>1151</v>
      </c>
      <c r="B1917" s="4">
        <v>45881.375085336993</v>
      </c>
      <c r="C1917" t="s">
        <v>7</v>
      </c>
      <c r="D1917" t="s">
        <v>21</v>
      </c>
      <c r="E1917" t="s">
        <v>24</v>
      </c>
      <c r="F1917">
        <v>6302.11</v>
      </c>
    </row>
    <row r="1918" spans="1:6" x14ac:dyDescent="0.35">
      <c r="A1918">
        <v>1344</v>
      </c>
      <c r="B1918" s="4">
        <v>45881.375085336993</v>
      </c>
      <c r="C1918" t="s">
        <v>12</v>
      </c>
      <c r="D1918" t="s">
        <v>22</v>
      </c>
      <c r="E1918" t="s">
        <v>25</v>
      </c>
      <c r="F1918">
        <v>5247.46</v>
      </c>
    </row>
    <row r="1919" spans="1:6" x14ac:dyDescent="0.35">
      <c r="A1919">
        <v>1236</v>
      </c>
      <c r="B1919" s="4">
        <v>45882.375085336993</v>
      </c>
      <c r="C1919" t="s">
        <v>10</v>
      </c>
      <c r="D1919" t="s">
        <v>17</v>
      </c>
      <c r="E1919" t="s">
        <v>25</v>
      </c>
      <c r="F1919">
        <v>6738.25</v>
      </c>
    </row>
    <row r="1920" spans="1:6" x14ac:dyDescent="0.35">
      <c r="A1920">
        <v>1019</v>
      </c>
      <c r="B1920" s="4">
        <v>45882.375085336993</v>
      </c>
      <c r="C1920" t="s">
        <v>10</v>
      </c>
      <c r="D1920" t="s">
        <v>20</v>
      </c>
      <c r="E1920" t="s">
        <v>24</v>
      </c>
      <c r="F1920">
        <v>6775.48</v>
      </c>
    </row>
    <row r="1921" spans="1:6" x14ac:dyDescent="0.35">
      <c r="A1921">
        <v>1011</v>
      </c>
      <c r="B1921" s="4">
        <v>45882.375085336993</v>
      </c>
      <c r="C1921" t="s">
        <v>10</v>
      </c>
      <c r="D1921" t="s">
        <v>21</v>
      </c>
      <c r="E1921" t="s">
        <v>25</v>
      </c>
      <c r="F1921">
        <v>6255.37</v>
      </c>
    </row>
    <row r="1922" spans="1:6" x14ac:dyDescent="0.35">
      <c r="A1922">
        <v>1345</v>
      </c>
      <c r="B1922" s="4">
        <v>45882.375085336993</v>
      </c>
      <c r="C1922" t="s">
        <v>11</v>
      </c>
      <c r="D1922" t="s">
        <v>18</v>
      </c>
      <c r="E1922" t="s">
        <v>24</v>
      </c>
      <c r="F1922">
        <v>5496.77</v>
      </c>
    </row>
    <row r="1923" spans="1:6" x14ac:dyDescent="0.35">
      <c r="A1923">
        <v>1302</v>
      </c>
      <c r="B1923" s="4">
        <v>45883.375085336993</v>
      </c>
      <c r="C1923" t="s">
        <v>11</v>
      </c>
      <c r="D1923" t="s">
        <v>17</v>
      </c>
      <c r="E1923" t="s">
        <v>25</v>
      </c>
      <c r="F1923">
        <v>5306.5</v>
      </c>
    </row>
    <row r="1924" spans="1:6" x14ac:dyDescent="0.35">
      <c r="A1924">
        <v>1013</v>
      </c>
      <c r="B1924" s="4">
        <v>45883.375085336993</v>
      </c>
      <c r="C1924" t="s">
        <v>15</v>
      </c>
      <c r="D1924" t="s">
        <v>17</v>
      </c>
      <c r="E1924" t="s">
        <v>24</v>
      </c>
      <c r="F1924">
        <v>11701.36</v>
      </c>
    </row>
    <row r="1925" spans="1:6" x14ac:dyDescent="0.35">
      <c r="A1925">
        <v>1343</v>
      </c>
      <c r="B1925" s="4">
        <v>45884.375085336993</v>
      </c>
      <c r="C1925" t="s">
        <v>14</v>
      </c>
      <c r="D1925" t="s">
        <v>19</v>
      </c>
      <c r="E1925" t="s">
        <v>24</v>
      </c>
      <c r="F1925">
        <v>4761.78</v>
      </c>
    </row>
    <row r="1926" spans="1:6" x14ac:dyDescent="0.35">
      <c r="A1926">
        <v>1108</v>
      </c>
      <c r="B1926" s="4">
        <v>45884.375085336993</v>
      </c>
      <c r="C1926" t="s">
        <v>6</v>
      </c>
      <c r="D1926" t="s">
        <v>21</v>
      </c>
      <c r="E1926" t="s">
        <v>23</v>
      </c>
      <c r="F1926">
        <v>5396.61</v>
      </c>
    </row>
    <row r="1927" spans="1:6" x14ac:dyDescent="0.35">
      <c r="A1927">
        <v>1241</v>
      </c>
      <c r="B1927" s="4">
        <v>45884.375085336993</v>
      </c>
      <c r="C1927" t="s">
        <v>8</v>
      </c>
      <c r="D1927" t="s">
        <v>16</v>
      </c>
      <c r="E1927" t="s">
        <v>23</v>
      </c>
      <c r="F1927">
        <v>2635.47</v>
      </c>
    </row>
    <row r="1928" spans="1:6" x14ac:dyDescent="0.35">
      <c r="A1928">
        <v>1385</v>
      </c>
      <c r="B1928" s="4">
        <v>45885.375085336993</v>
      </c>
      <c r="C1928" t="s">
        <v>14</v>
      </c>
      <c r="D1928" t="s">
        <v>18</v>
      </c>
      <c r="E1928" t="s">
        <v>25</v>
      </c>
      <c r="F1928">
        <v>11969.05</v>
      </c>
    </row>
    <row r="1929" spans="1:6" x14ac:dyDescent="0.35">
      <c r="A1929">
        <v>1057</v>
      </c>
      <c r="B1929" s="4">
        <v>45885.375085336993</v>
      </c>
      <c r="C1929" t="s">
        <v>11</v>
      </c>
      <c r="D1929" t="s">
        <v>19</v>
      </c>
      <c r="E1929" t="s">
        <v>25</v>
      </c>
      <c r="F1929">
        <v>2133.19</v>
      </c>
    </row>
    <row r="1930" spans="1:6" x14ac:dyDescent="0.35">
      <c r="A1930">
        <v>1304</v>
      </c>
      <c r="B1930" s="4">
        <v>45885.375085336993</v>
      </c>
      <c r="C1930" t="s">
        <v>11</v>
      </c>
      <c r="D1930" t="s">
        <v>17</v>
      </c>
      <c r="E1930" t="s">
        <v>23</v>
      </c>
      <c r="F1930">
        <v>9487.84</v>
      </c>
    </row>
    <row r="1931" spans="1:6" x14ac:dyDescent="0.35">
      <c r="A1931">
        <v>1013</v>
      </c>
      <c r="B1931" s="4">
        <v>45885.375085336993</v>
      </c>
      <c r="C1931" t="s">
        <v>14</v>
      </c>
      <c r="D1931" t="s">
        <v>22</v>
      </c>
      <c r="E1931" t="s">
        <v>23</v>
      </c>
      <c r="F1931">
        <v>2853.13</v>
      </c>
    </row>
    <row r="1932" spans="1:6" x14ac:dyDescent="0.35">
      <c r="A1932">
        <v>1197</v>
      </c>
      <c r="B1932" s="4">
        <v>45885.375085336993</v>
      </c>
      <c r="C1932" t="s">
        <v>12</v>
      </c>
      <c r="D1932" t="s">
        <v>17</v>
      </c>
      <c r="E1932" t="s">
        <v>23</v>
      </c>
      <c r="F1932">
        <v>1964.48</v>
      </c>
    </row>
    <row r="1933" spans="1:6" x14ac:dyDescent="0.35">
      <c r="A1933">
        <v>1238</v>
      </c>
      <c r="B1933" s="4">
        <v>45885.375085336993</v>
      </c>
      <c r="C1933" t="s">
        <v>12</v>
      </c>
      <c r="D1933" t="s">
        <v>21</v>
      </c>
      <c r="E1933" t="s">
        <v>25</v>
      </c>
      <c r="F1933">
        <v>3137.01</v>
      </c>
    </row>
    <row r="1934" spans="1:6" x14ac:dyDescent="0.35">
      <c r="A1934">
        <v>1178</v>
      </c>
      <c r="B1934" s="4">
        <v>45885.375085336993</v>
      </c>
      <c r="C1934" t="s">
        <v>10</v>
      </c>
      <c r="D1934" t="s">
        <v>18</v>
      </c>
      <c r="E1934" t="s">
        <v>23</v>
      </c>
      <c r="F1934">
        <v>6362.4</v>
      </c>
    </row>
    <row r="1935" spans="1:6" x14ac:dyDescent="0.35">
      <c r="A1935">
        <v>1384</v>
      </c>
      <c r="B1935" s="4">
        <v>45886.375085336993</v>
      </c>
      <c r="C1935" t="s">
        <v>8</v>
      </c>
      <c r="D1935" t="s">
        <v>21</v>
      </c>
      <c r="E1935" t="s">
        <v>23</v>
      </c>
      <c r="F1935">
        <v>525.24</v>
      </c>
    </row>
    <row r="1936" spans="1:6" x14ac:dyDescent="0.35">
      <c r="A1936">
        <v>1187</v>
      </c>
      <c r="B1936" s="4">
        <v>45886.375085336993</v>
      </c>
      <c r="C1936" t="s">
        <v>10</v>
      </c>
      <c r="D1936" t="s">
        <v>21</v>
      </c>
      <c r="E1936" t="s">
        <v>25</v>
      </c>
      <c r="F1936">
        <v>2705.84</v>
      </c>
    </row>
    <row r="1937" spans="1:6" x14ac:dyDescent="0.35">
      <c r="A1937">
        <v>1238</v>
      </c>
      <c r="B1937" s="4">
        <v>45886.375085336993</v>
      </c>
      <c r="C1937" t="s">
        <v>14</v>
      </c>
      <c r="D1937" t="s">
        <v>21</v>
      </c>
      <c r="E1937" t="s">
        <v>24</v>
      </c>
      <c r="F1937">
        <v>4314.07</v>
      </c>
    </row>
    <row r="1938" spans="1:6" x14ac:dyDescent="0.35">
      <c r="A1938">
        <v>1305</v>
      </c>
      <c r="B1938" s="4">
        <v>45886.375085336993</v>
      </c>
      <c r="C1938" t="s">
        <v>11</v>
      </c>
      <c r="D1938" t="s">
        <v>16</v>
      </c>
      <c r="E1938" t="s">
        <v>25</v>
      </c>
      <c r="F1938">
        <v>4072.37</v>
      </c>
    </row>
    <row r="1939" spans="1:6" x14ac:dyDescent="0.35">
      <c r="A1939">
        <v>1076</v>
      </c>
      <c r="B1939" s="4">
        <v>45886.375085336993</v>
      </c>
      <c r="C1939" t="s">
        <v>15</v>
      </c>
      <c r="D1939" t="s">
        <v>22</v>
      </c>
      <c r="E1939" t="s">
        <v>25</v>
      </c>
      <c r="F1939">
        <v>7698.35</v>
      </c>
    </row>
    <row r="1940" spans="1:6" x14ac:dyDescent="0.35">
      <c r="A1940">
        <v>1313</v>
      </c>
      <c r="B1940" s="4">
        <v>45886.375085336993</v>
      </c>
      <c r="C1940" t="s">
        <v>11</v>
      </c>
      <c r="D1940" t="s">
        <v>19</v>
      </c>
      <c r="E1940" t="s">
        <v>23</v>
      </c>
      <c r="F1940">
        <v>6014.41</v>
      </c>
    </row>
    <row r="1941" spans="1:6" x14ac:dyDescent="0.35">
      <c r="A1941">
        <v>1187</v>
      </c>
      <c r="B1941" s="4">
        <v>45886.375085336993</v>
      </c>
      <c r="C1941" t="s">
        <v>13</v>
      </c>
      <c r="D1941" t="s">
        <v>22</v>
      </c>
      <c r="E1941" t="s">
        <v>25</v>
      </c>
      <c r="F1941">
        <v>4705.29</v>
      </c>
    </row>
    <row r="1942" spans="1:6" x14ac:dyDescent="0.35">
      <c r="A1942">
        <v>1365</v>
      </c>
      <c r="B1942" s="4">
        <v>45887.375085336993</v>
      </c>
      <c r="C1942" t="s">
        <v>12</v>
      </c>
      <c r="D1942" t="s">
        <v>18</v>
      </c>
      <c r="E1942" t="s">
        <v>23</v>
      </c>
      <c r="F1942">
        <v>1349.75</v>
      </c>
    </row>
    <row r="1943" spans="1:6" x14ac:dyDescent="0.35">
      <c r="A1943">
        <v>1149</v>
      </c>
      <c r="B1943" s="4">
        <v>45887.375085336993</v>
      </c>
      <c r="C1943" t="s">
        <v>6</v>
      </c>
      <c r="D1943" t="s">
        <v>16</v>
      </c>
      <c r="E1943" t="s">
        <v>25</v>
      </c>
      <c r="F1943">
        <v>3008.08</v>
      </c>
    </row>
    <row r="1944" spans="1:6" x14ac:dyDescent="0.35">
      <c r="A1944">
        <v>1067</v>
      </c>
      <c r="B1944" s="4">
        <v>45888.375085336993</v>
      </c>
      <c r="C1944" t="s">
        <v>7</v>
      </c>
      <c r="D1944" t="s">
        <v>22</v>
      </c>
      <c r="E1944" t="s">
        <v>25</v>
      </c>
      <c r="F1944">
        <v>2841.3</v>
      </c>
    </row>
    <row r="1945" spans="1:6" x14ac:dyDescent="0.35">
      <c r="A1945">
        <v>1113</v>
      </c>
      <c r="B1945" s="4">
        <v>45888.375085336993</v>
      </c>
      <c r="C1945" t="s">
        <v>11</v>
      </c>
      <c r="D1945" t="s">
        <v>20</v>
      </c>
      <c r="E1945" t="s">
        <v>25</v>
      </c>
      <c r="F1945">
        <v>1462.63</v>
      </c>
    </row>
    <row r="1946" spans="1:6" x14ac:dyDescent="0.35">
      <c r="A1946">
        <v>1172</v>
      </c>
      <c r="B1946" s="4">
        <v>45888.375085336993</v>
      </c>
      <c r="C1946" t="s">
        <v>12</v>
      </c>
      <c r="D1946" t="s">
        <v>16</v>
      </c>
      <c r="E1946" t="s">
        <v>23</v>
      </c>
      <c r="F1946">
        <v>6851.95</v>
      </c>
    </row>
    <row r="1947" spans="1:6" x14ac:dyDescent="0.35">
      <c r="A1947">
        <v>1393</v>
      </c>
      <c r="B1947" s="4">
        <v>45888.375085336993</v>
      </c>
      <c r="C1947" t="s">
        <v>12</v>
      </c>
      <c r="D1947" t="s">
        <v>17</v>
      </c>
      <c r="E1947" t="s">
        <v>24</v>
      </c>
      <c r="F1947">
        <v>4012.66</v>
      </c>
    </row>
    <row r="1948" spans="1:6" x14ac:dyDescent="0.35">
      <c r="A1948">
        <v>1222</v>
      </c>
      <c r="B1948" s="4">
        <v>45888.375085336993</v>
      </c>
      <c r="C1948" t="s">
        <v>15</v>
      </c>
      <c r="D1948" t="s">
        <v>19</v>
      </c>
      <c r="E1948" t="s">
        <v>24</v>
      </c>
      <c r="F1948">
        <v>10485.59</v>
      </c>
    </row>
    <row r="1949" spans="1:6" x14ac:dyDescent="0.35">
      <c r="A1949">
        <v>1000</v>
      </c>
      <c r="B1949" s="4">
        <v>45889.375085336993</v>
      </c>
      <c r="C1949" t="s">
        <v>12</v>
      </c>
      <c r="D1949" t="s">
        <v>18</v>
      </c>
      <c r="E1949" t="s">
        <v>23</v>
      </c>
      <c r="F1949">
        <v>786.4</v>
      </c>
    </row>
    <row r="1950" spans="1:6" x14ac:dyDescent="0.35">
      <c r="A1950">
        <v>1182</v>
      </c>
      <c r="B1950" s="4">
        <v>45889.375085336993</v>
      </c>
      <c r="C1950" t="s">
        <v>8</v>
      </c>
      <c r="D1950" t="s">
        <v>20</v>
      </c>
      <c r="E1950" t="s">
        <v>25</v>
      </c>
      <c r="F1950">
        <v>1424.86</v>
      </c>
    </row>
    <row r="1951" spans="1:6" x14ac:dyDescent="0.35">
      <c r="A1951">
        <v>1174</v>
      </c>
      <c r="B1951" s="4">
        <v>45890.375085336993</v>
      </c>
      <c r="C1951" t="s">
        <v>12</v>
      </c>
      <c r="D1951" t="s">
        <v>22</v>
      </c>
      <c r="E1951" t="s">
        <v>25</v>
      </c>
      <c r="F1951">
        <v>7593.57</v>
      </c>
    </row>
    <row r="1952" spans="1:6" x14ac:dyDescent="0.35">
      <c r="A1952">
        <v>1115</v>
      </c>
      <c r="B1952" s="4">
        <v>45890.375085336993</v>
      </c>
      <c r="C1952" t="s">
        <v>12</v>
      </c>
      <c r="D1952" t="s">
        <v>22</v>
      </c>
      <c r="E1952" t="s">
        <v>23</v>
      </c>
      <c r="F1952">
        <v>2202.08</v>
      </c>
    </row>
    <row r="1953" spans="1:6" x14ac:dyDescent="0.35">
      <c r="A1953">
        <v>1135</v>
      </c>
      <c r="B1953" s="4">
        <v>45890.375085336993</v>
      </c>
      <c r="C1953" t="s">
        <v>11</v>
      </c>
      <c r="D1953" t="s">
        <v>22</v>
      </c>
      <c r="E1953" t="s">
        <v>25</v>
      </c>
      <c r="F1953">
        <v>6918.76</v>
      </c>
    </row>
    <row r="1954" spans="1:6" x14ac:dyDescent="0.35">
      <c r="A1954">
        <v>1219</v>
      </c>
      <c r="B1954" s="4">
        <v>45890.375085336993</v>
      </c>
      <c r="C1954" t="s">
        <v>10</v>
      </c>
      <c r="D1954" t="s">
        <v>16</v>
      </c>
      <c r="E1954" t="s">
        <v>25</v>
      </c>
      <c r="F1954">
        <v>1042.3599999999999</v>
      </c>
    </row>
    <row r="1955" spans="1:6" x14ac:dyDescent="0.35">
      <c r="A1955">
        <v>1045</v>
      </c>
      <c r="B1955" s="4">
        <v>45890.375085336993</v>
      </c>
      <c r="C1955" t="s">
        <v>15</v>
      </c>
      <c r="D1955" t="s">
        <v>20</v>
      </c>
      <c r="E1955" t="s">
        <v>24</v>
      </c>
      <c r="F1955">
        <v>5189.45</v>
      </c>
    </row>
    <row r="1956" spans="1:6" x14ac:dyDescent="0.35">
      <c r="A1956">
        <v>1012</v>
      </c>
      <c r="B1956" s="4">
        <v>45890.375085336993</v>
      </c>
      <c r="C1956" t="s">
        <v>11</v>
      </c>
      <c r="D1956" t="s">
        <v>20</v>
      </c>
      <c r="E1956" t="s">
        <v>23</v>
      </c>
      <c r="F1956">
        <v>2142.13</v>
      </c>
    </row>
    <row r="1957" spans="1:6" x14ac:dyDescent="0.35">
      <c r="A1957">
        <v>1064</v>
      </c>
      <c r="B1957" s="4">
        <v>45890.375085336993</v>
      </c>
      <c r="C1957" t="s">
        <v>8</v>
      </c>
      <c r="D1957" t="s">
        <v>18</v>
      </c>
      <c r="E1957" t="s">
        <v>23</v>
      </c>
      <c r="F1957">
        <v>6525.94</v>
      </c>
    </row>
    <row r="1958" spans="1:6" x14ac:dyDescent="0.35">
      <c r="A1958">
        <v>1398</v>
      </c>
      <c r="B1958" s="4">
        <v>45891.375085336993</v>
      </c>
      <c r="C1958" t="s">
        <v>13</v>
      </c>
      <c r="D1958" t="s">
        <v>17</v>
      </c>
      <c r="E1958" t="s">
        <v>23</v>
      </c>
      <c r="F1958">
        <v>4894.49</v>
      </c>
    </row>
    <row r="1959" spans="1:6" x14ac:dyDescent="0.35">
      <c r="A1959">
        <v>1234</v>
      </c>
      <c r="B1959" s="4">
        <v>45891.375085336993</v>
      </c>
      <c r="C1959" t="s">
        <v>7</v>
      </c>
      <c r="D1959" t="s">
        <v>16</v>
      </c>
      <c r="E1959" t="s">
        <v>25</v>
      </c>
      <c r="F1959">
        <v>365.16</v>
      </c>
    </row>
    <row r="1960" spans="1:6" x14ac:dyDescent="0.35">
      <c r="A1960">
        <v>1368</v>
      </c>
      <c r="B1960" s="4">
        <v>45891.375085336993</v>
      </c>
      <c r="C1960" t="s">
        <v>13</v>
      </c>
      <c r="D1960" t="s">
        <v>19</v>
      </c>
      <c r="E1960" t="s">
        <v>24</v>
      </c>
      <c r="F1960">
        <v>3121.16</v>
      </c>
    </row>
    <row r="1961" spans="1:6" x14ac:dyDescent="0.35">
      <c r="A1961">
        <v>1158</v>
      </c>
      <c r="B1961" s="4">
        <v>45891.375085336993</v>
      </c>
      <c r="C1961" t="s">
        <v>14</v>
      </c>
      <c r="D1961" t="s">
        <v>16</v>
      </c>
      <c r="E1961" t="s">
        <v>24</v>
      </c>
      <c r="F1961">
        <v>5585.45</v>
      </c>
    </row>
    <row r="1962" spans="1:6" x14ac:dyDescent="0.35">
      <c r="A1962">
        <v>1254</v>
      </c>
      <c r="B1962" s="4">
        <v>45891.375085336993</v>
      </c>
      <c r="C1962" t="s">
        <v>15</v>
      </c>
      <c r="D1962" t="s">
        <v>18</v>
      </c>
      <c r="E1962" t="s">
        <v>25</v>
      </c>
      <c r="F1962">
        <v>6426.53</v>
      </c>
    </row>
    <row r="1963" spans="1:6" x14ac:dyDescent="0.35">
      <c r="A1963">
        <v>1038</v>
      </c>
      <c r="B1963" s="4">
        <v>45892.375085336993</v>
      </c>
      <c r="C1963" t="s">
        <v>12</v>
      </c>
      <c r="D1963" t="s">
        <v>20</v>
      </c>
      <c r="E1963" t="s">
        <v>23</v>
      </c>
      <c r="F1963">
        <v>6752.39</v>
      </c>
    </row>
    <row r="1964" spans="1:6" x14ac:dyDescent="0.35">
      <c r="A1964">
        <v>1396</v>
      </c>
      <c r="B1964" s="4">
        <v>45892.375085336993</v>
      </c>
      <c r="C1964" t="s">
        <v>13</v>
      </c>
      <c r="D1964" t="s">
        <v>21</v>
      </c>
      <c r="E1964" t="s">
        <v>25</v>
      </c>
      <c r="F1964">
        <v>4683.49</v>
      </c>
    </row>
    <row r="1965" spans="1:6" x14ac:dyDescent="0.35">
      <c r="A1965">
        <v>1271</v>
      </c>
      <c r="B1965" s="4">
        <v>45892.375085336993</v>
      </c>
      <c r="C1965" t="s">
        <v>7</v>
      </c>
      <c r="D1965" t="s">
        <v>17</v>
      </c>
      <c r="E1965" t="s">
        <v>23</v>
      </c>
      <c r="F1965">
        <v>2766.91</v>
      </c>
    </row>
    <row r="1966" spans="1:6" x14ac:dyDescent="0.35">
      <c r="A1966">
        <v>1082</v>
      </c>
      <c r="B1966" s="4">
        <v>45893.375085336993</v>
      </c>
      <c r="C1966" t="s">
        <v>6</v>
      </c>
      <c r="D1966" t="s">
        <v>21</v>
      </c>
      <c r="E1966" t="s">
        <v>25</v>
      </c>
      <c r="F1966">
        <v>1465.52</v>
      </c>
    </row>
    <row r="1967" spans="1:6" x14ac:dyDescent="0.35">
      <c r="A1967">
        <v>1377</v>
      </c>
      <c r="B1967" s="4">
        <v>45893.375085336993</v>
      </c>
      <c r="C1967" t="s">
        <v>14</v>
      </c>
      <c r="D1967" t="s">
        <v>20</v>
      </c>
      <c r="E1967" t="s">
        <v>24</v>
      </c>
      <c r="F1967">
        <v>6183.83</v>
      </c>
    </row>
    <row r="1968" spans="1:6" x14ac:dyDescent="0.35">
      <c r="A1968">
        <v>1052</v>
      </c>
      <c r="B1968" s="4">
        <v>45893.375085336993</v>
      </c>
      <c r="C1968" t="s">
        <v>7</v>
      </c>
      <c r="D1968" t="s">
        <v>21</v>
      </c>
      <c r="E1968" t="s">
        <v>25</v>
      </c>
      <c r="F1968">
        <v>4482.09</v>
      </c>
    </row>
    <row r="1969" spans="1:6" x14ac:dyDescent="0.35">
      <c r="A1969">
        <v>1270</v>
      </c>
      <c r="B1969" s="4">
        <v>45893.375085336993</v>
      </c>
      <c r="C1969" t="s">
        <v>7</v>
      </c>
      <c r="D1969" t="s">
        <v>16</v>
      </c>
      <c r="E1969" t="s">
        <v>23</v>
      </c>
      <c r="F1969">
        <v>3474.27</v>
      </c>
    </row>
    <row r="1970" spans="1:6" x14ac:dyDescent="0.35">
      <c r="A1970">
        <v>1153</v>
      </c>
      <c r="B1970" s="4">
        <v>45894.375085336993</v>
      </c>
      <c r="C1970" t="s">
        <v>12</v>
      </c>
      <c r="D1970" t="s">
        <v>22</v>
      </c>
      <c r="E1970" t="s">
        <v>23</v>
      </c>
      <c r="F1970">
        <v>2058.4299999999998</v>
      </c>
    </row>
    <row r="1971" spans="1:6" x14ac:dyDescent="0.35">
      <c r="A1971">
        <v>1172</v>
      </c>
      <c r="B1971" s="4">
        <v>45894.375085336993</v>
      </c>
      <c r="C1971" t="s">
        <v>7</v>
      </c>
      <c r="D1971" t="s">
        <v>17</v>
      </c>
      <c r="E1971" t="s">
        <v>24</v>
      </c>
      <c r="F1971">
        <v>2888.69</v>
      </c>
    </row>
    <row r="1972" spans="1:6" x14ac:dyDescent="0.35">
      <c r="A1972">
        <v>1363</v>
      </c>
      <c r="B1972" s="4">
        <v>45894.375085336993</v>
      </c>
      <c r="C1972" t="s">
        <v>7</v>
      </c>
      <c r="D1972" t="s">
        <v>17</v>
      </c>
      <c r="E1972" t="s">
        <v>24</v>
      </c>
      <c r="F1972">
        <v>4284.63</v>
      </c>
    </row>
    <row r="1973" spans="1:6" x14ac:dyDescent="0.35">
      <c r="A1973">
        <v>1385</v>
      </c>
      <c r="B1973" s="4">
        <v>45894.375085336993</v>
      </c>
      <c r="C1973" t="s">
        <v>7</v>
      </c>
      <c r="D1973" t="s">
        <v>18</v>
      </c>
      <c r="E1973" t="s">
        <v>24</v>
      </c>
      <c r="F1973">
        <v>4074.11</v>
      </c>
    </row>
    <row r="1974" spans="1:6" x14ac:dyDescent="0.35">
      <c r="A1974">
        <v>1103</v>
      </c>
      <c r="B1974" s="4">
        <v>45894.375085336993</v>
      </c>
      <c r="C1974" t="s">
        <v>14</v>
      </c>
      <c r="D1974" t="s">
        <v>16</v>
      </c>
      <c r="E1974" t="s">
        <v>24</v>
      </c>
      <c r="F1974">
        <v>3669.72</v>
      </c>
    </row>
    <row r="1975" spans="1:6" x14ac:dyDescent="0.35">
      <c r="A1975">
        <v>1076</v>
      </c>
      <c r="B1975" s="4">
        <v>45895.375085336993</v>
      </c>
      <c r="C1975" t="s">
        <v>15</v>
      </c>
      <c r="D1975" t="s">
        <v>20</v>
      </c>
      <c r="E1975" t="s">
        <v>23</v>
      </c>
      <c r="F1975">
        <v>2983.68</v>
      </c>
    </row>
    <row r="1976" spans="1:6" x14ac:dyDescent="0.35">
      <c r="A1976">
        <v>1208</v>
      </c>
      <c r="B1976" s="4">
        <v>45895.375085336993</v>
      </c>
      <c r="C1976" t="s">
        <v>9</v>
      </c>
      <c r="D1976" t="s">
        <v>22</v>
      </c>
      <c r="E1976" t="s">
        <v>24</v>
      </c>
      <c r="F1976">
        <v>4660.47</v>
      </c>
    </row>
    <row r="1977" spans="1:6" x14ac:dyDescent="0.35">
      <c r="A1977">
        <v>1286</v>
      </c>
      <c r="B1977" s="4">
        <v>45895.375085336993</v>
      </c>
      <c r="C1977" t="s">
        <v>10</v>
      </c>
      <c r="D1977" t="s">
        <v>22</v>
      </c>
      <c r="E1977" t="s">
        <v>23</v>
      </c>
      <c r="F1977">
        <v>6094.52</v>
      </c>
    </row>
    <row r="1978" spans="1:6" x14ac:dyDescent="0.35">
      <c r="A1978">
        <v>1364</v>
      </c>
      <c r="B1978" s="4">
        <v>45895.375085336993</v>
      </c>
      <c r="C1978" t="s">
        <v>10</v>
      </c>
      <c r="D1978" t="s">
        <v>17</v>
      </c>
      <c r="E1978" t="s">
        <v>23</v>
      </c>
      <c r="F1978">
        <v>1695.34</v>
      </c>
    </row>
    <row r="1979" spans="1:6" x14ac:dyDescent="0.35">
      <c r="A1979">
        <v>1189</v>
      </c>
      <c r="B1979" s="4">
        <v>45895.375085336993</v>
      </c>
      <c r="C1979" t="s">
        <v>12</v>
      </c>
      <c r="D1979" t="s">
        <v>22</v>
      </c>
      <c r="E1979" t="s">
        <v>25</v>
      </c>
      <c r="F1979">
        <v>3741.01</v>
      </c>
    </row>
    <row r="1980" spans="1:6" x14ac:dyDescent="0.35">
      <c r="A1980">
        <v>1282</v>
      </c>
      <c r="B1980" s="4">
        <v>45895.375085336993</v>
      </c>
      <c r="C1980" t="s">
        <v>14</v>
      </c>
      <c r="D1980" t="s">
        <v>19</v>
      </c>
      <c r="E1980" t="s">
        <v>23</v>
      </c>
      <c r="F1980">
        <v>5534.8</v>
      </c>
    </row>
    <row r="1981" spans="1:6" x14ac:dyDescent="0.35">
      <c r="A1981">
        <v>1053</v>
      </c>
      <c r="B1981" s="4">
        <v>45895.375085336993</v>
      </c>
      <c r="C1981" t="s">
        <v>8</v>
      </c>
      <c r="D1981" t="s">
        <v>22</v>
      </c>
      <c r="E1981" t="s">
        <v>23</v>
      </c>
      <c r="F1981">
        <v>4023.3</v>
      </c>
    </row>
    <row r="1982" spans="1:6" x14ac:dyDescent="0.35">
      <c r="A1982">
        <v>1137</v>
      </c>
      <c r="B1982" s="4">
        <v>45896.375085336993</v>
      </c>
      <c r="C1982" t="s">
        <v>8</v>
      </c>
      <c r="D1982" t="s">
        <v>16</v>
      </c>
      <c r="E1982" t="s">
        <v>23</v>
      </c>
      <c r="F1982">
        <v>1648.54</v>
      </c>
    </row>
    <row r="1983" spans="1:6" x14ac:dyDescent="0.35">
      <c r="A1983">
        <v>1378</v>
      </c>
      <c r="B1983" s="4">
        <v>45896.375085336993</v>
      </c>
      <c r="C1983" t="s">
        <v>6</v>
      </c>
      <c r="D1983" t="s">
        <v>22</v>
      </c>
      <c r="E1983" t="s">
        <v>23</v>
      </c>
      <c r="F1983">
        <v>6538.25</v>
      </c>
    </row>
    <row r="1984" spans="1:6" x14ac:dyDescent="0.35">
      <c r="A1984">
        <v>1173</v>
      </c>
      <c r="B1984" s="4">
        <v>45896.375085336993</v>
      </c>
      <c r="C1984" t="s">
        <v>13</v>
      </c>
      <c r="D1984" t="s">
        <v>21</v>
      </c>
      <c r="E1984" t="s">
        <v>25</v>
      </c>
      <c r="F1984">
        <v>2749.74</v>
      </c>
    </row>
    <row r="1985" spans="1:6" x14ac:dyDescent="0.35">
      <c r="A1985">
        <v>1120</v>
      </c>
      <c r="B1985" s="4">
        <v>45897.375085336993</v>
      </c>
      <c r="C1985" t="s">
        <v>14</v>
      </c>
      <c r="D1985" t="s">
        <v>22</v>
      </c>
      <c r="E1985" t="s">
        <v>24</v>
      </c>
      <c r="F1985">
        <v>793.6</v>
      </c>
    </row>
    <row r="1986" spans="1:6" x14ac:dyDescent="0.35">
      <c r="A1986">
        <v>1146</v>
      </c>
      <c r="B1986" s="4">
        <v>45897.375085336993</v>
      </c>
      <c r="C1986" t="s">
        <v>7</v>
      </c>
      <c r="D1986" t="s">
        <v>22</v>
      </c>
      <c r="E1986" t="s">
        <v>24</v>
      </c>
      <c r="F1986">
        <v>7542.93</v>
      </c>
    </row>
    <row r="1987" spans="1:6" x14ac:dyDescent="0.35">
      <c r="A1987">
        <v>1267</v>
      </c>
      <c r="B1987" s="4">
        <v>45897.375085336993</v>
      </c>
      <c r="C1987" t="s">
        <v>9</v>
      </c>
      <c r="D1987" t="s">
        <v>18</v>
      </c>
      <c r="E1987" t="s">
        <v>25</v>
      </c>
      <c r="F1987">
        <v>3294.92</v>
      </c>
    </row>
    <row r="1988" spans="1:6" x14ac:dyDescent="0.35">
      <c r="A1988">
        <v>1295</v>
      </c>
      <c r="B1988" s="4">
        <v>45897.375085336993</v>
      </c>
      <c r="C1988" t="s">
        <v>6</v>
      </c>
      <c r="D1988" t="s">
        <v>18</v>
      </c>
      <c r="E1988" t="s">
        <v>24</v>
      </c>
      <c r="F1988">
        <v>674.95</v>
      </c>
    </row>
    <row r="1989" spans="1:6" x14ac:dyDescent="0.35">
      <c r="A1989">
        <v>1396</v>
      </c>
      <c r="B1989" s="4">
        <v>45897.375085336993</v>
      </c>
      <c r="C1989" t="s">
        <v>15</v>
      </c>
      <c r="D1989" t="s">
        <v>20</v>
      </c>
      <c r="E1989" t="s">
        <v>23</v>
      </c>
      <c r="F1989">
        <v>1168.21</v>
      </c>
    </row>
    <row r="1990" spans="1:6" x14ac:dyDescent="0.35">
      <c r="A1990">
        <v>1195</v>
      </c>
      <c r="B1990" s="4">
        <v>45898.375085336993</v>
      </c>
      <c r="C1990" t="s">
        <v>11</v>
      </c>
      <c r="D1990" t="s">
        <v>16</v>
      </c>
      <c r="E1990" t="s">
        <v>24</v>
      </c>
      <c r="F1990">
        <v>3537.67</v>
      </c>
    </row>
    <row r="1991" spans="1:6" x14ac:dyDescent="0.35">
      <c r="A1991">
        <v>1035</v>
      </c>
      <c r="B1991" s="4">
        <v>45898.375085336993</v>
      </c>
      <c r="C1991" t="s">
        <v>14</v>
      </c>
      <c r="D1991" t="s">
        <v>17</v>
      </c>
      <c r="E1991" t="s">
        <v>23</v>
      </c>
      <c r="F1991">
        <v>2866.79</v>
      </c>
    </row>
    <row r="1992" spans="1:6" x14ac:dyDescent="0.35">
      <c r="A1992">
        <v>1343</v>
      </c>
      <c r="B1992" s="4">
        <v>45898.375085336993</v>
      </c>
      <c r="C1992" t="s">
        <v>10</v>
      </c>
      <c r="D1992" t="s">
        <v>18</v>
      </c>
      <c r="E1992" t="s">
        <v>24</v>
      </c>
      <c r="F1992">
        <v>9442.58</v>
      </c>
    </row>
    <row r="1993" spans="1:6" x14ac:dyDescent="0.35">
      <c r="A1993">
        <v>1263</v>
      </c>
      <c r="B1993" s="4">
        <v>45899.375085336993</v>
      </c>
      <c r="C1993" t="s">
        <v>13</v>
      </c>
      <c r="D1993" t="s">
        <v>19</v>
      </c>
      <c r="E1993" t="s">
        <v>23</v>
      </c>
      <c r="F1993">
        <v>342.56</v>
      </c>
    </row>
    <row r="1994" spans="1:6" x14ac:dyDescent="0.35">
      <c r="A1994">
        <v>1260</v>
      </c>
      <c r="B1994" s="4">
        <v>45899.375085336993</v>
      </c>
      <c r="C1994" t="s">
        <v>6</v>
      </c>
      <c r="D1994" t="s">
        <v>22</v>
      </c>
      <c r="E1994" t="s">
        <v>23</v>
      </c>
      <c r="F1994">
        <v>10161.84</v>
      </c>
    </row>
    <row r="1995" spans="1:6" x14ac:dyDescent="0.35">
      <c r="A1995">
        <v>1091</v>
      </c>
      <c r="B1995" s="4">
        <v>45899.375085336993</v>
      </c>
      <c r="C1995" t="s">
        <v>7</v>
      </c>
      <c r="D1995" t="s">
        <v>18</v>
      </c>
      <c r="E1995" t="s">
        <v>24</v>
      </c>
      <c r="F1995">
        <v>5717.96</v>
      </c>
    </row>
    <row r="1996" spans="1:6" x14ac:dyDescent="0.35">
      <c r="A1996">
        <v>1285</v>
      </c>
      <c r="B1996" s="4">
        <v>45899.375085336993</v>
      </c>
      <c r="C1996" t="s">
        <v>6</v>
      </c>
      <c r="D1996" t="s">
        <v>20</v>
      </c>
      <c r="E1996" t="s">
        <v>24</v>
      </c>
      <c r="F1996">
        <v>4398.28</v>
      </c>
    </row>
    <row r="1997" spans="1:6" x14ac:dyDescent="0.35">
      <c r="A1997">
        <v>1253</v>
      </c>
      <c r="B1997" s="4">
        <v>45899.375085336993</v>
      </c>
      <c r="C1997" t="s">
        <v>11</v>
      </c>
      <c r="D1997" t="s">
        <v>16</v>
      </c>
      <c r="E1997" t="s">
        <v>24</v>
      </c>
      <c r="F1997">
        <v>7844.59</v>
      </c>
    </row>
    <row r="1998" spans="1:6" x14ac:dyDescent="0.35">
      <c r="A1998">
        <v>1254</v>
      </c>
      <c r="B1998" s="4">
        <v>45899.375085336993</v>
      </c>
      <c r="C1998" t="s">
        <v>9</v>
      </c>
      <c r="D1998" t="s">
        <v>19</v>
      </c>
      <c r="E1998" t="s">
        <v>24</v>
      </c>
      <c r="F1998">
        <v>5467.46</v>
      </c>
    </row>
    <row r="1999" spans="1:6" x14ac:dyDescent="0.35">
      <c r="A1999">
        <v>1256</v>
      </c>
      <c r="B1999" s="4">
        <v>45899.375085336993</v>
      </c>
      <c r="C1999" t="s">
        <v>14</v>
      </c>
      <c r="D1999" t="s">
        <v>19</v>
      </c>
      <c r="E1999" t="s">
        <v>25</v>
      </c>
      <c r="F1999">
        <v>3119.83</v>
      </c>
    </row>
    <row r="2000" spans="1:6" x14ac:dyDescent="0.35">
      <c r="A2000">
        <v>1236</v>
      </c>
      <c r="B2000" s="4">
        <v>45899.375085336993</v>
      </c>
      <c r="C2000" t="s">
        <v>10</v>
      </c>
      <c r="D2000" t="s">
        <v>16</v>
      </c>
      <c r="E2000" t="s">
        <v>25</v>
      </c>
      <c r="F2000">
        <v>6599.37</v>
      </c>
    </row>
    <row r="2001" spans="1:6" x14ac:dyDescent="0.35">
      <c r="A2001">
        <v>1288</v>
      </c>
      <c r="B2001" s="4">
        <v>45899.375085336993</v>
      </c>
      <c r="C2001" t="s">
        <v>13</v>
      </c>
      <c r="D2001" t="s">
        <v>17</v>
      </c>
      <c r="E2001" t="s">
        <v>24</v>
      </c>
      <c r="F2001">
        <v>2683.16</v>
      </c>
    </row>
    <row r="2002" spans="1:6" x14ac:dyDescent="0.35">
      <c r="A2002">
        <v>1379</v>
      </c>
      <c r="B2002" s="4">
        <v>45899.375085336993</v>
      </c>
      <c r="C2002" t="s">
        <v>14</v>
      </c>
      <c r="D2002" t="s">
        <v>22</v>
      </c>
      <c r="E2002" t="s">
        <v>25</v>
      </c>
      <c r="F2002">
        <v>1359.66</v>
      </c>
    </row>
    <row r="2003" spans="1:6" x14ac:dyDescent="0.35">
      <c r="A2003">
        <v>1006</v>
      </c>
      <c r="B2003" s="4">
        <v>45900.375085336993</v>
      </c>
      <c r="C2003" t="s">
        <v>6</v>
      </c>
      <c r="D2003" t="s">
        <v>18</v>
      </c>
      <c r="E2003" t="s">
        <v>23</v>
      </c>
      <c r="F2003">
        <v>5332.82</v>
      </c>
    </row>
    <row r="2004" spans="1:6" x14ac:dyDescent="0.35">
      <c r="A2004">
        <v>1081</v>
      </c>
      <c r="B2004" s="4">
        <v>45900.375085336993</v>
      </c>
      <c r="C2004" t="s">
        <v>7</v>
      </c>
      <c r="D2004" t="s">
        <v>17</v>
      </c>
      <c r="E2004" t="s">
        <v>24</v>
      </c>
      <c r="F2004">
        <v>4310.84</v>
      </c>
    </row>
    <row r="2005" spans="1:6" x14ac:dyDescent="0.35">
      <c r="A2005">
        <v>1301</v>
      </c>
      <c r="B2005" s="4">
        <v>45900.375085336993</v>
      </c>
      <c r="C2005" t="s">
        <v>14</v>
      </c>
      <c r="D2005" t="s">
        <v>20</v>
      </c>
      <c r="E2005" t="s">
        <v>23</v>
      </c>
      <c r="F2005">
        <v>4227.18</v>
      </c>
    </row>
    <row r="2006" spans="1:6" x14ac:dyDescent="0.35">
      <c r="A2006">
        <v>1030</v>
      </c>
      <c r="B2006" s="4">
        <v>45900.375085336993</v>
      </c>
      <c r="C2006" t="s">
        <v>9</v>
      </c>
      <c r="D2006" t="s">
        <v>17</v>
      </c>
      <c r="E2006" t="s">
        <v>25</v>
      </c>
      <c r="F2006">
        <v>1506.19</v>
      </c>
    </row>
    <row r="2007" spans="1:6" x14ac:dyDescent="0.35">
      <c r="A2007">
        <v>1168</v>
      </c>
      <c r="B2007" s="4">
        <v>45900.375085336993</v>
      </c>
      <c r="C2007" t="s">
        <v>15</v>
      </c>
      <c r="D2007" t="s">
        <v>21</v>
      </c>
      <c r="E2007" t="s">
        <v>25</v>
      </c>
      <c r="F2007">
        <v>1037.93</v>
      </c>
    </row>
    <row r="2008" spans="1:6" x14ac:dyDescent="0.35">
      <c r="A2008">
        <v>1027</v>
      </c>
      <c r="B2008" s="4">
        <v>45901.375085336993</v>
      </c>
      <c r="C2008" t="s">
        <v>10</v>
      </c>
      <c r="D2008" t="s">
        <v>18</v>
      </c>
      <c r="E2008" t="s">
        <v>24</v>
      </c>
      <c r="F2008">
        <v>2871.9</v>
      </c>
    </row>
    <row r="2009" spans="1:6" x14ac:dyDescent="0.35">
      <c r="A2009">
        <v>1006</v>
      </c>
      <c r="B2009" s="4">
        <v>45901.375085336993</v>
      </c>
      <c r="C2009" t="s">
        <v>9</v>
      </c>
      <c r="D2009" t="s">
        <v>22</v>
      </c>
      <c r="E2009" t="s">
        <v>23</v>
      </c>
      <c r="F2009">
        <v>3945.56</v>
      </c>
    </row>
    <row r="2010" spans="1:6" x14ac:dyDescent="0.35">
      <c r="A2010">
        <v>1262</v>
      </c>
      <c r="B2010" s="4">
        <v>45901.375085336993</v>
      </c>
      <c r="C2010" t="s">
        <v>7</v>
      </c>
      <c r="D2010" t="s">
        <v>20</v>
      </c>
      <c r="E2010" t="s">
        <v>25</v>
      </c>
      <c r="F2010">
        <v>2803.19</v>
      </c>
    </row>
    <row r="2011" spans="1:6" x14ac:dyDescent="0.35">
      <c r="A2011">
        <v>1392</v>
      </c>
      <c r="B2011" s="4">
        <v>45902.375085336993</v>
      </c>
      <c r="C2011" t="s">
        <v>6</v>
      </c>
      <c r="D2011" t="s">
        <v>19</v>
      </c>
      <c r="E2011" t="s">
        <v>23</v>
      </c>
      <c r="F2011">
        <v>2832.47</v>
      </c>
    </row>
    <row r="2012" spans="1:6" x14ac:dyDescent="0.35">
      <c r="A2012">
        <v>1386</v>
      </c>
      <c r="B2012" s="4">
        <v>45902.375085336993</v>
      </c>
      <c r="C2012" t="s">
        <v>7</v>
      </c>
      <c r="D2012" t="s">
        <v>20</v>
      </c>
      <c r="E2012" t="s">
        <v>23</v>
      </c>
      <c r="F2012">
        <v>2518.54</v>
      </c>
    </row>
    <row r="2013" spans="1:6" x14ac:dyDescent="0.35">
      <c r="A2013">
        <v>1207</v>
      </c>
      <c r="B2013" s="4">
        <v>45903.375085336993</v>
      </c>
      <c r="C2013" t="s">
        <v>13</v>
      </c>
      <c r="D2013" t="s">
        <v>21</v>
      </c>
      <c r="E2013" t="s">
        <v>23</v>
      </c>
      <c r="F2013">
        <v>361.51</v>
      </c>
    </row>
    <row r="2014" spans="1:6" x14ac:dyDescent="0.35">
      <c r="A2014">
        <v>1228</v>
      </c>
      <c r="B2014" s="4">
        <v>45904.375085336993</v>
      </c>
      <c r="C2014" t="s">
        <v>10</v>
      </c>
      <c r="D2014" t="s">
        <v>21</v>
      </c>
      <c r="E2014" t="s">
        <v>24</v>
      </c>
      <c r="F2014">
        <v>4246.05</v>
      </c>
    </row>
    <row r="2015" spans="1:6" x14ac:dyDescent="0.35">
      <c r="A2015">
        <v>1054</v>
      </c>
      <c r="B2015" s="4">
        <v>45904.375085336993</v>
      </c>
      <c r="C2015" t="s">
        <v>8</v>
      </c>
      <c r="D2015" t="s">
        <v>20</v>
      </c>
      <c r="E2015" t="s">
        <v>23</v>
      </c>
      <c r="F2015">
        <v>5781.8</v>
      </c>
    </row>
    <row r="2016" spans="1:6" x14ac:dyDescent="0.35">
      <c r="A2016">
        <v>1049</v>
      </c>
      <c r="B2016" s="4">
        <v>45904.375085336993</v>
      </c>
      <c r="C2016" t="s">
        <v>14</v>
      </c>
      <c r="D2016" t="s">
        <v>18</v>
      </c>
      <c r="E2016" t="s">
        <v>23</v>
      </c>
      <c r="F2016">
        <v>834.87</v>
      </c>
    </row>
    <row r="2017" spans="1:6" x14ac:dyDescent="0.35">
      <c r="A2017">
        <v>1162</v>
      </c>
      <c r="B2017" s="4">
        <v>45904.375085336993</v>
      </c>
      <c r="C2017" t="s">
        <v>14</v>
      </c>
      <c r="D2017" t="s">
        <v>19</v>
      </c>
      <c r="E2017" t="s">
        <v>25</v>
      </c>
      <c r="F2017">
        <v>9421.2099999999991</v>
      </c>
    </row>
    <row r="2018" spans="1:6" x14ac:dyDescent="0.35">
      <c r="A2018">
        <v>1250</v>
      </c>
      <c r="B2018" s="4">
        <v>45904.375085336993</v>
      </c>
      <c r="C2018" t="s">
        <v>13</v>
      </c>
      <c r="D2018" t="s">
        <v>18</v>
      </c>
      <c r="E2018" t="s">
        <v>23</v>
      </c>
      <c r="F2018">
        <v>2201.41</v>
      </c>
    </row>
    <row r="2019" spans="1:6" x14ac:dyDescent="0.35">
      <c r="A2019">
        <v>1133</v>
      </c>
      <c r="B2019" s="4">
        <v>45904.375085336993</v>
      </c>
      <c r="C2019" t="s">
        <v>15</v>
      </c>
      <c r="D2019" t="s">
        <v>19</v>
      </c>
      <c r="E2019" t="s">
        <v>24</v>
      </c>
      <c r="F2019">
        <v>5264</v>
      </c>
    </row>
    <row r="2020" spans="1:6" x14ac:dyDescent="0.35">
      <c r="A2020">
        <v>1396</v>
      </c>
      <c r="B2020" s="4">
        <v>45904.375085336993</v>
      </c>
      <c r="C2020" t="s">
        <v>9</v>
      </c>
      <c r="D2020" t="s">
        <v>20</v>
      </c>
      <c r="E2020" t="s">
        <v>23</v>
      </c>
      <c r="F2020">
        <v>3275.38</v>
      </c>
    </row>
    <row r="2021" spans="1:6" x14ac:dyDescent="0.35">
      <c r="A2021">
        <v>1057</v>
      </c>
      <c r="B2021" s="4">
        <v>45904.375085336993</v>
      </c>
      <c r="C2021" t="s">
        <v>10</v>
      </c>
      <c r="D2021" t="s">
        <v>21</v>
      </c>
      <c r="E2021" t="s">
        <v>24</v>
      </c>
      <c r="F2021">
        <v>2798.84</v>
      </c>
    </row>
    <row r="2022" spans="1:6" x14ac:dyDescent="0.35">
      <c r="A2022">
        <v>1231</v>
      </c>
      <c r="B2022" s="4">
        <v>45905.375085336993</v>
      </c>
      <c r="C2022" t="s">
        <v>13</v>
      </c>
      <c r="D2022" t="s">
        <v>17</v>
      </c>
      <c r="E2022" t="s">
        <v>25</v>
      </c>
      <c r="F2022">
        <v>4168.4399999999996</v>
      </c>
    </row>
    <row r="2023" spans="1:6" x14ac:dyDescent="0.35">
      <c r="A2023">
        <v>1273</v>
      </c>
      <c r="B2023" s="4">
        <v>45905.375085336993</v>
      </c>
      <c r="C2023" t="s">
        <v>8</v>
      </c>
      <c r="D2023" t="s">
        <v>18</v>
      </c>
      <c r="E2023" t="s">
        <v>23</v>
      </c>
      <c r="F2023">
        <v>8166.49</v>
      </c>
    </row>
    <row r="2024" spans="1:6" x14ac:dyDescent="0.35">
      <c r="A2024">
        <v>1348</v>
      </c>
      <c r="B2024" s="4">
        <v>45905.375085336993</v>
      </c>
      <c r="C2024" t="s">
        <v>7</v>
      </c>
      <c r="D2024" t="s">
        <v>19</v>
      </c>
      <c r="E2024" t="s">
        <v>23</v>
      </c>
      <c r="F2024">
        <v>2680.42</v>
      </c>
    </row>
    <row r="2025" spans="1:6" x14ac:dyDescent="0.35">
      <c r="A2025">
        <v>1040</v>
      </c>
      <c r="B2025" s="4">
        <v>45905.375085336993</v>
      </c>
      <c r="C2025" t="s">
        <v>13</v>
      </c>
      <c r="D2025" t="s">
        <v>21</v>
      </c>
      <c r="E2025" t="s">
        <v>24</v>
      </c>
      <c r="F2025">
        <v>6839.57</v>
      </c>
    </row>
    <row r="2026" spans="1:6" x14ac:dyDescent="0.35">
      <c r="A2026">
        <v>1373</v>
      </c>
      <c r="B2026" s="4">
        <v>45905.375085336993</v>
      </c>
      <c r="C2026" t="s">
        <v>8</v>
      </c>
      <c r="D2026" t="s">
        <v>20</v>
      </c>
      <c r="E2026" t="s">
        <v>23</v>
      </c>
      <c r="F2026">
        <v>1627.54</v>
      </c>
    </row>
    <row r="2027" spans="1:6" x14ac:dyDescent="0.35">
      <c r="A2027">
        <v>1090</v>
      </c>
      <c r="B2027" s="4">
        <v>45905.375085336993</v>
      </c>
      <c r="C2027" t="s">
        <v>14</v>
      </c>
      <c r="D2027" t="s">
        <v>22</v>
      </c>
      <c r="E2027" t="s">
        <v>25</v>
      </c>
      <c r="F2027">
        <v>4761.37</v>
      </c>
    </row>
    <row r="2028" spans="1:6" x14ac:dyDescent="0.35">
      <c r="A2028">
        <v>1104</v>
      </c>
      <c r="B2028" s="4">
        <v>45906.375085336993</v>
      </c>
      <c r="C2028" t="s">
        <v>8</v>
      </c>
      <c r="D2028" t="s">
        <v>16</v>
      </c>
      <c r="E2028" t="s">
        <v>25</v>
      </c>
      <c r="F2028">
        <v>1167.05</v>
      </c>
    </row>
    <row r="2029" spans="1:6" x14ac:dyDescent="0.35">
      <c r="A2029">
        <v>1132</v>
      </c>
      <c r="B2029" s="4">
        <v>45906.375085336993</v>
      </c>
      <c r="C2029" t="s">
        <v>11</v>
      </c>
      <c r="D2029" t="s">
        <v>18</v>
      </c>
      <c r="E2029" t="s">
        <v>23</v>
      </c>
      <c r="F2029">
        <v>2054.7199999999998</v>
      </c>
    </row>
    <row r="2030" spans="1:6" x14ac:dyDescent="0.35">
      <c r="A2030">
        <v>1157</v>
      </c>
      <c r="B2030" s="4">
        <v>45906.375085336993</v>
      </c>
      <c r="C2030" t="s">
        <v>6</v>
      </c>
      <c r="D2030" t="s">
        <v>22</v>
      </c>
      <c r="E2030" t="s">
        <v>24</v>
      </c>
      <c r="F2030">
        <v>2795.77</v>
      </c>
    </row>
    <row r="2031" spans="1:6" x14ac:dyDescent="0.35">
      <c r="A2031">
        <v>1293</v>
      </c>
      <c r="B2031" s="4">
        <v>45907.375085336993</v>
      </c>
      <c r="C2031" t="s">
        <v>10</v>
      </c>
      <c r="D2031" t="s">
        <v>18</v>
      </c>
      <c r="E2031" t="s">
        <v>23</v>
      </c>
      <c r="F2031">
        <v>3497.75</v>
      </c>
    </row>
    <row r="2032" spans="1:6" x14ac:dyDescent="0.35">
      <c r="A2032">
        <v>1093</v>
      </c>
      <c r="B2032" s="4">
        <v>45907.375085336993</v>
      </c>
      <c r="C2032" t="s">
        <v>12</v>
      </c>
      <c r="D2032" t="s">
        <v>19</v>
      </c>
      <c r="E2032" t="s">
        <v>23</v>
      </c>
      <c r="F2032">
        <v>5234.6400000000003</v>
      </c>
    </row>
    <row r="2033" spans="1:6" x14ac:dyDescent="0.35">
      <c r="A2033">
        <v>1024</v>
      </c>
      <c r="B2033" s="4">
        <v>45908.375085336993</v>
      </c>
      <c r="C2033" t="s">
        <v>13</v>
      </c>
      <c r="D2033" t="s">
        <v>19</v>
      </c>
      <c r="E2033" t="s">
        <v>24</v>
      </c>
      <c r="F2033">
        <v>2342.31</v>
      </c>
    </row>
    <row r="2034" spans="1:6" x14ac:dyDescent="0.35">
      <c r="A2034">
        <v>1225</v>
      </c>
      <c r="B2034" s="4">
        <v>45908.375085336993</v>
      </c>
      <c r="C2034" t="s">
        <v>13</v>
      </c>
      <c r="D2034" t="s">
        <v>16</v>
      </c>
      <c r="E2034" t="s">
        <v>23</v>
      </c>
      <c r="F2034">
        <v>1260.3499999999999</v>
      </c>
    </row>
    <row r="2035" spans="1:6" x14ac:dyDescent="0.35">
      <c r="A2035">
        <v>1092</v>
      </c>
      <c r="B2035" s="4">
        <v>45908.375085336993</v>
      </c>
      <c r="C2035" t="s">
        <v>13</v>
      </c>
      <c r="D2035" t="s">
        <v>20</v>
      </c>
      <c r="E2035" t="s">
        <v>24</v>
      </c>
      <c r="F2035">
        <v>4833.7299999999996</v>
      </c>
    </row>
    <row r="2036" spans="1:6" x14ac:dyDescent="0.35">
      <c r="A2036">
        <v>1062</v>
      </c>
      <c r="B2036" s="4">
        <v>45908.375085336993</v>
      </c>
      <c r="C2036" t="s">
        <v>8</v>
      </c>
      <c r="D2036" t="s">
        <v>22</v>
      </c>
      <c r="E2036" t="s">
        <v>24</v>
      </c>
      <c r="F2036">
        <v>1954.41</v>
      </c>
    </row>
    <row r="2037" spans="1:6" x14ac:dyDescent="0.35">
      <c r="A2037">
        <v>1165</v>
      </c>
      <c r="B2037" s="4">
        <v>45909.375085336993</v>
      </c>
      <c r="C2037" t="s">
        <v>15</v>
      </c>
      <c r="D2037" t="s">
        <v>21</v>
      </c>
      <c r="E2037" t="s">
        <v>25</v>
      </c>
      <c r="F2037">
        <v>2780.35</v>
      </c>
    </row>
    <row r="2038" spans="1:6" x14ac:dyDescent="0.35">
      <c r="A2038">
        <v>1258</v>
      </c>
      <c r="B2038" s="4">
        <v>45909.375085336993</v>
      </c>
      <c r="C2038" t="s">
        <v>8</v>
      </c>
      <c r="D2038" t="s">
        <v>16</v>
      </c>
      <c r="E2038" t="s">
        <v>24</v>
      </c>
      <c r="F2038">
        <v>2063.06</v>
      </c>
    </row>
    <row r="2039" spans="1:6" x14ac:dyDescent="0.35">
      <c r="A2039">
        <v>1227</v>
      </c>
      <c r="B2039" s="4">
        <v>45909.375085336993</v>
      </c>
      <c r="C2039" t="s">
        <v>8</v>
      </c>
      <c r="D2039" t="s">
        <v>20</v>
      </c>
      <c r="E2039" t="s">
        <v>24</v>
      </c>
      <c r="F2039">
        <v>7612.45</v>
      </c>
    </row>
    <row r="2040" spans="1:6" x14ac:dyDescent="0.35">
      <c r="A2040">
        <v>1112</v>
      </c>
      <c r="B2040" s="4">
        <v>45909.375085336993</v>
      </c>
      <c r="C2040" t="s">
        <v>15</v>
      </c>
      <c r="D2040" t="s">
        <v>16</v>
      </c>
      <c r="E2040" t="s">
        <v>24</v>
      </c>
      <c r="F2040">
        <v>728.26</v>
      </c>
    </row>
    <row r="2041" spans="1:6" x14ac:dyDescent="0.35">
      <c r="A2041">
        <v>1191</v>
      </c>
      <c r="B2041" s="4">
        <v>45909.375085336993</v>
      </c>
      <c r="C2041" t="s">
        <v>9</v>
      </c>
      <c r="D2041" t="s">
        <v>22</v>
      </c>
      <c r="E2041" t="s">
        <v>23</v>
      </c>
      <c r="F2041">
        <v>4075.82</v>
      </c>
    </row>
    <row r="2042" spans="1:6" x14ac:dyDescent="0.35">
      <c r="A2042">
        <v>1240</v>
      </c>
      <c r="B2042" s="4">
        <v>45909.375085336993</v>
      </c>
      <c r="C2042" t="s">
        <v>7</v>
      </c>
      <c r="D2042" t="s">
        <v>21</v>
      </c>
      <c r="E2042" t="s">
        <v>24</v>
      </c>
      <c r="F2042">
        <v>1907.41</v>
      </c>
    </row>
    <row r="2043" spans="1:6" x14ac:dyDescent="0.35">
      <c r="A2043">
        <v>1210</v>
      </c>
      <c r="B2043" s="4">
        <v>45909.375085336993</v>
      </c>
      <c r="C2043" t="s">
        <v>11</v>
      </c>
      <c r="D2043" t="s">
        <v>22</v>
      </c>
      <c r="E2043" t="s">
        <v>25</v>
      </c>
      <c r="F2043">
        <v>2450.79</v>
      </c>
    </row>
    <row r="2044" spans="1:6" x14ac:dyDescent="0.35">
      <c r="A2044">
        <v>1084</v>
      </c>
      <c r="B2044" s="4">
        <v>45909.375085336993</v>
      </c>
      <c r="C2044" t="s">
        <v>15</v>
      </c>
      <c r="D2044" t="s">
        <v>17</v>
      </c>
      <c r="E2044" t="s">
        <v>25</v>
      </c>
      <c r="F2044">
        <v>2311.21</v>
      </c>
    </row>
    <row r="2045" spans="1:6" x14ac:dyDescent="0.35">
      <c r="A2045">
        <v>1166</v>
      </c>
      <c r="B2045" s="4">
        <v>45910.375085336993</v>
      </c>
      <c r="C2045" t="s">
        <v>8</v>
      </c>
      <c r="D2045" t="s">
        <v>19</v>
      </c>
      <c r="E2045" t="s">
        <v>23</v>
      </c>
      <c r="F2045">
        <v>3243.83</v>
      </c>
    </row>
    <row r="2046" spans="1:6" x14ac:dyDescent="0.35">
      <c r="A2046">
        <v>1261</v>
      </c>
      <c r="B2046" s="4">
        <v>45910.375085336993</v>
      </c>
      <c r="C2046" t="s">
        <v>11</v>
      </c>
      <c r="D2046" t="s">
        <v>22</v>
      </c>
      <c r="E2046" t="s">
        <v>23</v>
      </c>
      <c r="F2046">
        <v>1746.86</v>
      </c>
    </row>
    <row r="2047" spans="1:6" x14ac:dyDescent="0.35">
      <c r="A2047">
        <v>1036</v>
      </c>
      <c r="B2047" s="4">
        <v>45910.375085336993</v>
      </c>
      <c r="C2047" t="s">
        <v>10</v>
      </c>
      <c r="D2047" t="s">
        <v>17</v>
      </c>
      <c r="E2047" t="s">
        <v>23</v>
      </c>
      <c r="F2047">
        <v>3766.23</v>
      </c>
    </row>
    <row r="2048" spans="1:6" x14ac:dyDescent="0.35">
      <c r="A2048">
        <v>1250</v>
      </c>
      <c r="B2048" s="4">
        <v>45910.375085336993</v>
      </c>
      <c r="C2048" t="s">
        <v>9</v>
      </c>
      <c r="D2048" t="s">
        <v>22</v>
      </c>
      <c r="E2048" t="s">
        <v>24</v>
      </c>
      <c r="F2048">
        <v>4634.91</v>
      </c>
    </row>
    <row r="2049" spans="1:6" x14ac:dyDescent="0.35">
      <c r="A2049">
        <v>1046</v>
      </c>
      <c r="B2049" s="4">
        <v>45910.375085336993</v>
      </c>
      <c r="C2049" t="s">
        <v>12</v>
      </c>
      <c r="D2049" t="s">
        <v>20</v>
      </c>
      <c r="E2049" t="s">
        <v>25</v>
      </c>
      <c r="F2049">
        <v>747.31</v>
      </c>
    </row>
    <row r="2050" spans="1:6" x14ac:dyDescent="0.35">
      <c r="A2050">
        <v>1077</v>
      </c>
      <c r="B2050" s="4">
        <v>45910.375085336993</v>
      </c>
      <c r="C2050" t="s">
        <v>6</v>
      </c>
      <c r="D2050" t="s">
        <v>16</v>
      </c>
      <c r="E2050" t="s">
        <v>24</v>
      </c>
      <c r="F2050">
        <v>456.26</v>
      </c>
    </row>
    <row r="2051" spans="1:6" x14ac:dyDescent="0.35">
      <c r="A2051">
        <v>1395</v>
      </c>
      <c r="B2051" s="4">
        <v>45910.375085336993</v>
      </c>
      <c r="C2051" t="s">
        <v>14</v>
      </c>
      <c r="D2051" t="s">
        <v>22</v>
      </c>
      <c r="E2051" t="s">
        <v>23</v>
      </c>
      <c r="F2051">
        <v>4703.6499999999996</v>
      </c>
    </row>
    <row r="2052" spans="1:6" x14ac:dyDescent="0.35">
      <c r="A2052">
        <v>1018</v>
      </c>
      <c r="B2052" s="4">
        <v>45911.375085336993</v>
      </c>
      <c r="C2052" t="s">
        <v>12</v>
      </c>
      <c r="D2052" t="s">
        <v>20</v>
      </c>
      <c r="E2052" t="s">
        <v>25</v>
      </c>
      <c r="F2052">
        <v>5473.91</v>
      </c>
    </row>
    <row r="2053" spans="1:6" x14ac:dyDescent="0.35">
      <c r="A2053">
        <v>1198</v>
      </c>
      <c r="B2053" s="4">
        <v>45911.375085336993</v>
      </c>
      <c r="C2053" t="s">
        <v>7</v>
      </c>
      <c r="D2053" t="s">
        <v>21</v>
      </c>
      <c r="E2053" t="s">
        <v>25</v>
      </c>
      <c r="F2053">
        <v>3228.74</v>
      </c>
    </row>
    <row r="2054" spans="1:6" x14ac:dyDescent="0.35">
      <c r="A2054">
        <v>1388</v>
      </c>
      <c r="B2054" s="4">
        <v>45912.375085336993</v>
      </c>
      <c r="C2054" t="s">
        <v>11</v>
      </c>
      <c r="D2054" t="s">
        <v>21</v>
      </c>
      <c r="E2054" t="s">
        <v>25</v>
      </c>
      <c r="F2054">
        <v>3018.49</v>
      </c>
    </row>
    <row r="2055" spans="1:6" x14ac:dyDescent="0.35">
      <c r="A2055">
        <v>1213</v>
      </c>
      <c r="B2055" s="4">
        <v>45912.375085336993</v>
      </c>
      <c r="C2055" t="s">
        <v>11</v>
      </c>
      <c r="D2055" t="s">
        <v>19</v>
      </c>
      <c r="E2055" t="s">
        <v>23</v>
      </c>
      <c r="F2055">
        <v>4089.04</v>
      </c>
    </row>
    <row r="2056" spans="1:6" x14ac:dyDescent="0.35">
      <c r="A2056">
        <v>1360</v>
      </c>
      <c r="B2056" s="4">
        <v>45912.375085336993</v>
      </c>
      <c r="C2056" t="s">
        <v>13</v>
      </c>
      <c r="D2056" t="s">
        <v>20</v>
      </c>
      <c r="E2056" t="s">
        <v>23</v>
      </c>
      <c r="F2056">
        <v>1343.93</v>
      </c>
    </row>
    <row r="2057" spans="1:6" x14ac:dyDescent="0.35">
      <c r="A2057">
        <v>1379</v>
      </c>
      <c r="B2057" s="4">
        <v>45912.375085336993</v>
      </c>
      <c r="C2057" t="s">
        <v>15</v>
      </c>
      <c r="D2057" t="s">
        <v>18</v>
      </c>
      <c r="E2057" t="s">
        <v>25</v>
      </c>
      <c r="F2057">
        <v>3311.26</v>
      </c>
    </row>
    <row r="2058" spans="1:6" x14ac:dyDescent="0.35">
      <c r="A2058">
        <v>1359</v>
      </c>
      <c r="B2058" s="4">
        <v>45913.375085336993</v>
      </c>
      <c r="C2058" t="s">
        <v>13</v>
      </c>
      <c r="D2058" t="s">
        <v>22</v>
      </c>
      <c r="E2058" t="s">
        <v>23</v>
      </c>
      <c r="F2058">
        <v>81.040000000000006</v>
      </c>
    </row>
    <row r="2059" spans="1:6" x14ac:dyDescent="0.35">
      <c r="A2059">
        <v>1248</v>
      </c>
      <c r="B2059" s="4">
        <v>45913.375085336993</v>
      </c>
      <c r="C2059" t="s">
        <v>11</v>
      </c>
      <c r="D2059" t="s">
        <v>19</v>
      </c>
      <c r="E2059" t="s">
        <v>24</v>
      </c>
      <c r="F2059">
        <v>2787.04</v>
      </c>
    </row>
    <row r="2060" spans="1:6" x14ac:dyDescent="0.35">
      <c r="A2060">
        <v>1363</v>
      </c>
      <c r="B2060" s="4">
        <v>45913.375085336993</v>
      </c>
      <c r="C2060" t="s">
        <v>9</v>
      </c>
      <c r="D2060" t="s">
        <v>17</v>
      </c>
      <c r="E2060" t="s">
        <v>23</v>
      </c>
      <c r="F2060">
        <v>1662.44</v>
      </c>
    </row>
    <row r="2061" spans="1:6" x14ac:dyDescent="0.35">
      <c r="A2061">
        <v>1186</v>
      </c>
      <c r="B2061" s="4">
        <v>45913.375085336993</v>
      </c>
      <c r="C2061" t="s">
        <v>7</v>
      </c>
      <c r="D2061" t="s">
        <v>22</v>
      </c>
      <c r="E2061" t="s">
        <v>23</v>
      </c>
      <c r="F2061">
        <v>3143.52</v>
      </c>
    </row>
    <row r="2062" spans="1:6" x14ac:dyDescent="0.35">
      <c r="A2062">
        <v>1176</v>
      </c>
      <c r="B2062" s="4">
        <v>45913.375085336993</v>
      </c>
      <c r="C2062" t="s">
        <v>11</v>
      </c>
      <c r="D2062" t="s">
        <v>20</v>
      </c>
      <c r="E2062" t="s">
        <v>24</v>
      </c>
      <c r="F2062">
        <v>4201.16</v>
      </c>
    </row>
    <row r="2063" spans="1:6" x14ac:dyDescent="0.35">
      <c r="A2063">
        <v>1100</v>
      </c>
      <c r="B2063" s="4">
        <v>45914.375085336993</v>
      </c>
      <c r="C2063" t="s">
        <v>9</v>
      </c>
      <c r="D2063" t="s">
        <v>18</v>
      </c>
      <c r="E2063" t="s">
        <v>23</v>
      </c>
      <c r="F2063">
        <v>10568.3</v>
      </c>
    </row>
    <row r="2064" spans="1:6" x14ac:dyDescent="0.35">
      <c r="A2064">
        <v>1079</v>
      </c>
      <c r="B2064" s="4">
        <v>45914.375085336993</v>
      </c>
      <c r="C2064" t="s">
        <v>11</v>
      </c>
      <c r="D2064" t="s">
        <v>20</v>
      </c>
      <c r="E2064" t="s">
        <v>25</v>
      </c>
      <c r="F2064">
        <v>1608.86</v>
      </c>
    </row>
    <row r="2065" spans="1:6" x14ac:dyDescent="0.35">
      <c r="A2065">
        <v>1369</v>
      </c>
      <c r="B2065" s="4">
        <v>45914.375085336993</v>
      </c>
      <c r="C2065" t="s">
        <v>6</v>
      </c>
      <c r="D2065" t="s">
        <v>16</v>
      </c>
      <c r="E2065" t="s">
        <v>24</v>
      </c>
      <c r="F2065">
        <v>11849.22</v>
      </c>
    </row>
    <row r="2066" spans="1:6" x14ac:dyDescent="0.35">
      <c r="A2066">
        <v>1176</v>
      </c>
      <c r="B2066" s="4">
        <v>45914.375085336993</v>
      </c>
      <c r="C2066" t="s">
        <v>8</v>
      </c>
      <c r="D2066" t="s">
        <v>16</v>
      </c>
      <c r="E2066" t="s">
        <v>24</v>
      </c>
      <c r="F2066">
        <v>1223.56</v>
      </c>
    </row>
    <row r="2067" spans="1:6" x14ac:dyDescent="0.35">
      <c r="A2067">
        <v>1348</v>
      </c>
      <c r="B2067" s="4">
        <v>45914.375085336993</v>
      </c>
      <c r="C2067" t="s">
        <v>12</v>
      </c>
      <c r="D2067" t="s">
        <v>21</v>
      </c>
      <c r="E2067" t="s">
        <v>23</v>
      </c>
      <c r="F2067">
        <v>3782.71</v>
      </c>
    </row>
    <row r="2068" spans="1:6" x14ac:dyDescent="0.35">
      <c r="A2068">
        <v>1192</v>
      </c>
      <c r="B2068" s="4">
        <v>45914.375085336993</v>
      </c>
      <c r="C2068" t="s">
        <v>12</v>
      </c>
      <c r="D2068" t="s">
        <v>20</v>
      </c>
      <c r="E2068" t="s">
        <v>25</v>
      </c>
      <c r="F2068">
        <v>928.89</v>
      </c>
    </row>
    <row r="2069" spans="1:6" x14ac:dyDescent="0.35">
      <c r="A2069">
        <v>1347</v>
      </c>
      <c r="B2069" s="4">
        <v>45915.375085336993</v>
      </c>
      <c r="C2069" t="s">
        <v>9</v>
      </c>
      <c r="D2069" t="s">
        <v>21</v>
      </c>
      <c r="E2069" t="s">
        <v>23</v>
      </c>
      <c r="F2069">
        <v>5265.14</v>
      </c>
    </row>
    <row r="2070" spans="1:6" x14ac:dyDescent="0.35">
      <c r="A2070">
        <v>1298</v>
      </c>
      <c r="B2070" s="4">
        <v>45916.375085336993</v>
      </c>
      <c r="C2070" t="s">
        <v>13</v>
      </c>
      <c r="D2070" t="s">
        <v>21</v>
      </c>
      <c r="E2070" t="s">
        <v>24</v>
      </c>
      <c r="F2070">
        <v>2092.0500000000002</v>
      </c>
    </row>
    <row r="2071" spans="1:6" x14ac:dyDescent="0.35">
      <c r="A2071">
        <v>1124</v>
      </c>
      <c r="B2071" s="4">
        <v>45916.375085336993</v>
      </c>
      <c r="C2071" t="s">
        <v>14</v>
      </c>
      <c r="D2071" t="s">
        <v>22</v>
      </c>
      <c r="E2071" t="s">
        <v>23</v>
      </c>
      <c r="F2071">
        <v>11508.1</v>
      </c>
    </row>
    <row r="2072" spans="1:6" x14ac:dyDescent="0.35">
      <c r="A2072">
        <v>1029</v>
      </c>
      <c r="B2072" s="4">
        <v>45916.375085336993</v>
      </c>
      <c r="C2072" t="s">
        <v>7</v>
      </c>
      <c r="D2072" t="s">
        <v>21</v>
      </c>
      <c r="E2072" t="s">
        <v>25</v>
      </c>
      <c r="F2072">
        <v>7276.43</v>
      </c>
    </row>
    <row r="2073" spans="1:6" x14ac:dyDescent="0.35">
      <c r="A2073">
        <v>1269</v>
      </c>
      <c r="B2073" s="4">
        <v>45916.375085336993</v>
      </c>
      <c r="C2073" t="s">
        <v>12</v>
      </c>
      <c r="D2073" t="s">
        <v>18</v>
      </c>
      <c r="E2073" t="s">
        <v>24</v>
      </c>
      <c r="F2073">
        <v>9176.67</v>
      </c>
    </row>
    <row r="2074" spans="1:6" x14ac:dyDescent="0.35">
      <c r="A2074">
        <v>1302</v>
      </c>
      <c r="B2074" s="4">
        <v>45916.375085336993</v>
      </c>
      <c r="C2074" t="s">
        <v>6</v>
      </c>
      <c r="D2074" t="s">
        <v>19</v>
      </c>
      <c r="E2074" t="s">
        <v>23</v>
      </c>
      <c r="F2074">
        <v>2893.01</v>
      </c>
    </row>
    <row r="2075" spans="1:6" x14ac:dyDescent="0.35">
      <c r="A2075">
        <v>1290</v>
      </c>
      <c r="B2075" s="4">
        <v>45916.375085336993</v>
      </c>
      <c r="C2075" t="s">
        <v>12</v>
      </c>
      <c r="D2075" t="s">
        <v>17</v>
      </c>
      <c r="E2075" t="s">
        <v>23</v>
      </c>
      <c r="F2075">
        <v>2602.7800000000002</v>
      </c>
    </row>
    <row r="2076" spans="1:6" x14ac:dyDescent="0.35">
      <c r="A2076">
        <v>1327</v>
      </c>
      <c r="B2076" s="4">
        <v>45917.375085336993</v>
      </c>
      <c r="C2076" t="s">
        <v>9</v>
      </c>
      <c r="D2076" t="s">
        <v>20</v>
      </c>
      <c r="E2076" t="s">
        <v>25</v>
      </c>
      <c r="F2076">
        <v>3139.65</v>
      </c>
    </row>
    <row r="2077" spans="1:6" x14ac:dyDescent="0.35">
      <c r="A2077">
        <v>1104</v>
      </c>
      <c r="B2077" s="4">
        <v>45917.375085336993</v>
      </c>
      <c r="C2077" t="s">
        <v>6</v>
      </c>
      <c r="D2077" t="s">
        <v>20</v>
      </c>
      <c r="E2077" t="s">
        <v>24</v>
      </c>
      <c r="F2077">
        <v>4561.1499999999996</v>
      </c>
    </row>
    <row r="2078" spans="1:6" x14ac:dyDescent="0.35">
      <c r="A2078">
        <v>1025</v>
      </c>
      <c r="B2078" s="4">
        <v>45919.375085336993</v>
      </c>
      <c r="C2078" t="s">
        <v>12</v>
      </c>
      <c r="D2078" t="s">
        <v>17</v>
      </c>
      <c r="E2078" t="s">
        <v>24</v>
      </c>
      <c r="F2078">
        <v>486.11</v>
      </c>
    </row>
    <row r="2079" spans="1:6" x14ac:dyDescent="0.35">
      <c r="A2079">
        <v>1012</v>
      </c>
      <c r="B2079" s="4">
        <v>45919.375085336993</v>
      </c>
      <c r="C2079" t="s">
        <v>15</v>
      </c>
      <c r="D2079" t="s">
        <v>22</v>
      </c>
      <c r="E2079" t="s">
        <v>23</v>
      </c>
      <c r="F2079">
        <v>5952.2</v>
      </c>
    </row>
    <row r="2080" spans="1:6" x14ac:dyDescent="0.35">
      <c r="A2080">
        <v>1265</v>
      </c>
      <c r="B2080" s="4">
        <v>45919.375085336993</v>
      </c>
      <c r="C2080" t="s">
        <v>12</v>
      </c>
      <c r="D2080" t="s">
        <v>18</v>
      </c>
      <c r="E2080" t="s">
        <v>23</v>
      </c>
      <c r="F2080">
        <v>4653.2</v>
      </c>
    </row>
    <row r="2081" spans="1:6" x14ac:dyDescent="0.35">
      <c r="A2081">
        <v>1389</v>
      </c>
      <c r="B2081" s="4">
        <v>45919.375085336993</v>
      </c>
      <c r="C2081" t="s">
        <v>15</v>
      </c>
      <c r="D2081" t="s">
        <v>17</v>
      </c>
      <c r="E2081" t="s">
        <v>23</v>
      </c>
      <c r="F2081">
        <v>3157.28</v>
      </c>
    </row>
    <row r="2082" spans="1:6" x14ac:dyDescent="0.35">
      <c r="A2082">
        <v>1291</v>
      </c>
      <c r="B2082" s="4">
        <v>45919.375085336993</v>
      </c>
      <c r="C2082" t="s">
        <v>14</v>
      </c>
      <c r="D2082" t="s">
        <v>21</v>
      </c>
      <c r="E2082" t="s">
        <v>24</v>
      </c>
      <c r="F2082">
        <v>1618.06</v>
      </c>
    </row>
    <row r="2083" spans="1:6" x14ac:dyDescent="0.35">
      <c r="A2083">
        <v>1313</v>
      </c>
      <c r="B2083" s="4">
        <v>45919.375085336993</v>
      </c>
      <c r="C2083" t="s">
        <v>13</v>
      </c>
      <c r="D2083" t="s">
        <v>21</v>
      </c>
      <c r="E2083" t="s">
        <v>23</v>
      </c>
      <c r="F2083">
        <v>4458.92</v>
      </c>
    </row>
    <row r="2084" spans="1:6" x14ac:dyDescent="0.35">
      <c r="A2084">
        <v>1203</v>
      </c>
      <c r="B2084" s="4">
        <v>45919.375085336993</v>
      </c>
      <c r="C2084" t="s">
        <v>12</v>
      </c>
      <c r="D2084" t="s">
        <v>17</v>
      </c>
      <c r="E2084" t="s">
        <v>25</v>
      </c>
      <c r="F2084">
        <v>2569.2600000000002</v>
      </c>
    </row>
    <row r="2085" spans="1:6" x14ac:dyDescent="0.35">
      <c r="A2085">
        <v>1124</v>
      </c>
      <c r="B2085" s="4">
        <v>45920.375085336993</v>
      </c>
      <c r="C2085" t="s">
        <v>9</v>
      </c>
      <c r="D2085" t="s">
        <v>21</v>
      </c>
      <c r="E2085" t="s">
        <v>24</v>
      </c>
      <c r="F2085">
        <v>6283</v>
      </c>
    </row>
    <row r="2086" spans="1:6" x14ac:dyDescent="0.35">
      <c r="A2086">
        <v>1050</v>
      </c>
      <c r="B2086" s="4">
        <v>45920.375085336993</v>
      </c>
      <c r="C2086" t="s">
        <v>13</v>
      </c>
      <c r="D2086" t="s">
        <v>16</v>
      </c>
      <c r="E2086" t="s">
        <v>25</v>
      </c>
      <c r="F2086">
        <v>537.11</v>
      </c>
    </row>
    <row r="2087" spans="1:6" x14ac:dyDescent="0.35">
      <c r="A2087">
        <v>1153</v>
      </c>
      <c r="B2087" s="4">
        <v>45920.375085336993</v>
      </c>
      <c r="C2087" t="s">
        <v>9</v>
      </c>
      <c r="D2087" t="s">
        <v>21</v>
      </c>
      <c r="E2087" t="s">
        <v>25</v>
      </c>
      <c r="F2087">
        <v>2516.1999999999998</v>
      </c>
    </row>
    <row r="2088" spans="1:6" x14ac:dyDescent="0.35">
      <c r="A2088">
        <v>1066</v>
      </c>
      <c r="B2088" s="4">
        <v>45920.375085336993</v>
      </c>
      <c r="C2088" t="s">
        <v>6</v>
      </c>
      <c r="D2088" t="s">
        <v>19</v>
      </c>
      <c r="E2088" t="s">
        <v>23</v>
      </c>
      <c r="F2088">
        <v>836.08</v>
      </c>
    </row>
    <row r="2089" spans="1:6" x14ac:dyDescent="0.35">
      <c r="A2089">
        <v>1370</v>
      </c>
      <c r="B2089" s="4">
        <v>45921.375085336993</v>
      </c>
      <c r="C2089" t="s">
        <v>11</v>
      </c>
      <c r="D2089" t="s">
        <v>19</v>
      </c>
      <c r="E2089" t="s">
        <v>24</v>
      </c>
      <c r="F2089">
        <v>8335.7900000000009</v>
      </c>
    </row>
    <row r="2090" spans="1:6" x14ac:dyDescent="0.35">
      <c r="A2090">
        <v>1303</v>
      </c>
      <c r="B2090" s="4">
        <v>45921.375085336993</v>
      </c>
      <c r="C2090" t="s">
        <v>12</v>
      </c>
      <c r="D2090" t="s">
        <v>17</v>
      </c>
      <c r="E2090" t="s">
        <v>25</v>
      </c>
      <c r="F2090">
        <v>1622.07</v>
      </c>
    </row>
    <row r="2091" spans="1:6" x14ac:dyDescent="0.35">
      <c r="A2091">
        <v>1264</v>
      </c>
      <c r="B2091" s="4">
        <v>45921.375085336993</v>
      </c>
      <c r="C2091" t="s">
        <v>10</v>
      </c>
      <c r="D2091" t="s">
        <v>17</v>
      </c>
      <c r="E2091" t="s">
        <v>24</v>
      </c>
      <c r="F2091">
        <v>2244.06</v>
      </c>
    </row>
    <row r="2092" spans="1:6" x14ac:dyDescent="0.35">
      <c r="A2092">
        <v>1019</v>
      </c>
      <c r="B2092" s="4">
        <v>45922.375085336993</v>
      </c>
      <c r="C2092" t="s">
        <v>10</v>
      </c>
      <c r="D2092" t="s">
        <v>21</v>
      </c>
      <c r="E2092" t="s">
        <v>25</v>
      </c>
      <c r="F2092">
        <v>4490.1099999999997</v>
      </c>
    </row>
    <row r="2093" spans="1:6" x14ac:dyDescent="0.35">
      <c r="A2093">
        <v>1220</v>
      </c>
      <c r="B2093" s="4">
        <v>45922.375085336993</v>
      </c>
      <c r="C2093" t="s">
        <v>6</v>
      </c>
      <c r="D2093" t="s">
        <v>22</v>
      </c>
      <c r="E2093" t="s">
        <v>23</v>
      </c>
      <c r="F2093">
        <v>3886.67</v>
      </c>
    </row>
    <row r="2094" spans="1:6" x14ac:dyDescent="0.35">
      <c r="A2094">
        <v>1035</v>
      </c>
      <c r="B2094" s="4">
        <v>45922.375085336993</v>
      </c>
      <c r="C2094" t="s">
        <v>6</v>
      </c>
      <c r="D2094" t="s">
        <v>16</v>
      </c>
      <c r="E2094" t="s">
        <v>24</v>
      </c>
      <c r="F2094">
        <v>2003.16</v>
      </c>
    </row>
    <row r="2095" spans="1:6" x14ac:dyDescent="0.35">
      <c r="A2095">
        <v>1035</v>
      </c>
      <c r="B2095" s="4">
        <v>45922.375085336993</v>
      </c>
      <c r="C2095" t="s">
        <v>8</v>
      </c>
      <c r="D2095" t="s">
        <v>18</v>
      </c>
      <c r="E2095" t="s">
        <v>23</v>
      </c>
      <c r="F2095">
        <v>3699.03</v>
      </c>
    </row>
    <row r="2096" spans="1:6" x14ac:dyDescent="0.35">
      <c r="A2096">
        <v>1301</v>
      </c>
      <c r="B2096" s="4">
        <v>45922.375085336993</v>
      </c>
      <c r="C2096" t="s">
        <v>13</v>
      </c>
      <c r="D2096" t="s">
        <v>17</v>
      </c>
      <c r="E2096" t="s">
        <v>24</v>
      </c>
      <c r="F2096">
        <v>1145.72</v>
      </c>
    </row>
    <row r="2097" spans="1:6" x14ac:dyDescent="0.35">
      <c r="A2097">
        <v>1155</v>
      </c>
      <c r="B2097" s="4">
        <v>45922.375085336993</v>
      </c>
      <c r="C2097" t="s">
        <v>11</v>
      </c>
      <c r="D2097" t="s">
        <v>22</v>
      </c>
      <c r="E2097" t="s">
        <v>24</v>
      </c>
      <c r="F2097">
        <v>2229.5700000000002</v>
      </c>
    </row>
    <row r="2098" spans="1:6" x14ac:dyDescent="0.35">
      <c r="A2098">
        <v>1338</v>
      </c>
      <c r="B2098" s="4">
        <v>45923.375085336993</v>
      </c>
      <c r="C2098" t="s">
        <v>12</v>
      </c>
      <c r="D2098" t="s">
        <v>19</v>
      </c>
      <c r="E2098" t="s">
        <v>23</v>
      </c>
      <c r="F2098">
        <v>702.23</v>
      </c>
    </row>
    <row r="2099" spans="1:6" x14ac:dyDescent="0.35">
      <c r="A2099">
        <v>1037</v>
      </c>
      <c r="B2099" s="4">
        <v>45923.375085336993</v>
      </c>
      <c r="C2099" t="s">
        <v>8</v>
      </c>
      <c r="D2099" t="s">
        <v>20</v>
      </c>
      <c r="E2099" t="s">
        <v>23</v>
      </c>
      <c r="F2099">
        <v>5366.04</v>
      </c>
    </row>
    <row r="2100" spans="1:6" x14ac:dyDescent="0.35">
      <c r="A2100">
        <v>1173</v>
      </c>
      <c r="B2100" s="4">
        <v>45923.375085336993</v>
      </c>
      <c r="C2100" t="s">
        <v>7</v>
      </c>
      <c r="D2100" t="s">
        <v>18</v>
      </c>
      <c r="E2100" t="s">
        <v>23</v>
      </c>
      <c r="F2100">
        <v>2799.92</v>
      </c>
    </row>
    <row r="2101" spans="1:6" x14ac:dyDescent="0.35">
      <c r="A2101">
        <v>1148</v>
      </c>
      <c r="B2101" s="4">
        <v>45924.375085336993</v>
      </c>
      <c r="C2101" t="s">
        <v>7</v>
      </c>
      <c r="D2101" t="s">
        <v>21</v>
      </c>
      <c r="E2101" t="s">
        <v>23</v>
      </c>
      <c r="F2101">
        <v>12314.14</v>
      </c>
    </row>
    <row r="2102" spans="1:6" x14ac:dyDescent="0.35">
      <c r="A2102">
        <v>1178</v>
      </c>
      <c r="B2102" s="4">
        <v>45924.375085336993</v>
      </c>
      <c r="C2102" t="s">
        <v>12</v>
      </c>
      <c r="D2102" t="s">
        <v>22</v>
      </c>
      <c r="E2102" t="s">
        <v>25</v>
      </c>
      <c r="F2102">
        <v>3892.78</v>
      </c>
    </row>
    <row r="2103" spans="1:6" x14ac:dyDescent="0.35">
      <c r="A2103">
        <v>1274</v>
      </c>
      <c r="B2103" s="4">
        <v>45924.375085336993</v>
      </c>
      <c r="C2103" t="s">
        <v>8</v>
      </c>
      <c r="D2103" t="s">
        <v>16</v>
      </c>
      <c r="E2103" t="s">
        <v>25</v>
      </c>
      <c r="F2103">
        <v>1749.43</v>
      </c>
    </row>
    <row r="2104" spans="1:6" x14ac:dyDescent="0.35">
      <c r="A2104">
        <v>1080</v>
      </c>
      <c r="B2104" s="4">
        <v>45924.375085336993</v>
      </c>
      <c r="C2104" t="s">
        <v>13</v>
      </c>
      <c r="D2104" t="s">
        <v>21</v>
      </c>
      <c r="E2104" t="s">
        <v>24</v>
      </c>
      <c r="F2104">
        <v>419.98</v>
      </c>
    </row>
    <row r="2105" spans="1:6" x14ac:dyDescent="0.35">
      <c r="A2105">
        <v>1324</v>
      </c>
      <c r="B2105" s="4">
        <v>45925.375085336993</v>
      </c>
      <c r="C2105" t="s">
        <v>14</v>
      </c>
      <c r="D2105" t="s">
        <v>16</v>
      </c>
      <c r="E2105" t="s">
        <v>25</v>
      </c>
      <c r="F2105">
        <v>3814.14</v>
      </c>
    </row>
    <row r="2106" spans="1:6" x14ac:dyDescent="0.35">
      <c r="A2106">
        <v>1246</v>
      </c>
      <c r="B2106" s="4">
        <v>45925.375085336993</v>
      </c>
      <c r="C2106" t="s">
        <v>13</v>
      </c>
      <c r="D2106" t="s">
        <v>19</v>
      </c>
      <c r="E2106" t="s">
        <v>23</v>
      </c>
      <c r="F2106">
        <v>4587.6400000000003</v>
      </c>
    </row>
    <row r="2107" spans="1:6" x14ac:dyDescent="0.35">
      <c r="A2107">
        <v>1288</v>
      </c>
      <c r="B2107" s="4">
        <v>45925.375085336993</v>
      </c>
      <c r="C2107" t="s">
        <v>13</v>
      </c>
      <c r="D2107" t="s">
        <v>18</v>
      </c>
      <c r="E2107" t="s">
        <v>25</v>
      </c>
      <c r="F2107">
        <v>3596.04</v>
      </c>
    </row>
    <row r="2108" spans="1:6" x14ac:dyDescent="0.35">
      <c r="A2108">
        <v>1037</v>
      </c>
      <c r="B2108" s="4">
        <v>45925.375085336993</v>
      </c>
      <c r="C2108" t="s">
        <v>15</v>
      </c>
      <c r="D2108" t="s">
        <v>16</v>
      </c>
      <c r="E2108" t="s">
        <v>25</v>
      </c>
      <c r="F2108">
        <v>1979.67</v>
      </c>
    </row>
    <row r="2109" spans="1:6" x14ac:dyDescent="0.35">
      <c r="A2109">
        <v>1255</v>
      </c>
      <c r="B2109" s="4">
        <v>45925.375085336993</v>
      </c>
      <c r="C2109" t="s">
        <v>6</v>
      </c>
      <c r="D2109" t="s">
        <v>20</v>
      </c>
      <c r="E2109" t="s">
        <v>24</v>
      </c>
      <c r="F2109">
        <v>2448.1</v>
      </c>
    </row>
    <row r="2110" spans="1:6" x14ac:dyDescent="0.35">
      <c r="A2110">
        <v>1142</v>
      </c>
      <c r="B2110" s="4">
        <v>45925.375085336993</v>
      </c>
      <c r="C2110" t="s">
        <v>8</v>
      </c>
      <c r="D2110" t="s">
        <v>17</v>
      </c>
      <c r="E2110" t="s">
        <v>23</v>
      </c>
      <c r="F2110">
        <v>1854.25</v>
      </c>
    </row>
    <row r="2111" spans="1:6" x14ac:dyDescent="0.35">
      <c r="A2111">
        <v>1226</v>
      </c>
      <c r="B2111" s="4">
        <v>45925.375085336993</v>
      </c>
      <c r="C2111" t="s">
        <v>8</v>
      </c>
      <c r="D2111" t="s">
        <v>16</v>
      </c>
      <c r="E2111" t="s">
        <v>24</v>
      </c>
      <c r="F2111">
        <v>805.86</v>
      </c>
    </row>
    <row r="2112" spans="1:6" x14ac:dyDescent="0.35">
      <c r="A2112">
        <v>1010</v>
      </c>
      <c r="B2112" s="4">
        <v>45926.375085336993</v>
      </c>
      <c r="C2112" t="s">
        <v>6</v>
      </c>
      <c r="D2112" t="s">
        <v>21</v>
      </c>
      <c r="E2112" t="s">
        <v>25</v>
      </c>
      <c r="F2112">
        <v>1524.57</v>
      </c>
    </row>
    <row r="2113" spans="1:6" x14ac:dyDescent="0.35">
      <c r="A2113">
        <v>1350</v>
      </c>
      <c r="B2113" s="4">
        <v>45928.375085336993</v>
      </c>
      <c r="C2113" t="s">
        <v>15</v>
      </c>
      <c r="D2113" t="s">
        <v>20</v>
      </c>
      <c r="E2113" t="s">
        <v>25</v>
      </c>
      <c r="F2113">
        <v>4810.6499999999996</v>
      </c>
    </row>
    <row r="2114" spans="1:6" x14ac:dyDescent="0.35">
      <c r="A2114">
        <v>1186</v>
      </c>
      <c r="B2114" s="4">
        <v>45928.375085336993</v>
      </c>
      <c r="C2114" t="s">
        <v>10</v>
      </c>
      <c r="D2114" t="s">
        <v>20</v>
      </c>
      <c r="E2114" t="s">
        <v>25</v>
      </c>
      <c r="F2114">
        <v>1905.89</v>
      </c>
    </row>
    <row r="2115" spans="1:6" x14ac:dyDescent="0.35">
      <c r="A2115">
        <v>1374</v>
      </c>
      <c r="B2115" s="4">
        <v>45928.375085336993</v>
      </c>
      <c r="C2115" t="s">
        <v>15</v>
      </c>
      <c r="D2115" t="s">
        <v>20</v>
      </c>
      <c r="E2115" t="s">
        <v>24</v>
      </c>
      <c r="F2115">
        <v>2149.52</v>
      </c>
    </row>
    <row r="2116" spans="1:6" x14ac:dyDescent="0.35">
      <c r="A2116">
        <v>1117</v>
      </c>
      <c r="B2116" s="4">
        <v>45928.375085336993</v>
      </c>
      <c r="C2116" t="s">
        <v>15</v>
      </c>
      <c r="D2116" t="s">
        <v>22</v>
      </c>
      <c r="E2116" t="s">
        <v>24</v>
      </c>
      <c r="F2116">
        <v>2070.8200000000002</v>
      </c>
    </row>
    <row r="2117" spans="1:6" x14ac:dyDescent="0.35">
      <c r="A2117">
        <v>1347</v>
      </c>
      <c r="B2117" s="4">
        <v>45929.375085336993</v>
      </c>
      <c r="C2117" t="s">
        <v>8</v>
      </c>
      <c r="D2117" t="s">
        <v>17</v>
      </c>
      <c r="E2117" t="s">
        <v>24</v>
      </c>
      <c r="F2117">
        <v>3708.85</v>
      </c>
    </row>
    <row r="2118" spans="1:6" x14ac:dyDescent="0.35">
      <c r="A2118">
        <v>1123</v>
      </c>
      <c r="B2118" s="4">
        <v>45929.375085336993</v>
      </c>
      <c r="C2118" t="s">
        <v>14</v>
      </c>
      <c r="D2118" t="s">
        <v>17</v>
      </c>
      <c r="E2118" t="s">
        <v>23</v>
      </c>
      <c r="F2118">
        <v>2336.48</v>
      </c>
    </row>
    <row r="2119" spans="1:6" x14ac:dyDescent="0.35">
      <c r="A2119">
        <v>1349</v>
      </c>
      <c r="B2119" s="4">
        <v>45930.375085336993</v>
      </c>
      <c r="C2119" t="s">
        <v>9</v>
      </c>
      <c r="D2119" t="s">
        <v>20</v>
      </c>
      <c r="E2119" t="s">
        <v>24</v>
      </c>
      <c r="F2119">
        <v>2989.51</v>
      </c>
    </row>
    <row r="2120" spans="1:6" x14ac:dyDescent="0.35">
      <c r="A2120">
        <v>1314</v>
      </c>
      <c r="B2120" s="4">
        <v>45930.375085336993</v>
      </c>
      <c r="C2120" t="s">
        <v>8</v>
      </c>
      <c r="D2120" t="s">
        <v>16</v>
      </c>
      <c r="E2120" t="s">
        <v>23</v>
      </c>
      <c r="F2120">
        <v>7722.19</v>
      </c>
    </row>
    <row r="2121" spans="1:6" x14ac:dyDescent="0.35">
      <c r="A2121">
        <v>1236</v>
      </c>
      <c r="B2121" s="4">
        <v>45930.375085336993</v>
      </c>
      <c r="C2121" t="s">
        <v>6</v>
      </c>
      <c r="D2121" t="s">
        <v>18</v>
      </c>
      <c r="E2121" t="s">
        <v>25</v>
      </c>
      <c r="F2121">
        <v>7301.73</v>
      </c>
    </row>
    <row r="2122" spans="1:6" x14ac:dyDescent="0.35">
      <c r="A2122">
        <v>1311</v>
      </c>
      <c r="B2122" s="4">
        <v>45930.375085336993</v>
      </c>
      <c r="C2122" t="s">
        <v>14</v>
      </c>
      <c r="D2122" t="s">
        <v>17</v>
      </c>
      <c r="E2122" t="s">
        <v>24</v>
      </c>
      <c r="F2122">
        <v>2280.4699999999998</v>
      </c>
    </row>
    <row r="2123" spans="1:6" x14ac:dyDescent="0.35">
      <c r="A2123">
        <v>1223</v>
      </c>
      <c r="B2123" s="4">
        <v>45930.375085336993</v>
      </c>
      <c r="C2123" t="s">
        <v>11</v>
      </c>
      <c r="D2123" t="s">
        <v>16</v>
      </c>
      <c r="E2123" t="s">
        <v>24</v>
      </c>
      <c r="F2123">
        <v>2972.73</v>
      </c>
    </row>
    <row r="2124" spans="1:6" x14ac:dyDescent="0.35">
      <c r="A2124">
        <v>1182</v>
      </c>
      <c r="B2124" s="4">
        <v>45931.375085336993</v>
      </c>
      <c r="C2124" t="s">
        <v>9</v>
      </c>
      <c r="D2124" t="s">
        <v>19</v>
      </c>
      <c r="E2124" t="s">
        <v>24</v>
      </c>
      <c r="F2124">
        <v>2032.88</v>
      </c>
    </row>
    <row r="2125" spans="1:6" x14ac:dyDescent="0.35">
      <c r="A2125">
        <v>1259</v>
      </c>
      <c r="B2125" s="4">
        <v>45931.375085336993</v>
      </c>
      <c r="C2125" t="s">
        <v>11</v>
      </c>
      <c r="D2125" t="s">
        <v>17</v>
      </c>
      <c r="E2125" t="s">
        <v>25</v>
      </c>
      <c r="F2125">
        <v>4447.8500000000004</v>
      </c>
    </row>
    <row r="2126" spans="1:6" x14ac:dyDescent="0.35">
      <c r="A2126">
        <v>1107</v>
      </c>
      <c r="B2126" s="4">
        <v>45931.375085336993</v>
      </c>
      <c r="C2126" t="s">
        <v>15</v>
      </c>
      <c r="D2126" t="s">
        <v>22</v>
      </c>
      <c r="E2126" t="s">
        <v>25</v>
      </c>
      <c r="F2126">
        <v>1931.04</v>
      </c>
    </row>
    <row r="2127" spans="1:6" x14ac:dyDescent="0.35">
      <c r="A2127">
        <v>1107</v>
      </c>
      <c r="B2127" s="4">
        <v>45932.375085336993</v>
      </c>
      <c r="C2127" t="s">
        <v>11</v>
      </c>
      <c r="D2127" t="s">
        <v>22</v>
      </c>
      <c r="E2127" t="s">
        <v>25</v>
      </c>
      <c r="F2127">
        <v>16658.509999999998</v>
      </c>
    </row>
    <row r="2128" spans="1:6" x14ac:dyDescent="0.35">
      <c r="A2128">
        <v>1058</v>
      </c>
      <c r="B2128" s="4">
        <v>45933.375085336993</v>
      </c>
      <c r="C2128" t="s">
        <v>11</v>
      </c>
      <c r="D2128" t="s">
        <v>16</v>
      </c>
      <c r="E2128" t="s">
        <v>24</v>
      </c>
      <c r="F2128">
        <v>2384.63</v>
      </c>
    </row>
    <row r="2129" spans="1:6" x14ac:dyDescent="0.35">
      <c r="A2129">
        <v>1019</v>
      </c>
      <c r="B2129" s="4">
        <v>45933.375085336993</v>
      </c>
      <c r="C2129" t="s">
        <v>7</v>
      </c>
      <c r="D2129" t="s">
        <v>21</v>
      </c>
      <c r="E2129" t="s">
        <v>25</v>
      </c>
      <c r="F2129">
        <v>2507.29</v>
      </c>
    </row>
    <row r="2130" spans="1:6" x14ac:dyDescent="0.35">
      <c r="A2130">
        <v>1012</v>
      </c>
      <c r="B2130" s="4">
        <v>45933.375085336993</v>
      </c>
      <c r="C2130" t="s">
        <v>9</v>
      </c>
      <c r="D2130" t="s">
        <v>20</v>
      </c>
      <c r="E2130" t="s">
        <v>25</v>
      </c>
      <c r="F2130">
        <v>5630.36</v>
      </c>
    </row>
    <row r="2131" spans="1:6" x14ac:dyDescent="0.35">
      <c r="A2131">
        <v>1121</v>
      </c>
      <c r="B2131" s="4">
        <v>45933.375085336993</v>
      </c>
      <c r="C2131" t="s">
        <v>6</v>
      </c>
      <c r="D2131" t="s">
        <v>18</v>
      </c>
      <c r="E2131" t="s">
        <v>23</v>
      </c>
      <c r="F2131">
        <v>8573.9699999999993</v>
      </c>
    </row>
    <row r="2132" spans="1:6" x14ac:dyDescent="0.35">
      <c r="A2132">
        <v>1150</v>
      </c>
      <c r="B2132" s="4">
        <v>45933.375085336993</v>
      </c>
      <c r="C2132" t="s">
        <v>11</v>
      </c>
      <c r="D2132" t="s">
        <v>18</v>
      </c>
      <c r="E2132" t="s">
        <v>23</v>
      </c>
      <c r="F2132">
        <v>1051.1600000000001</v>
      </c>
    </row>
    <row r="2133" spans="1:6" x14ac:dyDescent="0.35">
      <c r="A2133">
        <v>1397</v>
      </c>
      <c r="B2133" s="4">
        <v>45933.375085336993</v>
      </c>
      <c r="C2133" t="s">
        <v>11</v>
      </c>
      <c r="D2133" t="s">
        <v>20</v>
      </c>
      <c r="E2133" t="s">
        <v>23</v>
      </c>
      <c r="F2133">
        <v>2008.12</v>
      </c>
    </row>
    <row r="2134" spans="1:6" x14ac:dyDescent="0.35">
      <c r="A2134">
        <v>1148</v>
      </c>
      <c r="B2134" s="4">
        <v>45934.375085336993</v>
      </c>
      <c r="C2134" t="s">
        <v>10</v>
      </c>
      <c r="D2134" t="s">
        <v>19</v>
      </c>
      <c r="E2134" t="s">
        <v>23</v>
      </c>
      <c r="F2134">
        <v>3457.42</v>
      </c>
    </row>
    <row r="2135" spans="1:6" x14ac:dyDescent="0.35">
      <c r="A2135">
        <v>1075</v>
      </c>
      <c r="B2135" s="4">
        <v>45934.375085336993</v>
      </c>
      <c r="C2135" t="s">
        <v>14</v>
      </c>
      <c r="D2135" t="s">
        <v>16</v>
      </c>
      <c r="E2135" t="s">
        <v>23</v>
      </c>
      <c r="F2135">
        <v>1373.98</v>
      </c>
    </row>
    <row r="2136" spans="1:6" x14ac:dyDescent="0.35">
      <c r="A2136">
        <v>1203</v>
      </c>
      <c r="B2136" s="4">
        <v>45934.375085336993</v>
      </c>
      <c r="C2136" t="s">
        <v>12</v>
      </c>
      <c r="D2136" t="s">
        <v>17</v>
      </c>
      <c r="E2136" t="s">
        <v>25</v>
      </c>
      <c r="F2136">
        <v>9228.7900000000009</v>
      </c>
    </row>
    <row r="2137" spans="1:6" x14ac:dyDescent="0.35">
      <c r="A2137">
        <v>1371</v>
      </c>
      <c r="B2137" s="4">
        <v>45934.375085336993</v>
      </c>
      <c r="C2137" t="s">
        <v>7</v>
      </c>
      <c r="D2137" t="s">
        <v>16</v>
      </c>
      <c r="E2137" t="s">
        <v>23</v>
      </c>
      <c r="F2137">
        <v>1237.3699999999999</v>
      </c>
    </row>
    <row r="2138" spans="1:6" x14ac:dyDescent="0.35">
      <c r="A2138">
        <v>1221</v>
      </c>
      <c r="B2138" s="4">
        <v>45934.375085336993</v>
      </c>
      <c r="C2138" t="s">
        <v>9</v>
      </c>
      <c r="D2138" t="s">
        <v>18</v>
      </c>
      <c r="E2138" t="s">
        <v>24</v>
      </c>
      <c r="F2138">
        <v>7122.6</v>
      </c>
    </row>
    <row r="2139" spans="1:6" x14ac:dyDescent="0.35">
      <c r="A2139">
        <v>1089</v>
      </c>
      <c r="B2139" s="4">
        <v>45934.375085336993</v>
      </c>
      <c r="C2139" t="s">
        <v>15</v>
      </c>
      <c r="D2139" t="s">
        <v>19</v>
      </c>
      <c r="E2139" t="s">
        <v>24</v>
      </c>
      <c r="F2139">
        <v>3649.4</v>
      </c>
    </row>
    <row r="2140" spans="1:6" x14ac:dyDescent="0.35">
      <c r="A2140">
        <v>1137</v>
      </c>
      <c r="B2140" s="4">
        <v>45935.375085336993</v>
      </c>
      <c r="C2140" t="s">
        <v>11</v>
      </c>
      <c r="D2140" t="s">
        <v>20</v>
      </c>
      <c r="E2140" t="s">
        <v>25</v>
      </c>
      <c r="F2140">
        <v>5505.03</v>
      </c>
    </row>
    <row r="2141" spans="1:6" x14ac:dyDescent="0.35">
      <c r="A2141">
        <v>1123</v>
      </c>
      <c r="B2141" s="4">
        <v>45935.375085336993</v>
      </c>
      <c r="C2141" t="s">
        <v>6</v>
      </c>
      <c r="D2141" t="s">
        <v>21</v>
      </c>
      <c r="E2141" t="s">
        <v>25</v>
      </c>
      <c r="F2141">
        <v>6119.33</v>
      </c>
    </row>
    <row r="2142" spans="1:6" x14ac:dyDescent="0.35">
      <c r="A2142">
        <v>1356</v>
      </c>
      <c r="B2142" s="4">
        <v>45935.375085336993</v>
      </c>
      <c r="C2142" t="s">
        <v>14</v>
      </c>
      <c r="D2142" t="s">
        <v>17</v>
      </c>
      <c r="E2142" t="s">
        <v>25</v>
      </c>
      <c r="F2142">
        <v>2435.96</v>
      </c>
    </row>
    <row r="2143" spans="1:6" x14ac:dyDescent="0.35">
      <c r="A2143">
        <v>1013</v>
      </c>
      <c r="B2143" s="4">
        <v>45935.375085336993</v>
      </c>
      <c r="C2143" t="s">
        <v>12</v>
      </c>
      <c r="D2143" t="s">
        <v>22</v>
      </c>
      <c r="E2143" t="s">
        <v>25</v>
      </c>
      <c r="F2143">
        <v>10860.64</v>
      </c>
    </row>
    <row r="2144" spans="1:6" x14ac:dyDescent="0.35">
      <c r="A2144">
        <v>1064</v>
      </c>
      <c r="B2144" s="4">
        <v>45935.375085336993</v>
      </c>
      <c r="C2144" t="s">
        <v>6</v>
      </c>
      <c r="D2144" t="s">
        <v>17</v>
      </c>
      <c r="E2144" t="s">
        <v>24</v>
      </c>
      <c r="F2144">
        <v>5784.21</v>
      </c>
    </row>
    <row r="2145" spans="1:6" x14ac:dyDescent="0.35">
      <c r="A2145">
        <v>1335</v>
      </c>
      <c r="B2145" s="4">
        <v>45936.375085336993</v>
      </c>
      <c r="C2145" t="s">
        <v>6</v>
      </c>
      <c r="D2145" t="s">
        <v>21</v>
      </c>
      <c r="E2145" t="s">
        <v>23</v>
      </c>
      <c r="F2145">
        <v>9634.35</v>
      </c>
    </row>
    <row r="2146" spans="1:6" x14ac:dyDescent="0.35">
      <c r="A2146">
        <v>1224</v>
      </c>
      <c r="B2146" s="4">
        <v>45937.375085336993</v>
      </c>
      <c r="C2146" t="s">
        <v>12</v>
      </c>
      <c r="D2146" t="s">
        <v>17</v>
      </c>
      <c r="E2146" t="s">
        <v>23</v>
      </c>
      <c r="F2146">
        <v>2838.92</v>
      </c>
    </row>
    <row r="2147" spans="1:6" x14ac:dyDescent="0.35">
      <c r="A2147">
        <v>1043</v>
      </c>
      <c r="B2147" s="4">
        <v>45937.375085336993</v>
      </c>
      <c r="C2147" t="s">
        <v>12</v>
      </c>
      <c r="D2147" t="s">
        <v>19</v>
      </c>
      <c r="E2147" t="s">
        <v>23</v>
      </c>
      <c r="F2147">
        <v>4755.62</v>
      </c>
    </row>
    <row r="2148" spans="1:6" x14ac:dyDescent="0.35">
      <c r="A2148">
        <v>1152</v>
      </c>
      <c r="B2148" s="4">
        <v>45937.375085336993</v>
      </c>
      <c r="C2148" t="s">
        <v>15</v>
      </c>
      <c r="D2148" t="s">
        <v>18</v>
      </c>
      <c r="E2148" t="s">
        <v>23</v>
      </c>
      <c r="F2148">
        <v>2019.19</v>
      </c>
    </row>
    <row r="2149" spans="1:6" x14ac:dyDescent="0.35">
      <c r="A2149">
        <v>1255</v>
      </c>
      <c r="B2149" s="4">
        <v>45937.375085336993</v>
      </c>
      <c r="C2149" t="s">
        <v>12</v>
      </c>
      <c r="D2149" t="s">
        <v>20</v>
      </c>
      <c r="E2149" t="s">
        <v>24</v>
      </c>
      <c r="F2149">
        <v>1312.04</v>
      </c>
    </row>
    <row r="2150" spans="1:6" x14ac:dyDescent="0.35">
      <c r="A2150">
        <v>1147</v>
      </c>
      <c r="B2150" s="4">
        <v>45938.375085336993</v>
      </c>
      <c r="C2150" t="s">
        <v>11</v>
      </c>
      <c r="D2150" t="s">
        <v>22</v>
      </c>
      <c r="E2150" t="s">
        <v>24</v>
      </c>
      <c r="F2150">
        <v>4870.3100000000004</v>
      </c>
    </row>
    <row r="2151" spans="1:6" x14ac:dyDescent="0.35">
      <c r="A2151">
        <v>1179</v>
      </c>
      <c r="B2151" s="4">
        <v>45938.375085336993</v>
      </c>
      <c r="C2151" t="s">
        <v>7</v>
      </c>
      <c r="D2151" t="s">
        <v>22</v>
      </c>
      <c r="E2151" t="s">
        <v>25</v>
      </c>
      <c r="F2151">
        <v>5822.65</v>
      </c>
    </row>
    <row r="2152" spans="1:6" x14ac:dyDescent="0.35">
      <c r="A2152">
        <v>1110</v>
      </c>
      <c r="B2152" s="4">
        <v>45938.375085336993</v>
      </c>
      <c r="C2152" t="s">
        <v>15</v>
      </c>
      <c r="D2152" t="s">
        <v>20</v>
      </c>
      <c r="E2152" t="s">
        <v>24</v>
      </c>
      <c r="F2152">
        <v>4655.5600000000004</v>
      </c>
    </row>
    <row r="2153" spans="1:6" x14ac:dyDescent="0.35">
      <c r="A2153">
        <v>1190</v>
      </c>
      <c r="B2153" s="4">
        <v>45938.375085336993</v>
      </c>
      <c r="C2153" t="s">
        <v>13</v>
      </c>
      <c r="D2153" t="s">
        <v>20</v>
      </c>
      <c r="E2153" t="s">
        <v>24</v>
      </c>
      <c r="F2153">
        <v>2811.13</v>
      </c>
    </row>
    <row r="2154" spans="1:6" x14ac:dyDescent="0.35">
      <c r="A2154">
        <v>1371</v>
      </c>
      <c r="B2154" s="4">
        <v>45938.375085336993</v>
      </c>
      <c r="C2154" t="s">
        <v>6</v>
      </c>
      <c r="D2154" t="s">
        <v>16</v>
      </c>
      <c r="E2154" t="s">
        <v>23</v>
      </c>
      <c r="F2154">
        <v>3804.14</v>
      </c>
    </row>
    <row r="2155" spans="1:6" x14ac:dyDescent="0.35">
      <c r="A2155">
        <v>1339</v>
      </c>
      <c r="B2155" s="4">
        <v>45938.375085336993</v>
      </c>
      <c r="C2155" t="s">
        <v>12</v>
      </c>
      <c r="D2155" t="s">
        <v>17</v>
      </c>
      <c r="E2155" t="s">
        <v>25</v>
      </c>
      <c r="F2155">
        <v>4961.18</v>
      </c>
    </row>
    <row r="2156" spans="1:6" x14ac:dyDescent="0.35">
      <c r="A2156">
        <v>1157</v>
      </c>
      <c r="B2156" s="4">
        <v>45938.375085336993</v>
      </c>
      <c r="C2156" t="s">
        <v>9</v>
      </c>
      <c r="D2156" t="s">
        <v>22</v>
      </c>
      <c r="E2156" t="s">
        <v>23</v>
      </c>
      <c r="F2156">
        <v>7865.24</v>
      </c>
    </row>
    <row r="2157" spans="1:6" x14ac:dyDescent="0.35">
      <c r="A2157">
        <v>1135</v>
      </c>
      <c r="B2157" s="4">
        <v>45938.375085336993</v>
      </c>
      <c r="C2157" t="s">
        <v>7</v>
      </c>
      <c r="D2157" t="s">
        <v>17</v>
      </c>
      <c r="E2157" t="s">
        <v>24</v>
      </c>
      <c r="F2157">
        <v>1386.02</v>
      </c>
    </row>
    <row r="2158" spans="1:6" x14ac:dyDescent="0.35">
      <c r="A2158">
        <v>1210</v>
      </c>
      <c r="B2158" s="4">
        <v>45939.375085336993</v>
      </c>
      <c r="C2158" t="s">
        <v>12</v>
      </c>
      <c r="D2158" t="s">
        <v>21</v>
      </c>
      <c r="E2158" t="s">
        <v>23</v>
      </c>
      <c r="F2158">
        <v>1491.07</v>
      </c>
    </row>
    <row r="2159" spans="1:6" x14ac:dyDescent="0.35">
      <c r="A2159">
        <v>1026</v>
      </c>
      <c r="B2159" s="4">
        <v>45939.375085336993</v>
      </c>
      <c r="C2159" t="s">
        <v>10</v>
      </c>
      <c r="D2159" t="s">
        <v>20</v>
      </c>
      <c r="E2159" t="s">
        <v>25</v>
      </c>
      <c r="F2159">
        <v>1011.77</v>
      </c>
    </row>
    <row r="2160" spans="1:6" x14ac:dyDescent="0.35">
      <c r="A2160">
        <v>1146</v>
      </c>
      <c r="B2160" s="4">
        <v>45939.375085336993</v>
      </c>
      <c r="C2160" t="s">
        <v>8</v>
      </c>
      <c r="D2160" t="s">
        <v>19</v>
      </c>
      <c r="E2160" t="s">
        <v>25</v>
      </c>
      <c r="F2160">
        <v>4824.72</v>
      </c>
    </row>
    <row r="2161" spans="1:6" x14ac:dyDescent="0.35">
      <c r="A2161">
        <v>1143</v>
      </c>
      <c r="B2161" s="4">
        <v>45939.375085336993</v>
      </c>
      <c r="C2161" t="s">
        <v>6</v>
      </c>
      <c r="D2161" t="s">
        <v>16</v>
      </c>
      <c r="E2161" t="s">
        <v>23</v>
      </c>
      <c r="F2161">
        <v>7969.79</v>
      </c>
    </row>
    <row r="2162" spans="1:6" x14ac:dyDescent="0.35">
      <c r="A2162">
        <v>1185</v>
      </c>
      <c r="B2162" s="4">
        <v>45940.375085336993</v>
      </c>
      <c r="C2162" t="s">
        <v>14</v>
      </c>
      <c r="D2162" t="s">
        <v>22</v>
      </c>
      <c r="E2162" t="s">
        <v>24</v>
      </c>
      <c r="F2162">
        <v>1796.04</v>
      </c>
    </row>
    <row r="2163" spans="1:6" x14ac:dyDescent="0.35">
      <c r="A2163">
        <v>1117</v>
      </c>
      <c r="B2163" s="4">
        <v>45940.375085336993</v>
      </c>
      <c r="C2163" t="s">
        <v>6</v>
      </c>
      <c r="D2163" t="s">
        <v>20</v>
      </c>
      <c r="E2163" t="s">
        <v>25</v>
      </c>
      <c r="F2163">
        <v>7709.1</v>
      </c>
    </row>
    <row r="2164" spans="1:6" x14ac:dyDescent="0.35">
      <c r="A2164">
        <v>1013</v>
      </c>
      <c r="B2164" s="4">
        <v>45941.375085336993</v>
      </c>
      <c r="C2164" t="s">
        <v>6</v>
      </c>
      <c r="D2164" t="s">
        <v>18</v>
      </c>
      <c r="E2164" t="s">
        <v>24</v>
      </c>
      <c r="F2164">
        <v>1339.94</v>
      </c>
    </row>
    <row r="2165" spans="1:6" x14ac:dyDescent="0.35">
      <c r="A2165">
        <v>1030</v>
      </c>
      <c r="B2165" s="4">
        <v>45941.375085336993</v>
      </c>
      <c r="C2165" t="s">
        <v>12</v>
      </c>
      <c r="D2165" t="s">
        <v>18</v>
      </c>
      <c r="E2165" t="s">
        <v>23</v>
      </c>
      <c r="F2165">
        <v>3567.66</v>
      </c>
    </row>
    <row r="2166" spans="1:6" x14ac:dyDescent="0.35">
      <c r="A2166">
        <v>1270</v>
      </c>
      <c r="B2166" s="4">
        <v>45941.375085336993</v>
      </c>
      <c r="C2166" t="s">
        <v>13</v>
      </c>
      <c r="D2166" t="s">
        <v>16</v>
      </c>
      <c r="E2166" t="s">
        <v>24</v>
      </c>
      <c r="F2166">
        <v>1351.75</v>
      </c>
    </row>
    <row r="2167" spans="1:6" x14ac:dyDescent="0.35">
      <c r="A2167">
        <v>1263</v>
      </c>
      <c r="B2167" s="4">
        <v>45941.375085336993</v>
      </c>
      <c r="C2167" t="s">
        <v>6</v>
      </c>
      <c r="D2167" t="s">
        <v>19</v>
      </c>
      <c r="E2167" t="s">
        <v>25</v>
      </c>
      <c r="F2167">
        <v>5155.68</v>
      </c>
    </row>
    <row r="2168" spans="1:6" x14ac:dyDescent="0.35">
      <c r="A2168">
        <v>1054</v>
      </c>
      <c r="B2168" s="4">
        <v>45941.375085336993</v>
      </c>
      <c r="C2168" t="s">
        <v>14</v>
      </c>
      <c r="D2168" t="s">
        <v>18</v>
      </c>
      <c r="E2168" t="s">
        <v>25</v>
      </c>
      <c r="F2168">
        <v>2537.5</v>
      </c>
    </row>
    <row r="2169" spans="1:6" x14ac:dyDescent="0.35">
      <c r="A2169">
        <v>1399</v>
      </c>
      <c r="B2169" s="4">
        <v>45942.375085336993</v>
      </c>
      <c r="C2169" t="s">
        <v>14</v>
      </c>
      <c r="D2169" t="s">
        <v>18</v>
      </c>
      <c r="E2169" t="s">
        <v>24</v>
      </c>
      <c r="F2169">
        <v>3782</v>
      </c>
    </row>
    <row r="2170" spans="1:6" x14ac:dyDescent="0.35">
      <c r="A2170">
        <v>1020</v>
      </c>
      <c r="B2170" s="4">
        <v>45942.375085336993</v>
      </c>
      <c r="C2170" t="s">
        <v>9</v>
      </c>
      <c r="D2170" t="s">
        <v>18</v>
      </c>
      <c r="E2170" t="s">
        <v>25</v>
      </c>
      <c r="F2170">
        <v>4629.29</v>
      </c>
    </row>
    <row r="2171" spans="1:6" x14ac:dyDescent="0.35">
      <c r="A2171">
        <v>1129</v>
      </c>
      <c r="B2171" s="4">
        <v>45942.375085336993</v>
      </c>
      <c r="C2171" t="s">
        <v>11</v>
      </c>
      <c r="D2171" t="s">
        <v>20</v>
      </c>
      <c r="E2171" t="s">
        <v>24</v>
      </c>
      <c r="F2171">
        <v>1717.23</v>
      </c>
    </row>
    <row r="2172" spans="1:6" x14ac:dyDescent="0.35">
      <c r="A2172">
        <v>1143</v>
      </c>
      <c r="B2172" s="4">
        <v>45942.375085336993</v>
      </c>
      <c r="C2172" t="s">
        <v>11</v>
      </c>
      <c r="D2172" t="s">
        <v>21</v>
      </c>
      <c r="E2172" t="s">
        <v>25</v>
      </c>
      <c r="F2172">
        <v>1241.27</v>
      </c>
    </row>
    <row r="2173" spans="1:6" x14ac:dyDescent="0.35">
      <c r="A2173">
        <v>1337</v>
      </c>
      <c r="B2173" s="4">
        <v>45942.375085336993</v>
      </c>
      <c r="C2173" t="s">
        <v>9</v>
      </c>
      <c r="D2173" t="s">
        <v>18</v>
      </c>
      <c r="E2173" t="s">
        <v>23</v>
      </c>
      <c r="F2173">
        <v>7022.1</v>
      </c>
    </row>
    <row r="2174" spans="1:6" x14ac:dyDescent="0.35">
      <c r="A2174">
        <v>1129</v>
      </c>
      <c r="B2174" s="4">
        <v>45943.375085336993</v>
      </c>
      <c r="C2174" t="s">
        <v>10</v>
      </c>
      <c r="D2174" t="s">
        <v>20</v>
      </c>
      <c r="E2174" t="s">
        <v>23</v>
      </c>
      <c r="F2174">
        <v>6696.37</v>
      </c>
    </row>
    <row r="2175" spans="1:6" x14ac:dyDescent="0.35">
      <c r="A2175">
        <v>1344</v>
      </c>
      <c r="B2175" s="4">
        <v>45945.375085336993</v>
      </c>
      <c r="C2175" t="s">
        <v>12</v>
      </c>
      <c r="D2175" t="s">
        <v>21</v>
      </c>
      <c r="E2175" t="s">
        <v>25</v>
      </c>
      <c r="F2175">
        <v>1764.25</v>
      </c>
    </row>
    <row r="2176" spans="1:6" x14ac:dyDescent="0.35">
      <c r="A2176">
        <v>1024</v>
      </c>
      <c r="B2176" s="4">
        <v>45945.375085336993</v>
      </c>
      <c r="C2176" t="s">
        <v>10</v>
      </c>
      <c r="D2176" t="s">
        <v>18</v>
      </c>
      <c r="E2176" t="s">
        <v>25</v>
      </c>
      <c r="F2176">
        <v>3295.52</v>
      </c>
    </row>
    <row r="2177" spans="1:6" x14ac:dyDescent="0.35">
      <c r="A2177">
        <v>1317</v>
      </c>
      <c r="B2177" s="4">
        <v>45945.375085336993</v>
      </c>
      <c r="C2177" t="s">
        <v>6</v>
      </c>
      <c r="D2177" t="s">
        <v>22</v>
      </c>
      <c r="E2177" t="s">
        <v>25</v>
      </c>
      <c r="F2177">
        <v>2818.44</v>
      </c>
    </row>
    <row r="2178" spans="1:6" x14ac:dyDescent="0.35">
      <c r="A2178">
        <v>1372</v>
      </c>
      <c r="B2178" s="4">
        <v>45945.375085336993</v>
      </c>
      <c r="C2178" t="s">
        <v>11</v>
      </c>
      <c r="D2178" t="s">
        <v>22</v>
      </c>
      <c r="E2178" t="s">
        <v>25</v>
      </c>
      <c r="F2178">
        <v>5551.27</v>
      </c>
    </row>
    <row r="2179" spans="1:6" x14ac:dyDescent="0.35">
      <c r="A2179">
        <v>1370</v>
      </c>
      <c r="B2179" s="4">
        <v>45945.375085336993</v>
      </c>
      <c r="C2179" t="s">
        <v>10</v>
      </c>
      <c r="D2179" t="s">
        <v>19</v>
      </c>
      <c r="E2179" t="s">
        <v>23</v>
      </c>
      <c r="F2179">
        <v>2693.99</v>
      </c>
    </row>
    <row r="2180" spans="1:6" x14ac:dyDescent="0.35">
      <c r="A2180">
        <v>1334</v>
      </c>
      <c r="B2180" s="4">
        <v>45945.375085336993</v>
      </c>
      <c r="C2180" t="s">
        <v>6</v>
      </c>
      <c r="D2180" t="s">
        <v>21</v>
      </c>
      <c r="E2180" t="s">
        <v>25</v>
      </c>
      <c r="F2180">
        <v>1816.64</v>
      </c>
    </row>
    <row r="2181" spans="1:6" x14ac:dyDescent="0.35">
      <c r="A2181">
        <v>1369</v>
      </c>
      <c r="B2181" s="4">
        <v>45945.375085336993</v>
      </c>
      <c r="C2181" t="s">
        <v>13</v>
      </c>
      <c r="D2181" t="s">
        <v>19</v>
      </c>
      <c r="E2181" t="s">
        <v>25</v>
      </c>
      <c r="F2181">
        <v>5242.28</v>
      </c>
    </row>
    <row r="2182" spans="1:6" x14ac:dyDescent="0.35">
      <c r="A2182">
        <v>1089</v>
      </c>
      <c r="B2182" s="4">
        <v>45945.375085336993</v>
      </c>
      <c r="C2182" t="s">
        <v>12</v>
      </c>
      <c r="D2182" t="s">
        <v>19</v>
      </c>
      <c r="E2182" t="s">
        <v>24</v>
      </c>
      <c r="F2182">
        <v>8173.23</v>
      </c>
    </row>
    <row r="2183" spans="1:6" x14ac:dyDescent="0.35">
      <c r="A2183">
        <v>1235</v>
      </c>
      <c r="B2183" s="4">
        <v>45945.375085336993</v>
      </c>
      <c r="C2183" t="s">
        <v>11</v>
      </c>
      <c r="D2183" t="s">
        <v>17</v>
      </c>
      <c r="E2183" t="s">
        <v>25</v>
      </c>
      <c r="F2183">
        <v>2160.15</v>
      </c>
    </row>
    <row r="2184" spans="1:6" x14ac:dyDescent="0.35">
      <c r="A2184">
        <v>1354</v>
      </c>
      <c r="B2184" s="4">
        <v>45946.375085336993</v>
      </c>
      <c r="C2184" t="s">
        <v>8</v>
      </c>
      <c r="D2184" t="s">
        <v>18</v>
      </c>
      <c r="E2184" t="s">
        <v>24</v>
      </c>
      <c r="F2184">
        <v>3141.66</v>
      </c>
    </row>
    <row r="2185" spans="1:6" x14ac:dyDescent="0.35">
      <c r="A2185">
        <v>1085</v>
      </c>
      <c r="B2185" s="4">
        <v>45946.375085336993</v>
      </c>
      <c r="C2185" t="s">
        <v>15</v>
      </c>
      <c r="D2185" t="s">
        <v>22</v>
      </c>
      <c r="E2185" t="s">
        <v>24</v>
      </c>
      <c r="F2185">
        <v>10614.64</v>
      </c>
    </row>
    <row r="2186" spans="1:6" x14ac:dyDescent="0.35">
      <c r="A2186">
        <v>1026</v>
      </c>
      <c r="B2186" s="4">
        <v>45946.375085336993</v>
      </c>
      <c r="C2186" t="s">
        <v>13</v>
      </c>
      <c r="D2186" t="s">
        <v>19</v>
      </c>
      <c r="E2186" t="s">
        <v>25</v>
      </c>
      <c r="F2186">
        <v>1054.68</v>
      </c>
    </row>
    <row r="2187" spans="1:6" x14ac:dyDescent="0.35">
      <c r="A2187">
        <v>1039</v>
      </c>
      <c r="B2187" s="4">
        <v>45946.375085336993</v>
      </c>
      <c r="C2187" t="s">
        <v>8</v>
      </c>
      <c r="D2187" t="s">
        <v>19</v>
      </c>
      <c r="E2187" t="s">
        <v>25</v>
      </c>
      <c r="F2187">
        <v>3967.59</v>
      </c>
    </row>
    <row r="2188" spans="1:6" x14ac:dyDescent="0.35">
      <c r="A2188">
        <v>1201</v>
      </c>
      <c r="B2188" s="4">
        <v>45947.375085336993</v>
      </c>
      <c r="C2188" t="s">
        <v>13</v>
      </c>
      <c r="D2188" t="s">
        <v>18</v>
      </c>
      <c r="E2188" t="s">
        <v>25</v>
      </c>
      <c r="F2188">
        <v>5745.31</v>
      </c>
    </row>
    <row r="2189" spans="1:6" x14ac:dyDescent="0.35">
      <c r="A2189">
        <v>1207</v>
      </c>
      <c r="B2189" s="4">
        <v>45947.375085336993</v>
      </c>
      <c r="C2189" t="s">
        <v>10</v>
      </c>
      <c r="D2189" t="s">
        <v>16</v>
      </c>
      <c r="E2189" t="s">
        <v>25</v>
      </c>
      <c r="F2189">
        <v>4394.57</v>
      </c>
    </row>
    <row r="2190" spans="1:6" x14ac:dyDescent="0.35">
      <c r="A2190">
        <v>1119</v>
      </c>
      <c r="B2190" s="4">
        <v>45947.375085336993</v>
      </c>
      <c r="C2190" t="s">
        <v>13</v>
      </c>
      <c r="D2190" t="s">
        <v>19</v>
      </c>
      <c r="E2190" t="s">
        <v>25</v>
      </c>
      <c r="F2190">
        <v>5100.62</v>
      </c>
    </row>
    <row r="2191" spans="1:6" x14ac:dyDescent="0.35">
      <c r="A2191">
        <v>1098</v>
      </c>
      <c r="B2191" s="4">
        <v>45947.375085336993</v>
      </c>
      <c r="C2191" t="s">
        <v>7</v>
      </c>
      <c r="D2191" t="s">
        <v>16</v>
      </c>
      <c r="E2191" t="s">
        <v>23</v>
      </c>
      <c r="F2191">
        <v>3503.18</v>
      </c>
    </row>
    <row r="2192" spans="1:6" x14ac:dyDescent="0.35">
      <c r="A2192">
        <v>1151</v>
      </c>
      <c r="B2192" s="4">
        <v>45947.375085336993</v>
      </c>
      <c r="C2192" t="s">
        <v>10</v>
      </c>
      <c r="D2192" t="s">
        <v>18</v>
      </c>
      <c r="E2192" t="s">
        <v>23</v>
      </c>
      <c r="F2192">
        <v>7084.85</v>
      </c>
    </row>
    <row r="2193" spans="1:6" x14ac:dyDescent="0.35">
      <c r="A2193">
        <v>1338</v>
      </c>
      <c r="B2193" s="4">
        <v>45947.375085336993</v>
      </c>
      <c r="C2193" t="s">
        <v>14</v>
      </c>
      <c r="D2193" t="s">
        <v>20</v>
      </c>
      <c r="E2193" t="s">
        <v>24</v>
      </c>
      <c r="F2193">
        <v>6405.12</v>
      </c>
    </row>
    <row r="2194" spans="1:6" x14ac:dyDescent="0.35">
      <c r="A2194">
        <v>1145</v>
      </c>
      <c r="B2194" s="4">
        <v>45948.375085336993</v>
      </c>
      <c r="C2194" t="s">
        <v>7</v>
      </c>
      <c r="D2194" t="s">
        <v>17</v>
      </c>
      <c r="E2194" t="s">
        <v>25</v>
      </c>
      <c r="F2194">
        <v>2577.11</v>
      </c>
    </row>
    <row r="2195" spans="1:6" x14ac:dyDescent="0.35">
      <c r="A2195">
        <v>1303</v>
      </c>
      <c r="B2195" s="4">
        <v>45948.375085336993</v>
      </c>
      <c r="C2195" t="s">
        <v>12</v>
      </c>
      <c r="D2195" t="s">
        <v>19</v>
      </c>
      <c r="E2195" t="s">
        <v>24</v>
      </c>
      <c r="F2195">
        <v>3255.49</v>
      </c>
    </row>
    <row r="2196" spans="1:6" x14ac:dyDescent="0.35">
      <c r="A2196">
        <v>1288</v>
      </c>
      <c r="B2196" s="4">
        <v>45949.375085336993</v>
      </c>
      <c r="C2196" t="s">
        <v>12</v>
      </c>
      <c r="D2196" t="s">
        <v>18</v>
      </c>
      <c r="E2196" t="s">
        <v>23</v>
      </c>
      <c r="F2196">
        <v>4782.8500000000004</v>
      </c>
    </row>
    <row r="2197" spans="1:6" x14ac:dyDescent="0.35">
      <c r="A2197">
        <v>1355</v>
      </c>
      <c r="B2197" s="4">
        <v>45949.375085336993</v>
      </c>
      <c r="C2197" t="s">
        <v>10</v>
      </c>
      <c r="D2197" t="s">
        <v>21</v>
      </c>
      <c r="E2197" t="s">
        <v>23</v>
      </c>
      <c r="F2197">
        <v>726.03</v>
      </c>
    </row>
    <row r="2198" spans="1:6" x14ac:dyDescent="0.35">
      <c r="A2198">
        <v>1370</v>
      </c>
      <c r="B2198" s="4">
        <v>45949.375085336993</v>
      </c>
      <c r="C2198" t="s">
        <v>13</v>
      </c>
      <c r="D2198" t="s">
        <v>16</v>
      </c>
      <c r="E2198" t="s">
        <v>25</v>
      </c>
      <c r="F2198">
        <v>1805.68</v>
      </c>
    </row>
    <row r="2199" spans="1:6" x14ac:dyDescent="0.35">
      <c r="A2199">
        <v>1096</v>
      </c>
      <c r="B2199" s="4">
        <v>45949.375085336993</v>
      </c>
      <c r="C2199" t="s">
        <v>12</v>
      </c>
      <c r="D2199" t="s">
        <v>21</v>
      </c>
      <c r="E2199" t="s">
        <v>23</v>
      </c>
      <c r="F2199">
        <v>2774.83</v>
      </c>
    </row>
    <row r="2200" spans="1:6" x14ac:dyDescent="0.35">
      <c r="A2200">
        <v>1135</v>
      </c>
      <c r="B2200" s="4">
        <v>45949.375085336993</v>
      </c>
      <c r="C2200" t="s">
        <v>6</v>
      </c>
      <c r="D2200" t="s">
        <v>21</v>
      </c>
      <c r="E2200" t="s">
        <v>25</v>
      </c>
      <c r="F2200">
        <v>5765.2</v>
      </c>
    </row>
    <row r="2201" spans="1:6" x14ac:dyDescent="0.35">
      <c r="A2201">
        <v>1339</v>
      </c>
      <c r="B2201" s="4">
        <v>45951.375085336993</v>
      </c>
      <c r="C2201" t="s">
        <v>15</v>
      </c>
      <c r="D2201" t="s">
        <v>16</v>
      </c>
      <c r="E2201" t="s">
        <v>23</v>
      </c>
      <c r="F2201">
        <v>9886.4500000000007</v>
      </c>
    </row>
    <row r="2202" spans="1:6" x14ac:dyDescent="0.35">
      <c r="A2202">
        <v>1318</v>
      </c>
      <c r="B2202" s="4">
        <v>45951.375085336993</v>
      </c>
      <c r="C2202" t="s">
        <v>13</v>
      </c>
      <c r="D2202" t="s">
        <v>17</v>
      </c>
      <c r="E2202" t="s">
        <v>23</v>
      </c>
      <c r="F2202">
        <v>1996.85</v>
      </c>
    </row>
    <row r="2203" spans="1:6" x14ac:dyDescent="0.35">
      <c r="A2203">
        <v>1372</v>
      </c>
      <c r="B2203" s="4">
        <v>45952.375085336993</v>
      </c>
      <c r="C2203" t="s">
        <v>15</v>
      </c>
      <c r="D2203" t="s">
        <v>17</v>
      </c>
      <c r="E2203" t="s">
        <v>25</v>
      </c>
      <c r="F2203">
        <v>663.65</v>
      </c>
    </row>
    <row r="2204" spans="1:6" x14ac:dyDescent="0.35">
      <c r="A2204">
        <v>1091</v>
      </c>
      <c r="B2204" s="4">
        <v>45952.375085336993</v>
      </c>
      <c r="C2204" t="s">
        <v>6</v>
      </c>
      <c r="D2204" t="s">
        <v>18</v>
      </c>
      <c r="E2204" t="s">
        <v>23</v>
      </c>
      <c r="F2204">
        <v>1741.07</v>
      </c>
    </row>
    <row r="2205" spans="1:6" x14ac:dyDescent="0.35">
      <c r="A2205">
        <v>1098</v>
      </c>
      <c r="B2205" s="4">
        <v>45952.375085336993</v>
      </c>
      <c r="C2205" t="s">
        <v>13</v>
      </c>
      <c r="D2205" t="s">
        <v>19</v>
      </c>
      <c r="E2205" t="s">
        <v>24</v>
      </c>
      <c r="F2205">
        <v>5049.51</v>
      </c>
    </row>
    <row r="2206" spans="1:6" x14ac:dyDescent="0.35">
      <c r="A2206">
        <v>1038</v>
      </c>
      <c r="B2206" s="4">
        <v>45952.375085336993</v>
      </c>
      <c r="C2206" t="s">
        <v>8</v>
      </c>
      <c r="D2206" t="s">
        <v>20</v>
      </c>
      <c r="E2206" t="s">
        <v>23</v>
      </c>
      <c r="F2206">
        <v>3545.01</v>
      </c>
    </row>
    <row r="2207" spans="1:6" x14ac:dyDescent="0.35">
      <c r="A2207">
        <v>1362</v>
      </c>
      <c r="B2207" s="4">
        <v>45952.375085336993</v>
      </c>
      <c r="C2207" t="s">
        <v>14</v>
      </c>
      <c r="D2207" t="s">
        <v>22</v>
      </c>
      <c r="E2207" t="s">
        <v>25</v>
      </c>
      <c r="F2207">
        <v>7903.47</v>
      </c>
    </row>
    <row r="2208" spans="1:6" x14ac:dyDescent="0.35">
      <c r="A2208">
        <v>1146</v>
      </c>
      <c r="B2208" s="4">
        <v>45953.375085336993</v>
      </c>
      <c r="C2208" t="s">
        <v>12</v>
      </c>
      <c r="D2208" t="s">
        <v>16</v>
      </c>
      <c r="E2208" t="s">
        <v>25</v>
      </c>
      <c r="F2208">
        <v>1712.38</v>
      </c>
    </row>
    <row r="2209" spans="1:6" x14ac:dyDescent="0.35">
      <c r="A2209">
        <v>1251</v>
      </c>
      <c r="B2209" s="4">
        <v>45953.375085336993</v>
      </c>
      <c r="C2209" t="s">
        <v>13</v>
      </c>
      <c r="D2209" t="s">
        <v>20</v>
      </c>
      <c r="E2209" t="s">
        <v>23</v>
      </c>
      <c r="F2209">
        <v>9312.16</v>
      </c>
    </row>
    <row r="2210" spans="1:6" x14ac:dyDescent="0.35">
      <c r="A2210">
        <v>1375</v>
      </c>
      <c r="B2210" s="4">
        <v>45953.375085336993</v>
      </c>
      <c r="C2210" t="s">
        <v>11</v>
      </c>
      <c r="D2210" t="s">
        <v>21</v>
      </c>
      <c r="E2210" t="s">
        <v>24</v>
      </c>
      <c r="F2210">
        <v>3519.83</v>
      </c>
    </row>
    <row r="2211" spans="1:6" x14ac:dyDescent="0.35">
      <c r="A2211">
        <v>1093</v>
      </c>
      <c r="B2211" s="4">
        <v>45954.375085336993</v>
      </c>
      <c r="C2211" t="s">
        <v>7</v>
      </c>
      <c r="D2211" t="s">
        <v>18</v>
      </c>
      <c r="E2211" t="s">
        <v>23</v>
      </c>
      <c r="F2211">
        <v>639.1</v>
      </c>
    </row>
    <row r="2212" spans="1:6" x14ac:dyDescent="0.35">
      <c r="A2212">
        <v>1328</v>
      </c>
      <c r="B2212" s="4">
        <v>45954.375085336993</v>
      </c>
      <c r="C2212" t="s">
        <v>13</v>
      </c>
      <c r="D2212" t="s">
        <v>21</v>
      </c>
      <c r="E2212" t="s">
        <v>25</v>
      </c>
      <c r="F2212">
        <v>931.79</v>
      </c>
    </row>
    <row r="2213" spans="1:6" x14ac:dyDescent="0.35">
      <c r="A2213">
        <v>1341</v>
      </c>
      <c r="B2213" s="4">
        <v>45954.375085336993</v>
      </c>
      <c r="C2213" t="s">
        <v>15</v>
      </c>
      <c r="D2213" t="s">
        <v>20</v>
      </c>
      <c r="E2213" t="s">
        <v>24</v>
      </c>
      <c r="F2213">
        <v>3936.89</v>
      </c>
    </row>
    <row r="2214" spans="1:6" x14ac:dyDescent="0.35">
      <c r="A2214">
        <v>1320</v>
      </c>
      <c r="B2214" s="4">
        <v>45954.375085336993</v>
      </c>
      <c r="C2214" t="s">
        <v>11</v>
      </c>
      <c r="D2214" t="s">
        <v>17</v>
      </c>
      <c r="E2214" t="s">
        <v>25</v>
      </c>
      <c r="F2214">
        <v>11328.63</v>
      </c>
    </row>
    <row r="2215" spans="1:6" x14ac:dyDescent="0.35">
      <c r="A2215">
        <v>1000</v>
      </c>
      <c r="B2215" s="4">
        <v>45954.375085336993</v>
      </c>
      <c r="C2215" t="s">
        <v>6</v>
      </c>
      <c r="D2215" t="s">
        <v>22</v>
      </c>
      <c r="E2215" t="s">
        <v>25</v>
      </c>
      <c r="F2215">
        <v>4134.3</v>
      </c>
    </row>
    <row r="2216" spans="1:6" x14ac:dyDescent="0.35">
      <c r="A2216">
        <v>1172</v>
      </c>
      <c r="B2216" s="4">
        <v>45954.375085336993</v>
      </c>
      <c r="C2216" t="s">
        <v>10</v>
      </c>
      <c r="D2216" t="s">
        <v>21</v>
      </c>
      <c r="E2216" t="s">
        <v>24</v>
      </c>
      <c r="F2216">
        <v>5196.29</v>
      </c>
    </row>
    <row r="2217" spans="1:6" x14ac:dyDescent="0.35">
      <c r="A2217">
        <v>1060</v>
      </c>
      <c r="B2217" s="4">
        <v>45954.375085336993</v>
      </c>
      <c r="C2217" t="s">
        <v>15</v>
      </c>
      <c r="D2217" t="s">
        <v>22</v>
      </c>
      <c r="E2217" t="s">
        <v>25</v>
      </c>
      <c r="F2217">
        <v>1867.19</v>
      </c>
    </row>
    <row r="2218" spans="1:6" x14ac:dyDescent="0.35">
      <c r="A2218">
        <v>1363</v>
      </c>
      <c r="B2218" s="4">
        <v>45955.375085336993</v>
      </c>
      <c r="C2218" t="s">
        <v>6</v>
      </c>
      <c r="D2218" t="s">
        <v>18</v>
      </c>
      <c r="E2218" t="s">
        <v>23</v>
      </c>
      <c r="F2218">
        <v>7378.25</v>
      </c>
    </row>
    <row r="2219" spans="1:6" x14ac:dyDescent="0.35">
      <c r="A2219">
        <v>1242</v>
      </c>
      <c r="B2219" s="4">
        <v>45955.375085336993</v>
      </c>
      <c r="C2219" t="s">
        <v>10</v>
      </c>
      <c r="D2219" t="s">
        <v>18</v>
      </c>
      <c r="E2219" t="s">
        <v>24</v>
      </c>
      <c r="F2219">
        <v>3965.89</v>
      </c>
    </row>
    <row r="2220" spans="1:6" x14ac:dyDescent="0.35">
      <c r="A2220">
        <v>1016</v>
      </c>
      <c r="B2220" s="4">
        <v>45955.375085336993</v>
      </c>
      <c r="C2220" t="s">
        <v>13</v>
      </c>
      <c r="D2220" t="s">
        <v>19</v>
      </c>
      <c r="E2220" t="s">
        <v>25</v>
      </c>
      <c r="F2220">
        <v>9661.4599999999991</v>
      </c>
    </row>
    <row r="2221" spans="1:6" x14ac:dyDescent="0.35">
      <c r="A2221">
        <v>1349</v>
      </c>
      <c r="B2221" s="4">
        <v>45955.375085336993</v>
      </c>
      <c r="C2221" t="s">
        <v>14</v>
      </c>
      <c r="D2221" t="s">
        <v>20</v>
      </c>
      <c r="E2221" t="s">
        <v>25</v>
      </c>
      <c r="F2221">
        <v>3552.77</v>
      </c>
    </row>
    <row r="2222" spans="1:6" x14ac:dyDescent="0.35">
      <c r="A2222">
        <v>1242</v>
      </c>
      <c r="B2222" s="4">
        <v>45955.375085336993</v>
      </c>
      <c r="C2222" t="s">
        <v>7</v>
      </c>
      <c r="D2222" t="s">
        <v>22</v>
      </c>
      <c r="E2222" t="s">
        <v>23</v>
      </c>
      <c r="F2222">
        <v>1094.71</v>
      </c>
    </row>
    <row r="2223" spans="1:6" x14ac:dyDescent="0.35">
      <c r="A2223">
        <v>1148</v>
      </c>
      <c r="B2223" s="4">
        <v>45955.375085336993</v>
      </c>
      <c r="C2223" t="s">
        <v>13</v>
      </c>
      <c r="D2223" t="s">
        <v>20</v>
      </c>
      <c r="E2223" t="s">
        <v>23</v>
      </c>
      <c r="F2223">
        <v>322.08999999999997</v>
      </c>
    </row>
    <row r="2224" spans="1:6" x14ac:dyDescent="0.35">
      <c r="A2224">
        <v>1225</v>
      </c>
      <c r="B2224" s="4">
        <v>45956.375085336993</v>
      </c>
      <c r="C2224" t="s">
        <v>8</v>
      </c>
      <c r="D2224" t="s">
        <v>21</v>
      </c>
      <c r="E2224" t="s">
        <v>23</v>
      </c>
      <c r="F2224">
        <v>6547.07</v>
      </c>
    </row>
    <row r="2225" spans="1:6" x14ac:dyDescent="0.35">
      <c r="A2225">
        <v>1092</v>
      </c>
      <c r="B2225" s="4">
        <v>45956.375085336993</v>
      </c>
      <c r="C2225" t="s">
        <v>9</v>
      </c>
      <c r="D2225" t="s">
        <v>19</v>
      </c>
      <c r="E2225" t="s">
        <v>25</v>
      </c>
      <c r="F2225">
        <v>2306.7399999999998</v>
      </c>
    </row>
    <row r="2226" spans="1:6" x14ac:dyDescent="0.35">
      <c r="A2226">
        <v>1160</v>
      </c>
      <c r="B2226" s="4">
        <v>45956.375085336993</v>
      </c>
      <c r="C2226" t="s">
        <v>6</v>
      </c>
      <c r="D2226" t="s">
        <v>17</v>
      </c>
      <c r="E2226" t="s">
        <v>23</v>
      </c>
      <c r="F2226">
        <v>5748.89</v>
      </c>
    </row>
    <row r="2227" spans="1:6" x14ac:dyDescent="0.35">
      <c r="A2227">
        <v>1335</v>
      </c>
      <c r="B2227" s="4">
        <v>45956.375085336993</v>
      </c>
      <c r="C2227" t="s">
        <v>10</v>
      </c>
      <c r="D2227" t="s">
        <v>19</v>
      </c>
      <c r="E2227" t="s">
        <v>23</v>
      </c>
      <c r="F2227">
        <v>6274.22</v>
      </c>
    </row>
    <row r="2228" spans="1:6" x14ac:dyDescent="0.35">
      <c r="A2228">
        <v>1038</v>
      </c>
      <c r="B2228" s="4">
        <v>45956.375085336993</v>
      </c>
      <c r="C2228" t="s">
        <v>10</v>
      </c>
      <c r="D2228" t="s">
        <v>17</v>
      </c>
      <c r="E2228" t="s">
        <v>23</v>
      </c>
      <c r="F2228">
        <v>2198.4499999999998</v>
      </c>
    </row>
    <row r="2229" spans="1:6" x14ac:dyDescent="0.35">
      <c r="A2229">
        <v>1042</v>
      </c>
      <c r="B2229" s="4">
        <v>45957.375085336993</v>
      </c>
      <c r="C2229" t="s">
        <v>15</v>
      </c>
      <c r="D2229" t="s">
        <v>19</v>
      </c>
      <c r="E2229" t="s">
        <v>25</v>
      </c>
      <c r="F2229">
        <v>2765.98</v>
      </c>
    </row>
    <row r="2230" spans="1:6" x14ac:dyDescent="0.35">
      <c r="A2230">
        <v>1346</v>
      </c>
      <c r="B2230" s="4">
        <v>45957.375085336993</v>
      </c>
      <c r="C2230" t="s">
        <v>6</v>
      </c>
      <c r="D2230" t="s">
        <v>16</v>
      </c>
      <c r="E2230" t="s">
        <v>23</v>
      </c>
      <c r="F2230">
        <v>1257.27</v>
      </c>
    </row>
    <row r="2231" spans="1:6" x14ac:dyDescent="0.35">
      <c r="A2231">
        <v>1326</v>
      </c>
      <c r="B2231" s="4">
        <v>45957.375085336993</v>
      </c>
      <c r="C2231" t="s">
        <v>12</v>
      </c>
      <c r="D2231" t="s">
        <v>22</v>
      </c>
      <c r="E2231" t="s">
        <v>25</v>
      </c>
      <c r="F2231">
        <v>4405.3</v>
      </c>
    </row>
    <row r="2232" spans="1:6" x14ac:dyDescent="0.35">
      <c r="A2232">
        <v>1237</v>
      </c>
      <c r="B2232" s="4">
        <v>45958.375085336993</v>
      </c>
      <c r="C2232" t="s">
        <v>15</v>
      </c>
      <c r="D2232" t="s">
        <v>21</v>
      </c>
      <c r="E2232" t="s">
        <v>23</v>
      </c>
      <c r="F2232">
        <v>7465.03</v>
      </c>
    </row>
    <row r="2233" spans="1:6" x14ac:dyDescent="0.35">
      <c r="A2233">
        <v>1014</v>
      </c>
      <c r="B2233" s="4">
        <v>45958.375085336993</v>
      </c>
      <c r="C2233" t="s">
        <v>9</v>
      </c>
      <c r="D2233" t="s">
        <v>21</v>
      </c>
      <c r="E2233" t="s">
        <v>25</v>
      </c>
      <c r="F2233">
        <v>7525.57</v>
      </c>
    </row>
    <row r="2234" spans="1:6" x14ac:dyDescent="0.35">
      <c r="A2234">
        <v>1284</v>
      </c>
      <c r="B2234" s="4">
        <v>45958.375085336993</v>
      </c>
      <c r="C2234" t="s">
        <v>6</v>
      </c>
      <c r="D2234" t="s">
        <v>21</v>
      </c>
      <c r="E2234" t="s">
        <v>25</v>
      </c>
      <c r="F2234">
        <v>4168.03</v>
      </c>
    </row>
    <row r="2235" spans="1:6" x14ac:dyDescent="0.35">
      <c r="A2235">
        <v>1175</v>
      </c>
      <c r="B2235" s="4">
        <v>45958.375085336993</v>
      </c>
      <c r="C2235" t="s">
        <v>10</v>
      </c>
      <c r="D2235" t="s">
        <v>21</v>
      </c>
      <c r="E2235" t="s">
        <v>23</v>
      </c>
      <c r="F2235">
        <v>6029.74</v>
      </c>
    </row>
    <row r="2236" spans="1:6" x14ac:dyDescent="0.35">
      <c r="A2236">
        <v>1052</v>
      </c>
      <c r="B2236" s="4">
        <v>45959.375085336993</v>
      </c>
      <c r="C2236" t="s">
        <v>11</v>
      </c>
      <c r="D2236" t="s">
        <v>17</v>
      </c>
      <c r="E2236" t="s">
        <v>24</v>
      </c>
      <c r="F2236">
        <v>3824.76</v>
      </c>
    </row>
    <row r="2237" spans="1:6" x14ac:dyDescent="0.35">
      <c r="A2237">
        <v>1147</v>
      </c>
      <c r="B2237" s="4">
        <v>45959.375085336993</v>
      </c>
      <c r="C2237" t="s">
        <v>10</v>
      </c>
      <c r="D2237" t="s">
        <v>19</v>
      </c>
      <c r="E2237" t="s">
        <v>25</v>
      </c>
      <c r="F2237">
        <v>2704.34</v>
      </c>
    </row>
    <row r="2238" spans="1:6" x14ac:dyDescent="0.35">
      <c r="A2238">
        <v>1095</v>
      </c>
      <c r="B2238" s="4">
        <v>45959.375085336993</v>
      </c>
      <c r="C2238" t="s">
        <v>8</v>
      </c>
      <c r="D2238" t="s">
        <v>18</v>
      </c>
      <c r="E2238" t="s">
        <v>24</v>
      </c>
      <c r="F2238">
        <v>2597.12</v>
      </c>
    </row>
    <row r="2239" spans="1:6" x14ac:dyDescent="0.35">
      <c r="A2239">
        <v>1348</v>
      </c>
      <c r="B2239" s="4">
        <v>45960.375085336993</v>
      </c>
      <c r="C2239" t="s">
        <v>8</v>
      </c>
      <c r="D2239" t="s">
        <v>22</v>
      </c>
      <c r="E2239" t="s">
        <v>25</v>
      </c>
      <c r="F2239">
        <v>3736.45</v>
      </c>
    </row>
    <row r="2240" spans="1:6" x14ac:dyDescent="0.35">
      <c r="A2240">
        <v>1139</v>
      </c>
      <c r="B2240" s="4">
        <v>45960.375085336993</v>
      </c>
      <c r="C2240" t="s">
        <v>7</v>
      </c>
      <c r="D2240" t="s">
        <v>19</v>
      </c>
      <c r="E2240" t="s">
        <v>24</v>
      </c>
      <c r="F2240">
        <v>6268.36</v>
      </c>
    </row>
    <row r="2241" spans="1:6" x14ac:dyDescent="0.35">
      <c r="A2241">
        <v>1045</v>
      </c>
      <c r="B2241" s="4">
        <v>45960.375085336993</v>
      </c>
      <c r="C2241" t="s">
        <v>15</v>
      </c>
      <c r="D2241" t="s">
        <v>18</v>
      </c>
      <c r="E2241" t="s">
        <v>23</v>
      </c>
      <c r="F2241">
        <v>1219.4100000000001</v>
      </c>
    </row>
    <row r="2242" spans="1:6" x14ac:dyDescent="0.35">
      <c r="A2242">
        <v>1237</v>
      </c>
      <c r="B2242" s="4">
        <v>45960.375085336993</v>
      </c>
      <c r="C2242" t="s">
        <v>11</v>
      </c>
      <c r="D2242" t="s">
        <v>18</v>
      </c>
      <c r="E2242" t="s">
        <v>25</v>
      </c>
      <c r="F2242">
        <v>4333.68</v>
      </c>
    </row>
    <row r="2243" spans="1:6" x14ac:dyDescent="0.35">
      <c r="A2243">
        <v>1245</v>
      </c>
      <c r="B2243" s="4">
        <v>45961.375085336993</v>
      </c>
      <c r="C2243" t="s">
        <v>15</v>
      </c>
      <c r="D2243" t="s">
        <v>18</v>
      </c>
      <c r="E2243" t="s">
        <v>25</v>
      </c>
      <c r="F2243">
        <v>1791.22</v>
      </c>
    </row>
    <row r="2244" spans="1:6" x14ac:dyDescent="0.35">
      <c r="A2244">
        <v>1300</v>
      </c>
      <c r="B2244" s="4">
        <v>45961.375085336993</v>
      </c>
      <c r="C2244" t="s">
        <v>15</v>
      </c>
      <c r="D2244" t="s">
        <v>17</v>
      </c>
      <c r="E2244" t="s">
        <v>25</v>
      </c>
      <c r="F2244">
        <v>4052.25</v>
      </c>
    </row>
    <row r="2245" spans="1:6" x14ac:dyDescent="0.35">
      <c r="A2245">
        <v>1225</v>
      </c>
      <c r="B2245" s="4">
        <v>45961.375085336993</v>
      </c>
      <c r="C2245" t="s">
        <v>10</v>
      </c>
      <c r="D2245" t="s">
        <v>21</v>
      </c>
      <c r="E2245" t="s">
        <v>24</v>
      </c>
      <c r="F2245">
        <v>3247.71</v>
      </c>
    </row>
    <row r="2246" spans="1:6" x14ac:dyDescent="0.35">
      <c r="A2246">
        <v>1009</v>
      </c>
      <c r="B2246" s="4">
        <v>45962.375085336993</v>
      </c>
      <c r="C2246" t="s">
        <v>11</v>
      </c>
      <c r="D2246" t="s">
        <v>21</v>
      </c>
      <c r="E2246" t="s">
        <v>25</v>
      </c>
      <c r="F2246">
        <v>3748.93</v>
      </c>
    </row>
    <row r="2247" spans="1:6" x14ac:dyDescent="0.35">
      <c r="A2247">
        <v>1173</v>
      </c>
      <c r="B2247" s="4">
        <v>45962.375085336993</v>
      </c>
      <c r="C2247" t="s">
        <v>9</v>
      </c>
      <c r="D2247" t="s">
        <v>19</v>
      </c>
      <c r="E2247" t="s">
        <v>25</v>
      </c>
      <c r="F2247">
        <v>2692.32</v>
      </c>
    </row>
    <row r="2248" spans="1:6" x14ac:dyDescent="0.35">
      <c r="A2248">
        <v>1240</v>
      </c>
      <c r="B2248" s="4">
        <v>45962.375085336993</v>
      </c>
      <c r="C2248" t="s">
        <v>14</v>
      </c>
      <c r="D2248" t="s">
        <v>17</v>
      </c>
      <c r="E2248" t="s">
        <v>24</v>
      </c>
      <c r="F2248">
        <v>3421.74</v>
      </c>
    </row>
    <row r="2249" spans="1:6" x14ac:dyDescent="0.35">
      <c r="A2249">
        <v>1045</v>
      </c>
      <c r="B2249" s="4">
        <v>45962.375085336993</v>
      </c>
      <c r="C2249" t="s">
        <v>10</v>
      </c>
      <c r="D2249" t="s">
        <v>21</v>
      </c>
      <c r="E2249" t="s">
        <v>24</v>
      </c>
      <c r="F2249">
        <v>7004.18</v>
      </c>
    </row>
    <row r="2250" spans="1:6" x14ac:dyDescent="0.35">
      <c r="A2250">
        <v>1112</v>
      </c>
      <c r="B2250" s="4">
        <v>45962.375085336993</v>
      </c>
      <c r="C2250" t="s">
        <v>9</v>
      </c>
      <c r="D2250" t="s">
        <v>16</v>
      </c>
      <c r="E2250" t="s">
        <v>24</v>
      </c>
      <c r="F2250">
        <v>7690.5</v>
      </c>
    </row>
    <row r="2251" spans="1:6" x14ac:dyDescent="0.35">
      <c r="A2251">
        <v>1157</v>
      </c>
      <c r="B2251" s="4">
        <v>45963.375085336993</v>
      </c>
      <c r="C2251" t="s">
        <v>6</v>
      </c>
      <c r="D2251" t="s">
        <v>18</v>
      </c>
      <c r="E2251" t="s">
        <v>23</v>
      </c>
      <c r="F2251">
        <v>2578.12</v>
      </c>
    </row>
    <row r="2252" spans="1:6" x14ac:dyDescent="0.35">
      <c r="A2252">
        <v>1017</v>
      </c>
      <c r="B2252" s="4">
        <v>45963.375085336993</v>
      </c>
      <c r="C2252" t="s">
        <v>13</v>
      </c>
      <c r="D2252" t="s">
        <v>20</v>
      </c>
      <c r="E2252" t="s">
        <v>25</v>
      </c>
      <c r="F2252">
        <v>1497.37</v>
      </c>
    </row>
    <row r="2253" spans="1:6" x14ac:dyDescent="0.35">
      <c r="A2253">
        <v>1121</v>
      </c>
      <c r="B2253" s="4">
        <v>45963.375085336993</v>
      </c>
      <c r="C2253" t="s">
        <v>12</v>
      </c>
      <c r="D2253" t="s">
        <v>21</v>
      </c>
      <c r="E2253" t="s">
        <v>25</v>
      </c>
      <c r="F2253">
        <v>4257.95</v>
      </c>
    </row>
    <row r="2254" spans="1:6" x14ac:dyDescent="0.35">
      <c r="A2254">
        <v>1038</v>
      </c>
      <c r="B2254" s="4">
        <v>45963.375085336993</v>
      </c>
      <c r="C2254" t="s">
        <v>7</v>
      </c>
      <c r="D2254" t="s">
        <v>17</v>
      </c>
      <c r="E2254" t="s">
        <v>23</v>
      </c>
      <c r="F2254">
        <v>4046.93</v>
      </c>
    </row>
    <row r="2255" spans="1:6" x14ac:dyDescent="0.35">
      <c r="A2255">
        <v>1003</v>
      </c>
      <c r="B2255" s="4">
        <v>45963.375085336993</v>
      </c>
      <c r="C2255" t="s">
        <v>13</v>
      </c>
      <c r="D2255" t="s">
        <v>18</v>
      </c>
      <c r="E2255" t="s">
        <v>24</v>
      </c>
      <c r="F2255">
        <v>6474.62</v>
      </c>
    </row>
    <row r="2256" spans="1:6" x14ac:dyDescent="0.35">
      <c r="A2256">
        <v>1048</v>
      </c>
      <c r="B2256" s="4">
        <v>45963.375085336993</v>
      </c>
      <c r="C2256" t="s">
        <v>11</v>
      </c>
      <c r="D2256" t="s">
        <v>20</v>
      </c>
      <c r="E2256" t="s">
        <v>25</v>
      </c>
      <c r="F2256">
        <v>6923.4</v>
      </c>
    </row>
    <row r="2257" spans="1:6" x14ac:dyDescent="0.35">
      <c r="A2257">
        <v>1249</v>
      </c>
      <c r="B2257" s="4">
        <v>45963.375085336993</v>
      </c>
      <c r="C2257" t="s">
        <v>9</v>
      </c>
      <c r="D2257" t="s">
        <v>18</v>
      </c>
      <c r="E2257" t="s">
        <v>23</v>
      </c>
      <c r="F2257">
        <v>1404.75</v>
      </c>
    </row>
    <row r="2258" spans="1:6" x14ac:dyDescent="0.35">
      <c r="A2258">
        <v>1258</v>
      </c>
      <c r="B2258" s="4">
        <v>45964.375085336993</v>
      </c>
      <c r="C2258" t="s">
        <v>14</v>
      </c>
      <c r="D2258" t="s">
        <v>19</v>
      </c>
      <c r="E2258" t="s">
        <v>23</v>
      </c>
      <c r="F2258">
        <v>6153.65</v>
      </c>
    </row>
    <row r="2259" spans="1:6" x14ac:dyDescent="0.35">
      <c r="A2259">
        <v>1243</v>
      </c>
      <c r="B2259" s="4">
        <v>45964.375085336993</v>
      </c>
      <c r="C2259" t="s">
        <v>9</v>
      </c>
      <c r="D2259" t="s">
        <v>22</v>
      </c>
      <c r="E2259" t="s">
        <v>23</v>
      </c>
      <c r="F2259">
        <v>2328.83</v>
      </c>
    </row>
    <row r="2260" spans="1:6" x14ac:dyDescent="0.35">
      <c r="A2260">
        <v>1224</v>
      </c>
      <c r="B2260" s="4">
        <v>45964.375085336993</v>
      </c>
      <c r="C2260" t="s">
        <v>9</v>
      </c>
      <c r="D2260" t="s">
        <v>22</v>
      </c>
      <c r="E2260" t="s">
        <v>25</v>
      </c>
      <c r="F2260">
        <v>4485.03</v>
      </c>
    </row>
    <row r="2261" spans="1:6" x14ac:dyDescent="0.35">
      <c r="A2261">
        <v>1128</v>
      </c>
      <c r="B2261" s="4">
        <v>45964.375085336993</v>
      </c>
      <c r="C2261" t="s">
        <v>8</v>
      </c>
      <c r="D2261" t="s">
        <v>17</v>
      </c>
      <c r="E2261" t="s">
        <v>24</v>
      </c>
      <c r="F2261">
        <v>8696.24</v>
      </c>
    </row>
    <row r="2262" spans="1:6" x14ac:dyDescent="0.35">
      <c r="A2262">
        <v>1070</v>
      </c>
      <c r="B2262" s="4">
        <v>45964.375085336993</v>
      </c>
      <c r="C2262" t="s">
        <v>6</v>
      </c>
      <c r="D2262" t="s">
        <v>20</v>
      </c>
      <c r="E2262" t="s">
        <v>25</v>
      </c>
      <c r="F2262">
        <v>5129.8999999999996</v>
      </c>
    </row>
    <row r="2263" spans="1:6" x14ac:dyDescent="0.35">
      <c r="A2263">
        <v>1351</v>
      </c>
      <c r="B2263" s="4">
        <v>45964.375085336993</v>
      </c>
      <c r="C2263" t="s">
        <v>10</v>
      </c>
      <c r="D2263" t="s">
        <v>18</v>
      </c>
      <c r="E2263" t="s">
        <v>24</v>
      </c>
      <c r="F2263">
        <v>511.96</v>
      </c>
    </row>
    <row r="2264" spans="1:6" x14ac:dyDescent="0.35">
      <c r="A2264">
        <v>1059</v>
      </c>
      <c r="B2264" s="4">
        <v>45964.375085336993</v>
      </c>
      <c r="C2264" t="s">
        <v>11</v>
      </c>
      <c r="D2264" t="s">
        <v>19</v>
      </c>
      <c r="E2264" t="s">
        <v>23</v>
      </c>
      <c r="F2264">
        <v>5512.47</v>
      </c>
    </row>
    <row r="2265" spans="1:6" x14ac:dyDescent="0.35">
      <c r="A2265">
        <v>1024</v>
      </c>
      <c r="B2265" s="4">
        <v>45964.375085336993</v>
      </c>
      <c r="C2265" t="s">
        <v>6</v>
      </c>
      <c r="D2265" t="s">
        <v>19</v>
      </c>
      <c r="E2265" t="s">
        <v>23</v>
      </c>
      <c r="F2265">
        <v>4348.5</v>
      </c>
    </row>
    <row r="2266" spans="1:6" x14ac:dyDescent="0.35">
      <c r="A2266">
        <v>1327</v>
      </c>
      <c r="B2266" s="4">
        <v>45964.375085336993</v>
      </c>
      <c r="C2266" t="s">
        <v>15</v>
      </c>
      <c r="D2266" t="s">
        <v>16</v>
      </c>
      <c r="E2266" t="s">
        <v>24</v>
      </c>
      <c r="F2266">
        <v>1503.12</v>
      </c>
    </row>
    <row r="2267" spans="1:6" x14ac:dyDescent="0.35">
      <c r="A2267">
        <v>1381</v>
      </c>
      <c r="B2267" s="4">
        <v>45965.375085336993</v>
      </c>
      <c r="C2267" t="s">
        <v>12</v>
      </c>
      <c r="D2267" t="s">
        <v>19</v>
      </c>
      <c r="E2267" t="s">
        <v>25</v>
      </c>
      <c r="F2267">
        <v>4136.17</v>
      </c>
    </row>
    <row r="2268" spans="1:6" x14ac:dyDescent="0.35">
      <c r="A2268">
        <v>1183</v>
      </c>
      <c r="B2268" s="4">
        <v>45965.375085336993</v>
      </c>
      <c r="C2268" t="s">
        <v>14</v>
      </c>
      <c r="D2268" t="s">
        <v>18</v>
      </c>
      <c r="E2268" t="s">
        <v>24</v>
      </c>
      <c r="F2268">
        <v>7309.01</v>
      </c>
    </row>
    <row r="2269" spans="1:6" x14ac:dyDescent="0.35">
      <c r="A2269">
        <v>1308</v>
      </c>
      <c r="B2269" s="4">
        <v>45965.375085336993</v>
      </c>
      <c r="C2269" t="s">
        <v>14</v>
      </c>
      <c r="D2269" t="s">
        <v>20</v>
      </c>
      <c r="E2269" t="s">
        <v>23</v>
      </c>
      <c r="F2269">
        <v>5304.83</v>
      </c>
    </row>
    <row r="2270" spans="1:6" x14ac:dyDescent="0.35">
      <c r="A2270">
        <v>1394</v>
      </c>
      <c r="B2270" s="4">
        <v>45965.375085336993</v>
      </c>
      <c r="C2270" t="s">
        <v>6</v>
      </c>
      <c r="D2270" t="s">
        <v>19</v>
      </c>
      <c r="E2270" t="s">
        <v>24</v>
      </c>
      <c r="F2270">
        <v>553.88</v>
      </c>
    </row>
    <row r="2271" spans="1:6" x14ac:dyDescent="0.35">
      <c r="A2271">
        <v>1075</v>
      </c>
      <c r="B2271" s="4">
        <v>45965.375085336993</v>
      </c>
      <c r="C2271" t="s">
        <v>12</v>
      </c>
      <c r="D2271" t="s">
        <v>21</v>
      </c>
      <c r="E2271" t="s">
        <v>24</v>
      </c>
      <c r="F2271">
        <v>6120.31</v>
      </c>
    </row>
    <row r="2272" spans="1:6" x14ac:dyDescent="0.35">
      <c r="A2272">
        <v>1097</v>
      </c>
      <c r="B2272" s="4">
        <v>45965.375085336993</v>
      </c>
      <c r="C2272" t="s">
        <v>7</v>
      </c>
      <c r="D2272" t="s">
        <v>16</v>
      </c>
      <c r="E2272" t="s">
        <v>24</v>
      </c>
      <c r="F2272">
        <v>3866.24</v>
      </c>
    </row>
    <row r="2273" spans="1:6" x14ac:dyDescent="0.35">
      <c r="A2273">
        <v>1019</v>
      </c>
      <c r="B2273" s="4">
        <v>45965.375085336993</v>
      </c>
      <c r="C2273" t="s">
        <v>8</v>
      </c>
      <c r="D2273" t="s">
        <v>21</v>
      </c>
      <c r="E2273" t="s">
        <v>23</v>
      </c>
      <c r="F2273">
        <v>324.20999999999998</v>
      </c>
    </row>
    <row r="2274" spans="1:6" x14ac:dyDescent="0.35">
      <c r="A2274">
        <v>1097</v>
      </c>
      <c r="B2274" s="4">
        <v>45966.375085336993</v>
      </c>
      <c r="C2274" t="s">
        <v>15</v>
      </c>
      <c r="D2274" t="s">
        <v>18</v>
      </c>
      <c r="E2274" t="s">
        <v>25</v>
      </c>
      <c r="F2274">
        <v>4720.79</v>
      </c>
    </row>
    <row r="2275" spans="1:6" x14ac:dyDescent="0.35">
      <c r="A2275">
        <v>1276</v>
      </c>
      <c r="B2275" s="4">
        <v>45966.375085336993</v>
      </c>
      <c r="C2275" t="s">
        <v>14</v>
      </c>
      <c r="D2275" t="s">
        <v>21</v>
      </c>
      <c r="E2275" t="s">
        <v>24</v>
      </c>
      <c r="F2275">
        <v>483.85</v>
      </c>
    </row>
    <row r="2276" spans="1:6" x14ac:dyDescent="0.35">
      <c r="A2276">
        <v>1127</v>
      </c>
      <c r="B2276" s="4">
        <v>45966.375085336993</v>
      </c>
      <c r="C2276" t="s">
        <v>13</v>
      </c>
      <c r="D2276" t="s">
        <v>17</v>
      </c>
      <c r="E2276" t="s">
        <v>25</v>
      </c>
      <c r="F2276">
        <v>1225.97</v>
      </c>
    </row>
    <row r="2277" spans="1:6" x14ac:dyDescent="0.35">
      <c r="A2277">
        <v>1325</v>
      </c>
      <c r="B2277" s="4">
        <v>45966.375085336993</v>
      </c>
      <c r="C2277" t="s">
        <v>9</v>
      </c>
      <c r="D2277" t="s">
        <v>22</v>
      </c>
      <c r="E2277" t="s">
        <v>25</v>
      </c>
      <c r="F2277">
        <v>2533.19</v>
      </c>
    </row>
    <row r="2278" spans="1:6" x14ac:dyDescent="0.35">
      <c r="A2278">
        <v>1083</v>
      </c>
      <c r="B2278" s="4">
        <v>45967.375085336993</v>
      </c>
      <c r="C2278" t="s">
        <v>9</v>
      </c>
      <c r="D2278" t="s">
        <v>19</v>
      </c>
      <c r="E2278" t="s">
        <v>25</v>
      </c>
      <c r="F2278">
        <v>1451.08</v>
      </c>
    </row>
    <row r="2279" spans="1:6" x14ac:dyDescent="0.35">
      <c r="A2279">
        <v>1353</v>
      </c>
      <c r="B2279" s="4">
        <v>45967.375085336993</v>
      </c>
      <c r="C2279" t="s">
        <v>6</v>
      </c>
      <c r="D2279" t="s">
        <v>20</v>
      </c>
      <c r="E2279" t="s">
        <v>25</v>
      </c>
      <c r="F2279">
        <v>7337.43</v>
      </c>
    </row>
    <row r="2280" spans="1:6" x14ac:dyDescent="0.35">
      <c r="A2280">
        <v>1193</v>
      </c>
      <c r="B2280" s="4">
        <v>45968.375085336993</v>
      </c>
      <c r="C2280" t="s">
        <v>8</v>
      </c>
      <c r="D2280" t="s">
        <v>17</v>
      </c>
      <c r="E2280" t="s">
        <v>24</v>
      </c>
      <c r="F2280">
        <v>7033.49</v>
      </c>
    </row>
    <row r="2281" spans="1:6" x14ac:dyDescent="0.35">
      <c r="A2281">
        <v>1385</v>
      </c>
      <c r="B2281" s="4">
        <v>45968.375085336993</v>
      </c>
      <c r="C2281" t="s">
        <v>11</v>
      </c>
      <c r="D2281" t="s">
        <v>22</v>
      </c>
      <c r="E2281" t="s">
        <v>23</v>
      </c>
      <c r="F2281">
        <v>16177.92</v>
      </c>
    </row>
    <row r="2282" spans="1:6" x14ac:dyDescent="0.35">
      <c r="A2282">
        <v>1354</v>
      </c>
      <c r="B2282" s="4">
        <v>45968.375085336993</v>
      </c>
      <c r="C2282" t="s">
        <v>15</v>
      </c>
      <c r="D2282" t="s">
        <v>17</v>
      </c>
      <c r="E2282" t="s">
        <v>24</v>
      </c>
      <c r="F2282">
        <v>1440.71</v>
      </c>
    </row>
    <row r="2283" spans="1:6" x14ac:dyDescent="0.35">
      <c r="A2283">
        <v>1214</v>
      </c>
      <c r="B2283" s="4">
        <v>45968.375085336993</v>
      </c>
      <c r="C2283" t="s">
        <v>10</v>
      </c>
      <c r="D2283" t="s">
        <v>19</v>
      </c>
      <c r="E2283" t="s">
        <v>24</v>
      </c>
      <c r="F2283">
        <v>3540.94</v>
      </c>
    </row>
    <row r="2284" spans="1:6" x14ac:dyDescent="0.35">
      <c r="A2284">
        <v>1000</v>
      </c>
      <c r="B2284" s="4">
        <v>45968.375085336993</v>
      </c>
      <c r="C2284" t="s">
        <v>6</v>
      </c>
      <c r="D2284" t="s">
        <v>18</v>
      </c>
      <c r="E2284" t="s">
        <v>23</v>
      </c>
      <c r="F2284">
        <v>11297.14</v>
      </c>
    </row>
    <row r="2285" spans="1:6" x14ac:dyDescent="0.35">
      <c r="A2285">
        <v>1013</v>
      </c>
      <c r="B2285" s="4">
        <v>45968.375085336993</v>
      </c>
      <c r="C2285" t="s">
        <v>13</v>
      </c>
      <c r="D2285" t="s">
        <v>22</v>
      </c>
      <c r="E2285" t="s">
        <v>25</v>
      </c>
      <c r="F2285">
        <v>1871.82</v>
      </c>
    </row>
    <row r="2286" spans="1:6" x14ac:dyDescent="0.35">
      <c r="A2286">
        <v>1315</v>
      </c>
      <c r="B2286" s="4">
        <v>45969.375085336993</v>
      </c>
      <c r="C2286" t="s">
        <v>12</v>
      </c>
      <c r="D2286" t="s">
        <v>22</v>
      </c>
      <c r="E2286" t="s">
        <v>25</v>
      </c>
      <c r="F2286">
        <v>2039.65</v>
      </c>
    </row>
    <row r="2287" spans="1:6" x14ac:dyDescent="0.35">
      <c r="A2287">
        <v>1085</v>
      </c>
      <c r="B2287" s="4">
        <v>45969.375085336993</v>
      </c>
      <c r="C2287" t="s">
        <v>12</v>
      </c>
      <c r="D2287" t="s">
        <v>22</v>
      </c>
      <c r="E2287" t="s">
        <v>23</v>
      </c>
      <c r="F2287">
        <v>6686.42</v>
      </c>
    </row>
    <row r="2288" spans="1:6" x14ac:dyDescent="0.35">
      <c r="A2288">
        <v>1131</v>
      </c>
      <c r="B2288" s="4">
        <v>45969.375085336993</v>
      </c>
      <c r="C2288" t="s">
        <v>12</v>
      </c>
      <c r="D2288" t="s">
        <v>17</v>
      </c>
      <c r="E2288" t="s">
        <v>23</v>
      </c>
      <c r="F2288">
        <v>3459.32</v>
      </c>
    </row>
    <row r="2289" spans="1:6" x14ac:dyDescent="0.35">
      <c r="A2289">
        <v>1373</v>
      </c>
      <c r="B2289" s="4">
        <v>45969.375085336993</v>
      </c>
      <c r="C2289" t="s">
        <v>12</v>
      </c>
      <c r="D2289" t="s">
        <v>20</v>
      </c>
      <c r="E2289" t="s">
        <v>25</v>
      </c>
      <c r="F2289">
        <v>4786.92</v>
      </c>
    </row>
    <row r="2290" spans="1:6" x14ac:dyDescent="0.35">
      <c r="A2290">
        <v>1387</v>
      </c>
      <c r="B2290" s="4">
        <v>45970.375085336993</v>
      </c>
      <c r="C2290" t="s">
        <v>11</v>
      </c>
      <c r="D2290" t="s">
        <v>17</v>
      </c>
      <c r="E2290" t="s">
        <v>23</v>
      </c>
      <c r="F2290">
        <v>4845.04</v>
      </c>
    </row>
    <row r="2291" spans="1:6" x14ac:dyDescent="0.35">
      <c r="A2291">
        <v>1276</v>
      </c>
      <c r="B2291" s="4">
        <v>45970.375085336993</v>
      </c>
      <c r="C2291" t="s">
        <v>8</v>
      </c>
      <c r="D2291" t="s">
        <v>16</v>
      </c>
      <c r="E2291" t="s">
        <v>23</v>
      </c>
      <c r="F2291">
        <v>7745.21</v>
      </c>
    </row>
    <row r="2292" spans="1:6" x14ac:dyDescent="0.35">
      <c r="A2292">
        <v>1151</v>
      </c>
      <c r="B2292" s="4">
        <v>45970.375085336993</v>
      </c>
      <c r="C2292" t="s">
        <v>11</v>
      </c>
      <c r="D2292" t="s">
        <v>16</v>
      </c>
      <c r="E2292" t="s">
        <v>24</v>
      </c>
      <c r="F2292">
        <v>4089.18</v>
      </c>
    </row>
    <row r="2293" spans="1:6" x14ac:dyDescent="0.35">
      <c r="A2293">
        <v>1068</v>
      </c>
      <c r="B2293" s="4">
        <v>45970.375085336993</v>
      </c>
      <c r="C2293" t="s">
        <v>8</v>
      </c>
      <c r="D2293" t="s">
        <v>18</v>
      </c>
      <c r="E2293" t="s">
        <v>25</v>
      </c>
      <c r="F2293">
        <v>3763.75</v>
      </c>
    </row>
    <row r="2294" spans="1:6" x14ac:dyDescent="0.35">
      <c r="A2294">
        <v>1062</v>
      </c>
      <c r="B2294" s="4">
        <v>45971.375085336993</v>
      </c>
      <c r="C2294" t="s">
        <v>6</v>
      </c>
      <c r="D2294" t="s">
        <v>22</v>
      </c>
      <c r="E2294" t="s">
        <v>24</v>
      </c>
      <c r="F2294">
        <v>2109.81</v>
      </c>
    </row>
    <row r="2295" spans="1:6" x14ac:dyDescent="0.35">
      <c r="A2295">
        <v>1320</v>
      </c>
      <c r="B2295" s="4">
        <v>45971.375085336993</v>
      </c>
      <c r="C2295" t="s">
        <v>9</v>
      </c>
      <c r="D2295" t="s">
        <v>16</v>
      </c>
      <c r="E2295" t="s">
        <v>24</v>
      </c>
      <c r="F2295">
        <v>3011.08</v>
      </c>
    </row>
    <row r="2296" spans="1:6" x14ac:dyDescent="0.35">
      <c r="A2296">
        <v>1142</v>
      </c>
      <c r="B2296" s="4">
        <v>45971.375085336993</v>
      </c>
      <c r="C2296" t="s">
        <v>9</v>
      </c>
      <c r="D2296" t="s">
        <v>22</v>
      </c>
      <c r="E2296" t="s">
        <v>23</v>
      </c>
      <c r="F2296">
        <v>4226.83</v>
      </c>
    </row>
    <row r="2297" spans="1:6" x14ac:dyDescent="0.35">
      <c r="A2297">
        <v>1094</v>
      </c>
      <c r="B2297" s="4">
        <v>45971.375085336993</v>
      </c>
      <c r="C2297" t="s">
        <v>13</v>
      </c>
      <c r="D2297" t="s">
        <v>16</v>
      </c>
      <c r="E2297" t="s">
        <v>24</v>
      </c>
      <c r="F2297">
        <v>3655.75</v>
      </c>
    </row>
    <row r="2298" spans="1:6" x14ac:dyDescent="0.35">
      <c r="A2298">
        <v>1228</v>
      </c>
      <c r="B2298" s="4">
        <v>45972.375085336993</v>
      </c>
      <c r="C2298" t="s">
        <v>8</v>
      </c>
      <c r="D2298" t="s">
        <v>20</v>
      </c>
      <c r="E2298" t="s">
        <v>23</v>
      </c>
      <c r="F2298">
        <v>4839.32</v>
      </c>
    </row>
    <row r="2299" spans="1:6" x14ac:dyDescent="0.35">
      <c r="A2299">
        <v>1050</v>
      </c>
      <c r="B2299" s="4">
        <v>45972.375085336993</v>
      </c>
      <c r="C2299" t="s">
        <v>13</v>
      </c>
      <c r="D2299" t="s">
        <v>17</v>
      </c>
      <c r="E2299" t="s">
        <v>25</v>
      </c>
      <c r="F2299">
        <v>4293.18</v>
      </c>
    </row>
    <row r="2300" spans="1:6" x14ac:dyDescent="0.35">
      <c r="A2300">
        <v>1018</v>
      </c>
      <c r="B2300" s="4">
        <v>45972.375085336993</v>
      </c>
      <c r="C2300" t="s">
        <v>11</v>
      </c>
      <c r="D2300" t="s">
        <v>18</v>
      </c>
      <c r="E2300" t="s">
        <v>24</v>
      </c>
      <c r="F2300">
        <v>963.82</v>
      </c>
    </row>
    <row r="2301" spans="1:6" x14ac:dyDescent="0.35">
      <c r="A2301">
        <v>1261</v>
      </c>
      <c r="B2301" s="4">
        <v>45972.375085336993</v>
      </c>
      <c r="C2301" t="s">
        <v>13</v>
      </c>
      <c r="D2301" t="s">
        <v>17</v>
      </c>
      <c r="E2301" t="s">
        <v>23</v>
      </c>
      <c r="F2301">
        <v>4197.46</v>
      </c>
    </row>
    <row r="2302" spans="1:6" x14ac:dyDescent="0.35">
      <c r="A2302">
        <v>1050</v>
      </c>
      <c r="B2302" s="4">
        <v>45972.375085336993</v>
      </c>
      <c r="C2302" t="s">
        <v>15</v>
      </c>
      <c r="D2302" t="s">
        <v>16</v>
      </c>
      <c r="E2302" t="s">
        <v>23</v>
      </c>
      <c r="F2302">
        <v>1247.42</v>
      </c>
    </row>
    <row r="2303" spans="1:6" x14ac:dyDescent="0.35">
      <c r="A2303">
        <v>1223</v>
      </c>
      <c r="B2303" s="4">
        <v>45972.375085336993</v>
      </c>
      <c r="C2303" t="s">
        <v>12</v>
      </c>
      <c r="D2303" t="s">
        <v>21</v>
      </c>
      <c r="E2303" t="s">
        <v>23</v>
      </c>
      <c r="F2303">
        <v>4910.1099999999997</v>
      </c>
    </row>
    <row r="2304" spans="1:6" x14ac:dyDescent="0.35">
      <c r="A2304">
        <v>1098</v>
      </c>
      <c r="B2304" s="4">
        <v>45973.375085336993</v>
      </c>
      <c r="C2304" t="s">
        <v>12</v>
      </c>
      <c r="D2304" t="s">
        <v>18</v>
      </c>
      <c r="E2304" t="s">
        <v>25</v>
      </c>
      <c r="F2304">
        <v>1287.42</v>
      </c>
    </row>
    <row r="2305" spans="1:6" x14ac:dyDescent="0.35">
      <c r="A2305">
        <v>1354</v>
      </c>
      <c r="B2305" s="4">
        <v>45973.375085336993</v>
      </c>
      <c r="C2305" t="s">
        <v>8</v>
      </c>
      <c r="D2305" t="s">
        <v>18</v>
      </c>
      <c r="E2305" t="s">
        <v>25</v>
      </c>
      <c r="F2305">
        <v>8310.7999999999993</v>
      </c>
    </row>
    <row r="2306" spans="1:6" x14ac:dyDescent="0.35">
      <c r="A2306">
        <v>1041</v>
      </c>
      <c r="B2306" s="4">
        <v>45973.375085336993</v>
      </c>
      <c r="C2306" t="s">
        <v>14</v>
      </c>
      <c r="D2306" t="s">
        <v>20</v>
      </c>
      <c r="E2306" t="s">
        <v>25</v>
      </c>
      <c r="F2306">
        <v>441.13</v>
      </c>
    </row>
    <row r="2307" spans="1:6" x14ac:dyDescent="0.35">
      <c r="A2307">
        <v>1231</v>
      </c>
      <c r="B2307" s="4">
        <v>45973.375085336993</v>
      </c>
      <c r="C2307" t="s">
        <v>7</v>
      </c>
      <c r="D2307" t="s">
        <v>17</v>
      </c>
      <c r="E2307" t="s">
        <v>23</v>
      </c>
      <c r="F2307">
        <v>1885.41</v>
      </c>
    </row>
    <row r="2308" spans="1:6" x14ac:dyDescent="0.35">
      <c r="A2308">
        <v>1177</v>
      </c>
      <c r="B2308" s="4">
        <v>45973.375085336993</v>
      </c>
      <c r="C2308" t="s">
        <v>8</v>
      </c>
      <c r="D2308" t="s">
        <v>17</v>
      </c>
      <c r="E2308" t="s">
        <v>24</v>
      </c>
      <c r="F2308">
        <v>560.49</v>
      </c>
    </row>
    <row r="2309" spans="1:6" x14ac:dyDescent="0.35">
      <c r="A2309">
        <v>1238</v>
      </c>
      <c r="B2309" s="4">
        <v>45974.375085336993</v>
      </c>
      <c r="C2309" t="s">
        <v>9</v>
      </c>
      <c r="D2309" t="s">
        <v>22</v>
      </c>
      <c r="E2309" t="s">
        <v>25</v>
      </c>
      <c r="F2309">
        <v>1110</v>
      </c>
    </row>
    <row r="2310" spans="1:6" x14ac:dyDescent="0.35">
      <c r="A2310">
        <v>1295</v>
      </c>
      <c r="B2310" s="4">
        <v>45974.375085336993</v>
      </c>
      <c r="C2310" t="s">
        <v>8</v>
      </c>
      <c r="D2310" t="s">
        <v>18</v>
      </c>
      <c r="E2310" t="s">
        <v>23</v>
      </c>
      <c r="F2310">
        <v>9601.67</v>
      </c>
    </row>
    <row r="2311" spans="1:6" x14ac:dyDescent="0.35">
      <c r="A2311">
        <v>1329</v>
      </c>
      <c r="B2311" s="4">
        <v>45974.375085336993</v>
      </c>
      <c r="C2311" t="s">
        <v>12</v>
      </c>
      <c r="D2311" t="s">
        <v>18</v>
      </c>
      <c r="E2311" t="s">
        <v>23</v>
      </c>
      <c r="F2311">
        <v>1866.28</v>
      </c>
    </row>
    <row r="2312" spans="1:6" x14ac:dyDescent="0.35">
      <c r="A2312">
        <v>1350</v>
      </c>
      <c r="B2312" s="4">
        <v>45974.375085336993</v>
      </c>
      <c r="C2312" t="s">
        <v>11</v>
      </c>
      <c r="D2312" t="s">
        <v>20</v>
      </c>
      <c r="E2312" t="s">
        <v>23</v>
      </c>
      <c r="F2312">
        <v>4193.76</v>
      </c>
    </row>
    <row r="2313" spans="1:6" x14ac:dyDescent="0.35">
      <c r="A2313">
        <v>1177</v>
      </c>
      <c r="B2313" s="4">
        <v>45975.375085336993</v>
      </c>
      <c r="C2313" t="s">
        <v>10</v>
      </c>
      <c r="D2313" t="s">
        <v>17</v>
      </c>
      <c r="E2313" t="s">
        <v>25</v>
      </c>
      <c r="F2313">
        <v>6569.01</v>
      </c>
    </row>
    <row r="2314" spans="1:6" x14ac:dyDescent="0.35">
      <c r="A2314">
        <v>1144</v>
      </c>
      <c r="B2314" s="4">
        <v>45975.375085336993</v>
      </c>
      <c r="C2314" t="s">
        <v>14</v>
      </c>
      <c r="D2314" t="s">
        <v>21</v>
      </c>
      <c r="E2314" t="s">
        <v>24</v>
      </c>
      <c r="F2314">
        <v>8748.73</v>
      </c>
    </row>
    <row r="2315" spans="1:6" x14ac:dyDescent="0.35">
      <c r="A2315">
        <v>1263</v>
      </c>
      <c r="B2315" s="4">
        <v>45975.375085336993</v>
      </c>
      <c r="C2315" t="s">
        <v>10</v>
      </c>
      <c r="D2315" t="s">
        <v>16</v>
      </c>
      <c r="E2315" t="s">
        <v>24</v>
      </c>
      <c r="F2315">
        <v>5756.43</v>
      </c>
    </row>
    <row r="2316" spans="1:6" x14ac:dyDescent="0.35">
      <c r="A2316">
        <v>1263</v>
      </c>
      <c r="B2316" s="4">
        <v>45975.375085336993</v>
      </c>
      <c r="C2316" t="s">
        <v>7</v>
      </c>
      <c r="D2316" t="s">
        <v>18</v>
      </c>
      <c r="E2316" t="s">
        <v>23</v>
      </c>
      <c r="F2316">
        <v>1175.25</v>
      </c>
    </row>
    <row r="2317" spans="1:6" x14ac:dyDescent="0.35">
      <c r="A2317">
        <v>1171</v>
      </c>
      <c r="B2317" s="4">
        <v>45975.375085336993</v>
      </c>
      <c r="C2317" t="s">
        <v>8</v>
      </c>
      <c r="D2317" t="s">
        <v>16</v>
      </c>
      <c r="E2317" t="s">
        <v>23</v>
      </c>
      <c r="F2317">
        <v>8513.07</v>
      </c>
    </row>
    <row r="2318" spans="1:6" x14ac:dyDescent="0.35">
      <c r="A2318">
        <v>1298</v>
      </c>
      <c r="B2318" s="4">
        <v>45976.375085336993</v>
      </c>
      <c r="C2318" t="s">
        <v>9</v>
      </c>
      <c r="D2318" t="s">
        <v>21</v>
      </c>
      <c r="E2318" t="s">
        <v>24</v>
      </c>
      <c r="F2318">
        <v>4367.25</v>
      </c>
    </row>
    <row r="2319" spans="1:6" x14ac:dyDescent="0.35">
      <c r="A2319">
        <v>1034</v>
      </c>
      <c r="B2319" s="4">
        <v>45976.375085336993</v>
      </c>
      <c r="C2319" t="s">
        <v>8</v>
      </c>
      <c r="D2319" t="s">
        <v>19</v>
      </c>
      <c r="E2319" t="s">
        <v>24</v>
      </c>
      <c r="F2319">
        <v>1371.82</v>
      </c>
    </row>
    <row r="2320" spans="1:6" x14ac:dyDescent="0.35">
      <c r="A2320">
        <v>1399</v>
      </c>
      <c r="B2320" s="4">
        <v>45976.375085336993</v>
      </c>
      <c r="C2320" t="s">
        <v>10</v>
      </c>
      <c r="D2320" t="s">
        <v>18</v>
      </c>
      <c r="E2320" t="s">
        <v>24</v>
      </c>
      <c r="F2320">
        <v>2852</v>
      </c>
    </row>
    <row r="2321" spans="1:6" x14ac:dyDescent="0.35">
      <c r="A2321">
        <v>1307</v>
      </c>
      <c r="B2321" s="4">
        <v>45976.375085336993</v>
      </c>
      <c r="C2321" t="s">
        <v>6</v>
      </c>
      <c r="D2321" t="s">
        <v>22</v>
      </c>
      <c r="E2321" t="s">
        <v>25</v>
      </c>
      <c r="F2321">
        <v>2958.39</v>
      </c>
    </row>
    <row r="2322" spans="1:6" x14ac:dyDescent="0.35">
      <c r="A2322">
        <v>1107</v>
      </c>
      <c r="B2322" s="4">
        <v>45976.375085336993</v>
      </c>
      <c r="C2322" t="s">
        <v>7</v>
      </c>
      <c r="D2322" t="s">
        <v>22</v>
      </c>
      <c r="E2322" t="s">
        <v>23</v>
      </c>
      <c r="F2322">
        <v>5041.88</v>
      </c>
    </row>
    <row r="2323" spans="1:6" x14ac:dyDescent="0.35">
      <c r="A2323">
        <v>1117</v>
      </c>
      <c r="B2323" s="4">
        <v>45976.375085336993</v>
      </c>
      <c r="C2323" t="s">
        <v>11</v>
      </c>
      <c r="D2323" t="s">
        <v>18</v>
      </c>
      <c r="E2323" t="s">
        <v>25</v>
      </c>
      <c r="F2323">
        <v>4064.24</v>
      </c>
    </row>
    <row r="2324" spans="1:6" x14ac:dyDescent="0.35">
      <c r="A2324">
        <v>1187</v>
      </c>
      <c r="B2324" s="4">
        <v>45976.375085336993</v>
      </c>
      <c r="C2324" t="s">
        <v>13</v>
      </c>
      <c r="D2324" t="s">
        <v>21</v>
      </c>
      <c r="E2324" t="s">
        <v>23</v>
      </c>
      <c r="F2324">
        <v>2185.37</v>
      </c>
    </row>
    <row r="2325" spans="1:6" x14ac:dyDescent="0.35">
      <c r="A2325">
        <v>1091</v>
      </c>
      <c r="B2325" s="4">
        <v>45976.375085336993</v>
      </c>
      <c r="C2325" t="s">
        <v>13</v>
      </c>
      <c r="D2325" t="s">
        <v>21</v>
      </c>
      <c r="E2325" t="s">
        <v>24</v>
      </c>
      <c r="F2325">
        <v>3467.04</v>
      </c>
    </row>
    <row r="2326" spans="1:6" x14ac:dyDescent="0.35">
      <c r="A2326">
        <v>1091</v>
      </c>
      <c r="B2326" s="4">
        <v>45976.375085336993</v>
      </c>
      <c r="C2326" t="s">
        <v>10</v>
      </c>
      <c r="D2326" t="s">
        <v>22</v>
      </c>
      <c r="E2326" t="s">
        <v>24</v>
      </c>
      <c r="F2326">
        <v>1061.28</v>
      </c>
    </row>
    <row r="2327" spans="1:6" x14ac:dyDescent="0.35">
      <c r="A2327">
        <v>1386</v>
      </c>
      <c r="B2327" s="4">
        <v>45976.375085336993</v>
      </c>
      <c r="C2327" t="s">
        <v>13</v>
      </c>
      <c r="D2327" t="s">
        <v>20</v>
      </c>
      <c r="E2327" t="s">
        <v>25</v>
      </c>
      <c r="F2327">
        <v>2748.4</v>
      </c>
    </row>
    <row r="2328" spans="1:6" x14ac:dyDescent="0.35">
      <c r="A2328">
        <v>1116</v>
      </c>
      <c r="B2328" s="4">
        <v>45977.375085336993</v>
      </c>
      <c r="C2328" t="s">
        <v>9</v>
      </c>
      <c r="D2328" t="s">
        <v>18</v>
      </c>
      <c r="E2328" t="s">
        <v>24</v>
      </c>
      <c r="F2328">
        <v>7236.82</v>
      </c>
    </row>
    <row r="2329" spans="1:6" x14ac:dyDescent="0.35">
      <c r="A2329">
        <v>1253</v>
      </c>
      <c r="B2329" s="4">
        <v>45977.375085336993</v>
      </c>
      <c r="C2329" t="s">
        <v>9</v>
      </c>
      <c r="D2329" t="s">
        <v>16</v>
      </c>
      <c r="E2329" t="s">
        <v>25</v>
      </c>
      <c r="F2329">
        <v>5715.77</v>
      </c>
    </row>
    <row r="2330" spans="1:6" x14ac:dyDescent="0.35">
      <c r="A2330">
        <v>1009</v>
      </c>
      <c r="B2330" s="4">
        <v>45977.375085336993</v>
      </c>
      <c r="C2330" t="s">
        <v>12</v>
      </c>
      <c r="D2330" t="s">
        <v>16</v>
      </c>
      <c r="E2330" t="s">
        <v>23</v>
      </c>
      <c r="F2330">
        <v>2672.77</v>
      </c>
    </row>
    <row r="2331" spans="1:6" x14ac:dyDescent="0.35">
      <c r="A2331">
        <v>1308</v>
      </c>
      <c r="B2331" s="4">
        <v>45978.375085336993</v>
      </c>
      <c r="C2331" t="s">
        <v>11</v>
      </c>
      <c r="D2331" t="s">
        <v>18</v>
      </c>
      <c r="E2331" t="s">
        <v>23</v>
      </c>
      <c r="F2331">
        <v>5060.18</v>
      </c>
    </row>
    <row r="2332" spans="1:6" x14ac:dyDescent="0.35">
      <c r="A2332">
        <v>1252</v>
      </c>
      <c r="B2332" s="4">
        <v>45978.375085336993</v>
      </c>
      <c r="C2332" t="s">
        <v>10</v>
      </c>
      <c r="D2332" t="s">
        <v>17</v>
      </c>
      <c r="E2332" t="s">
        <v>23</v>
      </c>
      <c r="F2332">
        <v>4690.09</v>
      </c>
    </row>
    <row r="2333" spans="1:6" x14ac:dyDescent="0.35">
      <c r="A2333">
        <v>1224</v>
      </c>
      <c r="B2333" s="4">
        <v>45978.375085336993</v>
      </c>
      <c r="C2333" t="s">
        <v>9</v>
      </c>
      <c r="D2333" t="s">
        <v>18</v>
      </c>
      <c r="E2333" t="s">
        <v>25</v>
      </c>
      <c r="F2333">
        <v>2555.41</v>
      </c>
    </row>
    <row r="2334" spans="1:6" x14ac:dyDescent="0.35">
      <c r="A2334">
        <v>1278</v>
      </c>
      <c r="B2334" s="4">
        <v>45978.375085336993</v>
      </c>
      <c r="C2334" t="s">
        <v>15</v>
      </c>
      <c r="D2334" t="s">
        <v>16</v>
      </c>
      <c r="E2334" t="s">
        <v>23</v>
      </c>
      <c r="F2334">
        <v>1061.33</v>
      </c>
    </row>
    <row r="2335" spans="1:6" x14ac:dyDescent="0.35">
      <c r="A2335">
        <v>1349</v>
      </c>
      <c r="B2335" s="4">
        <v>45978.375085336993</v>
      </c>
      <c r="C2335" t="s">
        <v>13</v>
      </c>
      <c r="D2335" t="s">
        <v>17</v>
      </c>
      <c r="E2335" t="s">
        <v>25</v>
      </c>
      <c r="F2335">
        <v>2080.86</v>
      </c>
    </row>
    <row r="2336" spans="1:6" x14ac:dyDescent="0.35">
      <c r="A2336">
        <v>1178</v>
      </c>
      <c r="B2336" s="4">
        <v>45978.375085336993</v>
      </c>
      <c r="C2336" t="s">
        <v>6</v>
      </c>
      <c r="D2336" t="s">
        <v>21</v>
      </c>
      <c r="E2336" t="s">
        <v>24</v>
      </c>
      <c r="F2336">
        <v>2199.16</v>
      </c>
    </row>
    <row r="2337" spans="1:6" x14ac:dyDescent="0.35">
      <c r="A2337">
        <v>1387</v>
      </c>
      <c r="B2337" s="4">
        <v>45978.375085336993</v>
      </c>
      <c r="C2337" t="s">
        <v>14</v>
      </c>
      <c r="D2337" t="s">
        <v>16</v>
      </c>
      <c r="E2337" t="s">
        <v>24</v>
      </c>
      <c r="F2337">
        <v>1722.67</v>
      </c>
    </row>
    <row r="2338" spans="1:6" x14ac:dyDescent="0.35">
      <c r="A2338">
        <v>1297</v>
      </c>
      <c r="B2338" s="4">
        <v>45978.375085336993</v>
      </c>
      <c r="C2338" t="s">
        <v>15</v>
      </c>
      <c r="D2338" t="s">
        <v>17</v>
      </c>
      <c r="E2338" t="s">
        <v>23</v>
      </c>
      <c r="F2338">
        <v>1446.65</v>
      </c>
    </row>
    <row r="2339" spans="1:6" x14ac:dyDescent="0.35">
      <c r="A2339">
        <v>1379</v>
      </c>
      <c r="B2339" s="4">
        <v>45978.375085336993</v>
      </c>
      <c r="C2339" t="s">
        <v>12</v>
      </c>
      <c r="D2339" t="s">
        <v>21</v>
      </c>
      <c r="E2339" t="s">
        <v>24</v>
      </c>
      <c r="F2339">
        <v>2700.37</v>
      </c>
    </row>
    <row r="2340" spans="1:6" x14ac:dyDescent="0.35">
      <c r="A2340">
        <v>1302</v>
      </c>
      <c r="B2340" s="4">
        <v>45978.375085336993</v>
      </c>
      <c r="C2340" t="s">
        <v>6</v>
      </c>
      <c r="D2340" t="s">
        <v>17</v>
      </c>
      <c r="E2340" t="s">
        <v>25</v>
      </c>
      <c r="F2340">
        <v>3757.47</v>
      </c>
    </row>
    <row r="2341" spans="1:6" x14ac:dyDescent="0.35">
      <c r="A2341">
        <v>1169</v>
      </c>
      <c r="B2341" s="4">
        <v>45978.375085336993</v>
      </c>
      <c r="C2341" t="s">
        <v>12</v>
      </c>
      <c r="D2341" t="s">
        <v>17</v>
      </c>
      <c r="E2341" t="s">
        <v>24</v>
      </c>
      <c r="F2341">
        <v>6360.21</v>
      </c>
    </row>
    <row r="2342" spans="1:6" x14ac:dyDescent="0.35">
      <c r="A2342">
        <v>1074</v>
      </c>
      <c r="B2342" s="4">
        <v>45979.375085336993</v>
      </c>
      <c r="C2342" t="s">
        <v>14</v>
      </c>
      <c r="D2342" t="s">
        <v>20</v>
      </c>
      <c r="E2342" t="s">
        <v>25</v>
      </c>
      <c r="F2342">
        <v>2526.1999999999998</v>
      </c>
    </row>
    <row r="2343" spans="1:6" x14ac:dyDescent="0.35">
      <c r="A2343">
        <v>1102</v>
      </c>
      <c r="B2343" s="4">
        <v>45979.375085336993</v>
      </c>
      <c r="C2343" t="s">
        <v>13</v>
      </c>
      <c r="D2343" t="s">
        <v>21</v>
      </c>
      <c r="E2343" t="s">
        <v>25</v>
      </c>
      <c r="F2343">
        <v>3566.85</v>
      </c>
    </row>
    <row r="2344" spans="1:6" x14ac:dyDescent="0.35">
      <c r="A2344">
        <v>1302</v>
      </c>
      <c r="B2344" s="4">
        <v>45979.375085336993</v>
      </c>
      <c r="C2344" t="s">
        <v>13</v>
      </c>
      <c r="D2344" t="s">
        <v>22</v>
      </c>
      <c r="E2344" t="s">
        <v>23</v>
      </c>
      <c r="F2344">
        <v>4580.49</v>
      </c>
    </row>
    <row r="2345" spans="1:6" x14ac:dyDescent="0.35">
      <c r="A2345">
        <v>1390</v>
      </c>
      <c r="B2345" s="4">
        <v>45979.375085336993</v>
      </c>
      <c r="C2345" t="s">
        <v>15</v>
      </c>
      <c r="D2345" t="s">
        <v>20</v>
      </c>
      <c r="E2345" t="s">
        <v>25</v>
      </c>
      <c r="F2345">
        <v>3489.21</v>
      </c>
    </row>
    <row r="2346" spans="1:6" x14ac:dyDescent="0.35">
      <c r="A2346">
        <v>1035</v>
      </c>
      <c r="B2346" s="4">
        <v>45979.375085336993</v>
      </c>
      <c r="C2346" t="s">
        <v>12</v>
      </c>
      <c r="D2346" t="s">
        <v>21</v>
      </c>
      <c r="E2346" t="s">
        <v>24</v>
      </c>
      <c r="F2346">
        <v>2092.2199999999998</v>
      </c>
    </row>
    <row r="2347" spans="1:6" x14ac:dyDescent="0.35">
      <c r="A2347">
        <v>1165</v>
      </c>
      <c r="B2347" s="4">
        <v>45979.375085336993</v>
      </c>
      <c r="C2347" t="s">
        <v>8</v>
      </c>
      <c r="D2347" t="s">
        <v>16</v>
      </c>
      <c r="E2347" t="s">
        <v>24</v>
      </c>
      <c r="F2347">
        <v>3522.09</v>
      </c>
    </row>
    <row r="2348" spans="1:6" x14ac:dyDescent="0.35">
      <c r="A2348">
        <v>1348</v>
      </c>
      <c r="B2348" s="4">
        <v>45980.375085336993</v>
      </c>
      <c r="C2348" t="s">
        <v>13</v>
      </c>
      <c r="D2348" t="s">
        <v>18</v>
      </c>
      <c r="E2348" t="s">
        <v>24</v>
      </c>
      <c r="F2348">
        <v>1092.83</v>
      </c>
    </row>
    <row r="2349" spans="1:6" x14ac:dyDescent="0.35">
      <c r="A2349">
        <v>1108</v>
      </c>
      <c r="B2349" s="4">
        <v>45980.375085336993</v>
      </c>
      <c r="C2349" t="s">
        <v>15</v>
      </c>
      <c r="D2349" t="s">
        <v>17</v>
      </c>
      <c r="E2349" t="s">
        <v>25</v>
      </c>
      <c r="F2349">
        <v>5840.12</v>
      </c>
    </row>
    <row r="2350" spans="1:6" x14ac:dyDescent="0.35">
      <c r="A2350">
        <v>1391</v>
      </c>
      <c r="B2350" s="4">
        <v>45980.375085336993</v>
      </c>
      <c r="C2350" t="s">
        <v>12</v>
      </c>
      <c r="D2350" t="s">
        <v>19</v>
      </c>
      <c r="E2350" t="s">
        <v>25</v>
      </c>
      <c r="F2350">
        <v>4029.04</v>
      </c>
    </row>
    <row r="2351" spans="1:6" x14ac:dyDescent="0.35">
      <c r="A2351">
        <v>1250</v>
      </c>
      <c r="B2351" s="4">
        <v>45980.375085336993</v>
      </c>
      <c r="C2351" t="s">
        <v>8</v>
      </c>
      <c r="D2351" t="s">
        <v>19</v>
      </c>
      <c r="E2351" t="s">
        <v>24</v>
      </c>
      <c r="F2351">
        <v>2280.5300000000002</v>
      </c>
    </row>
    <row r="2352" spans="1:6" x14ac:dyDescent="0.35">
      <c r="A2352">
        <v>1121</v>
      </c>
      <c r="B2352" s="4">
        <v>45980.375085336993</v>
      </c>
      <c r="C2352" t="s">
        <v>6</v>
      </c>
      <c r="D2352" t="s">
        <v>19</v>
      </c>
      <c r="E2352" t="s">
        <v>25</v>
      </c>
      <c r="F2352">
        <v>5066.67</v>
      </c>
    </row>
    <row r="2353" spans="1:6" x14ac:dyDescent="0.35">
      <c r="A2353">
        <v>1148</v>
      </c>
      <c r="B2353" s="4">
        <v>45980.375085336993</v>
      </c>
      <c r="C2353" t="s">
        <v>10</v>
      </c>
      <c r="D2353" t="s">
        <v>20</v>
      </c>
      <c r="E2353" t="s">
        <v>23</v>
      </c>
      <c r="F2353">
        <v>20378.11</v>
      </c>
    </row>
    <row r="2354" spans="1:6" x14ac:dyDescent="0.35">
      <c r="A2354">
        <v>1301</v>
      </c>
      <c r="B2354" s="4">
        <v>45980.375085336993</v>
      </c>
      <c r="C2354" t="s">
        <v>11</v>
      </c>
      <c r="D2354" t="s">
        <v>17</v>
      </c>
      <c r="E2354" t="s">
        <v>23</v>
      </c>
      <c r="F2354">
        <v>2205.14</v>
      </c>
    </row>
    <row r="2355" spans="1:6" x14ac:dyDescent="0.35">
      <c r="A2355">
        <v>1142</v>
      </c>
      <c r="B2355" s="4">
        <v>45981.375085336993</v>
      </c>
      <c r="C2355" t="s">
        <v>6</v>
      </c>
      <c r="D2355" t="s">
        <v>22</v>
      </c>
      <c r="E2355" t="s">
        <v>25</v>
      </c>
      <c r="F2355">
        <v>2028.17</v>
      </c>
    </row>
    <row r="2356" spans="1:6" x14ac:dyDescent="0.35">
      <c r="A2356">
        <v>1270</v>
      </c>
      <c r="B2356" s="4">
        <v>45981.375085336993</v>
      </c>
      <c r="C2356" t="s">
        <v>8</v>
      </c>
      <c r="D2356" t="s">
        <v>18</v>
      </c>
      <c r="E2356" t="s">
        <v>25</v>
      </c>
      <c r="F2356">
        <v>5690.37</v>
      </c>
    </row>
    <row r="2357" spans="1:6" x14ac:dyDescent="0.35">
      <c r="A2357">
        <v>1397</v>
      </c>
      <c r="B2357" s="4">
        <v>45981.375085336993</v>
      </c>
      <c r="C2357" t="s">
        <v>10</v>
      </c>
      <c r="D2357" t="s">
        <v>21</v>
      </c>
      <c r="E2357" t="s">
        <v>23</v>
      </c>
      <c r="F2357">
        <v>2921.7</v>
      </c>
    </row>
    <row r="2358" spans="1:6" x14ac:dyDescent="0.35">
      <c r="A2358">
        <v>1232</v>
      </c>
      <c r="B2358" s="4">
        <v>45981.375085336993</v>
      </c>
      <c r="C2358" t="s">
        <v>7</v>
      </c>
      <c r="D2358" t="s">
        <v>21</v>
      </c>
      <c r="E2358" t="s">
        <v>25</v>
      </c>
      <c r="F2358">
        <v>1326.55</v>
      </c>
    </row>
    <row r="2359" spans="1:6" x14ac:dyDescent="0.35">
      <c r="A2359">
        <v>1028</v>
      </c>
      <c r="B2359" s="4">
        <v>45982.375085336993</v>
      </c>
      <c r="C2359" t="s">
        <v>6</v>
      </c>
      <c r="D2359" t="s">
        <v>18</v>
      </c>
      <c r="E2359" t="s">
        <v>23</v>
      </c>
      <c r="F2359">
        <v>2892.72</v>
      </c>
    </row>
    <row r="2360" spans="1:6" x14ac:dyDescent="0.35">
      <c r="A2360">
        <v>1238</v>
      </c>
      <c r="B2360" s="4">
        <v>45982.375085336993</v>
      </c>
      <c r="C2360" t="s">
        <v>11</v>
      </c>
      <c r="D2360" t="s">
        <v>19</v>
      </c>
      <c r="E2360" t="s">
        <v>25</v>
      </c>
      <c r="F2360">
        <v>1254.17</v>
      </c>
    </row>
    <row r="2361" spans="1:6" x14ac:dyDescent="0.35">
      <c r="A2361">
        <v>1195</v>
      </c>
      <c r="B2361" s="4">
        <v>45983.375085336993</v>
      </c>
      <c r="C2361" t="s">
        <v>6</v>
      </c>
      <c r="D2361" t="s">
        <v>19</v>
      </c>
      <c r="E2361" t="s">
        <v>23</v>
      </c>
      <c r="F2361">
        <v>641.73</v>
      </c>
    </row>
    <row r="2362" spans="1:6" x14ac:dyDescent="0.35">
      <c r="A2362">
        <v>1175</v>
      </c>
      <c r="B2362" s="4">
        <v>45984.375085336993</v>
      </c>
      <c r="C2362" t="s">
        <v>11</v>
      </c>
      <c r="D2362" t="s">
        <v>19</v>
      </c>
      <c r="E2362" t="s">
        <v>24</v>
      </c>
      <c r="F2362">
        <v>8578.6200000000008</v>
      </c>
    </row>
    <row r="2363" spans="1:6" x14ac:dyDescent="0.35">
      <c r="A2363">
        <v>1157</v>
      </c>
      <c r="B2363" s="4">
        <v>45984.375085336993</v>
      </c>
      <c r="C2363" t="s">
        <v>9</v>
      </c>
      <c r="D2363" t="s">
        <v>16</v>
      </c>
      <c r="E2363" t="s">
        <v>23</v>
      </c>
      <c r="F2363">
        <v>3123.17</v>
      </c>
    </row>
    <row r="2364" spans="1:6" x14ac:dyDescent="0.35">
      <c r="A2364">
        <v>1236</v>
      </c>
      <c r="B2364" s="4">
        <v>45984.375085336993</v>
      </c>
      <c r="C2364" t="s">
        <v>10</v>
      </c>
      <c r="D2364" t="s">
        <v>21</v>
      </c>
      <c r="E2364" t="s">
        <v>23</v>
      </c>
      <c r="F2364">
        <v>2072.91</v>
      </c>
    </row>
    <row r="2365" spans="1:6" x14ac:dyDescent="0.35">
      <c r="A2365">
        <v>1229</v>
      </c>
      <c r="B2365" s="4">
        <v>45984.375085336993</v>
      </c>
      <c r="C2365" t="s">
        <v>13</v>
      </c>
      <c r="D2365" t="s">
        <v>20</v>
      </c>
      <c r="E2365" t="s">
        <v>23</v>
      </c>
      <c r="F2365">
        <v>4130.0200000000004</v>
      </c>
    </row>
    <row r="2366" spans="1:6" x14ac:dyDescent="0.35">
      <c r="A2366">
        <v>1144</v>
      </c>
      <c r="B2366" s="4">
        <v>45984.375085336993</v>
      </c>
      <c r="C2366" t="s">
        <v>15</v>
      </c>
      <c r="D2366" t="s">
        <v>19</v>
      </c>
      <c r="E2366" t="s">
        <v>23</v>
      </c>
      <c r="F2366">
        <v>3544.86</v>
      </c>
    </row>
    <row r="2367" spans="1:6" x14ac:dyDescent="0.35">
      <c r="A2367">
        <v>1153</v>
      </c>
      <c r="B2367" s="4">
        <v>45985.375085336993</v>
      </c>
      <c r="C2367" t="s">
        <v>7</v>
      </c>
      <c r="D2367" t="s">
        <v>17</v>
      </c>
      <c r="E2367" t="s">
        <v>25</v>
      </c>
      <c r="F2367">
        <v>3632.23</v>
      </c>
    </row>
    <row r="2368" spans="1:6" x14ac:dyDescent="0.35">
      <c r="A2368">
        <v>1066</v>
      </c>
      <c r="B2368" s="4">
        <v>45985.375085336993</v>
      </c>
      <c r="C2368" t="s">
        <v>10</v>
      </c>
      <c r="D2368" t="s">
        <v>22</v>
      </c>
      <c r="E2368" t="s">
        <v>25</v>
      </c>
      <c r="F2368">
        <v>6507.65</v>
      </c>
    </row>
    <row r="2369" spans="1:6" x14ac:dyDescent="0.35">
      <c r="A2369">
        <v>1053</v>
      </c>
      <c r="B2369" s="4">
        <v>45985.375085336993</v>
      </c>
      <c r="C2369" t="s">
        <v>11</v>
      </c>
      <c r="D2369" t="s">
        <v>22</v>
      </c>
      <c r="E2369" t="s">
        <v>24</v>
      </c>
      <c r="F2369">
        <v>1214.33</v>
      </c>
    </row>
    <row r="2370" spans="1:6" x14ac:dyDescent="0.35">
      <c r="A2370">
        <v>1364</v>
      </c>
      <c r="B2370" s="4">
        <v>45985.375085336993</v>
      </c>
      <c r="C2370" t="s">
        <v>9</v>
      </c>
      <c r="D2370" t="s">
        <v>18</v>
      </c>
      <c r="E2370" t="s">
        <v>23</v>
      </c>
      <c r="F2370">
        <v>2880.53</v>
      </c>
    </row>
    <row r="2371" spans="1:6" x14ac:dyDescent="0.35">
      <c r="A2371">
        <v>1263</v>
      </c>
      <c r="B2371" s="4">
        <v>45986.375085336993</v>
      </c>
      <c r="C2371" t="s">
        <v>12</v>
      </c>
      <c r="D2371" t="s">
        <v>20</v>
      </c>
      <c r="E2371" t="s">
        <v>25</v>
      </c>
      <c r="F2371">
        <v>4607.4399999999996</v>
      </c>
    </row>
    <row r="2372" spans="1:6" x14ac:dyDescent="0.35">
      <c r="A2372">
        <v>1171</v>
      </c>
      <c r="B2372" s="4">
        <v>45986.375085336993</v>
      </c>
      <c r="C2372" t="s">
        <v>6</v>
      </c>
      <c r="D2372" t="s">
        <v>19</v>
      </c>
      <c r="E2372" t="s">
        <v>23</v>
      </c>
      <c r="F2372">
        <v>1947.37</v>
      </c>
    </row>
    <row r="2373" spans="1:6" x14ac:dyDescent="0.35">
      <c r="A2373">
        <v>1054</v>
      </c>
      <c r="B2373" s="4">
        <v>45986.375085336993</v>
      </c>
      <c r="C2373" t="s">
        <v>12</v>
      </c>
      <c r="D2373" t="s">
        <v>19</v>
      </c>
      <c r="E2373" t="s">
        <v>23</v>
      </c>
      <c r="F2373">
        <v>1972.64</v>
      </c>
    </row>
    <row r="2374" spans="1:6" x14ac:dyDescent="0.35">
      <c r="A2374">
        <v>1260</v>
      </c>
      <c r="B2374" s="4">
        <v>45987.375085336993</v>
      </c>
      <c r="C2374" t="s">
        <v>13</v>
      </c>
      <c r="D2374" t="s">
        <v>18</v>
      </c>
      <c r="E2374" t="s">
        <v>24</v>
      </c>
      <c r="F2374">
        <v>7435.87</v>
      </c>
    </row>
    <row r="2375" spans="1:6" x14ac:dyDescent="0.35">
      <c r="A2375">
        <v>1014</v>
      </c>
      <c r="B2375" s="4">
        <v>45987.375085336993</v>
      </c>
      <c r="C2375" t="s">
        <v>14</v>
      </c>
      <c r="D2375" t="s">
        <v>16</v>
      </c>
      <c r="E2375" t="s">
        <v>25</v>
      </c>
      <c r="F2375">
        <v>382.27</v>
      </c>
    </row>
    <row r="2376" spans="1:6" x14ac:dyDescent="0.35">
      <c r="A2376">
        <v>1158</v>
      </c>
      <c r="B2376" s="4">
        <v>45987.375085336993</v>
      </c>
      <c r="C2376" t="s">
        <v>9</v>
      </c>
      <c r="D2376" t="s">
        <v>21</v>
      </c>
      <c r="E2376" t="s">
        <v>25</v>
      </c>
      <c r="F2376">
        <v>1234.19</v>
      </c>
    </row>
    <row r="2377" spans="1:6" x14ac:dyDescent="0.35">
      <c r="A2377">
        <v>1200</v>
      </c>
      <c r="B2377" s="4">
        <v>45987.375085336993</v>
      </c>
      <c r="C2377" t="s">
        <v>10</v>
      </c>
      <c r="D2377" t="s">
        <v>20</v>
      </c>
      <c r="E2377" t="s">
        <v>25</v>
      </c>
      <c r="F2377">
        <v>3703.05</v>
      </c>
    </row>
    <row r="2378" spans="1:6" x14ac:dyDescent="0.35">
      <c r="A2378">
        <v>1001</v>
      </c>
      <c r="B2378" s="4">
        <v>45987.375085336993</v>
      </c>
      <c r="C2378" t="s">
        <v>7</v>
      </c>
      <c r="D2378" t="s">
        <v>20</v>
      </c>
      <c r="E2378" t="s">
        <v>24</v>
      </c>
      <c r="F2378">
        <v>1834.11</v>
      </c>
    </row>
    <row r="2379" spans="1:6" x14ac:dyDescent="0.35">
      <c r="A2379">
        <v>1027</v>
      </c>
      <c r="B2379" s="4">
        <v>45987.375085336993</v>
      </c>
      <c r="C2379" t="s">
        <v>11</v>
      </c>
      <c r="D2379" t="s">
        <v>16</v>
      </c>
      <c r="E2379" t="s">
        <v>23</v>
      </c>
      <c r="F2379">
        <v>3441.38</v>
      </c>
    </row>
    <row r="2380" spans="1:6" x14ac:dyDescent="0.35">
      <c r="A2380">
        <v>1163</v>
      </c>
      <c r="B2380" s="4">
        <v>45987.375085336993</v>
      </c>
      <c r="C2380" t="s">
        <v>10</v>
      </c>
      <c r="D2380" t="s">
        <v>18</v>
      </c>
      <c r="E2380" t="s">
        <v>25</v>
      </c>
      <c r="F2380">
        <v>849.12</v>
      </c>
    </row>
    <row r="2381" spans="1:6" x14ac:dyDescent="0.35">
      <c r="A2381">
        <v>1058</v>
      </c>
      <c r="B2381" s="4">
        <v>45988.375085336993</v>
      </c>
      <c r="C2381" t="s">
        <v>6</v>
      </c>
      <c r="D2381" t="s">
        <v>22</v>
      </c>
      <c r="E2381" t="s">
        <v>25</v>
      </c>
      <c r="F2381">
        <v>3427.45</v>
      </c>
    </row>
    <row r="2382" spans="1:6" x14ac:dyDescent="0.35">
      <c r="A2382">
        <v>1147</v>
      </c>
      <c r="B2382" s="4">
        <v>45988.375085336993</v>
      </c>
      <c r="C2382" t="s">
        <v>6</v>
      </c>
      <c r="D2382" t="s">
        <v>22</v>
      </c>
      <c r="E2382" t="s">
        <v>24</v>
      </c>
      <c r="F2382">
        <v>7297.33</v>
      </c>
    </row>
    <row r="2383" spans="1:6" x14ac:dyDescent="0.35">
      <c r="A2383">
        <v>1104</v>
      </c>
      <c r="B2383" s="4">
        <v>45988.375085336993</v>
      </c>
      <c r="C2383" t="s">
        <v>8</v>
      </c>
      <c r="D2383" t="s">
        <v>20</v>
      </c>
      <c r="E2383" t="s">
        <v>25</v>
      </c>
      <c r="F2383">
        <v>6055.86</v>
      </c>
    </row>
    <row r="2384" spans="1:6" x14ac:dyDescent="0.35">
      <c r="A2384">
        <v>1222</v>
      </c>
      <c r="B2384" s="4">
        <v>45989.375085336993</v>
      </c>
      <c r="C2384" t="s">
        <v>14</v>
      </c>
      <c r="D2384" t="s">
        <v>21</v>
      </c>
      <c r="E2384" t="s">
        <v>23</v>
      </c>
      <c r="F2384">
        <v>1953.21</v>
      </c>
    </row>
    <row r="2385" spans="1:6" x14ac:dyDescent="0.35">
      <c r="A2385">
        <v>1221</v>
      </c>
      <c r="B2385" s="4">
        <v>45989.375085336993</v>
      </c>
      <c r="C2385" t="s">
        <v>14</v>
      </c>
      <c r="D2385" t="s">
        <v>20</v>
      </c>
      <c r="E2385" t="s">
        <v>24</v>
      </c>
      <c r="F2385">
        <v>2037.9</v>
      </c>
    </row>
    <row r="2386" spans="1:6" x14ac:dyDescent="0.35">
      <c r="A2386">
        <v>1393</v>
      </c>
      <c r="B2386" s="4">
        <v>45989.375085336993</v>
      </c>
      <c r="C2386" t="s">
        <v>9</v>
      </c>
      <c r="D2386" t="s">
        <v>17</v>
      </c>
      <c r="E2386" t="s">
        <v>24</v>
      </c>
      <c r="F2386">
        <v>1795.99</v>
      </c>
    </row>
    <row r="2387" spans="1:6" x14ac:dyDescent="0.35">
      <c r="A2387">
        <v>1091</v>
      </c>
      <c r="B2387" s="4">
        <v>45989.375085336993</v>
      </c>
      <c r="C2387" t="s">
        <v>7</v>
      </c>
      <c r="D2387" t="s">
        <v>21</v>
      </c>
      <c r="E2387" t="s">
        <v>25</v>
      </c>
      <c r="F2387">
        <v>2561.06</v>
      </c>
    </row>
    <row r="2388" spans="1:6" x14ac:dyDescent="0.35">
      <c r="A2388">
        <v>1310</v>
      </c>
      <c r="B2388" s="4">
        <v>45989.375085336993</v>
      </c>
      <c r="C2388" t="s">
        <v>11</v>
      </c>
      <c r="D2388" t="s">
        <v>19</v>
      </c>
      <c r="E2388" t="s">
        <v>25</v>
      </c>
      <c r="F2388">
        <v>12117.21</v>
      </c>
    </row>
    <row r="2389" spans="1:6" x14ac:dyDescent="0.35">
      <c r="A2389">
        <v>1380</v>
      </c>
      <c r="B2389" s="4">
        <v>45990.375085336993</v>
      </c>
      <c r="C2389" t="s">
        <v>10</v>
      </c>
      <c r="D2389" t="s">
        <v>20</v>
      </c>
      <c r="E2389" t="s">
        <v>25</v>
      </c>
      <c r="F2389">
        <v>4707.45</v>
      </c>
    </row>
    <row r="2390" spans="1:6" x14ac:dyDescent="0.35">
      <c r="A2390">
        <v>1198</v>
      </c>
      <c r="B2390" s="4">
        <v>45991.375085336993</v>
      </c>
      <c r="C2390" t="s">
        <v>6</v>
      </c>
      <c r="D2390" t="s">
        <v>16</v>
      </c>
      <c r="E2390" t="s">
        <v>23</v>
      </c>
      <c r="F2390">
        <v>8139.84</v>
      </c>
    </row>
    <row r="2391" spans="1:6" x14ac:dyDescent="0.35">
      <c r="A2391">
        <v>1111</v>
      </c>
      <c r="B2391" s="4">
        <v>45991.375085336993</v>
      </c>
      <c r="C2391" t="s">
        <v>10</v>
      </c>
      <c r="D2391" t="s">
        <v>19</v>
      </c>
      <c r="E2391" t="s">
        <v>25</v>
      </c>
      <c r="F2391">
        <v>2488.37</v>
      </c>
    </row>
    <row r="2392" spans="1:6" x14ac:dyDescent="0.35">
      <c r="A2392">
        <v>1112</v>
      </c>
      <c r="B2392" s="4">
        <v>45991.375085336993</v>
      </c>
      <c r="C2392" t="s">
        <v>6</v>
      </c>
      <c r="D2392" t="s">
        <v>18</v>
      </c>
      <c r="E2392" t="s">
        <v>24</v>
      </c>
      <c r="F2392">
        <v>2311.52</v>
      </c>
    </row>
    <row r="2393" spans="1:6" x14ac:dyDescent="0.35">
      <c r="A2393">
        <v>1126</v>
      </c>
      <c r="B2393" s="4">
        <v>45991.375085336993</v>
      </c>
      <c r="C2393" t="s">
        <v>9</v>
      </c>
      <c r="D2393" t="s">
        <v>22</v>
      </c>
      <c r="E2393" t="s">
        <v>23</v>
      </c>
      <c r="F2393">
        <v>1044.73</v>
      </c>
    </row>
    <row r="2394" spans="1:6" x14ac:dyDescent="0.35">
      <c r="A2394">
        <v>1377</v>
      </c>
      <c r="B2394" s="4">
        <v>45991.375085336993</v>
      </c>
      <c r="C2394" t="s">
        <v>7</v>
      </c>
      <c r="D2394" t="s">
        <v>21</v>
      </c>
      <c r="E2394" t="s">
        <v>25</v>
      </c>
      <c r="F2394">
        <v>6922.06</v>
      </c>
    </row>
    <row r="2395" spans="1:6" x14ac:dyDescent="0.35">
      <c r="A2395">
        <v>1218</v>
      </c>
      <c r="B2395" s="4">
        <v>45992.375085336993</v>
      </c>
      <c r="C2395" t="s">
        <v>6</v>
      </c>
      <c r="D2395" t="s">
        <v>22</v>
      </c>
      <c r="E2395" t="s">
        <v>25</v>
      </c>
      <c r="F2395">
        <v>5964.52</v>
      </c>
    </row>
    <row r="2396" spans="1:6" x14ac:dyDescent="0.35">
      <c r="A2396">
        <v>1292</v>
      </c>
      <c r="B2396" s="4">
        <v>45992.375085336993</v>
      </c>
      <c r="C2396" t="s">
        <v>13</v>
      </c>
      <c r="D2396" t="s">
        <v>17</v>
      </c>
      <c r="E2396" t="s">
        <v>23</v>
      </c>
      <c r="F2396">
        <v>2287.06</v>
      </c>
    </row>
    <row r="2397" spans="1:6" x14ac:dyDescent="0.35">
      <c r="A2397">
        <v>1227</v>
      </c>
      <c r="B2397" s="4">
        <v>45992.375085336993</v>
      </c>
      <c r="C2397" t="s">
        <v>15</v>
      </c>
      <c r="D2397" t="s">
        <v>19</v>
      </c>
      <c r="E2397" t="s">
        <v>25</v>
      </c>
      <c r="F2397">
        <v>5510.1</v>
      </c>
    </row>
    <row r="2398" spans="1:6" x14ac:dyDescent="0.35">
      <c r="A2398">
        <v>1389</v>
      </c>
      <c r="B2398" s="4">
        <v>45993.375085336993</v>
      </c>
      <c r="C2398" t="s">
        <v>12</v>
      </c>
      <c r="D2398" t="s">
        <v>16</v>
      </c>
      <c r="E2398" t="s">
        <v>25</v>
      </c>
      <c r="F2398">
        <v>4033.51</v>
      </c>
    </row>
    <row r="2399" spans="1:6" x14ac:dyDescent="0.35">
      <c r="A2399">
        <v>1263</v>
      </c>
      <c r="B2399" s="4">
        <v>45993.375085336993</v>
      </c>
      <c r="C2399" t="s">
        <v>10</v>
      </c>
      <c r="D2399" t="s">
        <v>20</v>
      </c>
      <c r="E2399" t="s">
        <v>25</v>
      </c>
      <c r="F2399">
        <v>6208.61</v>
      </c>
    </row>
    <row r="2400" spans="1:6" x14ac:dyDescent="0.35">
      <c r="A2400">
        <v>1144</v>
      </c>
      <c r="B2400" s="4">
        <v>45993.375085336993</v>
      </c>
      <c r="C2400" t="s">
        <v>7</v>
      </c>
      <c r="D2400" t="s">
        <v>18</v>
      </c>
      <c r="E2400" t="s">
        <v>23</v>
      </c>
      <c r="F2400">
        <v>2177.84</v>
      </c>
    </row>
    <row r="2401" spans="1:6" x14ac:dyDescent="0.35">
      <c r="A2401">
        <v>1360</v>
      </c>
      <c r="B2401" s="4">
        <v>45993.375085336993</v>
      </c>
      <c r="C2401" t="s">
        <v>15</v>
      </c>
      <c r="D2401" t="s">
        <v>18</v>
      </c>
      <c r="E2401" t="s">
        <v>25</v>
      </c>
      <c r="F2401">
        <v>3370.45</v>
      </c>
    </row>
    <row r="2402" spans="1:6" x14ac:dyDescent="0.35">
      <c r="A2402">
        <v>1133</v>
      </c>
      <c r="B2402" s="4">
        <v>45993.375085336993</v>
      </c>
      <c r="C2402" t="s">
        <v>8</v>
      </c>
      <c r="D2402" t="s">
        <v>20</v>
      </c>
      <c r="E2402" t="s">
        <v>25</v>
      </c>
      <c r="F2402">
        <v>5316.53</v>
      </c>
    </row>
    <row r="2403" spans="1:6" x14ac:dyDescent="0.35">
      <c r="A2403">
        <v>1130</v>
      </c>
      <c r="B2403" s="4">
        <v>45993.375085336993</v>
      </c>
      <c r="C2403" t="s">
        <v>7</v>
      </c>
      <c r="D2403" t="s">
        <v>16</v>
      </c>
      <c r="E2403" t="s">
        <v>24</v>
      </c>
      <c r="F2403">
        <v>2750.75</v>
      </c>
    </row>
    <row r="2404" spans="1:6" x14ac:dyDescent="0.35">
      <c r="A2404">
        <v>1392</v>
      </c>
      <c r="B2404" s="4">
        <v>45994.375085336993</v>
      </c>
      <c r="C2404" t="s">
        <v>15</v>
      </c>
      <c r="D2404" t="s">
        <v>20</v>
      </c>
      <c r="E2404" t="s">
        <v>24</v>
      </c>
      <c r="F2404">
        <v>4905.83</v>
      </c>
    </row>
    <row r="2405" spans="1:6" x14ac:dyDescent="0.35">
      <c r="A2405">
        <v>1217</v>
      </c>
      <c r="B2405" s="4">
        <v>45994.375085336993</v>
      </c>
      <c r="C2405" t="s">
        <v>11</v>
      </c>
      <c r="D2405" t="s">
        <v>21</v>
      </c>
      <c r="E2405" t="s">
        <v>25</v>
      </c>
      <c r="F2405">
        <v>4877.6000000000004</v>
      </c>
    </row>
    <row r="2406" spans="1:6" x14ac:dyDescent="0.35">
      <c r="A2406">
        <v>1325</v>
      </c>
      <c r="B2406" s="4">
        <v>45994.375085336993</v>
      </c>
      <c r="C2406" t="s">
        <v>15</v>
      </c>
      <c r="D2406" t="s">
        <v>20</v>
      </c>
      <c r="E2406" t="s">
        <v>25</v>
      </c>
      <c r="F2406">
        <v>13362.13</v>
      </c>
    </row>
    <row r="2407" spans="1:6" x14ac:dyDescent="0.35">
      <c r="A2407">
        <v>1079</v>
      </c>
      <c r="B2407" s="4">
        <v>45995.375085336993</v>
      </c>
      <c r="C2407" t="s">
        <v>14</v>
      </c>
      <c r="D2407" t="s">
        <v>17</v>
      </c>
      <c r="E2407" t="s">
        <v>23</v>
      </c>
      <c r="F2407">
        <v>1143.9000000000001</v>
      </c>
    </row>
    <row r="2408" spans="1:6" x14ac:dyDescent="0.35">
      <c r="A2408">
        <v>1110</v>
      </c>
      <c r="B2408" s="4">
        <v>45995.375085336993</v>
      </c>
      <c r="C2408" t="s">
        <v>6</v>
      </c>
      <c r="D2408" t="s">
        <v>19</v>
      </c>
      <c r="E2408" t="s">
        <v>25</v>
      </c>
      <c r="F2408">
        <v>3464.07</v>
      </c>
    </row>
    <row r="2409" spans="1:6" x14ac:dyDescent="0.35">
      <c r="A2409">
        <v>1130</v>
      </c>
      <c r="B2409" s="4">
        <v>45996.375085336993</v>
      </c>
      <c r="C2409" t="s">
        <v>12</v>
      </c>
      <c r="D2409" t="s">
        <v>21</v>
      </c>
      <c r="E2409" t="s">
        <v>23</v>
      </c>
      <c r="F2409">
        <v>4497.62</v>
      </c>
    </row>
    <row r="2410" spans="1:6" x14ac:dyDescent="0.35">
      <c r="A2410">
        <v>1391</v>
      </c>
      <c r="B2410" s="4">
        <v>45996.375085336993</v>
      </c>
      <c r="C2410" t="s">
        <v>8</v>
      </c>
      <c r="D2410" t="s">
        <v>16</v>
      </c>
      <c r="E2410" t="s">
        <v>25</v>
      </c>
      <c r="F2410">
        <v>1132.6500000000001</v>
      </c>
    </row>
    <row r="2411" spans="1:6" x14ac:dyDescent="0.35">
      <c r="A2411">
        <v>1000</v>
      </c>
      <c r="B2411" s="4">
        <v>45996.375085336993</v>
      </c>
      <c r="C2411" t="s">
        <v>9</v>
      </c>
      <c r="D2411" t="s">
        <v>18</v>
      </c>
      <c r="E2411" t="s">
        <v>25</v>
      </c>
      <c r="F2411">
        <v>4001.39</v>
      </c>
    </row>
    <row r="2412" spans="1:6" x14ac:dyDescent="0.35">
      <c r="A2412">
        <v>1148</v>
      </c>
      <c r="B2412" s="4">
        <v>45996.375085336993</v>
      </c>
      <c r="C2412" t="s">
        <v>10</v>
      </c>
      <c r="D2412" t="s">
        <v>18</v>
      </c>
      <c r="E2412" t="s">
        <v>24</v>
      </c>
      <c r="F2412">
        <v>1028</v>
      </c>
    </row>
    <row r="2413" spans="1:6" x14ac:dyDescent="0.35">
      <c r="A2413">
        <v>1121</v>
      </c>
      <c r="B2413" s="4">
        <v>45997.375085336993</v>
      </c>
      <c r="C2413" t="s">
        <v>10</v>
      </c>
      <c r="D2413" t="s">
        <v>20</v>
      </c>
      <c r="E2413" t="s">
        <v>25</v>
      </c>
      <c r="F2413">
        <v>654.15</v>
      </c>
    </row>
    <row r="2414" spans="1:6" x14ac:dyDescent="0.35">
      <c r="A2414">
        <v>1140</v>
      </c>
      <c r="B2414" s="4">
        <v>45998.375085336993</v>
      </c>
      <c r="C2414" t="s">
        <v>6</v>
      </c>
      <c r="D2414" t="s">
        <v>17</v>
      </c>
      <c r="E2414" t="s">
        <v>24</v>
      </c>
      <c r="F2414">
        <v>3786.33</v>
      </c>
    </row>
    <row r="2415" spans="1:6" x14ac:dyDescent="0.35">
      <c r="A2415">
        <v>1345</v>
      </c>
      <c r="B2415" s="4">
        <v>45998.375085336993</v>
      </c>
      <c r="C2415" t="s">
        <v>9</v>
      </c>
      <c r="D2415" t="s">
        <v>22</v>
      </c>
      <c r="E2415" t="s">
        <v>24</v>
      </c>
      <c r="F2415">
        <v>7080.56</v>
      </c>
    </row>
    <row r="2416" spans="1:6" x14ac:dyDescent="0.35">
      <c r="A2416">
        <v>1040</v>
      </c>
      <c r="B2416" s="4">
        <v>45998.375085336993</v>
      </c>
      <c r="C2416" t="s">
        <v>8</v>
      </c>
      <c r="D2416" t="s">
        <v>20</v>
      </c>
      <c r="E2416" t="s">
        <v>25</v>
      </c>
      <c r="F2416">
        <v>2546.4299999999998</v>
      </c>
    </row>
    <row r="2417" spans="1:6" x14ac:dyDescent="0.35">
      <c r="A2417">
        <v>1013</v>
      </c>
      <c r="B2417" s="4">
        <v>45998.375085336993</v>
      </c>
      <c r="C2417" t="s">
        <v>12</v>
      </c>
      <c r="D2417" t="s">
        <v>16</v>
      </c>
      <c r="E2417" t="s">
        <v>25</v>
      </c>
      <c r="F2417">
        <v>6930.03</v>
      </c>
    </row>
    <row r="2418" spans="1:6" x14ac:dyDescent="0.35">
      <c r="A2418">
        <v>1188</v>
      </c>
      <c r="B2418" s="4">
        <v>45999.375085336993</v>
      </c>
      <c r="C2418" t="s">
        <v>8</v>
      </c>
      <c r="D2418" t="s">
        <v>21</v>
      </c>
      <c r="E2418" t="s">
        <v>23</v>
      </c>
      <c r="F2418">
        <v>4492.33</v>
      </c>
    </row>
    <row r="2419" spans="1:6" x14ac:dyDescent="0.35">
      <c r="A2419">
        <v>1322</v>
      </c>
      <c r="B2419" s="4">
        <v>45999.375085336993</v>
      </c>
      <c r="C2419" t="s">
        <v>7</v>
      </c>
      <c r="D2419" t="s">
        <v>17</v>
      </c>
      <c r="E2419" t="s">
        <v>25</v>
      </c>
      <c r="F2419">
        <v>2537.48</v>
      </c>
    </row>
    <row r="2420" spans="1:6" x14ac:dyDescent="0.35">
      <c r="A2420">
        <v>1112</v>
      </c>
      <c r="B2420" s="4">
        <v>46000.375085336993</v>
      </c>
      <c r="C2420" t="s">
        <v>12</v>
      </c>
      <c r="D2420" t="s">
        <v>22</v>
      </c>
      <c r="E2420" t="s">
        <v>25</v>
      </c>
      <c r="F2420">
        <v>5000.08</v>
      </c>
    </row>
    <row r="2421" spans="1:6" x14ac:dyDescent="0.35">
      <c r="A2421">
        <v>1080</v>
      </c>
      <c r="B2421" s="4">
        <v>46000.375085336993</v>
      </c>
      <c r="C2421" t="s">
        <v>7</v>
      </c>
      <c r="D2421" t="s">
        <v>22</v>
      </c>
      <c r="E2421" t="s">
        <v>23</v>
      </c>
      <c r="F2421">
        <v>2635.11</v>
      </c>
    </row>
    <row r="2422" spans="1:6" x14ac:dyDescent="0.35">
      <c r="A2422">
        <v>1348</v>
      </c>
      <c r="B2422" s="4">
        <v>46000.375085336993</v>
      </c>
      <c r="C2422" t="s">
        <v>14</v>
      </c>
      <c r="D2422" t="s">
        <v>19</v>
      </c>
      <c r="E2422" t="s">
        <v>25</v>
      </c>
      <c r="F2422">
        <v>3900.18</v>
      </c>
    </row>
    <row r="2423" spans="1:6" x14ac:dyDescent="0.35">
      <c r="A2423">
        <v>1232</v>
      </c>
      <c r="B2423" s="4">
        <v>46001.375085336993</v>
      </c>
      <c r="C2423" t="s">
        <v>14</v>
      </c>
      <c r="D2423" t="s">
        <v>22</v>
      </c>
      <c r="E2423" t="s">
        <v>25</v>
      </c>
      <c r="F2423">
        <v>3264.89</v>
      </c>
    </row>
    <row r="2424" spans="1:6" x14ac:dyDescent="0.35">
      <c r="A2424">
        <v>1008</v>
      </c>
      <c r="B2424" s="4">
        <v>46001.375085336993</v>
      </c>
      <c r="C2424" t="s">
        <v>7</v>
      </c>
      <c r="D2424" t="s">
        <v>20</v>
      </c>
      <c r="E2424" t="s">
        <v>25</v>
      </c>
      <c r="F2424">
        <v>1345.01</v>
      </c>
    </row>
    <row r="2425" spans="1:6" x14ac:dyDescent="0.35">
      <c r="A2425">
        <v>1283</v>
      </c>
      <c r="B2425" s="4">
        <v>46001.375085336993</v>
      </c>
      <c r="C2425" t="s">
        <v>13</v>
      </c>
      <c r="D2425" t="s">
        <v>21</v>
      </c>
      <c r="E2425" t="s">
        <v>24</v>
      </c>
      <c r="F2425">
        <v>2501.08</v>
      </c>
    </row>
    <row r="2426" spans="1:6" x14ac:dyDescent="0.35">
      <c r="A2426">
        <v>1270</v>
      </c>
      <c r="B2426" s="4">
        <v>46001.375085336993</v>
      </c>
      <c r="C2426" t="s">
        <v>14</v>
      </c>
      <c r="D2426" t="s">
        <v>20</v>
      </c>
      <c r="E2426" t="s">
        <v>25</v>
      </c>
      <c r="F2426">
        <v>1647.46</v>
      </c>
    </row>
    <row r="2427" spans="1:6" x14ac:dyDescent="0.35">
      <c r="A2427">
        <v>1081</v>
      </c>
      <c r="B2427" s="4">
        <v>46001.375085336993</v>
      </c>
      <c r="C2427" t="s">
        <v>7</v>
      </c>
      <c r="D2427" t="s">
        <v>19</v>
      </c>
      <c r="E2427" t="s">
        <v>24</v>
      </c>
      <c r="F2427">
        <v>627.98</v>
      </c>
    </row>
    <row r="2428" spans="1:6" x14ac:dyDescent="0.35">
      <c r="A2428">
        <v>1124</v>
      </c>
      <c r="B2428" s="4">
        <v>46001.375085336993</v>
      </c>
      <c r="C2428" t="s">
        <v>14</v>
      </c>
      <c r="D2428" t="s">
        <v>18</v>
      </c>
      <c r="E2428" t="s">
        <v>25</v>
      </c>
      <c r="F2428">
        <v>727.35</v>
      </c>
    </row>
    <row r="2429" spans="1:6" x14ac:dyDescent="0.35">
      <c r="A2429">
        <v>1209</v>
      </c>
      <c r="B2429" s="4">
        <v>46001.375085336993</v>
      </c>
      <c r="C2429" t="s">
        <v>8</v>
      </c>
      <c r="D2429" t="s">
        <v>20</v>
      </c>
      <c r="E2429" t="s">
        <v>23</v>
      </c>
      <c r="F2429">
        <v>1813.74</v>
      </c>
    </row>
    <row r="2430" spans="1:6" x14ac:dyDescent="0.35">
      <c r="A2430">
        <v>1073</v>
      </c>
      <c r="B2430" s="4">
        <v>46001.375085336993</v>
      </c>
      <c r="C2430" t="s">
        <v>11</v>
      </c>
      <c r="D2430" t="s">
        <v>19</v>
      </c>
      <c r="E2430" t="s">
        <v>25</v>
      </c>
      <c r="F2430">
        <v>6402.85</v>
      </c>
    </row>
    <row r="2431" spans="1:6" x14ac:dyDescent="0.35">
      <c r="A2431">
        <v>1399</v>
      </c>
      <c r="B2431" s="4">
        <v>46002.375085336993</v>
      </c>
      <c r="C2431" t="s">
        <v>10</v>
      </c>
      <c r="D2431" t="s">
        <v>19</v>
      </c>
      <c r="E2431" t="s">
        <v>25</v>
      </c>
      <c r="F2431">
        <v>3866.2</v>
      </c>
    </row>
    <row r="2432" spans="1:6" x14ac:dyDescent="0.35">
      <c r="A2432">
        <v>1053</v>
      </c>
      <c r="B2432" s="4">
        <v>46002.375085336993</v>
      </c>
      <c r="C2432" t="s">
        <v>14</v>
      </c>
      <c r="D2432" t="s">
        <v>16</v>
      </c>
      <c r="E2432" t="s">
        <v>23</v>
      </c>
      <c r="F2432">
        <v>9741.7099999999991</v>
      </c>
    </row>
    <row r="2433" spans="1:6" x14ac:dyDescent="0.35">
      <c r="A2433">
        <v>1294</v>
      </c>
      <c r="B2433" s="4">
        <v>46002.375085336993</v>
      </c>
      <c r="C2433" t="s">
        <v>7</v>
      </c>
      <c r="D2433" t="s">
        <v>20</v>
      </c>
      <c r="E2433" t="s">
        <v>25</v>
      </c>
      <c r="F2433">
        <v>2889.94</v>
      </c>
    </row>
    <row r="2434" spans="1:6" x14ac:dyDescent="0.35">
      <c r="A2434">
        <v>1178</v>
      </c>
      <c r="B2434" s="4">
        <v>46003.375085336993</v>
      </c>
      <c r="C2434" t="s">
        <v>15</v>
      </c>
      <c r="D2434" t="s">
        <v>18</v>
      </c>
      <c r="E2434" t="s">
        <v>25</v>
      </c>
      <c r="F2434">
        <v>5679.79</v>
      </c>
    </row>
    <row r="2435" spans="1:6" x14ac:dyDescent="0.35">
      <c r="A2435">
        <v>1095</v>
      </c>
      <c r="B2435" s="4">
        <v>46003.375085336993</v>
      </c>
      <c r="C2435" t="s">
        <v>13</v>
      </c>
      <c r="D2435" t="s">
        <v>20</v>
      </c>
      <c r="E2435" t="s">
        <v>24</v>
      </c>
      <c r="F2435">
        <v>1021.98</v>
      </c>
    </row>
    <row r="2436" spans="1:6" x14ac:dyDescent="0.35">
      <c r="A2436">
        <v>1146</v>
      </c>
      <c r="B2436" s="4">
        <v>46003.375085336993</v>
      </c>
      <c r="C2436" t="s">
        <v>14</v>
      </c>
      <c r="D2436" t="s">
        <v>17</v>
      </c>
      <c r="E2436" t="s">
        <v>25</v>
      </c>
      <c r="F2436">
        <v>4195.7700000000004</v>
      </c>
    </row>
    <row r="2437" spans="1:6" x14ac:dyDescent="0.35">
      <c r="A2437">
        <v>1206</v>
      </c>
      <c r="B2437" s="4">
        <v>46003.375085336993</v>
      </c>
      <c r="C2437" t="s">
        <v>14</v>
      </c>
      <c r="D2437" t="s">
        <v>19</v>
      </c>
      <c r="E2437" t="s">
        <v>25</v>
      </c>
      <c r="F2437">
        <v>5798.73</v>
      </c>
    </row>
    <row r="2438" spans="1:6" x14ac:dyDescent="0.35">
      <c r="A2438">
        <v>1012</v>
      </c>
      <c r="B2438" s="4">
        <v>46003.375085336993</v>
      </c>
      <c r="C2438" t="s">
        <v>14</v>
      </c>
      <c r="D2438" t="s">
        <v>18</v>
      </c>
      <c r="E2438" t="s">
        <v>25</v>
      </c>
      <c r="F2438">
        <v>6231.66</v>
      </c>
    </row>
    <row r="2439" spans="1:6" x14ac:dyDescent="0.35">
      <c r="A2439">
        <v>1249</v>
      </c>
      <c r="B2439" s="4">
        <v>46003.375085336993</v>
      </c>
      <c r="C2439" t="s">
        <v>14</v>
      </c>
      <c r="D2439" t="s">
        <v>18</v>
      </c>
      <c r="E2439" t="s">
        <v>24</v>
      </c>
      <c r="F2439">
        <v>5348.4</v>
      </c>
    </row>
    <row r="2440" spans="1:6" x14ac:dyDescent="0.35">
      <c r="A2440">
        <v>1351</v>
      </c>
      <c r="B2440" s="4">
        <v>46004.375085336993</v>
      </c>
      <c r="C2440" t="s">
        <v>10</v>
      </c>
      <c r="D2440" t="s">
        <v>22</v>
      </c>
      <c r="E2440" t="s">
        <v>25</v>
      </c>
      <c r="F2440">
        <v>465.54</v>
      </c>
    </row>
    <row r="2441" spans="1:6" x14ac:dyDescent="0.35">
      <c r="A2441">
        <v>1213</v>
      </c>
      <c r="B2441" s="4">
        <v>46004.375085336993</v>
      </c>
      <c r="C2441" t="s">
        <v>10</v>
      </c>
      <c r="D2441" t="s">
        <v>16</v>
      </c>
      <c r="E2441" t="s">
        <v>23</v>
      </c>
      <c r="F2441">
        <v>2543.9899999999998</v>
      </c>
    </row>
    <row r="2442" spans="1:6" x14ac:dyDescent="0.35">
      <c r="A2442">
        <v>1393</v>
      </c>
      <c r="B2442" s="4">
        <v>46004.375085336993</v>
      </c>
      <c r="C2442" t="s">
        <v>9</v>
      </c>
      <c r="D2442" t="s">
        <v>21</v>
      </c>
      <c r="E2442" t="s">
        <v>24</v>
      </c>
      <c r="F2442">
        <v>4123.17</v>
      </c>
    </row>
    <row r="2443" spans="1:6" x14ac:dyDescent="0.35">
      <c r="A2443">
        <v>1110</v>
      </c>
      <c r="B2443" s="4">
        <v>46005.375085336993</v>
      </c>
      <c r="C2443" t="s">
        <v>12</v>
      </c>
      <c r="D2443" t="s">
        <v>22</v>
      </c>
      <c r="E2443" t="s">
        <v>24</v>
      </c>
      <c r="F2443">
        <v>1450.51</v>
      </c>
    </row>
    <row r="2444" spans="1:6" x14ac:dyDescent="0.35">
      <c r="A2444">
        <v>1148</v>
      </c>
      <c r="B2444" s="4">
        <v>46006.375085336993</v>
      </c>
      <c r="C2444" t="s">
        <v>15</v>
      </c>
      <c r="D2444" t="s">
        <v>22</v>
      </c>
      <c r="E2444" t="s">
        <v>23</v>
      </c>
      <c r="F2444">
        <v>3962.87</v>
      </c>
    </row>
    <row r="2445" spans="1:6" x14ac:dyDescent="0.35">
      <c r="A2445">
        <v>1317</v>
      </c>
      <c r="B2445" s="4">
        <v>46006.375085336993</v>
      </c>
      <c r="C2445" t="s">
        <v>14</v>
      </c>
      <c r="D2445" t="s">
        <v>22</v>
      </c>
      <c r="E2445" t="s">
        <v>25</v>
      </c>
      <c r="F2445">
        <v>5006.41</v>
      </c>
    </row>
    <row r="2446" spans="1:6" x14ac:dyDescent="0.35">
      <c r="A2446">
        <v>1153</v>
      </c>
      <c r="B2446" s="4">
        <v>46006.375085336993</v>
      </c>
      <c r="C2446" t="s">
        <v>14</v>
      </c>
      <c r="D2446" t="s">
        <v>22</v>
      </c>
      <c r="E2446" t="s">
        <v>24</v>
      </c>
      <c r="F2446">
        <v>5093.99</v>
      </c>
    </row>
    <row r="2447" spans="1:6" x14ac:dyDescent="0.35">
      <c r="A2447">
        <v>1331</v>
      </c>
      <c r="B2447" s="4">
        <v>46006.375085336993</v>
      </c>
      <c r="C2447" t="s">
        <v>7</v>
      </c>
      <c r="D2447" t="s">
        <v>16</v>
      </c>
      <c r="E2447" t="s">
        <v>25</v>
      </c>
      <c r="F2447">
        <v>5990.68</v>
      </c>
    </row>
    <row r="2448" spans="1:6" x14ac:dyDescent="0.35">
      <c r="A2448">
        <v>1075</v>
      </c>
      <c r="B2448" s="4">
        <v>46007.375085336993</v>
      </c>
      <c r="C2448" t="s">
        <v>6</v>
      </c>
      <c r="D2448" t="s">
        <v>16</v>
      </c>
      <c r="E2448" t="s">
        <v>24</v>
      </c>
      <c r="F2448">
        <v>4983.4399999999996</v>
      </c>
    </row>
    <row r="2449" spans="1:6" x14ac:dyDescent="0.35">
      <c r="A2449">
        <v>1003</v>
      </c>
      <c r="B2449" s="4">
        <v>46007.375085336993</v>
      </c>
      <c r="C2449" t="s">
        <v>13</v>
      </c>
      <c r="D2449" t="s">
        <v>16</v>
      </c>
      <c r="E2449" t="s">
        <v>24</v>
      </c>
      <c r="F2449">
        <v>7017.56</v>
      </c>
    </row>
    <row r="2450" spans="1:6" x14ac:dyDescent="0.35">
      <c r="A2450">
        <v>1020</v>
      </c>
      <c r="B2450" s="4">
        <v>46007.375085336993</v>
      </c>
      <c r="C2450" t="s">
        <v>11</v>
      </c>
      <c r="D2450" t="s">
        <v>22</v>
      </c>
      <c r="E2450" t="s">
        <v>23</v>
      </c>
      <c r="F2450">
        <v>2414.71</v>
      </c>
    </row>
    <row r="2451" spans="1:6" x14ac:dyDescent="0.35">
      <c r="A2451">
        <v>1328</v>
      </c>
      <c r="B2451" s="4">
        <v>46007.375085336993</v>
      </c>
      <c r="C2451" t="s">
        <v>11</v>
      </c>
      <c r="D2451" t="s">
        <v>19</v>
      </c>
      <c r="E2451" t="s">
        <v>25</v>
      </c>
      <c r="F2451">
        <v>526.26</v>
      </c>
    </row>
    <row r="2452" spans="1:6" x14ac:dyDescent="0.35">
      <c r="A2452">
        <v>1078</v>
      </c>
      <c r="B2452" s="4">
        <v>46007.375085336993</v>
      </c>
      <c r="C2452" t="s">
        <v>10</v>
      </c>
      <c r="D2452" t="s">
        <v>22</v>
      </c>
      <c r="E2452" t="s">
        <v>23</v>
      </c>
      <c r="F2452">
        <v>4597.82</v>
      </c>
    </row>
    <row r="2453" spans="1:6" x14ac:dyDescent="0.35">
      <c r="A2453">
        <v>1389</v>
      </c>
      <c r="B2453" s="4">
        <v>46007.375085336993</v>
      </c>
      <c r="C2453" t="s">
        <v>12</v>
      </c>
      <c r="D2453" t="s">
        <v>17</v>
      </c>
      <c r="E2453" t="s">
        <v>23</v>
      </c>
      <c r="F2453">
        <v>7325.79</v>
      </c>
    </row>
    <row r="2454" spans="1:6" x14ac:dyDescent="0.35">
      <c r="A2454">
        <v>1398</v>
      </c>
      <c r="B2454" s="4">
        <v>46007.375085336993</v>
      </c>
      <c r="C2454" t="s">
        <v>9</v>
      </c>
      <c r="D2454" t="s">
        <v>16</v>
      </c>
      <c r="E2454" t="s">
        <v>24</v>
      </c>
      <c r="F2454">
        <v>2934.2</v>
      </c>
    </row>
    <row r="2455" spans="1:6" x14ac:dyDescent="0.35">
      <c r="A2455">
        <v>1295</v>
      </c>
      <c r="B2455" s="4">
        <v>46008.375085336993</v>
      </c>
      <c r="C2455" t="s">
        <v>14</v>
      </c>
      <c r="D2455" t="s">
        <v>22</v>
      </c>
      <c r="E2455" t="s">
        <v>23</v>
      </c>
      <c r="F2455">
        <v>688.92</v>
      </c>
    </row>
    <row r="2456" spans="1:6" x14ac:dyDescent="0.35">
      <c r="A2456">
        <v>1034</v>
      </c>
      <c r="B2456" s="4">
        <v>46008.375085336993</v>
      </c>
      <c r="C2456" t="s">
        <v>11</v>
      </c>
      <c r="D2456" t="s">
        <v>17</v>
      </c>
      <c r="E2456" t="s">
        <v>23</v>
      </c>
      <c r="F2456">
        <v>2331.2600000000002</v>
      </c>
    </row>
    <row r="2457" spans="1:6" x14ac:dyDescent="0.35">
      <c r="A2457">
        <v>1024</v>
      </c>
      <c r="B2457" s="4">
        <v>46008.375085336993</v>
      </c>
      <c r="C2457" t="s">
        <v>6</v>
      </c>
      <c r="D2457" t="s">
        <v>16</v>
      </c>
      <c r="E2457" t="s">
        <v>24</v>
      </c>
      <c r="F2457">
        <v>875.36</v>
      </c>
    </row>
    <row r="2458" spans="1:6" x14ac:dyDescent="0.35">
      <c r="A2458">
        <v>1261</v>
      </c>
      <c r="B2458" s="4">
        <v>46008.375085336993</v>
      </c>
      <c r="C2458" t="s">
        <v>13</v>
      </c>
      <c r="D2458" t="s">
        <v>20</v>
      </c>
      <c r="E2458" t="s">
        <v>24</v>
      </c>
      <c r="F2458">
        <v>5196.59</v>
      </c>
    </row>
    <row r="2459" spans="1:6" x14ac:dyDescent="0.35">
      <c r="A2459">
        <v>1043</v>
      </c>
      <c r="B2459" s="4">
        <v>46009.375085336993</v>
      </c>
      <c r="C2459" t="s">
        <v>14</v>
      </c>
      <c r="D2459" t="s">
        <v>18</v>
      </c>
      <c r="E2459" t="s">
        <v>25</v>
      </c>
      <c r="F2459">
        <v>2305.1799999999998</v>
      </c>
    </row>
    <row r="2460" spans="1:6" x14ac:dyDescent="0.35">
      <c r="A2460">
        <v>1317</v>
      </c>
      <c r="B2460" s="4">
        <v>46009.375085336993</v>
      </c>
      <c r="C2460" t="s">
        <v>6</v>
      </c>
      <c r="D2460" t="s">
        <v>21</v>
      </c>
      <c r="E2460" t="s">
        <v>23</v>
      </c>
      <c r="F2460">
        <v>1566.45</v>
      </c>
    </row>
    <row r="2461" spans="1:6" x14ac:dyDescent="0.35">
      <c r="A2461">
        <v>1389</v>
      </c>
      <c r="B2461" s="4">
        <v>46009.375085336993</v>
      </c>
      <c r="C2461" t="s">
        <v>15</v>
      </c>
      <c r="D2461" t="s">
        <v>21</v>
      </c>
      <c r="E2461" t="s">
        <v>24</v>
      </c>
      <c r="F2461">
        <v>1488.53</v>
      </c>
    </row>
    <row r="2462" spans="1:6" x14ac:dyDescent="0.35">
      <c r="A2462">
        <v>1117</v>
      </c>
      <c r="B2462" s="4">
        <v>46009.375085336993</v>
      </c>
      <c r="C2462" t="s">
        <v>10</v>
      </c>
      <c r="D2462" t="s">
        <v>17</v>
      </c>
      <c r="E2462" t="s">
        <v>23</v>
      </c>
      <c r="F2462">
        <v>2894.98</v>
      </c>
    </row>
    <row r="2463" spans="1:6" x14ac:dyDescent="0.35">
      <c r="A2463">
        <v>1323</v>
      </c>
      <c r="B2463" s="4">
        <v>46010.375085336993</v>
      </c>
      <c r="C2463" t="s">
        <v>7</v>
      </c>
      <c r="D2463" t="s">
        <v>19</v>
      </c>
      <c r="E2463" t="s">
        <v>23</v>
      </c>
      <c r="F2463">
        <v>11378.33</v>
      </c>
    </row>
    <row r="2464" spans="1:6" x14ac:dyDescent="0.35">
      <c r="A2464">
        <v>1195</v>
      </c>
      <c r="B2464" s="4">
        <v>46010.375085336993</v>
      </c>
      <c r="C2464" t="s">
        <v>11</v>
      </c>
      <c r="D2464" t="s">
        <v>19</v>
      </c>
      <c r="E2464" t="s">
        <v>25</v>
      </c>
      <c r="F2464">
        <v>1752.04</v>
      </c>
    </row>
    <row r="2465" spans="1:6" x14ac:dyDescent="0.35">
      <c r="A2465">
        <v>1308</v>
      </c>
      <c r="B2465" s="4">
        <v>46010.375085336993</v>
      </c>
      <c r="C2465" t="s">
        <v>11</v>
      </c>
      <c r="D2465" t="s">
        <v>20</v>
      </c>
      <c r="E2465" t="s">
        <v>24</v>
      </c>
      <c r="F2465">
        <v>2172.48</v>
      </c>
    </row>
    <row r="2466" spans="1:6" x14ac:dyDescent="0.35">
      <c r="A2466">
        <v>1113</v>
      </c>
      <c r="B2466" s="4">
        <v>46010.375085336993</v>
      </c>
      <c r="C2466" t="s">
        <v>11</v>
      </c>
      <c r="D2466" t="s">
        <v>17</v>
      </c>
      <c r="E2466" t="s">
        <v>25</v>
      </c>
      <c r="F2466">
        <v>2909.94</v>
      </c>
    </row>
    <row r="2467" spans="1:6" x14ac:dyDescent="0.35">
      <c r="A2467">
        <v>1232</v>
      </c>
      <c r="B2467" s="4">
        <v>46011.375085336993</v>
      </c>
      <c r="C2467" t="s">
        <v>9</v>
      </c>
      <c r="D2467" t="s">
        <v>21</v>
      </c>
      <c r="E2467" t="s">
        <v>24</v>
      </c>
      <c r="F2467">
        <v>2667.05</v>
      </c>
    </row>
    <row r="2468" spans="1:6" x14ac:dyDescent="0.35">
      <c r="A2468">
        <v>1287</v>
      </c>
      <c r="B2468" s="4">
        <v>46011.375085336993</v>
      </c>
      <c r="C2468" t="s">
        <v>9</v>
      </c>
      <c r="D2468" t="s">
        <v>16</v>
      </c>
      <c r="E2468" t="s">
        <v>24</v>
      </c>
      <c r="F2468">
        <v>6904.9</v>
      </c>
    </row>
    <row r="2469" spans="1:6" x14ac:dyDescent="0.35">
      <c r="A2469">
        <v>1122</v>
      </c>
      <c r="B2469" s="4">
        <v>46011.375085336993</v>
      </c>
      <c r="C2469" t="s">
        <v>10</v>
      </c>
      <c r="D2469" t="s">
        <v>16</v>
      </c>
      <c r="E2469" t="s">
        <v>23</v>
      </c>
      <c r="F2469">
        <v>3552.69</v>
      </c>
    </row>
    <row r="2470" spans="1:6" x14ac:dyDescent="0.35">
      <c r="A2470">
        <v>1067</v>
      </c>
      <c r="B2470" s="4">
        <v>46011.375085336993</v>
      </c>
      <c r="C2470" t="s">
        <v>12</v>
      </c>
      <c r="D2470" t="s">
        <v>21</v>
      </c>
      <c r="E2470" t="s">
        <v>23</v>
      </c>
      <c r="F2470">
        <v>1727.33</v>
      </c>
    </row>
    <row r="2471" spans="1:6" x14ac:dyDescent="0.35">
      <c r="A2471">
        <v>1362</v>
      </c>
      <c r="B2471" s="4">
        <v>46011.375085336993</v>
      </c>
      <c r="C2471" t="s">
        <v>13</v>
      </c>
      <c r="D2471" t="s">
        <v>22</v>
      </c>
      <c r="E2471" t="s">
        <v>25</v>
      </c>
      <c r="F2471">
        <v>2841.05</v>
      </c>
    </row>
    <row r="2472" spans="1:6" x14ac:dyDescent="0.35">
      <c r="A2472">
        <v>1147</v>
      </c>
      <c r="B2472" s="4">
        <v>46011.375085336993</v>
      </c>
      <c r="C2472" t="s">
        <v>12</v>
      </c>
      <c r="D2472" t="s">
        <v>16</v>
      </c>
      <c r="E2472" t="s">
        <v>25</v>
      </c>
      <c r="F2472">
        <v>4918.05</v>
      </c>
    </row>
    <row r="2473" spans="1:6" x14ac:dyDescent="0.35">
      <c r="A2473">
        <v>1006</v>
      </c>
      <c r="B2473" s="4">
        <v>46011.375085336993</v>
      </c>
      <c r="C2473" t="s">
        <v>15</v>
      </c>
      <c r="D2473" t="s">
        <v>16</v>
      </c>
      <c r="E2473" t="s">
        <v>25</v>
      </c>
      <c r="F2473">
        <v>3494.2</v>
      </c>
    </row>
    <row r="2474" spans="1:6" x14ac:dyDescent="0.35">
      <c r="A2474">
        <v>1265</v>
      </c>
      <c r="B2474" s="4">
        <v>46011.375085336993</v>
      </c>
      <c r="C2474" t="s">
        <v>10</v>
      </c>
      <c r="D2474" t="s">
        <v>18</v>
      </c>
      <c r="E2474" t="s">
        <v>23</v>
      </c>
      <c r="F2474">
        <v>5697.49</v>
      </c>
    </row>
    <row r="2475" spans="1:6" x14ac:dyDescent="0.35">
      <c r="A2475">
        <v>1116</v>
      </c>
      <c r="B2475" s="4">
        <v>46011.375085336993</v>
      </c>
      <c r="C2475" t="s">
        <v>10</v>
      </c>
      <c r="D2475" t="s">
        <v>18</v>
      </c>
      <c r="E2475" t="s">
        <v>23</v>
      </c>
      <c r="F2475">
        <v>2733.02</v>
      </c>
    </row>
    <row r="2476" spans="1:6" x14ac:dyDescent="0.35">
      <c r="A2476">
        <v>1089</v>
      </c>
      <c r="B2476" s="4">
        <v>46012.375085336993</v>
      </c>
      <c r="C2476" t="s">
        <v>9</v>
      </c>
      <c r="D2476" t="s">
        <v>18</v>
      </c>
      <c r="E2476" t="s">
        <v>24</v>
      </c>
      <c r="F2476">
        <v>3165.92</v>
      </c>
    </row>
    <row r="2477" spans="1:6" x14ac:dyDescent="0.35">
      <c r="A2477">
        <v>1293</v>
      </c>
      <c r="B2477" s="4">
        <v>46012.375085336993</v>
      </c>
      <c r="C2477" t="s">
        <v>9</v>
      </c>
      <c r="D2477" t="s">
        <v>22</v>
      </c>
      <c r="E2477" t="s">
        <v>24</v>
      </c>
      <c r="F2477">
        <v>3444.68</v>
      </c>
    </row>
    <row r="2478" spans="1:6" x14ac:dyDescent="0.35">
      <c r="A2478">
        <v>1069</v>
      </c>
      <c r="B2478" s="4">
        <v>46012.375085336993</v>
      </c>
      <c r="C2478" t="s">
        <v>11</v>
      </c>
      <c r="D2478" t="s">
        <v>16</v>
      </c>
      <c r="E2478" t="s">
        <v>24</v>
      </c>
      <c r="F2478">
        <v>12527.93</v>
      </c>
    </row>
    <row r="2479" spans="1:6" x14ac:dyDescent="0.35">
      <c r="A2479">
        <v>1378</v>
      </c>
      <c r="B2479" s="4">
        <v>46012.375085336993</v>
      </c>
      <c r="C2479" t="s">
        <v>13</v>
      </c>
      <c r="D2479" t="s">
        <v>16</v>
      </c>
      <c r="E2479" t="s">
        <v>23</v>
      </c>
      <c r="F2479">
        <v>4398.87</v>
      </c>
    </row>
    <row r="2480" spans="1:6" x14ac:dyDescent="0.35">
      <c r="A2480">
        <v>1187</v>
      </c>
      <c r="B2480" s="4">
        <v>46012.375085336993</v>
      </c>
      <c r="C2480" t="s">
        <v>15</v>
      </c>
      <c r="D2480" t="s">
        <v>16</v>
      </c>
      <c r="E2480" t="s">
        <v>24</v>
      </c>
      <c r="F2480">
        <v>4575.3500000000004</v>
      </c>
    </row>
    <row r="2481" spans="1:6" x14ac:dyDescent="0.35">
      <c r="A2481">
        <v>1068</v>
      </c>
      <c r="B2481" s="4">
        <v>46013.375085336993</v>
      </c>
      <c r="C2481" t="s">
        <v>6</v>
      </c>
      <c r="D2481" t="s">
        <v>20</v>
      </c>
      <c r="E2481" t="s">
        <v>23</v>
      </c>
      <c r="F2481">
        <v>7884.71</v>
      </c>
    </row>
    <row r="2482" spans="1:6" x14ac:dyDescent="0.35">
      <c r="A2482">
        <v>1355</v>
      </c>
      <c r="B2482" s="4">
        <v>46013.375085336993</v>
      </c>
      <c r="C2482" t="s">
        <v>14</v>
      </c>
      <c r="D2482" t="s">
        <v>17</v>
      </c>
      <c r="E2482" t="s">
        <v>23</v>
      </c>
      <c r="F2482">
        <v>1450.83</v>
      </c>
    </row>
    <row r="2483" spans="1:6" x14ac:dyDescent="0.35">
      <c r="A2483">
        <v>1380</v>
      </c>
      <c r="B2483" s="4">
        <v>46013.375085336993</v>
      </c>
      <c r="C2483" t="s">
        <v>11</v>
      </c>
      <c r="D2483" t="s">
        <v>22</v>
      </c>
      <c r="E2483" t="s">
        <v>25</v>
      </c>
      <c r="F2483">
        <v>3041.83</v>
      </c>
    </row>
    <row r="2484" spans="1:6" x14ac:dyDescent="0.35">
      <c r="A2484">
        <v>1151</v>
      </c>
      <c r="B2484" s="4">
        <v>46013.375085336993</v>
      </c>
      <c r="C2484" t="s">
        <v>10</v>
      </c>
      <c r="D2484" t="s">
        <v>18</v>
      </c>
      <c r="E2484" t="s">
        <v>25</v>
      </c>
      <c r="F2484">
        <v>2780.09</v>
      </c>
    </row>
    <row r="2485" spans="1:6" x14ac:dyDescent="0.35">
      <c r="A2485">
        <v>1100</v>
      </c>
      <c r="B2485" s="4">
        <v>46013.375085336993</v>
      </c>
      <c r="C2485" t="s">
        <v>6</v>
      </c>
      <c r="D2485" t="s">
        <v>19</v>
      </c>
      <c r="E2485" t="s">
        <v>25</v>
      </c>
      <c r="F2485">
        <v>2730.06</v>
      </c>
    </row>
    <row r="2486" spans="1:6" x14ac:dyDescent="0.35">
      <c r="A2486">
        <v>1286</v>
      </c>
      <c r="B2486" s="4">
        <v>46014.375085336993</v>
      </c>
      <c r="C2486" t="s">
        <v>6</v>
      </c>
      <c r="D2486" t="s">
        <v>21</v>
      </c>
      <c r="E2486" t="s">
        <v>23</v>
      </c>
      <c r="F2486">
        <v>9546.49</v>
      </c>
    </row>
    <row r="2487" spans="1:6" x14ac:dyDescent="0.35">
      <c r="A2487">
        <v>1170</v>
      </c>
      <c r="B2487" s="4">
        <v>46015.375085336993</v>
      </c>
      <c r="C2487" t="s">
        <v>11</v>
      </c>
      <c r="D2487" t="s">
        <v>22</v>
      </c>
      <c r="E2487" t="s">
        <v>24</v>
      </c>
      <c r="F2487">
        <v>13542.79</v>
      </c>
    </row>
    <row r="2488" spans="1:6" x14ac:dyDescent="0.35">
      <c r="A2488">
        <v>1167</v>
      </c>
      <c r="B2488" s="4">
        <v>46015.375085336993</v>
      </c>
      <c r="C2488" t="s">
        <v>15</v>
      </c>
      <c r="D2488" t="s">
        <v>19</v>
      </c>
      <c r="E2488" t="s">
        <v>24</v>
      </c>
      <c r="F2488">
        <v>5151.33</v>
      </c>
    </row>
    <row r="2489" spans="1:6" x14ac:dyDescent="0.35">
      <c r="A2489">
        <v>1230</v>
      </c>
      <c r="B2489" s="4">
        <v>46015.375085336993</v>
      </c>
      <c r="C2489" t="s">
        <v>9</v>
      </c>
      <c r="D2489" t="s">
        <v>16</v>
      </c>
      <c r="E2489" t="s">
        <v>25</v>
      </c>
      <c r="F2489">
        <v>1893.45</v>
      </c>
    </row>
    <row r="2490" spans="1:6" x14ac:dyDescent="0.35">
      <c r="A2490">
        <v>1241</v>
      </c>
      <c r="B2490" s="4">
        <v>46015.375085336993</v>
      </c>
      <c r="C2490" t="s">
        <v>7</v>
      </c>
      <c r="D2490" t="s">
        <v>20</v>
      </c>
      <c r="E2490" t="s">
        <v>24</v>
      </c>
      <c r="F2490">
        <v>1083.46</v>
      </c>
    </row>
    <row r="2491" spans="1:6" x14ac:dyDescent="0.35">
      <c r="A2491">
        <v>1226</v>
      </c>
      <c r="B2491" s="4">
        <v>46015.375085336993</v>
      </c>
      <c r="C2491" t="s">
        <v>13</v>
      </c>
      <c r="D2491" t="s">
        <v>19</v>
      </c>
      <c r="E2491" t="s">
        <v>24</v>
      </c>
      <c r="F2491">
        <v>5586.48</v>
      </c>
    </row>
    <row r="2492" spans="1:6" x14ac:dyDescent="0.35">
      <c r="A2492">
        <v>1290</v>
      </c>
      <c r="B2492" s="4">
        <v>46016.375085336993</v>
      </c>
      <c r="C2492" t="s">
        <v>7</v>
      </c>
      <c r="D2492" t="s">
        <v>21</v>
      </c>
      <c r="E2492" t="s">
        <v>23</v>
      </c>
      <c r="F2492">
        <v>553.16999999999996</v>
      </c>
    </row>
    <row r="2493" spans="1:6" x14ac:dyDescent="0.35">
      <c r="A2493">
        <v>1339</v>
      </c>
      <c r="B2493" s="4">
        <v>46016.375085336993</v>
      </c>
      <c r="C2493" t="s">
        <v>14</v>
      </c>
      <c r="D2493" t="s">
        <v>17</v>
      </c>
      <c r="E2493" t="s">
        <v>25</v>
      </c>
      <c r="F2493">
        <v>613.61</v>
      </c>
    </row>
    <row r="2494" spans="1:6" x14ac:dyDescent="0.35">
      <c r="A2494">
        <v>1143</v>
      </c>
      <c r="B2494" s="4">
        <v>46016.375085336993</v>
      </c>
      <c r="C2494" t="s">
        <v>6</v>
      </c>
      <c r="D2494" t="s">
        <v>18</v>
      </c>
      <c r="E2494" t="s">
        <v>25</v>
      </c>
      <c r="F2494">
        <v>1084.8699999999999</v>
      </c>
    </row>
    <row r="2495" spans="1:6" x14ac:dyDescent="0.35">
      <c r="A2495">
        <v>1252</v>
      </c>
      <c r="B2495" s="4">
        <v>46016.375085336993</v>
      </c>
      <c r="C2495" t="s">
        <v>13</v>
      </c>
      <c r="D2495" t="s">
        <v>20</v>
      </c>
      <c r="E2495" t="s">
        <v>24</v>
      </c>
      <c r="F2495">
        <v>1012.77</v>
      </c>
    </row>
    <row r="2496" spans="1:6" x14ac:dyDescent="0.35">
      <c r="A2496">
        <v>1354</v>
      </c>
      <c r="B2496" s="4">
        <v>46016.375085336993</v>
      </c>
      <c r="C2496" t="s">
        <v>6</v>
      </c>
      <c r="D2496" t="s">
        <v>17</v>
      </c>
      <c r="E2496" t="s">
        <v>25</v>
      </c>
      <c r="F2496">
        <v>4437.33</v>
      </c>
    </row>
    <row r="2497" spans="1:6" x14ac:dyDescent="0.35">
      <c r="A2497">
        <v>1217</v>
      </c>
      <c r="B2497" s="4">
        <v>46017.375085336993</v>
      </c>
      <c r="C2497" t="s">
        <v>8</v>
      </c>
      <c r="D2497" t="s">
        <v>21</v>
      </c>
      <c r="E2497" t="s">
        <v>24</v>
      </c>
      <c r="F2497">
        <v>316.08999999999997</v>
      </c>
    </row>
    <row r="2498" spans="1:6" x14ac:dyDescent="0.35">
      <c r="A2498">
        <v>1064</v>
      </c>
      <c r="B2498" s="4">
        <v>46017.375085336993</v>
      </c>
      <c r="C2498" t="s">
        <v>7</v>
      </c>
      <c r="D2498" t="s">
        <v>22</v>
      </c>
      <c r="E2498" t="s">
        <v>23</v>
      </c>
      <c r="F2498">
        <v>5425.36</v>
      </c>
    </row>
    <row r="2499" spans="1:6" x14ac:dyDescent="0.35">
      <c r="A2499">
        <v>1336</v>
      </c>
      <c r="B2499" s="4">
        <v>46017.375085336993</v>
      </c>
      <c r="C2499" t="s">
        <v>6</v>
      </c>
      <c r="D2499" t="s">
        <v>16</v>
      </c>
      <c r="E2499" t="s">
        <v>23</v>
      </c>
      <c r="F2499">
        <v>4215.34</v>
      </c>
    </row>
    <row r="2500" spans="1:6" x14ac:dyDescent="0.35">
      <c r="A2500">
        <v>1219</v>
      </c>
      <c r="B2500" s="4">
        <v>46017.375085336993</v>
      </c>
      <c r="C2500" t="s">
        <v>8</v>
      </c>
      <c r="D2500" t="s">
        <v>16</v>
      </c>
      <c r="E2500" t="s">
        <v>23</v>
      </c>
      <c r="F2500">
        <v>2352.83</v>
      </c>
    </row>
    <row r="2501" spans="1:6" x14ac:dyDescent="0.35">
      <c r="A2501">
        <v>1205</v>
      </c>
      <c r="B2501" s="4">
        <v>46017.375085336993</v>
      </c>
      <c r="C2501" t="s">
        <v>7</v>
      </c>
      <c r="D2501" t="s">
        <v>17</v>
      </c>
      <c r="E2501" t="s">
        <v>24</v>
      </c>
      <c r="F2501">
        <v>990.58</v>
      </c>
    </row>
    <row r="2502" spans="1:6" x14ac:dyDescent="0.35">
      <c r="A2502">
        <v>1394</v>
      </c>
      <c r="B2502" s="4">
        <v>46018.375085336993</v>
      </c>
      <c r="C2502" t="s">
        <v>7</v>
      </c>
      <c r="D2502" t="s">
        <v>22</v>
      </c>
      <c r="E2502" t="s">
        <v>23</v>
      </c>
      <c r="F2502">
        <v>3225.58</v>
      </c>
    </row>
    <row r="2503" spans="1:6" x14ac:dyDescent="0.35">
      <c r="A2503">
        <v>1232</v>
      </c>
      <c r="B2503" s="4">
        <v>46018.375085336993</v>
      </c>
      <c r="C2503" t="s">
        <v>14</v>
      </c>
      <c r="D2503" t="s">
        <v>18</v>
      </c>
      <c r="E2503" t="s">
        <v>24</v>
      </c>
      <c r="F2503">
        <v>1661.09</v>
      </c>
    </row>
    <row r="2504" spans="1:6" x14ac:dyDescent="0.35">
      <c r="A2504">
        <v>1347</v>
      </c>
      <c r="B2504" s="4">
        <v>46018.375085336993</v>
      </c>
      <c r="C2504" t="s">
        <v>15</v>
      </c>
      <c r="D2504" t="s">
        <v>22</v>
      </c>
      <c r="E2504" t="s">
        <v>25</v>
      </c>
      <c r="F2504">
        <v>1544.11</v>
      </c>
    </row>
    <row r="2505" spans="1:6" x14ac:dyDescent="0.35">
      <c r="A2505">
        <v>1253</v>
      </c>
      <c r="B2505" s="4">
        <v>46018.375085336993</v>
      </c>
      <c r="C2505" t="s">
        <v>12</v>
      </c>
      <c r="D2505" t="s">
        <v>16</v>
      </c>
      <c r="E2505" t="s">
        <v>23</v>
      </c>
      <c r="F2505">
        <v>7182.87</v>
      </c>
    </row>
    <row r="2506" spans="1:6" x14ac:dyDescent="0.35">
      <c r="A2506">
        <v>1292</v>
      </c>
      <c r="B2506" s="4">
        <v>46018.375085336993</v>
      </c>
      <c r="C2506" t="s">
        <v>14</v>
      </c>
      <c r="D2506" t="s">
        <v>22</v>
      </c>
      <c r="E2506" t="s">
        <v>24</v>
      </c>
      <c r="F2506">
        <v>6858.24</v>
      </c>
    </row>
    <row r="2507" spans="1:6" x14ac:dyDescent="0.35">
      <c r="A2507">
        <v>1371</v>
      </c>
      <c r="B2507" s="4">
        <v>46018.375085336993</v>
      </c>
      <c r="C2507" t="s">
        <v>10</v>
      </c>
      <c r="D2507" t="s">
        <v>21</v>
      </c>
      <c r="E2507" t="s">
        <v>23</v>
      </c>
      <c r="F2507">
        <v>864.89</v>
      </c>
    </row>
    <row r="2508" spans="1:6" x14ac:dyDescent="0.35">
      <c r="A2508">
        <v>1296</v>
      </c>
      <c r="B2508" s="4">
        <v>46018.375085336993</v>
      </c>
      <c r="C2508" t="s">
        <v>9</v>
      </c>
      <c r="D2508" t="s">
        <v>16</v>
      </c>
      <c r="E2508" t="s">
        <v>24</v>
      </c>
      <c r="F2508">
        <v>1145</v>
      </c>
    </row>
    <row r="2509" spans="1:6" x14ac:dyDescent="0.35">
      <c r="A2509">
        <v>1123</v>
      </c>
      <c r="B2509" s="4">
        <v>46019.375085336993</v>
      </c>
      <c r="C2509" t="s">
        <v>12</v>
      </c>
      <c r="D2509" t="s">
        <v>16</v>
      </c>
      <c r="E2509" t="s">
        <v>24</v>
      </c>
      <c r="F2509">
        <v>3322.74</v>
      </c>
    </row>
    <row r="2510" spans="1:6" x14ac:dyDescent="0.35">
      <c r="A2510">
        <v>1246</v>
      </c>
      <c r="B2510" s="4">
        <v>46019.375085336993</v>
      </c>
      <c r="C2510" t="s">
        <v>9</v>
      </c>
      <c r="D2510" t="s">
        <v>19</v>
      </c>
      <c r="E2510" t="s">
        <v>25</v>
      </c>
      <c r="F2510">
        <v>6610.48</v>
      </c>
    </row>
    <row r="2511" spans="1:6" x14ac:dyDescent="0.35">
      <c r="A2511">
        <v>1180</v>
      </c>
      <c r="B2511" s="4">
        <v>46019.375085336993</v>
      </c>
      <c r="C2511" t="s">
        <v>11</v>
      </c>
      <c r="D2511" t="s">
        <v>21</v>
      </c>
      <c r="E2511" t="s">
        <v>23</v>
      </c>
      <c r="F2511">
        <v>4742.63</v>
      </c>
    </row>
    <row r="2512" spans="1:6" x14ac:dyDescent="0.35">
      <c r="A2512">
        <v>1108</v>
      </c>
      <c r="B2512" s="4">
        <v>46019.375085336993</v>
      </c>
      <c r="C2512" t="s">
        <v>12</v>
      </c>
      <c r="D2512" t="s">
        <v>22</v>
      </c>
      <c r="E2512" t="s">
        <v>24</v>
      </c>
      <c r="F2512">
        <v>761.7</v>
      </c>
    </row>
    <row r="2513" spans="1:6" x14ac:dyDescent="0.35">
      <c r="A2513">
        <v>1018</v>
      </c>
      <c r="B2513" s="4">
        <v>46020.375085336993</v>
      </c>
      <c r="C2513" t="s">
        <v>9</v>
      </c>
      <c r="D2513" t="s">
        <v>21</v>
      </c>
      <c r="E2513" t="s">
        <v>24</v>
      </c>
      <c r="F2513">
        <v>6256.6</v>
      </c>
    </row>
    <row r="2514" spans="1:6" x14ac:dyDescent="0.35">
      <c r="A2514">
        <v>1166</v>
      </c>
      <c r="B2514" s="4">
        <v>46020.375085336993</v>
      </c>
      <c r="C2514" t="s">
        <v>11</v>
      </c>
      <c r="D2514" t="s">
        <v>21</v>
      </c>
      <c r="E2514" t="s">
        <v>24</v>
      </c>
      <c r="F2514">
        <v>3094.29</v>
      </c>
    </row>
    <row r="2515" spans="1:6" x14ac:dyDescent="0.35">
      <c r="A2515">
        <v>1095</v>
      </c>
      <c r="B2515" s="4">
        <v>46020.375085336993</v>
      </c>
      <c r="C2515" t="s">
        <v>12</v>
      </c>
      <c r="D2515" t="s">
        <v>18</v>
      </c>
      <c r="E2515" t="s">
        <v>23</v>
      </c>
      <c r="F2515">
        <v>2590.1</v>
      </c>
    </row>
    <row r="2516" spans="1:6" x14ac:dyDescent="0.35">
      <c r="A2516">
        <v>1053</v>
      </c>
      <c r="B2516" s="4">
        <v>46020.375085336993</v>
      </c>
      <c r="C2516" t="s">
        <v>11</v>
      </c>
      <c r="D2516" t="s">
        <v>18</v>
      </c>
      <c r="E2516" t="s">
        <v>24</v>
      </c>
      <c r="F2516">
        <v>3829.12</v>
      </c>
    </row>
    <row r="2517" spans="1:6" x14ac:dyDescent="0.35">
      <c r="A2517">
        <v>1011</v>
      </c>
      <c r="B2517" s="4">
        <v>46021.375085336993</v>
      </c>
      <c r="C2517" t="s">
        <v>14</v>
      </c>
      <c r="D2517" t="s">
        <v>16</v>
      </c>
      <c r="E2517" t="s">
        <v>23</v>
      </c>
      <c r="F2517">
        <v>7759.16</v>
      </c>
    </row>
    <row r="2518" spans="1:6" x14ac:dyDescent="0.35">
      <c r="A2518">
        <v>1137</v>
      </c>
      <c r="B2518" s="4">
        <v>46021.375085336993</v>
      </c>
      <c r="C2518" t="s">
        <v>10</v>
      </c>
      <c r="D2518" t="s">
        <v>20</v>
      </c>
      <c r="E2518" t="s">
        <v>23</v>
      </c>
      <c r="F2518">
        <v>1529.16</v>
      </c>
    </row>
    <row r="2519" spans="1:6" x14ac:dyDescent="0.35">
      <c r="A2519">
        <v>1256</v>
      </c>
      <c r="B2519" s="4">
        <v>46021.375085336993</v>
      </c>
      <c r="C2519" t="s">
        <v>7</v>
      </c>
      <c r="D2519" t="s">
        <v>19</v>
      </c>
      <c r="E2519" t="s">
        <v>25</v>
      </c>
      <c r="F2519">
        <v>5228.2299999999996</v>
      </c>
    </row>
    <row r="2520" spans="1:6" x14ac:dyDescent="0.35">
      <c r="A2520">
        <v>1105</v>
      </c>
      <c r="B2520" s="4">
        <v>46021.375085336993</v>
      </c>
      <c r="C2520" t="s">
        <v>15</v>
      </c>
      <c r="D2520" t="s">
        <v>19</v>
      </c>
      <c r="E2520" t="s">
        <v>23</v>
      </c>
      <c r="F2520">
        <v>3730.86</v>
      </c>
    </row>
    <row r="2521" spans="1:6" x14ac:dyDescent="0.35">
      <c r="A2521">
        <v>1172</v>
      </c>
      <c r="B2521" s="4">
        <v>46023.375085336993</v>
      </c>
      <c r="C2521" t="s">
        <v>8</v>
      </c>
      <c r="D2521" t="s">
        <v>21</v>
      </c>
      <c r="E2521" t="s">
        <v>25</v>
      </c>
      <c r="F2521">
        <v>3616.5</v>
      </c>
    </row>
    <row r="2522" spans="1:6" x14ac:dyDescent="0.35">
      <c r="A2522">
        <v>1188</v>
      </c>
      <c r="B2522" s="4">
        <v>46023.375085336993</v>
      </c>
      <c r="C2522" t="s">
        <v>11</v>
      </c>
      <c r="D2522" t="s">
        <v>16</v>
      </c>
      <c r="E2522" t="s">
        <v>24</v>
      </c>
      <c r="F2522">
        <v>5099.6000000000004</v>
      </c>
    </row>
    <row r="2523" spans="1:6" x14ac:dyDescent="0.35">
      <c r="A2523">
        <v>1184</v>
      </c>
      <c r="B2523" s="4">
        <v>46023.375085336993</v>
      </c>
      <c r="C2523" t="s">
        <v>6</v>
      </c>
      <c r="D2523" t="s">
        <v>20</v>
      </c>
      <c r="E2523" t="s">
        <v>23</v>
      </c>
      <c r="F2523">
        <v>5821.32</v>
      </c>
    </row>
    <row r="2524" spans="1:6" x14ac:dyDescent="0.35">
      <c r="A2524">
        <v>1220</v>
      </c>
      <c r="B2524" s="4">
        <v>46023.375085336993</v>
      </c>
      <c r="C2524" t="s">
        <v>11</v>
      </c>
      <c r="D2524" t="s">
        <v>22</v>
      </c>
      <c r="E2524" t="s">
        <v>25</v>
      </c>
      <c r="F2524">
        <v>5762.06</v>
      </c>
    </row>
    <row r="2525" spans="1:6" x14ac:dyDescent="0.35">
      <c r="A2525">
        <v>1215</v>
      </c>
      <c r="B2525" s="4">
        <v>46023.375085336993</v>
      </c>
      <c r="C2525" t="s">
        <v>12</v>
      </c>
      <c r="D2525" t="s">
        <v>18</v>
      </c>
      <c r="E2525" t="s">
        <v>25</v>
      </c>
      <c r="F2525">
        <v>1101.8</v>
      </c>
    </row>
    <row r="2526" spans="1:6" x14ac:dyDescent="0.35">
      <c r="A2526">
        <v>1379</v>
      </c>
      <c r="B2526" s="4">
        <v>46023.375085336993</v>
      </c>
      <c r="C2526" t="s">
        <v>7</v>
      </c>
      <c r="D2526" t="s">
        <v>19</v>
      </c>
      <c r="E2526" t="s">
        <v>23</v>
      </c>
      <c r="F2526">
        <v>4133.21</v>
      </c>
    </row>
    <row r="2527" spans="1:6" x14ac:dyDescent="0.35">
      <c r="A2527">
        <v>1212</v>
      </c>
      <c r="B2527" s="4">
        <v>46023.375085336993</v>
      </c>
      <c r="C2527" t="s">
        <v>11</v>
      </c>
      <c r="D2527" t="s">
        <v>22</v>
      </c>
      <c r="E2527" t="s">
        <v>24</v>
      </c>
      <c r="F2527">
        <v>1720.59</v>
      </c>
    </row>
    <row r="2528" spans="1:6" x14ac:dyDescent="0.35">
      <c r="A2528">
        <v>1235</v>
      </c>
      <c r="B2528" s="4">
        <v>46023.375085336993</v>
      </c>
      <c r="C2528" t="s">
        <v>7</v>
      </c>
      <c r="D2528" t="s">
        <v>20</v>
      </c>
      <c r="E2528" t="s">
        <v>25</v>
      </c>
      <c r="F2528">
        <v>3111.57</v>
      </c>
    </row>
    <row r="2529" spans="1:6" x14ac:dyDescent="0.35">
      <c r="A2529">
        <v>1233</v>
      </c>
      <c r="B2529" s="4">
        <v>46023.375085336993</v>
      </c>
      <c r="C2529" t="s">
        <v>6</v>
      </c>
      <c r="D2529" t="s">
        <v>19</v>
      </c>
      <c r="E2529" t="s">
        <v>24</v>
      </c>
      <c r="F2529">
        <v>6124.11</v>
      </c>
    </row>
    <row r="2530" spans="1:6" x14ac:dyDescent="0.35">
      <c r="A2530">
        <v>1326</v>
      </c>
      <c r="B2530" s="4">
        <v>46024.375085336993</v>
      </c>
      <c r="C2530" t="s">
        <v>13</v>
      </c>
      <c r="D2530" t="s">
        <v>20</v>
      </c>
      <c r="E2530" t="s">
        <v>23</v>
      </c>
      <c r="F2530">
        <v>876.28</v>
      </c>
    </row>
    <row r="2531" spans="1:6" x14ac:dyDescent="0.35">
      <c r="A2531">
        <v>1098</v>
      </c>
      <c r="B2531" s="4">
        <v>46024.375085336993</v>
      </c>
      <c r="C2531" t="s">
        <v>10</v>
      </c>
      <c r="D2531" t="s">
        <v>19</v>
      </c>
      <c r="E2531" t="s">
        <v>24</v>
      </c>
      <c r="F2531">
        <v>1338.07</v>
      </c>
    </row>
    <row r="2532" spans="1:6" x14ac:dyDescent="0.35">
      <c r="A2532">
        <v>1071</v>
      </c>
      <c r="B2532" s="4">
        <v>46024.375085336993</v>
      </c>
      <c r="C2532" t="s">
        <v>12</v>
      </c>
      <c r="D2532" t="s">
        <v>18</v>
      </c>
      <c r="E2532" t="s">
        <v>25</v>
      </c>
      <c r="F2532">
        <v>1137.03</v>
      </c>
    </row>
    <row r="2533" spans="1:6" x14ac:dyDescent="0.35">
      <c r="A2533">
        <v>1197</v>
      </c>
      <c r="B2533" s="4">
        <v>46024.375085336993</v>
      </c>
      <c r="C2533" t="s">
        <v>11</v>
      </c>
      <c r="D2533" t="s">
        <v>16</v>
      </c>
      <c r="E2533" t="s">
        <v>25</v>
      </c>
      <c r="F2533">
        <v>3176.92</v>
      </c>
    </row>
    <row r="2534" spans="1:6" x14ac:dyDescent="0.35">
      <c r="A2534">
        <v>1010</v>
      </c>
      <c r="B2534" s="4">
        <v>46024.375085336993</v>
      </c>
      <c r="C2534" t="s">
        <v>14</v>
      </c>
      <c r="D2534" t="s">
        <v>18</v>
      </c>
      <c r="E2534" t="s">
        <v>24</v>
      </c>
      <c r="F2534">
        <v>11707.69</v>
      </c>
    </row>
    <row r="2535" spans="1:6" x14ac:dyDescent="0.35">
      <c r="A2535">
        <v>1088</v>
      </c>
      <c r="B2535" s="4">
        <v>46024.375085336993</v>
      </c>
      <c r="C2535" t="s">
        <v>10</v>
      </c>
      <c r="D2535" t="s">
        <v>20</v>
      </c>
      <c r="E2535" t="s">
        <v>24</v>
      </c>
      <c r="F2535">
        <v>5485.54</v>
      </c>
    </row>
    <row r="2536" spans="1:6" x14ac:dyDescent="0.35">
      <c r="A2536">
        <v>1055</v>
      </c>
      <c r="B2536" s="4">
        <v>46024.375085336993</v>
      </c>
      <c r="C2536" t="s">
        <v>13</v>
      </c>
      <c r="D2536" t="s">
        <v>20</v>
      </c>
      <c r="E2536" t="s">
        <v>23</v>
      </c>
      <c r="F2536">
        <v>6787.13</v>
      </c>
    </row>
    <row r="2537" spans="1:6" x14ac:dyDescent="0.35">
      <c r="A2537">
        <v>1013</v>
      </c>
      <c r="B2537" s="4">
        <v>46024.375085336993</v>
      </c>
      <c r="C2537" t="s">
        <v>15</v>
      </c>
      <c r="D2537" t="s">
        <v>16</v>
      </c>
      <c r="E2537" t="s">
        <v>23</v>
      </c>
      <c r="F2537">
        <v>5413.65</v>
      </c>
    </row>
    <row r="2538" spans="1:6" x14ac:dyDescent="0.35">
      <c r="A2538">
        <v>1321</v>
      </c>
      <c r="B2538" s="4">
        <v>46025.375085336993</v>
      </c>
      <c r="C2538" t="s">
        <v>8</v>
      </c>
      <c r="D2538" t="s">
        <v>17</v>
      </c>
      <c r="E2538" t="s">
        <v>23</v>
      </c>
      <c r="F2538">
        <v>390.92</v>
      </c>
    </row>
    <row r="2539" spans="1:6" x14ac:dyDescent="0.35">
      <c r="A2539">
        <v>1099</v>
      </c>
      <c r="B2539" s="4">
        <v>46025.375085336993</v>
      </c>
      <c r="C2539" t="s">
        <v>14</v>
      </c>
      <c r="D2539" t="s">
        <v>21</v>
      </c>
      <c r="E2539" t="s">
        <v>24</v>
      </c>
      <c r="F2539">
        <v>5411.27</v>
      </c>
    </row>
    <row r="2540" spans="1:6" x14ac:dyDescent="0.35">
      <c r="A2540">
        <v>1177</v>
      </c>
      <c r="B2540" s="4">
        <v>46025.375085336993</v>
      </c>
      <c r="C2540" t="s">
        <v>7</v>
      </c>
      <c r="D2540" t="s">
        <v>22</v>
      </c>
      <c r="E2540" t="s">
        <v>24</v>
      </c>
      <c r="F2540">
        <v>1802.57</v>
      </c>
    </row>
    <row r="2541" spans="1:6" x14ac:dyDescent="0.35">
      <c r="A2541">
        <v>1154</v>
      </c>
      <c r="B2541" s="4">
        <v>46025.375085336993</v>
      </c>
      <c r="C2541" t="s">
        <v>11</v>
      </c>
      <c r="D2541" t="s">
        <v>22</v>
      </c>
      <c r="E2541" t="s">
        <v>25</v>
      </c>
      <c r="F2541">
        <v>5290.28</v>
      </c>
    </row>
    <row r="2542" spans="1:6" x14ac:dyDescent="0.35">
      <c r="A2542">
        <v>1213</v>
      </c>
      <c r="B2542" s="4">
        <v>46025.375085336993</v>
      </c>
      <c r="C2542" t="s">
        <v>10</v>
      </c>
      <c r="D2542" t="s">
        <v>17</v>
      </c>
      <c r="E2542" t="s">
        <v>25</v>
      </c>
      <c r="F2542">
        <v>1595.41</v>
      </c>
    </row>
    <row r="2543" spans="1:6" x14ac:dyDescent="0.35">
      <c r="A2543">
        <v>1193</v>
      </c>
      <c r="B2543" s="4">
        <v>46025.375085336993</v>
      </c>
      <c r="C2543" t="s">
        <v>7</v>
      </c>
      <c r="D2543" t="s">
        <v>19</v>
      </c>
      <c r="E2543" t="s">
        <v>25</v>
      </c>
      <c r="F2543">
        <v>7754.75</v>
      </c>
    </row>
    <row r="2544" spans="1:6" x14ac:dyDescent="0.35">
      <c r="A2544">
        <v>1281</v>
      </c>
      <c r="B2544" s="4">
        <v>46025.375085336993</v>
      </c>
      <c r="C2544" t="s">
        <v>8</v>
      </c>
      <c r="D2544" t="s">
        <v>22</v>
      </c>
      <c r="E2544" t="s">
        <v>23</v>
      </c>
      <c r="F2544">
        <v>5133.72</v>
      </c>
    </row>
    <row r="2545" spans="1:6" x14ac:dyDescent="0.35">
      <c r="A2545">
        <v>1232</v>
      </c>
      <c r="B2545" s="4">
        <v>46026.375085336993</v>
      </c>
      <c r="C2545" t="s">
        <v>6</v>
      </c>
      <c r="D2545" t="s">
        <v>22</v>
      </c>
      <c r="E2545" t="s">
        <v>23</v>
      </c>
      <c r="F2545">
        <v>1512.33</v>
      </c>
    </row>
    <row r="2546" spans="1:6" x14ac:dyDescent="0.35">
      <c r="A2546">
        <v>1125</v>
      </c>
      <c r="B2546" s="4">
        <v>46026.375085336993</v>
      </c>
      <c r="C2546" t="s">
        <v>8</v>
      </c>
      <c r="D2546" t="s">
        <v>19</v>
      </c>
      <c r="E2546" t="s">
        <v>23</v>
      </c>
      <c r="F2546">
        <v>11987.87</v>
      </c>
    </row>
    <row r="2547" spans="1:6" x14ac:dyDescent="0.35">
      <c r="A2547">
        <v>1315</v>
      </c>
      <c r="B2547" s="4">
        <v>46026.375085336993</v>
      </c>
      <c r="C2547" t="s">
        <v>11</v>
      </c>
      <c r="D2547" t="s">
        <v>21</v>
      </c>
      <c r="E2547" t="s">
        <v>25</v>
      </c>
      <c r="F2547">
        <v>1191.92</v>
      </c>
    </row>
    <row r="2548" spans="1:6" x14ac:dyDescent="0.35">
      <c r="A2548">
        <v>1305</v>
      </c>
      <c r="B2548" s="4">
        <v>46027.375085336993</v>
      </c>
      <c r="C2548" t="s">
        <v>8</v>
      </c>
      <c r="D2548" t="s">
        <v>21</v>
      </c>
      <c r="E2548" t="s">
        <v>23</v>
      </c>
      <c r="F2548">
        <v>3864.52</v>
      </c>
    </row>
    <row r="2549" spans="1:6" x14ac:dyDescent="0.35">
      <c r="A2549">
        <v>1335</v>
      </c>
      <c r="B2549" s="4">
        <v>46027.375085336993</v>
      </c>
      <c r="C2549" t="s">
        <v>12</v>
      </c>
      <c r="D2549" t="s">
        <v>17</v>
      </c>
      <c r="E2549" t="s">
        <v>24</v>
      </c>
      <c r="F2549">
        <v>1067.75</v>
      </c>
    </row>
    <row r="2550" spans="1:6" x14ac:dyDescent="0.35">
      <c r="A2550">
        <v>1324</v>
      </c>
      <c r="B2550" s="4">
        <v>46027.375085336993</v>
      </c>
      <c r="C2550" t="s">
        <v>15</v>
      </c>
      <c r="D2550" t="s">
        <v>21</v>
      </c>
      <c r="E2550" t="s">
        <v>23</v>
      </c>
      <c r="F2550">
        <v>177.27</v>
      </c>
    </row>
    <row r="2551" spans="1:6" x14ac:dyDescent="0.35">
      <c r="A2551">
        <v>1002</v>
      </c>
      <c r="B2551" s="4">
        <v>46027.375085336993</v>
      </c>
      <c r="C2551" t="s">
        <v>8</v>
      </c>
      <c r="D2551" t="s">
        <v>19</v>
      </c>
      <c r="E2551" t="s">
        <v>25</v>
      </c>
      <c r="F2551">
        <v>7277.15</v>
      </c>
    </row>
    <row r="2552" spans="1:6" x14ac:dyDescent="0.35">
      <c r="A2552">
        <v>1115</v>
      </c>
      <c r="B2552" s="4">
        <v>46027.375085336993</v>
      </c>
      <c r="C2552" t="s">
        <v>14</v>
      </c>
      <c r="D2552" t="s">
        <v>21</v>
      </c>
      <c r="E2552" t="s">
        <v>23</v>
      </c>
      <c r="F2552">
        <v>8002.22</v>
      </c>
    </row>
    <row r="2553" spans="1:6" x14ac:dyDescent="0.35">
      <c r="A2553">
        <v>1319</v>
      </c>
      <c r="B2553" s="4">
        <v>46028.375085336993</v>
      </c>
      <c r="C2553" t="s">
        <v>12</v>
      </c>
      <c r="D2553" t="s">
        <v>17</v>
      </c>
      <c r="E2553" t="s">
        <v>25</v>
      </c>
      <c r="F2553">
        <v>3772.72</v>
      </c>
    </row>
    <row r="2554" spans="1:6" x14ac:dyDescent="0.35">
      <c r="A2554">
        <v>1151</v>
      </c>
      <c r="B2554" s="4">
        <v>46029.375085336993</v>
      </c>
      <c r="C2554" t="s">
        <v>7</v>
      </c>
      <c r="D2554" t="s">
        <v>20</v>
      </c>
      <c r="E2554" t="s">
        <v>23</v>
      </c>
      <c r="F2554">
        <v>3069.61</v>
      </c>
    </row>
    <row r="2555" spans="1:6" x14ac:dyDescent="0.35">
      <c r="A2555">
        <v>1112</v>
      </c>
      <c r="B2555" s="4">
        <v>46029.375085336993</v>
      </c>
      <c r="C2555" t="s">
        <v>10</v>
      </c>
      <c r="D2555" t="s">
        <v>17</v>
      </c>
      <c r="E2555" t="s">
        <v>24</v>
      </c>
      <c r="F2555">
        <v>1463.82</v>
      </c>
    </row>
    <row r="2556" spans="1:6" x14ac:dyDescent="0.35">
      <c r="A2556">
        <v>1355</v>
      </c>
      <c r="B2556" s="4">
        <v>46029.375085336993</v>
      </c>
      <c r="C2556" t="s">
        <v>12</v>
      </c>
      <c r="D2556" t="s">
        <v>19</v>
      </c>
      <c r="E2556" t="s">
        <v>23</v>
      </c>
      <c r="F2556">
        <v>11165.02</v>
      </c>
    </row>
    <row r="2557" spans="1:6" x14ac:dyDescent="0.35">
      <c r="A2557">
        <v>1042</v>
      </c>
      <c r="B2557" s="4">
        <v>46029.375085336993</v>
      </c>
      <c r="C2557" t="s">
        <v>8</v>
      </c>
      <c r="D2557" t="s">
        <v>19</v>
      </c>
      <c r="E2557" t="s">
        <v>25</v>
      </c>
      <c r="F2557">
        <v>6064.3</v>
      </c>
    </row>
    <row r="2558" spans="1:6" x14ac:dyDescent="0.35">
      <c r="A2558">
        <v>1241</v>
      </c>
      <c r="B2558" s="4">
        <v>46030.375085336993</v>
      </c>
      <c r="C2558" t="s">
        <v>12</v>
      </c>
      <c r="D2558" t="s">
        <v>19</v>
      </c>
      <c r="E2558" t="s">
        <v>24</v>
      </c>
      <c r="F2558">
        <v>7042.55</v>
      </c>
    </row>
    <row r="2559" spans="1:6" x14ac:dyDescent="0.35">
      <c r="A2559">
        <v>1215</v>
      </c>
      <c r="B2559" s="4">
        <v>46030.375085336993</v>
      </c>
      <c r="C2559" t="s">
        <v>6</v>
      </c>
      <c r="D2559" t="s">
        <v>22</v>
      </c>
      <c r="E2559" t="s">
        <v>23</v>
      </c>
      <c r="F2559">
        <v>5974.61</v>
      </c>
    </row>
    <row r="2560" spans="1:6" x14ac:dyDescent="0.35">
      <c r="A2560">
        <v>1062</v>
      </c>
      <c r="B2560" s="4">
        <v>46030.375085336993</v>
      </c>
      <c r="C2560" t="s">
        <v>12</v>
      </c>
      <c r="D2560" t="s">
        <v>20</v>
      </c>
      <c r="E2560" t="s">
        <v>23</v>
      </c>
      <c r="F2560">
        <v>11585.58</v>
      </c>
    </row>
    <row r="2561" spans="1:6" x14ac:dyDescent="0.35">
      <c r="A2561">
        <v>1238</v>
      </c>
      <c r="B2561" s="4">
        <v>46030.375085336993</v>
      </c>
      <c r="C2561" t="s">
        <v>12</v>
      </c>
      <c r="D2561" t="s">
        <v>18</v>
      </c>
      <c r="E2561" t="s">
        <v>24</v>
      </c>
      <c r="F2561">
        <v>14602.7</v>
      </c>
    </row>
    <row r="2562" spans="1:6" x14ac:dyDescent="0.35">
      <c r="A2562">
        <v>1035</v>
      </c>
      <c r="B2562" s="4">
        <v>46031.375085336993</v>
      </c>
      <c r="C2562" t="s">
        <v>6</v>
      </c>
      <c r="D2562" t="s">
        <v>22</v>
      </c>
      <c r="E2562" t="s">
        <v>24</v>
      </c>
      <c r="F2562">
        <v>4647.95</v>
      </c>
    </row>
    <row r="2563" spans="1:6" x14ac:dyDescent="0.35">
      <c r="A2563">
        <v>1183</v>
      </c>
      <c r="B2563" s="4">
        <v>46031.375085336993</v>
      </c>
      <c r="C2563" t="s">
        <v>14</v>
      </c>
      <c r="D2563" t="s">
        <v>19</v>
      </c>
      <c r="E2563" t="s">
        <v>25</v>
      </c>
      <c r="F2563">
        <v>1613.74</v>
      </c>
    </row>
    <row r="2564" spans="1:6" x14ac:dyDescent="0.35">
      <c r="A2564">
        <v>1163</v>
      </c>
      <c r="B2564" s="4">
        <v>46031.375085336993</v>
      </c>
      <c r="C2564" t="s">
        <v>10</v>
      </c>
      <c r="D2564" t="s">
        <v>19</v>
      </c>
      <c r="E2564" t="s">
        <v>25</v>
      </c>
      <c r="F2564">
        <v>6967.43</v>
      </c>
    </row>
    <row r="2565" spans="1:6" x14ac:dyDescent="0.35">
      <c r="A2565">
        <v>1119</v>
      </c>
      <c r="B2565" s="4">
        <v>46031.375085336993</v>
      </c>
      <c r="C2565" t="s">
        <v>8</v>
      </c>
      <c r="D2565" t="s">
        <v>19</v>
      </c>
      <c r="E2565" t="s">
        <v>24</v>
      </c>
      <c r="F2565">
        <v>2108.36</v>
      </c>
    </row>
    <row r="2566" spans="1:6" x14ac:dyDescent="0.35">
      <c r="A2566">
        <v>1252</v>
      </c>
      <c r="B2566" s="4">
        <v>46033.375085336993</v>
      </c>
      <c r="C2566" t="s">
        <v>12</v>
      </c>
      <c r="D2566" t="s">
        <v>17</v>
      </c>
      <c r="E2566" t="s">
        <v>25</v>
      </c>
      <c r="F2566">
        <v>1661.45</v>
      </c>
    </row>
    <row r="2567" spans="1:6" x14ac:dyDescent="0.35">
      <c r="A2567">
        <v>1151</v>
      </c>
      <c r="B2567" s="4">
        <v>46033.375085336993</v>
      </c>
      <c r="C2567" t="s">
        <v>13</v>
      </c>
      <c r="D2567" t="s">
        <v>19</v>
      </c>
      <c r="E2567" t="s">
        <v>24</v>
      </c>
      <c r="F2567">
        <v>2742.42</v>
      </c>
    </row>
    <row r="2568" spans="1:6" x14ac:dyDescent="0.35">
      <c r="A2568">
        <v>1317</v>
      </c>
      <c r="B2568" s="4">
        <v>46033.375085336993</v>
      </c>
      <c r="C2568" t="s">
        <v>12</v>
      </c>
      <c r="D2568" t="s">
        <v>20</v>
      </c>
      <c r="E2568" t="s">
        <v>23</v>
      </c>
      <c r="F2568">
        <v>386.72</v>
      </c>
    </row>
    <row r="2569" spans="1:6" x14ac:dyDescent="0.35">
      <c r="A2569">
        <v>1058</v>
      </c>
      <c r="B2569" s="4">
        <v>46033.375085336993</v>
      </c>
      <c r="C2569" t="s">
        <v>15</v>
      </c>
      <c r="D2569" t="s">
        <v>20</v>
      </c>
      <c r="E2569" t="s">
        <v>25</v>
      </c>
      <c r="F2569">
        <v>3424.07</v>
      </c>
    </row>
    <row r="2570" spans="1:6" x14ac:dyDescent="0.35">
      <c r="A2570">
        <v>1162</v>
      </c>
      <c r="B2570" s="4">
        <v>46033.375085336993</v>
      </c>
      <c r="C2570" t="s">
        <v>6</v>
      </c>
      <c r="D2570" t="s">
        <v>16</v>
      </c>
      <c r="E2570" t="s">
        <v>23</v>
      </c>
      <c r="F2570">
        <v>16867.990000000002</v>
      </c>
    </row>
    <row r="2571" spans="1:6" x14ac:dyDescent="0.35">
      <c r="A2571">
        <v>1059</v>
      </c>
      <c r="B2571" s="4">
        <v>46033.375085336993</v>
      </c>
      <c r="C2571" t="s">
        <v>15</v>
      </c>
      <c r="D2571" t="s">
        <v>21</v>
      </c>
      <c r="E2571" t="s">
        <v>23</v>
      </c>
      <c r="F2571">
        <v>5216.28</v>
      </c>
    </row>
    <row r="2572" spans="1:6" x14ac:dyDescent="0.35">
      <c r="A2572">
        <v>1315</v>
      </c>
      <c r="B2572" s="4">
        <v>46033.375085336993</v>
      </c>
      <c r="C2572" t="s">
        <v>6</v>
      </c>
      <c r="D2572" t="s">
        <v>22</v>
      </c>
      <c r="E2572" t="s">
        <v>23</v>
      </c>
      <c r="F2572">
        <v>6275.59</v>
      </c>
    </row>
    <row r="2573" spans="1:6" x14ac:dyDescent="0.35">
      <c r="A2573">
        <v>1136</v>
      </c>
      <c r="B2573" s="4">
        <v>46033.375085336993</v>
      </c>
      <c r="C2573" t="s">
        <v>13</v>
      </c>
      <c r="D2573" t="s">
        <v>17</v>
      </c>
      <c r="E2573" t="s">
        <v>25</v>
      </c>
      <c r="F2573">
        <v>1317.49</v>
      </c>
    </row>
    <row r="2574" spans="1:6" x14ac:dyDescent="0.35">
      <c r="A2574">
        <v>1379</v>
      </c>
      <c r="B2574" s="4">
        <v>46033.375085336993</v>
      </c>
      <c r="C2574" t="s">
        <v>11</v>
      </c>
      <c r="D2574" t="s">
        <v>21</v>
      </c>
      <c r="E2574" t="s">
        <v>23</v>
      </c>
      <c r="F2574">
        <v>7621.72</v>
      </c>
    </row>
    <row r="2575" spans="1:6" x14ac:dyDescent="0.35">
      <c r="A2575">
        <v>1312</v>
      </c>
      <c r="B2575" s="4">
        <v>46034.375085336993</v>
      </c>
      <c r="C2575" t="s">
        <v>6</v>
      </c>
      <c r="D2575" t="s">
        <v>17</v>
      </c>
      <c r="E2575" t="s">
        <v>25</v>
      </c>
      <c r="F2575">
        <v>550.99</v>
      </c>
    </row>
    <row r="2576" spans="1:6" x14ac:dyDescent="0.35">
      <c r="A2576">
        <v>1364</v>
      </c>
      <c r="B2576" s="4">
        <v>46034.375085336993</v>
      </c>
      <c r="C2576" t="s">
        <v>11</v>
      </c>
      <c r="D2576" t="s">
        <v>22</v>
      </c>
      <c r="E2576" t="s">
        <v>24</v>
      </c>
      <c r="F2576">
        <v>2332.65</v>
      </c>
    </row>
    <row r="2577" spans="1:6" x14ac:dyDescent="0.35">
      <c r="A2577">
        <v>1397</v>
      </c>
      <c r="B2577" s="4">
        <v>46034.375085336993</v>
      </c>
      <c r="C2577" t="s">
        <v>14</v>
      </c>
      <c r="D2577" t="s">
        <v>19</v>
      </c>
      <c r="E2577" t="s">
        <v>23</v>
      </c>
      <c r="F2577">
        <v>400.84</v>
      </c>
    </row>
    <row r="2578" spans="1:6" x14ac:dyDescent="0.35">
      <c r="A2578">
        <v>1194</v>
      </c>
      <c r="B2578" s="4">
        <v>46034.375085336993</v>
      </c>
      <c r="C2578" t="s">
        <v>6</v>
      </c>
      <c r="D2578" t="s">
        <v>20</v>
      </c>
      <c r="E2578" t="s">
        <v>24</v>
      </c>
      <c r="F2578">
        <v>6889.07</v>
      </c>
    </row>
    <row r="2579" spans="1:6" x14ac:dyDescent="0.35">
      <c r="A2579">
        <v>1195</v>
      </c>
      <c r="B2579" s="4">
        <v>46034.375085336993</v>
      </c>
      <c r="C2579" t="s">
        <v>10</v>
      </c>
      <c r="D2579" t="s">
        <v>17</v>
      </c>
      <c r="E2579" t="s">
        <v>24</v>
      </c>
      <c r="F2579">
        <v>1511.42</v>
      </c>
    </row>
    <row r="2580" spans="1:6" x14ac:dyDescent="0.35">
      <c r="A2580">
        <v>1169</v>
      </c>
      <c r="B2580" s="4">
        <v>46035.375085336993</v>
      </c>
      <c r="C2580" t="s">
        <v>15</v>
      </c>
      <c r="D2580" t="s">
        <v>22</v>
      </c>
      <c r="E2580" t="s">
        <v>24</v>
      </c>
      <c r="F2580">
        <v>2777.24</v>
      </c>
    </row>
    <row r="2581" spans="1:6" x14ac:dyDescent="0.35">
      <c r="A2581">
        <v>1345</v>
      </c>
      <c r="B2581" s="4">
        <v>46035.375085336993</v>
      </c>
      <c r="C2581" t="s">
        <v>12</v>
      </c>
      <c r="D2581" t="s">
        <v>19</v>
      </c>
      <c r="E2581" t="s">
        <v>24</v>
      </c>
      <c r="F2581">
        <v>3234.37</v>
      </c>
    </row>
    <row r="2582" spans="1:6" x14ac:dyDescent="0.35">
      <c r="A2582">
        <v>1234</v>
      </c>
      <c r="B2582" s="4">
        <v>46035.375085336993</v>
      </c>
      <c r="C2582" t="s">
        <v>12</v>
      </c>
      <c r="D2582" t="s">
        <v>16</v>
      </c>
      <c r="E2582" t="s">
        <v>23</v>
      </c>
      <c r="F2582">
        <v>7349.42</v>
      </c>
    </row>
    <row r="2583" spans="1:6" x14ac:dyDescent="0.35">
      <c r="A2583">
        <v>1014</v>
      </c>
      <c r="B2583" s="4">
        <v>46035.375085336993</v>
      </c>
      <c r="C2583" t="s">
        <v>9</v>
      </c>
      <c r="D2583" t="s">
        <v>20</v>
      </c>
      <c r="E2583" t="s">
        <v>24</v>
      </c>
      <c r="F2583">
        <v>2597.5500000000002</v>
      </c>
    </row>
    <row r="2584" spans="1:6" x14ac:dyDescent="0.35">
      <c r="A2584">
        <v>1114</v>
      </c>
      <c r="B2584" s="4">
        <v>46035.375085336993</v>
      </c>
      <c r="C2584" t="s">
        <v>11</v>
      </c>
      <c r="D2584" t="s">
        <v>18</v>
      </c>
      <c r="E2584" t="s">
        <v>23</v>
      </c>
      <c r="F2584">
        <v>5380.22</v>
      </c>
    </row>
    <row r="2585" spans="1:6" x14ac:dyDescent="0.35">
      <c r="A2585">
        <v>1132</v>
      </c>
      <c r="B2585" s="4">
        <v>46035.375085336993</v>
      </c>
      <c r="C2585" t="s">
        <v>6</v>
      </c>
      <c r="D2585" t="s">
        <v>16</v>
      </c>
      <c r="E2585" t="s">
        <v>23</v>
      </c>
      <c r="F2585">
        <v>2461.1</v>
      </c>
    </row>
    <row r="2586" spans="1:6" x14ac:dyDescent="0.35">
      <c r="A2586">
        <v>1094</v>
      </c>
      <c r="B2586" s="4">
        <v>46036.375085336993</v>
      </c>
      <c r="C2586" t="s">
        <v>14</v>
      </c>
      <c r="D2586" t="s">
        <v>20</v>
      </c>
      <c r="E2586" t="s">
        <v>23</v>
      </c>
      <c r="F2586">
        <v>4299.59</v>
      </c>
    </row>
    <row r="2587" spans="1:6" x14ac:dyDescent="0.35">
      <c r="A2587">
        <v>1222</v>
      </c>
      <c r="B2587" s="4">
        <v>46036.375085336993</v>
      </c>
      <c r="C2587" t="s">
        <v>12</v>
      </c>
      <c r="D2587" t="s">
        <v>16</v>
      </c>
      <c r="E2587" t="s">
        <v>23</v>
      </c>
      <c r="F2587">
        <v>2773.47</v>
      </c>
    </row>
    <row r="2588" spans="1:6" x14ac:dyDescent="0.35">
      <c r="A2588">
        <v>1276</v>
      </c>
      <c r="B2588" s="4">
        <v>46036.375085336993</v>
      </c>
      <c r="C2588" t="s">
        <v>12</v>
      </c>
      <c r="D2588" t="s">
        <v>22</v>
      </c>
      <c r="E2588" t="s">
        <v>25</v>
      </c>
      <c r="F2588">
        <v>1866.78</v>
      </c>
    </row>
    <row r="2589" spans="1:6" x14ac:dyDescent="0.35">
      <c r="A2589">
        <v>1300</v>
      </c>
      <c r="B2589" s="4">
        <v>46036.375085336993</v>
      </c>
      <c r="C2589" t="s">
        <v>6</v>
      </c>
      <c r="D2589" t="s">
        <v>16</v>
      </c>
      <c r="E2589" t="s">
        <v>24</v>
      </c>
      <c r="F2589">
        <v>5149.17</v>
      </c>
    </row>
    <row r="2590" spans="1:6" x14ac:dyDescent="0.35">
      <c r="A2590">
        <v>1013</v>
      </c>
      <c r="B2590" s="4">
        <v>46037.375085336993</v>
      </c>
      <c r="C2590" t="s">
        <v>10</v>
      </c>
      <c r="D2590" t="s">
        <v>16</v>
      </c>
      <c r="E2590" t="s">
        <v>25</v>
      </c>
      <c r="F2590">
        <v>2245.54</v>
      </c>
    </row>
    <row r="2591" spans="1:6" x14ac:dyDescent="0.35">
      <c r="A2591">
        <v>1356</v>
      </c>
      <c r="B2591" s="4">
        <v>46037.375085336993</v>
      </c>
      <c r="C2591" t="s">
        <v>7</v>
      </c>
      <c r="D2591" t="s">
        <v>21</v>
      </c>
      <c r="E2591" t="s">
        <v>23</v>
      </c>
      <c r="F2591">
        <v>1324.53</v>
      </c>
    </row>
    <row r="2592" spans="1:6" x14ac:dyDescent="0.35">
      <c r="A2592">
        <v>1315</v>
      </c>
      <c r="B2592" s="4">
        <v>46037.375085336993</v>
      </c>
      <c r="C2592" t="s">
        <v>9</v>
      </c>
      <c r="D2592" t="s">
        <v>21</v>
      </c>
      <c r="E2592" t="s">
        <v>24</v>
      </c>
      <c r="F2592">
        <v>1256.26</v>
      </c>
    </row>
    <row r="2593" spans="1:6" x14ac:dyDescent="0.35">
      <c r="A2593">
        <v>1216</v>
      </c>
      <c r="B2593" s="4">
        <v>46037.375085336993</v>
      </c>
      <c r="C2593" t="s">
        <v>13</v>
      </c>
      <c r="D2593" t="s">
        <v>22</v>
      </c>
      <c r="E2593" t="s">
        <v>25</v>
      </c>
      <c r="F2593">
        <v>1576.33</v>
      </c>
    </row>
    <row r="2594" spans="1:6" x14ac:dyDescent="0.35">
      <c r="A2594">
        <v>1105</v>
      </c>
      <c r="B2594" s="4">
        <v>46037.375085336993</v>
      </c>
      <c r="C2594" t="s">
        <v>6</v>
      </c>
      <c r="D2594" t="s">
        <v>18</v>
      </c>
      <c r="E2594" t="s">
        <v>23</v>
      </c>
      <c r="F2594">
        <v>2121.1999999999998</v>
      </c>
    </row>
    <row r="2595" spans="1:6" x14ac:dyDescent="0.35">
      <c r="A2595">
        <v>1322</v>
      </c>
      <c r="B2595" s="4">
        <v>46038.375085336993</v>
      </c>
      <c r="C2595" t="s">
        <v>7</v>
      </c>
      <c r="D2595" t="s">
        <v>21</v>
      </c>
      <c r="E2595" t="s">
        <v>25</v>
      </c>
      <c r="F2595">
        <v>5422.88</v>
      </c>
    </row>
    <row r="2596" spans="1:6" x14ac:dyDescent="0.35">
      <c r="A2596">
        <v>1213</v>
      </c>
      <c r="B2596" s="4">
        <v>46038.375085336993</v>
      </c>
      <c r="C2596" t="s">
        <v>6</v>
      </c>
      <c r="D2596" t="s">
        <v>20</v>
      </c>
      <c r="E2596" t="s">
        <v>23</v>
      </c>
      <c r="F2596">
        <v>2150.25</v>
      </c>
    </row>
    <row r="2597" spans="1:6" x14ac:dyDescent="0.35">
      <c r="A2597">
        <v>1289</v>
      </c>
      <c r="B2597" s="4">
        <v>46039.375085336993</v>
      </c>
      <c r="C2597" t="s">
        <v>7</v>
      </c>
      <c r="D2597" t="s">
        <v>17</v>
      </c>
      <c r="E2597" t="s">
        <v>24</v>
      </c>
      <c r="F2597">
        <v>3294.53</v>
      </c>
    </row>
    <row r="2598" spans="1:6" x14ac:dyDescent="0.35">
      <c r="A2598">
        <v>1368</v>
      </c>
      <c r="B2598" s="4">
        <v>46039.375085336993</v>
      </c>
      <c r="C2598" t="s">
        <v>7</v>
      </c>
      <c r="D2598" t="s">
        <v>18</v>
      </c>
      <c r="E2598" t="s">
        <v>25</v>
      </c>
      <c r="F2598">
        <v>2387.63</v>
      </c>
    </row>
    <row r="2599" spans="1:6" x14ac:dyDescent="0.35">
      <c r="A2599">
        <v>1325</v>
      </c>
      <c r="B2599" s="4">
        <v>46039.375085336993</v>
      </c>
      <c r="C2599" t="s">
        <v>15</v>
      </c>
      <c r="D2599" t="s">
        <v>21</v>
      </c>
      <c r="E2599" t="s">
        <v>23</v>
      </c>
      <c r="F2599">
        <v>3173.67</v>
      </c>
    </row>
    <row r="2600" spans="1:6" x14ac:dyDescent="0.35">
      <c r="A2600">
        <v>1221</v>
      </c>
      <c r="B2600" s="4">
        <v>46040.375085336993</v>
      </c>
      <c r="C2600" t="s">
        <v>12</v>
      </c>
      <c r="D2600" t="s">
        <v>21</v>
      </c>
      <c r="E2600" t="s">
        <v>24</v>
      </c>
      <c r="F2600">
        <v>5830.96</v>
      </c>
    </row>
    <row r="2601" spans="1:6" x14ac:dyDescent="0.35">
      <c r="A2601">
        <v>1205</v>
      </c>
      <c r="B2601" s="4">
        <v>46040.375085336993</v>
      </c>
      <c r="C2601" t="s">
        <v>14</v>
      </c>
      <c r="D2601" t="s">
        <v>20</v>
      </c>
      <c r="E2601" t="s">
        <v>23</v>
      </c>
      <c r="F2601">
        <v>3284.48</v>
      </c>
    </row>
    <row r="2602" spans="1:6" x14ac:dyDescent="0.35">
      <c r="A2602">
        <v>1053</v>
      </c>
      <c r="B2602" s="4">
        <v>46041.375085336993</v>
      </c>
      <c r="C2602" t="s">
        <v>11</v>
      </c>
      <c r="D2602" t="s">
        <v>17</v>
      </c>
      <c r="E2602" t="s">
        <v>25</v>
      </c>
      <c r="F2602">
        <v>5528.63</v>
      </c>
    </row>
    <row r="2603" spans="1:6" x14ac:dyDescent="0.35">
      <c r="A2603">
        <v>1015</v>
      </c>
      <c r="B2603" s="4">
        <v>46041.375085336993</v>
      </c>
      <c r="C2603" t="s">
        <v>12</v>
      </c>
      <c r="D2603" t="s">
        <v>20</v>
      </c>
      <c r="E2603" t="s">
        <v>24</v>
      </c>
      <c r="F2603">
        <v>2804.87</v>
      </c>
    </row>
    <row r="2604" spans="1:6" x14ac:dyDescent="0.35">
      <c r="A2604">
        <v>1159</v>
      </c>
      <c r="B2604" s="4">
        <v>46042.375085336993</v>
      </c>
      <c r="C2604" t="s">
        <v>15</v>
      </c>
      <c r="D2604" t="s">
        <v>18</v>
      </c>
      <c r="E2604" t="s">
        <v>24</v>
      </c>
      <c r="F2604">
        <v>1136.57</v>
      </c>
    </row>
    <row r="2605" spans="1:6" x14ac:dyDescent="0.35">
      <c r="A2605">
        <v>1354</v>
      </c>
      <c r="B2605" s="4">
        <v>46042.375085336993</v>
      </c>
      <c r="C2605" t="s">
        <v>13</v>
      </c>
      <c r="D2605" t="s">
        <v>16</v>
      </c>
      <c r="E2605" t="s">
        <v>24</v>
      </c>
      <c r="F2605">
        <v>4509.33</v>
      </c>
    </row>
    <row r="2606" spans="1:6" x14ac:dyDescent="0.35">
      <c r="A2606">
        <v>1000</v>
      </c>
      <c r="B2606" s="4">
        <v>46042.375085336993</v>
      </c>
      <c r="C2606" t="s">
        <v>13</v>
      </c>
      <c r="D2606" t="s">
        <v>22</v>
      </c>
      <c r="E2606" t="s">
        <v>24</v>
      </c>
      <c r="F2606">
        <v>2539.23</v>
      </c>
    </row>
    <row r="2607" spans="1:6" x14ac:dyDescent="0.35">
      <c r="A2607">
        <v>1169</v>
      </c>
      <c r="B2607" s="4">
        <v>46042.375085336993</v>
      </c>
      <c r="C2607" t="s">
        <v>7</v>
      </c>
      <c r="D2607" t="s">
        <v>16</v>
      </c>
      <c r="E2607" t="s">
        <v>24</v>
      </c>
      <c r="F2607">
        <v>10943.67</v>
      </c>
    </row>
    <row r="2608" spans="1:6" x14ac:dyDescent="0.35">
      <c r="A2608">
        <v>1105</v>
      </c>
      <c r="B2608" s="4">
        <v>46043.375085336993</v>
      </c>
      <c r="C2608" t="s">
        <v>9</v>
      </c>
      <c r="D2608" t="s">
        <v>16</v>
      </c>
      <c r="E2608" t="s">
        <v>24</v>
      </c>
      <c r="F2608">
        <v>3807.3</v>
      </c>
    </row>
    <row r="2609" spans="1:6" x14ac:dyDescent="0.35">
      <c r="A2609">
        <v>1211</v>
      </c>
      <c r="B2609" s="4">
        <v>46043.375085336993</v>
      </c>
      <c r="C2609" t="s">
        <v>10</v>
      </c>
      <c r="D2609" t="s">
        <v>21</v>
      </c>
      <c r="E2609" t="s">
        <v>23</v>
      </c>
      <c r="F2609">
        <v>1766.01</v>
      </c>
    </row>
    <row r="2610" spans="1:6" x14ac:dyDescent="0.35">
      <c r="A2610">
        <v>1230</v>
      </c>
      <c r="B2610" s="4">
        <v>46043.375085336993</v>
      </c>
      <c r="C2610" t="s">
        <v>15</v>
      </c>
      <c r="D2610" t="s">
        <v>19</v>
      </c>
      <c r="E2610" t="s">
        <v>23</v>
      </c>
      <c r="F2610">
        <v>1548.8</v>
      </c>
    </row>
    <row r="2611" spans="1:6" x14ac:dyDescent="0.35">
      <c r="A2611">
        <v>1192</v>
      </c>
      <c r="B2611" s="4">
        <v>46043.375085336993</v>
      </c>
      <c r="C2611" t="s">
        <v>13</v>
      </c>
      <c r="D2611" t="s">
        <v>19</v>
      </c>
      <c r="E2611" t="s">
        <v>23</v>
      </c>
      <c r="F2611">
        <v>709.74</v>
      </c>
    </row>
    <row r="2612" spans="1:6" x14ac:dyDescent="0.35">
      <c r="A2612">
        <v>1187</v>
      </c>
      <c r="B2612" s="4">
        <v>46043.375085336993</v>
      </c>
      <c r="C2612" t="s">
        <v>12</v>
      </c>
      <c r="D2612" t="s">
        <v>17</v>
      </c>
      <c r="E2612" t="s">
        <v>25</v>
      </c>
      <c r="F2612">
        <v>10979.83</v>
      </c>
    </row>
    <row r="2613" spans="1:6" x14ac:dyDescent="0.35">
      <c r="A2613">
        <v>1114</v>
      </c>
      <c r="B2613" s="4">
        <v>46043.375085336993</v>
      </c>
      <c r="C2613" t="s">
        <v>9</v>
      </c>
      <c r="D2613" t="s">
        <v>17</v>
      </c>
      <c r="E2613" t="s">
        <v>24</v>
      </c>
      <c r="F2613">
        <v>4309.24</v>
      </c>
    </row>
    <row r="2614" spans="1:6" x14ac:dyDescent="0.35">
      <c r="A2614">
        <v>1166</v>
      </c>
      <c r="B2614" s="4">
        <v>46043.375085336993</v>
      </c>
      <c r="C2614" t="s">
        <v>7</v>
      </c>
      <c r="D2614" t="s">
        <v>18</v>
      </c>
      <c r="E2614" t="s">
        <v>25</v>
      </c>
      <c r="F2614">
        <v>7725.25</v>
      </c>
    </row>
    <row r="2615" spans="1:6" x14ac:dyDescent="0.35">
      <c r="A2615">
        <v>1297</v>
      </c>
      <c r="B2615" s="4">
        <v>46044.375085336993</v>
      </c>
      <c r="C2615" t="s">
        <v>7</v>
      </c>
      <c r="D2615" t="s">
        <v>21</v>
      </c>
      <c r="E2615" t="s">
        <v>25</v>
      </c>
      <c r="F2615">
        <v>3249.28</v>
      </c>
    </row>
    <row r="2616" spans="1:6" x14ac:dyDescent="0.35">
      <c r="A2616">
        <v>1169</v>
      </c>
      <c r="B2616" s="4">
        <v>46044.375085336993</v>
      </c>
      <c r="C2616" t="s">
        <v>8</v>
      </c>
      <c r="D2616" t="s">
        <v>18</v>
      </c>
      <c r="E2616" t="s">
        <v>25</v>
      </c>
      <c r="F2616">
        <v>3655.24</v>
      </c>
    </row>
    <row r="2617" spans="1:6" x14ac:dyDescent="0.35">
      <c r="A2617">
        <v>1162</v>
      </c>
      <c r="B2617" s="4">
        <v>46044.375085336993</v>
      </c>
      <c r="C2617" t="s">
        <v>10</v>
      </c>
      <c r="D2617" t="s">
        <v>17</v>
      </c>
      <c r="E2617" t="s">
        <v>25</v>
      </c>
      <c r="F2617">
        <v>2895.9</v>
      </c>
    </row>
    <row r="2618" spans="1:6" x14ac:dyDescent="0.35">
      <c r="A2618">
        <v>1365</v>
      </c>
      <c r="B2618" s="4">
        <v>46044.375085336993</v>
      </c>
      <c r="C2618" t="s">
        <v>12</v>
      </c>
      <c r="D2618" t="s">
        <v>19</v>
      </c>
      <c r="E2618" t="s">
        <v>23</v>
      </c>
      <c r="F2618">
        <v>1653.09</v>
      </c>
    </row>
    <row r="2619" spans="1:6" x14ac:dyDescent="0.35">
      <c r="A2619">
        <v>1100</v>
      </c>
      <c r="B2619" s="4">
        <v>46044.375085336993</v>
      </c>
      <c r="C2619" t="s">
        <v>12</v>
      </c>
      <c r="D2619" t="s">
        <v>19</v>
      </c>
      <c r="E2619" t="s">
        <v>24</v>
      </c>
      <c r="F2619">
        <v>5107.7700000000004</v>
      </c>
    </row>
    <row r="2620" spans="1:6" x14ac:dyDescent="0.35">
      <c r="A2620">
        <v>1163</v>
      </c>
      <c r="B2620" s="4">
        <v>46044.375085336993</v>
      </c>
      <c r="C2620" t="s">
        <v>15</v>
      </c>
      <c r="D2620" t="s">
        <v>18</v>
      </c>
      <c r="E2620" t="s">
        <v>23</v>
      </c>
      <c r="F2620">
        <v>3486.38</v>
      </c>
    </row>
    <row r="2621" spans="1:6" x14ac:dyDescent="0.35">
      <c r="A2621">
        <v>1038</v>
      </c>
      <c r="B2621" s="4">
        <v>46045.375085336993</v>
      </c>
      <c r="C2621" t="s">
        <v>13</v>
      </c>
      <c r="D2621" t="s">
        <v>20</v>
      </c>
      <c r="E2621" t="s">
        <v>23</v>
      </c>
      <c r="F2621">
        <v>3568.22</v>
      </c>
    </row>
    <row r="2622" spans="1:6" x14ac:dyDescent="0.35">
      <c r="A2622">
        <v>1057</v>
      </c>
      <c r="B2622" s="4">
        <v>46045.375085336993</v>
      </c>
      <c r="C2622" t="s">
        <v>15</v>
      </c>
      <c r="D2622" t="s">
        <v>20</v>
      </c>
      <c r="E2622" t="s">
        <v>23</v>
      </c>
      <c r="F2622">
        <v>1650.8</v>
      </c>
    </row>
    <row r="2623" spans="1:6" x14ac:dyDescent="0.35">
      <c r="A2623">
        <v>1127</v>
      </c>
      <c r="B2623" s="4">
        <v>46045.375085336993</v>
      </c>
      <c r="C2623" t="s">
        <v>7</v>
      </c>
      <c r="D2623" t="s">
        <v>22</v>
      </c>
      <c r="E2623" t="s">
        <v>25</v>
      </c>
      <c r="F2623">
        <v>2337.6999999999998</v>
      </c>
    </row>
    <row r="2624" spans="1:6" x14ac:dyDescent="0.35">
      <c r="A2624">
        <v>1197</v>
      </c>
      <c r="B2624" s="4">
        <v>46045.375085336993</v>
      </c>
      <c r="C2624" t="s">
        <v>10</v>
      </c>
      <c r="D2624" t="s">
        <v>22</v>
      </c>
      <c r="E2624" t="s">
        <v>24</v>
      </c>
      <c r="F2624">
        <v>2254.0700000000002</v>
      </c>
    </row>
    <row r="2625" spans="1:6" x14ac:dyDescent="0.35">
      <c r="A2625">
        <v>1309</v>
      </c>
      <c r="B2625" s="4">
        <v>46046.375085336993</v>
      </c>
      <c r="C2625" t="s">
        <v>11</v>
      </c>
      <c r="D2625" t="s">
        <v>20</v>
      </c>
      <c r="E2625" t="s">
        <v>23</v>
      </c>
      <c r="F2625">
        <v>3838.4</v>
      </c>
    </row>
    <row r="2626" spans="1:6" x14ac:dyDescent="0.35">
      <c r="A2626">
        <v>1267</v>
      </c>
      <c r="B2626" s="4">
        <v>46047.375085336993</v>
      </c>
      <c r="C2626" t="s">
        <v>6</v>
      </c>
      <c r="D2626" t="s">
        <v>18</v>
      </c>
      <c r="E2626" t="s">
        <v>23</v>
      </c>
      <c r="F2626">
        <v>7123.8</v>
      </c>
    </row>
    <row r="2627" spans="1:6" x14ac:dyDescent="0.35">
      <c r="A2627">
        <v>1072</v>
      </c>
      <c r="B2627" s="4">
        <v>46047.375085336993</v>
      </c>
      <c r="C2627" t="s">
        <v>9</v>
      </c>
      <c r="D2627" t="s">
        <v>19</v>
      </c>
      <c r="E2627" t="s">
        <v>23</v>
      </c>
      <c r="F2627">
        <v>772.7</v>
      </c>
    </row>
    <row r="2628" spans="1:6" x14ac:dyDescent="0.35">
      <c r="A2628">
        <v>1366</v>
      </c>
      <c r="B2628" s="4">
        <v>46048.375085336993</v>
      </c>
      <c r="C2628" t="s">
        <v>15</v>
      </c>
      <c r="D2628" t="s">
        <v>17</v>
      </c>
      <c r="E2628" t="s">
        <v>25</v>
      </c>
      <c r="F2628">
        <v>1298.3499999999999</v>
      </c>
    </row>
    <row r="2629" spans="1:6" x14ac:dyDescent="0.35">
      <c r="A2629">
        <v>1140</v>
      </c>
      <c r="B2629" s="4">
        <v>46048.375085336993</v>
      </c>
      <c r="C2629" t="s">
        <v>12</v>
      </c>
      <c r="D2629" t="s">
        <v>20</v>
      </c>
      <c r="E2629" t="s">
        <v>23</v>
      </c>
      <c r="F2629">
        <v>6590.73</v>
      </c>
    </row>
    <row r="2630" spans="1:6" x14ac:dyDescent="0.35">
      <c r="A2630">
        <v>1157</v>
      </c>
      <c r="B2630" s="4">
        <v>46049.375085336993</v>
      </c>
      <c r="C2630" t="s">
        <v>15</v>
      </c>
      <c r="D2630" t="s">
        <v>19</v>
      </c>
      <c r="E2630" t="s">
        <v>24</v>
      </c>
      <c r="F2630">
        <v>2985.92</v>
      </c>
    </row>
    <row r="2631" spans="1:6" x14ac:dyDescent="0.35">
      <c r="A2631">
        <v>1318</v>
      </c>
      <c r="B2631" s="4">
        <v>46049.375085336993</v>
      </c>
      <c r="C2631" t="s">
        <v>13</v>
      </c>
      <c r="D2631" t="s">
        <v>20</v>
      </c>
      <c r="E2631" t="s">
        <v>23</v>
      </c>
      <c r="F2631">
        <v>9505.23</v>
      </c>
    </row>
    <row r="2632" spans="1:6" x14ac:dyDescent="0.35">
      <c r="A2632">
        <v>1260</v>
      </c>
      <c r="B2632" s="4">
        <v>46049.375085336993</v>
      </c>
      <c r="C2632" t="s">
        <v>13</v>
      </c>
      <c r="D2632" t="s">
        <v>18</v>
      </c>
      <c r="E2632" t="s">
        <v>25</v>
      </c>
      <c r="F2632">
        <v>9899.76</v>
      </c>
    </row>
    <row r="2633" spans="1:6" x14ac:dyDescent="0.35">
      <c r="A2633">
        <v>1256</v>
      </c>
      <c r="B2633" s="4">
        <v>46050.375085336993</v>
      </c>
      <c r="C2633" t="s">
        <v>7</v>
      </c>
      <c r="D2633" t="s">
        <v>21</v>
      </c>
      <c r="E2633" t="s">
        <v>24</v>
      </c>
      <c r="F2633">
        <v>2121.12</v>
      </c>
    </row>
    <row r="2634" spans="1:6" x14ac:dyDescent="0.35">
      <c r="A2634">
        <v>1304</v>
      </c>
      <c r="B2634" s="4">
        <v>46050.375085336993</v>
      </c>
      <c r="C2634" t="s">
        <v>14</v>
      </c>
      <c r="D2634" t="s">
        <v>20</v>
      </c>
      <c r="E2634" t="s">
        <v>24</v>
      </c>
      <c r="F2634">
        <v>11268.14</v>
      </c>
    </row>
    <row r="2635" spans="1:6" x14ac:dyDescent="0.35">
      <c r="A2635">
        <v>1098</v>
      </c>
      <c r="B2635" s="4">
        <v>46050.375085336993</v>
      </c>
      <c r="C2635" t="s">
        <v>13</v>
      </c>
      <c r="D2635" t="s">
        <v>20</v>
      </c>
      <c r="E2635" t="s">
        <v>25</v>
      </c>
      <c r="F2635">
        <v>411.15</v>
      </c>
    </row>
    <row r="2636" spans="1:6" x14ac:dyDescent="0.35">
      <c r="A2636">
        <v>1250</v>
      </c>
      <c r="B2636" s="4">
        <v>46050.375085336993</v>
      </c>
      <c r="C2636" t="s">
        <v>8</v>
      </c>
      <c r="D2636" t="s">
        <v>21</v>
      </c>
      <c r="E2636" t="s">
        <v>23</v>
      </c>
      <c r="F2636">
        <v>10552.49</v>
      </c>
    </row>
    <row r="2637" spans="1:6" x14ac:dyDescent="0.35">
      <c r="A2637">
        <v>1394</v>
      </c>
      <c r="B2637" s="4">
        <v>46050.375085336993</v>
      </c>
      <c r="C2637" t="s">
        <v>14</v>
      </c>
      <c r="D2637" t="s">
        <v>16</v>
      </c>
      <c r="E2637" t="s">
        <v>23</v>
      </c>
      <c r="F2637">
        <v>4311.05</v>
      </c>
    </row>
    <row r="2638" spans="1:6" x14ac:dyDescent="0.35">
      <c r="A2638">
        <v>1366</v>
      </c>
      <c r="B2638" s="4">
        <v>46051.375085336993</v>
      </c>
      <c r="C2638" t="s">
        <v>9</v>
      </c>
      <c r="D2638" t="s">
        <v>22</v>
      </c>
      <c r="E2638" t="s">
        <v>24</v>
      </c>
      <c r="F2638">
        <v>4637.95</v>
      </c>
    </row>
    <row r="2639" spans="1:6" x14ac:dyDescent="0.35">
      <c r="A2639">
        <v>1384</v>
      </c>
      <c r="B2639" s="4">
        <v>46051.375085336993</v>
      </c>
      <c r="C2639" t="s">
        <v>8</v>
      </c>
      <c r="D2639" t="s">
        <v>17</v>
      </c>
      <c r="E2639" t="s">
        <v>23</v>
      </c>
      <c r="F2639">
        <v>5745.3</v>
      </c>
    </row>
    <row r="2640" spans="1:6" x14ac:dyDescent="0.35">
      <c r="A2640">
        <v>1131</v>
      </c>
      <c r="B2640" s="4">
        <v>46051.375085336993</v>
      </c>
      <c r="C2640" t="s">
        <v>6</v>
      </c>
      <c r="D2640" t="s">
        <v>21</v>
      </c>
      <c r="E2640" t="s">
        <v>23</v>
      </c>
      <c r="F2640">
        <v>1879.61</v>
      </c>
    </row>
    <row r="2641" spans="1:6" x14ac:dyDescent="0.35">
      <c r="A2641">
        <v>1045</v>
      </c>
      <c r="B2641" s="4">
        <v>46051.375085336993</v>
      </c>
      <c r="C2641" t="s">
        <v>10</v>
      </c>
      <c r="D2641" t="s">
        <v>22</v>
      </c>
      <c r="E2641" t="s">
        <v>25</v>
      </c>
      <c r="F2641">
        <v>1286.29</v>
      </c>
    </row>
    <row r="2642" spans="1:6" x14ac:dyDescent="0.35">
      <c r="A2642">
        <v>1082</v>
      </c>
      <c r="B2642" s="4">
        <v>46052.375085336993</v>
      </c>
      <c r="C2642" t="s">
        <v>11</v>
      </c>
      <c r="D2642" t="s">
        <v>20</v>
      </c>
      <c r="E2642" t="s">
        <v>23</v>
      </c>
      <c r="F2642">
        <v>3014.42</v>
      </c>
    </row>
    <row r="2643" spans="1:6" x14ac:dyDescent="0.35">
      <c r="A2643">
        <v>1089</v>
      </c>
      <c r="B2643" s="4">
        <v>46052.375085336993</v>
      </c>
      <c r="C2643" t="s">
        <v>10</v>
      </c>
      <c r="D2643" t="s">
        <v>17</v>
      </c>
      <c r="E2643" t="s">
        <v>24</v>
      </c>
      <c r="F2643">
        <v>1950.99</v>
      </c>
    </row>
    <row r="2644" spans="1:6" x14ac:dyDescent="0.35">
      <c r="A2644">
        <v>1128</v>
      </c>
      <c r="B2644" s="4">
        <v>46053.375085336993</v>
      </c>
      <c r="C2644" t="s">
        <v>10</v>
      </c>
      <c r="D2644" t="s">
        <v>22</v>
      </c>
      <c r="E2644" t="s">
        <v>24</v>
      </c>
      <c r="F2644">
        <v>1257.77</v>
      </c>
    </row>
    <row r="2645" spans="1:6" x14ac:dyDescent="0.35">
      <c r="A2645">
        <v>1078</v>
      </c>
      <c r="B2645" s="4">
        <v>46053.375085336993</v>
      </c>
      <c r="C2645" t="s">
        <v>10</v>
      </c>
      <c r="D2645" t="s">
        <v>18</v>
      </c>
      <c r="E2645" t="s">
        <v>23</v>
      </c>
      <c r="F2645">
        <v>3007.86</v>
      </c>
    </row>
    <row r="2646" spans="1:6" x14ac:dyDescent="0.35">
      <c r="A2646">
        <v>1259</v>
      </c>
      <c r="B2646" s="4">
        <v>46053.375085336993</v>
      </c>
      <c r="C2646" t="s">
        <v>8</v>
      </c>
      <c r="D2646" t="s">
        <v>17</v>
      </c>
      <c r="E2646" t="s">
        <v>24</v>
      </c>
      <c r="F2646">
        <v>3012.92</v>
      </c>
    </row>
    <row r="2647" spans="1:6" x14ac:dyDescent="0.35">
      <c r="A2647">
        <v>1211</v>
      </c>
      <c r="B2647" s="4">
        <v>46054.375085336993</v>
      </c>
      <c r="C2647" t="s">
        <v>10</v>
      </c>
      <c r="D2647" t="s">
        <v>18</v>
      </c>
      <c r="E2647" t="s">
        <v>24</v>
      </c>
      <c r="F2647">
        <v>6099.54</v>
      </c>
    </row>
    <row r="2648" spans="1:6" x14ac:dyDescent="0.35">
      <c r="A2648">
        <v>1085</v>
      </c>
      <c r="B2648" s="4">
        <v>46054.375085336993</v>
      </c>
      <c r="C2648" t="s">
        <v>8</v>
      </c>
      <c r="D2648" t="s">
        <v>18</v>
      </c>
      <c r="E2648" t="s">
        <v>25</v>
      </c>
      <c r="F2648">
        <v>1486.92</v>
      </c>
    </row>
    <row r="2649" spans="1:6" x14ac:dyDescent="0.35">
      <c r="A2649">
        <v>1118</v>
      </c>
      <c r="B2649" s="4">
        <v>46054.375085336993</v>
      </c>
      <c r="C2649" t="s">
        <v>11</v>
      </c>
      <c r="D2649" t="s">
        <v>18</v>
      </c>
      <c r="E2649" t="s">
        <v>23</v>
      </c>
      <c r="F2649">
        <v>1246.53</v>
      </c>
    </row>
    <row r="2650" spans="1:6" x14ac:dyDescent="0.35">
      <c r="A2650">
        <v>1200</v>
      </c>
      <c r="B2650" s="4">
        <v>46054.375085336993</v>
      </c>
      <c r="C2650" t="s">
        <v>12</v>
      </c>
      <c r="D2650" t="s">
        <v>16</v>
      </c>
      <c r="E2650" t="s">
        <v>24</v>
      </c>
      <c r="F2650">
        <v>1722.11</v>
      </c>
    </row>
    <row r="2651" spans="1:6" x14ac:dyDescent="0.35">
      <c r="A2651">
        <v>1378</v>
      </c>
      <c r="B2651" s="4">
        <v>46054.375085336993</v>
      </c>
      <c r="C2651" t="s">
        <v>12</v>
      </c>
      <c r="D2651" t="s">
        <v>16</v>
      </c>
      <c r="E2651" t="s">
        <v>23</v>
      </c>
      <c r="F2651">
        <v>4603.63</v>
      </c>
    </row>
    <row r="2652" spans="1:6" x14ac:dyDescent="0.35">
      <c r="A2652">
        <v>1043</v>
      </c>
      <c r="B2652" s="4">
        <v>46055.375085336993</v>
      </c>
      <c r="C2652" t="s">
        <v>8</v>
      </c>
      <c r="D2652" t="s">
        <v>16</v>
      </c>
      <c r="E2652" t="s">
        <v>24</v>
      </c>
      <c r="F2652">
        <v>2881.66</v>
      </c>
    </row>
    <row r="2653" spans="1:6" x14ac:dyDescent="0.35">
      <c r="A2653">
        <v>1008</v>
      </c>
      <c r="B2653" s="4">
        <v>46055.375085336993</v>
      </c>
      <c r="C2653" t="s">
        <v>10</v>
      </c>
      <c r="D2653" t="s">
        <v>20</v>
      </c>
      <c r="E2653" t="s">
        <v>25</v>
      </c>
      <c r="F2653">
        <v>2118.9499999999998</v>
      </c>
    </row>
    <row r="2654" spans="1:6" x14ac:dyDescent="0.35">
      <c r="A2654">
        <v>1309</v>
      </c>
      <c r="B2654" s="4">
        <v>46055.375085336993</v>
      </c>
      <c r="C2654" t="s">
        <v>8</v>
      </c>
      <c r="D2654" t="s">
        <v>19</v>
      </c>
      <c r="E2654" t="s">
        <v>25</v>
      </c>
      <c r="F2654">
        <v>6005.95</v>
      </c>
    </row>
    <row r="2655" spans="1:6" x14ac:dyDescent="0.35">
      <c r="A2655">
        <v>1149</v>
      </c>
      <c r="B2655" s="4">
        <v>46055.375085336993</v>
      </c>
      <c r="C2655" t="s">
        <v>9</v>
      </c>
      <c r="D2655" t="s">
        <v>21</v>
      </c>
      <c r="E2655" t="s">
        <v>25</v>
      </c>
      <c r="F2655">
        <v>3131.55</v>
      </c>
    </row>
    <row r="2656" spans="1:6" x14ac:dyDescent="0.35">
      <c r="A2656">
        <v>1038</v>
      </c>
      <c r="B2656" s="4">
        <v>46055.375085336993</v>
      </c>
      <c r="C2656" t="s">
        <v>14</v>
      </c>
      <c r="D2656" t="s">
        <v>21</v>
      </c>
      <c r="E2656" t="s">
        <v>24</v>
      </c>
      <c r="F2656">
        <v>2353.7199999999998</v>
      </c>
    </row>
    <row r="2657" spans="1:6" x14ac:dyDescent="0.35">
      <c r="A2657">
        <v>1322</v>
      </c>
      <c r="B2657" s="4">
        <v>46055.375085336993</v>
      </c>
      <c r="C2657" t="s">
        <v>7</v>
      </c>
      <c r="D2657" t="s">
        <v>21</v>
      </c>
      <c r="E2657" t="s">
        <v>24</v>
      </c>
      <c r="F2657">
        <v>3529.93</v>
      </c>
    </row>
    <row r="2658" spans="1:6" x14ac:dyDescent="0.35">
      <c r="A2658">
        <v>1073</v>
      </c>
      <c r="B2658" s="4">
        <v>46055.375085336993</v>
      </c>
      <c r="C2658" t="s">
        <v>9</v>
      </c>
      <c r="D2658" t="s">
        <v>17</v>
      </c>
      <c r="E2658" t="s">
        <v>23</v>
      </c>
      <c r="F2658">
        <v>3146.93</v>
      </c>
    </row>
    <row r="2659" spans="1:6" x14ac:dyDescent="0.35">
      <c r="A2659">
        <v>1075</v>
      </c>
      <c r="B2659" s="4">
        <v>46055.375085336993</v>
      </c>
      <c r="C2659" t="s">
        <v>13</v>
      </c>
      <c r="D2659" t="s">
        <v>19</v>
      </c>
      <c r="E2659" t="s">
        <v>24</v>
      </c>
      <c r="F2659">
        <v>3657.47</v>
      </c>
    </row>
    <row r="2660" spans="1:6" x14ac:dyDescent="0.35">
      <c r="A2660">
        <v>1292</v>
      </c>
      <c r="B2660" s="4">
        <v>46056.375085336993</v>
      </c>
      <c r="C2660" t="s">
        <v>6</v>
      </c>
      <c r="D2660" t="s">
        <v>17</v>
      </c>
      <c r="E2660" t="s">
        <v>23</v>
      </c>
      <c r="F2660">
        <v>1636.2</v>
      </c>
    </row>
    <row r="2661" spans="1:6" x14ac:dyDescent="0.35">
      <c r="A2661">
        <v>1016</v>
      </c>
      <c r="B2661" s="4">
        <v>46056.375085336993</v>
      </c>
      <c r="C2661" t="s">
        <v>12</v>
      </c>
      <c r="D2661" t="s">
        <v>21</v>
      </c>
      <c r="E2661" t="s">
        <v>23</v>
      </c>
      <c r="F2661">
        <v>1140.07</v>
      </c>
    </row>
    <row r="2662" spans="1:6" x14ac:dyDescent="0.35">
      <c r="A2662">
        <v>1309</v>
      </c>
      <c r="B2662" s="4">
        <v>46056.375085336993</v>
      </c>
      <c r="C2662" t="s">
        <v>7</v>
      </c>
      <c r="D2662" t="s">
        <v>20</v>
      </c>
      <c r="E2662" t="s">
        <v>24</v>
      </c>
      <c r="F2662">
        <v>3473.45</v>
      </c>
    </row>
    <row r="2663" spans="1:6" x14ac:dyDescent="0.35">
      <c r="A2663">
        <v>1120</v>
      </c>
      <c r="B2663" s="4">
        <v>46056.375085336993</v>
      </c>
      <c r="C2663" t="s">
        <v>14</v>
      </c>
      <c r="D2663" t="s">
        <v>17</v>
      </c>
      <c r="E2663" t="s">
        <v>24</v>
      </c>
      <c r="F2663">
        <v>2728.36</v>
      </c>
    </row>
    <row r="2664" spans="1:6" x14ac:dyDescent="0.35">
      <c r="A2664">
        <v>1048</v>
      </c>
      <c r="B2664" s="4">
        <v>46056.375085336993</v>
      </c>
      <c r="C2664" t="s">
        <v>13</v>
      </c>
      <c r="D2664" t="s">
        <v>18</v>
      </c>
      <c r="E2664" t="s">
        <v>24</v>
      </c>
      <c r="F2664">
        <v>5639.24</v>
      </c>
    </row>
    <row r="2665" spans="1:6" x14ac:dyDescent="0.35">
      <c r="A2665">
        <v>1233</v>
      </c>
      <c r="B2665" s="4">
        <v>46056.375085336993</v>
      </c>
      <c r="C2665" t="s">
        <v>14</v>
      </c>
      <c r="D2665" t="s">
        <v>19</v>
      </c>
      <c r="E2665" t="s">
        <v>25</v>
      </c>
      <c r="F2665">
        <v>8329.41</v>
      </c>
    </row>
    <row r="2666" spans="1:6" x14ac:dyDescent="0.35">
      <c r="A2666">
        <v>1352</v>
      </c>
      <c r="B2666" s="4">
        <v>46057.375085336993</v>
      </c>
      <c r="C2666" t="s">
        <v>8</v>
      </c>
      <c r="D2666" t="s">
        <v>16</v>
      </c>
      <c r="E2666" t="s">
        <v>24</v>
      </c>
      <c r="F2666">
        <v>12700.16</v>
      </c>
    </row>
    <row r="2667" spans="1:6" x14ac:dyDescent="0.35">
      <c r="A2667">
        <v>1362</v>
      </c>
      <c r="B2667" s="4">
        <v>46057.375085336993</v>
      </c>
      <c r="C2667" t="s">
        <v>9</v>
      </c>
      <c r="D2667" t="s">
        <v>16</v>
      </c>
      <c r="E2667" t="s">
        <v>23</v>
      </c>
      <c r="F2667">
        <v>3913.71</v>
      </c>
    </row>
    <row r="2668" spans="1:6" x14ac:dyDescent="0.35">
      <c r="A2668">
        <v>1155</v>
      </c>
      <c r="B2668" s="4">
        <v>46058.375085336993</v>
      </c>
      <c r="C2668" t="s">
        <v>11</v>
      </c>
      <c r="D2668" t="s">
        <v>17</v>
      </c>
      <c r="E2668" t="s">
        <v>23</v>
      </c>
      <c r="F2668">
        <v>1229.76</v>
      </c>
    </row>
    <row r="2669" spans="1:6" x14ac:dyDescent="0.35">
      <c r="A2669">
        <v>1384</v>
      </c>
      <c r="B2669" s="4">
        <v>46058.375085336993</v>
      </c>
      <c r="C2669" t="s">
        <v>15</v>
      </c>
      <c r="D2669" t="s">
        <v>22</v>
      </c>
      <c r="E2669" t="s">
        <v>25</v>
      </c>
      <c r="F2669">
        <v>10455.19</v>
      </c>
    </row>
    <row r="2670" spans="1:6" x14ac:dyDescent="0.35">
      <c r="A2670">
        <v>1159</v>
      </c>
      <c r="B2670" s="4">
        <v>46058.375085336993</v>
      </c>
      <c r="C2670" t="s">
        <v>14</v>
      </c>
      <c r="D2670" t="s">
        <v>16</v>
      </c>
      <c r="E2670" t="s">
        <v>25</v>
      </c>
      <c r="F2670">
        <v>5365.56</v>
      </c>
    </row>
    <row r="2671" spans="1:6" x14ac:dyDescent="0.35">
      <c r="A2671">
        <v>1301</v>
      </c>
      <c r="B2671" s="4">
        <v>46058.375085336993</v>
      </c>
      <c r="C2671" t="s">
        <v>7</v>
      </c>
      <c r="D2671" t="s">
        <v>19</v>
      </c>
      <c r="E2671" t="s">
        <v>24</v>
      </c>
      <c r="F2671">
        <v>5817.93</v>
      </c>
    </row>
    <row r="2672" spans="1:6" x14ac:dyDescent="0.35">
      <c r="A2672">
        <v>1135</v>
      </c>
      <c r="B2672" s="4">
        <v>46058.375085336993</v>
      </c>
      <c r="C2672" t="s">
        <v>6</v>
      </c>
      <c r="D2672" t="s">
        <v>16</v>
      </c>
      <c r="E2672" t="s">
        <v>24</v>
      </c>
      <c r="F2672">
        <v>3483.84</v>
      </c>
    </row>
    <row r="2673" spans="1:6" x14ac:dyDescent="0.35">
      <c r="A2673">
        <v>1312</v>
      </c>
      <c r="B2673" s="4">
        <v>46059.375085336993</v>
      </c>
      <c r="C2673" t="s">
        <v>11</v>
      </c>
      <c r="D2673" t="s">
        <v>20</v>
      </c>
      <c r="E2673" t="s">
        <v>23</v>
      </c>
      <c r="F2673">
        <v>5022.26</v>
      </c>
    </row>
    <row r="2674" spans="1:6" x14ac:dyDescent="0.35">
      <c r="A2674">
        <v>1392</v>
      </c>
      <c r="B2674" s="4">
        <v>46059.375085336993</v>
      </c>
      <c r="C2674" t="s">
        <v>11</v>
      </c>
      <c r="D2674" t="s">
        <v>19</v>
      </c>
      <c r="E2674" t="s">
        <v>24</v>
      </c>
      <c r="F2674">
        <v>918.49</v>
      </c>
    </row>
    <row r="2675" spans="1:6" x14ac:dyDescent="0.35">
      <c r="A2675">
        <v>1002</v>
      </c>
      <c r="B2675" s="4">
        <v>46059.375085336993</v>
      </c>
      <c r="C2675" t="s">
        <v>6</v>
      </c>
      <c r="D2675" t="s">
        <v>20</v>
      </c>
      <c r="E2675" t="s">
        <v>23</v>
      </c>
      <c r="F2675">
        <v>1585.43</v>
      </c>
    </row>
    <row r="2676" spans="1:6" x14ac:dyDescent="0.35">
      <c r="A2676">
        <v>1263</v>
      </c>
      <c r="B2676" s="4">
        <v>46059.375085336993</v>
      </c>
      <c r="C2676" t="s">
        <v>14</v>
      </c>
      <c r="D2676" t="s">
        <v>21</v>
      </c>
      <c r="E2676" t="s">
        <v>25</v>
      </c>
      <c r="F2676">
        <v>5564.94</v>
      </c>
    </row>
    <row r="2677" spans="1:6" x14ac:dyDescent="0.35">
      <c r="A2677">
        <v>1272</v>
      </c>
      <c r="B2677" s="4">
        <v>46060.375085336993</v>
      </c>
      <c r="C2677" t="s">
        <v>10</v>
      </c>
      <c r="D2677" t="s">
        <v>20</v>
      </c>
      <c r="E2677" t="s">
        <v>25</v>
      </c>
      <c r="F2677">
        <v>3264.64</v>
      </c>
    </row>
    <row r="2678" spans="1:6" x14ac:dyDescent="0.35">
      <c r="A2678">
        <v>1360</v>
      </c>
      <c r="B2678" s="4">
        <v>46060.375085336993</v>
      </c>
      <c r="C2678" t="s">
        <v>7</v>
      </c>
      <c r="D2678" t="s">
        <v>22</v>
      </c>
      <c r="E2678" t="s">
        <v>24</v>
      </c>
      <c r="F2678">
        <v>6352.78</v>
      </c>
    </row>
    <row r="2679" spans="1:6" x14ac:dyDescent="0.35">
      <c r="A2679">
        <v>1219</v>
      </c>
      <c r="B2679" s="4">
        <v>46060.375085336993</v>
      </c>
      <c r="C2679" t="s">
        <v>9</v>
      </c>
      <c r="D2679" t="s">
        <v>22</v>
      </c>
      <c r="E2679" t="s">
        <v>23</v>
      </c>
      <c r="F2679">
        <v>2039.28</v>
      </c>
    </row>
    <row r="2680" spans="1:6" x14ac:dyDescent="0.35">
      <c r="A2680">
        <v>1115</v>
      </c>
      <c r="B2680" s="4">
        <v>46060.375085336993</v>
      </c>
      <c r="C2680" t="s">
        <v>15</v>
      </c>
      <c r="D2680" t="s">
        <v>17</v>
      </c>
      <c r="E2680" t="s">
        <v>23</v>
      </c>
      <c r="F2680">
        <v>2555.09</v>
      </c>
    </row>
    <row r="2681" spans="1:6" x14ac:dyDescent="0.35">
      <c r="A2681">
        <v>1027</v>
      </c>
      <c r="B2681" s="4">
        <v>46060.375085336993</v>
      </c>
      <c r="C2681" t="s">
        <v>15</v>
      </c>
      <c r="D2681" t="s">
        <v>16</v>
      </c>
      <c r="E2681" t="s">
        <v>25</v>
      </c>
      <c r="F2681">
        <v>3188.07</v>
      </c>
    </row>
    <row r="2682" spans="1:6" x14ac:dyDescent="0.35">
      <c r="A2682">
        <v>1011</v>
      </c>
      <c r="B2682" s="4">
        <v>46060.375085336993</v>
      </c>
      <c r="C2682" t="s">
        <v>6</v>
      </c>
      <c r="D2682" t="s">
        <v>21</v>
      </c>
      <c r="E2682" t="s">
        <v>24</v>
      </c>
      <c r="F2682">
        <v>1402.6</v>
      </c>
    </row>
    <row r="2683" spans="1:6" x14ac:dyDescent="0.35">
      <c r="A2683">
        <v>1225</v>
      </c>
      <c r="B2683" s="4">
        <v>46061.375085336993</v>
      </c>
      <c r="C2683" t="s">
        <v>10</v>
      </c>
      <c r="D2683" t="s">
        <v>21</v>
      </c>
      <c r="E2683" t="s">
        <v>23</v>
      </c>
      <c r="F2683">
        <v>3298.7</v>
      </c>
    </row>
    <row r="2684" spans="1:6" x14ac:dyDescent="0.35">
      <c r="A2684">
        <v>1212</v>
      </c>
      <c r="B2684" s="4">
        <v>46061.375085336993</v>
      </c>
      <c r="C2684" t="s">
        <v>8</v>
      </c>
      <c r="D2684" t="s">
        <v>20</v>
      </c>
      <c r="E2684" t="s">
        <v>23</v>
      </c>
      <c r="F2684">
        <v>9326.9500000000007</v>
      </c>
    </row>
    <row r="2685" spans="1:6" x14ac:dyDescent="0.35">
      <c r="A2685">
        <v>1189</v>
      </c>
      <c r="B2685" s="4">
        <v>46062.375085336993</v>
      </c>
      <c r="C2685" t="s">
        <v>15</v>
      </c>
      <c r="D2685" t="s">
        <v>22</v>
      </c>
      <c r="E2685" t="s">
        <v>23</v>
      </c>
      <c r="F2685">
        <v>3409.78</v>
      </c>
    </row>
    <row r="2686" spans="1:6" x14ac:dyDescent="0.35">
      <c r="A2686">
        <v>1074</v>
      </c>
      <c r="B2686" s="4">
        <v>46062.375085336993</v>
      </c>
      <c r="C2686" t="s">
        <v>7</v>
      </c>
      <c r="D2686" t="s">
        <v>22</v>
      </c>
      <c r="E2686" t="s">
        <v>25</v>
      </c>
      <c r="F2686">
        <v>2266.2399999999998</v>
      </c>
    </row>
    <row r="2687" spans="1:6" x14ac:dyDescent="0.35">
      <c r="A2687">
        <v>1238</v>
      </c>
      <c r="B2687" s="4">
        <v>46062.375085336993</v>
      </c>
      <c r="C2687" t="s">
        <v>13</v>
      </c>
      <c r="D2687" t="s">
        <v>20</v>
      </c>
      <c r="E2687" t="s">
        <v>24</v>
      </c>
      <c r="F2687">
        <v>8255.16</v>
      </c>
    </row>
    <row r="2688" spans="1:6" x14ac:dyDescent="0.35">
      <c r="A2688">
        <v>1046</v>
      </c>
      <c r="B2688" s="4">
        <v>46062.375085336993</v>
      </c>
      <c r="C2688" t="s">
        <v>8</v>
      </c>
      <c r="D2688" t="s">
        <v>20</v>
      </c>
      <c r="E2688" t="s">
        <v>25</v>
      </c>
      <c r="F2688">
        <v>1489.09</v>
      </c>
    </row>
    <row r="2689" spans="1:6" x14ac:dyDescent="0.35">
      <c r="A2689">
        <v>1379</v>
      </c>
      <c r="B2689" s="4">
        <v>46063.375085336993</v>
      </c>
      <c r="C2689" t="s">
        <v>10</v>
      </c>
      <c r="D2689" t="s">
        <v>16</v>
      </c>
      <c r="E2689" t="s">
        <v>25</v>
      </c>
      <c r="F2689">
        <v>3812.62</v>
      </c>
    </row>
    <row r="2690" spans="1:6" x14ac:dyDescent="0.35">
      <c r="A2690">
        <v>1278</v>
      </c>
      <c r="B2690" s="4">
        <v>46063.375085336993</v>
      </c>
      <c r="C2690" t="s">
        <v>9</v>
      </c>
      <c r="D2690" t="s">
        <v>19</v>
      </c>
      <c r="E2690" t="s">
        <v>25</v>
      </c>
      <c r="F2690">
        <v>581.83000000000004</v>
      </c>
    </row>
    <row r="2691" spans="1:6" x14ac:dyDescent="0.35">
      <c r="A2691">
        <v>1059</v>
      </c>
      <c r="B2691" s="4">
        <v>46063.375085336993</v>
      </c>
      <c r="C2691" t="s">
        <v>6</v>
      </c>
      <c r="D2691" t="s">
        <v>22</v>
      </c>
      <c r="E2691" t="s">
        <v>25</v>
      </c>
      <c r="F2691">
        <v>5921.96</v>
      </c>
    </row>
    <row r="2692" spans="1:6" x14ac:dyDescent="0.35">
      <c r="A2692">
        <v>1347</v>
      </c>
      <c r="B2692" s="4">
        <v>46063.375085336993</v>
      </c>
      <c r="C2692" t="s">
        <v>10</v>
      </c>
      <c r="D2692" t="s">
        <v>19</v>
      </c>
      <c r="E2692" t="s">
        <v>23</v>
      </c>
      <c r="F2692">
        <v>3531.42</v>
      </c>
    </row>
    <row r="2693" spans="1:6" x14ac:dyDescent="0.35">
      <c r="A2693">
        <v>1047</v>
      </c>
      <c r="B2693" s="4">
        <v>46063.375085336993</v>
      </c>
      <c r="C2693" t="s">
        <v>13</v>
      </c>
      <c r="D2693" t="s">
        <v>16</v>
      </c>
      <c r="E2693" t="s">
        <v>25</v>
      </c>
      <c r="F2693">
        <v>5577.93</v>
      </c>
    </row>
    <row r="2694" spans="1:6" x14ac:dyDescent="0.35">
      <c r="A2694">
        <v>1201</v>
      </c>
      <c r="B2694" s="4">
        <v>46063.375085336993</v>
      </c>
      <c r="C2694" t="s">
        <v>15</v>
      </c>
      <c r="D2694" t="s">
        <v>20</v>
      </c>
      <c r="E2694" t="s">
        <v>23</v>
      </c>
      <c r="F2694">
        <v>7325.14</v>
      </c>
    </row>
    <row r="2695" spans="1:6" x14ac:dyDescent="0.35">
      <c r="A2695">
        <v>1005</v>
      </c>
      <c r="B2695" s="4">
        <v>46064.375085336993</v>
      </c>
      <c r="C2695" t="s">
        <v>14</v>
      </c>
      <c r="D2695" t="s">
        <v>16</v>
      </c>
      <c r="E2695" t="s">
        <v>25</v>
      </c>
      <c r="F2695">
        <v>16130.83</v>
      </c>
    </row>
    <row r="2696" spans="1:6" x14ac:dyDescent="0.35">
      <c r="A2696">
        <v>1172</v>
      </c>
      <c r="B2696" s="4">
        <v>46064.375085336993</v>
      </c>
      <c r="C2696" t="s">
        <v>9</v>
      </c>
      <c r="D2696" t="s">
        <v>17</v>
      </c>
      <c r="E2696" t="s">
        <v>24</v>
      </c>
      <c r="F2696">
        <v>3541.1</v>
      </c>
    </row>
    <row r="2697" spans="1:6" x14ac:dyDescent="0.35">
      <c r="A2697">
        <v>1167</v>
      </c>
      <c r="B2697" s="4">
        <v>46064.375085336993</v>
      </c>
      <c r="C2697" t="s">
        <v>8</v>
      </c>
      <c r="D2697" t="s">
        <v>20</v>
      </c>
      <c r="E2697" t="s">
        <v>25</v>
      </c>
      <c r="F2697">
        <v>7958.47</v>
      </c>
    </row>
    <row r="2698" spans="1:6" x14ac:dyDescent="0.35">
      <c r="A2698">
        <v>1349</v>
      </c>
      <c r="B2698" s="4">
        <v>46064.375085336993</v>
      </c>
      <c r="C2698" t="s">
        <v>15</v>
      </c>
      <c r="D2698" t="s">
        <v>22</v>
      </c>
      <c r="E2698" t="s">
        <v>24</v>
      </c>
      <c r="F2698">
        <v>3120.73</v>
      </c>
    </row>
    <row r="2699" spans="1:6" x14ac:dyDescent="0.35">
      <c r="A2699">
        <v>1221</v>
      </c>
      <c r="B2699" s="4">
        <v>46064.375085336993</v>
      </c>
      <c r="C2699" t="s">
        <v>12</v>
      </c>
      <c r="D2699" t="s">
        <v>22</v>
      </c>
      <c r="E2699" t="s">
        <v>23</v>
      </c>
      <c r="F2699">
        <v>5321.83</v>
      </c>
    </row>
    <row r="2700" spans="1:6" x14ac:dyDescent="0.35">
      <c r="A2700">
        <v>1013</v>
      </c>
      <c r="B2700" s="4">
        <v>46064.375085336993</v>
      </c>
      <c r="C2700" t="s">
        <v>9</v>
      </c>
      <c r="D2700" t="s">
        <v>19</v>
      </c>
      <c r="E2700" t="s">
        <v>23</v>
      </c>
      <c r="F2700">
        <v>3783.69</v>
      </c>
    </row>
    <row r="2701" spans="1:6" x14ac:dyDescent="0.35">
      <c r="A2701">
        <v>1279</v>
      </c>
      <c r="B2701" s="4">
        <v>46064.375085336993</v>
      </c>
      <c r="C2701" t="s">
        <v>7</v>
      </c>
      <c r="D2701" t="s">
        <v>19</v>
      </c>
      <c r="E2701" t="s">
        <v>23</v>
      </c>
      <c r="F2701">
        <v>6859.73</v>
      </c>
    </row>
    <row r="2702" spans="1:6" x14ac:dyDescent="0.35">
      <c r="A2702">
        <v>1004</v>
      </c>
      <c r="B2702" s="4">
        <v>46064.375085336993</v>
      </c>
      <c r="C2702" t="s">
        <v>12</v>
      </c>
      <c r="D2702" t="s">
        <v>22</v>
      </c>
      <c r="E2702" t="s">
        <v>23</v>
      </c>
      <c r="F2702">
        <v>4659.68</v>
      </c>
    </row>
    <row r="2703" spans="1:6" x14ac:dyDescent="0.35">
      <c r="A2703">
        <v>1022</v>
      </c>
      <c r="B2703" s="4">
        <v>46065.375085336993</v>
      </c>
      <c r="C2703" t="s">
        <v>6</v>
      </c>
      <c r="D2703" t="s">
        <v>16</v>
      </c>
      <c r="E2703" t="s">
        <v>24</v>
      </c>
      <c r="F2703">
        <v>1566.91</v>
      </c>
    </row>
    <row r="2704" spans="1:6" x14ac:dyDescent="0.35">
      <c r="A2704">
        <v>1391</v>
      </c>
      <c r="B2704" s="4">
        <v>46065.375085336993</v>
      </c>
      <c r="C2704" t="s">
        <v>15</v>
      </c>
      <c r="D2704" t="s">
        <v>17</v>
      </c>
      <c r="E2704" t="s">
        <v>23</v>
      </c>
      <c r="F2704">
        <v>6888.26</v>
      </c>
    </row>
    <row r="2705" spans="1:6" x14ac:dyDescent="0.35">
      <c r="A2705">
        <v>1309</v>
      </c>
      <c r="B2705" s="4">
        <v>46065.375085336993</v>
      </c>
      <c r="C2705" t="s">
        <v>6</v>
      </c>
      <c r="D2705" t="s">
        <v>20</v>
      </c>
      <c r="E2705" t="s">
        <v>24</v>
      </c>
      <c r="F2705">
        <v>1311.77</v>
      </c>
    </row>
    <row r="2706" spans="1:6" x14ac:dyDescent="0.35">
      <c r="A2706">
        <v>1399</v>
      </c>
      <c r="B2706" s="4">
        <v>46065.375085336993</v>
      </c>
      <c r="C2706" t="s">
        <v>12</v>
      </c>
      <c r="D2706" t="s">
        <v>20</v>
      </c>
      <c r="E2706" t="s">
        <v>24</v>
      </c>
      <c r="F2706">
        <v>577.04999999999995</v>
      </c>
    </row>
    <row r="2707" spans="1:6" x14ac:dyDescent="0.35">
      <c r="A2707">
        <v>1354</v>
      </c>
      <c r="B2707" s="4">
        <v>46065.375085336993</v>
      </c>
      <c r="C2707" t="s">
        <v>13</v>
      </c>
      <c r="D2707" t="s">
        <v>21</v>
      </c>
      <c r="E2707" t="s">
        <v>25</v>
      </c>
      <c r="F2707">
        <v>4451.71</v>
      </c>
    </row>
    <row r="2708" spans="1:6" x14ac:dyDescent="0.35">
      <c r="A2708">
        <v>1174</v>
      </c>
      <c r="B2708" s="4">
        <v>46065.375085336993</v>
      </c>
      <c r="C2708" t="s">
        <v>6</v>
      </c>
      <c r="D2708" t="s">
        <v>16</v>
      </c>
      <c r="E2708" t="s">
        <v>25</v>
      </c>
      <c r="F2708">
        <v>5079.8599999999997</v>
      </c>
    </row>
    <row r="2709" spans="1:6" x14ac:dyDescent="0.35">
      <c r="A2709">
        <v>1281</v>
      </c>
      <c r="B2709" s="4">
        <v>46065.375085336993</v>
      </c>
      <c r="C2709" t="s">
        <v>14</v>
      </c>
      <c r="D2709" t="s">
        <v>20</v>
      </c>
      <c r="E2709" t="s">
        <v>25</v>
      </c>
      <c r="F2709">
        <v>3960.19</v>
      </c>
    </row>
    <row r="2710" spans="1:6" x14ac:dyDescent="0.35">
      <c r="A2710">
        <v>1230</v>
      </c>
      <c r="B2710" s="4">
        <v>46066.375085336993</v>
      </c>
      <c r="C2710" t="s">
        <v>15</v>
      </c>
      <c r="D2710" t="s">
        <v>20</v>
      </c>
      <c r="E2710" t="s">
        <v>23</v>
      </c>
      <c r="F2710">
        <v>2539.96</v>
      </c>
    </row>
    <row r="2711" spans="1:6" x14ac:dyDescent="0.35">
      <c r="A2711">
        <v>1072</v>
      </c>
      <c r="B2711" s="4">
        <v>46066.375085336993</v>
      </c>
      <c r="C2711" t="s">
        <v>15</v>
      </c>
      <c r="D2711" t="s">
        <v>18</v>
      </c>
      <c r="E2711" t="s">
        <v>23</v>
      </c>
      <c r="F2711">
        <v>6400.72</v>
      </c>
    </row>
    <row r="2712" spans="1:6" x14ac:dyDescent="0.35">
      <c r="A2712">
        <v>1049</v>
      </c>
      <c r="B2712" s="4">
        <v>46066.375085336993</v>
      </c>
      <c r="C2712" t="s">
        <v>8</v>
      </c>
      <c r="D2712" t="s">
        <v>21</v>
      </c>
      <c r="E2712" t="s">
        <v>23</v>
      </c>
      <c r="F2712">
        <v>3717.27</v>
      </c>
    </row>
    <row r="2713" spans="1:6" x14ac:dyDescent="0.35">
      <c r="A2713">
        <v>1035</v>
      </c>
      <c r="B2713" s="4">
        <v>46066.375085336993</v>
      </c>
      <c r="C2713" t="s">
        <v>12</v>
      </c>
      <c r="D2713" t="s">
        <v>19</v>
      </c>
      <c r="E2713" t="s">
        <v>24</v>
      </c>
      <c r="F2713">
        <v>3818.49</v>
      </c>
    </row>
    <row r="2714" spans="1:6" x14ac:dyDescent="0.35">
      <c r="A2714">
        <v>1287</v>
      </c>
      <c r="B2714" s="4">
        <v>46066.375085336993</v>
      </c>
      <c r="C2714" t="s">
        <v>10</v>
      </c>
      <c r="D2714" t="s">
        <v>22</v>
      </c>
      <c r="E2714" t="s">
        <v>23</v>
      </c>
      <c r="F2714">
        <v>2738.41</v>
      </c>
    </row>
    <row r="2715" spans="1:6" x14ac:dyDescent="0.35">
      <c r="A2715">
        <v>1336</v>
      </c>
      <c r="B2715" s="4">
        <v>46066.375085336993</v>
      </c>
      <c r="C2715" t="s">
        <v>7</v>
      </c>
      <c r="D2715" t="s">
        <v>17</v>
      </c>
      <c r="E2715" t="s">
        <v>24</v>
      </c>
      <c r="F2715">
        <v>2055.87</v>
      </c>
    </row>
    <row r="2716" spans="1:6" x14ac:dyDescent="0.35">
      <c r="A2716">
        <v>1329</v>
      </c>
      <c r="B2716" s="4">
        <v>46066.375085336993</v>
      </c>
      <c r="C2716" t="s">
        <v>9</v>
      </c>
      <c r="D2716" t="s">
        <v>20</v>
      </c>
      <c r="E2716" t="s">
        <v>24</v>
      </c>
      <c r="F2716">
        <v>2830.47</v>
      </c>
    </row>
    <row r="2717" spans="1:6" x14ac:dyDescent="0.35">
      <c r="A2717">
        <v>1344</v>
      </c>
      <c r="B2717" s="4">
        <v>46067.375085336993</v>
      </c>
      <c r="C2717" t="s">
        <v>7</v>
      </c>
      <c r="D2717" t="s">
        <v>19</v>
      </c>
      <c r="E2717" t="s">
        <v>23</v>
      </c>
      <c r="F2717">
        <v>1919.49</v>
      </c>
    </row>
    <row r="2718" spans="1:6" x14ac:dyDescent="0.35">
      <c r="A2718">
        <v>1098</v>
      </c>
      <c r="B2718" s="4">
        <v>46067.375085336993</v>
      </c>
      <c r="C2718" t="s">
        <v>12</v>
      </c>
      <c r="D2718" t="s">
        <v>17</v>
      </c>
      <c r="E2718" t="s">
        <v>24</v>
      </c>
      <c r="F2718">
        <v>5335.85</v>
      </c>
    </row>
    <row r="2719" spans="1:6" x14ac:dyDescent="0.35">
      <c r="A2719">
        <v>1365</v>
      </c>
      <c r="B2719" s="4">
        <v>46067.375085336993</v>
      </c>
      <c r="C2719" t="s">
        <v>7</v>
      </c>
      <c r="D2719" t="s">
        <v>18</v>
      </c>
      <c r="E2719" t="s">
        <v>24</v>
      </c>
      <c r="F2719">
        <v>76.05</v>
      </c>
    </row>
    <row r="2720" spans="1:6" x14ac:dyDescent="0.35">
      <c r="A2720">
        <v>1266</v>
      </c>
      <c r="B2720" s="4">
        <v>46067.375085336993</v>
      </c>
      <c r="C2720" t="s">
        <v>11</v>
      </c>
      <c r="D2720" t="s">
        <v>16</v>
      </c>
      <c r="E2720" t="s">
        <v>25</v>
      </c>
      <c r="F2720">
        <v>1602.49</v>
      </c>
    </row>
    <row r="2721" spans="1:6" x14ac:dyDescent="0.35">
      <c r="A2721">
        <v>1016</v>
      </c>
      <c r="B2721" s="4">
        <v>46067.375085336993</v>
      </c>
      <c r="C2721" t="s">
        <v>9</v>
      </c>
      <c r="D2721" t="s">
        <v>17</v>
      </c>
      <c r="E2721" t="s">
        <v>25</v>
      </c>
      <c r="F2721">
        <v>1028.5999999999999</v>
      </c>
    </row>
    <row r="2722" spans="1:6" x14ac:dyDescent="0.35">
      <c r="A2722">
        <v>1107</v>
      </c>
      <c r="B2722" s="4">
        <v>46067.375085336993</v>
      </c>
      <c r="C2722" t="s">
        <v>6</v>
      </c>
      <c r="D2722" t="s">
        <v>16</v>
      </c>
      <c r="E2722" t="s">
        <v>23</v>
      </c>
      <c r="F2722">
        <v>8603.52</v>
      </c>
    </row>
    <row r="2723" spans="1:6" x14ac:dyDescent="0.35">
      <c r="A2723">
        <v>1162</v>
      </c>
      <c r="B2723" s="4">
        <v>46068.375085336993</v>
      </c>
      <c r="C2723" t="s">
        <v>12</v>
      </c>
      <c r="D2723" t="s">
        <v>16</v>
      </c>
      <c r="E2723" t="s">
        <v>25</v>
      </c>
      <c r="F2723">
        <v>1994.22</v>
      </c>
    </row>
    <row r="2724" spans="1:6" x14ac:dyDescent="0.35">
      <c r="A2724">
        <v>1283</v>
      </c>
      <c r="B2724" s="4">
        <v>46068.375085336993</v>
      </c>
      <c r="C2724" t="s">
        <v>12</v>
      </c>
      <c r="D2724" t="s">
        <v>17</v>
      </c>
      <c r="E2724" t="s">
        <v>25</v>
      </c>
      <c r="F2724">
        <v>1964.45</v>
      </c>
    </row>
    <row r="2725" spans="1:6" x14ac:dyDescent="0.35">
      <c r="A2725">
        <v>1284</v>
      </c>
      <c r="B2725" s="4">
        <v>46068.375085336993</v>
      </c>
      <c r="C2725" t="s">
        <v>6</v>
      </c>
      <c r="D2725" t="s">
        <v>21</v>
      </c>
      <c r="E2725" t="s">
        <v>24</v>
      </c>
      <c r="F2725">
        <v>6036.49</v>
      </c>
    </row>
    <row r="2726" spans="1:6" x14ac:dyDescent="0.35">
      <c r="A2726">
        <v>1372</v>
      </c>
      <c r="B2726" s="4">
        <v>46069.375085336993</v>
      </c>
      <c r="C2726" t="s">
        <v>6</v>
      </c>
      <c r="D2726" t="s">
        <v>17</v>
      </c>
      <c r="E2726" t="s">
        <v>23</v>
      </c>
      <c r="F2726">
        <v>7469.72</v>
      </c>
    </row>
    <row r="2727" spans="1:6" x14ac:dyDescent="0.35">
      <c r="A2727">
        <v>1214</v>
      </c>
      <c r="B2727" s="4">
        <v>46069.375085336993</v>
      </c>
      <c r="C2727" t="s">
        <v>10</v>
      </c>
      <c r="D2727" t="s">
        <v>22</v>
      </c>
      <c r="E2727" t="s">
        <v>23</v>
      </c>
      <c r="F2727">
        <v>12968.14</v>
      </c>
    </row>
    <row r="2728" spans="1:6" x14ac:dyDescent="0.35">
      <c r="A2728">
        <v>1228</v>
      </c>
      <c r="B2728" s="4">
        <v>46069.375085336993</v>
      </c>
      <c r="C2728" t="s">
        <v>14</v>
      </c>
      <c r="D2728" t="s">
        <v>17</v>
      </c>
      <c r="E2728" t="s">
        <v>25</v>
      </c>
      <c r="F2728">
        <v>1920.41</v>
      </c>
    </row>
    <row r="2729" spans="1:6" x14ac:dyDescent="0.35">
      <c r="A2729">
        <v>1104</v>
      </c>
      <c r="B2729" s="4">
        <v>46069.375085336993</v>
      </c>
      <c r="C2729" t="s">
        <v>12</v>
      </c>
      <c r="D2729" t="s">
        <v>21</v>
      </c>
      <c r="E2729" t="s">
        <v>25</v>
      </c>
      <c r="F2729">
        <v>6068.36</v>
      </c>
    </row>
    <row r="2730" spans="1:6" x14ac:dyDescent="0.35">
      <c r="A2730">
        <v>1041</v>
      </c>
      <c r="B2730" s="4">
        <v>46069.375085336993</v>
      </c>
      <c r="C2730" t="s">
        <v>8</v>
      </c>
      <c r="D2730" t="s">
        <v>18</v>
      </c>
      <c r="E2730" t="s">
        <v>25</v>
      </c>
      <c r="F2730">
        <v>6324.45</v>
      </c>
    </row>
    <row r="2731" spans="1:6" x14ac:dyDescent="0.35">
      <c r="A2731">
        <v>1011</v>
      </c>
      <c r="B2731" s="4">
        <v>46069.375085336993</v>
      </c>
      <c r="C2731" t="s">
        <v>13</v>
      </c>
      <c r="D2731" t="s">
        <v>19</v>
      </c>
      <c r="E2731" t="s">
        <v>25</v>
      </c>
      <c r="F2731">
        <v>3234.23</v>
      </c>
    </row>
    <row r="2732" spans="1:6" x14ac:dyDescent="0.35">
      <c r="A2732">
        <v>1325</v>
      </c>
      <c r="B2732" s="4">
        <v>46070.375085336993</v>
      </c>
      <c r="C2732" t="s">
        <v>12</v>
      </c>
      <c r="D2732" t="s">
        <v>16</v>
      </c>
      <c r="E2732" t="s">
        <v>23</v>
      </c>
      <c r="F2732">
        <v>5294.2</v>
      </c>
    </row>
    <row r="2733" spans="1:6" x14ac:dyDescent="0.35">
      <c r="A2733">
        <v>1116</v>
      </c>
      <c r="B2733" s="4">
        <v>46070.375085336993</v>
      </c>
      <c r="C2733" t="s">
        <v>7</v>
      </c>
      <c r="D2733" t="s">
        <v>22</v>
      </c>
      <c r="E2733" t="s">
        <v>24</v>
      </c>
      <c r="F2733">
        <v>1508.67</v>
      </c>
    </row>
    <row r="2734" spans="1:6" x14ac:dyDescent="0.35">
      <c r="A2734">
        <v>1322</v>
      </c>
      <c r="B2734" s="4">
        <v>46070.375085336993</v>
      </c>
      <c r="C2734" t="s">
        <v>13</v>
      </c>
      <c r="D2734" t="s">
        <v>20</v>
      </c>
      <c r="E2734" t="s">
        <v>23</v>
      </c>
      <c r="F2734">
        <v>10591.74</v>
      </c>
    </row>
    <row r="2735" spans="1:6" x14ac:dyDescent="0.35">
      <c r="A2735">
        <v>1013</v>
      </c>
      <c r="B2735" s="4">
        <v>46070.375085336993</v>
      </c>
      <c r="C2735" t="s">
        <v>6</v>
      </c>
      <c r="D2735" t="s">
        <v>17</v>
      </c>
      <c r="E2735" t="s">
        <v>25</v>
      </c>
      <c r="F2735">
        <v>3541.72</v>
      </c>
    </row>
    <row r="2736" spans="1:6" x14ac:dyDescent="0.35">
      <c r="A2736">
        <v>1150</v>
      </c>
      <c r="B2736" s="4">
        <v>46071.375085336993</v>
      </c>
      <c r="C2736" t="s">
        <v>12</v>
      </c>
      <c r="D2736" t="s">
        <v>19</v>
      </c>
      <c r="E2736" t="s">
        <v>24</v>
      </c>
      <c r="F2736">
        <v>5840.29</v>
      </c>
    </row>
    <row r="2737" spans="1:6" x14ac:dyDescent="0.35">
      <c r="A2737">
        <v>1140</v>
      </c>
      <c r="B2737" s="4">
        <v>46071.375085336993</v>
      </c>
      <c r="C2737" t="s">
        <v>6</v>
      </c>
      <c r="D2737" t="s">
        <v>20</v>
      </c>
      <c r="E2737" t="s">
        <v>24</v>
      </c>
      <c r="F2737">
        <v>4293.71</v>
      </c>
    </row>
    <row r="2738" spans="1:6" x14ac:dyDescent="0.35">
      <c r="A2738">
        <v>1327</v>
      </c>
      <c r="B2738" s="4">
        <v>46071.375085336993</v>
      </c>
      <c r="C2738" t="s">
        <v>8</v>
      </c>
      <c r="D2738" t="s">
        <v>21</v>
      </c>
      <c r="E2738" t="s">
        <v>23</v>
      </c>
      <c r="F2738">
        <v>2428.9499999999998</v>
      </c>
    </row>
    <row r="2739" spans="1:6" x14ac:dyDescent="0.35">
      <c r="A2739">
        <v>1185</v>
      </c>
      <c r="B2739" s="4">
        <v>46071.375085336993</v>
      </c>
      <c r="C2739" t="s">
        <v>7</v>
      </c>
      <c r="D2739" t="s">
        <v>16</v>
      </c>
      <c r="E2739" t="s">
        <v>23</v>
      </c>
      <c r="F2739">
        <v>2362.4499999999998</v>
      </c>
    </row>
    <row r="2740" spans="1:6" x14ac:dyDescent="0.35">
      <c r="A2740">
        <v>1000</v>
      </c>
      <c r="B2740" s="4">
        <v>46072.375085336993</v>
      </c>
      <c r="C2740" t="s">
        <v>12</v>
      </c>
      <c r="D2740" t="s">
        <v>21</v>
      </c>
      <c r="E2740" t="s">
        <v>25</v>
      </c>
      <c r="F2740">
        <v>8622.2099999999991</v>
      </c>
    </row>
    <row r="2741" spans="1:6" x14ac:dyDescent="0.35">
      <c r="A2741">
        <v>1319</v>
      </c>
      <c r="B2741" s="4">
        <v>46072.375085336993</v>
      </c>
      <c r="C2741" t="s">
        <v>7</v>
      </c>
      <c r="D2741" t="s">
        <v>18</v>
      </c>
      <c r="E2741" t="s">
        <v>25</v>
      </c>
      <c r="F2741">
        <v>7759.75</v>
      </c>
    </row>
    <row r="2742" spans="1:6" x14ac:dyDescent="0.35">
      <c r="A2742">
        <v>1390</v>
      </c>
      <c r="B2742" s="4">
        <v>46072.375085336993</v>
      </c>
      <c r="C2742" t="s">
        <v>15</v>
      </c>
      <c r="D2742" t="s">
        <v>19</v>
      </c>
      <c r="E2742" t="s">
        <v>25</v>
      </c>
      <c r="F2742">
        <v>9440</v>
      </c>
    </row>
    <row r="2743" spans="1:6" x14ac:dyDescent="0.35">
      <c r="A2743">
        <v>1366</v>
      </c>
      <c r="B2743" s="4">
        <v>46073.375085336993</v>
      </c>
      <c r="C2743" t="s">
        <v>6</v>
      </c>
      <c r="D2743" t="s">
        <v>20</v>
      </c>
      <c r="E2743" t="s">
        <v>24</v>
      </c>
      <c r="F2743">
        <v>2790.49</v>
      </c>
    </row>
    <row r="2744" spans="1:6" x14ac:dyDescent="0.35">
      <c r="A2744">
        <v>1293</v>
      </c>
      <c r="B2744" s="4">
        <v>46073.375085336993</v>
      </c>
      <c r="C2744" t="s">
        <v>10</v>
      </c>
      <c r="D2744" t="s">
        <v>19</v>
      </c>
      <c r="E2744" t="s">
        <v>24</v>
      </c>
      <c r="F2744">
        <v>5386.29</v>
      </c>
    </row>
    <row r="2745" spans="1:6" x14ac:dyDescent="0.35">
      <c r="A2745">
        <v>1048</v>
      </c>
      <c r="B2745" s="4">
        <v>46073.375085336993</v>
      </c>
      <c r="C2745" t="s">
        <v>7</v>
      </c>
      <c r="D2745" t="s">
        <v>22</v>
      </c>
      <c r="E2745" t="s">
        <v>23</v>
      </c>
      <c r="F2745">
        <v>2340.0700000000002</v>
      </c>
    </row>
    <row r="2746" spans="1:6" x14ac:dyDescent="0.35">
      <c r="A2746">
        <v>1020</v>
      </c>
      <c r="B2746" s="4">
        <v>46073.375085336993</v>
      </c>
      <c r="C2746" t="s">
        <v>14</v>
      </c>
      <c r="D2746" t="s">
        <v>18</v>
      </c>
      <c r="E2746" t="s">
        <v>23</v>
      </c>
      <c r="F2746">
        <v>2682.79</v>
      </c>
    </row>
    <row r="2747" spans="1:6" x14ac:dyDescent="0.35">
      <c r="A2747">
        <v>1046</v>
      </c>
      <c r="B2747" s="4">
        <v>46073.375085336993</v>
      </c>
      <c r="C2747" t="s">
        <v>12</v>
      </c>
      <c r="D2747" t="s">
        <v>16</v>
      </c>
      <c r="E2747" t="s">
        <v>23</v>
      </c>
      <c r="F2747">
        <v>2904.82</v>
      </c>
    </row>
    <row r="2748" spans="1:6" x14ac:dyDescent="0.35">
      <c r="A2748">
        <v>1011</v>
      </c>
      <c r="B2748" s="4">
        <v>46074.375085336993</v>
      </c>
      <c r="C2748" t="s">
        <v>15</v>
      </c>
      <c r="D2748" t="s">
        <v>17</v>
      </c>
      <c r="E2748" t="s">
        <v>23</v>
      </c>
      <c r="F2748">
        <v>1079.04</v>
      </c>
    </row>
    <row r="2749" spans="1:6" x14ac:dyDescent="0.35">
      <c r="A2749">
        <v>1052</v>
      </c>
      <c r="B2749" s="4">
        <v>46074.375085336993</v>
      </c>
      <c r="C2749" t="s">
        <v>9</v>
      </c>
      <c r="D2749" t="s">
        <v>17</v>
      </c>
      <c r="E2749" t="s">
        <v>25</v>
      </c>
      <c r="F2749">
        <v>1724.59</v>
      </c>
    </row>
    <row r="2750" spans="1:6" x14ac:dyDescent="0.35">
      <c r="A2750">
        <v>1116</v>
      </c>
      <c r="B2750" s="4">
        <v>46074.375085336993</v>
      </c>
      <c r="C2750" t="s">
        <v>6</v>
      </c>
      <c r="D2750" t="s">
        <v>19</v>
      </c>
      <c r="E2750" t="s">
        <v>25</v>
      </c>
      <c r="F2750">
        <v>9401.2199999999993</v>
      </c>
    </row>
    <row r="2751" spans="1:6" x14ac:dyDescent="0.35">
      <c r="A2751">
        <v>1354</v>
      </c>
      <c r="B2751" s="4">
        <v>46074.375085336993</v>
      </c>
      <c r="C2751" t="s">
        <v>15</v>
      </c>
      <c r="D2751" t="s">
        <v>21</v>
      </c>
      <c r="E2751" t="s">
        <v>23</v>
      </c>
      <c r="F2751">
        <v>3990.72</v>
      </c>
    </row>
    <row r="2752" spans="1:6" x14ac:dyDescent="0.35">
      <c r="A2752">
        <v>1251</v>
      </c>
      <c r="B2752" s="4">
        <v>46075.375085336993</v>
      </c>
      <c r="C2752" t="s">
        <v>6</v>
      </c>
      <c r="D2752" t="s">
        <v>21</v>
      </c>
      <c r="E2752" t="s">
        <v>23</v>
      </c>
      <c r="F2752">
        <v>3491.03</v>
      </c>
    </row>
    <row r="2753" spans="1:6" x14ac:dyDescent="0.35">
      <c r="A2753">
        <v>1071</v>
      </c>
      <c r="B2753" s="4">
        <v>46075.375085336993</v>
      </c>
      <c r="C2753" t="s">
        <v>11</v>
      </c>
      <c r="D2753" t="s">
        <v>20</v>
      </c>
      <c r="E2753" t="s">
        <v>23</v>
      </c>
      <c r="F2753">
        <v>2934.53</v>
      </c>
    </row>
    <row r="2754" spans="1:6" x14ac:dyDescent="0.35">
      <c r="A2754">
        <v>1310</v>
      </c>
      <c r="B2754" s="4">
        <v>46075.375085336993</v>
      </c>
      <c r="C2754" t="s">
        <v>15</v>
      </c>
      <c r="D2754" t="s">
        <v>18</v>
      </c>
      <c r="E2754" t="s">
        <v>25</v>
      </c>
      <c r="F2754">
        <v>4627.1099999999997</v>
      </c>
    </row>
    <row r="2755" spans="1:6" x14ac:dyDescent="0.35">
      <c r="A2755">
        <v>1339</v>
      </c>
      <c r="B2755" s="4">
        <v>46075.375085336993</v>
      </c>
      <c r="C2755" t="s">
        <v>7</v>
      </c>
      <c r="D2755" t="s">
        <v>18</v>
      </c>
      <c r="E2755" t="s">
        <v>24</v>
      </c>
      <c r="F2755">
        <v>2558.27</v>
      </c>
    </row>
    <row r="2756" spans="1:6" x14ac:dyDescent="0.35">
      <c r="A2756">
        <v>1399</v>
      </c>
      <c r="B2756" s="4">
        <v>46075.375085336993</v>
      </c>
      <c r="C2756" t="s">
        <v>7</v>
      </c>
      <c r="D2756" t="s">
        <v>20</v>
      </c>
      <c r="E2756" t="s">
        <v>24</v>
      </c>
      <c r="F2756">
        <v>5078.1099999999997</v>
      </c>
    </row>
    <row r="2757" spans="1:6" x14ac:dyDescent="0.35">
      <c r="A2757">
        <v>1329</v>
      </c>
      <c r="B2757" s="4">
        <v>46075.375085336993</v>
      </c>
      <c r="C2757" t="s">
        <v>14</v>
      </c>
      <c r="D2757" t="s">
        <v>20</v>
      </c>
      <c r="E2757" t="s">
        <v>24</v>
      </c>
      <c r="F2757">
        <v>3124.46</v>
      </c>
    </row>
    <row r="2758" spans="1:6" x14ac:dyDescent="0.35">
      <c r="A2758">
        <v>1319</v>
      </c>
      <c r="B2758" s="4">
        <v>46076.375085336993</v>
      </c>
      <c r="C2758" t="s">
        <v>9</v>
      </c>
      <c r="D2758" t="s">
        <v>21</v>
      </c>
      <c r="E2758" t="s">
        <v>23</v>
      </c>
      <c r="F2758">
        <v>10142.370000000001</v>
      </c>
    </row>
    <row r="2759" spans="1:6" x14ac:dyDescent="0.35">
      <c r="A2759">
        <v>1398</v>
      </c>
      <c r="B2759" s="4">
        <v>46077.375085336993</v>
      </c>
      <c r="C2759" t="s">
        <v>14</v>
      </c>
      <c r="D2759" t="s">
        <v>21</v>
      </c>
      <c r="E2759" t="s">
        <v>23</v>
      </c>
      <c r="F2759">
        <v>5286.21</v>
      </c>
    </row>
    <row r="2760" spans="1:6" x14ac:dyDescent="0.35">
      <c r="A2760">
        <v>1378</v>
      </c>
      <c r="B2760" s="4">
        <v>46077.375085336993</v>
      </c>
      <c r="C2760" t="s">
        <v>14</v>
      </c>
      <c r="D2760" t="s">
        <v>17</v>
      </c>
      <c r="E2760" t="s">
        <v>23</v>
      </c>
      <c r="F2760">
        <v>2350.39</v>
      </c>
    </row>
    <row r="2761" spans="1:6" x14ac:dyDescent="0.35">
      <c r="A2761">
        <v>1362</v>
      </c>
      <c r="B2761" s="4">
        <v>46077.375085336993</v>
      </c>
      <c r="C2761" t="s">
        <v>11</v>
      </c>
      <c r="D2761" t="s">
        <v>19</v>
      </c>
      <c r="E2761" t="s">
        <v>25</v>
      </c>
      <c r="F2761">
        <v>8578.94</v>
      </c>
    </row>
    <row r="2762" spans="1:6" x14ac:dyDescent="0.35">
      <c r="A2762">
        <v>1264</v>
      </c>
      <c r="B2762" s="4">
        <v>46077.375085336993</v>
      </c>
      <c r="C2762" t="s">
        <v>6</v>
      </c>
      <c r="D2762" t="s">
        <v>19</v>
      </c>
      <c r="E2762" t="s">
        <v>24</v>
      </c>
      <c r="F2762">
        <v>4415.12</v>
      </c>
    </row>
    <row r="2763" spans="1:6" x14ac:dyDescent="0.35">
      <c r="A2763">
        <v>1116</v>
      </c>
      <c r="B2763" s="4">
        <v>46077.375085336993</v>
      </c>
      <c r="C2763" t="s">
        <v>14</v>
      </c>
      <c r="D2763" t="s">
        <v>20</v>
      </c>
      <c r="E2763" t="s">
        <v>24</v>
      </c>
      <c r="F2763">
        <v>928.4</v>
      </c>
    </row>
    <row r="2764" spans="1:6" x14ac:dyDescent="0.35">
      <c r="A2764">
        <v>1152</v>
      </c>
      <c r="B2764" s="4">
        <v>46078.375085336993</v>
      </c>
      <c r="C2764" t="s">
        <v>14</v>
      </c>
      <c r="D2764" t="s">
        <v>20</v>
      </c>
      <c r="E2764" t="s">
        <v>24</v>
      </c>
      <c r="F2764">
        <v>1891.72</v>
      </c>
    </row>
    <row r="2765" spans="1:6" x14ac:dyDescent="0.35">
      <c r="A2765">
        <v>1178</v>
      </c>
      <c r="B2765" s="4">
        <v>46078.375085336993</v>
      </c>
      <c r="C2765" t="s">
        <v>11</v>
      </c>
      <c r="D2765" t="s">
        <v>21</v>
      </c>
      <c r="E2765" t="s">
        <v>23</v>
      </c>
      <c r="F2765">
        <v>1507.06</v>
      </c>
    </row>
    <row r="2766" spans="1:6" x14ac:dyDescent="0.35">
      <c r="A2766">
        <v>1385</v>
      </c>
      <c r="B2766" s="4">
        <v>46078.375085336993</v>
      </c>
      <c r="C2766" t="s">
        <v>6</v>
      </c>
      <c r="D2766" t="s">
        <v>17</v>
      </c>
      <c r="E2766" t="s">
        <v>23</v>
      </c>
      <c r="F2766">
        <v>5608.38</v>
      </c>
    </row>
    <row r="2767" spans="1:6" x14ac:dyDescent="0.35">
      <c r="A2767">
        <v>1116</v>
      </c>
      <c r="B2767" s="4">
        <v>46079.375085336993</v>
      </c>
      <c r="C2767" t="s">
        <v>13</v>
      </c>
      <c r="D2767" t="s">
        <v>18</v>
      </c>
      <c r="E2767" t="s">
        <v>24</v>
      </c>
      <c r="F2767">
        <v>2971.69</v>
      </c>
    </row>
    <row r="2768" spans="1:6" x14ac:dyDescent="0.35">
      <c r="A2768">
        <v>1318</v>
      </c>
      <c r="B2768" s="4">
        <v>46079.375085336993</v>
      </c>
      <c r="C2768" t="s">
        <v>14</v>
      </c>
      <c r="D2768" t="s">
        <v>19</v>
      </c>
      <c r="E2768" t="s">
        <v>23</v>
      </c>
      <c r="F2768">
        <v>1272.8399999999999</v>
      </c>
    </row>
    <row r="2769" spans="1:6" x14ac:dyDescent="0.35">
      <c r="A2769">
        <v>1333</v>
      </c>
      <c r="B2769" s="4">
        <v>46079.375085336993</v>
      </c>
      <c r="C2769" t="s">
        <v>13</v>
      </c>
      <c r="D2769" t="s">
        <v>20</v>
      </c>
      <c r="E2769" t="s">
        <v>24</v>
      </c>
      <c r="F2769">
        <v>2348.59</v>
      </c>
    </row>
    <row r="2770" spans="1:6" x14ac:dyDescent="0.35">
      <c r="A2770">
        <v>1241</v>
      </c>
      <c r="B2770" s="4">
        <v>46079.375085336993</v>
      </c>
      <c r="C2770" t="s">
        <v>13</v>
      </c>
      <c r="D2770" t="s">
        <v>17</v>
      </c>
      <c r="E2770" t="s">
        <v>25</v>
      </c>
      <c r="F2770">
        <v>3766.66</v>
      </c>
    </row>
    <row r="2771" spans="1:6" x14ac:dyDescent="0.35">
      <c r="A2771">
        <v>1223</v>
      </c>
      <c r="B2771" s="4">
        <v>46079.375085336993</v>
      </c>
      <c r="C2771" t="s">
        <v>9</v>
      </c>
      <c r="D2771" t="s">
        <v>18</v>
      </c>
      <c r="E2771" t="s">
        <v>23</v>
      </c>
      <c r="F2771">
        <v>6711.72</v>
      </c>
    </row>
    <row r="2772" spans="1:6" x14ac:dyDescent="0.35">
      <c r="A2772">
        <v>1391</v>
      </c>
      <c r="B2772" s="4">
        <v>46079.375085336993</v>
      </c>
      <c r="C2772" t="s">
        <v>7</v>
      </c>
      <c r="D2772" t="s">
        <v>22</v>
      </c>
      <c r="E2772" t="s">
        <v>25</v>
      </c>
      <c r="F2772">
        <v>1655.92</v>
      </c>
    </row>
    <row r="2773" spans="1:6" x14ac:dyDescent="0.35">
      <c r="A2773">
        <v>1292</v>
      </c>
      <c r="B2773" s="4">
        <v>46080.375085336993</v>
      </c>
      <c r="C2773" t="s">
        <v>9</v>
      </c>
      <c r="D2773" t="s">
        <v>20</v>
      </c>
      <c r="E2773" t="s">
        <v>23</v>
      </c>
      <c r="F2773">
        <v>1856.81</v>
      </c>
    </row>
    <row r="2774" spans="1:6" x14ac:dyDescent="0.35">
      <c r="A2774">
        <v>1112</v>
      </c>
      <c r="B2774" s="4">
        <v>46080.375085336993</v>
      </c>
      <c r="C2774" t="s">
        <v>14</v>
      </c>
      <c r="D2774" t="s">
        <v>17</v>
      </c>
      <c r="E2774" t="s">
        <v>23</v>
      </c>
      <c r="F2774">
        <v>375.22</v>
      </c>
    </row>
    <row r="2775" spans="1:6" x14ac:dyDescent="0.35">
      <c r="A2775">
        <v>1012</v>
      </c>
      <c r="B2775" s="4">
        <v>46080.375085336993</v>
      </c>
      <c r="C2775" t="s">
        <v>13</v>
      </c>
      <c r="D2775" t="s">
        <v>17</v>
      </c>
      <c r="E2775" t="s">
        <v>25</v>
      </c>
      <c r="F2775">
        <v>1993.53</v>
      </c>
    </row>
    <row r="2776" spans="1:6" x14ac:dyDescent="0.35">
      <c r="A2776">
        <v>1172</v>
      </c>
      <c r="B2776" s="4">
        <v>46080.375085336993</v>
      </c>
      <c r="C2776" t="s">
        <v>8</v>
      </c>
      <c r="D2776" t="s">
        <v>16</v>
      </c>
      <c r="E2776" t="s">
        <v>23</v>
      </c>
      <c r="F2776">
        <v>5617.24</v>
      </c>
    </row>
    <row r="2777" spans="1:6" x14ac:dyDescent="0.35">
      <c r="A2777">
        <v>1220</v>
      </c>
      <c r="B2777" s="4">
        <v>46080.375085336993</v>
      </c>
      <c r="C2777" t="s">
        <v>7</v>
      </c>
      <c r="D2777" t="s">
        <v>16</v>
      </c>
      <c r="E2777" t="s">
        <v>24</v>
      </c>
      <c r="F2777">
        <v>3571.53</v>
      </c>
    </row>
    <row r="2778" spans="1:6" x14ac:dyDescent="0.35">
      <c r="A2778">
        <v>1151</v>
      </c>
      <c r="B2778" s="4">
        <v>46080.375085336993</v>
      </c>
      <c r="C2778" t="s">
        <v>11</v>
      </c>
      <c r="D2778" t="s">
        <v>16</v>
      </c>
      <c r="E2778" t="s">
        <v>23</v>
      </c>
      <c r="F2778">
        <v>5188.7299999999996</v>
      </c>
    </row>
    <row r="2779" spans="1:6" x14ac:dyDescent="0.35">
      <c r="A2779">
        <v>1153</v>
      </c>
      <c r="B2779" s="4">
        <v>46080.375085336993</v>
      </c>
      <c r="C2779" t="s">
        <v>8</v>
      </c>
      <c r="D2779" t="s">
        <v>17</v>
      </c>
      <c r="E2779" t="s">
        <v>23</v>
      </c>
      <c r="F2779">
        <v>12685.15</v>
      </c>
    </row>
    <row r="2780" spans="1:6" x14ac:dyDescent="0.35">
      <c r="A2780">
        <v>1341</v>
      </c>
      <c r="B2780" s="4">
        <v>46081.375085336993</v>
      </c>
      <c r="C2780" t="s">
        <v>6</v>
      </c>
      <c r="D2780" t="s">
        <v>20</v>
      </c>
      <c r="E2780" t="s">
        <v>25</v>
      </c>
      <c r="F2780">
        <v>2373.11</v>
      </c>
    </row>
    <row r="2781" spans="1:6" x14ac:dyDescent="0.35">
      <c r="A2781">
        <v>1071</v>
      </c>
      <c r="B2781" s="4">
        <v>46081.375085336993</v>
      </c>
      <c r="C2781" t="s">
        <v>6</v>
      </c>
      <c r="D2781" t="s">
        <v>19</v>
      </c>
      <c r="E2781" t="s">
        <v>25</v>
      </c>
      <c r="F2781">
        <v>7091.81</v>
      </c>
    </row>
    <row r="2782" spans="1:6" x14ac:dyDescent="0.35">
      <c r="A2782">
        <v>1287</v>
      </c>
      <c r="B2782" s="4">
        <v>46081.375085336993</v>
      </c>
      <c r="C2782" t="s">
        <v>12</v>
      </c>
      <c r="D2782" t="s">
        <v>21</v>
      </c>
      <c r="E2782" t="s">
        <v>24</v>
      </c>
      <c r="F2782">
        <v>5310.67</v>
      </c>
    </row>
    <row r="2783" spans="1:6" x14ac:dyDescent="0.35">
      <c r="A2783">
        <v>1242</v>
      </c>
      <c r="B2783" s="4">
        <v>46082.375085336993</v>
      </c>
      <c r="C2783" t="s">
        <v>14</v>
      </c>
      <c r="D2783" t="s">
        <v>16</v>
      </c>
      <c r="E2783" t="s">
        <v>23</v>
      </c>
      <c r="F2783">
        <v>1433.5</v>
      </c>
    </row>
    <row r="2784" spans="1:6" x14ac:dyDescent="0.35">
      <c r="A2784">
        <v>1022</v>
      </c>
      <c r="B2784" s="4">
        <v>46082.375085336993</v>
      </c>
      <c r="C2784" t="s">
        <v>11</v>
      </c>
      <c r="D2784" t="s">
        <v>17</v>
      </c>
      <c r="E2784" t="s">
        <v>24</v>
      </c>
      <c r="F2784">
        <v>5152.08</v>
      </c>
    </row>
    <row r="2785" spans="1:6" x14ac:dyDescent="0.35">
      <c r="A2785">
        <v>1330</v>
      </c>
      <c r="B2785" s="4">
        <v>46082.375085336993</v>
      </c>
      <c r="C2785" t="s">
        <v>8</v>
      </c>
      <c r="D2785" t="s">
        <v>21</v>
      </c>
      <c r="E2785" t="s">
        <v>24</v>
      </c>
      <c r="F2785">
        <v>4961.72</v>
      </c>
    </row>
    <row r="2786" spans="1:6" x14ac:dyDescent="0.35">
      <c r="A2786">
        <v>1065</v>
      </c>
      <c r="B2786" s="4">
        <v>46082.375085336993</v>
      </c>
      <c r="C2786" t="s">
        <v>12</v>
      </c>
      <c r="D2786" t="s">
        <v>16</v>
      </c>
      <c r="E2786" t="s">
        <v>25</v>
      </c>
      <c r="F2786">
        <v>10187.370000000001</v>
      </c>
    </row>
    <row r="2787" spans="1:6" x14ac:dyDescent="0.35">
      <c r="A2787">
        <v>1144</v>
      </c>
      <c r="B2787" s="4">
        <v>46083.375085336993</v>
      </c>
      <c r="C2787" t="s">
        <v>9</v>
      </c>
      <c r="D2787" t="s">
        <v>20</v>
      </c>
      <c r="E2787" t="s">
        <v>24</v>
      </c>
      <c r="F2787">
        <v>6137.44</v>
      </c>
    </row>
    <row r="2788" spans="1:6" x14ac:dyDescent="0.35">
      <c r="A2788">
        <v>1177</v>
      </c>
      <c r="B2788" s="4">
        <v>46083.375085336993</v>
      </c>
      <c r="C2788" t="s">
        <v>6</v>
      </c>
      <c r="D2788" t="s">
        <v>18</v>
      </c>
      <c r="E2788" t="s">
        <v>25</v>
      </c>
      <c r="F2788">
        <v>501.48</v>
      </c>
    </row>
    <row r="2789" spans="1:6" x14ac:dyDescent="0.35">
      <c r="A2789">
        <v>1074</v>
      </c>
      <c r="B2789" s="4">
        <v>46083.375085336993</v>
      </c>
      <c r="C2789" t="s">
        <v>10</v>
      </c>
      <c r="D2789" t="s">
        <v>19</v>
      </c>
      <c r="E2789" t="s">
        <v>24</v>
      </c>
      <c r="F2789">
        <v>3258.25</v>
      </c>
    </row>
    <row r="2790" spans="1:6" x14ac:dyDescent="0.35">
      <c r="A2790">
        <v>1083</v>
      </c>
      <c r="B2790" s="4">
        <v>46083.375085336993</v>
      </c>
      <c r="C2790" t="s">
        <v>10</v>
      </c>
      <c r="D2790" t="s">
        <v>17</v>
      </c>
      <c r="E2790" t="s">
        <v>23</v>
      </c>
      <c r="F2790">
        <v>2398.12</v>
      </c>
    </row>
    <row r="2791" spans="1:6" x14ac:dyDescent="0.35">
      <c r="A2791">
        <v>1304</v>
      </c>
      <c r="B2791" s="4">
        <v>46084.375085336993</v>
      </c>
      <c r="C2791" t="s">
        <v>13</v>
      </c>
      <c r="D2791" t="s">
        <v>16</v>
      </c>
      <c r="E2791" t="s">
        <v>24</v>
      </c>
      <c r="F2791">
        <v>682.14</v>
      </c>
    </row>
    <row r="2792" spans="1:6" x14ac:dyDescent="0.35">
      <c r="A2792">
        <v>1277</v>
      </c>
      <c r="B2792" s="4">
        <v>46084.375085336993</v>
      </c>
      <c r="C2792" t="s">
        <v>13</v>
      </c>
      <c r="D2792" t="s">
        <v>16</v>
      </c>
      <c r="E2792" t="s">
        <v>24</v>
      </c>
      <c r="F2792">
        <v>13434.9</v>
      </c>
    </row>
    <row r="2793" spans="1:6" x14ac:dyDescent="0.35">
      <c r="A2793">
        <v>1216</v>
      </c>
      <c r="B2793" s="4">
        <v>46084.375085336993</v>
      </c>
      <c r="C2793" t="s">
        <v>13</v>
      </c>
      <c r="D2793" t="s">
        <v>22</v>
      </c>
      <c r="E2793" t="s">
        <v>24</v>
      </c>
      <c r="F2793">
        <v>2266.71</v>
      </c>
    </row>
    <row r="2794" spans="1:6" x14ac:dyDescent="0.35">
      <c r="A2794">
        <v>1383</v>
      </c>
      <c r="B2794" s="4">
        <v>46084.375085336993</v>
      </c>
      <c r="C2794" t="s">
        <v>11</v>
      </c>
      <c r="D2794" t="s">
        <v>21</v>
      </c>
      <c r="E2794" t="s">
        <v>23</v>
      </c>
      <c r="F2794">
        <v>2608.08</v>
      </c>
    </row>
    <row r="2795" spans="1:6" x14ac:dyDescent="0.35">
      <c r="A2795">
        <v>1179</v>
      </c>
      <c r="B2795" s="4">
        <v>46084.375085336993</v>
      </c>
      <c r="C2795" t="s">
        <v>8</v>
      </c>
      <c r="D2795" t="s">
        <v>18</v>
      </c>
      <c r="E2795" t="s">
        <v>24</v>
      </c>
      <c r="F2795">
        <v>1083.46</v>
      </c>
    </row>
    <row r="2796" spans="1:6" x14ac:dyDescent="0.35">
      <c r="A2796">
        <v>1044</v>
      </c>
      <c r="B2796" s="4">
        <v>46084.375085336993</v>
      </c>
      <c r="C2796" t="s">
        <v>12</v>
      </c>
      <c r="D2796" t="s">
        <v>18</v>
      </c>
      <c r="E2796" t="s">
        <v>25</v>
      </c>
      <c r="F2796">
        <v>912.38</v>
      </c>
    </row>
    <row r="2797" spans="1:6" x14ac:dyDescent="0.35">
      <c r="A2797">
        <v>1226</v>
      </c>
      <c r="B2797" s="4">
        <v>46085.375085336993</v>
      </c>
      <c r="C2797" t="s">
        <v>10</v>
      </c>
      <c r="D2797" t="s">
        <v>22</v>
      </c>
      <c r="E2797" t="s">
        <v>25</v>
      </c>
      <c r="F2797">
        <v>3820.64</v>
      </c>
    </row>
    <row r="2798" spans="1:6" x14ac:dyDescent="0.35">
      <c r="A2798">
        <v>1224</v>
      </c>
      <c r="B2798" s="4">
        <v>46085.375085336993</v>
      </c>
      <c r="C2798" t="s">
        <v>15</v>
      </c>
      <c r="D2798" t="s">
        <v>19</v>
      </c>
      <c r="E2798" t="s">
        <v>25</v>
      </c>
      <c r="F2798">
        <v>2072.2600000000002</v>
      </c>
    </row>
    <row r="2799" spans="1:6" x14ac:dyDescent="0.35">
      <c r="A2799">
        <v>1139</v>
      </c>
      <c r="B2799" s="4">
        <v>46085.375085336993</v>
      </c>
      <c r="C2799" t="s">
        <v>11</v>
      </c>
      <c r="D2799" t="s">
        <v>19</v>
      </c>
      <c r="E2799" t="s">
        <v>24</v>
      </c>
      <c r="F2799">
        <v>2841.08</v>
      </c>
    </row>
    <row r="2800" spans="1:6" x14ac:dyDescent="0.35">
      <c r="A2800">
        <v>1254</v>
      </c>
      <c r="B2800" s="4">
        <v>46085.375085336993</v>
      </c>
      <c r="C2800" t="s">
        <v>9</v>
      </c>
      <c r="D2800" t="s">
        <v>18</v>
      </c>
      <c r="E2800" t="s">
        <v>23</v>
      </c>
      <c r="F2800">
        <v>6783.46</v>
      </c>
    </row>
    <row r="2801" spans="1:6" x14ac:dyDescent="0.35">
      <c r="A2801">
        <v>1240</v>
      </c>
      <c r="B2801" s="4">
        <v>46086.375085336993</v>
      </c>
      <c r="C2801" t="s">
        <v>11</v>
      </c>
      <c r="D2801" t="s">
        <v>19</v>
      </c>
      <c r="E2801" t="s">
        <v>25</v>
      </c>
      <c r="F2801">
        <v>4894.3100000000004</v>
      </c>
    </row>
    <row r="2802" spans="1:6" x14ac:dyDescent="0.35">
      <c r="A2802">
        <v>1390</v>
      </c>
      <c r="B2802" s="4">
        <v>46086.375085336993</v>
      </c>
      <c r="C2802" t="s">
        <v>6</v>
      </c>
      <c r="D2802" t="s">
        <v>16</v>
      </c>
      <c r="E2802" t="s">
        <v>23</v>
      </c>
      <c r="F2802">
        <v>2647.48</v>
      </c>
    </row>
    <row r="2803" spans="1:6" x14ac:dyDescent="0.35">
      <c r="A2803">
        <v>1302</v>
      </c>
      <c r="B2803" s="4">
        <v>46086.375085336993</v>
      </c>
      <c r="C2803" t="s">
        <v>14</v>
      </c>
      <c r="D2803" t="s">
        <v>16</v>
      </c>
      <c r="E2803" t="s">
        <v>24</v>
      </c>
      <c r="F2803">
        <v>9499.7900000000009</v>
      </c>
    </row>
    <row r="2804" spans="1:6" x14ac:dyDescent="0.35">
      <c r="A2804">
        <v>1373</v>
      </c>
      <c r="B2804" s="4">
        <v>46086.375085336993</v>
      </c>
      <c r="C2804" t="s">
        <v>9</v>
      </c>
      <c r="D2804" t="s">
        <v>17</v>
      </c>
      <c r="E2804" t="s">
        <v>23</v>
      </c>
      <c r="F2804">
        <v>4451.97</v>
      </c>
    </row>
    <row r="2805" spans="1:6" x14ac:dyDescent="0.35">
      <c r="A2805">
        <v>1039</v>
      </c>
      <c r="B2805" s="4">
        <v>46086.375085336993</v>
      </c>
      <c r="C2805" t="s">
        <v>13</v>
      </c>
      <c r="D2805" t="s">
        <v>21</v>
      </c>
      <c r="E2805" t="s">
        <v>23</v>
      </c>
      <c r="F2805">
        <v>1252.96</v>
      </c>
    </row>
    <row r="2806" spans="1:6" x14ac:dyDescent="0.35">
      <c r="A2806">
        <v>1097</v>
      </c>
      <c r="B2806" s="4">
        <v>46086.375085336993</v>
      </c>
      <c r="C2806" t="s">
        <v>10</v>
      </c>
      <c r="D2806" t="s">
        <v>19</v>
      </c>
      <c r="E2806" t="s">
        <v>25</v>
      </c>
      <c r="F2806">
        <v>6864.78</v>
      </c>
    </row>
    <row r="2807" spans="1:6" x14ac:dyDescent="0.35">
      <c r="A2807">
        <v>1193</v>
      </c>
      <c r="B2807" s="4">
        <v>46087.375085336993</v>
      </c>
      <c r="C2807" t="s">
        <v>6</v>
      </c>
      <c r="D2807" t="s">
        <v>20</v>
      </c>
      <c r="E2807" t="s">
        <v>24</v>
      </c>
      <c r="F2807">
        <v>9791.33</v>
      </c>
    </row>
    <row r="2808" spans="1:6" x14ac:dyDescent="0.35">
      <c r="A2808">
        <v>1193</v>
      </c>
      <c r="B2808" s="4">
        <v>46087.375085336993</v>
      </c>
      <c r="C2808" t="s">
        <v>13</v>
      </c>
      <c r="D2808" t="s">
        <v>21</v>
      </c>
      <c r="E2808" t="s">
        <v>23</v>
      </c>
      <c r="F2808">
        <v>2502.09</v>
      </c>
    </row>
    <row r="2809" spans="1:6" x14ac:dyDescent="0.35">
      <c r="A2809">
        <v>1099</v>
      </c>
      <c r="B2809" s="4">
        <v>46088.375085336993</v>
      </c>
      <c r="C2809" t="s">
        <v>10</v>
      </c>
      <c r="D2809" t="s">
        <v>21</v>
      </c>
      <c r="E2809" t="s">
        <v>23</v>
      </c>
      <c r="F2809">
        <v>2788.07</v>
      </c>
    </row>
    <row r="2810" spans="1:6" x14ac:dyDescent="0.35">
      <c r="A2810">
        <v>1240</v>
      </c>
      <c r="B2810" s="4">
        <v>46088.375085336993</v>
      </c>
      <c r="C2810" t="s">
        <v>7</v>
      </c>
      <c r="D2810" t="s">
        <v>18</v>
      </c>
      <c r="E2810" t="s">
        <v>23</v>
      </c>
      <c r="F2810">
        <v>2668.23</v>
      </c>
    </row>
    <row r="2811" spans="1:6" x14ac:dyDescent="0.35">
      <c r="A2811">
        <v>1281</v>
      </c>
      <c r="B2811" s="4">
        <v>46088.375085336993</v>
      </c>
      <c r="C2811" t="s">
        <v>14</v>
      </c>
      <c r="D2811" t="s">
        <v>21</v>
      </c>
      <c r="E2811" t="s">
        <v>25</v>
      </c>
      <c r="F2811">
        <v>5149.12</v>
      </c>
    </row>
    <row r="2812" spans="1:6" x14ac:dyDescent="0.35">
      <c r="A2812">
        <v>1152</v>
      </c>
      <c r="B2812" s="4">
        <v>46089.375085336993</v>
      </c>
      <c r="C2812" t="s">
        <v>9</v>
      </c>
      <c r="D2812" t="s">
        <v>18</v>
      </c>
      <c r="E2812" t="s">
        <v>24</v>
      </c>
      <c r="F2812">
        <v>2015.88</v>
      </c>
    </row>
    <row r="2813" spans="1:6" x14ac:dyDescent="0.35">
      <c r="A2813">
        <v>1315</v>
      </c>
      <c r="B2813" s="4">
        <v>46090.375085336993</v>
      </c>
      <c r="C2813" t="s">
        <v>14</v>
      </c>
      <c r="D2813" t="s">
        <v>22</v>
      </c>
      <c r="E2813" t="s">
        <v>24</v>
      </c>
      <c r="F2813">
        <v>435.2</v>
      </c>
    </row>
    <row r="2814" spans="1:6" x14ac:dyDescent="0.35">
      <c r="A2814">
        <v>1293</v>
      </c>
      <c r="B2814" s="4">
        <v>46090.375085336993</v>
      </c>
      <c r="C2814" t="s">
        <v>10</v>
      </c>
      <c r="D2814" t="s">
        <v>21</v>
      </c>
      <c r="E2814" t="s">
        <v>23</v>
      </c>
      <c r="F2814">
        <v>3783.78</v>
      </c>
    </row>
    <row r="2815" spans="1:6" x14ac:dyDescent="0.35">
      <c r="A2815">
        <v>1373</v>
      </c>
      <c r="B2815" s="4">
        <v>46090.375085336993</v>
      </c>
      <c r="C2815" t="s">
        <v>6</v>
      </c>
      <c r="D2815" t="s">
        <v>16</v>
      </c>
      <c r="E2815" t="s">
        <v>25</v>
      </c>
      <c r="F2815">
        <v>2534.4899999999998</v>
      </c>
    </row>
    <row r="2816" spans="1:6" x14ac:dyDescent="0.35">
      <c r="A2816">
        <v>1385</v>
      </c>
      <c r="B2816" s="4">
        <v>46090.375085336993</v>
      </c>
      <c r="C2816" t="s">
        <v>9</v>
      </c>
      <c r="D2816" t="s">
        <v>17</v>
      </c>
      <c r="E2816" t="s">
        <v>23</v>
      </c>
      <c r="F2816">
        <v>477.47</v>
      </c>
    </row>
    <row r="2817" spans="1:6" x14ac:dyDescent="0.35">
      <c r="A2817">
        <v>1313</v>
      </c>
      <c r="B2817" s="4">
        <v>46090.375085336993</v>
      </c>
      <c r="C2817" t="s">
        <v>6</v>
      </c>
      <c r="D2817" t="s">
        <v>16</v>
      </c>
      <c r="E2817" t="s">
        <v>24</v>
      </c>
      <c r="F2817">
        <v>2746.02</v>
      </c>
    </row>
    <row r="2818" spans="1:6" x14ac:dyDescent="0.35">
      <c r="A2818">
        <v>1312</v>
      </c>
      <c r="B2818" s="4">
        <v>46090.375085336993</v>
      </c>
      <c r="C2818" t="s">
        <v>12</v>
      </c>
      <c r="D2818" t="s">
        <v>19</v>
      </c>
      <c r="E2818" t="s">
        <v>24</v>
      </c>
      <c r="F2818">
        <v>3825.28</v>
      </c>
    </row>
    <row r="2819" spans="1:6" x14ac:dyDescent="0.35">
      <c r="A2819">
        <v>1379</v>
      </c>
      <c r="B2819" s="4">
        <v>46090.375085336993</v>
      </c>
      <c r="C2819" t="s">
        <v>13</v>
      </c>
      <c r="D2819" t="s">
        <v>16</v>
      </c>
      <c r="E2819" t="s">
        <v>24</v>
      </c>
      <c r="F2819">
        <v>854.54</v>
      </c>
    </row>
    <row r="2820" spans="1:6" x14ac:dyDescent="0.35">
      <c r="A2820">
        <v>1013</v>
      </c>
      <c r="B2820" s="4">
        <v>46091.375085336993</v>
      </c>
      <c r="C2820" t="s">
        <v>9</v>
      </c>
      <c r="D2820" t="s">
        <v>18</v>
      </c>
      <c r="E2820" t="s">
        <v>24</v>
      </c>
      <c r="F2820">
        <v>2107.13</v>
      </c>
    </row>
    <row r="2821" spans="1:6" x14ac:dyDescent="0.35">
      <c r="A2821">
        <v>1378</v>
      </c>
      <c r="B2821" s="4">
        <v>46091.375085336993</v>
      </c>
      <c r="C2821" t="s">
        <v>9</v>
      </c>
      <c r="D2821" t="s">
        <v>17</v>
      </c>
      <c r="E2821" t="s">
        <v>24</v>
      </c>
      <c r="F2821">
        <v>1937.87</v>
      </c>
    </row>
    <row r="2822" spans="1:6" x14ac:dyDescent="0.35">
      <c r="A2822">
        <v>1161</v>
      </c>
      <c r="B2822" s="4">
        <v>46091.375085336993</v>
      </c>
      <c r="C2822" t="s">
        <v>14</v>
      </c>
      <c r="D2822" t="s">
        <v>16</v>
      </c>
      <c r="E2822" t="s">
        <v>25</v>
      </c>
      <c r="F2822">
        <v>6411.36</v>
      </c>
    </row>
    <row r="2823" spans="1:6" x14ac:dyDescent="0.35">
      <c r="A2823">
        <v>1258</v>
      </c>
      <c r="B2823" s="4">
        <v>46091.375085336993</v>
      </c>
      <c r="C2823" t="s">
        <v>10</v>
      </c>
      <c r="D2823" t="s">
        <v>18</v>
      </c>
      <c r="E2823" t="s">
        <v>24</v>
      </c>
      <c r="F2823">
        <v>3462.05</v>
      </c>
    </row>
    <row r="2824" spans="1:6" x14ac:dyDescent="0.35">
      <c r="A2824">
        <v>1098</v>
      </c>
      <c r="B2824" s="4">
        <v>46092.375085336993</v>
      </c>
      <c r="C2824" t="s">
        <v>7</v>
      </c>
      <c r="D2824" t="s">
        <v>20</v>
      </c>
      <c r="E2824" t="s">
        <v>24</v>
      </c>
      <c r="F2824">
        <v>495.75</v>
      </c>
    </row>
    <row r="2825" spans="1:6" x14ac:dyDescent="0.35">
      <c r="A2825">
        <v>1061</v>
      </c>
      <c r="B2825" s="4">
        <v>46092.375085336993</v>
      </c>
      <c r="C2825" t="s">
        <v>9</v>
      </c>
      <c r="D2825" t="s">
        <v>21</v>
      </c>
      <c r="E2825" t="s">
        <v>23</v>
      </c>
      <c r="F2825">
        <v>2358.5300000000002</v>
      </c>
    </row>
    <row r="2826" spans="1:6" x14ac:dyDescent="0.35">
      <c r="A2826">
        <v>1003</v>
      </c>
      <c r="B2826" s="4">
        <v>46092.375085336993</v>
      </c>
      <c r="C2826" t="s">
        <v>11</v>
      </c>
      <c r="D2826" t="s">
        <v>21</v>
      </c>
      <c r="E2826" t="s">
        <v>25</v>
      </c>
      <c r="F2826">
        <v>4656.3</v>
      </c>
    </row>
    <row r="2827" spans="1:6" x14ac:dyDescent="0.35">
      <c r="A2827">
        <v>1162</v>
      </c>
      <c r="B2827" s="4">
        <v>46092.375085336993</v>
      </c>
      <c r="C2827" t="s">
        <v>15</v>
      </c>
      <c r="D2827" t="s">
        <v>17</v>
      </c>
      <c r="E2827" t="s">
        <v>23</v>
      </c>
      <c r="F2827">
        <v>1927.55</v>
      </c>
    </row>
    <row r="2828" spans="1:6" x14ac:dyDescent="0.35">
      <c r="A2828">
        <v>1291</v>
      </c>
      <c r="B2828" s="4">
        <v>46092.375085336993</v>
      </c>
      <c r="C2828" t="s">
        <v>12</v>
      </c>
      <c r="D2828" t="s">
        <v>20</v>
      </c>
      <c r="E2828" t="s">
        <v>24</v>
      </c>
      <c r="F2828">
        <v>10150.81</v>
      </c>
    </row>
    <row r="2829" spans="1:6" x14ac:dyDescent="0.35">
      <c r="A2829">
        <v>1081</v>
      </c>
      <c r="B2829" s="4">
        <v>46092.375085336993</v>
      </c>
      <c r="C2829" t="s">
        <v>9</v>
      </c>
      <c r="D2829" t="s">
        <v>17</v>
      </c>
      <c r="E2829" t="s">
        <v>25</v>
      </c>
      <c r="F2829">
        <v>2565.87</v>
      </c>
    </row>
    <row r="2830" spans="1:6" x14ac:dyDescent="0.35">
      <c r="A2830">
        <v>1034</v>
      </c>
      <c r="B2830" s="4">
        <v>46093.375085336993</v>
      </c>
      <c r="C2830" t="s">
        <v>11</v>
      </c>
      <c r="D2830" t="s">
        <v>20</v>
      </c>
      <c r="E2830" t="s">
        <v>23</v>
      </c>
      <c r="F2830">
        <v>2150.37</v>
      </c>
    </row>
    <row r="2831" spans="1:6" x14ac:dyDescent="0.35">
      <c r="A2831">
        <v>1248</v>
      </c>
      <c r="B2831" s="4">
        <v>46093.375085336993</v>
      </c>
      <c r="C2831" t="s">
        <v>12</v>
      </c>
      <c r="D2831" t="s">
        <v>18</v>
      </c>
      <c r="E2831" t="s">
        <v>24</v>
      </c>
      <c r="F2831">
        <v>10621.69</v>
      </c>
    </row>
    <row r="2832" spans="1:6" x14ac:dyDescent="0.35">
      <c r="A2832">
        <v>1132</v>
      </c>
      <c r="B2832" s="4">
        <v>46093.375085336993</v>
      </c>
      <c r="C2832" t="s">
        <v>7</v>
      </c>
      <c r="D2832" t="s">
        <v>21</v>
      </c>
      <c r="E2832" t="s">
        <v>24</v>
      </c>
      <c r="F2832">
        <v>4385.34</v>
      </c>
    </row>
    <row r="2833" spans="1:6" x14ac:dyDescent="0.35">
      <c r="A2833">
        <v>1097</v>
      </c>
      <c r="B2833" s="4">
        <v>46093.375085336993</v>
      </c>
      <c r="C2833" t="s">
        <v>11</v>
      </c>
      <c r="D2833" t="s">
        <v>18</v>
      </c>
      <c r="E2833" t="s">
        <v>25</v>
      </c>
      <c r="F2833">
        <v>6665.17</v>
      </c>
    </row>
    <row r="2834" spans="1:6" x14ac:dyDescent="0.35">
      <c r="A2834">
        <v>1182</v>
      </c>
      <c r="B2834" s="4">
        <v>46093.375085336993</v>
      </c>
      <c r="C2834" t="s">
        <v>10</v>
      </c>
      <c r="D2834" t="s">
        <v>18</v>
      </c>
      <c r="E2834" t="s">
        <v>23</v>
      </c>
      <c r="F2834">
        <v>3584.88</v>
      </c>
    </row>
    <row r="2835" spans="1:6" x14ac:dyDescent="0.35">
      <c r="A2835">
        <v>1142</v>
      </c>
      <c r="B2835" s="4">
        <v>46093.375085336993</v>
      </c>
      <c r="C2835" t="s">
        <v>10</v>
      </c>
      <c r="D2835" t="s">
        <v>17</v>
      </c>
      <c r="E2835" t="s">
        <v>23</v>
      </c>
      <c r="F2835">
        <v>4105.34</v>
      </c>
    </row>
    <row r="2836" spans="1:6" x14ac:dyDescent="0.35">
      <c r="A2836">
        <v>1267</v>
      </c>
      <c r="B2836" s="4">
        <v>46094.375085336993</v>
      </c>
      <c r="C2836" t="s">
        <v>12</v>
      </c>
      <c r="D2836" t="s">
        <v>18</v>
      </c>
      <c r="E2836" t="s">
        <v>25</v>
      </c>
      <c r="F2836">
        <v>5559.67</v>
      </c>
    </row>
    <row r="2837" spans="1:6" x14ac:dyDescent="0.35">
      <c r="A2837">
        <v>1177</v>
      </c>
      <c r="B2837" s="4">
        <v>46094.375085336993</v>
      </c>
      <c r="C2837" t="s">
        <v>10</v>
      </c>
      <c r="D2837" t="s">
        <v>17</v>
      </c>
      <c r="E2837" t="s">
        <v>23</v>
      </c>
      <c r="F2837">
        <v>4066.03</v>
      </c>
    </row>
    <row r="2838" spans="1:6" x14ac:dyDescent="0.35">
      <c r="A2838">
        <v>1372</v>
      </c>
      <c r="B2838" s="4">
        <v>46094.375085336993</v>
      </c>
      <c r="C2838" t="s">
        <v>9</v>
      </c>
      <c r="D2838" t="s">
        <v>20</v>
      </c>
      <c r="E2838" t="s">
        <v>23</v>
      </c>
      <c r="F2838">
        <v>843.19</v>
      </c>
    </row>
    <row r="2839" spans="1:6" x14ac:dyDescent="0.35">
      <c r="A2839">
        <v>1308</v>
      </c>
      <c r="B2839" s="4">
        <v>46095.375085336993</v>
      </c>
      <c r="C2839" t="s">
        <v>11</v>
      </c>
      <c r="D2839" t="s">
        <v>19</v>
      </c>
      <c r="E2839" t="s">
        <v>24</v>
      </c>
      <c r="F2839">
        <v>2349.5</v>
      </c>
    </row>
    <row r="2840" spans="1:6" x14ac:dyDescent="0.35">
      <c r="A2840">
        <v>1138</v>
      </c>
      <c r="B2840" s="4">
        <v>46095.375085336993</v>
      </c>
      <c r="C2840" t="s">
        <v>13</v>
      </c>
      <c r="D2840" t="s">
        <v>20</v>
      </c>
      <c r="E2840" t="s">
        <v>25</v>
      </c>
      <c r="F2840">
        <v>7857.24</v>
      </c>
    </row>
    <row r="2841" spans="1:6" x14ac:dyDescent="0.35">
      <c r="A2841">
        <v>1358</v>
      </c>
      <c r="B2841" s="4">
        <v>46095.375085336993</v>
      </c>
      <c r="C2841" t="s">
        <v>14</v>
      </c>
      <c r="D2841" t="s">
        <v>22</v>
      </c>
      <c r="E2841" t="s">
        <v>24</v>
      </c>
      <c r="F2841">
        <v>4146.58</v>
      </c>
    </row>
    <row r="2842" spans="1:6" x14ac:dyDescent="0.35">
      <c r="A2842">
        <v>1034</v>
      </c>
      <c r="B2842" s="4">
        <v>46096.375085336993</v>
      </c>
      <c r="C2842" t="s">
        <v>12</v>
      </c>
      <c r="D2842" t="s">
        <v>16</v>
      </c>
      <c r="E2842" t="s">
        <v>23</v>
      </c>
      <c r="F2842">
        <v>2972.46</v>
      </c>
    </row>
    <row r="2843" spans="1:6" x14ac:dyDescent="0.35">
      <c r="A2843">
        <v>1004</v>
      </c>
      <c r="B2843" s="4">
        <v>46096.375085336993</v>
      </c>
      <c r="C2843" t="s">
        <v>9</v>
      </c>
      <c r="D2843" t="s">
        <v>16</v>
      </c>
      <c r="E2843" t="s">
        <v>24</v>
      </c>
      <c r="F2843">
        <v>2194.9299999999998</v>
      </c>
    </row>
    <row r="2844" spans="1:6" x14ac:dyDescent="0.35">
      <c r="A2844">
        <v>1252</v>
      </c>
      <c r="B2844" s="4">
        <v>46096.375085336993</v>
      </c>
      <c r="C2844" t="s">
        <v>14</v>
      </c>
      <c r="D2844" t="s">
        <v>19</v>
      </c>
      <c r="E2844" t="s">
        <v>24</v>
      </c>
      <c r="F2844">
        <v>11165.63</v>
      </c>
    </row>
    <row r="2845" spans="1:6" x14ac:dyDescent="0.35">
      <c r="A2845">
        <v>1096</v>
      </c>
      <c r="B2845" s="4">
        <v>46096.375085336993</v>
      </c>
      <c r="C2845" t="s">
        <v>9</v>
      </c>
      <c r="D2845" t="s">
        <v>22</v>
      </c>
      <c r="E2845" t="s">
        <v>23</v>
      </c>
      <c r="F2845">
        <v>3026.3</v>
      </c>
    </row>
    <row r="2846" spans="1:6" x14ac:dyDescent="0.35">
      <c r="A2846">
        <v>1107</v>
      </c>
      <c r="B2846" s="4">
        <v>46097.375085336993</v>
      </c>
      <c r="C2846" t="s">
        <v>8</v>
      </c>
      <c r="D2846" t="s">
        <v>20</v>
      </c>
      <c r="E2846" t="s">
        <v>24</v>
      </c>
      <c r="F2846">
        <v>2264.13</v>
      </c>
    </row>
    <row r="2847" spans="1:6" x14ac:dyDescent="0.35">
      <c r="A2847">
        <v>1071</v>
      </c>
      <c r="B2847" s="4">
        <v>46097.375085336993</v>
      </c>
      <c r="C2847" t="s">
        <v>6</v>
      </c>
      <c r="D2847" t="s">
        <v>18</v>
      </c>
      <c r="E2847" t="s">
        <v>24</v>
      </c>
      <c r="F2847">
        <v>7907.19</v>
      </c>
    </row>
    <row r="2848" spans="1:6" x14ac:dyDescent="0.35">
      <c r="A2848">
        <v>1103</v>
      </c>
      <c r="B2848" s="4">
        <v>46097.375085336993</v>
      </c>
      <c r="C2848" t="s">
        <v>13</v>
      </c>
      <c r="D2848" t="s">
        <v>21</v>
      </c>
      <c r="E2848" t="s">
        <v>23</v>
      </c>
      <c r="F2848">
        <v>4062.29</v>
      </c>
    </row>
    <row r="2849" spans="1:6" x14ac:dyDescent="0.35">
      <c r="A2849">
        <v>1290</v>
      </c>
      <c r="B2849" s="4">
        <v>46098.375085336993</v>
      </c>
      <c r="C2849" t="s">
        <v>7</v>
      </c>
      <c r="D2849" t="s">
        <v>16</v>
      </c>
      <c r="E2849" t="s">
        <v>24</v>
      </c>
      <c r="F2849">
        <v>7269.77</v>
      </c>
    </row>
    <row r="2850" spans="1:6" x14ac:dyDescent="0.35">
      <c r="A2850">
        <v>1209</v>
      </c>
      <c r="B2850" s="4">
        <v>46098.375085336993</v>
      </c>
      <c r="C2850" t="s">
        <v>13</v>
      </c>
      <c r="D2850" t="s">
        <v>18</v>
      </c>
      <c r="E2850" t="s">
        <v>25</v>
      </c>
      <c r="F2850">
        <v>504.26</v>
      </c>
    </row>
    <row r="2851" spans="1:6" x14ac:dyDescent="0.35">
      <c r="A2851">
        <v>1037</v>
      </c>
      <c r="B2851" s="4">
        <v>46098.375085336993</v>
      </c>
      <c r="C2851" t="s">
        <v>14</v>
      </c>
      <c r="D2851" t="s">
        <v>18</v>
      </c>
      <c r="E2851" t="s">
        <v>23</v>
      </c>
      <c r="F2851">
        <v>6278.3</v>
      </c>
    </row>
    <row r="2852" spans="1:6" x14ac:dyDescent="0.35">
      <c r="A2852">
        <v>1061</v>
      </c>
      <c r="B2852" s="4">
        <v>46098.375085336993</v>
      </c>
      <c r="C2852" t="s">
        <v>14</v>
      </c>
      <c r="D2852" t="s">
        <v>22</v>
      </c>
      <c r="E2852" t="s">
        <v>23</v>
      </c>
      <c r="F2852">
        <v>2493.13</v>
      </c>
    </row>
    <row r="2853" spans="1:6" x14ac:dyDescent="0.35">
      <c r="A2853">
        <v>1094</v>
      </c>
      <c r="B2853" s="4">
        <v>46098.375085336993</v>
      </c>
      <c r="C2853" t="s">
        <v>6</v>
      </c>
      <c r="D2853" t="s">
        <v>18</v>
      </c>
      <c r="E2853" t="s">
        <v>24</v>
      </c>
      <c r="F2853">
        <v>1118.1099999999999</v>
      </c>
    </row>
    <row r="2854" spans="1:6" x14ac:dyDescent="0.35">
      <c r="A2854">
        <v>1270</v>
      </c>
      <c r="B2854" s="4">
        <v>46098.375085336993</v>
      </c>
      <c r="C2854" t="s">
        <v>8</v>
      </c>
      <c r="D2854" t="s">
        <v>18</v>
      </c>
      <c r="E2854" t="s">
        <v>24</v>
      </c>
      <c r="F2854">
        <v>3042.92</v>
      </c>
    </row>
    <row r="2855" spans="1:6" x14ac:dyDescent="0.35">
      <c r="A2855">
        <v>1004</v>
      </c>
      <c r="B2855" s="4">
        <v>46099.375085336993</v>
      </c>
      <c r="C2855" t="s">
        <v>6</v>
      </c>
      <c r="D2855" t="s">
        <v>19</v>
      </c>
      <c r="E2855" t="s">
        <v>25</v>
      </c>
      <c r="F2855">
        <v>1009.87</v>
      </c>
    </row>
    <row r="2856" spans="1:6" x14ac:dyDescent="0.35">
      <c r="A2856">
        <v>1148</v>
      </c>
      <c r="B2856" s="4">
        <v>46099.375085336993</v>
      </c>
      <c r="C2856" t="s">
        <v>15</v>
      </c>
      <c r="D2856" t="s">
        <v>20</v>
      </c>
      <c r="E2856" t="s">
        <v>25</v>
      </c>
      <c r="F2856">
        <v>6194.09</v>
      </c>
    </row>
    <row r="2857" spans="1:6" x14ac:dyDescent="0.35">
      <c r="A2857">
        <v>1038</v>
      </c>
      <c r="B2857" s="4">
        <v>46099.375085336993</v>
      </c>
      <c r="C2857" t="s">
        <v>10</v>
      </c>
      <c r="D2857" t="s">
        <v>19</v>
      </c>
      <c r="E2857" t="s">
        <v>25</v>
      </c>
      <c r="F2857">
        <v>9619.35</v>
      </c>
    </row>
    <row r="2858" spans="1:6" x14ac:dyDescent="0.35">
      <c r="A2858">
        <v>1260</v>
      </c>
      <c r="B2858" s="4">
        <v>46099.375085336993</v>
      </c>
      <c r="C2858" t="s">
        <v>14</v>
      </c>
      <c r="D2858" t="s">
        <v>19</v>
      </c>
      <c r="E2858" t="s">
        <v>24</v>
      </c>
      <c r="F2858">
        <v>5811.57</v>
      </c>
    </row>
    <row r="2859" spans="1:6" x14ac:dyDescent="0.35">
      <c r="A2859">
        <v>1240</v>
      </c>
      <c r="B2859" s="4">
        <v>46099.375085336993</v>
      </c>
      <c r="C2859" t="s">
        <v>11</v>
      </c>
      <c r="D2859" t="s">
        <v>18</v>
      </c>
      <c r="E2859" t="s">
        <v>23</v>
      </c>
      <c r="F2859">
        <v>4464.01</v>
      </c>
    </row>
    <row r="2860" spans="1:6" x14ac:dyDescent="0.35">
      <c r="A2860">
        <v>1235</v>
      </c>
      <c r="B2860" s="4">
        <v>46099.375085336993</v>
      </c>
      <c r="C2860" t="s">
        <v>6</v>
      </c>
      <c r="D2860" t="s">
        <v>21</v>
      </c>
      <c r="E2860" t="s">
        <v>25</v>
      </c>
      <c r="F2860">
        <v>2425.4</v>
      </c>
    </row>
    <row r="2861" spans="1:6" x14ac:dyDescent="0.35">
      <c r="A2861">
        <v>1294</v>
      </c>
      <c r="B2861" s="4">
        <v>46100.375085336993</v>
      </c>
      <c r="C2861" t="s">
        <v>14</v>
      </c>
      <c r="D2861" t="s">
        <v>21</v>
      </c>
      <c r="E2861" t="s">
        <v>23</v>
      </c>
      <c r="F2861">
        <v>6883.02</v>
      </c>
    </row>
    <row r="2862" spans="1:6" x14ac:dyDescent="0.35">
      <c r="A2862">
        <v>1035</v>
      </c>
      <c r="B2862" s="4">
        <v>46100.375085336993</v>
      </c>
      <c r="C2862" t="s">
        <v>6</v>
      </c>
      <c r="D2862" t="s">
        <v>21</v>
      </c>
      <c r="E2862" t="s">
        <v>25</v>
      </c>
      <c r="F2862">
        <v>3135.98</v>
      </c>
    </row>
    <row r="2863" spans="1:6" x14ac:dyDescent="0.35">
      <c r="A2863">
        <v>1040</v>
      </c>
      <c r="B2863" s="4">
        <v>46100.375085336993</v>
      </c>
      <c r="C2863" t="s">
        <v>12</v>
      </c>
      <c r="D2863" t="s">
        <v>16</v>
      </c>
      <c r="E2863" t="s">
        <v>24</v>
      </c>
      <c r="F2863">
        <v>4665.43</v>
      </c>
    </row>
    <row r="2864" spans="1:6" x14ac:dyDescent="0.35">
      <c r="A2864">
        <v>1219</v>
      </c>
      <c r="B2864" s="4">
        <v>46100.375085336993</v>
      </c>
      <c r="C2864" t="s">
        <v>12</v>
      </c>
      <c r="D2864" t="s">
        <v>21</v>
      </c>
      <c r="E2864" t="s">
        <v>23</v>
      </c>
      <c r="F2864">
        <v>2255.73</v>
      </c>
    </row>
    <row r="2865" spans="1:6" x14ac:dyDescent="0.35">
      <c r="A2865">
        <v>1140</v>
      </c>
      <c r="B2865" s="4">
        <v>46101.375085336993</v>
      </c>
      <c r="C2865" t="s">
        <v>12</v>
      </c>
      <c r="D2865" t="s">
        <v>17</v>
      </c>
      <c r="E2865" t="s">
        <v>25</v>
      </c>
      <c r="F2865">
        <v>6712.04</v>
      </c>
    </row>
    <row r="2866" spans="1:6" x14ac:dyDescent="0.35">
      <c r="A2866">
        <v>1035</v>
      </c>
      <c r="B2866" s="4">
        <v>46101.375085336993</v>
      </c>
      <c r="C2866" t="s">
        <v>13</v>
      </c>
      <c r="D2866" t="s">
        <v>19</v>
      </c>
      <c r="E2866" t="s">
        <v>23</v>
      </c>
      <c r="F2866">
        <v>7232.62</v>
      </c>
    </row>
    <row r="2867" spans="1:6" x14ac:dyDescent="0.35">
      <c r="A2867">
        <v>1014</v>
      </c>
      <c r="B2867" s="4">
        <v>46101.375085336993</v>
      </c>
      <c r="C2867" t="s">
        <v>8</v>
      </c>
      <c r="D2867" t="s">
        <v>17</v>
      </c>
      <c r="E2867" t="s">
        <v>24</v>
      </c>
      <c r="F2867">
        <v>3643.44</v>
      </c>
    </row>
    <row r="2868" spans="1:6" x14ac:dyDescent="0.35">
      <c r="A2868">
        <v>1344</v>
      </c>
      <c r="B2868" s="4">
        <v>46101.375085336993</v>
      </c>
      <c r="C2868" t="s">
        <v>11</v>
      </c>
      <c r="D2868" t="s">
        <v>19</v>
      </c>
      <c r="E2868" t="s">
        <v>25</v>
      </c>
      <c r="F2868">
        <v>1348.36</v>
      </c>
    </row>
    <row r="2869" spans="1:6" x14ac:dyDescent="0.35">
      <c r="A2869">
        <v>1384</v>
      </c>
      <c r="B2869" s="4">
        <v>46101.375085336993</v>
      </c>
      <c r="C2869" t="s">
        <v>13</v>
      </c>
      <c r="D2869" t="s">
        <v>20</v>
      </c>
      <c r="E2869" t="s">
        <v>23</v>
      </c>
      <c r="F2869">
        <v>1792.77</v>
      </c>
    </row>
    <row r="2870" spans="1:6" x14ac:dyDescent="0.35">
      <c r="A2870">
        <v>1122</v>
      </c>
      <c r="B2870" s="4">
        <v>46103.375085336993</v>
      </c>
      <c r="C2870" t="s">
        <v>9</v>
      </c>
      <c r="D2870" t="s">
        <v>21</v>
      </c>
      <c r="E2870" t="s">
        <v>23</v>
      </c>
      <c r="F2870">
        <v>2596.7800000000002</v>
      </c>
    </row>
    <row r="2871" spans="1:6" x14ac:dyDescent="0.35">
      <c r="A2871">
        <v>1091</v>
      </c>
      <c r="B2871" s="4">
        <v>46103.375085336993</v>
      </c>
      <c r="C2871" t="s">
        <v>6</v>
      </c>
      <c r="D2871" t="s">
        <v>22</v>
      </c>
      <c r="E2871" t="s">
        <v>25</v>
      </c>
      <c r="F2871">
        <v>11218.14</v>
      </c>
    </row>
    <row r="2872" spans="1:6" x14ac:dyDescent="0.35">
      <c r="A2872">
        <v>1302</v>
      </c>
      <c r="B2872" s="4">
        <v>46103.375085336993</v>
      </c>
      <c r="C2872" t="s">
        <v>10</v>
      </c>
      <c r="D2872" t="s">
        <v>21</v>
      </c>
      <c r="E2872" t="s">
        <v>23</v>
      </c>
      <c r="F2872">
        <v>4805.71</v>
      </c>
    </row>
    <row r="2873" spans="1:6" x14ac:dyDescent="0.35">
      <c r="A2873">
        <v>1368</v>
      </c>
      <c r="B2873" s="4">
        <v>46103.375085336993</v>
      </c>
      <c r="C2873" t="s">
        <v>13</v>
      </c>
      <c r="D2873" t="s">
        <v>21</v>
      </c>
      <c r="E2873" t="s">
        <v>25</v>
      </c>
      <c r="F2873">
        <v>380.13</v>
      </c>
    </row>
    <row r="2874" spans="1:6" x14ac:dyDescent="0.35">
      <c r="A2874">
        <v>1151</v>
      </c>
      <c r="B2874" s="4">
        <v>46104.375085336993</v>
      </c>
      <c r="C2874" t="s">
        <v>12</v>
      </c>
      <c r="D2874" t="s">
        <v>16</v>
      </c>
      <c r="E2874" t="s">
        <v>25</v>
      </c>
      <c r="F2874">
        <v>5593.41</v>
      </c>
    </row>
    <row r="2875" spans="1:6" x14ac:dyDescent="0.35">
      <c r="A2875">
        <v>1334</v>
      </c>
      <c r="B2875" s="4">
        <v>46104.375085336993</v>
      </c>
      <c r="C2875" t="s">
        <v>15</v>
      </c>
      <c r="D2875" t="s">
        <v>19</v>
      </c>
      <c r="E2875" t="s">
        <v>25</v>
      </c>
      <c r="F2875">
        <v>1482.73</v>
      </c>
    </row>
    <row r="2876" spans="1:6" x14ac:dyDescent="0.35">
      <c r="A2876">
        <v>1156</v>
      </c>
      <c r="B2876" s="4">
        <v>46104.375085336993</v>
      </c>
      <c r="C2876" t="s">
        <v>7</v>
      </c>
      <c r="D2876" t="s">
        <v>20</v>
      </c>
      <c r="E2876" t="s">
        <v>25</v>
      </c>
      <c r="F2876">
        <v>12356.45</v>
      </c>
    </row>
    <row r="2877" spans="1:6" x14ac:dyDescent="0.35">
      <c r="A2877">
        <v>1213</v>
      </c>
      <c r="B2877" s="4">
        <v>46104.375085336993</v>
      </c>
      <c r="C2877" t="s">
        <v>6</v>
      </c>
      <c r="D2877" t="s">
        <v>18</v>
      </c>
      <c r="E2877" t="s">
        <v>25</v>
      </c>
      <c r="F2877">
        <v>4305.72</v>
      </c>
    </row>
    <row r="2878" spans="1:6" x14ac:dyDescent="0.35">
      <c r="A2878">
        <v>1081</v>
      </c>
      <c r="B2878" s="4">
        <v>46104.375085336993</v>
      </c>
      <c r="C2878" t="s">
        <v>15</v>
      </c>
      <c r="D2878" t="s">
        <v>17</v>
      </c>
      <c r="E2878" t="s">
        <v>23</v>
      </c>
      <c r="F2878">
        <v>1127.18</v>
      </c>
    </row>
    <row r="2879" spans="1:6" x14ac:dyDescent="0.35">
      <c r="A2879">
        <v>1157</v>
      </c>
      <c r="B2879" s="4">
        <v>46104.375085336993</v>
      </c>
      <c r="C2879" t="s">
        <v>11</v>
      </c>
      <c r="D2879" t="s">
        <v>18</v>
      </c>
      <c r="E2879" t="s">
        <v>23</v>
      </c>
      <c r="F2879">
        <v>2821.25</v>
      </c>
    </row>
    <row r="2880" spans="1:6" x14ac:dyDescent="0.35">
      <c r="A2880">
        <v>1007</v>
      </c>
      <c r="B2880" s="4">
        <v>46105.375085336993</v>
      </c>
      <c r="C2880" t="s">
        <v>10</v>
      </c>
      <c r="D2880" t="s">
        <v>18</v>
      </c>
      <c r="E2880" t="s">
        <v>24</v>
      </c>
      <c r="F2880">
        <v>6394.39</v>
      </c>
    </row>
    <row r="2881" spans="1:6" x14ac:dyDescent="0.35">
      <c r="A2881">
        <v>1118</v>
      </c>
      <c r="B2881" s="4">
        <v>46105.375085336993</v>
      </c>
      <c r="C2881" t="s">
        <v>14</v>
      </c>
      <c r="D2881" t="s">
        <v>21</v>
      </c>
      <c r="E2881" t="s">
        <v>23</v>
      </c>
      <c r="F2881">
        <v>7433.38</v>
      </c>
    </row>
    <row r="2882" spans="1:6" x14ac:dyDescent="0.35">
      <c r="A2882">
        <v>1116</v>
      </c>
      <c r="B2882" s="4">
        <v>46105.375085336993</v>
      </c>
      <c r="C2882" t="s">
        <v>15</v>
      </c>
      <c r="D2882" t="s">
        <v>22</v>
      </c>
      <c r="E2882" t="s">
        <v>24</v>
      </c>
      <c r="F2882">
        <v>1401.77</v>
      </c>
    </row>
    <row r="2883" spans="1:6" x14ac:dyDescent="0.35">
      <c r="A2883">
        <v>1088</v>
      </c>
      <c r="B2883" s="4">
        <v>46105.375085336993</v>
      </c>
      <c r="C2883" t="s">
        <v>7</v>
      </c>
      <c r="D2883" t="s">
        <v>18</v>
      </c>
      <c r="E2883" t="s">
        <v>23</v>
      </c>
      <c r="F2883">
        <v>13004.58</v>
      </c>
    </row>
    <row r="2884" spans="1:6" x14ac:dyDescent="0.35">
      <c r="A2884">
        <v>1353</v>
      </c>
      <c r="B2884" s="4">
        <v>46105.375085336993</v>
      </c>
      <c r="C2884" t="s">
        <v>10</v>
      </c>
      <c r="D2884" t="s">
        <v>22</v>
      </c>
      <c r="E2884" t="s">
        <v>25</v>
      </c>
      <c r="F2884">
        <v>834.94</v>
      </c>
    </row>
    <row r="2885" spans="1:6" x14ac:dyDescent="0.35">
      <c r="A2885">
        <v>1341</v>
      </c>
      <c r="B2885" s="4">
        <v>46105.375085336993</v>
      </c>
      <c r="C2885" t="s">
        <v>15</v>
      </c>
      <c r="D2885" t="s">
        <v>17</v>
      </c>
      <c r="E2885" t="s">
        <v>23</v>
      </c>
      <c r="F2885">
        <v>4074.59</v>
      </c>
    </row>
    <row r="2886" spans="1:6" x14ac:dyDescent="0.35">
      <c r="A2886">
        <v>1271</v>
      </c>
      <c r="B2886" s="4">
        <v>46106.375085336993</v>
      </c>
      <c r="C2886" t="s">
        <v>8</v>
      </c>
      <c r="D2886" t="s">
        <v>17</v>
      </c>
      <c r="E2886" t="s">
        <v>24</v>
      </c>
      <c r="F2886">
        <v>5843.63</v>
      </c>
    </row>
    <row r="2887" spans="1:6" x14ac:dyDescent="0.35">
      <c r="A2887">
        <v>1361</v>
      </c>
      <c r="B2887" s="4">
        <v>46106.375085336993</v>
      </c>
      <c r="C2887" t="s">
        <v>12</v>
      </c>
      <c r="D2887" t="s">
        <v>19</v>
      </c>
      <c r="E2887" t="s">
        <v>23</v>
      </c>
      <c r="F2887">
        <v>1138.42</v>
      </c>
    </row>
    <row r="2888" spans="1:6" x14ac:dyDescent="0.35">
      <c r="A2888">
        <v>1373</v>
      </c>
      <c r="B2888" s="4">
        <v>46106.375085336993</v>
      </c>
      <c r="C2888" t="s">
        <v>11</v>
      </c>
      <c r="D2888" t="s">
        <v>18</v>
      </c>
      <c r="E2888" t="s">
        <v>24</v>
      </c>
      <c r="F2888">
        <v>2675.87</v>
      </c>
    </row>
    <row r="2889" spans="1:6" x14ac:dyDescent="0.35">
      <c r="A2889">
        <v>1251</v>
      </c>
      <c r="B2889" s="4">
        <v>46106.375085336993</v>
      </c>
      <c r="C2889" t="s">
        <v>14</v>
      </c>
      <c r="D2889" t="s">
        <v>17</v>
      </c>
      <c r="E2889" t="s">
        <v>24</v>
      </c>
      <c r="F2889">
        <v>1439.91</v>
      </c>
    </row>
    <row r="2890" spans="1:6" x14ac:dyDescent="0.35">
      <c r="A2890">
        <v>1270</v>
      </c>
      <c r="B2890" s="4">
        <v>46106.375085336993</v>
      </c>
      <c r="C2890" t="s">
        <v>9</v>
      </c>
      <c r="D2890" t="s">
        <v>17</v>
      </c>
      <c r="E2890" t="s">
        <v>23</v>
      </c>
      <c r="F2890">
        <v>7469.89</v>
      </c>
    </row>
    <row r="2891" spans="1:6" x14ac:dyDescent="0.35">
      <c r="A2891">
        <v>1045</v>
      </c>
      <c r="B2891" s="4">
        <v>46107.375085336993</v>
      </c>
      <c r="C2891" t="s">
        <v>12</v>
      </c>
      <c r="D2891" t="s">
        <v>16</v>
      </c>
      <c r="E2891" t="s">
        <v>25</v>
      </c>
      <c r="F2891">
        <v>5879.74</v>
      </c>
    </row>
    <row r="2892" spans="1:6" x14ac:dyDescent="0.35">
      <c r="A2892">
        <v>1089</v>
      </c>
      <c r="B2892" s="4">
        <v>46107.375085336993</v>
      </c>
      <c r="C2892" t="s">
        <v>6</v>
      </c>
      <c r="D2892" t="s">
        <v>17</v>
      </c>
      <c r="E2892" t="s">
        <v>25</v>
      </c>
      <c r="F2892">
        <v>581.46</v>
      </c>
    </row>
    <row r="2893" spans="1:6" x14ac:dyDescent="0.35">
      <c r="A2893">
        <v>1373</v>
      </c>
      <c r="B2893" s="4">
        <v>46107.375085336993</v>
      </c>
      <c r="C2893" t="s">
        <v>11</v>
      </c>
      <c r="D2893" t="s">
        <v>20</v>
      </c>
      <c r="E2893" t="s">
        <v>25</v>
      </c>
      <c r="F2893">
        <v>2829.51</v>
      </c>
    </row>
    <row r="2894" spans="1:6" x14ac:dyDescent="0.35">
      <c r="A2894">
        <v>1392</v>
      </c>
      <c r="B2894" s="4">
        <v>46107.375085336993</v>
      </c>
      <c r="C2894" t="s">
        <v>12</v>
      </c>
      <c r="D2894" t="s">
        <v>19</v>
      </c>
      <c r="E2894" t="s">
        <v>25</v>
      </c>
      <c r="F2894">
        <v>1413.21</v>
      </c>
    </row>
    <row r="2895" spans="1:6" x14ac:dyDescent="0.35">
      <c r="A2895">
        <v>1301</v>
      </c>
      <c r="B2895" s="4">
        <v>46107.375085336993</v>
      </c>
      <c r="C2895" t="s">
        <v>10</v>
      </c>
      <c r="D2895" t="s">
        <v>20</v>
      </c>
      <c r="E2895" t="s">
        <v>25</v>
      </c>
      <c r="F2895">
        <v>5711.44</v>
      </c>
    </row>
    <row r="2896" spans="1:6" x14ac:dyDescent="0.35">
      <c r="A2896">
        <v>1125</v>
      </c>
      <c r="B2896" s="4">
        <v>46108.375085336993</v>
      </c>
      <c r="C2896" t="s">
        <v>13</v>
      </c>
      <c r="D2896" t="s">
        <v>16</v>
      </c>
      <c r="E2896" t="s">
        <v>24</v>
      </c>
      <c r="F2896">
        <v>2750.06</v>
      </c>
    </row>
    <row r="2897" spans="1:6" x14ac:dyDescent="0.35">
      <c r="A2897">
        <v>1249</v>
      </c>
      <c r="B2897" s="4">
        <v>46108.375085336993</v>
      </c>
      <c r="C2897" t="s">
        <v>14</v>
      </c>
      <c r="D2897" t="s">
        <v>21</v>
      </c>
      <c r="E2897" t="s">
        <v>24</v>
      </c>
      <c r="F2897">
        <v>4471.03</v>
      </c>
    </row>
    <row r="2898" spans="1:6" x14ac:dyDescent="0.35">
      <c r="A2898">
        <v>1194</v>
      </c>
      <c r="B2898" s="4">
        <v>46108.375085336993</v>
      </c>
      <c r="C2898" t="s">
        <v>11</v>
      </c>
      <c r="D2898" t="s">
        <v>21</v>
      </c>
      <c r="E2898" t="s">
        <v>23</v>
      </c>
      <c r="F2898">
        <v>561</v>
      </c>
    </row>
    <row r="2899" spans="1:6" x14ac:dyDescent="0.35">
      <c r="A2899">
        <v>1143</v>
      </c>
      <c r="B2899" s="4">
        <v>46109.375085336993</v>
      </c>
      <c r="C2899" t="s">
        <v>13</v>
      </c>
      <c r="D2899" t="s">
        <v>18</v>
      </c>
      <c r="E2899" t="s">
        <v>23</v>
      </c>
      <c r="F2899">
        <v>2959.31</v>
      </c>
    </row>
    <row r="2900" spans="1:6" x14ac:dyDescent="0.35">
      <c r="A2900">
        <v>1288</v>
      </c>
      <c r="B2900" s="4">
        <v>46109.375085336993</v>
      </c>
      <c r="C2900" t="s">
        <v>7</v>
      </c>
      <c r="D2900" t="s">
        <v>16</v>
      </c>
      <c r="E2900" t="s">
        <v>23</v>
      </c>
      <c r="F2900">
        <v>1003.18</v>
      </c>
    </row>
    <row r="2901" spans="1:6" x14ac:dyDescent="0.35">
      <c r="A2901">
        <v>1285</v>
      </c>
      <c r="B2901" s="4">
        <v>46109.375085336993</v>
      </c>
      <c r="C2901" t="s">
        <v>10</v>
      </c>
      <c r="D2901" t="s">
        <v>16</v>
      </c>
      <c r="E2901" t="s">
        <v>25</v>
      </c>
      <c r="F2901">
        <v>7421.13</v>
      </c>
    </row>
    <row r="2902" spans="1:6" x14ac:dyDescent="0.35">
      <c r="A2902">
        <v>1079</v>
      </c>
      <c r="B2902" s="4">
        <v>46109.375085336993</v>
      </c>
      <c r="C2902" t="s">
        <v>13</v>
      </c>
      <c r="D2902" t="s">
        <v>17</v>
      </c>
      <c r="E2902" t="s">
        <v>24</v>
      </c>
      <c r="F2902">
        <v>4479.42</v>
      </c>
    </row>
    <row r="2903" spans="1:6" x14ac:dyDescent="0.35">
      <c r="A2903">
        <v>1049</v>
      </c>
      <c r="B2903" s="4">
        <v>46109.375085336993</v>
      </c>
      <c r="C2903" t="s">
        <v>11</v>
      </c>
      <c r="D2903" t="s">
        <v>20</v>
      </c>
      <c r="E2903" t="s">
        <v>25</v>
      </c>
      <c r="F2903">
        <v>666.03</v>
      </c>
    </row>
    <row r="2904" spans="1:6" x14ac:dyDescent="0.35">
      <c r="A2904">
        <v>1239</v>
      </c>
      <c r="B2904" s="4">
        <v>46109.375085336993</v>
      </c>
      <c r="C2904" t="s">
        <v>8</v>
      </c>
      <c r="D2904" t="s">
        <v>22</v>
      </c>
      <c r="E2904" t="s">
        <v>24</v>
      </c>
      <c r="F2904">
        <v>5652.29</v>
      </c>
    </row>
    <row r="2905" spans="1:6" x14ac:dyDescent="0.35">
      <c r="A2905">
        <v>1308</v>
      </c>
      <c r="B2905" s="4">
        <v>46109.375085336993</v>
      </c>
      <c r="C2905" t="s">
        <v>11</v>
      </c>
      <c r="D2905" t="s">
        <v>22</v>
      </c>
      <c r="E2905" t="s">
        <v>23</v>
      </c>
      <c r="F2905">
        <v>1136.26</v>
      </c>
    </row>
    <row r="2906" spans="1:6" x14ac:dyDescent="0.35">
      <c r="A2906">
        <v>1112</v>
      </c>
      <c r="B2906" s="4">
        <v>46112.375085336993</v>
      </c>
      <c r="C2906" t="s">
        <v>14</v>
      </c>
      <c r="D2906" t="s">
        <v>18</v>
      </c>
      <c r="E2906" t="s">
        <v>23</v>
      </c>
      <c r="F2906">
        <v>3856.36</v>
      </c>
    </row>
    <row r="2907" spans="1:6" x14ac:dyDescent="0.35">
      <c r="A2907">
        <v>1303</v>
      </c>
      <c r="B2907" s="4">
        <v>46113.375085336993</v>
      </c>
      <c r="C2907" t="s">
        <v>9</v>
      </c>
      <c r="D2907" t="s">
        <v>19</v>
      </c>
      <c r="E2907" t="s">
        <v>23</v>
      </c>
      <c r="F2907">
        <v>2893.61</v>
      </c>
    </row>
    <row r="2908" spans="1:6" x14ac:dyDescent="0.35">
      <c r="A2908">
        <v>1169</v>
      </c>
      <c r="B2908" s="4">
        <v>46113.375085336993</v>
      </c>
      <c r="C2908" t="s">
        <v>10</v>
      </c>
      <c r="D2908" t="s">
        <v>20</v>
      </c>
      <c r="E2908" t="s">
        <v>24</v>
      </c>
      <c r="F2908">
        <v>5426.79</v>
      </c>
    </row>
    <row r="2909" spans="1:6" x14ac:dyDescent="0.35">
      <c r="A2909">
        <v>1291</v>
      </c>
      <c r="B2909" s="4">
        <v>46113.375085336993</v>
      </c>
      <c r="C2909" t="s">
        <v>9</v>
      </c>
      <c r="D2909" t="s">
        <v>22</v>
      </c>
      <c r="E2909" t="s">
        <v>24</v>
      </c>
      <c r="F2909">
        <v>1937.83</v>
      </c>
    </row>
    <row r="2910" spans="1:6" x14ac:dyDescent="0.35">
      <c r="A2910">
        <v>1358</v>
      </c>
      <c r="B2910" s="4">
        <v>46113.375085336993</v>
      </c>
      <c r="C2910" t="s">
        <v>13</v>
      </c>
      <c r="D2910" t="s">
        <v>16</v>
      </c>
      <c r="E2910" t="s">
        <v>23</v>
      </c>
      <c r="F2910">
        <v>2078.12</v>
      </c>
    </row>
    <row r="2911" spans="1:6" x14ac:dyDescent="0.35">
      <c r="A2911">
        <v>1315</v>
      </c>
      <c r="B2911" s="4">
        <v>46114.375085336993</v>
      </c>
      <c r="C2911" t="s">
        <v>11</v>
      </c>
      <c r="D2911" t="s">
        <v>22</v>
      </c>
      <c r="E2911" t="s">
        <v>23</v>
      </c>
      <c r="F2911">
        <v>1243.95</v>
      </c>
    </row>
    <row r="2912" spans="1:6" x14ac:dyDescent="0.35">
      <c r="A2912">
        <v>1155</v>
      </c>
      <c r="B2912" s="4">
        <v>46114.375085336993</v>
      </c>
      <c r="C2912" t="s">
        <v>13</v>
      </c>
      <c r="D2912" t="s">
        <v>18</v>
      </c>
      <c r="E2912" t="s">
        <v>24</v>
      </c>
      <c r="F2912">
        <v>6064.92</v>
      </c>
    </row>
    <row r="2913" spans="1:6" x14ac:dyDescent="0.35">
      <c r="A2913">
        <v>1230</v>
      </c>
      <c r="B2913" s="4">
        <v>46114.375085336993</v>
      </c>
      <c r="C2913" t="s">
        <v>7</v>
      </c>
      <c r="D2913" t="s">
        <v>21</v>
      </c>
      <c r="E2913" t="s">
        <v>24</v>
      </c>
      <c r="F2913">
        <v>466.56</v>
      </c>
    </row>
    <row r="2914" spans="1:6" x14ac:dyDescent="0.35">
      <c r="A2914">
        <v>1385</v>
      </c>
      <c r="B2914" s="4">
        <v>46114.375085336993</v>
      </c>
      <c r="C2914" t="s">
        <v>15</v>
      </c>
      <c r="D2914" t="s">
        <v>19</v>
      </c>
      <c r="E2914" t="s">
        <v>25</v>
      </c>
      <c r="F2914">
        <v>11694.59</v>
      </c>
    </row>
    <row r="2915" spans="1:6" x14ac:dyDescent="0.35">
      <c r="A2915">
        <v>1130</v>
      </c>
      <c r="B2915" s="4">
        <v>46114.375085336993</v>
      </c>
      <c r="C2915" t="s">
        <v>10</v>
      </c>
      <c r="D2915" t="s">
        <v>18</v>
      </c>
      <c r="E2915" t="s">
        <v>24</v>
      </c>
      <c r="F2915">
        <v>6498.04</v>
      </c>
    </row>
    <row r="2916" spans="1:6" x14ac:dyDescent="0.35">
      <c r="A2916">
        <v>1052</v>
      </c>
      <c r="B2916" s="4">
        <v>46115.375085336993</v>
      </c>
      <c r="C2916" t="s">
        <v>14</v>
      </c>
      <c r="D2916" t="s">
        <v>17</v>
      </c>
      <c r="E2916" t="s">
        <v>24</v>
      </c>
      <c r="F2916">
        <v>7665.02</v>
      </c>
    </row>
    <row r="2917" spans="1:6" x14ac:dyDescent="0.35">
      <c r="A2917">
        <v>1054</v>
      </c>
      <c r="B2917" s="4">
        <v>46115.375085336993</v>
      </c>
      <c r="C2917" t="s">
        <v>10</v>
      </c>
      <c r="D2917" t="s">
        <v>16</v>
      </c>
      <c r="E2917" t="s">
        <v>24</v>
      </c>
      <c r="F2917">
        <v>3953.29</v>
      </c>
    </row>
    <row r="2918" spans="1:6" x14ac:dyDescent="0.35">
      <c r="A2918">
        <v>1154</v>
      </c>
      <c r="B2918" s="4">
        <v>46115.375085336993</v>
      </c>
      <c r="C2918" t="s">
        <v>13</v>
      </c>
      <c r="D2918" t="s">
        <v>22</v>
      </c>
      <c r="E2918" t="s">
        <v>23</v>
      </c>
      <c r="F2918">
        <v>2316.62</v>
      </c>
    </row>
    <row r="2919" spans="1:6" x14ac:dyDescent="0.35">
      <c r="A2919">
        <v>1013</v>
      </c>
      <c r="B2919" s="4">
        <v>46116.375085336993</v>
      </c>
      <c r="C2919" t="s">
        <v>8</v>
      </c>
      <c r="D2919" t="s">
        <v>19</v>
      </c>
      <c r="E2919" t="s">
        <v>23</v>
      </c>
      <c r="F2919">
        <v>1950.74</v>
      </c>
    </row>
    <row r="2920" spans="1:6" x14ac:dyDescent="0.35">
      <c r="A2920">
        <v>1265</v>
      </c>
      <c r="B2920" s="4">
        <v>46117.375085336993</v>
      </c>
      <c r="C2920" t="s">
        <v>6</v>
      </c>
      <c r="D2920" t="s">
        <v>22</v>
      </c>
      <c r="E2920" t="s">
        <v>25</v>
      </c>
      <c r="F2920">
        <v>923.08</v>
      </c>
    </row>
    <row r="2921" spans="1:6" x14ac:dyDescent="0.35">
      <c r="A2921">
        <v>1051</v>
      </c>
      <c r="B2921" s="4">
        <v>46117.375085336993</v>
      </c>
      <c r="C2921" t="s">
        <v>15</v>
      </c>
      <c r="D2921" t="s">
        <v>19</v>
      </c>
      <c r="E2921" t="s">
        <v>23</v>
      </c>
      <c r="F2921">
        <v>1353.94</v>
      </c>
    </row>
    <row r="2922" spans="1:6" x14ac:dyDescent="0.35">
      <c r="A2922">
        <v>1352</v>
      </c>
      <c r="B2922" s="4">
        <v>46117.375085336993</v>
      </c>
      <c r="C2922" t="s">
        <v>13</v>
      </c>
      <c r="D2922" t="s">
        <v>21</v>
      </c>
      <c r="E2922" t="s">
        <v>25</v>
      </c>
      <c r="F2922">
        <v>4680.96</v>
      </c>
    </row>
    <row r="2923" spans="1:6" x14ac:dyDescent="0.35">
      <c r="A2923">
        <v>1160</v>
      </c>
      <c r="B2923" s="4">
        <v>46118.375085336993</v>
      </c>
      <c r="C2923" t="s">
        <v>11</v>
      </c>
      <c r="D2923" t="s">
        <v>17</v>
      </c>
      <c r="E2923" t="s">
        <v>24</v>
      </c>
      <c r="F2923">
        <v>1318.24</v>
      </c>
    </row>
    <row r="2924" spans="1:6" x14ac:dyDescent="0.35">
      <c r="A2924">
        <v>1002</v>
      </c>
      <c r="B2924" s="4">
        <v>46118.375085336993</v>
      </c>
      <c r="C2924" t="s">
        <v>7</v>
      </c>
      <c r="D2924" t="s">
        <v>17</v>
      </c>
      <c r="E2924" t="s">
        <v>23</v>
      </c>
      <c r="F2924">
        <v>1078.1600000000001</v>
      </c>
    </row>
    <row r="2925" spans="1:6" x14ac:dyDescent="0.35">
      <c r="A2925">
        <v>1318</v>
      </c>
      <c r="B2925" s="4">
        <v>46118.375085336993</v>
      </c>
      <c r="C2925" t="s">
        <v>7</v>
      </c>
      <c r="D2925" t="s">
        <v>16</v>
      </c>
      <c r="E2925" t="s">
        <v>24</v>
      </c>
      <c r="F2925">
        <v>6557.01</v>
      </c>
    </row>
    <row r="2926" spans="1:6" x14ac:dyDescent="0.35">
      <c r="A2926">
        <v>1089</v>
      </c>
      <c r="B2926" s="4">
        <v>46118.375085336993</v>
      </c>
      <c r="C2926" t="s">
        <v>12</v>
      </c>
      <c r="D2926" t="s">
        <v>16</v>
      </c>
      <c r="E2926" t="s">
        <v>25</v>
      </c>
      <c r="F2926">
        <v>9011.23</v>
      </c>
    </row>
    <row r="2927" spans="1:6" x14ac:dyDescent="0.35">
      <c r="A2927">
        <v>1156</v>
      </c>
      <c r="B2927" s="4">
        <v>46119.375085336993</v>
      </c>
      <c r="C2927" t="s">
        <v>12</v>
      </c>
      <c r="D2927" t="s">
        <v>17</v>
      </c>
      <c r="E2927" t="s">
        <v>24</v>
      </c>
      <c r="F2927">
        <v>2546.73</v>
      </c>
    </row>
    <row r="2928" spans="1:6" x14ac:dyDescent="0.35">
      <c r="A2928">
        <v>1304</v>
      </c>
      <c r="B2928" s="4">
        <v>46119.375085336993</v>
      </c>
      <c r="C2928" t="s">
        <v>15</v>
      </c>
      <c r="D2928" t="s">
        <v>20</v>
      </c>
      <c r="E2928" t="s">
        <v>24</v>
      </c>
      <c r="F2928">
        <v>3309.66</v>
      </c>
    </row>
    <row r="2929" spans="1:6" x14ac:dyDescent="0.35">
      <c r="A2929">
        <v>1145</v>
      </c>
      <c r="B2929" s="4">
        <v>46119.375085336993</v>
      </c>
      <c r="C2929" t="s">
        <v>15</v>
      </c>
      <c r="D2929" t="s">
        <v>17</v>
      </c>
      <c r="E2929" t="s">
        <v>24</v>
      </c>
      <c r="F2929">
        <v>1209.17</v>
      </c>
    </row>
    <row r="2930" spans="1:6" x14ac:dyDescent="0.35">
      <c r="A2930">
        <v>1219</v>
      </c>
      <c r="B2930" s="4">
        <v>46119.375085336993</v>
      </c>
      <c r="C2930" t="s">
        <v>6</v>
      </c>
      <c r="D2930" t="s">
        <v>21</v>
      </c>
      <c r="E2930" t="s">
        <v>23</v>
      </c>
      <c r="F2930">
        <v>342.66</v>
      </c>
    </row>
    <row r="2931" spans="1:6" x14ac:dyDescent="0.35">
      <c r="A2931">
        <v>1388</v>
      </c>
      <c r="B2931" s="4">
        <v>46119.375085336993</v>
      </c>
      <c r="C2931" t="s">
        <v>7</v>
      </c>
      <c r="D2931" t="s">
        <v>18</v>
      </c>
      <c r="E2931" t="s">
        <v>23</v>
      </c>
      <c r="F2931">
        <v>4000.92</v>
      </c>
    </row>
    <row r="2932" spans="1:6" x14ac:dyDescent="0.35">
      <c r="A2932">
        <v>1219</v>
      </c>
      <c r="B2932" s="4">
        <v>46120.375085336993</v>
      </c>
      <c r="C2932" t="s">
        <v>12</v>
      </c>
      <c r="D2932" t="s">
        <v>20</v>
      </c>
      <c r="E2932" t="s">
        <v>25</v>
      </c>
      <c r="F2932">
        <v>1670.47</v>
      </c>
    </row>
    <row r="2933" spans="1:6" x14ac:dyDescent="0.35">
      <c r="A2933">
        <v>1197</v>
      </c>
      <c r="B2933" s="4">
        <v>46120.375085336993</v>
      </c>
      <c r="C2933" t="s">
        <v>9</v>
      </c>
      <c r="D2933" t="s">
        <v>16</v>
      </c>
      <c r="E2933" t="s">
        <v>23</v>
      </c>
      <c r="F2933">
        <v>6727.64</v>
      </c>
    </row>
    <row r="2934" spans="1:6" x14ac:dyDescent="0.35">
      <c r="A2934">
        <v>1344</v>
      </c>
      <c r="B2934" s="4">
        <v>46120.375085336993</v>
      </c>
      <c r="C2934" t="s">
        <v>13</v>
      </c>
      <c r="D2934" t="s">
        <v>20</v>
      </c>
      <c r="E2934" t="s">
        <v>23</v>
      </c>
      <c r="F2934">
        <v>4194.8</v>
      </c>
    </row>
    <row r="2935" spans="1:6" x14ac:dyDescent="0.35">
      <c r="A2935">
        <v>1389</v>
      </c>
      <c r="B2935" s="4">
        <v>46121.375085336993</v>
      </c>
      <c r="C2935" t="s">
        <v>9</v>
      </c>
      <c r="D2935" t="s">
        <v>18</v>
      </c>
      <c r="E2935" t="s">
        <v>25</v>
      </c>
      <c r="F2935">
        <v>3441.21</v>
      </c>
    </row>
    <row r="2936" spans="1:6" x14ac:dyDescent="0.35">
      <c r="A2936">
        <v>1021</v>
      </c>
      <c r="B2936" s="4">
        <v>46121.375085336993</v>
      </c>
      <c r="C2936" t="s">
        <v>11</v>
      </c>
      <c r="D2936" t="s">
        <v>17</v>
      </c>
      <c r="E2936" t="s">
        <v>24</v>
      </c>
      <c r="F2936">
        <v>1738.08</v>
      </c>
    </row>
    <row r="2937" spans="1:6" x14ac:dyDescent="0.35">
      <c r="A2937">
        <v>1189</v>
      </c>
      <c r="B2937" s="4">
        <v>46121.375085336993</v>
      </c>
      <c r="C2937" t="s">
        <v>12</v>
      </c>
      <c r="D2937" t="s">
        <v>21</v>
      </c>
      <c r="E2937" t="s">
        <v>25</v>
      </c>
      <c r="F2937">
        <v>2652.31</v>
      </c>
    </row>
    <row r="2938" spans="1:6" x14ac:dyDescent="0.35">
      <c r="A2938">
        <v>1049</v>
      </c>
      <c r="B2938" s="4">
        <v>46121.375085336993</v>
      </c>
      <c r="C2938" t="s">
        <v>14</v>
      </c>
      <c r="D2938" t="s">
        <v>18</v>
      </c>
      <c r="E2938" t="s">
        <v>25</v>
      </c>
      <c r="F2938">
        <v>7436.62</v>
      </c>
    </row>
    <row r="2939" spans="1:6" x14ac:dyDescent="0.35">
      <c r="A2939">
        <v>1262</v>
      </c>
      <c r="B2939" s="4">
        <v>46122.375085336993</v>
      </c>
      <c r="C2939" t="s">
        <v>7</v>
      </c>
      <c r="D2939" t="s">
        <v>21</v>
      </c>
      <c r="E2939" t="s">
        <v>25</v>
      </c>
      <c r="F2939">
        <v>2172.3000000000002</v>
      </c>
    </row>
    <row r="2940" spans="1:6" x14ac:dyDescent="0.35">
      <c r="A2940">
        <v>1067</v>
      </c>
      <c r="B2940" s="4">
        <v>46122.375085336993</v>
      </c>
      <c r="C2940" t="s">
        <v>11</v>
      </c>
      <c r="D2940" t="s">
        <v>18</v>
      </c>
      <c r="E2940" t="s">
        <v>23</v>
      </c>
      <c r="F2940">
        <v>3451.96</v>
      </c>
    </row>
    <row r="2941" spans="1:6" x14ac:dyDescent="0.35">
      <c r="A2941">
        <v>1162</v>
      </c>
      <c r="B2941" s="4">
        <v>46123.375085336993</v>
      </c>
      <c r="C2941" t="s">
        <v>14</v>
      </c>
      <c r="D2941" t="s">
        <v>16</v>
      </c>
      <c r="E2941" t="s">
        <v>24</v>
      </c>
      <c r="F2941">
        <v>6058.15</v>
      </c>
    </row>
    <row r="2942" spans="1:6" x14ac:dyDescent="0.35">
      <c r="A2942">
        <v>1017</v>
      </c>
      <c r="B2942" s="4">
        <v>46123.375085336993</v>
      </c>
      <c r="C2942" t="s">
        <v>8</v>
      </c>
      <c r="D2942" t="s">
        <v>18</v>
      </c>
      <c r="E2942" t="s">
        <v>24</v>
      </c>
      <c r="F2942">
        <v>2265.98</v>
      </c>
    </row>
    <row r="2943" spans="1:6" x14ac:dyDescent="0.35">
      <c r="A2943">
        <v>1118</v>
      </c>
      <c r="B2943" s="4">
        <v>46123.375085336993</v>
      </c>
      <c r="C2943" t="s">
        <v>9</v>
      </c>
      <c r="D2943" t="s">
        <v>17</v>
      </c>
      <c r="E2943" t="s">
        <v>23</v>
      </c>
      <c r="F2943">
        <v>1041.72</v>
      </c>
    </row>
    <row r="2944" spans="1:6" x14ac:dyDescent="0.35">
      <c r="A2944">
        <v>1089</v>
      </c>
      <c r="B2944" s="4">
        <v>46123.375085336993</v>
      </c>
      <c r="C2944" t="s">
        <v>9</v>
      </c>
      <c r="D2944" t="s">
        <v>20</v>
      </c>
      <c r="E2944" t="s">
        <v>24</v>
      </c>
      <c r="F2944">
        <v>2002.94</v>
      </c>
    </row>
    <row r="2945" spans="1:6" x14ac:dyDescent="0.35">
      <c r="A2945">
        <v>1158</v>
      </c>
      <c r="B2945" s="4">
        <v>46124.375085336993</v>
      </c>
      <c r="C2945" t="s">
        <v>11</v>
      </c>
      <c r="D2945" t="s">
        <v>16</v>
      </c>
      <c r="E2945" t="s">
        <v>24</v>
      </c>
      <c r="F2945">
        <v>1963.52</v>
      </c>
    </row>
    <row r="2946" spans="1:6" x14ac:dyDescent="0.35">
      <c r="A2946">
        <v>1031</v>
      </c>
      <c r="B2946" s="4">
        <v>46124.375085336993</v>
      </c>
      <c r="C2946" t="s">
        <v>13</v>
      </c>
      <c r="D2946" t="s">
        <v>17</v>
      </c>
      <c r="E2946" t="s">
        <v>25</v>
      </c>
      <c r="F2946">
        <v>6073.94</v>
      </c>
    </row>
    <row r="2947" spans="1:6" x14ac:dyDescent="0.35">
      <c r="A2947">
        <v>1289</v>
      </c>
      <c r="B2947" s="4">
        <v>46125.375085336993</v>
      </c>
      <c r="C2947" t="s">
        <v>12</v>
      </c>
      <c r="D2947" t="s">
        <v>16</v>
      </c>
      <c r="E2947" t="s">
        <v>25</v>
      </c>
      <c r="F2947">
        <v>1869.21</v>
      </c>
    </row>
    <row r="2948" spans="1:6" x14ac:dyDescent="0.35">
      <c r="A2948">
        <v>1105</v>
      </c>
      <c r="B2948" s="4">
        <v>46125.375085336993</v>
      </c>
      <c r="C2948" t="s">
        <v>13</v>
      </c>
      <c r="D2948" t="s">
        <v>19</v>
      </c>
      <c r="E2948" t="s">
        <v>23</v>
      </c>
      <c r="F2948">
        <v>3424.24</v>
      </c>
    </row>
    <row r="2949" spans="1:6" x14ac:dyDescent="0.35">
      <c r="A2949">
        <v>1112</v>
      </c>
      <c r="B2949" s="4">
        <v>46125.375085336993</v>
      </c>
      <c r="C2949" t="s">
        <v>8</v>
      </c>
      <c r="D2949" t="s">
        <v>16</v>
      </c>
      <c r="E2949" t="s">
        <v>23</v>
      </c>
      <c r="F2949">
        <v>3030.26</v>
      </c>
    </row>
    <row r="2950" spans="1:6" x14ac:dyDescent="0.35">
      <c r="A2950">
        <v>1033</v>
      </c>
      <c r="B2950" s="4">
        <v>46125.375085336993</v>
      </c>
      <c r="C2950" t="s">
        <v>7</v>
      </c>
      <c r="D2950" t="s">
        <v>22</v>
      </c>
      <c r="E2950" t="s">
        <v>24</v>
      </c>
      <c r="F2950">
        <v>1141.51</v>
      </c>
    </row>
    <row r="2951" spans="1:6" x14ac:dyDescent="0.35">
      <c r="A2951">
        <v>1010</v>
      </c>
      <c r="B2951" s="4">
        <v>46125.375085336993</v>
      </c>
      <c r="C2951" t="s">
        <v>12</v>
      </c>
      <c r="D2951" t="s">
        <v>17</v>
      </c>
      <c r="E2951" t="s">
        <v>25</v>
      </c>
      <c r="F2951">
        <v>1038.32</v>
      </c>
    </row>
    <row r="2952" spans="1:6" x14ac:dyDescent="0.35">
      <c r="A2952">
        <v>1264</v>
      </c>
      <c r="B2952" s="4">
        <v>46125.375085336993</v>
      </c>
      <c r="C2952" t="s">
        <v>13</v>
      </c>
      <c r="D2952" t="s">
        <v>20</v>
      </c>
      <c r="E2952" t="s">
        <v>24</v>
      </c>
      <c r="F2952">
        <v>1592.94</v>
      </c>
    </row>
    <row r="2953" spans="1:6" x14ac:dyDescent="0.35">
      <c r="A2953">
        <v>1145</v>
      </c>
      <c r="B2953" s="4">
        <v>46125.375085336993</v>
      </c>
      <c r="C2953" t="s">
        <v>14</v>
      </c>
      <c r="D2953" t="s">
        <v>16</v>
      </c>
      <c r="E2953" t="s">
        <v>25</v>
      </c>
      <c r="F2953">
        <v>4204.03</v>
      </c>
    </row>
    <row r="2954" spans="1:6" x14ac:dyDescent="0.35">
      <c r="A2954">
        <v>1149</v>
      </c>
      <c r="B2954" s="4">
        <v>46125.375085336993</v>
      </c>
      <c r="C2954" t="s">
        <v>15</v>
      </c>
      <c r="D2954" t="s">
        <v>19</v>
      </c>
      <c r="E2954" t="s">
        <v>23</v>
      </c>
      <c r="F2954">
        <v>1452</v>
      </c>
    </row>
    <row r="2955" spans="1:6" x14ac:dyDescent="0.35">
      <c r="A2955">
        <v>1004</v>
      </c>
      <c r="B2955" s="4">
        <v>46126.375085336993</v>
      </c>
      <c r="C2955" t="s">
        <v>10</v>
      </c>
      <c r="D2955" t="s">
        <v>16</v>
      </c>
      <c r="E2955" t="s">
        <v>23</v>
      </c>
      <c r="F2955">
        <v>3386.35</v>
      </c>
    </row>
    <row r="2956" spans="1:6" x14ac:dyDescent="0.35">
      <c r="A2956">
        <v>1075</v>
      </c>
      <c r="B2956" s="4">
        <v>46126.375085336993</v>
      </c>
      <c r="C2956" t="s">
        <v>13</v>
      </c>
      <c r="D2956" t="s">
        <v>20</v>
      </c>
      <c r="E2956" t="s">
        <v>23</v>
      </c>
      <c r="F2956">
        <v>1195.6400000000001</v>
      </c>
    </row>
    <row r="2957" spans="1:6" x14ac:dyDescent="0.35">
      <c r="A2957">
        <v>1046</v>
      </c>
      <c r="B2957" s="4">
        <v>46126.375085336993</v>
      </c>
      <c r="C2957" t="s">
        <v>15</v>
      </c>
      <c r="D2957" t="s">
        <v>20</v>
      </c>
      <c r="E2957" t="s">
        <v>23</v>
      </c>
      <c r="F2957">
        <v>5403.43</v>
      </c>
    </row>
    <row r="2958" spans="1:6" x14ac:dyDescent="0.35">
      <c r="A2958">
        <v>1056</v>
      </c>
      <c r="B2958" s="4">
        <v>46126.375085336993</v>
      </c>
      <c r="C2958" t="s">
        <v>9</v>
      </c>
      <c r="D2958" t="s">
        <v>19</v>
      </c>
      <c r="E2958" t="s">
        <v>23</v>
      </c>
      <c r="F2958">
        <v>2516.44</v>
      </c>
    </row>
    <row r="2959" spans="1:6" x14ac:dyDescent="0.35">
      <c r="A2959">
        <v>1010</v>
      </c>
      <c r="B2959" s="4">
        <v>46126.375085336993</v>
      </c>
      <c r="C2959" t="s">
        <v>15</v>
      </c>
      <c r="D2959" t="s">
        <v>17</v>
      </c>
      <c r="E2959" t="s">
        <v>24</v>
      </c>
      <c r="F2959">
        <v>1083.45</v>
      </c>
    </row>
    <row r="2960" spans="1:6" x14ac:dyDescent="0.35">
      <c r="A2960">
        <v>1263</v>
      </c>
      <c r="B2960" s="4">
        <v>46126.375085336993</v>
      </c>
      <c r="C2960" t="s">
        <v>13</v>
      </c>
      <c r="D2960" t="s">
        <v>20</v>
      </c>
      <c r="E2960" t="s">
        <v>24</v>
      </c>
      <c r="F2960">
        <v>664.33</v>
      </c>
    </row>
    <row r="2961" spans="1:6" x14ac:dyDescent="0.35">
      <c r="A2961">
        <v>1353</v>
      </c>
      <c r="B2961" s="4">
        <v>46126.375085336993</v>
      </c>
      <c r="C2961" t="s">
        <v>10</v>
      </c>
      <c r="D2961" t="s">
        <v>16</v>
      </c>
      <c r="E2961" t="s">
        <v>24</v>
      </c>
      <c r="F2961">
        <v>8065.18</v>
      </c>
    </row>
    <row r="2962" spans="1:6" x14ac:dyDescent="0.35">
      <c r="A2962">
        <v>1034</v>
      </c>
      <c r="B2962" s="4">
        <v>46126.375085336993</v>
      </c>
      <c r="C2962" t="s">
        <v>14</v>
      </c>
      <c r="D2962" t="s">
        <v>19</v>
      </c>
      <c r="E2962" t="s">
        <v>23</v>
      </c>
      <c r="F2962">
        <v>4894.45</v>
      </c>
    </row>
    <row r="2963" spans="1:6" x14ac:dyDescent="0.35">
      <c r="A2963">
        <v>1163</v>
      </c>
      <c r="B2963" s="4">
        <v>46127.375085336993</v>
      </c>
      <c r="C2963" t="s">
        <v>10</v>
      </c>
      <c r="D2963" t="s">
        <v>20</v>
      </c>
      <c r="E2963" t="s">
        <v>23</v>
      </c>
      <c r="F2963">
        <v>3804.48</v>
      </c>
    </row>
    <row r="2964" spans="1:6" x14ac:dyDescent="0.35">
      <c r="A2964">
        <v>1120</v>
      </c>
      <c r="B2964" s="4">
        <v>46127.375085336993</v>
      </c>
      <c r="C2964" t="s">
        <v>14</v>
      </c>
      <c r="D2964" t="s">
        <v>18</v>
      </c>
      <c r="E2964" t="s">
        <v>25</v>
      </c>
      <c r="F2964">
        <v>519.92999999999995</v>
      </c>
    </row>
    <row r="2965" spans="1:6" x14ac:dyDescent="0.35">
      <c r="A2965">
        <v>1317</v>
      </c>
      <c r="B2965" s="4">
        <v>46127.375085336993</v>
      </c>
      <c r="C2965" t="s">
        <v>15</v>
      </c>
      <c r="D2965" t="s">
        <v>20</v>
      </c>
      <c r="E2965" t="s">
        <v>23</v>
      </c>
      <c r="F2965">
        <v>9955.11</v>
      </c>
    </row>
    <row r="2966" spans="1:6" x14ac:dyDescent="0.35">
      <c r="A2966">
        <v>1237</v>
      </c>
      <c r="B2966" s="4">
        <v>46128.375085336993</v>
      </c>
      <c r="C2966" t="s">
        <v>10</v>
      </c>
      <c r="D2966" t="s">
        <v>19</v>
      </c>
      <c r="E2966" t="s">
        <v>23</v>
      </c>
      <c r="F2966">
        <v>10484.07</v>
      </c>
    </row>
    <row r="2967" spans="1:6" x14ac:dyDescent="0.35">
      <c r="A2967">
        <v>1207</v>
      </c>
      <c r="B2967" s="4">
        <v>46129.375085336993</v>
      </c>
      <c r="C2967" t="s">
        <v>7</v>
      </c>
      <c r="D2967" t="s">
        <v>20</v>
      </c>
      <c r="E2967" t="s">
        <v>23</v>
      </c>
      <c r="F2967">
        <v>12452.53</v>
      </c>
    </row>
    <row r="2968" spans="1:6" x14ac:dyDescent="0.35">
      <c r="A2968">
        <v>1215</v>
      </c>
      <c r="B2968" s="4">
        <v>46130.375085336993</v>
      </c>
      <c r="C2968" t="s">
        <v>13</v>
      </c>
      <c r="D2968" t="s">
        <v>20</v>
      </c>
      <c r="E2968" t="s">
        <v>25</v>
      </c>
      <c r="F2968">
        <v>3873.36</v>
      </c>
    </row>
    <row r="2969" spans="1:6" x14ac:dyDescent="0.35">
      <c r="A2969">
        <v>1189</v>
      </c>
      <c r="B2969" s="4">
        <v>46130.375085336993</v>
      </c>
      <c r="C2969" t="s">
        <v>11</v>
      </c>
      <c r="D2969" t="s">
        <v>16</v>
      </c>
      <c r="E2969" t="s">
        <v>24</v>
      </c>
      <c r="F2969">
        <v>2042.21</v>
      </c>
    </row>
    <row r="2970" spans="1:6" x14ac:dyDescent="0.35">
      <c r="A2970">
        <v>1107</v>
      </c>
      <c r="B2970" s="4">
        <v>46130.375085336993</v>
      </c>
      <c r="C2970" t="s">
        <v>10</v>
      </c>
      <c r="D2970" t="s">
        <v>20</v>
      </c>
      <c r="E2970" t="s">
        <v>23</v>
      </c>
      <c r="F2970">
        <v>7409.04</v>
      </c>
    </row>
    <row r="2971" spans="1:6" x14ac:dyDescent="0.35">
      <c r="A2971">
        <v>1067</v>
      </c>
      <c r="B2971" s="4">
        <v>46130.375085336993</v>
      </c>
      <c r="C2971" t="s">
        <v>12</v>
      </c>
      <c r="D2971" t="s">
        <v>18</v>
      </c>
      <c r="E2971" t="s">
        <v>25</v>
      </c>
      <c r="F2971">
        <v>4477.01</v>
      </c>
    </row>
    <row r="2972" spans="1:6" x14ac:dyDescent="0.35">
      <c r="A2972">
        <v>1098</v>
      </c>
      <c r="B2972" s="4">
        <v>46130.375085336993</v>
      </c>
      <c r="C2972" t="s">
        <v>8</v>
      </c>
      <c r="D2972" t="s">
        <v>21</v>
      </c>
      <c r="E2972" t="s">
        <v>25</v>
      </c>
      <c r="F2972">
        <v>3430.6</v>
      </c>
    </row>
    <row r="2973" spans="1:6" x14ac:dyDescent="0.35">
      <c r="A2973">
        <v>1118</v>
      </c>
      <c r="B2973" s="4">
        <v>46131.375085336993</v>
      </c>
      <c r="C2973" t="s">
        <v>13</v>
      </c>
      <c r="D2973" t="s">
        <v>16</v>
      </c>
      <c r="E2973" t="s">
        <v>23</v>
      </c>
      <c r="F2973">
        <v>6926.27</v>
      </c>
    </row>
    <row r="2974" spans="1:6" x14ac:dyDescent="0.35">
      <c r="A2974">
        <v>1200</v>
      </c>
      <c r="B2974" s="4">
        <v>46131.375085336993</v>
      </c>
      <c r="C2974" t="s">
        <v>12</v>
      </c>
      <c r="D2974" t="s">
        <v>19</v>
      </c>
      <c r="E2974" t="s">
        <v>23</v>
      </c>
      <c r="F2974">
        <v>4771.8999999999996</v>
      </c>
    </row>
    <row r="2975" spans="1:6" x14ac:dyDescent="0.35">
      <c r="A2975">
        <v>1197</v>
      </c>
      <c r="B2975" s="4">
        <v>46131.375085336993</v>
      </c>
      <c r="C2975" t="s">
        <v>14</v>
      </c>
      <c r="D2975" t="s">
        <v>21</v>
      </c>
      <c r="E2975" t="s">
        <v>24</v>
      </c>
      <c r="F2975">
        <v>789.26</v>
      </c>
    </row>
    <row r="2976" spans="1:6" x14ac:dyDescent="0.35">
      <c r="A2976">
        <v>1275</v>
      </c>
      <c r="B2976" s="4">
        <v>46131.375085336993</v>
      </c>
      <c r="C2976" t="s">
        <v>8</v>
      </c>
      <c r="D2976" t="s">
        <v>20</v>
      </c>
      <c r="E2976" t="s">
        <v>23</v>
      </c>
      <c r="F2976">
        <v>11751.55</v>
      </c>
    </row>
    <row r="2977" spans="1:6" x14ac:dyDescent="0.35">
      <c r="A2977">
        <v>1100</v>
      </c>
      <c r="B2977" s="4">
        <v>46131.375085336993</v>
      </c>
      <c r="C2977" t="s">
        <v>13</v>
      </c>
      <c r="D2977" t="s">
        <v>21</v>
      </c>
      <c r="E2977" t="s">
        <v>25</v>
      </c>
      <c r="F2977">
        <v>786.6</v>
      </c>
    </row>
    <row r="2978" spans="1:6" x14ac:dyDescent="0.35">
      <c r="A2978">
        <v>1365</v>
      </c>
      <c r="B2978" s="4">
        <v>46131.375085336993</v>
      </c>
      <c r="C2978" t="s">
        <v>6</v>
      </c>
      <c r="D2978" t="s">
        <v>17</v>
      </c>
      <c r="E2978" t="s">
        <v>25</v>
      </c>
      <c r="F2978">
        <v>7027.26</v>
      </c>
    </row>
    <row r="2979" spans="1:6" x14ac:dyDescent="0.35">
      <c r="A2979">
        <v>1340</v>
      </c>
      <c r="B2979" s="4">
        <v>46131.375085336993</v>
      </c>
      <c r="C2979" t="s">
        <v>8</v>
      </c>
      <c r="D2979" t="s">
        <v>18</v>
      </c>
      <c r="E2979" t="s">
        <v>25</v>
      </c>
      <c r="F2979">
        <v>2051.06</v>
      </c>
    </row>
    <row r="2980" spans="1:6" x14ac:dyDescent="0.35">
      <c r="A2980">
        <v>1299</v>
      </c>
      <c r="B2980" s="4">
        <v>46131.375085336993</v>
      </c>
      <c r="C2980" t="s">
        <v>12</v>
      </c>
      <c r="D2980" t="s">
        <v>16</v>
      </c>
      <c r="E2980" t="s">
        <v>24</v>
      </c>
      <c r="F2980">
        <v>1724.81</v>
      </c>
    </row>
    <row r="2981" spans="1:6" x14ac:dyDescent="0.35">
      <c r="A2981">
        <v>1044</v>
      </c>
      <c r="B2981" s="4">
        <v>46131.375085336993</v>
      </c>
      <c r="C2981" t="s">
        <v>8</v>
      </c>
      <c r="D2981" t="s">
        <v>18</v>
      </c>
      <c r="E2981" t="s">
        <v>23</v>
      </c>
      <c r="F2981">
        <v>4631.66</v>
      </c>
    </row>
    <row r="2982" spans="1:6" x14ac:dyDescent="0.35">
      <c r="A2982">
        <v>1398</v>
      </c>
      <c r="B2982" s="4">
        <v>46131.375085336993</v>
      </c>
      <c r="C2982" t="s">
        <v>8</v>
      </c>
      <c r="D2982" t="s">
        <v>19</v>
      </c>
      <c r="E2982" t="s">
        <v>23</v>
      </c>
      <c r="F2982">
        <v>5750.09</v>
      </c>
    </row>
    <row r="2983" spans="1:6" x14ac:dyDescent="0.35">
      <c r="A2983">
        <v>1204</v>
      </c>
      <c r="B2983" s="4">
        <v>46131.375085336993</v>
      </c>
      <c r="C2983" t="s">
        <v>14</v>
      </c>
      <c r="D2983" t="s">
        <v>18</v>
      </c>
      <c r="E2983" t="s">
        <v>23</v>
      </c>
      <c r="F2983">
        <v>2574.41</v>
      </c>
    </row>
    <row r="2984" spans="1:6" x14ac:dyDescent="0.35">
      <c r="A2984">
        <v>1045</v>
      </c>
      <c r="B2984" s="4">
        <v>46131.375085336993</v>
      </c>
      <c r="C2984" t="s">
        <v>9</v>
      </c>
      <c r="D2984" t="s">
        <v>19</v>
      </c>
      <c r="E2984" t="s">
        <v>23</v>
      </c>
      <c r="F2984">
        <v>6164.22</v>
      </c>
    </row>
    <row r="2985" spans="1:6" x14ac:dyDescent="0.35">
      <c r="A2985">
        <v>1048</v>
      </c>
      <c r="B2985" s="4">
        <v>46132.375085336993</v>
      </c>
      <c r="C2985" t="s">
        <v>11</v>
      </c>
      <c r="D2985" t="s">
        <v>18</v>
      </c>
      <c r="E2985" t="s">
        <v>25</v>
      </c>
      <c r="F2985">
        <v>3204.32</v>
      </c>
    </row>
    <row r="2986" spans="1:6" x14ac:dyDescent="0.35">
      <c r="A2986">
        <v>1395</v>
      </c>
      <c r="B2986" s="4">
        <v>46132.375085336993</v>
      </c>
      <c r="C2986" t="s">
        <v>14</v>
      </c>
      <c r="D2986" t="s">
        <v>19</v>
      </c>
      <c r="E2986" t="s">
        <v>23</v>
      </c>
      <c r="F2986">
        <v>2966.76</v>
      </c>
    </row>
    <row r="2987" spans="1:6" x14ac:dyDescent="0.35">
      <c r="A2987">
        <v>1094</v>
      </c>
      <c r="B2987" s="4">
        <v>46132.375085336993</v>
      </c>
      <c r="C2987" t="s">
        <v>13</v>
      </c>
      <c r="D2987" t="s">
        <v>19</v>
      </c>
      <c r="E2987" t="s">
        <v>23</v>
      </c>
      <c r="F2987">
        <v>6104.86</v>
      </c>
    </row>
    <row r="2988" spans="1:6" x14ac:dyDescent="0.35">
      <c r="A2988">
        <v>1288</v>
      </c>
      <c r="B2988" s="4">
        <v>46132.375085336993</v>
      </c>
      <c r="C2988" t="s">
        <v>9</v>
      </c>
      <c r="D2988" t="s">
        <v>20</v>
      </c>
      <c r="E2988" t="s">
        <v>24</v>
      </c>
      <c r="F2988">
        <v>3357.15</v>
      </c>
    </row>
    <row r="2989" spans="1:6" x14ac:dyDescent="0.35">
      <c r="A2989">
        <v>1313</v>
      </c>
      <c r="B2989" s="4">
        <v>46133.375085336993</v>
      </c>
      <c r="C2989" t="s">
        <v>15</v>
      </c>
      <c r="D2989" t="s">
        <v>19</v>
      </c>
      <c r="E2989" t="s">
        <v>24</v>
      </c>
      <c r="F2989">
        <v>5551.37</v>
      </c>
    </row>
    <row r="2990" spans="1:6" x14ac:dyDescent="0.35">
      <c r="A2990">
        <v>1004</v>
      </c>
      <c r="B2990" s="4">
        <v>46133.375085336993</v>
      </c>
      <c r="C2990" t="s">
        <v>14</v>
      </c>
      <c r="D2990" t="s">
        <v>16</v>
      </c>
      <c r="E2990" t="s">
        <v>23</v>
      </c>
      <c r="F2990">
        <v>4559.57</v>
      </c>
    </row>
    <row r="2991" spans="1:6" x14ac:dyDescent="0.35">
      <c r="A2991">
        <v>1110</v>
      </c>
      <c r="B2991" s="4">
        <v>46133.375085336993</v>
      </c>
      <c r="C2991" t="s">
        <v>7</v>
      </c>
      <c r="D2991" t="s">
        <v>22</v>
      </c>
      <c r="E2991" t="s">
        <v>23</v>
      </c>
      <c r="F2991">
        <v>7050.3</v>
      </c>
    </row>
    <row r="2992" spans="1:6" x14ac:dyDescent="0.35">
      <c r="A2992">
        <v>1341</v>
      </c>
      <c r="B2992" s="4">
        <v>46133.375085336993</v>
      </c>
      <c r="C2992" t="s">
        <v>7</v>
      </c>
      <c r="D2992" t="s">
        <v>21</v>
      </c>
      <c r="E2992" t="s">
        <v>24</v>
      </c>
      <c r="F2992">
        <v>4773.7299999999996</v>
      </c>
    </row>
    <row r="2993" spans="1:6" x14ac:dyDescent="0.35">
      <c r="A2993">
        <v>1286</v>
      </c>
      <c r="B2993" s="4">
        <v>46133.375085336993</v>
      </c>
      <c r="C2993" t="s">
        <v>13</v>
      </c>
      <c r="D2993" t="s">
        <v>16</v>
      </c>
      <c r="E2993" t="s">
        <v>23</v>
      </c>
      <c r="F2993">
        <v>4762.2299999999996</v>
      </c>
    </row>
    <row r="2994" spans="1:6" x14ac:dyDescent="0.35">
      <c r="A2994">
        <v>1146</v>
      </c>
      <c r="B2994" s="4">
        <v>46133.375085336993</v>
      </c>
      <c r="C2994" t="s">
        <v>14</v>
      </c>
      <c r="D2994" t="s">
        <v>18</v>
      </c>
      <c r="E2994" t="s">
        <v>25</v>
      </c>
      <c r="F2994">
        <v>2202.4699999999998</v>
      </c>
    </row>
    <row r="2995" spans="1:6" x14ac:dyDescent="0.35">
      <c r="A2995">
        <v>1332</v>
      </c>
      <c r="B2995" s="4">
        <v>46134.375085336993</v>
      </c>
      <c r="C2995" t="s">
        <v>13</v>
      </c>
      <c r="D2995" t="s">
        <v>21</v>
      </c>
      <c r="E2995" t="s">
        <v>24</v>
      </c>
      <c r="F2995">
        <v>2829.26</v>
      </c>
    </row>
    <row r="2996" spans="1:6" x14ac:dyDescent="0.35">
      <c r="A2996">
        <v>1040</v>
      </c>
      <c r="B2996" s="4">
        <v>46134.375085336993</v>
      </c>
      <c r="C2996" t="s">
        <v>9</v>
      </c>
      <c r="D2996" t="s">
        <v>17</v>
      </c>
      <c r="E2996" t="s">
        <v>25</v>
      </c>
      <c r="F2996">
        <v>6896.09</v>
      </c>
    </row>
    <row r="2997" spans="1:6" x14ac:dyDescent="0.35">
      <c r="A2997">
        <v>1213</v>
      </c>
      <c r="B2997" s="4">
        <v>46134.375085336993</v>
      </c>
      <c r="C2997" t="s">
        <v>12</v>
      </c>
      <c r="D2997" t="s">
        <v>18</v>
      </c>
      <c r="E2997" t="s">
        <v>24</v>
      </c>
      <c r="F2997">
        <v>8730</v>
      </c>
    </row>
    <row r="2998" spans="1:6" x14ac:dyDescent="0.35">
      <c r="A2998">
        <v>1052</v>
      </c>
      <c r="B2998" s="4">
        <v>46134.375085336993</v>
      </c>
      <c r="C2998" t="s">
        <v>12</v>
      </c>
      <c r="D2998" t="s">
        <v>22</v>
      </c>
      <c r="E2998" t="s">
        <v>25</v>
      </c>
      <c r="F2998">
        <v>1509.35</v>
      </c>
    </row>
    <row r="2999" spans="1:6" x14ac:dyDescent="0.35">
      <c r="A2999">
        <v>1034</v>
      </c>
      <c r="B2999" s="4">
        <v>46135.375085336993</v>
      </c>
      <c r="C2999" t="s">
        <v>13</v>
      </c>
      <c r="D2999" t="s">
        <v>20</v>
      </c>
      <c r="E2999" t="s">
        <v>25</v>
      </c>
      <c r="F2999">
        <v>1618.45</v>
      </c>
    </row>
    <row r="3000" spans="1:6" x14ac:dyDescent="0.35">
      <c r="A3000">
        <v>1369</v>
      </c>
      <c r="B3000" s="4">
        <v>46135.375085336993</v>
      </c>
      <c r="C3000" t="s">
        <v>6</v>
      </c>
      <c r="D3000" t="s">
        <v>19</v>
      </c>
      <c r="E3000" t="s">
        <v>24</v>
      </c>
      <c r="F3000">
        <v>3249.38</v>
      </c>
    </row>
    <row r="3001" spans="1:6" x14ac:dyDescent="0.35">
      <c r="A3001">
        <v>1392</v>
      </c>
      <c r="B3001" s="4">
        <v>46135.375085336993</v>
      </c>
      <c r="C3001" t="s">
        <v>8</v>
      </c>
      <c r="D3001" t="s">
        <v>20</v>
      </c>
      <c r="E3001" t="s">
        <v>23</v>
      </c>
      <c r="F3001">
        <v>54.19</v>
      </c>
    </row>
  </sheetData>
  <sheetProtection algorithmName="SHA-512" hashValue="ce1gfDey1pRp0lxq4Ovyg6dYb4Mhzg1y3F85DSZNeBCl5sGTrCCY6PV6TKSXMUjrSDG9evVq5Q5rf0QqY/BFgA==" saltValue="jdn/YaozSzvp6547tNIB5Q==" spinCount="100000" sheet="1" objects="1" scenarios="1" selectLockedCell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01"/>
  <sheetViews>
    <sheetView topLeftCell="G11" zoomScale="99" zoomScaleNormal="99" workbookViewId="0">
      <selection activeCell="R27" sqref="R27"/>
    </sheetView>
  </sheetViews>
  <sheetFormatPr defaultRowHeight="14.5" x14ac:dyDescent="0.35"/>
  <cols>
    <col min="1" max="1" width="12.81640625" customWidth="1"/>
    <col min="2" max="2" width="17.81640625" style="4" bestFit="1" customWidth="1"/>
    <col min="4" max="4" width="16.90625" customWidth="1"/>
    <col min="5" max="5" width="10.453125" bestFit="1" customWidth="1"/>
    <col min="6" max="6" width="12.453125" customWidth="1"/>
    <col min="7" max="7" width="9.54296875" customWidth="1"/>
    <col min="8" max="8" width="11.453125" customWidth="1"/>
    <col min="9" max="9" width="11.08984375" customWidth="1"/>
    <col min="13" max="13" width="16.54296875" customWidth="1"/>
    <col min="14" max="14" width="14.54296875" bestFit="1" customWidth="1"/>
  </cols>
  <sheetData>
    <row r="1" spans="1:14" x14ac:dyDescent="0.35">
      <c r="A1" s="1" t="s">
        <v>0</v>
      </c>
      <c r="B1" s="3" t="s">
        <v>1</v>
      </c>
      <c r="C1" s="1" t="s">
        <v>2</v>
      </c>
      <c r="D1" s="1" t="s">
        <v>3</v>
      </c>
      <c r="E1" s="1" t="s">
        <v>4</v>
      </c>
      <c r="F1" s="1" t="s">
        <v>5</v>
      </c>
      <c r="G1" s="5" t="s">
        <v>31</v>
      </c>
      <c r="H1" s="5" t="s">
        <v>32</v>
      </c>
      <c r="I1" s="5" t="s">
        <v>33</v>
      </c>
      <c r="J1" s="5" t="s">
        <v>27</v>
      </c>
      <c r="K1" s="5" t="s">
        <v>28</v>
      </c>
      <c r="L1" s="5" t="s">
        <v>29</v>
      </c>
      <c r="M1" s="5" t="s">
        <v>30</v>
      </c>
      <c r="N1" s="5" t="s">
        <v>34</v>
      </c>
    </row>
    <row r="2" spans="1:14" x14ac:dyDescent="0.35">
      <c r="A2">
        <v>1194</v>
      </c>
      <c r="B2" s="4">
        <v>45406.375085336993</v>
      </c>
      <c r="C2" t="s">
        <v>6</v>
      </c>
      <c r="D2" t="s">
        <v>16</v>
      </c>
      <c r="E2" t="s">
        <v>23</v>
      </c>
      <c r="F2">
        <v>10942.56</v>
      </c>
      <c r="G2">
        <f t="array" ref="G2">SalesData!$I$2 - 'RFM Table'!B2</f>
        <v>730</v>
      </c>
      <c r="H2">
        <f t="array" ref="H2">COUNTIF(A:A,A2)</f>
        <v>7</v>
      </c>
      <c r="I2">
        <f t="array" ref="I2">SUMIF(A:A,A2,F:F)</f>
        <v>37031.050000000003</v>
      </c>
      <c r="J2">
        <f t="array" ref="J2">5 - INT(5 * (RANK(G2,G:G, 1) - 1) / COUNT(G:G))</f>
        <v>1</v>
      </c>
      <c r="K2">
        <f t="array" ref="K2">INT(5 * (RANK(H2,H:H, 0) - 1) / COUNT(H:H)) + 1</f>
        <v>4</v>
      </c>
      <c r="L2">
        <f t="array" ref="L2">INT(5 * (RANK(I2,I:I, 0) - 1) / COUNT(I:I)) + 1</f>
        <v>2</v>
      </c>
      <c r="M2" t="str">
        <f>J2 &amp; K2 &amp; L2</f>
        <v>142</v>
      </c>
      <c r="N2" s="6" t="str">
        <f>IF(AND(J2&gt;=4,K2&lt;=2),"New Customers",
IF(AND(J2&lt;=2,K2&gt;=3,L2&gt;=3),"At Risk",
IF(AND(J2&lt;=2,K2&lt;=2,L2&gt;=3),"Can't Lose Them",
IF(AND(J2&lt;=2,K2&lt;=2,L2&lt;=2),"Lost",
"Others"))))</f>
        <v>Others</v>
      </c>
    </row>
    <row r="3" spans="1:14" x14ac:dyDescent="0.35">
      <c r="A3">
        <v>1214</v>
      </c>
      <c r="B3" s="4">
        <v>45406.375085336993</v>
      </c>
      <c r="C3" t="s">
        <v>7</v>
      </c>
      <c r="D3" t="s">
        <v>17</v>
      </c>
      <c r="E3" t="s">
        <v>23</v>
      </c>
      <c r="F3">
        <v>4652.84</v>
      </c>
      <c r="G3">
        <f t="array" ref="G3">SalesData!$I$2 - 'RFM Table'!B3</f>
        <v>730</v>
      </c>
      <c r="H3">
        <f t="array" ref="H3">COUNTIF(A:A,A3)</f>
        <v>12</v>
      </c>
      <c r="I3">
        <f t="array" ref="I3">SUMIF(A:A,A3,F:F)</f>
        <v>49382.650000000009</v>
      </c>
      <c r="J3">
        <f t="array" ref="J3">5 - INT(5 * (RANK(G3,G:G, 1) - 1) / COUNT(G:G))</f>
        <v>1</v>
      </c>
      <c r="K3">
        <f t="array" ref="K3">INT(5 * (RANK(H3,H:H, 0) - 1) / COUNT(H:H)) + 1</f>
        <v>1</v>
      </c>
      <c r="L3">
        <f t="array" ref="L3">INT(5 * (RANK(I3,I:I, 0) - 1) / COUNT(I:I)) + 1</f>
        <v>1</v>
      </c>
      <c r="M3" t="str">
        <f t="shared" ref="M3:M66" si="0">J3 &amp; K3 &amp; L3</f>
        <v>111</v>
      </c>
      <c r="N3" s="6" t="str">
        <f t="shared" ref="N3:N66" si="1">IF(AND(J3&gt;=4,K3&lt;=2),"New Customers",
IF(AND(J3&lt;=2,K3&gt;=3,L3&gt;=3),"At Risk",
IF(AND(J3&lt;=2,K3&lt;=2,L3&gt;=3),"Can't Lose Them",
IF(AND(J3&lt;=2,K3&lt;=2,L3&lt;=2),"Lost",
"Others"))))</f>
        <v>Lost</v>
      </c>
    </row>
    <row r="4" spans="1:14" x14ac:dyDescent="0.35">
      <c r="A4">
        <v>1050</v>
      </c>
      <c r="B4" s="4">
        <v>45406.375085336993</v>
      </c>
      <c r="C4" t="s">
        <v>8</v>
      </c>
      <c r="D4" t="s">
        <v>18</v>
      </c>
      <c r="E4" t="s">
        <v>24</v>
      </c>
      <c r="F4">
        <v>5521.47</v>
      </c>
      <c r="G4">
        <f t="array" ref="G4">SalesData!$I$2 - 'RFM Table'!B4</f>
        <v>730</v>
      </c>
      <c r="H4">
        <f t="array" ref="H4">COUNTIF(A:A,A4)</f>
        <v>10</v>
      </c>
      <c r="I4">
        <f t="array" ref="I4">SUMIF(A:A,A4,F:F)</f>
        <v>32732.979999999996</v>
      </c>
      <c r="J4">
        <f t="array" ref="J4">5 - INT(5 * (RANK(G4,G:G, 1) - 1) / COUNT(G:G))</f>
        <v>1</v>
      </c>
      <c r="K4">
        <f t="array" ref="K4">INT(5 * (RANK(H4,H:H, 0) - 1) / COUNT(H:H)) + 1</f>
        <v>2</v>
      </c>
      <c r="L4">
        <f t="array" ref="L4">INT(5 * (RANK(I4,I:I, 0) - 1) / COUNT(I:I)) + 1</f>
        <v>3</v>
      </c>
      <c r="M4" t="str">
        <f t="shared" si="0"/>
        <v>123</v>
      </c>
      <c r="N4" s="6" t="str">
        <f t="shared" si="1"/>
        <v>Can't Lose Them</v>
      </c>
    </row>
    <row r="5" spans="1:14" x14ac:dyDescent="0.35">
      <c r="A5">
        <v>1292</v>
      </c>
      <c r="B5" s="4">
        <v>45406.375085336993</v>
      </c>
      <c r="C5" t="s">
        <v>9</v>
      </c>
      <c r="D5" t="s">
        <v>19</v>
      </c>
      <c r="E5" t="s">
        <v>23</v>
      </c>
      <c r="F5">
        <v>13925.76</v>
      </c>
      <c r="G5">
        <f t="array" ref="G5">SalesData!$I$2 - 'RFM Table'!B5</f>
        <v>730</v>
      </c>
      <c r="H5">
        <f t="array" ref="H5">COUNTIF(A:A,A5)</f>
        <v>15</v>
      </c>
      <c r="I5">
        <f t="array" ref="I5">SUMIF(A:A,A5,F:F)</f>
        <v>49637.999999999993</v>
      </c>
      <c r="J5">
        <f t="array" ref="J5">5 - INT(5 * (RANK(G5,G:G, 1) - 1) / COUNT(G:G))</f>
        <v>1</v>
      </c>
      <c r="K5">
        <f t="array" ref="K5">INT(5 * (RANK(H5,H:H, 0) - 1) / COUNT(H:H)) + 1</f>
        <v>1</v>
      </c>
      <c r="L5">
        <f t="array" ref="L5">INT(5 * (RANK(I5,I:I, 0) - 1) / COUNT(I:I)) + 1</f>
        <v>1</v>
      </c>
      <c r="M5" t="str">
        <f t="shared" si="0"/>
        <v>111</v>
      </c>
      <c r="N5" s="6" t="str">
        <f t="shared" si="1"/>
        <v>Lost</v>
      </c>
    </row>
    <row r="6" spans="1:14" x14ac:dyDescent="0.35">
      <c r="A6">
        <v>1245</v>
      </c>
      <c r="B6" s="4">
        <v>45406.375085336993</v>
      </c>
      <c r="C6" t="s">
        <v>10</v>
      </c>
      <c r="D6" t="s">
        <v>16</v>
      </c>
      <c r="E6" t="s">
        <v>25</v>
      </c>
      <c r="F6">
        <v>3502.98</v>
      </c>
      <c r="G6">
        <f t="array" ref="G6">SalesData!$I$2 - 'RFM Table'!B6</f>
        <v>730</v>
      </c>
      <c r="H6">
        <f t="array" ref="H6">COUNTIF(A:A,A6)</f>
        <v>6</v>
      </c>
      <c r="I6">
        <f t="array" ref="I6">SUMIF(A:A,A6,F:F)</f>
        <v>17570.61</v>
      </c>
      <c r="J6">
        <f t="array" ref="J6">5 - INT(5 * (RANK(G6,G:G, 1) - 1) / COUNT(G:G))</f>
        <v>1</v>
      </c>
      <c r="K6">
        <f t="array" ref="K6">INT(5 * (RANK(H6,H:H, 0) - 1) / COUNT(H:H)) + 1</f>
        <v>4</v>
      </c>
      <c r="L6">
        <f t="array" ref="L6">INT(5 * (RANK(I6,I:I, 0) - 1) / COUNT(I:I)) + 1</f>
        <v>5</v>
      </c>
      <c r="M6" t="str">
        <f t="shared" si="0"/>
        <v>145</v>
      </c>
      <c r="N6" s="6" t="str">
        <f t="shared" si="1"/>
        <v>At Risk</v>
      </c>
    </row>
    <row r="7" spans="1:14" x14ac:dyDescent="0.35">
      <c r="A7">
        <v>1377</v>
      </c>
      <c r="B7" s="4">
        <v>45407.375085336993</v>
      </c>
      <c r="C7" t="s">
        <v>9</v>
      </c>
      <c r="D7" t="s">
        <v>17</v>
      </c>
      <c r="E7" t="s">
        <v>24</v>
      </c>
      <c r="F7">
        <v>9424.15</v>
      </c>
      <c r="G7">
        <f t="array" ref="G7">SalesData!$I$2 - 'RFM Table'!B7</f>
        <v>729</v>
      </c>
      <c r="H7">
        <f t="array" ref="H7">COUNTIF(A:A,A7)</f>
        <v>6</v>
      </c>
      <c r="I7">
        <f t="array" ref="I7">SUMIF(A:A,A7,F:F)</f>
        <v>39626.31</v>
      </c>
      <c r="J7">
        <f t="array" ref="J7">5 - INT(5 * (RANK(G7,G:G, 1) - 1) / COUNT(G:G))</f>
        <v>1</v>
      </c>
      <c r="K7">
        <f t="array" ref="K7">INT(5 * (RANK(H7,H:H, 0) - 1) / COUNT(H:H)) + 1</f>
        <v>4</v>
      </c>
      <c r="L7">
        <f t="array" ref="L7">INT(5 * (RANK(I7,I:I, 0) - 1) / COUNT(I:I)) + 1</f>
        <v>2</v>
      </c>
      <c r="M7" t="str">
        <f t="shared" si="0"/>
        <v>142</v>
      </c>
      <c r="N7" s="6" t="str">
        <f t="shared" si="1"/>
        <v>Others</v>
      </c>
    </row>
    <row r="8" spans="1:14" x14ac:dyDescent="0.35">
      <c r="A8">
        <v>1381</v>
      </c>
      <c r="B8" s="4">
        <v>45408.375085336993</v>
      </c>
      <c r="C8" t="s">
        <v>10</v>
      </c>
      <c r="D8" t="s">
        <v>16</v>
      </c>
      <c r="E8" t="s">
        <v>24</v>
      </c>
      <c r="F8">
        <v>2804.96</v>
      </c>
      <c r="G8">
        <f t="array" ref="G8">SalesData!$I$2 - 'RFM Table'!B8</f>
        <v>728</v>
      </c>
      <c r="H8">
        <f t="array" ref="H8">COUNTIF(A:A,A8)</f>
        <v>7</v>
      </c>
      <c r="I8">
        <f t="array" ref="I8">SUMIF(A:A,A8,F:F)</f>
        <v>32953.599999999999</v>
      </c>
      <c r="J8">
        <f t="array" ref="J8">5 - INT(5 * (RANK(G8,G:G, 1) - 1) / COUNT(G:G))</f>
        <v>1</v>
      </c>
      <c r="K8">
        <f t="array" ref="K8">INT(5 * (RANK(H8,H:H, 0) - 1) / COUNT(H:H)) + 1</f>
        <v>4</v>
      </c>
      <c r="L8">
        <f t="array" ref="L8">INT(5 * (RANK(I8,I:I, 0) - 1) / COUNT(I:I)) + 1</f>
        <v>3</v>
      </c>
      <c r="M8" t="str">
        <f t="shared" si="0"/>
        <v>143</v>
      </c>
      <c r="N8" s="6" t="str">
        <f t="shared" si="1"/>
        <v>At Risk</v>
      </c>
    </row>
    <row r="9" spans="1:14" x14ac:dyDescent="0.35">
      <c r="A9">
        <v>1156</v>
      </c>
      <c r="B9" s="4">
        <v>45408.375085336993</v>
      </c>
      <c r="C9" t="s">
        <v>11</v>
      </c>
      <c r="D9" t="s">
        <v>19</v>
      </c>
      <c r="E9" t="s">
        <v>24</v>
      </c>
      <c r="F9">
        <v>676.55</v>
      </c>
      <c r="G9">
        <f t="array" ref="G9">SalesData!$I$2 - 'RFM Table'!B9</f>
        <v>728</v>
      </c>
      <c r="H9">
        <f t="array" ref="H9">COUNTIF(A:A,A9)</f>
        <v>8</v>
      </c>
      <c r="I9">
        <f t="array" ref="I9">SUMIF(A:A,A9,F:F)</f>
        <v>43799.990000000005</v>
      </c>
      <c r="J9">
        <f t="array" ref="J9">5 - INT(5 * (RANK(G9,G:G, 1) - 1) / COUNT(G:G))</f>
        <v>1</v>
      </c>
      <c r="K9">
        <f t="array" ref="K9">INT(5 * (RANK(H9,H:H, 0) - 1) / COUNT(H:H)) + 1</f>
        <v>3</v>
      </c>
      <c r="L9">
        <f t="array" ref="L9">INT(5 * (RANK(I9,I:I, 0) - 1) / COUNT(I:I)) + 1</f>
        <v>2</v>
      </c>
      <c r="M9" t="str">
        <f t="shared" si="0"/>
        <v>132</v>
      </c>
      <c r="N9" s="6" t="str">
        <f t="shared" si="1"/>
        <v>Others</v>
      </c>
    </row>
    <row r="10" spans="1:14" x14ac:dyDescent="0.35">
      <c r="A10">
        <v>1033</v>
      </c>
      <c r="B10" s="4">
        <v>45408.375085336993</v>
      </c>
      <c r="C10" t="s">
        <v>7</v>
      </c>
      <c r="D10" t="s">
        <v>16</v>
      </c>
      <c r="E10" t="s">
        <v>24</v>
      </c>
      <c r="F10">
        <v>1221.2</v>
      </c>
      <c r="G10">
        <f t="array" ref="G10">SalesData!$I$2 - 'RFM Table'!B10</f>
        <v>728</v>
      </c>
      <c r="H10">
        <f t="array" ref="H10">COUNTIF(A:A,A10)</f>
        <v>7</v>
      </c>
      <c r="I10">
        <f t="array" ref="I10">SUMIF(A:A,A10,F:F)</f>
        <v>18694.46</v>
      </c>
      <c r="J10">
        <f t="array" ref="J10">5 - INT(5 * (RANK(G10,G:G, 1) - 1) / COUNT(G:G))</f>
        <v>1</v>
      </c>
      <c r="K10">
        <f t="array" ref="K10">INT(5 * (RANK(H10,H:H, 0) - 1) / COUNT(H:H)) + 1</f>
        <v>4</v>
      </c>
      <c r="L10">
        <f t="array" ref="L10">INT(5 * (RANK(I10,I:I, 0) - 1) / COUNT(I:I)) + 1</f>
        <v>5</v>
      </c>
      <c r="M10" t="str">
        <f t="shared" si="0"/>
        <v>145</v>
      </c>
      <c r="N10" s="6" t="str">
        <f t="shared" si="1"/>
        <v>At Risk</v>
      </c>
    </row>
    <row r="11" spans="1:14" x14ac:dyDescent="0.35">
      <c r="A11">
        <v>1260</v>
      </c>
      <c r="B11" s="4">
        <v>45408.375085336993</v>
      </c>
      <c r="C11" t="s">
        <v>12</v>
      </c>
      <c r="D11" t="s">
        <v>19</v>
      </c>
      <c r="E11" t="s">
        <v>23</v>
      </c>
      <c r="F11">
        <v>4306.28</v>
      </c>
      <c r="G11">
        <f t="array" ref="G11">SalesData!$I$2 - 'RFM Table'!B11</f>
        <v>728</v>
      </c>
      <c r="H11">
        <f t="array" ref="H11">COUNTIF(A:A,A11)</f>
        <v>10</v>
      </c>
      <c r="I11">
        <f t="array" ref="I11">SUMIF(A:A,A11,F:F)</f>
        <v>67378.48000000001</v>
      </c>
      <c r="J11">
        <f t="array" ref="J11">5 - INT(5 * (RANK(G11,G:G, 1) - 1) / COUNT(G:G))</f>
        <v>1</v>
      </c>
      <c r="K11">
        <f t="array" ref="K11">INT(5 * (RANK(H11,H:H, 0) - 1) / COUNT(H:H)) + 1</f>
        <v>2</v>
      </c>
      <c r="L11">
        <f t="array" ref="L11">INT(5 * (RANK(I11,I:I, 0) - 1) / COUNT(I:I)) + 1</f>
        <v>1</v>
      </c>
      <c r="M11" t="str">
        <f t="shared" si="0"/>
        <v>121</v>
      </c>
      <c r="N11" s="6" t="str">
        <f t="shared" si="1"/>
        <v>Lost</v>
      </c>
    </row>
    <row r="12" spans="1:14" x14ac:dyDescent="0.35">
      <c r="A12">
        <v>1199</v>
      </c>
      <c r="B12" s="4">
        <v>45409.375085336993</v>
      </c>
      <c r="C12" t="s">
        <v>9</v>
      </c>
      <c r="D12" t="s">
        <v>20</v>
      </c>
      <c r="E12" t="s">
        <v>25</v>
      </c>
      <c r="F12">
        <v>6020.75</v>
      </c>
      <c r="G12">
        <f t="array" ref="G12">SalesData!$I$2 - 'RFM Table'!B12</f>
        <v>727</v>
      </c>
      <c r="H12">
        <f t="array" ref="H12">COUNTIF(A:A,A12)</f>
        <v>5</v>
      </c>
      <c r="I12">
        <f t="array" ref="I12">SUMIF(A:A,A12,F:F)</f>
        <v>17477.019999999997</v>
      </c>
      <c r="J12">
        <f t="array" ref="J12">5 - INT(5 * (RANK(G12,G:G, 1) - 1) / COUNT(G:G))</f>
        <v>1</v>
      </c>
      <c r="K12">
        <f t="array" ref="K12">INT(5 * (RANK(H12,H:H, 0) - 1) / COUNT(H:H)) + 1</f>
        <v>5</v>
      </c>
      <c r="L12">
        <f t="array" ref="L12">INT(5 * (RANK(I12,I:I, 0) - 1) / COUNT(I:I)) + 1</f>
        <v>5</v>
      </c>
      <c r="M12" t="str">
        <f t="shared" si="0"/>
        <v>155</v>
      </c>
      <c r="N12" s="6" t="str">
        <f t="shared" si="1"/>
        <v>At Risk</v>
      </c>
    </row>
    <row r="13" spans="1:14" x14ac:dyDescent="0.35">
      <c r="A13">
        <v>1358</v>
      </c>
      <c r="B13" s="4">
        <v>45409.375085336993</v>
      </c>
      <c r="C13" t="s">
        <v>11</v>
      </c>
      <c r="D13" t="s">
        <v>19</v>
      </c>
      <c r="E13" t="s">
        <v>24</v>
      </c>
      <c r="F13">
        <v>1958.78</v>
      </c>
      <c r="G13">
        <f t="array" ref="G13">SalesData!$I$2 - 'RFM Table'!B13</f>
        <v>727</v>
      </c>
      <c r="H13">
        <f t="array" ref="H13">COUNTIF(A:A,A13)</f>
        <v>9</v>
      </c>
      <c r="I13">
        <f t="array" ref="I13">SUMIF(A:A,A13,F:F)</f>
        <v>29151.88</v>
      </c>
      <c r="J13">
        <f t="array" ref="J13">5 - INT(5 * (RANK(G13,G:G, 1) - 1) / COUNT(G:G))</f>
        <v>1</v>
      </c>
      <c r="K13">
        <f t="array" ref="K13">INT(5 * (RANK(H13,H:H, 0) - 1) / COUNT(H:H)) + 1</f>
        <v>2</v>
      </c>
      <c r="L13">
        <f t="array" ref="L13">INT(5 * (RANK(I13,I:I, 0) - 1) / COUNT(I:I)) + 1</f>
        <v>4</v>
      </c>
      <c r="M13" t="str">
        <f t="shared" si="0"/>
        <v>124</v>
      </c>
      <c r="N13" s="6" t="str">
        <f t="shared" si="1"/>
        <v>Can't Lose Them</v>
      </c>
    </row>
    <row r="14" spans="1:14" x14ac:dyDescent="0.35">
      <c r="A14">
        <v>1358</v>
      </c>
      <c r="B14" s="4">
        <v>45409.375085336993</v>
      </c>
      <c r="C14" t="s">
        <v>11</v>
      </c>
      <c r="D14" t="s">
        <v>21</v>
      </c>
      <c r="E14" t="s">
        <v>25</v>
      </c>
      <c r="F14">
        <v>1557.18</v>
      </c>
      <c r="G14">
        <f t="array" ref="G14">SalesData!$I$2 - 'RFM Table'!B14</f>
        <v>727</v>
      </c>
      <c r="H14">
        <f t="array" ref="H14">COUNTIF(A:A,A14)</f>
        <v>9</v>
      </c>
      <c r="I14">
        <f t="array" ref="I14">SUMIF(A:A,A14,F:F)</f>
        <v>29151.88</v>
      </c>
      <c r="J14">
        <f t="array" ref="J14">5 - INT(5 * (RANK(G14,G:G, 1) - 1) / COUNT(G:G))</f>
        <v>1</v>
      </c>
      <c r="K14">
        <f t="array" ref="K14">INT(5 * (RANK(H14,H:H, 0) - 1) / COUNT(H:H)) + 1</f>
        <v>2</v>
      </c>
      <c r="L14">
        <f t="array" ref="L14">INT(5 * (RANK(I14,I:I, 0) - 1) / COUNT(I:I)) + 1</f>
        <v>4</v>
      </c>
      <c r="M14" t="str">
        <f t="shared" si="0"/>
        <v>124</v>
      </c>
      <c r="N14" s="6" t="str">
        <f t="shared" si="1"/>
        <v>Can't Lose Them</v>
      </c>
    </row>
    <row r="15" spans="1:14" x14ac:dyDescent="0.35">
      <c r="A15">
        <v>1061</v>
      </c>
      <c r="B15" s="4">
        <v>45410.375085336993</v>
      </c>
      <c r="C15" t="s">
        <v>7</v>
      </c>
      <c r="D15" t="s">
        <v>20</v>
      </c>
      <c r="E15" t="s">
        <v>23</v>
      </c>
      <c r="F15">
        <v>6085.25</v>
      </c>
      <c r="G15">
        <f t="array" ref="G15">SalesData!$I$2 - 'RFM Table'!B15</f>
        <v>726</v>
      </c>
      <c r="H15">
        <f t="array" ref="H15">COUNTIF(A:A,A15)</f>
        <v>9</v>
      </c>
      <c r="I15">
        <f t="array" ref="I15">SUMIF(A:A,A15,F:F)</f>
        <v>24509.48</v>
      </c>
      <c r="J15">
        <f t="array" ref="J15">5 - INT(5 * (RANK(G15,G:G, 1) - 1) / COUNT(G:G))</f>
        <v>1</v>
      </c>
      <c r="K15">
        <f t="array" ref="K15">INT(5 * (RANK(H15,H:H, 0) - 1) / COUNT(H:H)) + 1</f>
        <v>2</v>
      </c>
      <c r="L15">
        <f t="array" ref="L15">INT(5 * (RANK(I15,I:I, 0) - 1) / COUNT(I:I)) + 1</f>
        <v>4</v>
      </c>
      <c r="M15" t="str">
        <f t="shared" si="0"/>
        <v>124</v>
      </c>
      <c r="N15" s="6" t="str">
        <f t="shared" si="1"/>
        <v>Can't Lose Them</v>
      </c>
    </row>
    <row r="16" spans="1:14" x14ac:dyDescent="0.35">
      <c r="A16">
        <v>1178</v>
      </c>
      <c r="B16" s="4">
        <v>45410.375085336993</v>
      </c>
      <c r="C16" t="s">
        <v>13</v>
      </c>
      <c r="D16" t="s">
        <v>21</v>
      </c>
      <c r="E16" t="s">
        <v>24</v>
      </c>
      <c r="F16">
        <v>4042.32</v>
      </c>
      <c r="G16">
        <f t="array" ref="G16">SalesData!$I$2 - 'RFM Table'!B16</f>
        <v>726</v>
      </c>
      <c r="H16">
        <f t="array" ref="H16">COUNTIF(A:A,A16)</f>
        <v>7</v>
      </c>
      <c r="I16">
        <f t="array" ref="I16">SUMIF(A:A,A16,F:F)</f>
        <v>26651.280000000002</v>
      </c>
      <c r="J16">
        <f t="array" ref="J16">5 - INT(5 * (RANK(G16,G:G, 1) - 1) / COUNT(G:G))</f>
        <v>1</v>
      </c>
      <c r="K16">
        <f t="array" ref="K16">INT(5 * (RANK(H16,H:H, 0) - 1) / COUNT(H:H)) + 1</f>
        <v>4</v>
      </c>
      <c r="L16">
        <f t="array" ref="L16">INT(5 * (RANK(I16,I:I, 0) - 1) / COUNT(I:I)) + 1</f>
        <v>4</v>
      </c>
      <c r="M16" t="str">
        <f t="shared" si="0"/>
        <v>144</v>
      </c>
      <c r="N16" s="6" t="str">
        <f t="shared" si="1"/>
        <v>At Risk</v>
      </c>
    </row>
    <row r="17" spans="1:14" x14ac:dyDescent="0.35">
      <c r="A17">
        <v>1288</v>
      </c>
      <c r="B17" s="4">
        <v>45410.375085336993</v>
      </c>
      <c r="C17" t="s">
        <v>6</v>
      </c>
      <c r="D17" t="s">
        <v>22</v>
      </c>
      <c r="E17" t="s">
        <v>24</v>
      </c>
      <c r="F17">
        <v>4648.1499999999996</v>
      </c>
      <c r="G17">
        <f t="array" ref="G17">SalesData!$I$2 - 'RFM Table'!B17</f>
        <v>726</v>
      </c>
      <c r="H17">
        <f t="array" ref="H17">COUNTIF(A:A,A17)</f>
        <v>13</v>
      </c>
      <c r="I17">
        <f t="array" ref="I17">SUMIF(A:A,A17,F:F)</f>
        <v>40219.18</v>
      </c>
      <c r="J17">
        <f t="array" ref="J17">5 - INT(5 * (RANK(G17,G:G, 1) - 1) / COUNT(G:G))</f>
        <v>1</v>
      </c>
      <c r="K17">
        <f t="array" ref="K17">INT(5 * (RANK(H17,H:H, 0) - 1) / COUNT(H:H)) + 1</f>
        <v>1</v>
      </c>
      <c r="L17">
        <f t="array" ref="L17">INT(5 * (RANK(I17,I:I, 0) - 1) / COUNT(I:I)) + 1</f>
        <v>2</v>
      </c>
      <c r="M17" t="str">
        <f t="shared" si="0"/>
        <v>112</v>
      </c>
      <c r="N17" s="6" t="str">
        <f t="shared" si="1"/>
        <v>Lost</v>
      </c>
    </row>
    <row r="18" spans="1:14" x14ac:dyDescent="0.35">
      <c r="A18">
        <v>1320</v>
      </c>
      <c r="B18" s="4">
        <v>45410.375085336993</v>
      </c>
      <c r="C18" t="s">
        <v>14</v>
      </c>
      <c r="D18" t="s">
        <v>17</v>
      </c>
      <c r="E18" t="s">
        <v>24</v>
      </c>
      <c r="F18">
        <v>3462.18</v>
      </c>
      <c r="G18">
        <f t="array" ref="G18">SalesData!$I$2 - 'RFM Table'!B18</f>
        <v>726</v>
      </c>
      <c r="H18">
        <f t="array" ref="H18">COUNTIF(A:A,A18)</f>
        <v>6</v>
      </c>
      <c r="I18">
        <f t="array" ref="I18">SUMIF(A:A,A18,F:F)</f>
        <v>32825.340000000004</v>
      </c>
      <c r="J18">
        <f t="array" ref="J18">5 - INT(5 * (RANK(G18,G:G, 1) - 1) / COUNT(G:G))</f>
        <v>1</v>
      </c>
      <c r="K18">
        <f t="array" ref="K18">INT(5 * (RANK(H18,H:H, 0) - 1) / COUNT(H:H)) + 1</f>
        <v>4</v>
      </c>
      <c r="L18">
        <f t="array" ref="L18">INT(5 * (RANK(I18,I:I, 0) - 1) / COUNT(I:I)) + 1</f>
        <v>3</v>
      </c>
      <c r="M18" t="str">
        <f t="shared" si="0"/>
        <v>143</v>
      </c>
      <c r="N18" s="6" t="str">
        <f t="shared" si="1"/>
        <v>At Risk</v>
      </c>
    </row>
    <row r="19" spans="1:14" x14ac:dyDescent="0.35">
      <c r="A19">
        <v>1123</v>
      </c>
      <c r="B19" s="4">
        <v>45411.375085336993</v>
      </c>
      <c r="C19" t="s">
        <v>9</v>
      </c>
      <c r="D19" t="s">
        <v>20</v>
      </c>
      <c r="E19" t="s">
        <v>24</v>
      </c>
      <c r="F19">
        <v>3798.4</v>
      </c>
      <c r="G19">
        <f t="array" ref="G19">SalesData!$I$2 - 'RFM Table'!B19</f>
        <v>725</v>
      </c>
      <c r="H19">
        <f t="array" ref="H19">COUNTIF(A:A,A19)</f>
        <v>6</v>
      </c>
      <c r="I19">
        <f t="array" ref="I19">SUMIF(A:A,A19,F:F)</f>
        <v>26817.25</v>
      </c>
      <c r="J19">
        <f t="array" ref="J19">5 - INT(5 * (RANK(G19,G:G, 1) - 1) / COUNT(G:G))</f>
        <v>1</v>
      </c>
      <c r="K19">
        <f t="array" ref="K19">INT(5 * (RANK(H19,H:H, 0) - 1) / COUNT(H:H)) + 1</f>
        <v>4</v>
      </c>
      <c r="L19">
        <f t="array" ref="L19">INT(5 * (RANK(I19,I:I, 0) - 1) / COUNT(I:I)) + 1</f>
        <v>4</v>
      </c>
      <c r="M19" t="str">
        <f t="shared" si="0"/>
        <v>144</v>
      </c>
      <c r="N19" s="6" t="str">
        <f t="shared" si="1"/>
        <v>At Risk</v>
      </c>
    </row>
    <row r="20" spans="1:14" x14ac:dyDescent="0.35">
      <c r="A20">
        <v>1342</v>
      </c>
      <c r="B20" s="4">
        <v>45411.375085336993</v>
      </c>
      <c r="C20" t="s">
        <v>10</v>
      </c>
      <c r="D20" t="s">
        <v>19</v>
      </c>
      <c r="E20" t="s">
        <v>23</v>
      </c>
      <c r="F20">
        <v>3965.52</v>
      </c>
      <c r="G20">
        <f t="array" ref="G20">SalesData!$I$2 - 'RFM Table'!B20</f>
        <v>725</v>
      </c>
      <c r="H20">
        <f t="array" ref="H20">COUNTIF(A:A,A20)</f>
        <v>3</v>
      </c>
      <c r="I20">
        <f t="array" ref="I20">SUMIF(A:A,A20,F:F)</f>
        <v>11200.41</v>
      </c>
      <c r="J20">
        <f t="array" ref="J20">5 - INT(5 * (RANK(G20,G:G, 1) - 1) / COUNT(G:G))</f>
        <v>1</v>
      </c>
      <c r="K20">
        <f t="array" ref="K20">INT(5 * (RANK(H20,H:H, 0) - 1) / COUNT(H:H)) + 1</f>
        <v>5</v>
      </c>
      <c r="L20">
        <f t="array" ref="L20">INT(5 * (RANK(I20,I:I, 0) - 1) / COUNT(I:I)) + 1</f>
        <v>5</v>
      </c>
      <c r="M20" t="str">
        <f t="shared" si="0"/>
        <v>155</v>
      </c>
      <c r="N20" s="6" t="str">
        <f t="shared" si="1"/>
        <v>At Risk</v>
      </c>
    </row>
    <row r="21" spans="1:14" x14ac:dyDescent="0.35">
      <c r="A21">
        <v>1168</v>
      </c>
      <c r="B21" s="4">
        <v>45411.375085336993</v>
      </c>
      <c r="C21" t="s">
        <v>12</v>
      </c>
      <c r="D21" t="s">
        <v>18</v>
      </c>
      <c r="E21" t="s">
        <v>24</v>
      </c>
      <c r="F21">
        <v>1274.6199999999999</v>
      </c>
      <c r="G21">
        <f t="array" ref="G21">SalesData!$I$2 - 'RFM Table'!B21</f>
        <v>725</v>
      </c>
      <c r="H21">
        <f t="array" ref="H21">COUNTIF(A:A,A21)</f>
        <v>4</v>
      </c>
      <c r="I21">
        <f t="array" ref="I21">SUMIF(A:A,A21,F:F)</f>
        <v>6987.52</v>
      </c>
      <c r="J21">
        <f t="array" ref="J21">5 - INT(5 * (RANK(G21,G:G, 1) - 1) / COUNT(G:G))</f>
        <v>1</v>
      </c>
      <c r="K21">
        <f t="array" ref="K21">INT(5 * (RANK(H21,H:H, 0) - 1) / COUNT(H:H)) + 1</f>
        <v>5</v>
      </c>
      <c r="L21">
        <f t="array" ref="L21">INT(5 * (RANK(I21,I:I, 0) - 1) / COUNT(I:I)) + 1</f>
        <v>5</v>
      </c>
      <c r="M21" t="str">
        <f t="shared" si="0"/>
        <v>155</v>
      </c>
      <c r="N21" s="6" t="str">
        <f t="shared" si="1"/>
        <v>At Risk</v>
      </c>
    </row>
    <row r="22" spans="1:14" x14ac:dyDescent="0.35">
      <c r="A22">
        <v>1155</v>
      </c>
      <c r="B22" s="4">
        <v>45411.375085336993</v>
      </c>
      <c r="C22" t="s">
        <v>11</v>
      </c>
      <c r="D22" t="s">
        <v>21</v>
      </c>
      <c r="E22" t="s">
        <v>24</v>
      </c>
      <c r="F22">
        <v>4308.95</v>
      </c>
      <c r="G22">
        <f t="array" ref="G22">SalesData!$I$2 - 'RFM Table'!B22</f>
        <v>725</v>
      </c>
      <c r="H22">
        <f t="array" ref="H22">COUNTIF(A:A,A22)</f>
        <v>5</v>
      </c>
      <c r="I22">
        <f t="array" ref="I22">SUMIF(A:A,A22,F:F)</f>
        <v>15744.06</v>
      </c>
      <c r="J22">
        <f t="array" ref="J22">5 - INT(5 * (RANK(G22,G:G, 1) - 1) / COUNT(G:G))</f>
        <v>1</v>
      </c>
      <c r="K22">
        <f t="array" ref="K22">INT(5 * (RANK(H22,H:H, 0) - 1) / COUNT(H:H)) + 1</f>
        <v>5</v>
      </c>
      <c r="L22">
        <f t="array" ref="L22">INT(5 * (RANK(I22,I:I, 0) - 1) / COUNT(I:I)) + 1</f>
        <v>5</v>
      </c>
      <c r="M22" t="str">
        <f t="shared" si="0"/>
        <v>155</v>
      </c>
      <c r="N22" s="6" t="str">
        <f t="shared" si="1"/>
        <v>At Risk</v>
      </c>
    </row>
    <row r="23" spans="1:14" x14ac:dyDescent="0.35">
      <c r="A23">
        <v>1129</v>
      </c>
      <c r="B23" s="4">
        <v>45411.375085336993</v>
      </c>
      <c r="C23" t="s">
        <v>11</v>
      </c>
      <c r="D23" t="s">
        <v>22</v>
      </c>
      <c r="E23" t="s">
        <v>23</v>
      </c>
      <c r="F23">
        <v>5063.2299999999996</v>
      </c>
      <c r="G23">
        <f t="array" ref="G23">SalesData!$I$2 - 'RFM Table'!B23</f>
        <v>725</v>
      </c>
      <c r="H23">
        <f t="array" ref="H23">COUNTIF(A:A,A23)</f>
        <v>14</v>
      </c>
      <c r="I23">
        <f t="array" ref="I23">SUMIF(A:A,A23,F:F)</f>
        <v>53433.220000000008</v>
      </c>
      <c r="J23">
        <f t="array" ref="J23">5 - INT(5 * (RANK(G23,G:G, 1) - 1) / COUNT(G:G))</f>
        <v>1</v>
      </c>
      <c r="K23">
        <f t="array" ref="K23">INT(5 * (RANK(H23,H:H, 0) - 1) / COUNT(H:H)) + 1</f>
        <v>1</v>
      </c>
      <c r="L23">
        <f t="array" ref="L23">INT(5 * (RANK(I23,I:I, 0) - 1) / COUNT(I:I)) + 1</f>
        <v>1</v>
      </c>
      <c r="M23" t="str">
        <f t="shared" si="0"/>
        <v>111</v>
      </c>
      <c r="N23" s="6" t="str">
        <f t="shared" si="1"/>
        <v>Lost</v>
      </c>
    </row>
    <row r="24" spans="1:14" x14ac:dyDescent="0.35">
      <c r="A24">
        <v>1086</v>
      </c>
      <c r="B24" s="4">
        <v>45411.375085336993</v>
      </c>
      <c r="C24" t="s">
        <v>10</v>
      </c>
      <c r="D24" t="s">
        <v>20</v>
      </c>
      <c r="E24" t="s">
        <v>25</v>
      </c>
      <c r="F24">
        <v>4207.42</v>
      </c>
      <c r="G24">
        <f t="array" ref="G24">SalesData!$I$2 - 'RFM Table'!B24</f>
        <v>725</v>
      </c>
      <c r="H24">
        <f t="array" ref="H24">COUNTIF(A:A,A24)</f>
        <v>6</v>
      </c>
      <c r="I24">
        <f t="array" ref="I24">SUMIF(A:A,A24,F:F)</f>
        <v>18163.55</v>
      </c>
      <c r="J24">
        <f t="array" ref="J24">5 - INT(5 * (RANK(G24,G:G, 1) - 1) / COUNT(G:G))</f>
        <v>1</v>
      </c>
      <c r="K24">
        <f t="array" ref="K24">INT(5 * (RANK(H24,H:H, 0) - 1) / COUNT(H:H)) + 1</f>
        <v>4</v>
      </c>
      <c r="L24">
        <f t="array" ref="L24">INT(5 * (RANK(I24,I:I, 0) - 1) / COUNT(I:I)) + 1</f>
        <v>5</v>
      </c>
      <c r="M24" t="str">
        <f t="shared" si="0"/>
        <v>145</v>
      </c>
      <c r="N24" s="6" t="str">
        <f t="shared" si="1"/>
        <v>At Risk</v>
      </c>
    </row>
    <row r="25" spans="1:14" x14ac:dyDescent="0.35">
      <c r="A25">
        <v>1273</v>
      </c>
      <c r="B25" s="4">
        <v>45412.375085336993</v>
      </c>
      <c r="C25" t="s">
        <v>10</v>
      </c>
      <c r="D25" t="s">
        <v>19</v>
      </c>
      <c r="E25" t="s">
        <v>24</v>
      </c>
      <c r="F25">
        <v>3220.63</v>
      </c>
      <c r="G25">
        <f t="array" ref="G25">SalesData!$I$2 - 'RFM Table'!B25</f>
        <v>724</v>
      </c>
      <c r="H25">
        <f t="array" ref="H25">COUNTIF(A:A,A25)</f>
        <v>5</v>
      </c>
      <c r="I25">
        <f t="array" ref="I25">SUMIF(A:A,A25,F:F)</f>
        <v>20536.82</v>
      </c>
      <c r="J25">
        <f t="array" ref="J25">5 - INT(5 * (RANK(G25,G:G, 1) - 1) / COUNT(G:G))</f>
        <v>1</v>
      </c>
      <c r="K25">
        <f t="array" ref="K25">INT(5 * (RANK(H25,H:H, 0) - 1) / COUNT(H:H)) + 1</f>
        <v>5</v>
      </c>
      <c r="L25">
        <f t="array" ref="L25">INT(5 * (RANK(I25,I:I, 0) - 1) / COUNT(I:I)) + 1</f>
        <v>5</v>
      </c>
      <c r="M25" t="str">
        <f t="shared" si="0"/>
        <v>155</v>
      </c>
      <c r="N25" s="6" t="str">
        <f t="shared" si="1"/>
        <v>At Risk</v>
      </c>
    </row>
    <row r="26" spans="1:14" x14ac:dyDescent="0.35">
      <c r="A26">
        <v>1143</v>
      </c>
      <c r="B26" s="4">
        <v>45412.375085336993</v>
      </c>
      <c r="C26" t="s">
        <v>15</v>
      </c>
      <c r="D26" t="s">
        <v>19</v>
      </c>
      <c r="E26" t="s">
        <v>23</v>
      </c>
      <c r="F26">
        <v>3998.91</v>
      </c>
      <c r="G26">
        <f t="array" ref="G26">SalesData!$I$2 - 'RFM Table'!B26</f>
        <v>724</v>
      </c>
      <c r="H26">
        <f t="array" ref="H26">COUNTIF(A:A,A26)</f>
        <v>11</v>
      </c>
      <c r="I26">
        <f t="array" ref="I26">SUMIF(A:A,A26,F:F)</f>
        <v>44004.459999999992</v>
      </c>
      <c r="J26">
        <f t="array" ref="J26">5 - INT(5 * (RANK(G26,G:G, 1) - 1) / COUNT(G:G))</f>
        <v>1</v>
      </c>
      <c r="K26">
        <f t="array" ref="K26">INT(5 * (RANK(H26,H:H, 0) - 1) / COUNT(H:H)) + 1</f>
        <v>1</v>
      </c>
      <c r="L26">
        <f t="array" ref="L26">INT(5 * (RANK(I26,I:I, 0) - 1) / COUNT(I:I)) + 1</f>
        <v>2</v>
      </c>
      <c r="M26" t="str">
        <f t="shared" si="0"/>
        <v>112</v>
      </c>
      <c r="N26" s="6" t="str">
        <f t="shared" si="1"/>
        <v>Lost</v>
      </c>
    </row>
    <row r="27" spans="1:14" x14ac:dyDescent="0.35">
      <c r="A27">
        <v>1270</v>
      </c>
      <c r="B27" s="4">
        <v>45412.375085336993</v>
      </c>
      <c r="C27" t="s">
        <v>11</v>
      </c>
      <c r="D27" t="s">
        <v>16</v>
      </c>
      <c r="E27" t="s">
        <v>24</v>
      </c>
      <c r="F27">
        <v>6274.7</v>
      </c>
      <c r="G27">
        <f t="array" ref="G27">SalesData!$I$2 - 'RFM Table'!B27</f>
        <v>724</v>
      </c>
      <c r="H27">
        <f t="array" ref="H27">COUNTIF(A:A,A27)</f>
        <v>10</v>
      </c>
      <c r="I27">
        <f t="array" ref="I27">SUMIF(A:A,A27,F:F)</f>
        <v>34623.81</v>
      </c>
      <c r="J27">
        <f t="array" ref="J27">5 - INT(5 * (RANK(G27,G:G, 1) - 1) / COUNT(G:G))</f>
        <v>1</v>
      </c>
      <c r="K27">
        <f t="array" ref="K27">INT(5 * (RANK(H27,H:H, 0) - 1) / COUNT(H:H)) + 1</f>
        <v>2</v>
      </c>
      <c r="L27">
        <f t="array" ref="L27">INT(5 * (RANK(I27,I:I, 0) - 1) / COUNT(I:I)) + 1</f>
        <v>3</v>
      </c>
      <c r="M27" t="str">
        <f t="shared" si="0"/>
        <v>123</v>
      </c>
      <c r="N27" s="6" t="str">
        <f t="shared" si="1"/>
        <v>Can't Lose Them</v>
      </c>
    </row>
    <row r="28" spans="1:14" x14ac:dyDescent="0.35">
      <c r="A28">
        <v>1080</v>
      </c>
      <c r="B28" s="4">
        <v>45413.375085336993</v>
      </c>
      <c r="C28" t="s">
        <v>9</v>
      </c>
      <c r="D28" t="s">
        <v>21</v>
      </c>
      <c r="E28" t="s">
        <v>23</v>
      </c>
      <c r="F28">
        <v>1502.61</v>
      </c>
      <c r="G28">
        <f t="array" ref="G28">SalesData!$I$2 - 'RFM Table'!B28</f>
        <v>723</v>
      </c>
      <c r="H28">
        <f t="array" ref="H28">COUNTIF(A:A,A28)</f>
        <v>7</v>
      </c>
      <c r="I28">
        <f t="array" ref="I28">SUMIF(A:A,A28,F:F)</f>
        <v>28511.58</v>
      </c>
      <c r="J28">
        <f t="array" ref="J28">5 - INT(5 * (RANK(G28,G:G, 1) - 1) / COUNT(G:G))</f>
        <v>1</v>
      </c>
      <c r="K28">
        <f t="array" ref="K28">INT(5 * (RANK(H28,H:H, 0) - 1) / COUNT(H:H)) + 1</f>
        <v>4</v>
      </c>
      <c r="L28">
        <f t="array" ref="L28">INT(5 * (RANK(I28,I:I, 0) - 1) / COUNT(I:I)) + 1</f>
        <v>4</v>
      </c>
      <c r="M28" t="str">
        <f t="shared" si="0"/>
        <v>144</v>
      </c>
      <c r="N28" s="6" t="str">
        <f t="shared" si="1"/>
        <v>At Risk</v>
      </c>
    </row>
    <row r="29" spans="1:14" x14ac:dyDescent="0.35">
      <c r="A29">
        <v>1022</v>
      </c>
      <c r="B29" s="4">
        <v>45413.375085336993</v>
      </c>
      <c r="C29" t="s">
        <v>6</v>
      </c>
      <c r="D29" t="s">
        <v>22</v>
      </c>
      <c r="E29" t="s">
        <v>24</v>
      </c>
      <c r="F29">
        <v>6875.66</v>
      </c>
      <c r="G29">
        <f t="array" ref="G29">SalesData!$I$2 - 'RFM Table'!B29</f>
        <v>723</v>
      </c>
      <c r="H29">
        <f t="array" ref="H29">COUNTIF(A:A,A29)</f>
        <v>6</v>
      </c>
      <c r="I29">
        <f t="array" ref="I29">SUMIF(A:A,A29,F:F)</f>
        <v>22201.78</v>
      </c>
      <c r="J29">
        <f t="array" ref="J29">5 - INT(5 * (RANK(G29,G:G, 1) - 1) / COUNT(G:G))</f>
        <v>1</v>
      </c>
      <c r="K29">
        <f t="array" ref="K29">INT(5 * (RANK(H29,H:H, 0) - 1) / COUNT(H:H)) + 1</f>
        <v>4</v>
      </c>
      <c r="L29">
        <f t="array" ref="L29">INT(5 * (RANK(I29,I:I, 0) - 1) / COUNT(I:I)) + 1</f>
        <v>4</v>
      </c>
      <c r="M29" t="str">
        <f t="shared" si="0"/>
        <v>144</v>
      </c>
      <c r="N29" s="6" t="str">
        <f t="shared" si="1"/>
        <v>At Risk</v>
      </c>
    </row>
    <row r="30" spans="1:14" x14ac:dyDescent="0.35">
      <c r="A30">
        <v>1284</v>
      </c>
      <c r="B30" s="4">
        <v>45413.375085336993</v>
      </c>
      <c r="C30" t="s">
        <v>14</v>
      </c>
      <c r="D30" t="s">
        <v>19</v>
      </c>
      <c r="E30" t="s">
        <v>24</v>
      </c>
      <c r="F30">
        <v>3284.86</v>
      </c>
      <c r="G30">
        <f t="array" ref="G30">SalesData!$I$2 - 'RFM Table'!B30</f>
        <v>723</v>
      </c>
      <c r="H30">
        <f t="array" ref="H30">COUNTIF(A:A,A30)</f>
        <v>12</v>
      </c>
      <c r="I30">
        <f t="array" ref="I30">SUMIF(A:A,A30,F:F)</f>
        <v>49930.359999999993</v>
      </c>
      <c r="J30">
        <f t="array" ref="J30">5 - INT(5 * (RANK(G30,G:G, 1) - 1) / COUNT(G:G))</f>
        <v>1</v>
      </c>
      <c r="K30">
        <f t="array" ref="K30">INT(5 * (RANK(H30,H:H, 0) - 1) / COUNT(H:H)) + 1</f>
        <v>1</v>
      </c>
      <c r="L30">
        <f t="array" ref="L30">INT(5 * (RANK(I30,I:I, 0) - 1) / COUNT(I:I)) + 1</f>
        <v>1</v>
      </c>
      <c r="M30" t="str">
        <f t="shared" si="0"/>
        <v>111</v>
      </c>
      <c r="N30" s="6" t="str">
        <f t="shared" si="1"/>
        <v>Lost</v>
      </c>
    </row>
    <row r="31" spans="1:14" x14ac:dyDescent="0.35">
      <c r="A31">
        <v>1304</v>
      </c>
      <c r="B31" s="4">
        <v>45413.375085336993</v>
      </c>
      <c r="C31" t="s">
        <v>6</v>
      </c>
      <c r="D31" t="s">
        <v>16</v>
      </c>
      <c r="E31" t="s">
        <v>23</v>
      </c>
      <c r="F31">
        <v>2919.46</v>
      </c>
      <c r="G31">
        <f t="array" ref="G31">SalesData!$I$2 - 'RFM Table'!B31</f>
        <v>723</v>
      </c>
      <c r="H31">
        <f t="array" ref="H31">COUNTIF(A:A,A31)</f>
        <v>10</v>
      </c>
      <c r="I31">
        <f t="array" ref="I31">SUMIF(A:A,A31,F:F)</f>
        <v>39472.789999999994</v>
      </c>
      <c r="J31">
        <f t="array" ref="J31">5 - INT(5 * (RANK(G31,G:G, 1) - 1) / COUNT(G:G))</f>
        <v>1</v>
      </c>
      <c r="K31">
        <f t="array" ref="K31">INT(5 * (RANK(H31,H:H, 0) - 1) / COUNT(H:H)) + 1</f>
        <v>2</v>
      </c>
      <c r="L31">
        <f t="array" ref="L31">INT(5 * (RANK(I31,I:I, 0) - 1) / COUNT(I:I)) + 1</f>
        <v>2</v>
      </c>
      <c r="M31" t="str">
        <f t="shared" si="0"/>
        <v>122</v>
      </c>
      <c r="N31" s="6" t="str">
        <f t="shared" si="1"/>
        <v>Lost</v>
      </c>
    </row>
    <row r="32" spans="1:14" x14ac:dyDescent="0.35">
      <c r="A32">
        <v>1082</v>
      </c>
      <c r="B32" s="4">
        <v>45413.375085336993</v>
      </c>
      <c r="C32" t="s">
        <v>8</v>
      </c>
      <c r="D32" t="s">
        <v>17</v>
      </c>
      <c r="E32" t="s">
        <v>24</v>
      </c>
      <c r="F32">
        <v>11954.68</v>
      </c>
      <c r="G32">
        <f t="array" ref="G32">SalesData!$I$2 - 'RFM Table'!B32</f>
        <v>723</v>
      </c>
      <c r="H32">
        <f t="array" ref="H32">COUNTIF(A:A,A32)</f>
        <v>3</v>
      </c>
      <c r="I32">
        <f t="array" ref="I32">SUMIF(A:A,A32,F:F)</f>
        <v>16434.620000000003</v>
      </c>
      <c r="J32">
        <f t="array" ref="J32">5 - INT(5 * (RANK(G32,G:G, 1) - 1) / COUNT(G:G))</f>
        <v>1</v>
      </c>
      <c r="K32">
        <f t="array" ref="K32">INT(5 * (RANK(H32,H:H, 0) - 1) / COUNT(H:H)) + 1</f>
        <v>5</v>
      </c>
      <c r="L32">
        <f t="array" ref="L32">INT(5 * (RANK(I32,I:I, 0) - 1) / COUNT(I:I)) + 1</f>
        <v>5</v>
      </c>
      <c r="M32" t="str">
        <f t="shared" si="0"/>
        <v>155</v>
      </c>
      <c r="N32" s="6" t="str">
        <f t="shared" si="1"/>
        <v>At Risk</v>
      </c>
    </row>
    <row r="33" spans="1:14" x14ac:dyDescent="0.35">
      <c r="A33">
        <v>1361</v>
      </c>
      <c r="B33" s="4">
        <v>45414.375085336993</v>
      </c>
      <c r="C33" t="s">
        <v>15</v>
      </c>
      <c r="D33" t="s">
        <v>22</v>
      </c>
      <c r="E33" t="s">
        <v>24</v>
      </c>
      <c r="F33">
        <v>8151.42</v>
      </c>
      <c r="G33">
        <f t="array" ref="G33">SalesData!$I$2 - 'RFM Table'!B33</f>
        <v>722</v>
      </c>
      <c r="H33">
        <f t="array" ref="H33">COUNTIF(A:A,A33)</f>
        <v>5</v>
      </c>
      <c r="I33">
        <f t="array" ref="I33">SUMIF(A:A,A33,F:F)</f>
        <v>27766.260000000002</v>
      </c>
      <c r="J33">
        <f t="array" ref="J33">5 - INT(5 * (RANK(G33,G:G, 1) - 1) / COUNT(G:G))</f>
        <v>1</v>
      </c>
      <c r="K33">
        <f t="array" ref="K33">INT(5 * (RANK(H33,H:H, 0) - 1) / COUNT(H:H)) + 1</f>
        <v>5</v>
      </c>
      <c r="L33">
        <f t="array" ref="L33">INT(5 * (RANK(I33,I:I, 0) - 1) / COUNT(I:I)) + 1</f>
        <v>4</v>
      </c>
      <c r="M33" t="str">
        <f t="shared" si="0"/>
        <v>154</v>
      </c>
      <c r="N33" s="6" t="str">
        <f t="shared" si="1"/>
        <v>At Risk</v>
      </c>
    </row>
    <row r="34" spans="1:14" x14ac:dyDescent="0.35">
      <c r="A34">
        <v>1194</v>
      </c>
      <c r="B34" s="4">
        <v>45415.375085336993</v>
      </c>
      <c r="C34" t="s">
        <v>12</v>
      </c>
      <c r="D34" t="s">
        <v>16</v>
      </c>
      <c r="E34" t="s">
        <v>25</v>
      </c>
      <c r="F34">
        <v>1197.45</v>
      </c>
      <c r="G34">
        <f t="array" ref="G34">SalesData!$I$2 - 'RFM Table'!B34</f>
        <v>721</v>
      </c>
      <c r="H34">
        <f t="array" ref="H34">COUNTIF(A:A,A34)</f>
        <v>7</v>
      </c>
      <c r="I34">
        <f t="array" ref="I34">SUMIF(A:A,A34,F:F)</f>
        <v>37031.050000000003</v>
      </c>
      <c r="J34">
        <f t="array" ref="J34">5 - INT(5 * (RANK(G34,G:G, 1) - 1) / COUNT(G:G))</f>
        <v>1</v>
      </c>
      <c r="K34">
        <f t="array" ref="K34">INT(5 * (RANK(H34,H:H, 0) - 1) / COUNT(H:H)) + 1</f>
        <v>4</v>
      </c>
      <c r="L34">
        <f t="array" ref="L34">INT(5 * (RANK(I34,I:I, 0) - 1) / COUNT(I:I)) + 1</f>
        <v>2</v>
      </c>
      <c r="M34" t="str">
        <f t="shared" si="0"/>
        <v>142</v>
      </c>
      <c r="N34" s="6" t="str">
        <f t="shared" si="1"/>
        <v>Others</v>
      </c>
    </row>
    <row r="35" spans="1:14" x14ac:dyDescent="0.35">
      <c r="A35">
        <v>1345</v>
      </c>
      <c r="B35" s="4">
        <v>45415.375085336993</v>
      </c>
      <c r="C35" t="s">
        <v>14</v>
      </c>
      <c r="D35" t="s">
        <v>16</v>
      </c>
      <c r="E35" t="s">
        <v>24</v>
      </c>
      <c r="F35">
        <v>4298.17</v>
      </c>
      <c r="G35">
        <f t="array" ref="G35">SalesData!$I$2 - 'RFM Table'!B35</f>
        <v>721</v>
      </c>
      <c r="H35">
        <f t="array" ref="H35">COUNTIF(A:A,A35)</f>
        <v>9</v>
      </c>
      <c r="I35">
        <f t="array" ref="I35">SUMIF(A:A,A35,F:F)</f>
        <v>35330.950000000004</v>
      </c>
      <c r="J35">
        <f t="array" ref="J35">5 - INT(5 * (RANK(G35,G:G, 1) - 1) / COUNT(G:G))</f>
        <v>1</v>
      </c>
      <c r="K35">
        <f t="array" ref="K35">INT(5 * (RANK(H35,H:H, 0) - 1) / COUNT(H:H)) + 1</f>
        <v>2</v>
      </c>
      <c r="L35">
        <f t="array" ref="L35">INT(5 * (RANK(I35,I:I, 0) - 1) / COUNT(I:I)) + 1</f>
        <v>3</v>
      </c>
      <c r="M35" t="str">
        <f t="shared" si="0"/>
        <v>123</v>
      </c>
      <c r="N35" s="6" t="str">
        <f t="shared" si="1"/>
        <v>Can't Lose Them</v>
      </c>
    </row>
    <row r="36" spans="1:14" x14ac:dyDescent="0.35">
      <c r="A36">
        <v>1359</v>
      </c>
      <c r="B36" s="4">
        <v>45415.375085336993</v>
      </c>
      <c r="C36" t="s">
        <v>12</v>
      </c>
      <c r="D36" t="s">
        <v>18</v>
      </c>
      <c r="E36" t="s">
        <v>24</v>
      </c>
      <c r="F36">
        <v>1292.8499999999999</v>
      </c>
      <c r="G36">
        <f t="array" ref="G36">SalesData!$I$2 - 'RFM Table'!B36</f>
        <v>721</v>
      </c>
      <c r="H36">
        <f t="array" ref="H36">COUNTIF(A:A,A36)</f>
        <v>13</v>
      </c>
      <c r="I36">
        <f t="array" ref="I36">SUMIF(A:A,A36,F:F)</f>
        <v>40402.14</v>
      </c>
      <c r="J36">
        <f t="array" ref="J36">5 - INT(5 * (RANK(G36,G:G, 1) - 1) / COUNT(G:G))</f>
        <v>1</v>
      </c>
      <c r="K36">
        <f t="array" ref="K36">INT(5 * (RANK(H36,H:H, 0) - 1) / COUNT(H:H)) + 1</f>
        <v>1</v>
      </c>
      <c r="L36">
        <f t="array" ref="L36">INT(5 * (RANK(I36,I:I, 0) - 1) / COUNT(I:I)) + 1</f>
        <v>2</v>
      </c>
      <c r="M36" t="str">
        <f t="shared" si="0"/>
        <v>112</v>
      </c>
      <c r="N36" s="6" t="str">
        <f t="shared" si="1"/>
        <v>Lost</v>
      </c>
    </row>
    <row r="37" spans="1:14" x14ac:dyDescent="0.35">
      <c r="A37">
        <v>1150</v>
      </c>
      <c r="B37" s="4">
        <v>45415.375085336993</v>
      </c>
      <c r="C37" t="s">
        <v>10</v>
      </c>
      <c r="D37" t="s">
        <v>22</v>
      </c>
      <c r="E37" t="s">
        <v>25</v>
      </c>
      <c r="F37">
        <v>3260.52</v>
      </c>
      <c r="G37">
        <f t="array" ref="G37">SalesData!$I$2 - 'RFM Table'!B37</f>
        <v>721</v>
      </c>
      <c r="H37">
        <f t="array" ref="H37">COUNTIF(A:A,A37)</f>
        <v>10</v>
      </c>
      <c r="I37">
        <f t="array" ref="I37">SUMIF(A:A,A37,F:F)</f>
        <v>34643.039999999994</v>
      </c>
      <c r="J37">
        <f t="array" ref="J37">5 - INT(5 * (RANK(G37,G:G, 1) - 1) / COUNT(G:G))</f>
        <v>1</v>
      </c>
      <c r="K37">
        <f t="array" ref="K37">INT(5 * (RANK(H37,H:H, 0) - 1) / COUNT(H:H)) + 1</f>
        <v>2</v>
      </c>
      <c r="L37">
        <f t="array" ref="L37">INT(5 * (RANK(I37,I:I, 0) - 1) / COUNT(I:I)) + 1</f>
        <v>3</v>
      </c>
      <c r="M37" t="str">
        <f t="shared" si="0"/>
        <v>123</v>
      </c>
      <c r="N37" s="6" t="str">
        <f t="shared" si="1"/>
        <v>Can't Lose Them</v>
      </c>
    </row>
    <row r="38" spans="1:14" x14ac:dyDescent="0.35">
      <c r="A38">
        <v>1088</v>
      </c>
      <c r="B38" s="4">
        <v>45416.375085336993</v>
      </c>
      <c r="C38" t="s">
        <v>14</v>
      </c>
      <c r="D38" t="s">
        <v>20</v>
      </c>
      <c r="E38" t="s">
        <v>24</v>
      </c>
      <c r="F38">
        <v>10928.04</v>
      </c>
      <c r="G38">
        <f t="array" ref="G38">SalesData!$I$2 - 'RFM Table'!B38</f>
        <v>720</v>
      </c>
      <c r="H38">
        <f t="array" ref="H38">COUNTIF(A:A,A38)</f>
        <v>8</v>
      </c>
      <c r="I38">
        <f t="array" ref="I38">SUMIF(A:A,A38,F:F)</f>
        <v>40213.310000000005</v>
      </c>
      <c r="J38">
        <f t="array" ref="J38">5 - INT(5 * (RANK(G38,G:G, 1) - 1) / COUNT(G:G))</f>
        <v>1</v>
      </c>
      <c r="K38">
        <f t="array" ref="K38">INT(5 * (RANK(H38,H:H, 0) - 1) / COUNT(H:H)) + 1</f>
        <v>3</v>
      </c>
      <c r="L38">
        <f t="array" ref="L38">INT(5 * (RANK(I38,I:I, 0) - 1) / COUNT(I:I)) + 1</f>
        <v>2</v>
      </c>
      <c r="M38" t="str">
        <f t="shared" si="0"/>
        <v>132</v>
      </c>
      <c r="N38" s="6" t="str">
        <f t="shared" si="1"/>
        <v>Others</v>
      </c>
    </row>
    <row r="39" spans="1:14" x14ac:dyDescent="0.35">
      <c r="A39">
        <v>1221</v>
      </c>
      <c r="B39" s="4">
        <v>45416.375085336993</v>
      </c>
      <c r="C39" t="s">
        <v>9</v>
      </c>
      <c r="D39" t="s">
        <v>19</v>
      </c>
      <c r="E39" t="s">
        <v>24</v>
      </c>
      <c r="F39">
        <v>3123.49</v>
      </c>
      <c r="G39">
        <f t="array" ref="G39">SalesData!$I$2 - 'RFM Table'!B39</f>
        <v>720</v>
      </c>
      <c r="H39">
        <f t="array" ref="H39">COUNTIF(A:A,A39)</f>
        <v>8</v>
      </c>
      <c r="I39">
        <f t="array" ref="I39">SUMIF(A:A,A39,F:F)</f>
        <v>38894.44</v>
      </c>
      <c r="J39">
        <f t="array" ref="J39">5 - INT(5 * (RANK(G39,G:G, 1) - 1) / COUNT(G:G))</f>
        <v>1</v>
      </c>
      <c r="K39">
        <f t="array" ref="K39">INT(5 * (RANK(H39,H:H, 0) - 1) / COUNT(H:H)) + 1</f>
        <v>3</v>
      </c>
      <c r="L39">
        <f t="array" ref="L39">INT(5 * (RANK(I39,I:I, 0) - 1) / COUNT(I:I)) + 1</f>
        <v>2</v>
      </c>
      <c r="M39" t="str">
        <f t="shared" si="0"/>
        <v>132</v>
      </c>
      <c r="N39" s="6" t="str">
        <f t="shared" si="1"/>
        <v>Others</v>
      </c>
    </row>
    <row r="40" spans="1:14" x14ac:dyDescent="0.35">
      <c r="A40">
        <v>1301</v>
      </c>
      <c r="B40" s="4">
        <v>45417.375085336993</v>
      </c>
      <c r="C40" t="s">
        <v>9</v>
      </c>
      <c r="D40" t="s">
        <v>21</v>
      </c>
      <c r="E40" t="s">
        <v>23</v>
      </c>
      <c r="F40">
        <v>3436.72</v>
      </c>
      <c r="G40">
        <f t="array" ref="G40">SalesData!$I$2 - 'RFM Table'!B40</f>
        <v>719</v>
      </c>
      <c r="H40">
        <f t="array" ref="H40">COUNTIF(A:A,A40)</f>
        <v>12</v>
      </c>
      <c r="I40">
        <f t="array" ref="I40">SUMIF(A:A,A40,F:F)</f>
        <v>44897.450000000004</v>
      </c>
      <c r="J40">
        <f t="array" ref="J40">5 - INT(5 * (RANK(G40,G:G, 1) - 1) / COUNT(G:G))</f>
        <v>1</v>
      </c>
      <c r="K40">
        <f t="array" ref="K40">INT(5 * (RANK(H40,H:H, 0) - 1) / COUNT(H:H)) + 1</f>
        <v>1</v>
      </c>
      <c r="L40">
        <f t="array" ref="L40">INT(5 * (RANK(I40,I:I, 0) - 1) / COUNT(I:I)) + 1</f>
        <v>1</v>
      </c>
      <c r="M40" t="str">
        <f t="shared" si="0"/>
        <v>111</v>
      </c>
      <c r="N40" s="6" t="str">
        <f t="shared" si="1"/>
        <v>Lost</v>
      </c>
    </row>
    <row r="41" spans="1:14" x14ac:dyDescent="0.35">
      <c r="A41">
        <v>1224</v>
      </c>
      <c r="B41" s="4">
        <v>45417.375085336993</v>
      </c>
      <c r="C41" t="s">
        <v>10</v>
      </c>
      <c r="D41" t="s">
        <v>21</v>
      </c>
      <c r="E41" t="s">
        <v>24</v>
      </c>
      <c r="F41">
        <v>993.45</v>
      </c>
      <c r="G41">
        <f t="array" ref="G41">SalesData!$I$2 - 'RFM Table'!B41</f>
        <v>719</v>
      </c>
      <c r="H41">
        <f t="array" ref="H41">COUNTIF(A:A,A41)</f>
        <v>7</v>
      </c>
      <c r="I41">
        <f t="array" ref="I41">SUMIF(A:A,A41,F:F)</f>
        <v>24825.78</v>
      </c>
      <c r="J41">
        <f t="array" ref="J41">5 - INT(5 * (RANK(G41,G:G, 1) - 1) / COUNT(G:G))</f>
        <v>1</v>
      </c>
      <c r="K41">
        <f t="array" ref="K41">INT(5 * (RANK(H41,H:H, 0) - 1) / COUNT(H:H)) + 1</f>
        <v>4</v>
      </c>
      <c r="L41">
        <f t="array" ref="L41">INT(5 * (RANK(I41,I:I, 0) - 1) / COUNT(I:I)) + 1</f>
        <v>4</v>
      </c>
      <c r="M41" t="str">
        <f t="shared" si="0"/>
        <v>144</v>
      </c>
      <c r="N41" s="6" t="str">
        <f t="shared" si="1"/>
        <v>At Risk</v>
      </c>
    </row>
    <row r="42" spans="1:14" x14ac:dyDescent="0.35">
      <c r="A42">
        <v>1050</v>
      </c>
      <c r="B42" s="4">
        <v>45417.375085336993</v>
      </c>
      <c r="C42" t="s">
        <v>14</v>
      </c>
      <c r="D42" t="s">
        <v>19</v>
      </c>
      <c r="E42" t="s">
        <v>23</v>
      </c>
      <c r="F42">
        <v>1890.21</v>
      </c>
      <c r="G42">
        <f t="array" ref="G42">SalesData!$I$2 - 'RFM Table'!B42</f>
        <v>719</v>
      </c>
      <c r="H42">
        <f t="array" ref="H42">COUNTIF(A:A,A42)</f>
        <v>10</v>
      </c>
      <c r="I42">
        <f t="array" ref="I42">SUMIF(A:A,A42,F:F)</f>
        <v>32732.979999999996</v>
      </c>
      <c r="J42">
        <f t="array" ref="J42">5 - INT(5 * (RANK(G42,G:G, 1) - 1) / COUNT(G:G))</f>
        <v>1</v>
      </c>
      <c r="K42">
        <f t="array" ref="K42">INT(5 * (RANK(H42,H:H, 0) - 1) / COUNT(H:H)) + 1</f>
        <v>2</v>
      </c>
      <c r="L42">
        <f t="array" ref="L42">INT(5 * (RANK(I42,I:I, 0) - 1) / COUNT(I:I)) + 1</f>
        <v>3</v>
      </c>
      <c r="M42" t="str">
        <f t="shared" si="0"/>
        <v>123</v>
      </c>
      <c r="N42" s="6" t="str">
        <f t="shared" si="1"/>
        <v>Can't Lose Them</v>
      </c>
    </row>
    <row r="43" spans="1:14" x14ac:dyDescent="0.35">
      <c r="A43">
        <v>1054</v>
      </c>
      <c r="B43" s="4">
        <v>45417.375085336993</v>
      </c>
      <c r="C43" t="s">
        <v>8</v>
      </c>
      <c r="D43" t="s">
        <v>19</v>
      </c>
      <c r="E43" t="s">
        <v>24</v>
      </c>
      <c r="F43">
        <v>2457.88</v>
      </c>
      <c r="G43">
        <f t="array" ref="G43">SalesData!$I$2 - 'RFM Table'!B43</f>
        <v>719</v>
      </c>
      <c r="H43">
        <f t="array" ref="H43">COUNTIF(A:A,A43)</f>
        <v>7</v>
      </c>
      <c r="I43">
        <f t="array" ref="I43">SUMIF(A:A,A43,F:F)</f>
        <v>21298.79</v>
      </c>
      <c r="J43">
        <f t="array" ref="J43">5 - INT(5 * (RANK(G43,G:G, 1) - 1) / COUNT(G:G))</f>
        <v>1</v>
      </c>
      <c r="K43">
        <f t="array" ref="K43">INT(5 * (RANK(H43,H:H, 0) - 1) / COUNT(H:H)) + 1</f>
        <v>4</v>
      </c>
      <c r="L43">
        <f t="array" ref="L43">INT(5 * (RANK(I43,I:I, 0) - 1) / COUNT(I:I)) + 1</f>
        <v>5</v>
      </c>
      <c r="M43" t="str">
        <f t="shared" si="0"/>
        <v>145</v>
      </c>
      <c r="N43" s="6" t="str">
        <f t="shared" si="1"/>
        <v>At Risk</v>
      </c>
    </row>
    <row r="44" spans="1:14" x14ac:dyDescent="0.35">
      <c r="A44">
        <v>1061</v>
      </c>
      <c r="B44" s="4">
        <v>45418.375085336993</v>
      </c>
      <c r="C44" t="s">
        <v>6</v>
      </c>
      <c r="D44" t="s">
        <v>22</v>
      </c>
      <c r="E44" t="s">
        <v>24</v>
      </c>
      <c r="F44">
        <v>695.99</v>
      </c>
      <c r="G44">
        <f t="array" ref="G44">SalesData!$I$2 - 'RFM Table'!B44</f>
        <v>718</v>
      </c>
      <c r="H44">
        <f t="array" ref="H44">COUNTIF(A:A,A44)</f>
        <v>9</v>
      </c>
      <c r="I44">
        <f t="array" ref="I44">SUMIF(A:A,A44,F:F)</f>
        <v>24509.48</v>
      </c>
      <c r="J44">
        <f t="array" ref="J44">5 - INT(5 * (RANK(G44,G:G, 1) - 1) / COUNT(G:G))</f>
        <v>1</v>
      </c>
      <c r="K44">
        <f t="array" ref="K44">INT(5 * (RANK(H44,H:H, 0) - 1) / COUNT(H:H)) + 1</f>
        <v>2</v>
      </c>
      <c r="L44">
        <f t="array" ref="L44">INT(5 * (RANK(I44,I:I, 0) - 1) / COUNT(I:I)) + 1</f>
        <v>4</v>
      </c>
      <c r="M44" t="str">
        <f t="shared" si="0"/>
        <v>124</v>
      </c>
      <c r="N44" s="6" t="str">
        <f t="shared" si="1"/>
        <v>Can't Lose Them</v>
      </c>
    </row>
    <row r="45" spans="1:14" x14ac:dyDescent="0.35">
      <c r="A45">
        <v>1146</v>
      </c>
      <c r="B45" s="4">
        <v>45418.375085336993</v>
      </c>
      <c r="C45" t="s">
        <v>6</v>
      </c>
      <c r="D45" t="s">
        <v>21</v>
      </c>
      <c r="E45" t="s">
        <v>24</v>
      </c>
      <c r="F45">
        <v>4347.7</v>
      </c>
      <c r="G45">
        <f t="array" ref="G45">SalesData!$I$2 - 'RFM Table'!B45</f>
        <v>718</v>
      </c>
      <c r="H45">
        <f t="array" ref="H45">COUNTIF(A:A,A45)</f>
        <v>11</v>
      </c>
      <c r="I45">
        <f t="array" ref="I45">SUMIF(A:A,A45,F:F)</f>
        <v>43110.84</v>
      </c>
      <c r="J45">
        <f t="array" ref="J45">5 - INT(5 * (RANK(G45,G:G, 1) - 1) / COUNT(G:G))</f>
        <v>1</v>
      </c>
      <c r="K45">
        <f t="array" ref="K45">INT(5 * (RANK(H45,H:H, 0) - 1) / COUNT(H:H)) + 1</f>
        <v>1</v>
      </c>
      <c r="L45">
        <f t="array" ref="L45">INT(5 * (RANK(I45,I:I, 0) - 1) / COUNT(I:I)) + 1</f>
        <v>2</v>
      </c>
      <c r="M45" t="str">
        <f t="shared" si="0"/>
        <v>112</v>
      </c>
      <c r="N45" s="6" t="str">
        <f t="shared" si="1"/>
        <v>Lost</v>
      </c>
    </row>
    <row r="46" spans="1:14" x14ac:dyDescent="0.35">
      <c r="A46">
        <v>1334</v>
      </c>
      <c r="B46" s="4">
        <v>45418.375085336993</v>
      </c>
      <c r="C46" t="s">
        <v>8</v>
      </c>
      <c r="D46" t="s">
        <v>17</v>
      </c>
      <c r="E46" t="s">
        <v>24</v>
      </c>
      <c r="F46">
        <v>2056.62</v>
      </c>
      <c r="G46">
        <f t="array" ref="G46">SalesData!$I$2 - 'RFM Table'!B46</f>
        <v>718</v>
      </c>
      <c r="H46">
        <f t="array" ref="H46">COUNTIF(A:A,A46)</f>
        <v>7</v>
      </c>
      <c r="I46">
        <f t="array" ref="I46">SUMIF(A:A,A46,F:F)</f>
        <v>17825.52</v>
      </c>
      <c r="J46">
        <f t="array" ref="J46">5 - INT(5 * (RANK(G46,G:G, 1) - 1) / COUNT(G:G))</f>
        <v>1</v>
      </c>
      <c r="K46">
        <f t="array" ref="K46">INT(5 * (RANK(H46,H:H, 0) - 1) / COUNT(H:H)) + 1</f>
        <v>4</v>
      </c>
      <c r="L46">
        <f t="array" ref="L46">INT(5 * (RANK(I46,I:I, 0) - 1) / COUNT(I:I)) + 1</f>
        <v>5</v>
      </c>
      <c r="M46" t="str">
        <f t="shared" si="0"/>
        <v>145</v>
      </c>
      <c r="N46" s="6" t="str">
        <f t="shared" si="1"/>
        <v>At Risk</v>
      </c>
    </row>
    <row r="47" spans="1:14" x14ac:dyDescent="0.35">
      <c r="A47">
        <v>1118</v>
      </c>
      <c r="B47" s="4">
        <v>45418.375085336993</v>
      </c>
      <c r="C47" t="s">
        <v>6</v>
      </c>
      <c r="D47" t="s">
        <v>18</v>
      </c>
      <c r="E47" t="s">
        <v>25</v>
      </c>
      <c r="F47">
        <v>1665.04</v>
      </c>
      <c r="G47">
        <f t="array" ref="G47">SalesData!$I$2 - 'RFM Table'!B47</f>
        <v>718</v>
      </c>
      <c r="H47">
        <f t="array" ref="H47">COUNTIF(A:A,A47)</f>
        <v>10</v>
      </c>
      <c r="I47">
        <f t="array" ref="I47">SUMIF(A:A,A47,F:F)</f>
        <v>40587.47</v>
      </c>
      <c r="J47">
        <f t="array" ref="J47">5 - INT(5 * (RANK(G47,G:G, 1) - 1) / COUNT(G:G))</f>
        <v>1</v>
      </c>
      <c r="K47">
        <f t="array" ref="K47">INT(5 * (RANK(H47,H:H, 0) - 1) / COUNT(H:H)) + 1</f>
        <v>2</v>
      </c>
      <c r="L47">
        <f t="array" ref="L47">INT(5 * (RANK(I47,I:I, 0) - 1) / COUNT(I:I)) + 1</f>
        <v>2</v>
      </c>
      <c r="M47" t="str">
        <f t="shared" si="0"/>
        <v>122</v>
      </c>
      <c r="N47" s="6" t="str">
        <f t="shared" si="1"/>
        <v>Lost</v>
      </c>
    </row>
    <row r="48" spans="1:14" x14ac:dyDescent="0.35">
      <c r="A48">
        <v>1369</v>
      </c>
      <c r="B48" s="4">
        <v>45418.375085336993</v>
      </c>
      <c r="C48" t="s">
        <v>8</v>
      </c>
      <c r="D48" t="s">
        <v>19</v>
      </c>
      <c r="E48" t="s">
        <v>24</v>
      </c>
      <c r="F48">
        <v>2279.6</v>
      </c>
      <c r="G48">
        <f t="array" ref="G48">SalesData!$I$2 - 'RFM Table'!B48</f>
        <v>718</v>
      </c>
      <c r="H48">
        <f t="array" ref="H48">COUNTIF(A:A,A48)</f>
        <v>6</v>
      </c>
      <c r="I48">
        <f t="array" ref="I48">SUMIF(A:A,A48,F:F)</f>
        <v>32030.929999999997</v>
      </c>
      <c r="J48">
        <f t="array" ref="J48">5 - INT(5 * (RANK(G48,G:G, 1) - 1) / COUNT(G:G))</f>
        <v>1</v>
      </c>
      <c r="K48">
        <f t="array" ref="K48">INT(5 * (RANK(H48,H:H, 0) - 1) / COUNT(H:H)) + 1</f>
        <v>4</v>
      </c>
      <c r="L48">
        <f t="array" ref="L48">INT(5 * (RANK(I48,I:I, 0) - 1) / COUNT(I:I)) + 1</f>
        <v>3</v>
      </c>
      <c r="M48" t="str">
        <f t="shared" si="0"/>
        <v>143</v>
      </c>
      <c r="N48" s="6" t="str">
        <f t="shared" si="1"/>
        <v>At Risk</v>
      </c>
    </row>
    <row r="49" spans="1:14" x14ac:dyDescent="0.35">
      <c r="A49">
        <v>1364</v>
      </c>
      <c r="B49" s="4">
        <v>45418.375085336993</v>
      </c>
      <c r="C49" t="s">
        <v>6</v>
      </c>
      <c r="D49" t="s">
        <v>16</v>
      </c>
      <c r="E49" t="s">
        <v>24</v>
      </c>
      <c r="F49">
        <v>4524.59</v>
      </c>
      <c r="G49">
        <f t="array" ref="G49">SalesData!$I$2 - 'RFM Table'!B49</f>
        <v>718</v>
      </c>
      <c r="H49">
        <f t="array" ref="H49">COUNTIF(A:A,A49)</f>
        <v>11</v>
      </c>
      <c r="I49">
        <f t="array" ref="I49">SUMIF(A:A,A49,F:F)</f>
        <v>39674.43</v>
      </c>
      <c r="J49">
        <f t="array" ref="J49">5 - INT(5 * (RANK(G49,G:G, 1) - 1) / COUNT(G:G))</f>
        <v>1</v>
      </c>
      <c r="K49">
        <f t="array" ref="K49">INT(5 * (RANK(H49,H:H, 0) - 1) / COUNT(H:H)) + 1</f>
        <v>1</v>
      </c>
      <c r="L49">
        <f t="array" ref="L49">INT(5 * (RANK(I49,I:I, 0) - 1) / COUNT(I:I)) + 1</f>
        <v>2</v>
      </c>
      <c r="M49" t="str">
        <f t="shared" si="0"/>
        <v>112</v>
      </c>
      <c r="N49" s="6" t="str">
        <f t="shared" si="1"/>
        <v>Lost</v>
      </c>
    </row>
    <row r="50" spans="1:14" x14ac:dyDescent="0.35">
      <c r="A50">
        <v>1071</v>
      </c>
      <c r="B50" s="4">
        <v>45418.375085336993</v>
      </c>
      <c r="C50" t="s">
        <v>7</v>
      </c>
      <c r="D50" t="s">
        <v>19</v>
      </c>
      <c r="E50" t="s">
        <v>25</v>
      </c>
      <c r="F50">
        <v>1238.23</v>
      </c>
      <c r="G50">
        <f t="array" ref="G50">SalesData!$I$2 - 'RFM Table'!B50</f>
        <v>718</v>
      </c>
      <c r="H50">
        <f t="array" ref="H50">COUNTIF(A:A,A50)</f>
        <v>8</v>
      </c>
      <c r="I50">
        <f t="array" ref="I50">SUMIF(A:A,A50,F:F)</f>
        <v>28879.600000000002</v>
      </c>
      <c r="J50">
        <f t="array" ref="J50">5 - INT(5 * (RANK(G50,G:G, 1) - 1) / COUNT(G:G))</f>
        <v>1</v>
      </c>
      <c r="K50">
        <f t="array" ref="K50">INT(5 * (RANK(H50,H:H, 0) - 1) / COUNT(H:H)) + 1</f>
        <v>3</v>
      </c>
      <c r="L50">
        <f t="array" ref="L50">INT(5 * (RANK(I50,I:I, 0) - 1) / COUNT(I:I)) + 1</f>
        <v>4</v>
      </c>
      <c r="M50" t="str">
        <f t="shared" si="0"/>
        <v>134</v>
      </c>
      <c r="N50" s="6" t="str">
        <f t="shared" si="1"/>
        <v>At Risk</v>
      </c>
    </row>
    <row r="51" spans="1:14" x14ac:dyDescent="0.35">
      <c r="A51">
        <v>1085</v>
      </c>
      <c r="B51" s="4">
        <v>45418.375085336993</v>
      </c>
      <c r="C51" t="s">
        <v>8</v>
      </c>
      <c r="D51" t="s">
        <v>17</v>
      </c>
      <c r="E51" t="s">
        <v>23</v>
      </c>
      <c r="F51">
        <v>12242.87</v>
      </c>
      <c r="G51">
        <f t="array" ref="G51">SalesData!$I$2 - 'RFM Table'!B51</f>
        <v>718</v>
      </c>
      <c r="H51">
        <f t="array" ref="H51">COUNTIF(A:A,A51)</f>
        <v>10</v>
      </c>
      <c r="I51">
        <f t="array" ref="I51">SUMIF(A:A,A51,F:F)</f>
        <v>50122.659999999996</v>
      </c>
      <c r="J51">
        <f t="array" ref="J51">5 - INT(5 * (RANK(G51,G:G, 1) - 1) / COUNT(G:G))</f>
        <v>1</v>
      </c>
      <c r="K51">
        <f t="array" ref="K51">INT(5 * (RANK(H51,H:H, 0) - 1) / COUNT(H:H)) + 1</f>
        <v>2</v>
      </c>
      <c r="L51">
        <f t="array" ref="L51">INT(5 * (RANK(I51,I:I, 0) - 1) / COUNT(I:I)) + 1</f>
        <v>1</v>
      </c>
      <c r="M51" t="str">
        <f t="shared" si="0"/>
        <v>121</v>
      </c>
      <c r="N51" s="6" t="str">
        <f t="shared" si="1"/>
        <v>Lost</v>
      </c>
    </row>
    <row r="52" spans="1:14" x14ac:dyDescent="0.35">
      <c r="A52">
        <v>1387</v>
      </c>
      <c r="B52" s="4">
        <v>45419.375085336993</v>
      </c>
      <c r="C52" t="s">
        <v>13</v>
      </c>
      <c r="D52" t="s">
        <v>22</v>
      </c>
      <c r="E52" t="s">
        <v>24</v>
      </c>
      <c r="F52">
        <v>385.77</v>
      </c>
      <c r="G52">
        <f t="array" ref="G52">SalesData!$I$2 - 'RFM Table'!B52</f>
        <v>717</v>
      </c>
      <c r="H52">
        <f t="array" ref="H52">COUNTIF(A:A,A52)</f>
        <v>8</v>
      </c>
      <c r="I52">
        <f t="array" ref="I52">SUMIF(A:A,A52,F:F)</f>
        <v>30848.15</v>
      </c>
      <c r="J52">
        <f t="array" ref="J52">5 - INT(5 * (RANK(G52,G:G, 1) - 1) / COUNT(G:G))</f>
        <v>1</v>
      </c>
      <c r="K52">
        <f t="array" ref="K52">INT(5 * (RANK(H52,H:H, 0) - 1) / COUNT(H:H)) + 1</f>
        <v>3</v>
      </c>
      <c r="L52">
        <f t="array" ref="L52">INT(5 * (RANK(I52,I:I, 0) - 1) / COUNT(I:I)) + 1</f>
        <v>3</v>
      </c>
      <c r="M52" t="str">
        <f t="shared" si="0"/>
        <v>133</v>
      </c>
      <c r="N52" s="6" t="str">
        <f t="shared" si="1"/>
        <v>At Risk</v>
      </c>
    </row>
    <row r="53" spans="1:14" x14ac:dyDescent="0.35">
      <c r="A53">
        <v>1378</v>
      </c>
      <c r="B53" s="4">
        <v>45419.375085336993</v>
      </c>
      <c r="C53" t="s">
        <v>12</v>
      </c>
      <c r="D53" t="s">
        <v>17</v>
      </c>
      <c r="E53" t="s">
        <v>25</v>
      </c>
      <c r="F53">
        <v>6206.88</v>
      </c>
      <c r="G53">
        <f t="array" ref="G53">SalesData!$I$2 - 'RFM Table'!B53</f>
        <v>717</v>
      </c>
      <c r="H53">
        <f t="array" ref="H53">COUNTIF(A:A,A53)</f>
        <v>11</v>
      </c>
      <c r="I53">
        <f t="array" ref="I53">SUMIF(A:A,A53,F:F)</f>
        <v>58842.799999999996</v>
      </c>
      <c r="J53">
        <f t="array" ref="J53">5 - INT(5 * (RANK(G53,G:G, 1) - 1) / COUNT(G:G))</f>
        <v>1</v>
      </c>
      <c r="K53">
        <f t="array" ref="K53">INT(5 * (RANK(H53,H:H, 0) - 1) / COUNT(H:H)) + 1</f>
        <v>1</v>
      </c>
      <c r="L53">
        <f t="array" ref="L53">INT(5 * (RANK(I53,I:I, 0) - 1) / COUNT(I:I)) + 1</f>
        <v>1</v>
      </c>
      <c r="M53" t="str">
        <f t="shared" si="0"/>
        <v>111</v>
      </c>
      <c r="N53" s="6" t="str">
        <f t="shared" si="1"/>
        <v>Lost</v>
      </c>
    </row>
    <row r="54" spans="1:14" x14ac:dyDescent="0.35">
      <c r="A54">
        <v>1224</v>
      </c>
      <c r="B54" s="4">
        <v>45420.375085336993</v>
      </c>
      <c r="C54" t="s">
        <v>10</v>
      </c>
      <c r="D54" t="s">
        <v>22</v>
      </c>
      <c r="E54" t="s">
        <v>24</v>
      </c>
      <c r="F54">
        <v>7313.38</v>
      </c>
      <c r="G54">
        <f t="array" ref="G54">SalesData!$I$2 - 'RFM Table'!B54</f>
        <v>716</v>
      </c>
      <c r="H54">
        <f t="array" ref="H54">COUNTIF(A:A,A54)</f>
        <v>7</v>
      </c>
      <c r="I54">
        <f t="array" ref="I54">SUMIF(A:A,A54,F:F)</f>
        <v>24825.78</v>
      </c>
      <c r="J54">
        <f t="array" ref="J54">5 - INT(5 * (RANK(G54,G:G, 1) - 1) / COUNT(G:G))</f>
        <v>1</v>
      </c>
      <c r="K54">
        <f t="array" ref="K54">INT(5 * (RANK(H54,H:H, 0) - 1) / COUNT(H:H)) + 1</f>
        <v>4</v>
      </c>
      <c r="L54">
        <f t="array" ref="L54">INT(5 * (RANK(I54,I:I, 0) - 1) / COUNT(I:I)) + 1</f>
        <v>4</v>
      </c>
      <c r="M54" t="str">
        <f t="shared" si="0"/>
        <v>144</v>
      </c>
      <c r="N54" s="6" t="str">
        <f t="shared" si="1"/>
        <v>At Risk</v>
      </c>
    </row>
    <row r="55" spans="1:14" x14ac:dyDescent="0.35">
      <c r="A55">
        <v>1019</v>
      </c>
      <c r="B55" s="4">
        <v>45421.375085336993</v>
      </c>
      <c r="C55" t="s">
        <v>10</v>
      </c>
      <c r="D55" t="s">
        <v>19</v>
      </c>
      <c r="E55" t="s">
        <v>25</v>
      </c>
      <c r="F55">
        <v>1179.18</v>
      </c>
      <c r="G55">
        <f t="array" ref="G55">SalesData!$I$2 - 'RFM Table'!B55</f>
        <v>715</v>
      </c>
      <c r="H55">
        <f t="array" ref="H55">COUNTIF(A:A,A55)</f>
        <v>11</v>
      </c>
      <c r="I55">
        <f t="array" ref="I55">SUMIF(A:A,A55,F:F)</f>
        <v>37863.899999999994</v>
      </c>
      <c r="J55">
        <f t="array" ref="J55">5 - INT(5 * (RANK(G55,G:G, 1) - 1) / COUNT(G:G))</f>
        <v>1</v>
      </c>
      <c r="K55">
        <f t="array" ref="K55">INT(5 * (RANK(H55,H:H, 0) - 1) / COUNT(H:H)) + 1</f>
        <v>1</v>
      </c>
      <c r="L55">
        <f t="array" ref="L55">INT(5 * (RANK(I55,I:I, 0) - 1) / COUNT(I:I)) + 1</f>
        <v>2</v>
      </c>
      <c r="M55" t="str">
        <f t="shared" si="0"/>
        <v>112</v>
      </c>
      <c r="N55" s="6" t="str">
        <f t="shared" si="1"/>
        <v>Lost</v>
      </c>
    </row>
    <row r="56" spans="1:14" x14ac:dyDescent="0.35">
      <c r="A56">
        <v>1186</v>
      </c>
      <c r="B56" s="4">
        <v>45421.375085336993</v>
      </c>
      <c r="C56" t="s">
        <v>11</v>
      </c>
      <c r="D56" t="s">
        <v>16</v>
      </c>
      <c r="E56" t="s">
        <v>25</v>
      </c>
      <c r="F56">
        <v>1679.46</v>
      </c>
      <c r="G56">
        <f t="array" ref="G56">SalesData!$I$2 - 'RFM Table'!B56</f>
        <v>715</v>
      </c>
      <c r="H56">
        <f t="array" ref="H56">COUNTIF(A:A,A56)</f>
        <v>7</v>
      </c>
      <c r="I56">
        <f t="array" ref="I56">SUMIF(A:A,A56,F:F)</f>
        <v>18132.900000000001</v>
      </c>
      <c r="J56">
        <f t="array" ref="J56">5 - INT(5 * (RANK(G56,G:G, 1) - 1) / COUNT(G:G))</f>
        <v>1</v>
      </c>
      <c r="K56">
        <f t="array" ref="K56">INT(5 * (RANK(H56,H:H, 0) - 1) / COUNT(H:H)) + 1</f>
        <v>4</v>
      </c>
      <c r="L56">
        <f t="array" ref="L56">INT(5 * (RANK(I56,I:I, 0) - 1) / COUNT(I:I)) + 1</f>
        <v>5</v>
      </c>
      <c r="M56" t="str">
        <f t="shared" si="0"/>
        <v>145</v>
      </c>
      <c r="N56" s="6" t="str">
        <f t="shared" si="1"/>
        <v>At Risk</v>
      </c>
    </row>
    <row r="57" spans="1:14" x14ac:dyDescent="0.35">
      <c r="A57">
        <v>1172</v>
      </c>
      <c r="B57" s="4">
        <v>45421.375085336993</v>
      </c>
      <c r="C57" t="s">
        <v>12</v>
      </c>
      <c r="D57" t="s">
        <v>16</v>
      </c>
      <c r="E57" t="s">
        <v>24</v>
      </c>
      <c r="F57">
        <v>8273.7199999999993</v>
      </c>
      <c r="G57">
        <f t="array" ref="G57">SalesData!$I$2 - 'RFM Table'!B57</f>
        <v>715</v>
      </c>
      <c r="H57">
        <f t="array" ref="H57">COUNTIF(A:A,A57)</f>
        <v>13</v>
      </c>
      <c r="I57">
        <f t="array" ref="I57">SUMIF(A:A,A57,F:F)</f>
        <v>64175.24</v>
      </c>
      <c r="J57">
        <f t="array" ref="J57">5 - INT(5 * (RANK(G57,G:G, 1) - 1) / COUNT(G:G))</f>
        <v>1</v>
      </c>
      <c r="K57">
        <f t="array" ref="K57">INT(5 * (RANK(H57,H:H, 0) - 1) / COUNT(H:H)) + 1</f>
        <v>1</v>
      </c>
      <c r="L57">
        <f t="array" ref="L57">INT(5 * (RANK(I57,I:I, 0) - 1) / COUNT(I:I)) + 1</f>
        <v>1</v>
      </c>
      <c r="M57" t="str">
        <f t="shared" si="0"/>
        <v>111</v>
      </c>
      <c r="N57" s="6" t="str">
        <f t="shared" si="1"/>
        <v>Lost</v>
      </c>
    </row>
    <row r="58" spans="1:14" x14ac:dyDescent="0.35">
      <c r="A58">
        <v>1386</v>
      </c>
      <c r="B58" s="4">
        <v>45422.375085336993</v>
      </c>
      <c r="C58" t="s">
        <v>15</v>
      </c>
      <c r="D58" t="s">
        <v>16</v>
      </c>
      <c r="E58" t="s">
        <v>23</v>
      </c>
      <c r="F58">
        <v>9890.69</v>
      </c>
      <c r="G58">
        <f t="array" ref="G58">SalesData!$I$2 - 'RFM Table'!B58</f>
        <v>714</v>
      </c>
      <c r="H58">
        <f t="array" ref="H58">COUNTIF(A:A,A58)</f>
        <v>8</v>
      </c>
      <c r="I58">
        <f t="array" ref="I58">SUMIF(A:A,A58,F:F)</f>
        <v>32019.260000000006</v>
      </c>
      <c r="J58">
        <f t="array" ref="J58">5 - INT(5 * (RANK(G58,G:G, 1) - 1) / COUNT(G:G))</f>
        <v>1</v>
      </c>
      <c r="K58">
        <f t="array" ref="K58">INT(5 * (RANK(H58,H:H, 0) - 1) / COUNT(H:H)) + 1</f>
        <v>3</v>
      </c>
      <c r="L58">
        <f t="array" ref="L58">INT(5 * (RANK(I58,I:I, 0) - 1) / COUNT(I:I)) + 1</f>
        <v>3</v>
      </c>
      <c r="M58" t="str">
        <f t="shared" si="0"/>
        <v>133</v>
      </c>
      <c r="N58" s="6" t="str">
        <f t="shared" si="1"/>
        <v>At Risk</v>
      </c>
    </row>
    <row r="59" spans="1:14" x14ac:dyDescent="0.35">
      <c r="A59">
        <v>1134</v>
      </c>
      <c r="B59" s="4">
        <v>45422.375085336993</v>
      </c>
      <c r="C59" t="s">
        <v>13</v>
      </c>
      <c r="D59" t="s">
        <v>16</v>
      </c>
      <c r="E59" t="s">
        <v>23</v>
      </c>
      <c r="F59">
        <v>2360.89</v>
      </c>
      <c r="G59">
        <f t="array" ref="G59">SalesData!$I$2 - 'RFM Table'!B59</f>
        <v>714</v>
      </c>
      <c r="H59">
        <f t="array" ref="H59">COUNTIF(A:A,A59)</f>
        <v>4</v>
      </c>
      <c r="I59">
        <f t="array" ref="I59">SUMIF(A:A,A59,F:F)</f>
        <v>11791.11</v>
      </c>
      <c r="J59">
        <f t="array" ref="J59">5 - INT(5 * (RANK(G59,G:G, 1) - 1) / COUNT(G:G))</f>
        <v>1</v>
      </c>
      <c r="K59">
        <f t="array" ref="K59">INT(5 * (RANK(H59,H:H, 0) - 1) / COUNT(H:H)) + 1</f>
        <v>5</v>
      </c>
      <c r="L59">
        <f t="array" ref="L59">INT(5 * (RANK(I59,I:I, 0) - 1) / COUNT(I:I)) + 1</f>
        <v>5</v>
      </c>
      <c r="M59" t="str">
        <f t="shared" si="0"/>
        <v>155</v>
      </c>
      <c r="N59" s="6" t="str">
        <f t="shared" si="1"/>
        <v>At Risk</v>
      </c>
    </row>
    <row r="60" spans="1:14" x14ac:dyDescent="0.35">
      <c r="A60">
        <v>1074</v>
      </c>
      <c r="B60" s="4">
        <v>45422.375085336993</v>
      </c>
      <c r="C60" t="s">
        <v>9</v>
      </c>
      <c r="D60" t="s">
        <v>21</v>
      </c>
      <c r="E60" t="s">
        <v>25</v>
      </c>
      <c r="F60">
        <v>2902.37</v>
      </c>
      <c r="G60">
        <f t="array" ref="G60">SalesData!$I$2 - 'RFM Table'!B60</f>
        <v>714</v>
      </c>
      <c r="H60">
        <f t="array" ref="H60">COUNTIF(A:A,A60)</f>
        <v>8</v>
      </c>
      <c r="I60">
        <f t="array" ref="I60">SUMIF(A:A,A60,F:F)</f>
        <v>23394.15</v>
      </c>
      <c r="J60">
        <f t="array" ref="J60">5 - INT(5 * (RANK(G60,G:G, 1) - 1) / COUNT(G:G))</f>
        <v>1</v>
      </c>
      <c r="K60">
        <f t="array" ref="K60">INT(5 * (RANK(H60,H:H, 0) - 1) / COUNT(H:H)) + 1</f>
        <v>3</v>
      </c>
      <c r="L60">
        <f t="array" ref="L60">INT(5 * (RANK(I60,I:I, 0) - 1) / COUNT(I:I)) + 1</f>
        <v>4</v>
      </c>
      <c r="M60" t="str">
        <f t="shared" si="0"/>
        <v>134</v>
      </c>
      <c r="N60" s="6" t="str">
        <f t="shared" si="1"/>
        <v>At Risk</v>
      </c>
    </row>
    <row r="61" spans="1:14" x14ac:dyDescent="0.35">
      <c r="A61">
        <v>1079</v>
      </c>
      <c r="B61" s="4">
        <v>45422.375085336993</v>
      </c>
      <c r="C61" t="s">
        <v>13</v>
      </c>
      <c r="D61" t="s">
        <v>20</v>
      </c>
      <c r="E61" t="s">
        <v>24</v>
      </c>
      <c r="F61">
        <v>9858.5499999999993</v>
      </c>
      <c r="G61">
        <f t="array" ref="G61">SalesData!$I$2 - 'RFM Table'!B61</f>
        <v>714</v>
      </c>
      <c r="H61">
        <f t="array" ref="H61">COUNTIF(A:A,A61)</f>
        <v>5</v>
      </c>
      <c r="I61">
        <f t="array" ref="I61">SUMIF(A:A,A61,F:F)</f>
        <v>20723.400000000001</v>
      </c>
      <c r="J61">
        <f t="array" ref="J61">5 - INT(5 * (RANK(G61,G:G, 1) - 1) / COUNT(G:G))</f>
        <v>1</v>
      </c>
      <c r="K61">
        <f t="array" ref="K61">INT(5 * (RANK(H61,H:H, 0) - 1) / COUNT(H:H)) + 1</f>
        <v>5</v>
      </c>
      <c r="L61">
        <f t="array" ref="L61">INT(5 * (RANK(I61,I:I, 0) - 1) / COUNT(I:I)) + 1</f>
        <v>5</v>
      </c>
      <c r="M61" t="str">
        <f t="shared" si="0"/>
        <v>155</v>
      </c>
      <c r="N61" s="6" t="str">
        <f t="shared" si="1"/>
        <v>At Risk</v>
      </c>
    </row>
    <row r="62" spans="1:14" x14ac:dyDescent="0.35">
      <c r="A62">
        <v>1225</v>
      </c>
      <c r="B62" s="4">
        <v>45422.375085336993</v>
      </c>
      <c r="C62" t="s">
        <v>11</v>
      </c>
      <c r="D62" t="s">
        <v>22</v>
      </c>
      <c r="E62" t="s">
        <v>25</v>
      </c>
      <c r="F62">
        <v>4402.2700000000004</v>
      </c>
      <c r="G62">
        <f t="array" ref="G62">SalesData!$I$2 - 'RFM Table'!B62</f>
        <v>714</v>
      </c>
      <c r="H62">
        <f t="array" ref="H62">COUNTIF(A:A,A62)</f>
        <v>12</v>
      </c>
      <c r="I62">
        <f t="array" ref="I62">SUMIF(A:A,A62,F:F)</f>
        <v>42930.969999999994</v>
      </c>
      <c r="J62">
        <f t="array" ref="J62">5 - INT(5 * (RANK(G62,G:G, 1) - 1) / COUNT(G:G))</f>
        <v>1</v>
      </c>
      <c r="K62">
        <f t="array" ref="K62">INT(5 * (RANK(H62,H:H, 0) - 1) / COUNT(H:H)) + 1</f>
        <v>1</v>
      </c>
      <c r="L62">
        <f t="array" ref="L62">INT(5 * (RANK(I62,I:I, 0) - 1) / COUNT(I:I)) + 1</f>
        <v>2</v>
      </c>
      <c r="M62" t="str">
        <f t="shared" si="0"/>
        <v>112</v>
      </c>
      <c r="N62" s="6" t="str">
        <f t="shared" si="1"/>
        <v>Lost</v>
      </c>
    </row>
    <row r="63" spans="1:14" x14ac:dyDescent="0.35">
      <c r="A63">
        <v>1112</v>
      </c>
      <c r="B63" s="4">
        <v>45423.375085336993</v>
      </c>
      <c r="C63" t="s">
        <v>10</v>
      </c>
      <c r="D63" t="s">
        <v>20</v>
      </c>
      <c r="E63" t="s">
        <v>23</v>
      </c>
      <c r="F63">
        <v>1249.8699999999999</v>
      </c>
      <c r="G63">
        <f t="array" ref="G63">SalesData!$I$2 - 'RFM Table'!B63</f>
        <v>713</v>
      </c>
      <c r="H63">
        <f t="array" ref="H63">COUNTIF(A:A,A63)</f>
        <v>12</v>
      </c>
      <c r="I63">
        <f t="array" ref="I63">SUMIF(A:A,A63,F:F)</f>
        <v>38950.210000000006</v>
      </c>
      <c r="J63">
        <f t="array" ref="J63">5 - INT(5 * (RANK(G63,G:G, 1) - 1) / COUNT(G:G))</f>
        <v>1</v>
      </c>
      <c r="K63">
        <f t="array" ref="K63">INT(5 * (RANK(H63,H:H, 0) - 1) / COUNT(H:H)) + 1</f>
        <v>1</v>
      </c>
      <c r="L63">
        <f t="array" ref="L63">INT(5 * (RANK(I63,I:I, 0) - 1) / COUNT(I:I)) + 1</f>
        <v>2</v>
      </c>
      <c r="M63" t="str">
        <f t="shared" si="0"/>
        <v>112</v>
      </c>
      <c r="N63" s="6" t="str">
        <f t="shared" si="1"/>
        <v>Lost</v>
      </c>
    </row>
    <row r="64" spans="1:14" x14ac:dyDescent="0.35">
      <c r="A64">
        <v>1011</v>
      </c>
      <c r="B64" s="4">
        <v>45423.375085336993</v>
      </c>
      <c r="C64" t="s">
        <v>12</v>
      </c>
      <c r="D64" t="s">
        <v>18</v>
      </c>
      <c r="E64" t="s">
        <v>25</v>
      </c>
      <c r="F64">
        <v>1477.77</v>
      </c>
      <c r="G64">
        <f t="array" ref="G64">SalesData!$I$2 - 'RFM Table'!B64</f>
        <v>713</v>
      </c>
      <c r="H64">
        <f t="array" ref="H64">COUNTIF(A:A,A64)</f>
        <v>16</v>
      </c>
      <c r="I64">
        <f t="array" ref="I64">SUMIF(A:A,A64,F:F)</f>
        <v>58237.360000000008</v>
      </c>
      <c r="J64">
        <f t="array" ref="J64">5 - INT(5 * (RANK(G64,G:G, 1) - 1) / COUNT(G:G))</f>
        <v>1</v>
      </c>
      <c r="K64">
        <f t="array" ref="K64">INT(5 * (RANK(H64,H:H, 0) - 1) / COUNT(H:H)) + 1</f>
        <v>1</v>
      </c>
      <c r="L64">
        <f t="array" ref="L64">INT(5 * (RANK(I64,I:I, 0) - 1) / COUNT(I:I)) + 1</f>
        <v>1</v>
      </c>
      <c r="M64" t="str">
        <f t="shared" si="0"/>
        <v>111</v>
      </c>
      <c r="N64" s="6" t="str">
        <f t="shared" si="1"/>
        <v>Lost</v>
      </c>
    </row>
    <row r="65" spans="1:14" x14ac:dyDescent="0.35">
      <c r="A65">
        <v>1007</v>
      </c>
      <c r="B65" s="4">
        <v>45424.375085336993</v>
      </c>
      <c r="C65" t="s">
        <v>11</v>
      </c>
      <c r="D65" t="s">
        <v>18</v>
      </c>
      <c r="E65" t="s">
        <v>23</v>
      </c>
      <c r="F65">
        <v>3729.51</v>
      </c>
      <c r="G65">
        <f t="array" ref="G65">SalesData!$I$2 - 'RFM Table'!B65</f>
        <v>712</v>
      </c>
      <c r="H65">
        <f t="array" ref="H65">COUNTIF(A:A,A65)</f>
        <v>9</v>
      </c>
      <c r="I65">
        <f t="array" ref="I65">SUMIF(A:A,A65,F:F)</f>
        <v>47571.369999999995</v>
      </c>
      <c r="J65">
        <f t="array" ref="J65">5 - INT(5 * (RANK(G65,G:G, 1) - 1) / COUNT(G:G))</f>
        <v>1</v>
      </c>
      <c r="K65">
        <f t="array" ref="K65">INT(5 * (RANK(H65,H:H, 0) - 1) / COUNT(H:H)) + 1</f>
        <v>2</v>
      </c>
      <c r="L65">
        <f t="array" ref="L65">INT(5 * (RANK(I65,I:I, 0) - 1) / COUNT(I:I)) + 1</f>
        <v>1</v>
      </c>
      <c r="M65" t="str">
        <f t="shared" si="0"/>
        <v>121</v>
      </c>
      <c r="N65" s="6" t="str">
        <f t="shared" si="1"/>
        <v>Lost</v>
      </c>
    </row>
    <row r="66" spans="1:14" x14ac:dyDescent="0.35">
      <c r="A66">
        <v>1269</v>
      </c>
      <c r="B66" s="4">
        <v>45424.375085336993</v>
      </c>
      <c r="C66" t="s">
        <v>7</v>
      </c>
      <c r="D66" t="s">
        <v>19</v>
      </c>
      <c r="E66" t="s">
        <v>23</v>
      </c>
      <c r="F66">
        <v>4031.39</v>
      </c>
      <c r="G66">
        <f t="array" ref="G66">SalesData!$I$2 - 'RFM Table'!B66</f>
        <v>712</v>
      </c>
      <c r="H66">
        <f t="array" ref="H66">COUNTIF(A:A,A66)</f>
        <v>6</v>
      </c>
      <c r="I66">
        <f t="array" ref="I66">SUMIF(A:A,A66,F:F)</f>
        <v>25651.410000000003</v>
      </c>
      <c r="J66">
        <f t="array" ref="J66">5 - INT(5 * (RANK(G66,G:G, 1) - 1) / COUNT(G:G))</f>
        <v>1</v>
      </c>
      <c r="K66">
        <f t="array" ref="K66">INT(5 * (RANK(H66,H:H, 0) - 1) / COUNT(H:H)) + 1</f>
        <v>4</v>
      </c>
      <c r="L66">
        <f t="array" ref="L66">INT(5 * (RANK(I66,I:I, 0) - 1) / COUNT(I:I)) + 1</f>
        <v>4</v>
      </c>
      <c r="M66" t="str">
        <f t="shared" si="0"/>
        <v>144</v>
      </c>
      <c r="N66" s="6" t="str">
        <f t="shared" si="1"/>
        <v>At Risk</v>
      </c>
    </row>
    <row r="67" spans="1:14" x14ac:dyDescent="0.35">
      <c r="A67">
        <v>1078</v>
      </c>
      <c r="B67" s="4">
        <v>45424.375085336993</v>
      </c>
      <c r="C67" t="s">
        <v>10</v>
      </c>
      <c r="D67" t="s">
        <v>17</v>
      </c>
      <c r="E67" t="s">
        <v>25</v>
      </c>
      <c r="F67">
        <v>2910.88</v>
      </c>
      <c r="G67">
        <f t="array" ref="G67">SalesData!$I$2 - 'RFM Table'!B67</f>
        <v>712</v>
      </c>
      <c r="H67">
        <f t="array" ref="H67">COUNTIF(A:A,A67)</f>
        <v>5</v>
      </c>
      <c r="I67">
        <f t="array" ref="I67">SUMIF(A:A,A67,F:F)</f>
        <v>16253.25</v>
      </c>
      <c r="J67">
        <f t="array" ref="J67">5 - INT(5 * (RANK(G67,G:G, 1) - 1) / COUNT(G:G))</f>
        <v>1</v>
      </c>
      <c r="K67">
        <f t="array" ref="K67">INT(5 * (RANK(H67,H:H, 0) - 1) / COUNT(H:H)) + 1</f>
        <v>5</v>
      </c>
      <c r="L67">
        <f t="array" ref="L67">INT(5 * (RANK(I67,I:I, 0) - 1) / COUNT(I:I)) + 1</f>
        <v>5</v>
      </c>
      <c r="M67" t="str">
        <f t="shared" ref="M67:M130" si="2">J67 &amp; K67 &amp; L67</f>
        <v>155</v>
      </c>
      <c r="N67" s="6" t="str">
        <f t="shared" ref="N67:N130" si="3">IF(AND(J67&gt;=4,K67&lt;=2),"New Customers",
IF(AND(J67&lt;=2,K67&gt;=3,L67&gt;=3),"At Risk",
IF(AND(J67&lt;=2,K67&lt;=2,L67&gt;=3),"Can't Lose Them",
IF(AND(J67&lt;=2,K67&lt;=2,L67&lt;=2),"Lost",
"Others"))))</f>
        <v>At Risk</v>
      </c>
    </row>
    <row r="68" spans="1:14" x14ac:dyDescent="0.35">
      <c r="A68">
        <v>1132</v>
      </c>
      <c r="B68" s="4">
        <v>45424.375085336993</v>
      </c>
      <c r="C68" t="s">
        <v>12</v>
      </c>
      <c r="D68" t="s">
        <v>19</v>
      </c>
      <c r="E68" t="s">
        <v>25</v>
      </c>
      <c r="F68">
        <v>1875.57</v>
      </c>
      <c r="G68">
        <f t="array" ref="G68">SalesData!$I$2 - 'RFM Table'!B68</f>
        <v>712</v>
      </c>
      <c r="H68">
        <f t="array" ref="H68">COUNTIF(A:A,A68)</f>
        <v>11</v>
      </c>
      <c r="I68">
        <f t="array" ref="I68">SUMIF(A:A,A68,F:F)</f>
        <v>52771.959999999992</v>
      </c>
      <c r="J68">
        <f t="array" ref="J68">5 - INT(5 * (RANK(G68,G:G, 1) - 1) / COUNT(G:G))</f>
        <v>1</v>
      </c>
      <c r="K68">
        <f t="array" ref="K68">INT(5 * (RANK(H68,H:H, 0) - 1) / COUNT(H:H)) + 1</f>
        <v>1</v>
      </c>
      <c r="L68">
        <f t="array" ref="L68">INT(5 * (RANK(I68,I:I, 0) - 1) / COUNT(I:I)) + 1</f>
        <v>1</v>
      </c>
      <c r="M68" t="str">
        <f t="shared" si="2"/>
        <v>111</v>
      </c>
      <c r="N68" s="6" t="str">
        <f t="shared" si="3"/>
        <v>Lost</v>
      </c>
    </row>
    <row r="69" spans="1:14" x14ac:dyDescent="0.35">
      <c r="A69">
        <v>1257</v>
      </c>
      <c r="B69" s="4">
        <v>45424.375085336993</v>
      </c>
      <c r="C69" t="s">
        <v>7</v>
      </c>
      <c r="D69" t="s">
        <v>22</v>
      </c>
      <c r="E69" t="s">
        <v>23</v>
      </c>
      <c r="F69">
        <v>4234.41</v>
      </c>
      <c r="G69">
        <f t="array" ref="G69">SalesData!$I$2 - 'RFM Table'!B69</f>
        <v>712</v>
      </c>
      <c r="H69">
        <f t="array" ref="H69">COUNTIF(A:A,A69)</f>
        <v>8</v>
      </c>
      <c r="I69">
        <f t="array" ref="I69">SUMIF(A:A,A69,F:F)</f>
        <v>17550.599999999999</v>
      </c>
      <c r="J69">
        <f t="array" ref="J69">5 - INT(5 * (RANK(G69,G:G, 1) - 1) / COUNT(G:G))</f>
        <v>1</v>
      </c>
      <c r="K69">
        <f t="array" ref="K69">INT(5 * (RANK(H69,H:H, 0) - 1) / COUNT(H:H)) + 1</f>
        <v>3</v>
      </c>
      <c r="L69">
        <f t="array" ref="L69">INT(5 * (RANK(I69,I:I, 0) - 1) / COUNT(I:I)) + 1</f>
        <v>5</v>
      </c>
      <c r="M69" t="str">
        <f t="shared" si="2"/>
        <v>135</v>
      </c>
      <c r="N69" s="6" t="str">
        <f t="shared" si="3"/>
        <v>At Risk</v>
      </c>
    </row>
    <row r="70" spans="1:14" x14ac:dyDescent="0.35">
      <c r="A70">
        <v>1072</v>
      </c>
      <c r="B70" s="4">
        <v>45424.375085336993</v>
      </c>
      <c r="C70" t="s">
        <v>15</v>
      </c>
      <c r="D70" t="s">
        <v>21</v>
      </c>
      <c r="E70" t="s">
        <v>25</v>
      </c>
      <c r="F70">
        <v>5645.29</v>
      </c>
      <c r="G70">
        <f t="array" ref="G70">SalesData!$I$2 - 'RFM Table'!B70</f>
        <v>712</v>
      </c>
      <c r="H70">
        <f t="array" ref="H70">COUNTIF(A:A,A70)</f>
        <v>8</v>
      </c>
      <c r="I70">
        <f t="array" ref="I70">SUMIF(A:A,A70,F:F)</f>
        <v>30568.039999999997</v>
      </c>
      <c r="J70">
        <f t="array" ref="J70">5 - INT(5 * (RANK(G70,G:G, 1) - 1) / COUNT(G:G))</f>
        <v>1</v>
      </c>
      <c r="K70">
        <f t="array" ref="K70">INT(5 * (RANK(H70,H:H, 0) - 1) / COUNT(H:H)) + 1</f>
        <v>3</v>
      </c>
      <c r="L70">
        <f t="array" ref="L70">INT(5 * (RANK(I70,I:I, 0) - 1) / COUNT(I:I)) + 1</f>
        <v>3</v>
      </c>
      <c r="M70" t="str">
        <f t="shared" si="2"/>
        <v>133</v>
      </c>
      <c r="N70" s="6" t="str">
        <f t="shared" si="3"/>
        <v>At Risk</v>
      </c>
    </row>
    <row r="71" spans="1:14" x14ac:dyDescent="0.35">
      <c r="A71">
        <v>1129</v>
      </c>
      <c r="B71" s="4">
        <v>45424.375085336993</v>
      </c>
      <c r="C71" t="s">
        <v>9</v>
      </c>
      <c r="D71" t="s">
        <v>19</v>
      </c>
      <c r="E71" t="s">
        <v>24</v>
      </c>
      <c r="F71">
        <v>1872.72</v>
      </c>
      <c r="G71">
        <f t="array" ref="G71">SalesData!$I$2 - 'RFM Table'!B71</f>
        <v>712</v>
      </c>
      <c r="H71">
        <f t="array" ref="H71">COUNTIF(A:A,A71)</f>
        <v>14</v>
      </c>
      <c r="I71">
        <f t="array" ref="I71">SUMIF(A:A,A71,F:F)</f>
        <v>53433.220000000008</v>
      </c>
      <c r="J71">
        <f t="array" ref="J71">5 - INT(5 * (RANK(G71,G:G, 1) - 1) / COUNT(G:G))</f>
        <v>1</v>
      </c>
      <c r="K71">
        <f t="array" ref="K71">INT(5 * (RANK(H71,H:H, 0) - 1) / COUNT(H:H)) + 1</f>
        <v>1</v>
      </c>
      <c r="L71">
        <f t="array" ref="L71">INT(5 * (RANK(I71,I:I, 0) - 1) / COUNT(I:I)) + 1</f>
        <v>1</v>
      </c>
      <c r="M71" t="str">
        <f t="shared" si="2"/>
        <v>111</v>
      </c>
      <c r="N71" s="6" t="str">
        <f t="shared" si="3"/>
        <v>Lost</v>
      </c>
    </row>
    <row r="72" spans="1:14" x14ac:dyDescent="0.35">
      <c r="A72">
        <v>1289</v>
      </c>
      <c r="B72" s="4">
        <v>45424.375085336993</v>
      </c>
      <c r="C72" t="s">
        <v>9</v>
      </c>
      <c r="D72" t="s">
        <v>18</v>
      </c>
      <c r="E72" t="s">
        <v>24</v>
      </c>
      <c r="F72">
        <v>3284.02</v>
      </c>
      <c r="G72">
        <f t="array" ref="G72">SalesData!$I$2 - 'RFM Table'!B72</f>
        <v>712</v>
      </c>
      <c r="H72">
        <f t="array" ref="H72">COUNTIF(A:A,A72)</f>
        <v>5</v>
      </c>
      <c r="I72">
        <f t="array" ref="I72">SUMIF(A:A,A72,F:F)</f>
        <v>21964.689999999995</v>
      </c>
      <c r="J72">
        <f t="array" ref="J72">5 - INT(5 * (RANK(G72,G:G, 1) - 1) / COUNT(G:G))</f>
        <v>1</v>
      </c>
      <c r="K72">
        <f t="array" ref="K72">INT(5 * (RANK(H72,H:H, 0) - 1) / COUNT(H:H)) + 1</f>
        <v>5</v>
      </c>
      <c r="L72">
        <f t="array" ref="L72">INT(5 * (RANK(I72,I:I, 0) - 1) / COUNT(I:I)) + 1</f>
        <v>4</v>
      </c>
      <c r="M72" t="str">
        <f t="shared" si="2"/>
        <v>154</v>
      </c>
      <c r="N72" s="6" t="str">
        <f t="shared" si="3"/>
        <v>At Risk</v>
      </c>
    </row>
    <row r="73" spans="1:14" x14ac:dyDescent="0.35">
      <c r="A73">
        <v>1370</v>
      </c>
      <c r="B73" s="4">
        <v>45425.375085336993</v>
      </c>
      <c r="C73" t="s">
        <v>14</v>
      </c>
      <c r="D73" t="s">
        <v>19</v>
      </c>
      <c r="E73" t="s">
        <v>25</v>
      </c>
      <c r="F73">
        <v>4571.95</v>
      </c>
      <c r="G73">
        <f t="array" ref="G73">SalesData!$I$2 - 'RFM Table'!B73</f>
        <v>711</v>
      </c>
      <c r="H73">
        <f t="array" ref="H73">COUNTIF(A:A,A73)</f>
        <v>12</v>
      </c>
      <c r="I73">
        <f t="array" ref="I73">SUMIF(A:A,A73,F:F)</f>
        <v>46195.360000000001</v>
      </c>
      <c r="J73">
        <f t="array" ref="J73">5 - INT(5 * (RANK(G73,G:G, 1) - 1) / COUNT(G:G))</f>
        <v>1</v>
      </c>
      <c r="K73">
        <f t="array" ref="K73">INT(5 * (RANK(H73,H:H, 0) - 1) / COUNT(H:H)) + 1</f>
        <v>1</v>
      </c>
      <c r="L73">
        <f t="array" ref="L73">INT(5 * (RANK(I73,I:I, 0) - 1) / COUNT(I:I)) + 1</f>
        <v>1</v>
      </c>
      <c r="M73" t="str">
        <f t="shared" si="2"/>
        <v>111</v>
      </c>
      <c r="N73" s="6" t="str">
        <f t="shared" si="3"/>
        <v>Lost</v>
      </c>
    </row>
    <row r="74" spans="1:14" x14ac:dyDescent="0.35">
      <c r="A74">
        <v>1007</v>
      </c>
      <c r="B74" s="4">
        <v>45425.375085336993</v>
      </c>
      <c r="C74" t="s">
        <v>15</v>
      </c>
      <c r="D74" t="s">
        <v>16</v>
      </c>
      <c r="E74" t="s">
        <v>25</v>
      </c>
      <c r="F74">
        <v>7682.58</v>
      </c>
      <c r="G74">
        <f t="array" ref="G74">SalesData!$I$2 - 'RFM Table'!B74</f>
        <v>711</v>
      </c>
      <c r="H74">
        <f t="array" ref="H74">COUNTIF(A:A,A74)</f>
        <v>9</v>
      </c>
      <c r="I74">
        <f t="array" ref="I74">SUMIF(A:A,A74,F:F)</f>
        <v>47571.369999999995</v>
      </c>
      <c r="J74">
        <f t="array" ref="J74">5 - INT(5 * (RANK(G74,G:G, 1) - 1) / COUNT(G:G))</f>
        <v>1</v>
      </c>
      <c r="K74">
        <f t="array" ref="K74">INT(5 * (RANK(H74,H:H, 0) - 1) / COUNT(H:H)) + 1</f>
        <v>2</v>
      </c>
      <c r="L74">
        <f t="array" ref="L74">INT(5 * (RANK(I74,I:I, 0) - 1) / COUNT(I:I)) + 1</f>
        <v>1</v>
      </c>
      <c r="M74" t="str">
        <f t="shared" si="2"/>
        <v>121</v>
      </c>
      <c r="N74" s="6" t="str">
        <f t="shared" si="3"/>
        <v>Lost</v>
      </c>
    </row>
    <row r="75" spans="1:14" x14ac:dyDescent="0.35">
      <c r="A75">
        <v>1175</v>
      </c>
      <c r="B75" s="4">
        <v>45426.375085336993</v>
      </c>
      <c r="C75" t="s">
        <v>15</v>
      </c>
      <c r="D75" t="s">
        <v>18</v>
      </c>
      <c r="E75" t="s">
        <v>23</v>
      </c>
      <c r="F75">
        <v>3661.72</v>
      </c>
      <c r="G75">
        <f t="array" ref="G75">SalesData!$I$2 - 'RFM Table'!B75</f>
        <v>710</v>
      </c>
      <c r="H75">
        <f t="array" ref="H75">COUNTIF(A:A,A75)</f>
        <v>6</v>
      </c>
      <c r="I75">
        <f t="array" ref="I75">SUMIF(A:A,A75,F:F)</f>
        <v>26179.75</v>
      </c>
      <c r="J75">
        <f t="array" ref="J75">5 - INT(5 * (RANK(G75,G:G, 1) - 1) / COUNT(G:G))</f>
        <v>1</v>
      </c>
      <c r="K75">
        <f t="array" ref="K75">INT(5 * (RANK(H75,H:H, 0) - 1) / COUNT(H:H)) + 1</f>
        <v>4</v>
      </c>
      <c r="L75">
        <f t="array" ref="L75">INT(5 * (RANK(I75,I:I, 0) - 1) / COUNT(I:I)) + 1</f>
        <v>4</v>
      </c>
      <c r="M75" t="str">
        <f t="shared" si="2"/>
        <v>144</v>
      </c>
      <c r="N75" s="6" t="str">
        <f t="shared" si="3"/>
        <v>At Risk</v>
      </c>
    </row>
    <row r="76" spans="1:14" x14ac:dyDescent="0.35">
      <c r="A76">
        <v>1352</v>
      </c>
      <c r="B76" s="4">
        <v>45426.375085336993</v>
      </c>
      <c r="C76" t="s">
        <v>10</v>
      </c>
      <c r="D76" t="s">
        <v>22</v>
      </c>
      <c r="E76" t="s">
        <v>24</v>
      </c>
      <c r="F76">
        <v>1297.73</v>
      </c>
      <c r="G76">
        <f t="array" ref="G76">SalesData!$I$2 - 'RFM Table'!B76</f>
        <v>710</v>
      </c>
      <c r="H76">
        <f t="array" ref="H76">COUNTIF(A:A,A76)</f>
        <v>8</v>
      </c>
      <c r="I76">
        <f t="array" ref="I76">SUMIF(A:A,A76,F:F)</f>
        <v>35204.92</v>
      </c>
      <c r="J76">
        <f t="array" ref="J76">5 - INT(5 * (RANK(G76,G:G, 1) - 1) / COUNT(G:G))</f>
        <v>1</v>
      </c>
      <c r="K76">
        <f t="array" ref="K76">INT(5 * (RANK(H76,H:H, 0) - 1) / COUNT(H:H)) + 1</f>
        <v>3</v>
      </c>
      <c r="L76">
        <f t="array" ref="L76">INT(5 * (RANK(I76,I:I, 0) - 1) / COUNT(I:I)) + 1</f>
        <v>3</v>
      </c>
      <c r="M76" t="str">
        <f t="shared" si="2"/>
        <v>133</v>
      </c>
      <c r="N76" s="6" t="str">
        <f t="shared" si="3"/>
        <v>At Risk</v>
      </c>
    </row>
    <row r="77" spans="1:14" x14ac:dyDescent="0.35">
      <c r="A77">
        <v>1292</v>
      </c>
      <c r="B77" s="4">
        <v>45426.375085336993</v>
      </c>
      <c r="C77" t="s">
        <v>11</v>
      </c>
      <c r="D77" t="s">
        <v>16</v>
      </c>
      <c r="E77" t="s">
        <v>24</v>
      </c>
      <c r="F77">
        <v>5638.33</v>
      </c>
      <c r="G77">
        <f t="array" ref="G77">SalesData!$I$2 - 'RFM Table'!B77</f>
        <v>710</v>
      </c>
      <c r="H77">
        <f t="array" ref="H77">COUNTIF(A:A,A77)</f>
        <v>15</v>
      </c>
      <c r="I77">
        <f t="array" ref="I77">SUMIF(A:A,A77,F:F)</f>
        <v>49637.999999999993</v>
      </c>
      <c r="J77">
        <f t="array" ref="J77">5 - INT(5 * (RANK(G77,G:G, 1) - 1) / COUNT(G:G))</f>
        <v>1</v>
      </c>
      <c r="K77">
        <f t="array" ref="K77">INT(5 * (RANK(H77,H:H, 0) - 1) / COUNT(H:H)) + 1</f>
        <v>1</v>
      </c>
      <c r="L77">
        <f t="array" ref="L77">INT(5 * (RANK(I77,I:I, 0) - 1) / COUNT(I:I)) + 1</f>
        <v>1</v>
      </c>
      <c r="M77" t="str">
        <f t="shared" si="2"/>
        <v>111</v>
      </c>
      <c r="N77" s="6" t="str">
        <f t="shared" si="3"/>
        <v>Lost</v>
      </c>
    </row>
    <row r="78" spans="1:14" x14ac:dyDescent="0.35">
      <c r="A78">
        <v>1266</v>
      </c>
      <c r="B78" s="4">
        <v>45427.375085336993</v>
      </c>
      <c r="C78" t="s">
        <v>7</v>
      </c>
      <c r="D78" t="s">
        <v>20</v>
      </c>
      <c r="E78" t="s">
        <v>25</v>
      </c>
      <c r="F78">
        <v>13167.57</v>
      </c>
      <c r="G78">
        <f t="array" ref="G78">SalesData!$I$2 - 'RFM Table'!B78</f>
        <v>709</v>
      </c>
      <c r="H78">
        <f t="array" ref="H78">COUNTIF(A:A,A78)</f>
        <v>9</v>
      </c>
      <c r="I78">
        <f t="array" ref="I78">SUMIF(A:A,A78,F:F)</f>
        <v>44679.94</v>
      </c>
      <c r="J78">
        <f t="array" ref="J78">5 - INT(5 * (RANK(G78,G:G, 1) - 1) / COUNT(G:G))</f>
        <v>1</v>
      </c>
      <c r="K78">
        <f t="array" ref="K78">INT(5 * (RANK(H78,H:H, 0) - 1) / COUNT(H:H)) + 1</f>
        <v>2</v>
      </c>
      <c r="L78">
        <f t="array" ref="L78">INT(5 * (RANK(I78,I:I, 0) - 1) / COUNT(I:I)) + 1</f>
        <v>2</v>
      </c>
      <c r="M78" t="str">
        <f t="shared" si="2"/>
        <v>122</v>
      </c>
      <c r="N78" s="6" t="str">
        <f t="shared" si="3"/>
        <v>Lost</v>
      </c>
    </row>
    <row r="79" spans="1:14" x14ac:dyDescent="0.35">
      <c r="A79">
        <v>1176</v>
      </c>
      <c r="B79" s="4">
        <v>45427.375085336993</v>
      </c>
      <c r="C79" t="s">
        <v>6</v>
      </c>
      <c r="D79" t="s">
        <v>18</v>
      </c>
      <c r="E79" t="s">
        <v>23</v>
      </c>
      <c r="F79">
        <v>3528.15</v>
      </c>
      <c r="G79">
        <f t="array" ref="G79">SalesData!$I$2 - 'RFM Table'!B79</f>
        <v>709</v>
      </c>
      <c r="H79">
        <f t="array" ref="H79">COUNTIF(A:A,A79)</f>
        <v>9</v>
      </c>
      <c r="I79">
        <f t="array" ref="I79">SUMIF(A:A,A79,F:F)</f>
        <v>30242.800000000003</v>
      </c>
      <c r="J79">
        <f t="array" ref="J79">5 - INT(5 * (RANK(G79,G:G, 1) - 1) / COUNT(G:G))</f>
        <v>1</v>
      </c>
      <c r="K79">
        <f t="array" ref="K79">INT(5 * (RANK(H79,H:H, 0) - 1) / COUNT(H:H)) + 1</f>
        <v>2</v>
      </c>
      <c r="L79">
        <f t="array" ref="L79">INT(5 * (RANK(I79,I:I, 0) - 1) / COUNT(I:I)) + 1</f>
        <v>3</v>
      </c>
      <c r="M79" t="str">
        <f t="shared" si="2"/>
        <v>123</v>
      </c>
      <c r="N79" s="6" t="str">
        <f t="shared" si="3"/>
        <v>Can't Lose Them</v>
      </c>
    </row>
    <row r="80" spans="1:14" x14ac:dyDescent="0.35">
      <c r="A80">
        <v>1159</v>
      </c>
      <c r="B80" s="4">
        <v>45427.375085336993</v>
      </c>
      <c r="C80" t="s">
        <v>6</v>
      </c>
      <c r="D80" t="s">
        <v>17</v>
      </c>
      <c r="E80" t="s">
        <v>23</v>
      </c>
      <c r="F80">
        <v>1730.6</v>
      </c>
      <c r="G80">
        <f t="array" ref="G80">SalesData!$I$2 - 'RFM Table'!B80</f>
        <v>709</v>
      </c>
      <c r="H80">
        <f t="array" ref="H80">COUNTIF(A:A,A80)</f>
        <v>15</v>
      </c>
      <c r="I80">
        <f t="array" ref="I80">SUMIF(A:A,A80,F:F)</f>
        <v>57217.139999999992</v>
      </c>
      <c r="J80">
        <f t="array" ref="J80">5 - INT(5 * (RANK(G80,G:G, 1) - 1) / COUNT(G:G))</f>
        <v>1</v>
      </c>
      <c r="K80">
        <f t="array" ref="K80">INT(5 * (RANK(H80,H:H, 0) - 1) / COUNT(H:H)) + 1</f>
        <v>1</v>
      </c>
      <c r="L80">
        <f t="array" ref="L80">INT(5 * (RANK(I80,I:I, 0) - 1) / COUNT(I:I)) + 1</f>
        <v>1</v>
      </c>
      <c r="M80" t="str">
        <f t="shared" si="2"/>
        <v>111</v>
      </c>
      <c r="N80" s="6" t="str">
        <f t="shared" si="3"/>
        <v>Lost</v>
      </c>
    </row>
    <row r="81" spans="1:14" x14ac:dyDescent="0.35">
      <c r="A81">
        <v>1146</v>
      </c>
      <c r="B81" s="4">
        <v>45427.375085336993</v>
      </c>
      <c r="C81" t="s">
        <v>12</v>
      </c>
      <c r="D81" t="s">
        <v>16</v>
      </c>
      <c r="E81" t="s">
        <v>23</v>
      </c>
      <c r="F81">
        <v>3458.94</v>
      </c>
      <c r="G81">
        <f t="array" ref="G81">SalesData!$I$2 - 'RFM Table'!B81</f>
        <v>709</v>
      </c>
      <c r="H81">
        <f t="array" ref="H81">COUNTIF(A:A,A81)</f>
        <v>11</v>
      </c>
      <c r="I81">
        <f t="array" ref="I81">SUMIF(A:A,A81,F:F)</f>
        <v>43110.84</v>
      </c>
      <c r="J81">
        <f t="array" ref="J81">5 - INT(5 * (RANK(G81,G:G, 1) - 1) / COUNT(G:G))</f>
        <v>1</v>
      </c>
      <c r="K81">
        <f t="array" ref="K81">INT(5 * (RANK(H81,H:H, 0) - 1) / COUNT(H:H)) + 1</f>
        <v>1</v>
      </c>
      <c r="L81">
        <f t="array" ref="L81">INT(5 * (RANK(I81,I:I, 0) - 1) / COUNT(I:I)) + 1</f>
        <v>2</v>
      </c>
      <c r="M81" t="str">
        <f t="shared" si="2"/>
        <v>112</v>
      </c>
      <c r="N81" s="6" t="str">
        <f t="shared" si="3"/>
        <v>Lost</v>
      </c>
    </row>
    <row r="82" spans="1:14" x14ac:dyDescent="0.35">
      <c r="A82">
        <v>1281</v>
      </c>
      <c r="B82" s="4">
        <v>45427.375085336993</v>
      </c>
      <c r="C82" t="s">
        <v>12</v>
      </c>
      <c r="D82" t="s">
        <v>22</v>
      </c>
      <c r="E82" t="s">
        <v>24</v>
      </c>
      <c r="F82">
        <v>2795.89</v>
      </c>
      <c r="G82">
        <f t="array" ref="G82">SalesData!$I$2 - 'RFM Table'!B82</f>
        <v>709</v>
      </c>
      <c r="H82">
        <f t="array" ref="H82">COUNTIF(A:A,A82)</f>
        <v>10</v>
      </c>
      <c r="I82">
        <f t="array" ref="I82">SUMIF(A:A,A82,F:F)</f>
        <v>49420.710000000006</v>
      </c>
      <c r="J82">
        <f t="array" ref="J82">5 - INT(5 * (RANK(G82,G:G, 1) - 1) / COUNT(G:G))</f>
        <v>1</v>
      </c>
      <c r="K82">
        <f t="array" ref="K82">INT(5 * (RANK(H82,H:H, 0) - 1) / COUNT(H:H)) + 1</f>
        <v>2</v>
      </c>
      <c r="L82">
        <f t="array" ref="L82">INT(5 * (RANK(I82,I:I, 0) - 1) / COUNT(I:I)) + 1</f>
        <v>1</v>
      </c>
      <c r="M82" t="str">
        <f t="shared" si="2"/>
        <v>121</v>
      </c>
      <c r="N82" s="6" t="str">
        <f t="shared" si="3"/>
        <v>Lost</v>
      </c>
    </row>
    <row r="83" spans="1:14" x14ac:dyDescent="0.35">
      <c r="A83">
        <v>1194</v>
      </c>
      <c r="B83" s="4">
        <v>45427.375085336993</v>
      </c>
      <c r="C83" t="s">
        <v>14</v>
      </c>
      <c r="D83" t="s">
        <v>21</v>
      </c>
      <c r="E83" t="s">
        <v>25</v>
      </c>
      <c r="F83">
        <v>2183.9299999999998</v>
      </c>
      <c r="G83">
        <f t="array" ref="G83">SalesData!$I$2 - 'RFM Table'!B83</f>
        <v>709</v>
      </c>
      <c r="H83">
        <f t="array" ref="H83">COUNTIF(A:A,A83)</f>
        <v>7</v>
      </c>
      <c r="I83">
        <f t="array" ref="I83">SUMIF(A:A,A83,F:F)</f>
        <v>37031.050000000003</v>
      </c>
      <c r="J83">
        <f t="array" ref="J83">5 - INT(5 * (RANK(G83,G:G, 1) - 1) / COUNT(G:G))</f>
        <v>1</v>
      </c>
      <c r="K83">
        <f t="array" ref="K83">INT(5 * (RANK(H83,H:H, 0) - 1) / COUNT(H:H)) + 1</f>
        <v>4</v>
      </c>
      <c r="L83">
        <f t="array" ref="L83">INT(5 * (RANK(I83,I:I, 0) - 1) / COUNT(I:I)) + 1</f>
        <v>2</v>
      </c>
      <c r="M83" t="str">
        <f t="shared" si="2"/>
        <v>142</v>
      </c>
      <c r="N83" s="6" t="str">
        <f t="shared" si="3"/>
        <v>Others</v>
      </c>
    </row>
    <row r="84" spans="1:14" x14ac:dyDescent="0.35">
      <c r="A84">
        <v>1085</v>
      </c>
      <c r="B84" s="4">
        <v>45427.375085336993</v>
      </c>
      <c r="C84" t="s">
        <v>11</v>
      </c>
      <c r="D84" t="s">
        <v>21</v>
      </c>
      <c r="E84" t="s">
        <v>25</v>
      </c>
      <c r="F84">
        <v>854.56</v>
      </c>
      <c r="G84">
        <f t="array" ref="G84">SalesData!$I$2 - 'RFM Table'!B84</f>
        <v>709</v>
      </c>
      <c r="H84">
        <f t="array" ref="H84">COUNTIF(A:A,A84)</f>
        <v>10</v>
      </c>
      <c r="I84">
        <f t="array" ref="I84">SUMIF(A:A,A84,F:F)</f>
        <v>50122.659999999996</v>
      </c>
      <c r="J84">
        <f t="array" ref="J84">5 - INT(5 * (RANK(G84,G:G, 1) - 1) / COUNT(G:G))</f>
        <v>1</v>
      </c>
      <c r="K84">
        <f t="array" ref="K84">INT(5 * (RANK(H84,H:H, 0) - 1) / COUNT(H:H)) + 1</f>
        <v>2</v>
      </c>
      <c r="L84">
        <f t="array" ref="L84">INT(5 * (RANK(I84,I:I, 0) - 1) / COUNT(I:I)) + 1</f>
        <v>1</v>
      </c>
      <c r="M84" t="str">
        <f t="shared" si="2"/>
        <v>121</v>
      </c>
      <c r="N84" s="6" t="str">
        <f t="shared" si="3"/>
        <v>Lost</v>
      </c>
    </row>
    <row r="85" spans="1:14" x14ac:dyDescent="0.35">
      <c r="A85">
        <v>1239</v>
      </c>
      <c r="B85" s="4">
        <v>45428.375085336993</v>
      </c>
      <c r="C85" t="s">
        <v>14</v>
      </c>
      <c r="D85" t="s">
        <v>16</v>
      </c>
      <c r="E85" t="s">
        <v>23</v>
      </c>
      <c r="F85">
        <v>28564.55</v>
      </c>
      <c r="G85">
        <f t="array" ref="G85">SalesData!$I$2 - 'RFM Table'!B85</f>
        <v>708</v>
      </c>
      <c r="H85">
        <f t="array" ref="H85">COUNTIF(A:A,A85)</f>
        <v>4</v>
      </c>
      <c r="I85">
        <f t="array" ref="I85">SUMIF(A:A,A85,F:F)</f>
        <v>47975.93</v>
      </c>
      <c r="J85">
        <f t="array" ref="J85">5 - INT(5 * (RANK(G85,G:G, 1) - 1) / COUNT(G:G))</f>
        <v>1</v>
      </c>
      <c r="K85">
        <f t="array" ref="K85">INT(5 * (RANK(H85,H:H, 0) - 1) / COUNT(H:H)) + 1</f>
        <v>5</v>
      </c>
      <c r="L85">
        <f t="array" ref="L85">INT(5 * (RANK(I85,I:I, 0) - 1) / COUNT(I:I)) + 1</f>
        <v>1</v>
      </c>
      <c r="M85" t="str">
        <f t="shared" si="2"/>
        <v>151</v>
      </c>
      <c r="N85" s="6" t="str">
        <f t="shared" si="3"/>
        <v>Others</v>
      </c>
    </row>
    <row r="86" spans="1:14" x14ac:dyDescent="0.35">
      <c r="A86">
        <v>1099</v>
      </c>
      <c r="B86" s="4">
        <v>45428.375085336993</v>
      </c>
      <c r="C86" t="s">
        <v>10</v>
      </c>
      <c r="D86" t="s">
        <v>20</v>
      </c>
      <c r="E86" t="s">
        <v>24</v>
      </c>
      <c r="F86">
        <v>3852.61</v>
      </c>
      <c r="G86">
        <f t="array" ref="G86">SalesData!$I$2 - 'RFM Table'!B86</f>
        <v>708</v>
      </c>
      <c r="H86">
        <f t="array" ref="H86">COUNTIF(A:A,A86)</f>
        <v>6</v>
      </c>
      <c r="I86">
        <f t="array" ref="I86">SUMIF(A:A,A86,F:F)</f>
        <v>20804.55</v>
      </c>
      <c r="J86">
        <f t="array" ref="J86">5 - INT(5 * (RANK(G86,G:G, 1) - 1) / COUNT(G:G))</f>
        <v>1</v>
      </c>
      <c r="K86">
        <f t="array" ref="K86">INT(5 * (RANK(H86,H:H, 0) - 1) / COUNT(H:H)) + 1</f>
        <v>4</v>
      </c>
      <c r="L86">
        <f t="array" ref="L86">INT(5 * (RANK(I86,I:I, 0) - 1) / COUNT(I:I)) + 1</f>
        <v>5</v>
      </c>
      <c r="M86" t="str">
        <f t="shared" si="2"/>
        <v>145</v>
      </c>
      <c r="N86" s="6" t="str">
        <f t="shared" si="3"/>
        <v>At Risk</v>
      </c>
    </row>
    <row r="87" spans="1:14" x14ac:dyDescent="0.35">
      <c r="A87">
        <v>1077</v>
      </c>
      <c r="B87" s="4">
        <v>45428.375085336993</v>
      </c>
      <c r="C87" t="s">
        <v>7</v>
      </c>
      <c r="D87" t="s">
        <v>21</v>
      </c>
      <c r="E87" t="s">
        <v>25</v>
      </c>
      <c r="F87">
        <v>1818.08</v>
      </c>
      <c r="G87">
        <f t="array" ref="G87">SalesData!$I$2 - 'RFM Table'!B87</f>
        <v>708</v>
      </c>
      <c r="H87">
        <f t="array" ref="H87">COUNTIF(A:A,A87)</f>
        <v>8</v>
      </c>
      <c r="I87">
        <f t="array" ref="I87">SUMIF(A:A,A87,F:F)</f>
        <v>28309.71</v>
      </c>
      <c r="J87">
        <f t="array" ref="J87">5 - INT(5 * (RANK(G87,G:G, 1) - 1) / COUNT(G:G))</f>
        <v>1</v>
      </c>
      <c r="K87">
        <f t="array" ref="K87">INT(5 * (RANK(H87,H:H, 0) - 1) / COUNT(H:H)) + 1</f>
        <v>3</v>
      </c>
      <c r="L87">
        <f t="array" ref="L87">INT(5 * (RANK(I87,I:I, 0) - 1) / COUNT(I:I)) + 1</f>
        <v>4</v>
      </c>
      <c r="M87" t="str">
        <f t="shared" si="2"/>
        <v>134</v>
      </c>
      <c r="N87" s="6" t="str">
        <f t="shared" si="3"/>
        <v>At Risk</v>
      </c>
    </row>
    <row r="88" spans="1:14" x14ac:dyDescent="0.35">
      <c r="A88">
        <v>1290</v>
      </c>
      <c r="B88" s="4">
        <v>45430.375085336993</v>
      </c>
      <c r="C88" t="s">
        <v>15</v>
      </c>
      <c r="D88" t="s">
        <v>16</v>
      </c>
      <c r="E88" t="s">
        <v>25</v>
      </c>
      <c r="F88">
        <v>6053.16</v>
      </c>
      <c r="G88">
        <f t="array" ref="G88">SalesData!$I$2 - 'RFM Table'!B88</f>
        <v>706</v>
      </c>
      <c r="H88">
        <f t="array" ref="H88">COUNTIF(A:A,A88)</f>
        <v>9</v>
      </c>
      <c r="I88">
        <f t="array" ref="I88">SUMIF(A:A,A88,F:F)</f>
        <v>37864.199999999997</v>
      </c>
      <c r="J88">
        <f t="array" ref="J88">5 - INT(5 * (RANK(G88,G:G, 1) - 1) / COUNT(G:G))</f>
        <v>1</v>
      </c>
      <c r="K88">
        <f t="array" ref="K88">INT(5 * (RANK(H88,H:H, 0) - 1) / COUNT(H:H)) + 1</f>
        <v>2</v>
      </c>
      <c r="L88">
        <f t="array" ref="L88">INT(5 * (RANK(I88,I:I, 0) - 1) / COUNT(I:I)) + 1</f>
        <v>2</v>
      </c>
      <c r="M88" t="str">
        <f t="shared" si="2"/>
        <v>122</v>
      </c>
      <c r="N88" s="6" t="str">
        <f t="shared" si="3"/>
        <v>Lost</v>
      </c>
    </row>
    <row r="89" spans="1:14" x14ac:dyDescent="0.35">
      <c r="A89">
        <v>1091</v>
      </c>
      <c r="B89" s="4">
        <v>45430.375085336993</v>
      </c>
      <c r="C89" t="s">
        <v>8</v>
      </c>
      <c r="D89" t="s">
        <v>17</v>
      </c>
      <c r="E89" t="s">
        <v>24</v>
      </c>
      <c r="F89">
        <v>6656.72</v>
      </c>
      <c r="G89">
        <f t="array" ref="G89">SalesData!$I$2 - 'RFM Table'!B89</f>
        <v>706</v>
      </c>
      <c r="H89">
        <f t="array" ref="H89">COUNTIF(A:A,A89)</f>
        <v>11</v>
      </c>
      <c r="I89">
        <f t="array" ref="I89">SUMIF(A:A,A89,F:F)</f>
        <v>39808.47</v>
      </c>
      <c r="J89">
        <f t="array" ref="J89">5 - INT(5 * (RANK(G89,G:G, 1) - 1) / COUNT(G:G))</f>
        <v>1</v>
      </c>
      <c r="K89">
        <f t="array" ref="K89">INT(5 * (RANK(H89,H:H, 0) - 1) / COUNT(H:H)) + 1</f>
        <v>1</v>
      </c>
      <c r="L89">
        <f t="array" ref="L89">INT(5 * (RANK(I89,I:I, 0) - 1) / COUNT(I:I)) + 1</f>
        <v>2</v>
      </c>
      <c r="M89" t="str">
        <f t="shared" si="2"/>
        <v>112</v>
      </c>
      <c r="N89" s="6" t="str">
        <f t="shared" si="3"/>
        <v>Lost</v>
      </c>
    </row>
    <row r="90" spans="1:14" x14ac:dyDescent="0.35">
      <c r="A90">
        <v>1033</v>
      </c>
      <c r="B90" s="4">
        <v>45430.375085336993</v>
      </c>
      <c r="C90" t="s">
        <v>15</v>
      </c>
      <c r="D90" t="s">
        <v>18</v>
      </c>
      <c r="E90" t="s">
        <v>24</v>
      </c>
      <c r="F90">
        <v>797.21</v>
      </c>
      <c r="G90">
        <f t="array" ref="G90">SalesData!$I$2 - 'RFM Table'!B90</f>
        <v>706</v>
      </c>
      <c r="H90">
        <f t="array" ref="H90">COUNTIF(A:A,A90)</f>
        <v>7</v>
      </c>
      <c r="I90">
        <f t="array" ref="I90">SUMIF(A:A,A90,F:F)</f>
        <v>18694.46</v>
      </c>
      <c r="J90">
        <f t="array" ref="J90">5 - INT(5 * (RANK(G90,G:G, 1) - 1) / COUNT(G:G))</f>
        <v>1</v>
      </c>
      <c r="K90">
        <f t="array" ref="K90">INT(5 * (RANK(H90,H:H, 0) - 1) / COUNT(H:H)) + 1</f>
        <v>4</v>
      </c>
      <c r="L90">
        <f t="array" ref="L90">INT(5 * (RANK(I90,I:I, 0) - 1) / COUNT(I:I)) + 1</f>
        <v>5</v>
      </c>
      <c r="M90" t="str">
        <f t="shared" si="2"/>
        <v>145</v>
      </c>
      <c r="N90" s="6" t="str">
        <f t="shared" si="3"/>
        <v>At Risk</v>
      </c>
    </row>
    <row r="91" spans="1:14" x14ac:dyDescent="0.35">
      <c r="A91">
        <v>1139</v>
      </c>
      <c r="B91" s="4">
        <v>45430.375085336993</v>
      </c>
      <c r="C91" t="s">
        <v>7</v>
      </c>
      <c r="D91" t="s">
        <v>21</v>
      </c>
      <c r="E91" t="s">
        <v>25</v>
      </c>
      <c r="F91">
        <v>2825.85</v>
      </c>
      <c r="G91">
        <f t="array" ref="G91">SalesData!$I$2 - 'RFM Table'!B91</f>
        <v>706</v>
      </c>
      <c r="H91">
        <f t="array" ref="H91">COUNTIF(A:A,A91)</f>
        <v>4</v>
      </c>
      <c r="I91">
        <f t="array" ref="I91">SUMIF(A:A,A91,F:F)</f>
        <v>13576.4</v>
      </c>
      <c r="J91">
        <f t="array" ref="J91">5 - INT(5 * (RANK(G91,G:G, 1) - 1) / COUNT(G:G))</f>
        <v>1</v>
      </c>
      <c r="K91">
        <f t="array" ref="K91">INT(5 * (RANK(H91,H:H, 0) - 1) / COUNT(H:H)) + 1</f>
        <v>5</v>
      </c>
      <c r="L91">
        <f t="array" ref="L91">INT(5 * (RANK(I91,I:I, 0) - 1) / COUNT(I:I)) + 1</f>
        <v>5</v>
      </c>
      <c r="M91" t="str">
        <f t="shared" si="2"/>
        <v>155</v>
      </c>
      <c r="N91" s="6" t="str">
        <f t="shared" si="3"/>
        <v>At Risk</v>
      </c>
    </row>
    <row r="92" spans="1:14" x14ac:dyDescent="0.35">
      <c r="A92">
        <v>1327</v>
      </c>
      <c r="B92" s="4">
        <v>45430.375085336993</v>
      </c>
      <c r="C92" t="s">
        <v>15</v>
      </c>
      <c r="D92" t="s">
        <v>16</v>
      </c>
      <c r="E92" t="s">
        <v>25</v>
      </c>
      <c r="F92">
        <v>53.58</v>
      </c>
      <c r="G92">
        <f t="array" ref="G92">SalesData!$I$2 - 'RFM Table'!B92</f>
        <v>706</v>
      </c>
      <c r="H92">
        <f t="array" ref="H92">COUNTIF(A:A,A92)</f>
        <v>10</v>
      </c>
      <c r="I92">
        <f t="array" ref="I92">SUMIF(A:A,A92,F:F)</f>
        <v>34265.79</v>
      </c>
      <c r="J92">
        <f t="array" ref="J92">5 - INT(5 * (RANK(G92,G:G, 1) - 1) / COUNT(G:G))</f>
        <v>1</v>
      </c>
      <c r="K92">
        <f t="array" ref="K92">INT(5 * (RANK(H92,H:H, 0) - 1) / COUNT(H:H)) + 1</f>
        <v>2</v>
      </c>
      <c r="L92">
        <f t="array" ref="L92">INT(5 * (RANK(I92,I:I, 0) - 1) / COUNT(I:I)) + 1</f>
        <v>3</v>
      </c>
      <c r="M92" t="str">
        <f t="shared" si="2"/>
        <v>123</v>
      </c>
      <c r="N92" s="6" t="str">
        <f t="shared" si="3"/>
        <v>Can't Lose Them</v>
      </c>
    </row>
    <row r="93" spans="1:14" x14ac:dyDescent="0.35">
      <c r="A93">
        <v>1365</v>
      </c>
      <c r="B93" s="4">
        <v>45430.375085336993</v>
      </c>
      <c r="C93" t="s">
        <v>11</v>
      </c>
      <c r="D93" t="s">
        <v>18</v>
      </c>
      <c r="E93" t="s">
        <v>24</v>
      </c>
      <c r="F93">
        <v>2028.6</v>
      </c>
      <c r="G93">
        <f t="array" ref="G93">SalesData!$I$2 - 'RFM Table'!B93</f>
        <v>706</v>
      </c>
      <c r="H93">
        <f t="array" ref="H93">COUNTIF(A:A,A93)</f>
        <v>6</v>
      </c>
      <c r="I93">
        <f t="array" ref="I93">SUMIF(A:A,A93,F:F)</f>
        <v>28898.239999999998</v>
      </c>
      <c r="J93">
        <f t="array" ref="J93">5 - INT(5 * (RANK(G93,G:G, 1) - 1) / COUNT(G:G))</f>
        <v>1</v>
      </c>
      <c r="K93">
        <f t="array" ref="K93">INT(5 * (RANK(H93,H:H, 0) - 1) / COUNT(H:H)) + 1</f>
        <v>4</v>
      </c>
      <c r="L93">
        <f t="array" ref="L93">INT(5 * (RANK(I93,I:I, 0) - 1) / COUNT(I:I)) + 1</f>
        <v>4</v>
      </c>
      <c r="M93" t="str">
        <f t="shared" si="2"/>
        <v>144</v>
      </c>
      <c r="N93" s="6" t="str">
        <f t="shared" si="3"/>
        <v>At Risk</v>
      </c>
    </row>
    <row r="94" spans="1:14" x14ac:dyDescent="0.35">
      <c r="A94">
        <v>1216</v>
      </c>
      <c r="B94" s="4">
        <v>45430.375085336993</v>
      </c>
      <c r="C94" t="s">
        <v>14</v>
      </c>
      <c r="D94" t="s">
        <v>22</v>
      </c>
      <c r="E94" t="s">
        <v>24</v>
      </c>
      <c r="F94">
        <v>1127.81</v>
      </c>
      <c r="G94">
        <f t="array" ref="G94">SalesData!$I$2 - 'RFM Table'!B94</f>
        <v>706</v>
      </c>
      <c r="H94">
        <f t="array" ref="H94">COUNTIF(A:A,A94)</f>
        <v>10</v>
      </c>
      <c r="I94">
        <f t="array" ref="I94">SUMIF(A:A,A94,F:F)</f>
        <v>38608.230000000003</v>
      </c>
      <c r="J94">
        <f t="array" ref="J94">5 - INT(5 * (RANK(G94,G:G, 1) - 1) / COUNT(G:G))</f>
        <v>1</v>
      </c>
      <c r="K94">
        <f t="array" ref="K94">INT(5 * (RANK(H94,H:H, 0) - 1) / COUNT(H:H)) + 1</f>
        <v>2</v>
      </c>
      <c r="L94">
        <f t="array" ref="L94">INT(5 * (RANK(I94,I:I, 0) - 1) / COUNT(I:I)) + 1</f>
        <v>2</v>
      </c>
      <c r="M94" t="str">
        <f t="shared" si="2"/>
        <v>122</v>
      </c>
      <c r="N94" s="6" t="str">
        <f t="shared" si="3"/>
        <v>Lost</v>
      </c>
    </row>
    <row r="95" spans="1:14" x14ac:dyDescent="0.35">
      <c r="A95">
        <v>1348</v>
      </c>
      <c r="B95" s="4">
        <v>45431.375085336993</v>
      </c>
      <c r="C95" t="s">
        <v>7</v>
      </c>
      <c r="D95" t="s">
        <v>18</v>
      </c>
      <c r="E95" t="s">
        <v>23</v>
      </c>
      <c r="F95">
        <v>1634.98</v>
      </c>
      <c r="G95">
        <f t="array" ref="G95">SalesData!$I$2 - 'RFM Table'!B95</f>
        <v>705</v>
      </c>
      <c r="H95">
        <f t="array" ref="H95">COUNTIF(A:A,A95)</f>
        <v>12</v>
      </c>
      <c r="I95">
        <f t="array" ref="I95">SUMIF(A:A,A95,F:F)</f>
        <v>27185.14</v>
      </c>
      <c r="J95">
        <f t="array" ref="J95">5 - INT(5 * (RANK(G95,G:G, 1) - 1) / COUNT(G:G))</f>
        <v>1</v>
      </c>
      <c r="K95">
        <f t="array" ref="K95">INT(5 * (RANK(H95,H:H, 0) - 1) / COUNT(H:H)) + 1</f>
        <v>1</v>
      </c>
      <c r="L95">
        <f t="array" ref="L95">INT(5 * (RANK(I95,I:I, 0) - 1) / COUNT(I:I)) + 1</f>
        <v>4</v>
      </c>
      <c r="M95" t="str">
        <f t="shared" si="2"/>
        <v>114</v>
      </c>
      <c r="N95" s="6" t="str">
        <f t="shared" si="3"/>
        <v>Can't Lose Them</v>
      </c>
    </row>
    <row r="96" spans="1:14" x14ac:dyDescent="0.35">
      <c r="A96">
        <v>1102</v>
      </c>
      <c r="B96" s="4">
        <v>45431.375085336993</v>
      </c>
      <c r="C96" t="s">
        <v>6</v>
      </c>
      <c r="D96" t="s">
        <v>20</v>
      </c>
      <c r="E96" t="s">
        <v>23</v>
      </c>
      <c r="F96">
        <v>6084.42</v>
      </c>
      <c r="G96">
        <f t="array" ref="G96">SalesData!$I$2 - 'RFM Table'!B96</f>
        <v>705</v>
      </c>
      <c r="H96">
        <f t="array" ref="H96">COUNTIF(A:A,A96)</f>
        <v>7</v>
      </c>
      <c r="I96">
        <f t="array" ref="I96">SUMIF(A:A,A96,F:F)</f>
        <v>29725.939999999995</v>
      </c>
      <c r="J96">
        <f t="array" ref="J96">5 - INT(5 * (RANK(G96,G:G, 1) - 1) / COUNT(G:G))</f>
        <v>1</v>
      </c>
      <c r="K96">
        <f t="array" ref="K96">INT(5 * (RANK(H96,H:H, 0) - 1) / COUNT(H:H)) + 1</f>
        <v>4</v>
      </c>
      <c r="L96">
        <f t="array" ref="L96">INT(5 * (RANK(I96,I:I, 0) - 1) / COUNT(I:I)) + 1</f>
        <v>3</v>
      </c>
      <c r="M96" t="str">
        <f t="shared" si="2"/>
        <v>143</v>
      </c>
      <c r="N96" s="6" t="str">
        <f t="shared" si="3"/>
        <v>At Risk</v>
      </c>
    </row>
    <row r="97" spans="1:14" x14ac:dyDescent="0.35">
      <c r="A97">
        <v>1190</v>
      </c>
      <c r="B97" s="4">
        <v>45431.375085336993</v>
      </c>
      <c r="C97" t="s">
        <v>8</v>
      </c>
      <c r="D97" t="s">
        <v>22</v>
      </c>
      <c r="E97" t="s">
        <v>23</v>
      </c>
      <c r="F97">
        <v>1974.1</v>
      </c>
      <c r="G97">
        <f t="array" ref="G97">SalesData!$I$2 - 'RFM Table'!B97</f>
        <v>705</v>
      </c>
      <c r="H97">
        <f t="array" ref="H97">COUNTIF(A:A,A97)</f>
        <v>7</v>
      </c>
      <c r="I97">
        <f t="array" ref="I97">SUMIF(A:A,A97,F:F)</f>
        <v>21031.63</v>
      </c>
      <c r="J97">
        <f t="array" ref="J97">5 - INT(5 * (RANK(G97,G:G, 1) - 1) / COUNT(G:G))</f>
        <v>1</v>
      </c>
      <c r="K97">
        <f t="array" ref="K97">INT(5 * (RANK(H97,H:H, 0) - 1) / COUNT(H:H)) + 1</f>
        <v>4</v>
      </c>
      <c r="L97">
        <f t="array" ref="L97">INT(5 * (RANK(I97,I:I, 0) - 1) / COUNT(I:I)) + 1</f>
        <v>5</v>
      </c>
      <c r="M97" t="str">
        <f t="shared" si="2"/>
        <v>145</v>
      </c>
      <c r="N97" s="6" t="str">
        <f t="shared" si="3"/>
        <v>At Risk</v>
      </c>
    </row>
    <row r="98" spans="1:14" x14ac:dyDescent="0.35">
      <c r="A98">
        <v>1233</v>
      </c>
      <c r="B98" s="4">
        <v>45431.375085336993</v>
      </c>
      <c r="C98" t="s">
        <v>7</v>
      </c>
      <c r="D98" t="s">
        <v>20</v>
      </c>
      <c r="E98" t="s">
        <v>25</v>
      </c>
      <c r="F98">
        <v>9827.3700000000008</v>
      </c>
      <c r="G98">
        <f t="array" ref="G98">SalesData!$I$2 - 'RFM Table'!B98</f>
        <v>705</v>
      </c>
      <c r="H98">
        <f t="array" ref="H98">COUNTIF(A:A,A98)</f>
        <v>4</v>
      </c>
      <c r="I98">
        <f t="array" ref="I98">SUMIF(A:A,A98,F:F)</f>
        <v>25850.79</v>
      </c>
      <c r="J98">
        <f t="array" ref="J98">5 - INT(5 * (RANK(G98,G:G, 1) - 1) / COUNT(G:G))</f>
        <v>1</v>
      </c>
      <c r="K98">
        <f t="array" ref="K98">INT(5 * (RANK(H98,H:H, 0) - 1) / COUNT(H:H)) + 1</f>
        <v>5</v>
      </c>
      <c r="L98">
        <f t="array" ref="L98">INT(5 * (RANK(I98,I:I, 0) - 1) / COUNT(I:I)) + 1</f>
        <v>4</v>
      </c>
      <c r="M98" t="str">
        <f t="shared" si="2"/>
        <v>154</v>
      </c>
      <c r="N98" s="6" t="str">
        <f t="shared" si="3"/>
        <v>At Risk</v>
      </c>
    </row>
    <row r="99" spans="1:14" x14ac:dyDescent="0.35">
      <c r="A99">
        <v>1092</v>
      </c>
      <c r="B99" s="4">
        <v>45432.375085336993</v>
      </c>
      <c r="C99" t="s">
        <v>13</v>
      </c>
      <c r="D99" t="s">
        <v>21</v>
      </c>
      <c r="E99" t="s">
        <v>24</v>
      </c>
      <c r="F99">
        <v>4222.49</v>
      </c>
      <c r="G99">
        <f t="array" ref="G99">SalesData!$I$2 - 'RFM Table'!B99</f>
        <v>704</v>
      </c>
      <c r="H99">
        <f t="array" ref="H99">COUNTIF(A:A,A99)</f>
        <v>6</v>
      </c>
      <c r="I99">
        <f t="array" ref="I99">SUMIF(A:A,A99,F:F)</f>
        <v>21226.689999999995</v>
      </c>
      <c r="J99">
        <f t="array" ref="J99">5 - INT(5 * (RANK(G99,G:G, 1) - 1) / COUNT(G:G))</f>
        <v>1</v>
      </c>
      <c r="K99">
        <f t="array" ref="K99">INT(5 * (RANK(H99,H:H, 0) - 1) / COUNT(H:H)) + 1</f>
        <v>4</v>
      </c>
      <c r="L99">
        <f t="array" ref="L99">INT(5 * (RANK(I99,I:I, 0) - 1) / COUNT(I:I)) + 1</f>
        <v>5</v>
      </c>
      <c r="M99" t="str">
        <f t="shared" si="2"/>
        <v>145</v>
      </c>
      <c r="N99" s="6" t="str">
        <f t="shared" si="3"/>
        <v>At Risk</v>
      </c>
    </row>
    <row r="100" spans="1:14" x14ac:dyDescent="0.35">
      <c r="A100">
        <v>1080</v>
      </c>
      <c r="B100" s="4">
        <v>45432.375085336993</v>
      </c>
      <c r="C100" t="s">
        <v>10</v>
      </c>
      <c r="D100" t="s">
        <v>18</v>
      </c>
      <c r="E100" t="s">
        <v>25</v>
      </c>
      <c r="F100">
        <v>3141</v>
      </c>
      <c r="G100">
        <f t="array" ref="G100">SalesData!$I$2 - 'RFM Table'!B100</f>
        <v>704</v>
      </c>
      <c r="H100">
        <f t="array" ref="H100">COUNTIF(A:A,A100)</f>
        <v>7</v>
      </c>
      <c r="I100">
        <f t="array" ref="I100">SUMIF(A:A,A100,F:F)</f>
        <v>28511.58</v>
      </c>
      <c r="J100">
        <f t="array" ref="J100">5 - INT(5 * (RANK(G100,G:G, 1) - 1) / COUNT(G:G))</f>
        <v>1</v>
      </c>
      <c r="K100">
        <f t="array" ref="K100">INT(5 * (RANK(H100,H:H, 0) - 1) / COUNT(H:H)) + 1</f>
        <v>4</v>
      </c>
      <c r="L100">
        <f t="array" ref="L100">INT(5 * (RANK(I100,I:I, 0) - 1) / COUNT(I:I)) + 1</f>
        <v>4</v>
      </c>
      <c r="M100" t="str">
        <f t="shared" si="2"/>
        <v>144</v>
      </c>
      <c r="N100" s="6" t="str">
        <f t="shared" si="3"/>
        <v>At Risk</v>
      </c>
    </row>
    <row r="101" spans="1:14" x14ac:dyDescent="0.35">
      <c r="A101">
        <v>1190</v>
      </c>
      <c r="B101" s="4">
        <v>45432.375085336993</v>
      </c>
      <c r="C101" t="s">
        <v>14</v>
      </c>
      <c r="D101" t="s">
        <v>19</v>
      </c>
      <c r="E101" t="s">
        <v>23</v>
      </c>
      <c r="F101">
        <v>3665.5</v>
      </c>
      <c r="G101">
        <f t="array" ref="G101">SalesData!$I$2 - 'RFM Table'!B101</f>
        <v>704</v>
      </c>
      <c r="H101">
        <f t="array" ref="H101">COUNTIF(A:A,A101)</f>
        <v>7</v>
      </c>
      <c r="I101">
        <f t="array" ref="I101">SUMIF(A:A,A101,F:F)</f>
        <v>21031.63</v>
      </c>
      <c r="J101">
        <f t="array" ref="J101">5 - INT(5 * (RANK(G101,G:G, 1) - 1) / COUNT(G:G))</f>
        <v>1</v>
      </c>
      <c r="K101">
        <f t="array" ref="K101">INT(5 * (RANK(H101,H:H, 0) - 1) / COUNT(H:H)) + 1</f>
        <v>4</v>
      </c>
      <c r="L101">
        <f t="array" ref="L101">INT(5 * (RANK(I101,I:I, 0) - 1) / COUNT(I:I)) + 1</f>
        <v>5</v>
      </c>
      <c r="M101" t="str">
        <f t="shared" si="2"/>
        <v>145</v>
      </c>
      <c r="N101" s="6" t="str">
        <f t="shared" si="3"/>
        <v>At Risk</v>
      </c>
    </row>
    <row r="102" spans="1:14" x14ac:dyDescent="0.35">
      <c r="A102">
        <v>1351</v>
      </c>
      <c r="B102" s="4">
        <v>45433.375085336993</v>
      </c>
      <c r="C102" t="s">
        <v>12</v>
      </c>
      <c r="D102" t="s">
        <v>17</v>
      </c>
      <c r="E102" t="s">
        <v>25</v>
      </c>
      <c r="F102">
        <v>2365.39</v>
      </c>
      <c r="G102">
        <f t="array" ref="G102">SalesData!$I$2 - 'RFM Table'!B102</f>
        <v>703</v>
      </c>
      <c r="H102">
        <f t="array" ref="H102">COUNTIF(A:A,A102)</f>
        <v>7</v>
      </c>
      <c r="I102">
        <f t="array" ref="I102">SUMIF(A:A,A102,F:F)</f>
        <v>18845.82</v>
      </c>
      <c r="J102">
        <f t="array" ref="J102">5 - INT(5 * (RANK(G102,G:G, 1) - 1) / COUNT(G:G))</f>
        <v>1</v>
      </c>
      <c r="K102">
        <f t="array" ref="K102">INT(5 * (RANK(H102,H:H, 0) - 1) / COUNT(H:H)) + 1</f>
        <v>4</v>
      </c>
      <c r="L102">
        <f t="array" ref="L102">INT(5 * (RANK(I102,I:I, 0) - 1) / COUNT(I:I)) + 1</f>
        <v>5</v>
      </c>
      <c r="M102" t="str">
        <f t="shared" si="2"/>
        <v>145</v>
      </c>
      <c r="N102" s="6" t="str">
        <f t="shared" si="3"/>
        <v>At Risk</v>
      </c>
    </row>
    <row r="103" spans="1:14" x14ac:dyDescent="0.35">
      <c r="A103">
        <v>1110</v>
      </c>
      <c r="B103" s="4">
        <v>45433.375085336993</v>
      </c>
      <c r="C103" t="s">
        <v>6</v>
      </c>
      <c r="D103" t="s">
        <v>22</v>
      </c>
      <c r="E103" t="s">
        <v>25</v>
      </c>
      <c r="F103">
        <v>1214.3499999999999</v>
      </c>
      <c r="G103">
        <f t="array" ref="G103">SalesData!$I$2 - 'RFM Table'!B103</f>
        <v>703</v>
      </c>
      <c r="H103">
        <f t="array" ref="H103">COUNTIF(A:A,A103)</f>
        <v>13</v>
      </c>
      <c r="I103">
        <f t="array" ref="I103">SUMIF(A:A,A103,F:F)</f>
        <v>72511.88</v>
      </c>
      <c r="J103">
        <f t="array" ref="J103">5 - INT(5 * (RANK(G103,G:G, 1) - 1) / COUNT(G:G))</f>
        <v>1</v>
      </c>
      <c r="K103">
        <f t="array" ref="K103">INT(5 * (RANK(H103,H:H, 0) - 1) / COUNT(H:H)) + 1</f>
        <v>1</v>
      </c>
      <c r="L103">
        <f t="array" ref="L103">INT(5 * (RANK(I103,I:I, 0) - 1) / COUNT(I:I)) + 1</f>
        <v>1</v>
      </c>
      <c r="M103" t="str">
        <f t="shared" si="2"/>
        <v>111</v>
      </c>
      <c r="N103" s="6" t="str">
        <f t="shared" si="3"/>
        <v>Lost</v>
      </c>
    </row>
    <row r="104" spans="1:14" x14ac:dyDescent="0.35">
      <c r="A104">
        <v>1159</v>
      </c>
      <c r="B104" s="4">
        <v>45433.375085336993</v>
      </c>
      <c r="C104" t="s">
        <v>10</v>
      </c>
      <c r="D104" t="s">
        <v>22</v>
      </c>
      <c r="E104" t="s">
        <v>24</v>
      </c>
      <c r="F104">
        <v>6303.45</v>
      </c>
      <c r="G104">
        <f t="array" ref="G104">SalesData!$I$2 - 'RFM Table'!B104</f>
        <v>703</v>
      </c>
      <c r="H104">
        <f t="array" ref="H104">COUNTIF(A:A,A104)</f>
        <v>15</v>
      </c>
      <c r="I104">
        <f t="array" ref="I104">SUMIF(A:A,A104,F:F)</f>
        <v>57217.139999999992</v>
      </c>
      <c r="J104">
        <f t="array" ref="J104">5 - INT(5 * (RANK(G104,G:G, 1) - 1) / COUNT(G:G))</f>
        <v>1</v>
      </c>
      <c r="K104">
        <f t="array" ref="K104">INT(5 * (RANK(H104,H:H, 0) - 1) / COUNT(H:H)) + 1</f>
        <v>1</v>
      </c>
      <c r="L104">
        <f t="array" ref="L104">INT(5 * (RANK(I104,I:I, 0) - 1) / COUNT(I:I)) + 1</f>
        <v>1</v>
      </c>
      <c r="M104" t="str">
        <f t="shared" si="2"/>
        <v>111</v>
      </c>
      <c r="N104" s="6" t="str">
        <f t="shared" si="3"/>
        <v>Lost</v>
      </c>
    </row>
    <row r="105" spans="1:14" x14ac:dyDescent="0.35">
      <c r="A105">
        <v>1000</v>
      </c>
      <c r="B105" s="4">
        <v>45434.375085336993</v>
      </c>
      <c r="C105" t="s">
        <v>10</v>
      </c>
      <c r="D105" t="s">
        <v>18</v>
      </c>
      <c r="E105" t="s">
        <v>23</v>
      </c>
      <c r="F105">
        <v>15024.97</v>
      </c>
      <c r="G105">
        <f t="array" ref="G105">SalesData!$I$2 - 'RFM Table'!B105</f>
        <v>702</v>
      </c>
      <c r="H105">
        <f t="array" ref="H105">COUNTIF(A:A,A105)</f>
        <v>11</v>
      </c>
      <c r="I105">
        <f t="array" ref="I105">SUMIF(A:A,A105,F:F)</f>
        <v>62566.770000000004</v>
      </c>
      <c r="J105">
        <f t="array" ref="J105">5 - INT(5 * (RANK(G105,G:G, 1) - 1) / COUNT(G:G))</f>
        <v>1</v>
      </c>
      <c r="K105">
        <f t="array" ref="K105">INT(5 * (RANK(H105,H:H, 0) - 1) / COUNT(H:H)) + 1</f>
        <v>1</v>
      </c>
      <c r="L105">
        <f t="array" ref="L105">INT(5 * (RANK(I105,I:I, 0) - 1) / COUNT(I:I)) + 1</f>
        <v>1</v>
      </c>
      <c r="M105" t="str">
        <f t="shared" si="2"/>
        <v>111</v>
      </c>
      <c r="N105" s="6" t="str">
        <f t="shared" si="3"/>
        <v>Lost</v>
      </c>
    </row>
    <row r="106" spans="1:14" x14ac:dyDescent="0.35">
      <c r="A106">
        <v>1100</v>
      </c>
      <c r="B106" s="4">
        <v>45434.375085336993</v>
      </c>
      <c r="C106" t="s">
        <v>8</v>
      </c>
      <c r="D106" t="s">
        <v>19</v>
      </c>
      <c r="E106" t="s">
        <v>23</v>
      </c>
      <c r="F106">
        <v>10524.71</v>
      </c>
      <c r="G106">
        <f t="array" ref="G106">SalesData!$I$2 - 'RFM Table'!B106</f>
        <v>702</v>
      </c>
      <c r="H106">
        <f t="array" ref="H106">COUNTIF(A:A,A106)</f>
        <v>12</v>
      </c>
      <c r="I106">
        <f t="array" ref="I106">SUMIF(A:A,A106,F:F)</f>
        <v>54905.279999999992</v>
      </c>
      <c r="J106">
        <f t="array" ref="J106">5 - INT(5 * (RANK(G106,G:G, 1) - 1) / COUNT(G:G))</f>
        <v>1</v>
      </c>
      <c r="K106">
        <f t="array" ref="K106">INT(5 * (RANK(H106,H:H, 0) - 1) / COUNT(H:H)) + 1</f>
        <v>1</v>
      </c>
      <c r="L106">
        <f t="array" ref="L106">INT(5 * (RANK(I106,I:I, 0) - 1) / COUNT(I:I)) + 1</f>
        <v>1</v>
      </c>
      <c r="M106" t="str">
        <f t="shared" si="2"/>
        <v>111</v>
      </c>
      <c r="N106" s="6" t="str">
        <f t="shared" si="3"/>
        <v>Lost</v>
      </c>
    </row>
    <row r="107" spans="1:14" x14ac:dyDescent="0.35">
      <c r="A107">
        <v>1061</v>
      </c>
      <c r="B107" s="4">
        <v>45435.375085336993</v>
      </c>
      <c r="C107" t="s">
        <v>11</v>
      </c>
      <c r="D107" t="s">
        <v>18</v>
      </c>
      <c r="E107" t="s">
        <v>24</v>
      </c>
      <c r="F107">
        <v>486.74</v>
      </c>
      <c r="G107">
        <f t="array" ref="G107">SalesData!$I$2 - 'RFM Table'!B107</f>
        <v>701</v>
      </c>
      <c r="H107">
        <f t="array" ref="H107">COUNTIF(A:A,A107)</f>
        <v>9</v>
      </c>
      <c r="I107">
        <f t="array" ref="I107">SUMIF(A:A,A107,F:F)</f>
        <v>24509.48</v>
      </c>
      <c r="J107">
        <f t="array" ref="J107">5 - INT(5 * (RANK(G107,G:G, 1) - 1) / COUNT(G:G))</f>
        <v>1</v>
      </c>
      <c r="K107">
        <f t="array" ref="K107">INT(5 * (RANK(H107,H:H, 0) - 1) / COUNT(H:H)) + 1</f>
        <v>2</v>
      </c>
      <c r="L107">
        <f t="array" ref="L107">INT(5 * (RANK(I107,I:I, 0) - 1) / COUNT(I:I)) + 1</f>
        <v>4</v>
      </c>
      <c r="M107" t="str">
        <f t="shared" si="2"/>
        <v>124</v>
      </c>
      <c r="N107" s="6" t="str">
        <f t="shared" si="3"/>
        <v>Can't Lose Them</v>
      </c>
    </row>
    <row r="108" spans="1:14" x14ac:dyDescent="0.35">
      <c r="A108">
        <v>1280</v>
      </c>
      <c r="B108" s="4">
        <v>45435.375085336993</v>
      </c>
      <c r="C108" t="s">
        <v>7</v>
      </c>
      <c r="D108" t="s">
        <v>20</v>
      </c>
      <c r="E108" t="s">
        <v>23</v>
      </c>
      <c r="F108">
        <v>6320.2</v>
      </c>
      <c r="G108">
        <f t="array" ref="G108">SalesData!$I$2 - 'RFM Table'!B108</f>
        <v>701</v>
      </c>
      <c r="H108">
        <f t="array" ref="H108">COUNTIF(A:A,A108)</f>
        <v>7</v>
      </c>
      <c r="I108">
        <f t="array" ref="I108">SUMIF(A:A,A108,F:F)</f>
        <v>34546.720000000001</v>
      </c>
      <c r="J108">
        <f t="array" ref="J108">5 - INT(5 * (RANK(G108,G:G, 1) - 1) / COUNT(G:G))</f>
        <v>1</v>
      </c>
      <c r="K108">
        <f t="array" ref="K108">INT(5 * (RANK(H108,H:H, 0) - 1) / COUNT(H:H)) + 1</f>
        <v>4</v>
      </c>
      <c r="L108">
        <f t="array" ref="L108">INT(5 * (RANK(I108,I:I, 0) - 1) / COUNT(I:I)) + 1</f>
        <v>3</v>
      </c>
      <c r="M108" t="str">
        <f t="shared" si="2"/>
        <v>143</v>
      </c>
      <c r="N108" s="6" t="str">
        <f t="shared" si="3"/>
        <v>At Risk</v>
      </c>
    </row>
    <row r="109" spans="1:14" x14ac:dyDescent="0.35">
      <c r="A109">
        <v>1391</v>
      </c>
      <c r="B109" s="4">
        <v>45435.375085336993</v>
      </c>
      <c r="C109" t="s">
        <v>15</v>
      </c>
      <c r="D109" t="s">
        <v>20</v>
      </c>
      <c r="E109" t="s">
        <v>23</v>
      </c>
      <c r="F109">
        <v>392.84</v>
      </c>
      <c r="G109">
        <f t="array" ref="G109">SalesData!$I$2 - 'RFM Table'!B109</f>
        <v>701</v>
      </c>
      <c r="H109">
        <f t="array" ref="H109">COUNTIF(A:A,A109)</f>
        <v>7</v>
      </c>
      <c r="I109">
        <f t="array" ref="I109">SUMIF(A:A,A109,F:F)</f>
        <v>21209.440000000002</v>
      </c>
      <c r="J109">
        <f t="array" ref="J109">5 - INT(5 * (RANK(G109,G:G, 1) - 1) / COUNT(G:G))</f>
        <v>1</v>
      </c>
      <c r="K109">
        <f t="array" ref="K109">INT(5 * (RANK(H109,H:H, 0) - 1) / COUNT(H:H)) + 1</f>
        <v>4</v>
      </c>
      <c r="L109">
        <f t="array" ref="L109">INT(5 * (RANK(I109,I:I, 0) - 1) / COUNT(I:I)) + 1</f>
        <v>5</v>
      </c>
      <c r="M109" t="str">
        <f t="shared" si="2"/>
        <v>145</v>
      </c>
      <c r="N109" s="6" t="str">
        <f t="shared" si="3"/>
        <v>At Risk</v>
      </c>
    </row>
    <row r="110" spans="1:14" x14ac:dyDescent="0.35">
      <c r="A110">
        <v>1291</v>
      </c>
      <c r="B110" s="4">
        <v>45435.375085336993</v>
      </c>
      <c r="C110" t="s">
        <v>12</v>
      </c>
      <c r="D110" t="s">
        <v>18</v>
      </c>
      <c r="E110" t="s">
        <v>24</v>
      </c>
      <c r="F110">
        <v>6867.61</v>
      </c>
      <c r="G110">
        <f t="array" ref="G110">SalesData!$I$2 - 'RFM Table'!B110</f>
        <v>701</v>
      </c>
      <c r="H110">
        <f t="array" ref="H110">COUNTIF(A:A,A110)</f>
        <v>7</v>
      </c>
      <c r="I110">
        <f t="array" ref="I110">SUMIF(A:A,A110,F:F)</f>
        <v>33778.21</v>
      </c>
      <c r="J110">
        <f t="array" ref="J110">5 - INT(5 * (RANK(G110,G:G, 1) - 1) / COUNT(G:G))</f>
        <v>1</v>
      </c>
      <c r="K110">
        <f t="array" ref="K110">INT(5 * (RANK(H110,H:H, 0) - 1) / COUNT(H:H)) + 1</f>
        <v>4</v>
      </c>
      <c r="L110">
        <f t="array" ref="L110">INT(5 * (RANK(I110,I:I, 0) - 1) / COUNT(I:I)) + 1</f>
        <v>3</v>
      </c>
      <c r="M110" t="str">
        <f t="shared" si="2"/>
        <v>143</v>
      </c>
      <c r="N110" s="6" t="str">
        <f t="shared" si="3"/>
        <v>At Risk</v>
      </c>
    </row>
    <row r="111" spans="1:14" x14ac:dyDescent="0.35">
      <c r="A111">
        <v>1351</v>
      </c>
      <c r="B111" s="4">
        <v>45435.375085336993</v>
      </c>
      <c r="C111" t="s">
        <v>9</v>
      </c>
      <c r="D111" t="s">
        <v>16</v>
      </c>
      <c r="E111" t="s">
        <v>23</v>
      </c>
      <c r="F111">
        <v>1129.3599999999999</v>
      </c>
      <c r="G111">
        <f t="array" ref="G111">SalesData!$I$2 - 'RFM Table'!B111</f>
        <v>701</v>
      </c>
      <c r="H111">
        <f t="array" ref="H111">COUNTIF(A:A,A111)</f>
        <v>7</v>
      </c>
      <c r="I111">
        <f t="array" ref="I111">SUMIF(A:A,A111,F:F)</f>
        <v>18845.82</v>
      </c>
      <c r="J111">
        <f t="array" ref="J111">5 - INT(5 * (RANK(G111,G:G, 1) - 1) / COUNT(G:G))</f>
        <v>1</v>
      </c>
      <c r="K111">
        <f t="array" ref="K111">INT(5 * (RANK(H111,H:H, 0) - 1) / COUNT(H:H)) + 1</f>
        <v>4</v>
      </c>
      <c r="L111">
        <f t="array" ref="L111">INT(5 * (RANK(I111,I:I, 0) - 1) / COUNT(I:I)) + 1</f>
        <v>5</v>
      </c>
      <c r="M111" t="str">
        <f t="shared" si="2"/>
        <v>145</v>
      </c>
      <c r="N111" s="6" t="str">
        <f t="shared" si="3"/>
        <v>At Risk</v>
      </c>
    </row>
    <row r="112" spans="1:14" x14ac:dyDescent="0.35">
      <c r="A112">
        <v>1125</v>
      </c>
      <c r="B112" s="4">
        <v>45436.375085336993</v>
      </c>
      <c r="C112" t="s">
        <v>14</v>
      </c>
      <c r="D112" t="s">
        <v>21</v>
      </c>
      <c r="E112" t="s">
        <v>23</v>
      </c>
      <c r="F112">
        <v>3832.89</v>
      </c>
      <c r="G112">
        <f t="array" ref="G112">SalesData!$I$2 - 'RFM Table'!B112</f>
        <v>700</v>
      </c>
      <c r="H112">
        <f t="array" ref="H112">COUNTIF(A:A,A112)</f>
        <v>9</v>
      </c>
      <c r="I112">
        <f t="array" ref="I112">SUMIF(A:A,A112,F:F)</f>
        <v>32520.350000000002</v>
      </c>
      <c r="J112">
        <f t="array" ref="J112">5 - INT(5 * (RANK(G112,G:G, 1) - 1) / COUNT(G:G))</f>
        <v>1</v>
      </c>
      <c r="K112">
        <f t="array" ref="K112">INT(5 * (RANK(H112,H:H, 0) - 1) / COUNT(H:H)) + 1</f>
        <v>2</v>
      </c>
      <c r="L112">
        <f t="array" ref="L112">INT(5 * (RANK(I112,I:I, 0) - 1) / COUNT(I:I)) + 1</f>
        <v>3</v>
      </c>
      <c r="M112" t="str">
        <f t="shared" si="2"/>
        <v>123</v>
      </c>
      <c r="N112" s="6" t="str">
        <f t="shared" si="3"/>
        <v>Can't Lose Them</v>
      </c>
    </row>
    <row r="113" spans="1:14" x14ac:dyDescent="0.35">
      <c r="A113">
        <v>1160</v>
      </c>
      <c r="B113" s="4">
        <v>45436.375085336993</v>
      </c>
      <c r="C113" t="s">
        <v>9</v>
      </c>
      <c r="D113" t="s">
        <v>20</v>
      </c>
      <c r="E113" t="s">
        <v>23</v>
      </c>
      <c r="F113">
        <v>4273.7</v>
      </c>
      <c r="G113">
        <f t="array" ref="G113">SalesData!$I$2 - 'RFM Table'!B113</f>
        <v>700</v>
      </c>
      <c r="H113">
        <f t="array" ref="H113">COUNTIF(A:A,A113)</f>
        <v>13</v>
      </c>
      <c r="I113">
        <f t="array" ref="I113">SUMIF(A:A,A113,F:F)</f>
        <v>56128.799999999996</v>
      </c>
      <c r="J113">
        <f t="array" ref="J113">5 - INT(5 * (RANK(G113,G:G, 1) - 1) / COUNT(G:G))</f>
        <v>1</v>
      </c>
      <c r="K113">
        <f t="array" ref="K113">INT(5 * (RANK(H113,H:H, 0) - 1) / COUNT(H:H)) + 1</f>
        <v>1</v>
      </c>
      <c r="L113">
        <f t="array" ref="L113">INT(5 * (RANK(I113,I:I, 0) - 1) / COUNT(I:I)) + 1</f>
        <v>1</v>
      </c>
      <c r="M113" t="str">
        <f t="shared" si="2"/>
        <v>111</v>
      </c>
      <c r="N113" s="6" t="str">
        <f t="shared" si="3"/>
        <v>Lost</v>
      </c>
    </row>
    <row r="114" spans="1:14" x14ac:dyDescent="0.35">
      <c r="A114">
        <v>1330</v>
      </c>
      <c r="B114" s="4">
        <v>45436.375085336993</v>
      </c>
      <c r="C114" t="s">
        <v>6</v>
      </c>
      <c r="D114" t="s">
        <v>17</v>
      </c>
      <c r="E114" t="s">
        <v>24</v>
      </c>
      <c r="F114">
        <v>5559.11</v>
      </c>
      <c r="G114">
        <f t="array" ref="G114">SalesData!$I$2 - 'RFM Table'!B114</f>
        <v>700</v>
      </c>
      <c r="H114">
        <f t="array" ref="H114">COUNTIF(A:A,A114)</f>
        <v>6</v>
      </c>
      <c r="I114">
        <f t="array" ref="I114">SUMIF(A:A,A114,F:F)</f>
        <v>16595.620000000003</v>
      </c>
      <c r="J114">
        <f t="array" ref="J114">5 - INT(5 * (RANK(G114,G:G, 1) - 1) / COUNT(G:G))</f>
        <v>1</v>
      </c>
      <c r="K114">
        <f t="array" ref="K114">INT(5 * (RANK(H114,H:H, 0) - 1) / COUNT(H:H)) + 1</f>
        <v>4</v>
      </c>
      <c r="L114">
        <f t="array" ref="L114">INT(5 * (RANK(I114,I:I, 0) - 1) / COUNT(I:I)) + 1</f>
        <v>5</v>
      </c>
      <c r="M114" t="str">
        <f t="shared" si="2"/>
        <v>145</v>
      </c>
      <c r="N114" s="6" t="str">
        <f t="shared" si="3"/>
        <v>At Risk</v>
      </c>
    </row>
    <row r="115" spans="1:14" x14ac:dyDescent="0.35">
      <c r="A115">
        <v>1144</v>
      </c>
      <c r="B115" s="4">
        <v>45436.375085336993</v>
      </c>
      <c r="C115" t="s">
        <v>10</v>
      </c>
      <c r="D115" t="s">
        <v>18</v>
      </c>
      <c r="E115" t="s">
        <v>23</v>
      </c>
      <c r="F115">
        <v>2814.91</v>
      </c>
      <c r="G115">
        <f t="array" ref="G115">SalesData!$I$2 - 'RFM Table'!B115</f>
        <v>700</v>
      </c>
      <c r="H115">
        <f t="array" ref="H115">COUNTIF(A:A,A115)</f>
        <v>11</v>
      </c>
      <c r="I115">
        <f t="array" ref="I115">SUMIF(A:A,A115,F:F)</f>
        <v>62038.55</v>
      </c>
      <c r="J115">
        <f t="array" ref="J115">5 - INT(5 * (RANK(G115,G:G, 1) - 1) / COUNT(G:G))</f>
        <v>1</v>
      </c>
      <c r="K115">
        <f t="array" ref="K115">INT(5 * (RANK(H115,H:H, 0) - 1) / COUNT(H:H)) + 1</f>
        <v>1</v>
      </c>
      <c r="L115">
        <f t="array" ref="L115">INT(5 * (RANK(I115,I:I, 0) - 1) / COUNT(I:I)) + 1</f>
        <v>1</v>
      </c>
      <c r="M115" t="str">
        <f t="shared" si="2"/>
        <v>111</v>
      </c>
      <c r="N115" s="6" t="str">
        <f t="shared" si="3"/>
        <v>Lost</v>
      </c>
    </row>
    <row r="116" spans="1:14" x14ac:dyDescent="0.35">
      <c r="A116">
        <v>1290</v>
      </c>
      <c r="B116" s="4">
        <v>45437.375085336993</v>
      </c>
      <c r="C116" t="s">
        <v>13</v>
      </c>
      <c r="D116" t="s">
        <v>17</v>
      </c>
      <c r="E116" t="s">
        <v>25</v>
      </c>
      <c r="F116">
        <v>1138</v>
      </c>
      <c r="G116">
        <f t="array" ref="G116">SalesData!$I$2 - 'RFM Table'!B116</f>
        <v>699</v>
      </c>
      <c r="H116">
        <f t="array" ref="H116">COUNTIF(A:A,A116)</f>
        <v>9</v>
      </c>
      <c r="I116">
        <f t="array" ref="I116">SUMIF(A:A,A116,F:F)</f>
        <v>37864.199999999997</v>
      </c>
      <c r="J116">
        <f t="array" ref="J116">5 - INT(5 * (RANK(G116,G:G, 1) - 1) / COUNT(G:G))</f>
        <v>1</v>
      </c>
      <c r="K116">
        <f t="array" ref="K116">INT(5 * (RANK(H116,H:H, 0) - 1) / COUNT(H:H)) + 1</f>
        <v>2</v>
      </c>
      <c r="L116">
        <f t="array" ref="L116">INT(5 * (RANK(I116,I:I, 0) - 1) / COUNT(I:I)) + 1</f>
        <v>2</v>
      </c>
      <c r="M116" t="str">
        <f t="shared" si="2"/>
        <v>122</v>
      </c>
      <c r="N116" s="6" t="str">
        <f t="shared" si="3"/>
        <v>Lost</v>
      </c>
    </row>
    <row r="117" spans="1:14" x14ac:dyDescent="0.35">
      <c r="A117">
        <v>1347</v>
      </c>
      <c r="B117" s="4">
        <v>45437.375085336993</v>
      </c>
      <c r="C117" t="s">
        <v>14</v>
      </c>
      <c r="D117" t="s">
        <v>19</v>
      </c>
      <c r="E117" t="s">
        <v>25</v>
      </c>
      <c r="F117">
        <v>3435.46</v>
      </c>
      <c r="G117">
        <f t="array" ref="G117">SalesData!$I$2 - 'RFM Table'!B117</f>
        <v>699</v>
      </c>
      <c r="H117">
        <f t="array" ref="H117">COUNTIF(A:A,A117)</f>
        <v>7</v>
      </c>
      <c r="I117">
        <f t="array" ref="I117">SUMIF(A:A,A117,F:F)</f>
        <v>20951.28</v>
      </c>
      <c r="J117">
        <f t="array" ref="J117">5 - INT(5 * (RANK(G117,G:G, 1) - 1) / COUNT(G:G))</f>
        <v>1</v>
      </c>
      <c r="K117">
        <f t="array" ref="K117">INT(5 * (RANK(H117,H:H, 0) - 1) / COUNT(H:H)) + 1</f>
        <v>4</v>
      </c>
      <c r="L117">
        <f t="array" ref="L117">INT(5 * (RANK(I117,I:I, 0) - 1) / COUNT(I:I)) + 1</f>
        <v>5</v>
      </c>
      <c r="M117" t="str">
        <f t="shared" si="2"/>
        <v>145</v>
      </c>
      <c r="N117" s="6" t="str">
        <f t="shared" si="3"/>
        <v>At Risk</v>
      </c>
    </row>
    <row r="118" spans="1:14" x14ac:dyDescent="0.35">
      <c r="A118">
        <v>1001</v>
      </c>
      <c r="B118" s="4">
        <v>45437.375085336993</v>
      </c>
      <c r="C118" t="s">
        <v>14</v>
      </c>
      <c r="D118" t="s">
        <v>22</v>
      </c>
      <c r="E118" t="s">
        <v>24</v>
      </c>
      <c r="F118">
        <v>7241.84</v>
      </c>
      <c r="G118">
        <f t="array" ref="G118">SalesData!$I$2 - 'RFM Table'!B118</f>
        <v>699</v>
      </c>
      <c r="H118">
        <f t="array" ref="H118">COUNTIF(A:A,A118)</f>
        <v>7</v>
      </c>
      <c r="I118">
        <f t="array" ref="I118">SUMIF(A:A,A118,F:F)</f>
        <v>33081.189999999995</v>
      </c>
      <c r="J118">
        <f t="array" ref="J118">5 - INT(5 * (RANK(G118,G:G, 1) - 1) / COUNT(G:G))</f>
        <v>1</v>
      </c>
      <c r="K118">
        <f t="array" ref="K118">INT(5 * (RANK(H118,H:H, 0) - 1) / COUNT(H:H)) + 1</f>
        <v>4</v>
      </c>
      <c r="L118">
        <f t="array" ref="L118">INT(5 * (RANK(I118,I:I, 0) - 1) / COUNT(I:I)) + 1</f>
        <v>3</v>
      </c>
      <c r="M118" t="str">
        <f t="shared" si="2"/>
        <v>143</v>
      </c>
      <c r="N118" s="6" t="str">
        <f t="shared" si="3"/>
        <v>At Risk</v>
      </c>
    </row>
    <row r="119" spans="1:14" x14ac:dyDescent="0.35">
      <c r="A119">
        <v>1117</v>
      </c>
      <c r="B119" s="4">
        <v>45438.375085336993</v>
      </c>
      <c r="C119" t="s">
        <v>10</v>
      </c>
      <c r="D119" t="s">
        <v>22</v>
      </c>
      <c r="E119" t="s">
        <v>25</v>
      </c>
      <c r="F119">
        <v>4032.32</v>
      </c>
      <c r="G119">
        <f t="array" ref="G119">SalesData!$I$2 - 'RFM Table'!B119</f>
        <v>698</v>
      </c>
      <c r="H119">
        <f t="array" ref="H119">COUNTIF(A:A,A119)</f>
        <v>10</v>
      </c>
      <c r="I119">
        <f t="array" ref="I119">SUMIF(A:A,A119,F:F)</f>
        <v>47973.33</v>
      </c>
      <c r="J119">
        <f t="array" ref="J119">5 - INT(5 * (RANK(G119,G:G, 1) - 1) / COUNT(G:G))</f>
        <v>1</v>
      </c>
      <c r="K119">
        <f t="array" ref="K119">INT(5 * (RANK(H119,H:H, 0) - 1) / COUNT(H:H)) + 1</f>
        <v>2</v>
      </c>
      <c r="L119">
        <f t="array" ref="L119">INT(5 * (RANK(I119,I:I, 0) - 1) / COUNT(I:I)) + 1</f>
        <v>1</v>
      </c>
      <c r="M119" t="str">
        <f t="shared" si="2"/>
        <v>121</v>
      </c>
      <c r="N119" s="6" t="str">
        <f t="shared" si="3"/>
        <v>Lost</v>
      </c>
    </row>
    <row r="120" spans="1:14" x14ac:dyDescent="0.35">
      <c r="A120">
        <v>1336</v>
      </c>
      <c r="B120" s="4">
        <v>45438.375085336993</v>
      </c>
      <c r="C120" t="s">
        <v>13</v>
      </c>
      <c r="D120" t="s">
        <v>16</v>
      </c>
      <c r="E120" t="s">
        <v>24</v>
      </c>
      <c r="F120">
        <v>7972.8</v>
      </c>
      <c r="G120">
        <f t="array" ref="G120">SalesData!$I$2 - 'RFM Table'!B120</f>
        <v>698</v>
      </c>
      <c r="H120">
        <f t="array" ref="H120">COUNTIF(A:A,A120)</f>
        <v>6</v>
      </c>
      <c r="I120">
        <f t="array" ref="I120">SUMIF(A:A,A120,F:F)</f>
        <v>27182.68</v>
      </c>
      <c r="J120">
        <f t="array" ref="J120">5 - INT(5 * (RANK(G120,G:G, 1) - 1) / COUNT(G:G))</f>
        <v>1</v>
      </c>
      <c r="K120">
        <f t="array" ref="K120">INT(5 * (RANK(H120,H:H, 0) - 1) / COUNT(H:H)) + 1</f>
        <v>4</v>
      </c>
      <c r="L120">
        <f t="array" ref="L120">INT(5 * (RANK(I120,I:I, 0) - 1) / COUNT(I:I)) + 1</f>
        <v>4</v>
      </c>
      <c r="M120" t="str">
        <f t="shared" si="2"/>
        <v>144</v>
      </c>
      <c r="N120" s="6" t="str">
        <f t="shared" si="3"/>
        <v>At Risk</v>
      </c>
    </row>
    <row r="121" spans="1:14" x14ac:dyDescent="0.35">
      <c r="A121">
        <v>1110</v>
      </c>
      <c r="B121" s="4">
        <v>45439.375085336993</v>
      </c>
      <c r="C121" t="s">
        <v>8</v>
      </c>
      <c r="D121" t="s">
        <v>16</v>
      </c>
      <c r="E121" t="s">
        <v>24</v>
      </c>
      <c r="F121">
        <v>12599.54</v>
      </c>
      <c r="G121">
        <f t="array" ref="G121">SalesData!$I$2 - 'RFM Table'!B121</f>
        <v>697</v>
      </c>
      <c r="H121">
        <f t="array" ref="H121">COUNTIF(A:A,A121)</f>
        <v>13</v>
      </c>
      <c r="I121">
        <f t="array" ref="I121">SUMIF(A:A,A121,F:F)</f>
        <v>72511.88</v>
      </c>
      <c r="J121">
        <f t="array" ref="J121">5 - INT(5 * (RANK(G121,G:G, 1) - 1) / COUNT(G:G))</f>
        <v>1</v>
      </c>
      <c r="K121">
        <f t="array" ref="K121">INT(5 * (RANK(H121,H:H, 0) - 1) / COUNT(H:H)) + 1</f>
        <v>1</v>
      </c>
      <c r="L121">
        <f t="array" ref="L121">INT(5 * (RANK(I121,I:I, 0) - 1) / COUNT(I:I)) + 1</f>
        <v>1</v>
      </c>
      <c r="M121" t="str">
        <f t="shared" si="2"/>
        <v>111</v>
      </c>
      <c r="N121" s="6" t="str">
        <f t="shared" si="3"/>
        <v>Lost</v>
      </c>
    </row>
    <row r="122" spans="1:14" x14ac:dyDescent="0.35">
      <c r="A122">
        <v>1216</v>
      </c>
      <c r="B122" s="4">
        <v>45440.375085336993</v>
      </c>
      <c r="C122" t="s">
        <v>8</v>
      </c>
      <c r="D122" t="s">
        <v>16</v>
      </c>
      <c r="E122" t="s">
        <v>24</v>
      </c>
      <c r="F122">
        <v>2206.52</v>
      </c>
      <c r="G122">
        <f t="array" ref="G122">SalesData!$I$2 - 'RFM Table'!B122</f>
        <v>696</v>
      </c>
      <c r="H122">
        <f t="array" ref="H122">COUNTIF(A:A,A122)</f>
        <v>10</v>
      </c>
      <c r="I122">
        <f t="array" ref="I122">SUMIF(A:A,A122,F:F)</f>
        <v>38608.230000000003</v>
      </c>
      <c r="J122">
        <f t="array" ref="J122">5 - INT(5 * (RANK(G122,G:G, 1) - 1) / COUNT(G:G))</f>
        <v>1</v>
      </c>
      <c r="K122">
        <f t="array" ref="K122">INT(5 * (RANK(H122,H:H, 0) - 1) / COUNT(H:H)) + 1</f>
        <v>2</v>
      </c>
      <c r="L122">
        <f t="array" ref="L122">INT(5 * (RANK(I122,I:I, 0) - 1) / COUNT(I:I)) + 1</f>
        <v>2</v>
      </c>
      <c r="M122" t="str">
        <f t="shared" si="2"/>
        <v>122</v>
      </c>
      <c r="N122" s="6" t="str">
        <f t="shared" si="3"/>
        <v>Lost</v>
      </c>
    </row>
    <row r="123" spans="1:14" x14ac:dyDescent="0.35">
      <c r="A123">
        <v>1370</v>
      </c>
      <c r="B123" s="4">
        <v>45440.375085336993</v>
      </c>
      <c r="C123" t="s">
        <v>15</v>
      </c>
      <c r="D123" t="s">
        <v>18</v>
      </c>
      <c r="E123" t="s">
        <v>23</v>
      </c>
      <c r="F123">
        <v>1897.84</v>
      </c>
      <c r="G123">
        <f t="array" ref="G123">SalesData!$I$2 - 'RFM Table'!B123</f>
        <v>696</v>
      </c>
      <c r="H123">
        <f t="array" ref="H123">COUNTIF(A:A,A123)</f>
        <v>12</v>
      </c>
      <c r="I123">
        <f t="array" ref="I123">SUMIF(A:A,A123,F:F)</f>
        <v>46195.360000000001</v>
      </c>
      <c r="J123">
        <f t="array" ref="J123">5 - INT(5 * (RANK(G123,G:G, 1) - 1) / COUNT(G:G))</f>
        <v>1</v>
      </c>
      <c r="K123">
        <f t="array" ref="K123">INT(5 * (RANK(H123,H:H, 0) - 1) / COUNT(H:H)) + 1</f>
        <v>1</v>
      </c>
      <c r="L123">
        <f t="array" ref="L123">INT(5 * (RANK(I123,I:I, 0) - 1) / COUNT(I:I)) + 1</f>
        <v>1</v>
      </c>
      <c r="M123" t="str">
        <f t="shared" si="2"/>
        <v>111</v>
      </c>
      <c r="N123" s="6" t="str">
        <f t="shared" si="3"/>
        <v>Lost</v>
      </c>
    </row>
    <row r="124" spans="1:14" x14ac:dyDescent="0.35">
      <c r="A124">
        <v>1124</v>
      </c>
      <c r="B124" s="4">
        <v>45440.375085336993</v>
      </c>
      <c r="C124" t="s">
        <v>12</v>
      </c>
      <c r="D124" t="s">
        <v>17</v>
      </c>
      <c r="E124" t="s">
        <v>23</v>
      </c>
      <c r="F124">
        <v>8891</v>
      </c>
      <c r="G124">
        <f t="array" ref="G124">SalesData!$I$2 - 'RFM Table'!B124</f>
        <v>696</v>
      </c>
      <c r="H124">
        <f t="array" ref="H124">COUNTIF(A:A,A124)</f>
        <v>5</v>
      </c>
      <c r="I124">
        <f t="array" ref="I124">SUMIF(A:A,A124,F:F)</f>
        <v>29381.64</v>
      </c>
      <c r="J124">
        <f t="array" ref="J124">5 - INT(5 * (RANK(G124,G:G, 1) - 1) / COUNT(G:G))</f>
        <v>1</v>
      </c>
      <c r="K124">
        <f t="array" ref="K124">INT(5 * (RANK(H124,H:H, 0) - 1) / COUNT(H:H)) + 1</f>
        <v>5</v>
      </c>
      <c r="L124">
        <f t="array" ref="L124">INT(5 * (RANK(I124,I:I, 0) - 1) / COUNT(I:I)) + 1</f>
        <v>4</v>
      </c>
      <c r="M124" t="str">
        <f t="shared" si="2"/>
        <v>154</v>
      </c>
      <c r="N124" s="6" t="str">
        <f t="shared" si="3"/>
        <v>At Risk</v>
      </c>
    </row>
    <row r="125" spans="1:14" x14ac:dyDescent="0.35">
      <c r="A125">
        <v>1286</v>
      </c>
      <c r="B125" s="4">
        <v>45441.375085336993</v>
      </c>
      <c r="C125" t="s">
        <v>8</v>
      </c>
      <c r="D125" t="s">
        <v>16</v>
      </c>
      <c r="E125" t="s">
        <v>23</v>
      </c>
      <c r="F125">
        <v>5758.48</v>
      </c>
      <c r="G125">
        <f t="array" ref="G125">SalesData!$I$2 - 'RFM Table'!B125</f>
        <v>695</v>
      </c>
      <c r="H125">
        <f t="array" ref="H125">COUNTIF(A:A,A125)</f>
        <v>6</v>
      </c>
      <c r="I125">
        <f t="array" ref="I125">SUMIF(A:A,A125,F:F)</f>
        <v>40190.459999999992</v>
      </c>
      <c r="J125">
        <f t="array" ref="J125">5 - INT(5 * (RANK(G125,G:G, 1) - 1) / COUNT(G:G))</f>
        <v>1</v>
      </c>
      <c r="K125">
        <f t="array" ref="K125">INT(5 * (RANK(H125,H:H, 0) - 1) / COUNT(H:H)) + 1</f>
        <v>4</v>
      </c>
      <c r="L125">
        <f t="array" ref="L125">INT(5 * (RANK(I125,I:I, 0) - 1) / COUNT(I:I)) + 1</f>
        <v>2</v>
      </c>
      <c r="M125" t="str">
        <f t="shared" si="2"/>
        <v>142</v>
      </c>
      <c r="N125" s="6" t="str">
        <f t="shared" si="3"/>
        <v>Others</v>
      </c>
    </row>
    <row r="126" spans="1:14" x14ac:dyDescent="0.35">
      <c r="A126">
        <v>1263</v>
      </c>
      <c r="B126" s="4">
        <v>45443.375085336993</v>
      </c>
      <c r="C126" t="s">
        <v>14</v>
      </c>
      <c r="D126" t="s">
        <v>19</v>
      </c>
      <c r="E126" t="s">
        <v>25</v>
      </c>
      <c r="F126">
        <v>1230.45</v>
      </c>
      <c r="G126">
        <f t="array" ref="G126">SalesData!$I$2 - 'RFM Table'!B126</f>
        <v>693</v>
      </c>
      <c r="H126">
        <f t="array" ref="H126">COUNTIF(A:A,A126)</f>
        <v>15</v>
      </c>
      <c r="I126">
        <f t="array" ref="I126">SUMIF(A:A,A126,F:F)</f>
        <v>55867.080000000016</v>
      </c>
      <c r="J126">
        <f t="array" ref="J126">5 - INT(5 * (RANK(G126,G:G, 1) - 1) / COUNT(G:G))</f>
        <v>1</v>
      </c>
      <c r="K126">
        <f t="array" ref="K126">INT(5 * (RANK(H126,H:H, 0) - 1) / COUNT(H:H)) + 1</f>
        <v>1</v>
      </c>
      <c r="L126">
        <f t="array" ref="L126">INT(5 * (RANK(I126,I:I, 0) - 1) / COUNT(I:I)) + 1</f>
        <v>1</v>
      </c>
      <c r="M126" t="str">
        <f t="shared" si="2"/>
        <v>111</v>
      </c>
      <c r="N126" s="6" t="str">
        <f t="shared" si="3"/>
        <v>Lost</v>
      </c>
    </row>
    <row r="127" spans="1:14" x14ac:dyDescent="0.35">
      <c r="A127">
        <v>1037</v>
      </c>
      <c r="B127" s="4">
        <v>45443.375085336993</v>
      </c>
      <c r="C127" t="s">
        <v>8</v>
      </c>
      <c r="D127" t="s">
        <v>18</v>
      </c>
      <c r="E127" t="s">
        <v>25</v>
      </c>
      <c r="F127">
        <v>10927.78</v>
      </c>
      <c r="G127">
        <f t="array" ref="G127">SalesData!$I$2 - 'RFM Table'!B127</f>
        <v>693</v>
      </c>
      <c r="H127">
        <f t="array" ref="H127">COUNTIF(A:A,A127)</f>
        <v>9</v>
      </c>
      <c r="I127">
        <f t="array" ref="I127">SUMIF(A:A,A127,F:F)</f>
        <v>42109.760000000002</v>
      </c>
      <c r="J127">
        <f t="array" ref="J127">5 - INT(5 * (RANK(G127,G:G, 1) - 1) / COUNT(G:G))</f>
        <v>1</v>
      </c>
      <c r="K127">
        <f t="array" ref="K127">INT(5 * (RANK(H127,H:H, 0) - 1) / COUNT(H:H)) + 1</f>
        <v>2</v>
      </c>
      <c r="L127">
        <f t="array" ref="L127">INT(5 * (RANK(I127,I:I, 0) - 1) / COUNT(I:I)) + 1</f>
        <v>2</v>
      </c>
      <c r="M127" t="str">
        <f t="shared" si="2"/>
        <v>122</v>
      </c>
      <c r="N127" s="6" t="str">
        <f t="shared" si="3"/>
        <v>Lost</v>
      </c>
    </row>
    <row r="128" spans="1:14" x14ac:dyDescent="0.35">
      <c r="A128">
        <v>1327</v>
      </c>
      <c r="B128" s="4">
        <v>45443.375085336993</v>
      </c>
      <c r="C128" t="s">
        <v>12</v>
      </c>
      <c r="D128" t="s">
        <v>16</v>
      </c>
      <c r="E128" t="s">
        <v>23</v>
      </c>
      <c r="F128">
        <v>11499.81</v>
      </c>
      <c r="G128">
        <f t="array" ref="G128">SalesData!$I$2 - 'RFM Table'!B128</f>
        <v>693</v>
      </c>
      <c r="H128">
        <f t="array" ref="H128">COUNTIF(A:A,A128)</f>
        <v>10</v>
      </c>
      <c r="I128">
        <f t="array" ref="I128">SUMIF(A:A,A128,F:F)</f>
        <v>34265.79</v>
      </c>
      <c r="J128">
        <f t="array" ref="J128">5 - INT(5 * (RANK(G128,G:G, 1) - 1) / COUNT(G:G))</f>
        <v>1</v>
      </c>
      <c r="K128">
        <f t="array" ref="K128">INT(5 * (RANK(H128,H:H, 0) - 1) / COUNT(H:H)) + 1</f>
        <v>2</v>
      </c>
      <c r="L128">
        <f t="array" ref="L128">INT(5 * (RANK(I128,I:I, 0) - 1) / COUNT(I:I)) + 1</f>
        <v>3</v>
      </c>
      <c r="M128" t="str">
        <f t="shared" si="2"/>
        <v>123</v>
      </c>
      <c r="N128" s="6" t="str">
        <f t="shared" si="3"/>
        <v>Can't Lose Them</v>
      </c>
    </row>
    <row r="129" spans="1:14" x14ac:dyDescent="0.35">
      <c r="A129">
        <v>1044</v>
      </c>
      <c r="B129" s="4">
        <v>45444.375085336993</v>
      </c>
      <c r="C129" t="s">
        <v>12</v>
      </c>
      <c r="D129" t="s">
        <v>17</v>
      </c>
      <c r="E129" t="s">
        <v>25</v>
      </c>
      <c r="F129">
        <v>2231.15</v>
      </c>
      <c r="G129">
        <f t="array" ref="G129">SalesData!$I$2 - 'RFM Table'!B129</f>
        <v>692</v>
      </c>
      <c r="H129">
        <f t="array" ref="H129">COUNTIF(A:A,A129)</f>
        <v>3</v>
      </c>
      <c r="I129">
        <f t="array" ref="I129">SUMIF(A:A,A129,F:F)</f>
        <v>7775.1900000000005</v>
      </c>
      <c r="J129">
        <f t="array" ref="J129">5 - INT(5 * (RANK(G129,G:G, 1) - 1) / COUNT(G:G))</f>
        <v>1</v>
      </c>
      <c r="K129">
        <f t="array" ref="K129">INT(5 * (RANK(H129,H:H, 0) - 1) / COUNT(H:H)) + 1</f>
        <v>5</v>
      </c>
      <c r="L129">
        <f t="array" ref="L129">INT(5 * (RANK(I129,I:I, 0) - 1) / COUNT(I:I)) + 1</f>
        <v>5</v>
      </c>
      <c r="M129" t="str">
        <f t="shared" si="2"/>
        <v>155</v>
      </c>
      <c r="N129" s="6" t="str">
        <f t="shared" si="3"/>
        <v>At Risk</v>
      </c>
    </row>
    <row r="130" spans="1:14" x14ac:dyDescent="0.35">
      <c r="A130">
        <v>1186</v>
      </c>
      <c r="B130" s="4">
        <v>45444.375085336993</v>
      </c>
      <c r="C130" t="s">
        <v>9</v>
      </c>
      <c r="D130" t="s">
        <v>21</v>
      </c>
      <c r="E130" t="s">
        <v>23</v>
      </c>
      <c r="F130">
        <v>2515.79</v>
      </c>
      <c r="G130">
        <f t="array" ref="G130">SalesData!$I$2 - 'RFM Table'!B130</f>
        <v>692</v>
      </c>
      <c r="H130">
        <f t="array" ref="H130">COUNTIF(A:A,A130)</f>
        <v>7</v>
      </c>
      <c r="I130">
        <f t="array" ref="I130">SUMIF(A:A,A130,F:F)</f>
        <v>18132.900000000001</v>
      </c>
      <c r="J130">
        <f t="array" ref="J130">5 - INT(5 * (RANK(G130,G:G, 1) - 1) / COUNT(G:G))</f>
        <v>1</v>
      </c>
      <c r="K130">
        <f t="array" ref="K130">INT(5 * (RANK(H130,H:H, 0) - 1) / COUNT(H:H)) + 1</f>
        <v>4</v>
      </c>
      <c r="L130">
        <f t="array" ref="L130">INT(5 * (RANK(I130,I:I, 0) - 1) / COUNT(I:I)) + 1</f>
        <v>5</v>
      </c>
      <c r="M130" t="str">
        <f t="shared" si="2"/>
        <v>145</v>
      </c>
      <c r="N130" s="6" t="str">
        <f t="shared" si="3"/>
        <v>At Risk</v>
      </c>
    </row>
    <row r="131" spans="1:14" x14ac:dyDescent="0.35">
      <c r="A131">
        <v>1217</v>
      </c>
      <c r="B131" s="4">
        <v>45444.375085336993</v>
      </c>
      <c r="C131" t="s">
        <v>9</v>
      </c>
      <c r="D131" t="s">
        <v>18</v>
      </c>
      <c r="E131" t="s">
        <v>24</v>
      </c>
      <c r="F131">
        <v>5946.52</v>
      </c>
      <c r="G131">
        <f t="array" ref="G131">SalesData!$I$2 - 'RFM Table'!B131</f>
        <v>692</v>
      </c>
      <c r="H131">
        <f t="array" ref="H131">COUNTIF(A:A,A131)</f>
        <v>9</v>
      </c>
      <c r="I131">
        <f t="array" ref="I131">SUMIF(A:A,A131,F:F)</f>
        <v>33349.999999999993</v>
      </c>
      <c r="J131">
        <f t="array" ref="J131">5 - INT(5 * (RANK(G131,G:G, 1) - 1) / COUNT(G:G))</f>
        <v>1</v>
      </c>
      <c r="K131">
        <f t="array" ref="K131">INT(5 * (RANK(H131,H:H, 0) - 1) / COUNT(H:H)) + 1</f>
        <v>2</v>
      </c>
      <c r="L131">
        <f t="array" ref="L131">INT(5 * (RANK(I131,I:I, 0) - 1) / COUNT(I:I)) + 1</f>
        <v>3</v>
      </c>
      <c r="M131" t="str">
        <f t="shared" ref="M131:M194" si="4">J131 &amp; K131 &amp; L131</f>
        <v>123</v>
      </c>
      <c r="N131" s="6" t="str">
        <f t="shared" ref="N131:N194" si="5">IF(AND(J131&gt;=4,K131&lt;=2),"New Customers",
IF(AND(J131&lt;=2,K131&gt;=3,L131&gt;=3),"At Risk",
IF(AND(J131&lt;=2,K131&lt;=2,L131&gt;=3),"Can't Lose Them",
IF(AND(J131&lt;=2,K131&lt;=2,L131&lt;=2),"Lost",
"Others"))))</f>
        <v>Can't Lose Them</v>
      </c>
    </row>
    <row r="132" spans="1:14" x14ac:dyDescent="0.35">
      <c r="A132">
        <v>1327</v>
      </c>
      <c r="B132" s="4">
        <v>45444.375085336993</v>
      </c>
      <c r="C132" t="s">
        <v>9</v>
      </c>
      <c r="D132" t="s">
        <v>19</v>
      </c>
      <c r="E132" t="s">
        <v>24</v>
      </c>
      <c r="F132">
        <v>995.45</v>
      </c>
      <c r="G132">
        <f t="array" ref="G132">SalesData!$I$2 - 'RFM Table'!B132</f>
        <v>692</v>
      </c>
      <c r="H132">
        <f t="array" ref="H132">COUNTIF(A:A,A132)</f>
        <v>10</v>
      </c>
      <c r="I132">
        <f t="array" ref="I132">SUMIF(A:A,A132,F:F)</f>
        <v>34265.79</v>
      </c>
      <c r="J132">
        <f t="array" ref="J132">5 - INT(5 * (RANK(G132,G:G, 1) - 1) / COUNT(G:G))</f>
        <v>1</v>
      </c>
      <c r="K132">
        <f t="array" ref="K132">INT(5 * (RANK(H132,H:H, 0) - 1) / COUNT(H:H)) + 1</f>
        <v>2</v>
      </c>
      <c r="L132">
        <f t="array" ref="L132">INT(5 * (RANK(I132,I:I, 0) - 1) / COUNT(I:I)) + 1</f>
        <v>3</v>
      </c>
      <c r="M132" t="str">
        <f t="shared" si="4"/>
        <v>123</v>
      </c>
      <c r="N132" s="6" t="str">
        <f t="shared" si="5"/>
        <v>Can't Lose Them</v>
      </c>
    </row>
    <row r="133" spans="1:14" x14ac:dyDescent="0.35">
      <c r="A133">
        <v>1122</v>
      </c>
      <c r="B133" s="4">
        <v>45445.375085336993</v>
      </c>
      <c r="C133" t="s">
        <v>9</v>
      </c>
      <c r="D133" t="s">
        <v>17</v>
      </c>
      <c r="E133" t="s">
        <v>23</v>
      </c>
      <c r="F133">
        <v>3059.18</v>
      </c>
      <c r="G133">
        <f t="array" ref="G133">SalesData!$I$2 - 'RFM Table'!B133</f>
        <v>691</v>
      </c>
      <c r="H133">
        <f t="array" ref="H133">COUNTIF(A:A,A133)</f>
        <v>4</v>
      </c>
      <c r="I133">
        <f t="array" ref="I133">SUMIF(A:A,A133,F:F)</f>
        <v>10594.94</v>
      </c>
      <c r="J133">
        <f t="array" ref="J133">5 - INT(5 * (RANK(G133,G:G, 1) - 1) / COUNT(G:G))</f>
        <v>1</v>
      </c>
      <c r="K133">
        <f t="array" ref="K133">INT(5 * (RANK(H133,H:H, 0) - 1) / COUNT(H:H)) + 1</f>
        <v>5</v>
      </c>
      <c r="L133">
        <f t="array" ref="L133">INT(5 * (RANK(I133,I:I, 0) - 1) / COUNT(I:I)) + 1</f>
        <v>5</v>
      </c>
      <c r="M133" t="str">
        <f t="shared" si="4"/>
        <v>155</v>
      </c>
      <c r="N133" s="6" t="str">
        <f t="shared" si="5"/>
        <v>At Risk</v>
      </c>
    </row>
    <row r="134" spans="1:14" x14ac:dyDescent="0.35">
      <c r="A134">
        <v>1318</v>
      </c>
      <c r="B134" s="4">
        <v>45445.375085336993</v>
      </c>
      <c r="C134" t="s">
        <v>6</v>
      </c>
      <c r="D134" t="s">
        <v>19</v>
      </c>
      <c r="E134" t="s">
        <v>24</v>
      </c>
      <c r="F134">
        <v>3446.54</v>
      </c>
      <c r="G134">
        <f t="array" ref="G134">SalesData!$I$2 - 'RFM Table'!B134</f>
        <v>691</v>
      </c>
      <c r="H134">
        <f t="array" ref="H134">COUNTIF(A:A,A134)</f>
        <v>8</v>
      </c>
      <c r="I134">
        <f t="array" ref="I134">SUMIF(A:A,A134,F:F)</f>
        <v>45571.029999999992</v>
      </c>
      <c r="J134">
        <f t="array" ref="J134">5 - INT(5 * (RANK(G134,G:G, 1) - 1) / COUNT(G:G))</f>
        <v>1</v>
      </c>
      <c r="K134">
        <f t="array" ref="K134">INT(5 * (RANK(H134,H:H, 0) - 1) / COUNT(H:H)) + 1</f>
        <v>3</v>
      </c>
      <c r="L134">
        <f t="array" ref="L134">INT(5 * (RANK(I134,I:I, 0) - 1) / COUNT(I:I)) + 1</f>
        <v>1</v>
      </c>
      <c r="M134" t="str">
        <f t="shared" si="4"/>
        <v>131</v>
      </c>
      <c r="N134" s="6" t="str">
        <f t="shared" si="5"/>
        <v>Others</v>
      </c>
    </row>
    <row r="135" spans="1:14" x14ac:dyDescent="0.35">
      <c r="A135">
        <v>1227</v>
      </c>
      <c r="B135" s="4">
        <v>45445.375085336993</v>
      </c>
      <c r="C135" t="s">
        <v>6</v>
      </c>
      <c r="D135" t="s">
        <v>22</v>
      </c>
      <c r="E135" t="s">
        <v>25</v>
      </c>
      <c r="F135">
        <v>6166.78</v>
      </c>
      <c r="G135">
        <f t="array" ref="G135">SalesData!$I$2 - 'RFM Table'!B135</f>
        <v>691</v>
      </c>
      <c r="H135">
        <f t="array" ref="H135">COUNTIF(A:A,A135)</f>
        <v>7</v>
      </c>
      <c r="I135">
        <f t="array" ref="I135">SUMIF(A:A,A135,F:F)</f>
        <v>39486.589999999997</v>
      </c>
      <c r="J135">
        <f t="array" ref="J135">5 - INT(5 * (RANK(G135,G:G, 1) - 1) / COUNT(G:G))</f>
        <v>1</v>
      </c>
      <c r="K135">
        <f t="array" ref="K135">INT(5 * (RANK(H135,H:H, 0) - 1) / COUNT(H:H)) + 1</f>
        <v>4</v>
      </c>
      <c r="L135">
        <f t="array" ref="L135">INT(5 * (RANK(I135,I:I, 0) - 1) / COUNT(I:I)) + 1</f>
        <v>2</v>
      </c>
      <c r="M135" t="str">
        <f t="shared" si="4"/>
        <v>142</v>
      </c>
      <c r="N135" s="6" t="str">
        <f t="shared" si="5"/>
        <v>Others</v>
      </c>
    </row>
    <row r="136" spans="1:14" x14ac:dyDescent="0.35">
      <c r="A136">
        <v>1304</v>
      </c>
      <c r="B136" s="4">
        <v>45445.375085336993</v>
      </c>
      <c r="C136" t="s">
        <v>12</v>
      </c>
      <c r="D136" t="s">
        <v>21</v>
      </c>
      <c r="E136" t="s">
        <v>24</v>
      </c>
      <c r="F136">
        <v>1825.58</v>
      </c>
      <c r="G136">
        <f t="array" ref="G136">SalesData!$I$2 - 'RFM Table'!B136</f>
        <v>691</v>
      </c>
      <c r="H136">
        <f t="array" ref="H136">COUNTIF(A:A,A136)</f>
        <v>10</v>
      </c>
      <c r="I136">
        <f t="array" ref="I136">SUMIF(A:A,A136,F:F)</f>
        <v>39472.789999999994</v>
      </c>
      <c r="J136">
        <f t="array" ref="J136">5 - INT(5 * (RANK(G136,G:G, 1) - 1) / COUNT(G:G))</f>
        <v>1</v>
      </c>
      <c r="K136">
        <f t="array" ref="K136">INT(5 * (RANK(H136,H:H, 0) - 1) / COUNT(H:H)) + 1</f>
        <v>2</v>
      </c>
      <c r="L136">
        <f t="array" ref="L136">INT(5 * (RANK(I136,I:I, 0) - 1) / COUNT(I:I)) + 1</f>
        <v>2</v>
      </c>
      <c r="M136" t="str">
        <f t="shared" si="4"/>
        <v>122</v>
      </c>
      <c r="N136" s="6" t="str">
        <f t="shared" si="5"/>
        <v>Lost</v>
      </c>
    </row>
    <row r="137" spans="1:14" x14ac:dyDescent="0.35">
      <c r="A137">
        <v>1266</v>
      </c>
      <c r="B137" s="4">
        <v>45445.375085336993</v>
      </c>
      <c r="C137" t="s">
        <v>12</v>
      </c>
      <c r="D137" t="s">
        <v>18</v>
      </c>
      <c r="E137" t="s">
        <v>25</v>
      </c>
      <c r="F137">
        <v>2909.8</v>
      </c>
      <c r="G137">
        <f t="array" ref="G137">SalesData!$I$2 - 'RFM Table'!B137</f>
        <v>691</v>
      </c>
      <c r="H137">
        <f t="array" ref="H137">COUNTIF(A:A,A137)</f>
        <v>9</v>
      </c>
      <c r="I137">
        <f t="array" ref="I137">SUMIF(A:A,A137,F:F)</f>
        <v>44679.94</v>
      </c>
      <c r="J137">
        <f t="array" ref="J137">5 - INT(5 * (RANK(G137,G:G, 1) - 1) / COUNT(G:G))</f>
        <v>1</v>
      </c>
      <c r="K137">
        <f t="array" ref="K137">INT(5 * (RANK(H137,H:H, 0) - 1) / COUNT(H:H)) + 1</f>
        <v>2</v>
      </c>
      <c r="L137">
        <f t="array" ref="L137">INT(5 * (RANK(I137,I:I, 0) - 1) / COUNT(I:I)) + 1</f>
        <v>2</v>
      </c>
      <c r="M137" t="str">
        <f t="shared" si="4"/>
        <v>122</v>
      </c>
      <c r="N137" s="6" t="str">
        <f t="shared" si="5"/>
        <v>Lost</v>
      </c>
    </row>
    <row r="138" spans="1:14" x14ac:dyDescent="0.35">
      <c r="A138">
        <v>1343</v>
      </c>
      <c r="B138" s="4">
        <v>45446.375085336993</v>
      </c>
      <c r="C138" t="s">
        <v>7</v>
      </c>
      <c r="D138" t="s">
        <v>18</v>
      </c>
      <c r="E138" t="s">
        <v>23</v>
      </c>
      <c r="F138">
        <v>1907.43</v>
      </c>
      <c r="G138">
        <f t="array" ref="G138">SalesData!$I$2 - 'RFM Table'!B138</f>
        <v>690</v>
      </c>
      <c r="H138">
        <f t="array" ref="H138">COUNTIF(A:A,A138)</f>
        <v>9</v>
      </c>
      <c r="I138">
        <f t="array" ref="I138">SUMIF(A:A,A138,F:F)</f>
        <v>40117.730000000003</v>
      </c>
      <c r="J138">
        <f t="array" ref="J138">5 - INT(5 * (RANK(G138,G:G, 1) - 1) / COUNT(G:G))</f>
        <v>1</v>
      </c>
      <c r="K138">
        <f t="array" ref="K138">INT(5 * (RANK(H138,H:H, 0) - 1) / COUNT(H:H)) + 1</f>
        <v>2</v>
      </c>
      <c r="L138">
        <f t="array" ref="L138">INT(5 * (RANK(I138,I:I, 0) - 1) / COUNT(I:I)) + 1</f>
        <v>2</v>
      </c>
      <c r="M138" t="str">
        <f t="shared" si="4"/>
        <v>122</v>
      </c>
      <c r="N138" s="6" t="str">
        <f t="shared" si="5"/>
        <v>Lost</v>
      </c>
    </row>
    <row r="139" spans="1:14" x14ac:dyDescent="0.35">
      <c r="A139">
        <v>1253</v>
      </c>
      <c r="B139" s="4">
        <v>45446.375085336993</v>
      </c>
      <c r="C139" t="s">
        <v>12</v>
      </c>
      <c r="D139" t="s">
        <v>20</v>
      </c>
      <c r="E139" t="s">
        <v>24</v>
      </c>
      <c r="F139">
        <v>7166.5</v>
      </c>
      <c r="G139">
        <f t="array" ref="G139">SalesData!$I$2 - 'RFM Table'!B139</f>
        <v>690</v>
      </c>
      <c r="H139">
        <f t="array" ref="H139">COUNTIF(A:A,A139)</f>
        <v>7</v>
      </c>
      <c r="I139">
        <f t="array" ref="I139">SUMIF(A:A,A139,F:F)</f>
        <v>47955.99</v>
      </c>
      <c r="J139">
        <f t="array" ref="J139">5 - INT(5 * (RANK(G139,G:G, 1) - 1) / COUNT(G:G))</f>
        <v>1</v>
      </c>
      <c r="K139">
        <f t="array" ref="K139">INT(5 * (RANK(H139,H:H, 0) - 1) / COUNT(H:H)) + 1</f>
        <v>4</v>
      </c>
      <c r="L139">
        <f t="array" ref="L139">INT(5 * (RANK(I139,I:I, 0) - 1) / COUNT(I:I)) + 1</f>
        <v>1</v>
      </c>
      <c r="M139" t="str">
        <f t="shared" si="4"/>
        <v>141</v>
      </c>
      <c r="N139" s="6" t="str">
        <f t="shared" si="5"/>
        <v>Others</v>
      </c>
    </row>
    <row r="140" spans="1:14" x14ac:dyDescent="0.35">
      <c r="A140">
        <v>1018</v>
      </c>
      <c r="B140" s="4">
        <v>45446.375085336993</v>
      </c>
      <c r="C140" t="s">
        <v>7</v>
      </c>
      <c r="D140" t="s">
        <v>17</v>
      </c>
      <c r="E140" t="s">
        <v>24</v>
      </c>
      <c r="F140">
        <v>443.07</v>
      </c>
      <c r="G140">
        <f t="array" ref="G140">SalesData!$I$2 - 'RFM Table'!B140</f>
        <v>690</v>
      </c>
      <c r="H140">
        <f t="array" ref="H140">COUNTIF(A:A,A140)</f>
        <v>7</v>
      </c>
      <c r="I140">
        <f t="array" ref="I140">SUMIF(A:A,A140,F:F)</f>
        <v>25356.28</v>
      </c>
      <c r="J140">
        <f t="array" ref="J140">5 - INT(5 * (RANK(G140,G:G, 1) - 1) / COUNT(G:G))</f>
        <v>1</v>
      </c>
      <c r="K140">
        <f t="array" ref="K140">INT(5 * (RANK(H140,H:H, 0) - 1) / COUNT(H:H)) + 1</f>
        <v>4</v>
      </c>
      <c r="L140">
        <f t="array" ref="L140">INT(5 * (RANK(I140,I:I, 0) - 1) / COUNT(I:I)) + 1</f>
        <v>4</v>
      </c>
      <c r="M140" t="str">
        <f t="shared" si="4"/>
        <v>144</v>
      </c>
      <c r="N140" s="6" t="str">
        <f t="shared" si="5"/>
        <v>At Risk</v>
      </c>
    </row>
    <row r="141" spans="1:14" x14ac:dyDescent="0.35">
      <c r="A141">
        <v>1094</v>
      </c>
      <c r="B141" s="4">
        <v>45446.375085336993</v>
      </c>
      <c r="C141" t="s">
        <v>9</v>
      </c>
      <c r="D141" t="s">
        <v>20</v>
      </c>
      <c r="E141" t="s">
        <v>25</v>
      </c>
      <c r="F141">
        <v>6162.83</v>
      </c>
      <c r="G141">
        <f t="array" ref="G141">SalesData!$I$2 - 'RFM Table'!B141</f>
        <v>690</v>
      </c>
      <c r="H141">
        <f t="array" ref="H141">COUNTIF(A:A,A141)</f>
        <v>10</v>
      </c>
      <c r="I141">
        <f t="array" ref="I141">SUMIF(A:A,A141,F:F)</f>
        <v>41704.25</v>
      </c>
      <c r="J141">
        <f t="array" ref="J141">5 - INT(5 * (RANK(G141,G:G, 1) - 1) / COUNT(G:G))</f>
        <v>1</v>
      </c>
      <c r="K141">
        <f t="array" ref="K141">INT(5 * (RANK(H141,H:H, 0) - 1) / COUNT(H:H)) + 1</f>
        <v>2</v>
      </c>
      <c r="L141">
        <f t="array" ref="L141">INT(5 * (RANK(I141,I:I, 0) - 1) / COUNT(I:I)) + 1</f>
        <v>2</v>
      </c>
      <c r="M141" t="str">
        <f t="shared" si="4"/>
        <v>122</v>
      </c>
      <c r="N141" s="6" t="str">
        <f t="shared" si="5"/>
        <v>Lost</v>
      </c>
    </row>
    <row r="142" spans="1:14" x14ac:dyDescent="0.35">
      <c r="A142">
        <v>1340</v>
      </c>
      <c r="B142" s="4">
        <v>45446.375085336993</v>
      </c>
      <c r="C142" t="s">
        <v>14</v>
      </c>
      <c r="D142" t="s">
        <v>22</v>
      </c>
      <c r="E142" t="s">
        <v>23</v>
      </c>
      <c r="F142">
        <v>389.12</v>
      </c>
      <c r="G142">
        <f t="array" ref="G142">SalesData!$I$2 - 'RFM Table'!B142</f>
        <v>690</v>
      </c>
      <c r="H142">
        <f t="array" ref="H142">COUNTIF(A:A,A142)</f>
        <v>6</v>
      </c>
      <c r="I142">
        <f t="array" ref="I142">SUMIF(A:A,A142,F:F)</f>
        <v>22984.870000000003</v>
      </c>
      <c r="J142">
        <f t="array" ref="J142">5 - INT(5 * (RANK(G142,G:G, 1) - 1) / COUNT(G:G))</f>
        <v>1</v>
      </c>
      <c r="K142">
        <f t="array" ref="K142">INT(5 * (RANK(H142,H:H, 0) - 1) / COUNT(H:H)) + 1</f>
        <v>4</v>
      </c>
      <c r="L142">
        <f t="array" ref="L142">INT(5 * (RANK(I142,I:I, 0) - 1) / COUNT(I:I)) + 1</f>
        <v>4</v>
      </c>
      <c r="M142" t="str">
        <f t="shared" si="4"/>
        <v>144</v>
      </c>
      <c r="N142" s="6" t="str">
        <f t="shared" si="5"/>
        <v>At Risk</v>
      </c>
    </row>
    <row r="143" spans="1:14" x14ac:dyDescent="0.35">
      <c r="A143">
        <v>1398</v>
      </c>
      <c r="B143" s="4">
        <v>45446.375085336993</v>
      </c>
      <c r="C143" t="s">
        <v>14</v>
      </c>
      <c r="D143" t="s">
        <v>19</v>
      </c>
      <c r="E143" t="s">
        <v>23</v>
      </c>
      <c r="F143">
        <v>5843.07</v>
      </c>
      <c r="G143">
        <f t="array" ref="G143">SalesData!$I$2 - 'RFM Table'!B143</f>
        <v>690</v>
      </c>
      <c r="H143">
        <f t="array" ref="H143">COUNTIF(A:A,A143)</f>
        <v>7</v>
      </c>
      <c r="I143">
        <f t="array" ref="I143">SUMIF(A:A,A143,F:F)</f>
        <v>28040.249999999996</v>
      </c>
      <c r="J143">
        <f t="array" ref="J143">5 - INT(5 * (RANK(G143,G:G, 1) - 1) / COUNT(G:G))</f>
        <v>1</v>
      </c>
      <c r="K143">
        <f t="array" ref="K143">INT(5 * (RANK(H143,H:H, 0) - 1) / COUNT(H:H)) + 1</f>
        <v>4</v>
      </c>
      <c r="L143">
        <f t="array" ref="L143">INT(5 * (RANK(I143,I:I, 0) - 1) / COUNT(I:I)) + 1</f>
        <v>4</v>
      </c>
      <c r="M143" t="str">
        <f t="shared" si="4"/>
        <v>144</v>
      </c>
      <c r="N143" s="6" t="str">
        <f t="shared" si="5"/>
        <v>At Risk</v>
      </c>
    </row>
    <row r="144" spans="1:14" x14ac:dyDescent="0.35">
      <c r="A144">
        <v>1038</v>
      </c>
      <c r="B144" s="4">
        <v>45446.375085336993</v>
      </c>
      <c r="C144" t="s">
        <v>9</v>
      </c>
      <c r="D144" t="s">
        <v>19</v>
      </c>
      <c r="E144" t="s">
        <v>25</v>
      </c>
      <c r="F144">
        <v>5942.58</v>
      </c>
      <c r="G144">
        <f t="array" ref="G144">SalesData!$I$2 - 'RFM Table'!B144</f>
        <v>690</v>
      </c>
      <c r="H144">
        <f t="array" ref="H144">COUNTIF(A:A,A144)</f>
        <v>16</v>
      </c>
      <c r="I144">
        <f t="array" ref="I144">SUMIF(A:A,A144,F:F)</f>
        <v>76962.720000000001</v>
      </c>
      <c r="J144">
        <f t="array" ref="J144">5 - INT(5 * (RANK(G144,G:G, 1) - 1) / COUNT(G:G))</f>
        <v>1</v>
      </c>
      <c r="K144">
        <f t="array" ref="K144">INT(5 * (RANK(H144,H:H, 0) - 1) / COUNT(H:H)) + 1</f>
        <v>1</v>
      </c>
      <c r="L144">
        <f t="array" ref="L144">INT(5 * (RANK(I144,I:I, 0) - 1) / COUNT(I:I)) + 1</f>
        <v>1</v>
      </c>
      <c r="M144" t="str">
        <f t="shared" si="4"/>
        <v>111</v>
      </c>
      <c r="N144" s="6" t="str">
        <f t="shared" si="5"/>
        <v>Lost</v>
      </c>
    </row>
    <row r="145" spans="1:14" x14ac:dyDescent="0.35">
      <c r="A145">
        <v>1041</v>
      </c>
      <c r="B145" s="4">
        <v>45447.375085336993</v>
      </c>
      <c r="C145" t="s">
        <v>14</v>
      </c>
      <c r="D145" t="s">
        <v>18</v>
      </c>
      <c r="E145" t="s">
        <v>24</v>
      </c>
      <c r="F145">
        <v>1503.57</v>
      </c>
      <c r="G145">
        <f t="array" ref="G145">SalesData!$I$2 - 'RFM Table'!B145</f>
        <v>689</v>
      </c>
      <c r="H145">
        <f t="array" ref="H145">COUNTIF(A:A,A145)</f>
        <v>12</v>
      </c>
      <c r="I145">
        <f t="array" ref="I145">SUMIF(A:A,A145,F:F)</f>
        <v>44894.799999999996</v>
      </c>
      <c r="J145">
        <f t="array" ref="J145">5 - INT(5 * (RANK(G145,G:G, 1) - 1) / COUNT(G:G))</f>
        <v>1</v>
      </c>
      <c r="K145">
        <f t="array" ref="K145">INT(5 * (RANK(H145,H:H, 0) - 1) / COUNT(H:H)) + 1</f>
        <v>1</v>
      </c>
      <c r="L145">
        <f t="array" ref="L145">INT(5 * (RANK(I145,I:I, 0) - 1) / COUNT(I:I)) + 1</f>
        <v>1</v>
      </c>
      <c r="M145" t="str">
        <f t="shared" si="4"/>
        <v>111</v>
      </c>
      <c r="N145" s="6" t="str">
        <f t="shared" si="5"/>
        <v>Lost</v>
      </c>
    </row>
    <row r="146" spans="1:14" x14ac:dyDescent="0.35">
      <c r="A146">
        <v>1192</v>
      </c>
      <c r="B146" s="4">
        <v>45448.375085336993</v>
      </c>
      <c r="C146" t="s">
        <v>7</v>
      </c>
      <c r="D146" t="s">
        <v>20</v>
      </c>
      <c r="E146" t="s">
        <v>25</v>
      </c>
      <c r="F146">
        <v>6685.87</v>
      </c>
      <c r="G146">
        <f t="array" ref="G146">SalesData!$I$2 - 'RFM Table'!B146</f>
        <v>688</v>
      </c>
      <c r="H146">
        <f t="array" ref="H146">COUNTIF(A:A,A146)</f>
        <v>4</v>
      </c>
      <c r="I146">
        <f t="array" ref="I146">SUMIF(A:A,A146,F:F)</f>
        <v>11604.15</v>
      </c>
      <c r="J146">
        <f t="array" ref="J146">5 - INT(5 * (RANK(G146,G:G, 1) - 1) / COUNT(G:G))</f>
        <v>1</v>
      </c>
      <c r="K146">
        <f t="array" ref="K146">INT(5 * (RANK(H146,H:H, 0) - 1) / COUNT(H:H)) + 1</f>
        <v>5</v>
      </c>
      <c r="L146">
        <f t="array" ref="L146">INT(5 * (RANK(I146,I:I, 0) - 1) / COUNT(I:I)) + 1</f>
        <v>5</v>
      </c>
      <c r="M146" t="str">
        <f t="shared" si="4"/>
        <v>155</v>
      </c>
      <c r="N146" s="6" t="str">
        <f t="shared" si="5"/>
        <v>At Risk</v>
      </c>
    </row>
    <row r="147" spans="1:14" x14ac:dyDescent="0.35">
      <c r="A147">
        <v>1230</v>
      </c>
      <c r="B147" s="4">
        <v>45448.375085336993</v>
      </c>
      <c r="C147" t="s">
        <v>9</v>
      </c>
      <c r="D147" t="s">
        <v>21</v>
      </c>
      <c r="E147" t="s">
        <v>24</v>
      </c>
      <c r="F147">
        <v>6447.82</v>
      </c>
      <c r="G147">
        <f t="array" ref="G147">SalesData!$I$2 - 'RFM Table'!B147</f>
        <v>688</v>
      </c>
      <c r="H147">
        <f t="array" ref="H147">COUNTIF(A:A,A147)</f>
        <v>11</v>
      </c>
      <c r="I147">
        <f t="array" ref="I147">SUMIF(A:A,A147,F:F)</f>
        <v>29238.53</v>
      </c>
      <c r="J147">
        <f t="array" ref="J147">5 - INT(5 * (RANK(G147,G:G, 1) - 1) / COUNT(G:G))</f>
        <v>1</v>
      </c>
      <c r="K147">
        <f t="array" ref="K147">INT(5 * (RANK(H147,H:H, 0) - 1) / COUNT(H:H)) + 1</f>
        <v>1</v>
      </c>
      <c r="L147">
        <f t="array" ref="L147">INT(5 * (RANK(I147,I:I, 0) - 1) / COUNT(I:I)) + 1</f>
        <v>4</v>
      </c>
      <c r="M147" t="str">
        <f t="shared" si="4"/>
        <v>114</v>
      </c>
      <c r="N147" s="6" t="str">
        <f t="shared" si="5"/>
        <v>Can't Lose Them</v>
      </c>
    </row>
    <row r="148" spans="1:14" x14ac:dyDescent="0.35">
      <c r="A148">
        <v>1203</v>
      </c>
      <c r="B148" s="4">
        <v>45448.375085336993</v>
      </c>
      <c r="C148" t="s">
        <v>9</v>
      </c>
      <c r="D148" t="s">
        <v>17</v>
      </c>
      <c r="E148" t="s">
        <v>25</v>
      </c>
      <c r="F148">
        <v>1201.46</v>
      </c>
      <c r="G148">
        <f t="array" ref="G148">SalesData!$I$2 - 'RFM Table'!B148</f>
        <v>688</v>
      </c>
      <c r="H148">
        <f t="array" ref="H148">COUNTIF(A:A,A148)</f>
        <v>4</v>
      </c>
      <c r="I148">
        <f t="array" ref="I148">SUMIF(A:A,A148,F:F)</f>
        <v>18725.21</v>
      </c>
      <c r="J148">
        <f t="array" ref="J148">5 - INT(5 * (RANK(G148,G:G, 1) - 1) / COUNT(G:G))</f>
        <v>1</v>
      </c>
      <c r="K148">
        <f t="array" ref="K148">INT(5 * (RANK(H148,H:H, 0) - 1) / COUNT(H:H)) + 1</f>
        <v>5</v>
      </c>
      <c r="L148">
        <f t="array" ref="L148">INT(5 * (RANK(I148,I:I, 0) - 1) / COUNT(I:I)) + 1</f>
        <v>5</v>
      </c>
      <c r="M148" t="str">
        <f t="shared" si="4"/>
        <v>155</v>
      </c>
      <c r="N148" s="6" t="str">
        <f t="shared" si="5"/>
        <v>At Risk</v>
      </c>
    </row>
    <row r="149" spans="1:14" x14ac:dyDescent="0.35">
      <c r="A149">
        <v>1164</v>
      </c>
      <c r="B149" s="4">
        <v>45448.375085336993</v>
      </c>
      <c r="C149" t="s">
        <v>14</v>
      </c>
      <c r="D149" t="s">
        <v>20</v>
      </c>
      <c r="E149" t="s">
        <v>25</v>
      </c>
      <c r="F149">
        <v>6979.66</v>
      </c>
      <c r="G149">
        <f t="array" ref="G149">SalesData!$I$2 - 'RFM Table'!B149</f>
        <v>688</v>
      </c>
      <c r="H149">
        <f t="array" ref="H149">COUNTIF(A:A,A149)</f>
        <v>7</v>
      </c>
      <c r="I149">
        <f t="array" ref="I149">SUMIF(A:A,A149,F:F)</f>
        <v>29497.360000000001</v>
      </c>
      <c r="J149">
        <f t="array" ref="J149">5 - INT(5 * (RANK(G149,G:G, 1) - 1) / COUNT(G:G))</f>
        <v>1</v>
      </c>
      <c r="K149">
        <f t="array" ref="K149">INT(5 * (RANK(H149,H:H, 0) - 1) / COUNT(H:H)) + 1</f>
        <v>4</v>
      </c>
      <c r="L149">
        <f t="array" ref="L149">INT(5 * (RANK(I149,I:I, 0) - 1) / COUNT(I:I)) + 1</f>
        <v>3</v>
      </c>
      <c r="M149" t="str">
        <f t="shared" si="4"/>
        <v>143</v>
      </c>
      <c r="N149" s="6" t="str">
        <f t="shared" si="5"/>
        <v>At Risk</v>
      </c>
    </row>
    <row r="150" spans="1:14" x14ac:dyDescent="0.35">
      <c r="A150">
        <v>1142</v>
      </c>
      <c r="B150" s="4">
        <v>45449.375085336993</v>
      </c>
      <c r="C150" t="s">
        <v>9</v>
      </c>
      <c r="D150" t="s">
        <v>22</v>
      </c>
      <c r="E150" t="s">
        <v>23</v>
      </c>
      <c r="F150">
        <v>3862.76</v>
      </c>
      <c r="G150">
        <f t="array" ref="G150">SalesData!$I$2 - 'RFM Table'!B150</f>
        <v>687</v>
      </c>
      <c r="H150">
        <f t="array" ref="H150">COUNTIF(A:A,A150)</f>
        <v>10</v>
      </c>
      <c r="I150">
        <f t="array" ref="I150">SUMIF(A:A,A150,F:F)</f>
        <v>45537.319999999992</v>
      </c>
      <c r="J150">
        <f t="array" ref="J150">5 - INT(5 * (RANK(G150,G:G, 1) - 1) / COUNT(G:G))</f>
        <v>1</v>
      </c>
      <c r="K150">
        <f t="array" ref="K150">INT(5 * (RANK(H150,H:H, 0) - 1) / COUNT(H:H)) + 1</f>
        <v>2</v>
      </c>
      <c r="L150">
        <f t="array" ref="L150">INT(5 * (RANK(I150,I:I, 0) - 1) / COUNT(I:I)) + 1</f>
        <v>1</v>
      </c>
      <c r="M150" t="str">
        <f t="shared" si="4"/>
        <v>121</v>
      </c>
      <c r="N150" s="6" t="str">
        <f t="shared" si="5"/>
        <v>Lost</v>
      </c>
    </row>
    <row r="151" spans="1:14" x14ac:dyDescent="0.35">
      <c r="A151">
        <v>1197</v>
      </c>
      <c r="B151" s="4">
        <v>45449.375085336993</v>
      </c>
      <c r="C151" t="s">
        <v>15</v>
      </c>
      <c r="D151" t="s">
        <v>16</v>
      </c>
      <c r="E151" t="s">
        <v>25</v>
      </c>
      <c r="F151">
        <v>3260.65</v>
      </c>
      <c r="G151">
        <f t="array" ref="G151">SalesData!$I$2 - 'RFM Table'!B151</f>
        <v>687</v>
      </c>
      <c r="H151">
        <f t="array" ref="H151">COUNTIF(A:A,A151)</f>
        <v>9</v>
      </c>
      <c r="I151">
        <f t="array" ref="I151">SUMIF(A:A,A151,F:F)</f>
        <v>28813.449999999997</v>
      </c>
      <c r="J151">
        <f t="array" ref="J151">5 - INT(5 * (RANK(G151,G:G, 1) - 1) / COUNT(G:G))</f>
        <v>1</v>
      </c>
      <c r="K151">
        <f t="array" ref="K151">INT(5 * (RANK(H151,H:H, 0) - 1) / COUNT(H:H)) + 1</f>
        <v>2</v>
      </c>
      <c r="L151">
        <f t="array" ref="L151">INT(5 * (RANK(I151,I:I, 0) - 1) / COUNT(I:I)) + 1</f>
        <v>4</v>
      </c>
      <c r="M151" t="str">
        <f t="shared" si="4"/>
        <v>124</v>
      </c>
      <c r="N151" s="6" t="str">
        <f t="shared" si="5"/>
        <v>Can't Lose Them</v>
      </c>
    </row>
    <row r="152" spans="1:14" x14ac:dyDescent="0.35">
      <c r="A152">
        <v>1309</v>
      </c>
      <c r="B152" s="4">
        <v>45449.375085336993</v>
      </c>
      <c r="C152" t="s">
        <v>15</v>
      </c>
      <c r="D152" t="s">
        <v>20</v>
      </c>
      <c r="E152" t="s">
        <v>25</v>
      </c>
      <c r="F152">
        <v>5996.76</v>
      </c>
      <c r="G152">
        <f t="array" ref="G152">SalesData!$I$2 - 'RFM Table'!B152</f>
        <v>687</v>
      </c>
      <c r="H152">
        <f t="array" ref="H152">COUNTIF(A:A,A152)</f>
        <v>11</v>
      </c>
      <c r="I152">
        <f t="array" ref="I152">SUMIF(A:A,A152,F:F)</f>
        <v>43078.749999999993</v>
      </c>
      <c r="J152">
        <f t="array" ref="J152">5 - INT(5 * (RANK(G152,G:G, 1) - 1) / COUNT(G:G))</f>
        <v>1</v>
      </c>
      <c r="K152">
        <f t="array" ref="K152">INT(5 * (RANK(H152,H:H, 0) - 1) / COUNT(H:H)) + 1</f>
        <v>1</v>
      </c>
      <c r="L152">
        <f t="array" ref="L152">INT(5 * (RANK(I152,I:I, 0) - 1) / COUNT(I:I)) + 1</f>
        <v>2</v>
      </c>
      <c r="M152" t="str">
        <f t="shared" si="4"/>
        <v>112</v>
      </c>
      <c r="N152" s="6" t="str">
        <f t="shared" si="5"/>
        <v>Lost</v>
      </c>
    </row>
    <row r="153" spans="1:14" x14ac:dyDescent="0.35">
      <c r="A153">
        <v>1212</v>
      </c>
      <c r="B153" s="4">
        <v>45449.375085336993</v>
      </c>
      <c r="C153" t="s">
        <v>14</v>
      </c>
      <c r="D153" t="s">
        <v>19</v>
      </c>
      <c r="E153" t="s">
        <v>25</v>
      </c>
      <c r="F153">
        <v>410.07</v>
      </c>
      <c r="G153">
        <f t="array" ref="G153">SalesData!$I$2 - 'RFM Table'!B153</f>
        <v>687</v>
      </c>
      <c r="H153">
        <f t="array" ref="H153">COUNTIF(A:A,A153)</f>
        <v>9</v>
      </c>
      <c r="I153">
        <f t="array" ref="I153">SUMIF(A:A,A153,F:F)</f>
        <v>33311.4</v>
      </c>
      <c r="J153">
        <f t="array" ref="J153">5 - INT(5 * (RANK(G153,G:G, 1) - 1) / COUNT(G:G))</f>
        <v>1</v>
      </c>
      <c r="K153">
        <f t="array" ref="K153">INT(5 * (RANK(H153,H:H, 0) - 1) / COUNT(H:H)) + 1</f>
        <v>2</v>
      </c>
      <c r="L153">
        <f t="array" ref="L153">INT(5 * (RANK(I153,I:I, 0) - 1) / COUNT(I:I)) + 1</f>
        <v>3</v>
      </c>
      <c r="M153" t="str">
        <f t="shared" si="4"/>
        <v>123</v>
      </c>
      <c r="N153" s="6" t="str">
        <f t="shared" si="5"/>
        <v>Can't Lose Them</v>
      </c>
    </row>
    <row r="154" spans="1:14" x14ac:dyDescent="0.35">
      <c r="A154">
        <v>1373</v>
      </c>
      <c r="B154" s="4">
        <v>45449.375085336993</v>
      </c>
      <c r="C154" t="s">
        <v>10</v>
      </c>
      <c r="D154" t="s">
        <v>20</v>
      </c>
      <c r="E154" t="s">
        <v>25</v>
      </c>
      <c r="F154">
        <v>3441.29</v>
      </c>
      <c r="G154">
        <f t="array" ref="G154">SalesData!$I$2 - 'RFM Table'!B154</f>
        <v>687</v>
      </c>
      <c r="H154">
        <f t="array" ref="H154">COUNTIF(A:A,A154)</f>
        <v>11</v>
      </c>
      <c r="I154">
        <f t="array" ref="I154">SUMIF(A:A,A154,F:F)</f>
        <v>46795.570000000007</v>
      </c>
      <c r="J154">
        <f t="array" ref="J154">5 - INT(5 * (RANK(G154,G:G, 1) - 1) / COUNT(G:G))</f>
        <v>1</v>
      </c>
      <c r="K154">
        <f t="array" ref="K154">INT(5 * (RANK(H154,H:H, 0) - 1) / COUNT(H:H)) + 1</f>
        <v>1</v>
      </c>
      <c r="L154">
        <f t="array" ref="L154">INT(5 * (RANK(I154,I:I, 0) - 1) / COUNT(I:I)) + 1</f>
        <v>1</v>
      </c>
      <c r="M154" t="str">
        <f t="shared" si="4"/>
        <v>111</v>
      </c>
      <c r="N154" s="6" t="str">
        <f t="shared" si="5"/>
        <v>Lost</v>
      </c>
    </row>
    <row r="155" spans="1:14" x14ac:dyDescent="0.35">
      <c r="A155">
        <v>1170</v>
      </c>
      <c r="B155" s="4">
        <v>45449.375085336993</v>
      </c>
      <c r="C155" t="s">
        <v>6</v>
      </c>
      <c r="D155" t="s">
        <v>19</v>
      </c>
      <c r="E155" t="s">
        <v>24</v>
      </c>
      <c r="F155">
        <v>4475.55</v>
      </c>
      <c r="G155">
        <f t="array" ref="G155">SalesData!$I$2 - 'RFM Table'!B155</f>
        <v>687</v>
      </c>
      <c r="H155">
        <f t="array" ref="H155">COUNTIF(A:A,A155)</f>
        <v>5</v>
      </c>
      <c r="I155">
        <f t="array" ref="I155">SUMIF(A:A,A155,F:F)</f>
        <v>28709.97</v>
      </c>
      <c r="J155">
        <f t="array" ref="J155">5 - INT(5 * (RANK(G155,G:G, 1) - 1) / COUNT(G:G))</f>
        <v>1</v>
      </c>
      <c r="K155">
        <f t="array" ref="K155">INT(5 * (RANK(H155,H:H, 0) - 1) / COUNT(H:H)) + 1</f>
        <v>5</v>
      </c>
      <c r="L155">
        <f t="array" ref="L155">INT(5 * (RANK(I155,I:I, 0) - 1) / COUNT(I:I)) + 1</f>
        <v>4</v>
      </c>
      <c r="M155" t="str">
        <f t="shared" si="4"/>
        <v>154</v>
      </c>
      <c r="N155" s="6" t="str">
        <f t="shared" si="5"/>
        <v>At Risk</v>
      </c>
    </row>
    <row r="156" spans="1:14" x14ac:dyDescent="0.35">
      <c r="A156">
        <v>1205</v>
      </c>
      <c r="B156" s="4">
        <v>45450.375085336993</v>
      </c>
      <c r="C156" t="s">
        <v>10</v>
      </c>
      <c r="D156" t="s">
        <v>19</v>
      </c>
      <c r="E156" t="s">
        <v>23</v>
      </c>
      <c r="F156">
        <v>8411.81</v>
      </c>
      <c r="G156">
        <f t="array" ref="G156">SalesData!$I$2 - 'RFM Table'!B156</f>
        <v>686</v>
      </c>
      <c r="H156">
        <f t="array" ref="H156">COUNTIF(A:A,A156)</f>
        <v>6</v>
      </c>
      <c r="I156">
        <f t="array" ref="I156">SUMIF(A:A,A156,F:F)</f>
        <v>24977.25</v>
      </c>
      <c r="J156">
        <f t="array" ref="J156">5 - INT(5 * (RANK(G156,G:G, 1) - 1) / COUNT(G:G))</f>
        <v>1</v>
      </c>
      <c r="K156">
        <f t="array" ref="K156">INT(5 * (RANK(H156,H:H, 0) - 1) / COUNT(H:H)) + 1</f>
        <v>4</v>
      </c>
      <c r="L156">
        <f t="array" ref="L156">INT(5 * (RANK(I156,I:I, 0) - 1) / COUNT(I:I)) + 1</f>
        <v>4</v>
      </c>
      <c r="M156" t="str">
        <f t="shared" si="4"/>
        <v>144</v>
      </c>
      <c r="N156" s="6" t="str">
        <f t="shared" si="5"/>
        <v>At Risk</v>
      </c>
    </row>
    <row r="157" spans="1:14" x14ac:dyDescent="0.35">
      <c r="A157">
        <v>1127</v>
      </c>
      <c r="B157" s="4">
        <v>45450.375085336993</v>
      </c>
      <c r="C157" t="s">
        <v>8</v>
      </c>
      <c r="D157" t="s">
        <v>20</v>
      </c>
      <c r="E157" t="s">
        <v>24</v>
      </c>
      <c r="F157">
        <v>7614.89</v>
      </c>
      <c r="G157">
        <f t="array" ref="G157">SalesData!$I$2 - 'RFM Table'!B157</f>
        <v>686</v>
      </c>
      <c r="H157">
        <f t="array" ref="H157">COUNTIF(A:A,A157)</f>
        <v>9</v>
      </c>
      <c r="I157">
        <f t="array" ref="I157">SUMIF(A:A,A157,F:F)</f>
        <v>30288.86</v>
      </c>
      <c r="J157">
        <f t="array" ref="J157">5 - INT(5 * (RANK(G157,G:G, 1) - 1) / COUNT(G:G))</f>
        <v>1</v>
      </c>
      <c r="K157">
        <f t="array" ref="K157">INT(5 * (RANK(H157,H:H, 0) - 1) / COUNT(H:H)) + 1</f>
        <v>2</v>
      </c>
      <c r="L157">
        <f t="array" ref="L157">INT(5 * (RANK(I157,I:I, 0) - 1) / COUNT(I:I)) + 1</f>
        <v>3</v>
      </c>
      <c r="M157" t="str">
        <f t="shared" si="4"/>
        <v>123</v>
      </c>
      <c r="N157" s="6" t="str">
        <f t="shared" si="5"/>
        <v>Can't Lose Them</v>
      </c>
    </row>
    <row r="158" spans="1:14" x14ac:dyDescent="0.35">
      <c r="A158">
        <v>1257</v>
      </c>
      <c r="B158" s="4">
        <v>45450.375085336993</v>
      </c>
      <c r="C158" t="s">
        <v>8</v>
      </c>
      <c r="D158" t="s">
        <v>20</v>
      </c>
      <c r="E158" t="s">
        <v>23</v>
      </c>
      <c r="F158">
        <v>55.04</v>
      </c>
      <c r="G158">
        <f t="array" ref="G158">SalesData!$I$2 - 'RFM Table'!B158</f>
        <v>686</v>
      </c>
      <c r="H158">
        <f t="array" ref="H158">COUNTIF(A:A,A158)</f>
        <v>8</v>
      </c>
      <c r="I158">
        <f t="array" ref="I158">SUMIF(A:A,A158,F:F)</f>
        <v>17550.599999999999</v>
      </c>
      <c r="J158">
        <f t="array" ref="J158">5 - INT(5 * (RANK(G158,G:G, 1) - 1) / COUNT(G:G))</f>
        <v>1</v>
      </c>
      <c r="K158">
        <f t="array" ref="K158">INT(5 * (RANK(H158,H:H, 0) - 1) / COUNT(H:H)) + 1</f>
        <v>3</v>
      </c>
      <c r="L158">
        <f t="array" ref="L158">INT(5 * (RANK(I158,I:I, 0) - 1) / COUNT(I:I)) + 1</f>
        <v>5</v>
      </c>
      <c r="M158" t="str">
        <f t="shared" si="4"/>
        <v>135</v>
      </c>
      <c r="N158" s="6" t="str">
        <f t="shared" si="5"/>
        <v>At Risk</v>
      </c>
    </row>
    <row r="159" spans="1:14" x14ac:dyDescent="0.35">
      <c r="A159">
        <v>1389</v>
      </c>
      <c r="B159" s="4">
        <v>45450.375085336993</v>
      </c>
      <c r="C159" t="s">
        <v>8</v>
      </c>
      <c r="D159" t="s">
        <v>20</v>
      </c>
      <c r="E159" t="s">
        <v>24</v>
      </c>
      <c r="F159">
        <v>8002.28</v>
      </c>
      <c r="G159">
        <f t="array" ref="G159">SalesData!$I$2 - 'RFM Table'!B159</f>
        <v>686</v>
      </c>
      <c r="H159">
        <f t="array" ref="H159">COUNTIF(A:A,A159)</f>
        <v>8</v>
      </c>
      <c r="I159">
        <f t="array" ref="I159">SUMIF(A:A,A159,F:F)</f>
        <v>35723.81</v>
      </c>
      <c r="J159">
        <f t="array" ref="J159">5 - INT(5 * (RANK(G159,G:G, 1) - 1) / COUNT(G:G))</f>
        <v>1</v>
      </c>
      <c r="K159">
        <f t="array" ref="K159">INT(5 * (RANK(H159,H:H, 0) - 1) / COUNT(H:H)) + 1</f>
        <v>3</v>
      </c>
      <c r="L159">
        <f t="array" ref="L159">INT(5 * (RANK(I159,I:I, 0) - 1) / COUNT(I:I)) + 1</f>
        <v>3</v>
      </c>
      <c r="M159" t="str">
        <f t="shared" si="4"/>
        <v>133</v>
      </c>
      <c r="N159" s="6" t="str">
        <f t="shared" si="5"/>
        <v>At Risk</v>
      </c>
    </row>
    <row r="160" spans="1:14" x14ac:dyDescent="0.35">
      <c r="A160">
        <v>1254</v>
      </c>
      <c r="B160" s="4">
        <v>45450.375085336993</v>
      </c>
      <c r="C160" t="s">
        <v>9</v>
      </c>
      <c r="D160" t="s">
        <v>18</v>
      </c>
      <c r="E160" t="s">
        <v>25</v>
      </c>
      <c r="F160">
        <v>3100.95</v>
      </c>
      <c r="G160">
        <f t="array" ref="G160">SalesData!$I$2 - 'RFM Table'!B160</f>
        <v>686</v>
      </c>
      <c r="H160">
        <f t="array" ref="H160">COUNTIF(A:A,A160)</f>
        <v>5</v>
      </c>
      <c r="I160">
        <f t="array" ref="I160">SUMIF(A:A,A160,F:F)</f>
        <v>26657.089999999997</v>
      </c>
      <c r="J160">
        <f t="array" ref="J160">5 - INT(5 * (RANK(G160,G:G, 1) - 1) / COUNT(G:G))</f>
        <v>1</v>
      </c>
      <c r="K160">
        <f t="array" ref="K160">INT(5 * (RANK(H160,H:H, 0) - 1) / COUNT(H:H)) + 1</f>
        <v>5</v>
      </c>
      <c r="L160">
        <f t="array" ref="L160">INT(5 * (RANK(I160,I:I, 0) - 1) / COUNT(I:I)) + 1</f>
        <v>4</v>
      </c>
      <c r="M160" t="str">
        <f t="shared" si="4"/>
        <v>154</v>
      </c>
      <c r="N160" s="6" t="str">
        <f t="shared" si="5"/>
        <v>At Risk</v>
      </c>
    </row>
    <row r="161" spans="1:14" x14ac:dyDescent="0.35">
      <c r="A161">
        <v>1244</v>
      </c>
      <c r="B161" s="4">
        <v>45451.375085336993</v>
      </c>
      <c r="C161" t="s">
        <v>6</v>
      </c>
      <c r="D161" t="s">
        <v>16</v>
      </c>
      <c r="E161" t="s">
        <v>24</v>
      </c>
      <c r="F161">
        <v>1873.14</v>
      </c>
      <c r="G161">
        <f t="array" ref="G161">SalesData!$I$2 - 'RFM Table'!B161</f>
        <v>685</v>
      </c>
      <c r="H161">
        <f t="array" ref="H161">COUNTIF(A:A,A161)</f>
        <v>3</v>
      </c>
      <c r="I161">
        <f t="array" ref="I161">SUMIF(A:A,A161,F:F)</f>
        <v>9190.25</v>
      </c>
      <c r="J161">
        <f t="array" ref="J161">5 - INT(5 * (RANK(G161,G:G, 1) - 1) / COUNT(G:G))</f>
        <v>1</v>
      </c>
      <c r="K161">
        <f t="array" ref="K161">INT(5 * (RANK(H161,H:H, 0) - 1) / COUNT(H:H)) + 1</f>
        <v>5</v>
      </c>
      <c r="L161">
        <f t="array" ref="L161">INT(5 * (RANK(I161,I:I, 0) - 1) / COUNT(I:I)) + 1</f>
        <v>5</v>
      </c>
      <c r="M161" t="str">
        <f t="shared" si="4"/>
        <v>155</v>
      </c>
      <c r="N161" s="6" t="str">
        <f t="shared" si="5"/>
        <v>At Risk</v>
      </c>
    </row>
    <row r="162" spans="1:14" x14ac:dyDescent="0.35">
      <c r="A162">
        <v>1318</v>
      </c>
      <c r="B162" s="4">
        <v>45452.375085336993</v>
      </c>
      <c r="C162" t="s">
        <v>7</v>
      </c>
      <c r="D162" t="s">
        <v>22</v>
      </c>
      <c r="E162" t="s">
        <v>24</v>
      </c>
      <c r="F162">
        <v>2171.9</v>
      </c>
      <c r="G162">
        <f t="array" ref="G162">SalesData!$I$2 - 'RFM Table'!B162</f>
        <v>684</v>
      </c>
      <c r="H162">
        <f t="array" ref="H162">COUNTIF(A:A,A162)</f>
        <v>8</v>
      </c>
      <c r="I162">
        <f t="array" ref="I162">SUMIF(A:A,A162,F:F)</f>
        <v>45571.029999999992</v>
      </c>
      <c r="J162">
        <f t="array" ref="J162">5 - INT(5 * (RANK(G162,G:G, 1) - 1) / COUNT(G:G))</f>
        <v>1</v>
      </c>
      <c r="K162">
        <f t="array" ref="K162">INT(5 * (RANK(H162,H:H, 0) - 1) / COUNT(H:H)) + 1</f>
        <v>3</v>
      </c>
      <c r="L162">
        <f t="array" ref="L162">INT(5 * (RANK(I162,I:I, 0) - 1) / COUNT(I:I)) + 1</f>
        <v>1</v>
      </c>
      <c r="M162" t="str">
        <f t="shared" si="4"/>
        <v>131</v>
      </c>
      <c r="N162" s="6" t="str">
        <f t="shared" si="5"/>
        <v>Others</v>
      </c>
    </row>
    <row r="163" spans="1:14" x14ac:dyDescent="0.35">
      <c r="A163">
        <v>1050</v>
      </c>
      <c r="B163" s="4">
        <v>45452.375085336993</v>
      </c>
      <c r="C163" t="s">
        <v>9</v>
      </c>
      <c r="D163" t="s">
        <v>19</v>
      </c>
      <c r="E163" t="s">
        <v>23</v>
      </c>
      <c r="F163">
        <v>437.69</v>
      </c>
      <c r="G163">
        <f t="array" ref="G163">SalesData!$I$2 - 'RFM Table'!B163</f>
        <v>684</v>
      </c>
      <c r="H163">
        <f t="array" ref="H163">COUNTIF(A:A,A163)</f>
        <v>10</v>
      </c>
      <c r="I163">
        <f t="array" ref="I163">SUMIF(A:A,A163,F:F)</f>
        <v>32732.979999999996</v>
      </c>
      <c r="J163">
        <f t="array" ref="J163">5 - INT(5 * (RANK(G163,G:G, 1) - 1) / COUNT(G:G))</f>
        <v>1</v>
      </c>
      <c r="K163">
        <f t="array" ref="K163">INT(5 * (RANK(H163,H:H, 0) - 1) / COUNT(H:H)) + 1</f>
        <v>2</v>
      </c>
      <c r="L163">
        <f t="array" ref="L163">INT(5 * (RANK(I163,I:I, 0) - 1) / COUNT(I:I)) + 1</f>
        <v>3</v>
      </c>
      <c r="M163" t="str">
        <f t="shared" si="4"/>
        <v>123</v>
      </c>
      <c r="N163" s="6" t="str">
        <f t="shared" si="5"/>
        <v>Can't Lose Them</v>
      </c>
    </row>
    <row r="164" spans="1:14" x14ac:dyDescent="0.35">
      <c r="A164">
        <v>1276</v>
      </c>
      <c r="B164" s="4">
        <v>45452.375085336993</v>
      </c>
      <c r="C164" t="s">
        <v>13</v>
      </c>
      <c r="D164" t="s">
        <v>18</v>
      </c>
      <c r="E164" t="s">
        <v>24</v>
      </c>
      <c r="F164">
        <v>1971.22</v>
      </c>
      <c r="G164">
        <f t="array" ref="G164">SalesData!$I$2 - 'RFM Table'!B164</f>
        <v>684</v>
      </c>
      <c r="H164">
        <f t="array" ref="H164">COUNTIF(A:A,A164)</f>
        <v>11</v>
      </c>
      <c r="I164">
        <f t="array" ref="I164">SUMIF(A:A,A164,F:F)</f>
        <v>38337.789999999994</v>
      </c>
      <c r="J164">
        <f t="array" ref="J164">5 - INT(5 * (RANK(G164,G:G, 1) - 1) / COUNT(G:G))</f>
        <v>1</v>
      </c>
      <c r="K164">
        <f t="array" ref="K164">INT(5 * (RANK(H164,H:H, 0) - 1) / COUNT(H:H)) + 1</f>
        <v>1</v>
      </c>
      <c r="L164">
        <f t="array" ref="L164">INT(5 * (RANK(I164,I:I, 0) - 1) / COUNT(I:I)) + 1</f>
        <v>2</v>
      </c>
      <c r="M164" t="str">
        <f t="shared" si="4"/>
        <v>112</v>
      </c>
      <c r="N164" s="6" t="str">
        <f t="shared" si="5"/>
        <v>Lost</v>
      </c>
    </row>
    <row r="165" spans="1:14" x14ac:dyDescent="0.35">
      <c r="A165">
        <v>1262</v>
      </c>
      <c r="B165" s="4">
        <v>45452.375085336993</v>
      </c>
      <c r="C165" t="s">
        <v>8</v>
      </c>
      <c r="D165" t="s">
        <v>21</v>
      </c>
      <c r="E165" t="s">
        <v>23</v>
      </c>
      <c r="F165">
        <v>1366.83</v>
      </c>
      <c r="G165">
        <f t="array" ref="G165">SalesData!$I$2 - 'RFM Table'!B165</f>
        <v>684</v>
      </c>
      <c r="H165">
        <f t="array" ref="H165">COUNTIF(A:A,A165)</f>
        <v>6</v>
      </c>
      <c r="I165">
        <f t="array" ref="I165">SUMIF(A:A,A165,F:F)</f>
        <v>15936.029999999999</v>
      </c>
      <c r="J165">
        <f t="array" ref="J165">5 - INT(5 * (RANK(G165,G:G, 1) - 1) / COUNT(G:G))</f>
        <v>1</v>
      </c>
      <c r="K165">
        <f t="array" ref="K165">INT(5 * (RANK(H165,H:H, 0) - 1) / COUNT(H:H)) + 1</f>
        <v>4</v>
      </c>
      <c r="L165">
        <f t="array" ref="L165">INT(5 * (RANK(I165,I:I, 0) - 1) / COUNT(I:I)) + 1</f>
        <v>5</v>
      </c>
      <c r="M165" t="str">
        <f t="shared" si="4"/>
        <v>145</v>
      </c>
      <c r="N165" s="6" t="str">
        <f t="shared" si="5"/>
        <v>At Risk</v>
      </c>
    </row>
    <row r="166" spans="1:14" x14ac:dyDescent="0.35">
      <c r="A166">
        <v>1359</v>
      </c>
      <c r="B166" s="4">
        <v>45452.375085336993</v>
      </c>
      <c r="C166" t="s">
        <v>12</v>
      </c>
      <c r="D166" t="s">
        <v>21</v>
      </c>
      <c r="E166" t="s">
        <v>23</v>
      </c>
      <c r="F166">
        <v>1046.7</v>
      </c>
      <c r="G166">
        <f t="array" ref="G166">SalesData!$I$2 - 'RFM Table'!B166</f>
        <v>684</v>
      </c>
      <c r="H166">
        <f t="array" ref="H166">COUNTIF(A:A,A166)</f>
        <v>13</v>
      </c>
      <c r="I166">
        <f t="array" ref="I166">SUMIF(A:A,A166,F:F)</f>
        <v>40402.14</v>
      </c>
      <c r="J166">
        <f t="array" ref="J166">5 - INT(5 * (RANK(G166,G:G, 1) - 1) / COUNT(G:G))</f>
        <v>1</v>
      </c>
      <c r="K166">
        <f t="array" ref="K166">INT(5 * (RANK(H166,H:H, 0) - 1) / COUNT(H:H)) + 1</f>
        <v>1</v>
      </c>
      <c r="L166">
        <f t="array" ref="L166">INT(5 * (RANK(I166,I:I, 0) - 1) / COUNT(I:I)) + 1</f>
        <v>2</v>
      </c>
      <c r="M166" t="str">
        <f t="shared" si="4"/>
        <v>112</v>
      </c>
      <c r="N166" s="6" t="str">
        <f t="shared" si="5"/>
        <v>Lost</v>
      </c>
    </row>
    <row r="167" spans="1:14" x14ac:dyDescent="0.35">
      <c r="A167">
        <v>1152</v>
      </c>
      <c r="B167" s="4">
        <v>45453.375085336993</v>
      </c>
      <c r="C167" t="s">
        <v>7</v>
      </c>
      <c r="D167" t="s">
        <v>17</v>
      </c>
      <c r="E167" t="s">
        <v>25</v>
      </c>
      <c r="F167">
        <v>2179.54</v>
      </c>
      <c r="G167">
        <f t="array" ref="G167">SalesData!$I$2 - 'RFM Table'!B167</f>
        <v>683</v>
      </c>
      <c r="H167">
        <f t="array" ref="H167">COUNTIF(A:A,A167)</f>
        <v>9</v>
      </c>
      <c r="I167">
        <f t="array" ref="I167">SUMIF(A:A,A167,F:F)</f>
        <v>34982.139999999992</v>
      </c>
      <c r="J167">
        <f t="array" ref="J167">5 - INT(5 * (RANK(G167,G:G, 1) - 1) / COUNT(G:G))</f>
        <v>1</v>
      </c>
      <c r="K167">
        <f t="array" ref="K167">INT(5 * (RANK(H167,H:H, 0) - 1) / COUNT(H:H)) + 1</f>
        <v>2</v>
      </c>
      <c r="L167">
        <f t="array" ref="L167">INT(5 * (RANK(I167,I:I, 0) - 1) / COUNT(I:I)) + 1</f>
        <v>3</v>
      </c>
      <c r="M167" t="str">
        <f t="shared" si="4"/>
        <v>123</v>
      </c>
      <c r="N167" s="6" t="str">
        <f t="shared" si="5"/>
        <v>Can't Lose Them</v>
      </c>
    </row>
    <row r="168" spans="1:14" x14ac:dyDescent="0.35">
      <c r="A168">
        <v>1010</v>
      </c>
      <c r="B168" s="4">
        <v>45453.375085336993</v>
      </c>
      <c r="C168" t="s">
        <v>8</v>
      </c>
      <c r="D168" t="s">
        <v>18</v>
      </c>
      <c r="E168" t="s">
        <v>24</v>
      </c>
      <c r="F168">
        <v>4735.92</v>
      </c>
      <c r="G168">
        <f t="array" ref="G168">SalesData!$I$2 - 'RFM Table'!B168</f>
        <v>683</v>
      </c>
      <c r="H168">
        <f t="array" ref="H168">COUNTIF(A:A,A168)</f>
        <v>7</v>
      </c>
      <c r="I168">
        <f t="array" ref="I168">SUMIF(A:A,A168,F:F)</f>
        <v>26629.329999999998</v>
      </c>
      <c r="J168">
        <f t="array" ref="J168">5 - INT(5 * (RANK(G168,G:G, 1) - 1) / COUNT(G:G))</f>
        <v>1</v>
      </c>
      <c r="K168">
        <f t="array" ref="K168">INT(5 * (RANK(H168,H:H, 0) - 1) / COUNT(H:H)) + 1</f>
        <v>4</v>
      </c>
      <c r="L168">
        <f t="array" ref="L168">INT(5 * (RANK(I168,I:I, 0) - 1) / COUNT(I:I)) + 1</f>
        <v>4</v>
      </c>
      <c r="M168" t="str">
        <f t="shared" si="4"/>
        <v>144</v>
      </c>
      <c r="N168" s="6" t="str">
        <f t="shared" si="5"/>
        <v>At Risk</v>
      </c>
    </row>
    <row r="169" spans="1:14" x14ac:dyDescent="0.35">
      <c r="A169">
        <v>1196</v>
      </c>
      <c r="B169" s="4">
        <v>45453.375085336993</v>
      </c>
      <c r="C169" t="s">
        <v>15</v>
      </c>
      <c r="D169" t="s">
        <v>22</v>
      </c>
      <c r="E169" t="s">
        <v>25</v>
      </c>
      <c r="F169">
        <v>6094.64</v>
      </c>
      <c r="G169">
        <f t="array" ref="G169">SalesData!$I$2 - 'RFM Table'!B169</f>
        <v>683</v>
      </c>
      <c r="H169">
        <f t="array" ref="H169">COUNTIF(A:A,A169)</f>
        <v>3</v>
      </c>
      <c r="I169">
        <f t="array" ref="I169">SUMIF(A:A,A169,F:F)</f>
        <v>17686.849999999999</v>
      </c>
      <c r="J169">
        <f t="array" ref="J169">5 - INT(5 * (RANK(G169,G:G, 1) - 1) / COUNT(G:G))</f>
        <v>1</v>
      </c>
      <c r="K169">
        <f t="array" ref="K169">INT(5 * (RANK(H169,H:H, 0) - 1) / COUNT(H:H)) + 1</f>
        <v>5</v>
      </c>
      <c r="L169">
        <f t="array" ref="L169">INT(5 * (RANK(I169,I:I, 0) - 1) / COUNT(I:I)) + 1</f>
        <v>5</v>
      </c>
      <c r="M169" t="str">
        <f t="shared" si="4"/>
        <v>155</v>
      </c>
      <c r="N169" s="6" t="str">
        <f t="shared" si="5"/>
        <v>At Risk</v>
      </c>
    </row>
    <row r="170" spans="1:14" x14ac:dyDescent="0.35">
      <c r="A170">
        <v>1001</v>
      </c>
      <c r="B170" s="4">
        <v>45453.375085336993</v>
      </c>
      <c r="C170" t="s">
        <v>13</v>
      </c>
      <c r="D170" t="s">
        <v>19</v>
      </c>
      <c r="E170" t="s">
        <v>24</v>
      </c>
      <c r="F170">
        <v>7329.48</v>
      </c>
      <c r="G170">
        <f t="array" ref="G170">SalesData!$I$2 - 'RFM Table'!B170</f>
        <v>683</v>
      </c>
      <c r="H170">
        <f t="array" ref="H170">COUNTIF(A:A,A170)</f>
        <v>7</v>
      </c>
      <c r="I170">
        <f t="array" ref="I170">SUMIF(A:A,A170,F:F)</f>
        <v>33081.189999999995</v>
      </c>
      <c r="J170">
        <f t="array" ref="J170">5 - INT(5 * (RANK(G170,G:G, 1) - 1) / COUNT(G:G))</f>
        <v>1</v>
      </c>
      <c r="K170">
        <f t="array" ref="K170">INT(5 * (RANK(H170,H:H, 0) - 1) / COUNT(H:H)) + 1</f>
        <v>4</v>
      </c>
      <c r="L170">
        <f t="array" ref="L170">INT(5 * (RANK(I170,I:I, 0) - 1) / COUNT(I:I)) + 1</f>
        <v>3</v>
      </c>
      <c r="M170" t="str">
        <f t="shared" si="4"/>
        <v>143</v>
      </c>
      <c r="N170" s="6" t="str">
        <f t="shared" si="5"/>
        <v>At Risk</v>
      </c>
    </row>
    <row r="171" spans="1:14" x14ac:dyDescent="0.35">
      <c r="A171">
        <v>1268</v>
      </c>
      <c r="B171" s="4">
        <v>45453.375085336993</v>
      </c>
      <c r="C171" t="s">
        <v>7</v>
      </c>
      <c r="D171" t="s">
        <v>18</v>
      </c>
      <c r="E171" t="s">
        <v>23</v>
      </c>
      <c r="F171">
        <v>4684.7299999999996</v>
      </c>
      <c r="G171">
        <f t="array" ref="G171">SalesData!$I$2 - 'RFM Table'!B171</f>
        <v>683</v>
      </c>
      <c r="H171">
        <f t="array" ref="H171">COUNTIF(A:A,A171)</f>
        <v>8</v>
      </c>
      <c r="I171">
        <f t="array" ref="I171">SUMIF(A:A,A171,F:F)</f>
        <v>48110.42</v>
      </c>
      <c r="J171">
        <f t="array" ref="J171">5 - INT(5 * (RANK(G171,G:G, 1) - 1) / COUNT(G:G))</f>
        <v>1</v>
      </c>
      <c r="K171">
        <f t="array" ref="K171">INT(5 * (RANK(H171,H:H, 0) - 1) / COUNT(H:H)) + 1</f>
        <v>3</v>
      </c>
      <c r="L171">
        <f t="array" ref="L171">INT(5 * (RANK(I171,I:I, 0) - 1) / COUNT(I:I)) + 1</f>
        <v>1</v>
      </c>
      <c r="M171" t="str">
        <f t="shared" si="4"/>
        <v>131</v>
      </c>
      <c r="N171" s="6" t="str">
        <f t="shared" si="5"/>
        <v>Others</v>
      </c>
    </row>
    <row r="172" spans="1:14" x14ac:dyDescent="0.35">
      <c r="A172">
        <v>1095</v>
      </c>
      <c r="B172" s="4">
        <v>45454.375085336993</v>
      </c>
      <c r="C172" t="s">
        <v>11</v>
      </c>
      <c r="D172" t="s">
        <v>16</v>
      </c>
      <c r="E172" t="s">
        <v>23</v>
      </c>
      <c r="F172">
        <v>1903.07</v>
      </c>
      <c r="G172">
        <f t="array" ref="G172">SalesData!$I$2 - 'RFM Table'!B172</f>
        <v>682</v>
      </c>
      <c r="H172">
        <f t="array" ref="H172">COUNTIF(A:A,A172)</f>
        <v>9</v>
      </c>
      <c r="I172">
        <f t="array" ref="I172">SUMIF(A:A,A172,F:F)</f>
        <v>48530.240000000005</v>
      </c>
      <c r="J172">
        <f t="array" ref="J172">5 - INT(5 * (RANK(G172,G:G, 1) - 1) / COUNT(G:G))</f>
        <v>1</v>
      </c>
      <c r="K172">
        <f t="array" ref="K172">INT(5 * (RANK(H172,H:H, 0) - 1) / COUNT(H:H)) + 1</f>
        <v>2</v>
      </c>
      <c r="L172">
        <f t="array" ref="L172">INT(5 * (RANK(I172,I:I, 0) - 1) / COUNT(I:I)) + 1</f>
        <v>1</v>
      </c>
      <c r="M172" t="str">
        <f t="shared" si="4"/>
        <v>121</v>
      </c>
      <c r="N172" s="6" t="str">
        <f t="shared" si="5"/>
        <v>Lost</v>
      </c>
    </row>
    <row r="173" spans="1:14" x14ac:dyDescent="0.35">
      <c r="A173">
        <v>1301</v>
      </c>
      <c r="B173" s="4">
        <v>45454.375085336993</v>
      </c>
      <c r="C173" t="s">
        <v>7</v>
      </c>
      <c r="D173" t="s">
        <v>17</v>
      </c>
      <c r="E173" t="s">
        <v>23</v>
      </c>
      <c r="F173">
        <v>3279.15</v>
      </c>
      <c r="G173">
        <f t="array" ref="G173">SalesData!$I$2 - 'RFM Table'!B173</f>
        <v>682</v>
      </c>
      <c r="H173">
        <f t="array" ref="H173">COUNTIF(A:A,A173)</f>
        <v>12</v>
      </c>
      <c r="I173">
        <f t="array" ref="I173">SUMIF(A:A,A173,F:F)</f>
        <v>44897.450000000004</v>
      </c>
      <c r="J173">
        <f t="array" ref="J173">5 - INT(5 * (RANK(G173,G:G, 1) - 1) / COUNT(G:G))</f>
        <v>1</v>
      </c>
      <c r="K173">
        <f t="array" ref="K173">INT(5 * (RANK(H173,H:H, 0) - 1) / COUNT(H:H)) + 1</f>
        <v>1</v>
      </c>
      <c r="L173">
        <f t="array" ref="L173">INT(5 * (RANK(I173,I:I, 0) - 1) / COUNT(I:I)) + 1</f>
        <v>1</v>
      </c>
      <c r="M173" t="str">
        <f t="shared" si="4"/>
        <v>111</v>
      </c>
      <c r="N173" s="6" t="str">
        <f t="shared" si="5"/>
        <v>Lost</v>
      </c>
    </row>
    <row r="174" spans="1:14" x14ac:dyDescent="0.35">
      <c r="A174">
        <v>1023</v>
      </c>
      <c r="B174" s="4">
        <v>45454.375085336993</v>
      </c>
      <c r="C174" t="s">
        <v>14</v>
      </c>
      <c r="D174" t="s">
        <v>17</v>
      </c>
      <c r="E174" t="s">
        <v>24</v>
      </c>
      <c r="F174">
        <v>4175.9399999999996</v>
      </c>
      <c r="G174">
        <f t="array" ref="G174">SalesData!$I$2 - 'RFM Table'!B174</f>
        <v>682</v>
      </c>
      <c r="H174">
        <f t="array" ref="H174">COUNTIF(A:A,A174)</f>
        <v>3</v>
      </c>
      <c r="I174">
        <f t="array" ref="I174">SUMIF(A:A,A174,F:F)</f>
        <v>14886.69</v>
      </c>
      <c r="J174">
        <f t="array" ref="J174">5 - INT(5 * (RANK(G174,G:G, 1) - 1) / COUNT(G:G))</f>
        <v>1</v>
      </c>
      <c r="K174">
        <f t="array" ref="K174">INT(5 * (RANK(H174,H:H, 0) - 1) / COUNT(H:H)) + 1</f>
        <v>5</v>
      </c>
      <c r="L174">
        <f t="array" ref="L174">INT(5 * (RANK(I174,I:I, 0) - 1) / COUNT(I:I)) + 1</f>
        <v>5</v>
      </c>
      <c r="M174" t="str">
        <f t="shared" si="4"/>
        <v>155</v>
      </c>
      <c r="N174" s="6" t="str">
        <f t="shared" si="5"/>
        <v>At Risk</v>
      </c>
    </row>
    <row r="175" spans="1:14" x14ac:dyDescent="0.35">
      <c r="A175">
        <v>1205</v>
      </c>
      <c r="B175" s="4">
        <v>45454.375085336993</v>
      </c>
      <c r="C175" t="s">
        <v>15</v>
      </c>
      <c r="D175" t="s">
        <v>17</v>
      </c>
      <c r="E175" t="s">
        <v>23</v>
      </c>
      <c r="F175">
        <v>2890.76</v>
      </c>
      <c r="G175">
        <f t="array" ref="G175">SalesData!$I$2 - 'RFM Table'!B175</f>
        <v>682</v>
      </c>
      <c r="H175">
        <f t="array" ref="H175">COUNTIF(A:A,A175)</f>
        <v>6</v>
      </c>
      <c r="I175">
        <f t="array" ref="I175">SUMIF(A:A,A175,F:F)</f>
        <v>24977.25</v>
      </c>
      <c r="J175">
        <f t="array" ref="J175">5 - INT(5 * (RANK(G175,G:G, 1) - 1) / COUNT(G:G))</f>
        <v>1</v>
      </c>
      <c r="K175">
        <f t="array" ref="K175">INT(5 * (RANK(H175,H:H, 0) - 1) / COUNT(H:H)) + 1</f>
        <v>4</v>
      </c>
      <c r="L175">
        <f t="array" ref="L175">INT(5 * (RANK(I175,I:I, 0) - 1) / COUNT(I:I)) + 1</f>
        <v>4</v>
      </c>
      <c r="M175" t="str">
        <f t="shared" si="4"/>
        <v>144</v>
      </c>
      <c r="N175" s="6" t="str">
        <f t="shared" si="5"/>
        <v>At Risk</v>
      </c>
    </row>
    <row r="176" spans="1:14" x14ac:dyDescent="0.35">
      <c r="A176">
        <v>1188</v>
      </c>
      <c r="B176" s="4">
        <v>45454.375085336993</v>
      </c>
      <c r="C176" t="s">
        <v>12</v>
      </c>
      <c r="D176" t="s">
        <v>16</v>
      </c>
      <c r="E176" t="s">
        <v>24</v>
      </c>
      <c r="F176">
        <v>5260.45</v>
      </c>
      <c r="G176">
        <f t="array" ref="G176">SalesData!$I$2 - 'RFM Table'!B176</f>
        <v>682</v>
      </c>
      <c r="H176">
        <f t="array" ref="H176">COUNTIF(A:A,A176)</f>
        <v>4</v>
      </c>
      <c r="I176">
        <f t="array" ref="I176">SUMIF(A:A,A176,F:F)</f>
        <v>21498.129999999997</v>
      </c>
      <c r="J176">
        <f t="array" ref="J176">5 - INT(5 * (RANK(G176,G:G, 1) - 1) / COUNT(G:G))</f>
        <v>1</v>
      </c>
      <c r="K176">
        <f t="array" ref="K176">INT(5 * (RANK(H176,H:H, 0) - 1) / COUNT(H:H)) + 1</f>
        <v>5</v>
      </c>
      <c r="L176">
        <f t="array" ref="L176">INT(5 * (RANK(I176,I:I, 0) - 1) / COUNT(I:I)) + 1</f>
        <v>5</v>
      </c>
      <c r="M176" t="str">
        <f t="shared" si="4"/>
        <v>155</v>
      </c>
      <c r="N176" s="6" t="str">
        <f t="shared" si="5"/>
        <v>At Risk</v>
      </c>
    </row>
    <row r="177" spans="1:14" x14ac:dyDescent="0.35">
      <c r="A177">
        <v>1228</v>
      </c>
      <c r="B177" s="4">
        <v>45454.375085336993</v>
      </c>
      <c r="C177" t="s">
        <v>15</v>
      </c>
      <c r="D177" t="s">
        <v>22</v>
      </c>
      <c r="E177" t="s">
        <v>24</v>
      </c>
      <c r="F177">
        <v>6021.4</v>
      </c>
      <c r="G177">
        <f t="array" ref="G177">SalesData!$I$2 - 'RFM Table'!B177</f>
        <v>682</v>
      </c>
      <c r="H177">
        <f t="array" ref="H177">COUNTIF(A:A,A177)</f>
        <v>13</v>
      </c>
      <c r="I177">
        <f t="array" ref="I177">SUMIF(A:A,A177,F:F)</f>
        <v>47658.630000000005</v>
      </c>
      <c r="J177">
        <f t="array" ref="J177">5 - INT(5 * (RANK(G177,G:G, 1) - 1) / COUNT(G:G))</f>
        <v>1</v>
      </c>
      <c r="K177">
        <f t="array" ref="K177">INT(5 * (RANK(H177,H:H, 0) - 1) / COUNT(H:H)) + 1</f>
        <v>1</v>
      </c>
      <c r="L177">
        <f t="array" ref="L177">INT(5 * (RANK(I177,I:I, 0) - 1) / COUNT(I:I)) + 1</f>
        <v>1</v>
      </c>
      <c r="M177" t="str">
        <f t="shared" si="4"/>
        <v>111</v>
      </c>
      <c r="N177" s="6" t="str">
        <f t="shared" si="5"/>
        <v>Lost</v>
      </c>
    </row>
    <row r="178" spans="1:14" x14ac:dyDescent="0.35">
      <c r="A178">
        <v>1077</v>
      </c>
      <c r="B178" s="4">
        <v>45454.375085336993</v>
      </c>
      <c r="C178" t="s">
        <v>6</v>
      </c>
      <c r="D178" t="s">
        <v>20</v>
      </c>
      <c r="E178" t="s">
        <v>23</v>
      </c>
      <c r="F178">
        <v>4427.26</v>
      </c>
      <c r="G178">
        <f t="array" ref="G178">SalesData!$I$2 - 'RFM Table'!B178</f>
        <v>682</v>
      </c>
      <c r="H178">
        <f t="array" ref="H178">COUNTIF(A:A,A178)</f>
        <v>8</v>
      </c>
      <c r="I178">
        <f t="array" ref="I178">SUMIF(A:A,A178,F:F)</f>
        <v>28309.71</v>
      </c>
      <c r="J178">
        <f t="array" ref="J178">5 - INT(5 * (RANK(G178,G:G, 1) - 1) / COUNT(G:G))</f>
        <v>1</v>
      </c>
      <c r="K178">
        <f t="array" ref="K178">INT(5 * (RANK(H178,H:H, 0) - 1) / COUNT(H:H)) + 1</f>
        <v>3</v>
      </c>
      <c r="L178">
        <f t="array" ref="L178">INT(5 * (RANK(I178,I:I, 0) - 1) / COUNT(I:I)) + 1</f>
        <v>4</v>
      </c>
      <c r="M178" t="str">
        <f t="shared" si="4"/>
        <v>134</v>
      </c>
      <c r="N178" s="6" t="str">
        <f t="shared" si="5"/>
        <v>At Risk</v>
      </c>
    </row>
    <row r="179" spans="1:14" x14ac:dyDescent="0.35">
      <c r="A179">
        <v>1351</v>
      </c>
      <c r="B179" s="4">
        <v>45455.375085336993</v>
      </c>
      <c r="C179" t="s">
        <v>10</v>
      </c>
      <c r="D179" t="s">
        <v>16</v>
      </c>
      <c r="E179" t="s">
        <v>25</v>
      </c>
      <c r="F179">
        <v>7983.15</v>
      </c>
      <c r="G179">
        <f t="array" ref="G179">SalesData!$I$2 - 'RFM Table'!B179</f>
        <v>681</v>
      </c>
      <c r="H179">
        <f t="array" ref="H179">COUNTIF(A:A,A179)</f>
        <v>7</v>
      </c>
      <c r="I179">
        <f t="array" ref="I179">SUMIF(A:A,A179,F:F)</f>
        <v>18845.82</v>
      </c>
      <c r="J179">
        <f t="array" ref="J179">5 - INT(5 * (RANK(G179,G:G, 1) - 1) / COUNT(G:G))</f>
        <v>1</v>
      </c>
      <c r="K179">
        <f t="array" ref="K179">INT(5 * (RANK(H179,H:H, 0) - 1) / COUNT(H:H)) + 1</f>
        <v>4</v>
      </c>
      <c r="L179">
        <f t="array" ref="L179">INT(5 * (RANK(I179,I:I, 0) - 1) / COUNT(I:I)) + 1</f>
        <v>5</v>
      </c>
      <c r="M179" t="str">
        <f t="shared" si="4"/>
        <v>145</v>
      </c>
      <c r="N179" s="6" t="str">
        <f t="shared" si="5"/>
        <v>At Risk</v>
      </c>
    </row>
    <row r="180" spans="1:14" x14ac:dyDescent="0.35">
      <c r="A180">
        <v>1187</v>
      </c>
      <c r="B180" s="4">
        <v>45455.375085336993</v>
      </c>
      <c r="C180" t="s">
        <v>7</v>
      </c>
      <c r="D180" t="s">
        <v>20</v>
      </c>
      <c r="E180" t="s">
        <v>25</v>
      </c>
      <c r="F180">
        <v>6304.55</v>
      </c>
      <c r="G180">
        <f t="array" ref="G180">SalesData!$I$2 - 'RFM Table'!B180</f>
        <v>681</v>
      </c>
      <c r="H180">
        <f t="array" ref="H180">COUNTIF(A:A,A180)</f>
        <v>11</v>
      </c>
      <c r="I180">
        <f t="array" ref="I180">SUMIF(A:A,A180,F:F)</f>
        <v>43247.159999999996</v>
      </c>
      <c r="J180">
        <f t="array" ref="J180">5 - INT(5 * (RANK(G180,G:G, 1) - 1) / COUNT(G:G))</f>
        <v>1</v>
      </c>
      <c r="K180">
        <f t="array" ref="K180">INT(5 * (RANK(H180,H:H, 0) - 1) / COUNT(H:H)) + 1</f>
        <v>1</v>
      </c>
      <c r="L180">
        <f t="array" ref="L180">INT(5 * (RANK(I180,I:I, 0) - 1) / COUNT(I:I)) + 1</f>
        <v>2</v>
      </c>
      <c r="M180" t="str">
        <f t="shared" si="4"/>
        <v>112</v>
      </c>
      <c r="N180" s="6" t="str">
        <f t="shared" si="5"/>
        <v>Lost</v>
      </c>
    </row>
    <row r="181" spans="1:14" x14ac:dyDescent="0.35">
      <c r="A181">
        <v>1352</v>
      </c>
      <c r="B181" s="4">
        <v>45455.375085336993</v>
      </c>
      <c r="C181" t="s">
        <v>7</v>
      </c>
      <c r="D181" t="s">
        <v>21</v>
      </c>
      <c r="E181" t="s">
        <v>24</v>
      </c>
      <c r="F181">
        <v>8482.3700000000008</v>
      </c>
      <c r="G181">
        <f t="array" ref="G181">SalesData!$I$2 - 'RFM Table'!B181</f>
        <v>681</v>
      </c>
      <c r="H181">
        <f t="array" ref="H181">COUNTIF(A:A,A181)</f>
        <v>8</v>
      </c>
      <c r="I181">
        <f t="array" ref="I181">SUMIF(A:A,A181,F:F)</f>
        <v>35204.92</v>
      </c>
      <c r="J181">
        <f t="array" ref="J181">5 - INT(5 * (RANK(G181,G:G, 1) - 1) / COUNT(G:G))</f>
        <v>1</v>
      </c>
      <c r="K181">
        <f t="array" ref="K181">INT(5 * (RANK(H181,H:H, 0) - 1) / COUNT(H:H)) + 1</f>
        <v>3</v>
      </c>
      <c r="L181">
        <f t="array" ref="L181">INT(5 * (RANK(I181,I:I, 0) - 1) / COUNT(I:I)) + 1</f>
        <v>3</v>
      </c>
      <c r="M181" t="str">
        <f t="shared" si="4"/>
        <v>133</v>
      </c>
      <c r="N181" s="6" t="str">
        <f t="shared" si="5"/>
        <v>At Risk</v>
      </c>
    </row>
    <row r="182" spans="1:14" x14ac:dyDescent="0.35">
      <c r="A182">
        <v>1383</v>
      </c>
      <c r="B182" s="4">
        <v>45455.375085336993</v>
      </c>
      <c r="C182" t="s">
        <v>7</v>
      </c>
      <c r="D182" t="s">
        <v>16</v>
      </c>
      <c r="E182" t="s">
        <v>23</v>
      </c>
      <c r="F182">
        <v>5043.3999999999996</v>
      </c>
      <c r="G182">
        <f t="array" ref="G182">SalesData!$I$2 - 'RFM Table'!B182</f>
        <v>681</v>
      </c>
      <c r="H182">
        <f t="array" ref="H182">COUNTIF(A:A,A182)</f>
        <v>6</v>
      </c>
      <c r="I182">
        <f t="array" ref="I182">SUMIF(A:A,A182,F:F)</f>
        <v>27159.870000000003</v>
      </c>
      <c r="J182">
        <f t="array" ref="J182">5 - INT(5 * (RANK(G182,G:G, 1) - 1) / COUNT(G:G))</f>
        <v>1</v>
      </c>
      <c r="K182">
        <f t="array" ref="K182">INT(5 * (RANK(H182,H:H, 0) - 1) / COUNT(H:H)) + 1</f>
        <v>4</v>
      </c>
      <c r="L182">
        <f t="array" ref="L182">INT(5 * (RANK(I182,I:I, 0) - 1) / COUNT(I:I)) + 1</f>
        <v>4</v>
      </c>
      <c r="M182" t="str">
        <f t="shared" si="4"/>
        <v>144</v>
      </c>
      <c r="N182" s="6" t="str">
        <f t="shared" si="5"/>
        <v>At Risk</v>
      </c>
    </row>
    <row r="183" spans="1:14" x14ac:dyDescent="0.35">
      <c r="A183">
        <v>1200</v>
      </c>
      <c r="B183" s="4">
        <v>45455.375085336993</v>
      </c>
      <c r="C183" t="s">
        <v>15</v>
      </c>
      <c r="D183" t="s">
        <v>20</v>
      </c>
      <c r="E183" t="s">
        <v>23</v>
      </c>
      <c r="F183">
        <v>4248.8999999999996</v>
      </c>
      <c r="G183">
        <f t="array" ref="G183">SalesData!$I$2 - 'RFM Table'!B183</f>
        <v>681</v>
      </c>
      <c r="H183">
        <f t="array" ref="H183">COUNTIF(A:A,A183)</f>
        <v>6</v>
      </c>
      <c r="I183">
        <f t="array" ref="I183">SUMIF(A:A,A183,F:F)</f>
        <v>24862.18</v>
      </c>
      <c r="J183">
        <f t="array" ref="J183">5 - INT(5 * (RANK(G183,G:G, 1) - 1) / COUNT(G:G))</f>
        <v>1</v>
      </c>
      <c r="K183">
        <f t="array" ref="K183">INT(5 * (RANK(H183,H:H, 0) - 1) / COUNT(H:H)) + 1</f>
        <v>4</v>
      </c>
      <c r="L183">
        <f t="array" ref="L183">INT(5 * (RANK(I183,I:I, 0) - 1) / COUNT(I:I)) + 1</f>
        <v>4</v>
      </c>
      <c r="M183" t="str">
        <f t="shared" si="4"/>
        <v>144</v>
      </c>
      <c r="N183" s="6" t="str">
        <f t="shared" si="5"/>
        <v>At Risk</v>
      </c>
    </row>
    <row r="184" spans="1:14" x14ac:dyDescent="0.35">
      <c r="A184">
        <v>1315</v>
      </c>
      <c r="B184" s="4">
        <v>45455.375085336993</v>
      </c>
      <c r="C184" t="s">
        <v>9</v>
      </c>
      <c r="D184" t="s">
        <v>18</v>
      </c>
      <c r="E184" t="s">
        <v>24</v>
      </c>
      <c r="F184">
        <v>4703.8100000000004</v>
      </c>
      <c r="G184">
        <f t="array" ref="G184">SalesData!$I$2 - 'RFM Table'!B184</f>
        <v>681</v>
      </c>
      <c r="H184">
        <f t="array" ref="H184">COUNTIF(A:A,A184)</f>
        <v>12</v>
      </c>
      <c r="I184">
        <f t="array" ref="I184">SUMIF(A:A,A184,F:F)</f>
        <v>42776.80999999999</v>
      </c>
      <c r="J184">
        <f t="array" ref="J184">5 - INT(5 * (RANK(G184,G:G, 1) - 1) / COUNT(G:G))</f>
        <v>1</v>
      </c>
      <c r="K184">
        <f t="array" ref="K184">INT(5 * (RANK(H184,H:H, 0) - 1) / COUNT(H:H)) + 1</f>
        <v>1</v>
      </c>
      <c r="L184">
        <f t="array" ref="L184">INT(5 * (RANK(I184,I:I, 0) - 1) / COUNT(I:I)) + 1</f>
        <v>2</v>
      </c>
      <c r="M184" t="str">
        <f t="shared" si="4"/>
        <v>112</v>
      </c>
      <c r="N184" s="6" t="str">
        <f t="shared" si="5"/>
        <v>Lost</v>
      </c>
    </row>
    <row r="185" spans="1:14" x14ac:dyDescent="0.35">
      <c r="A185">
        <v>1039</v>
      </c>
      <c r="B185" s="4">
        <v>45457.375085336993</v>
      </c>
      <c r="C185" t="s">
        <v>13</v>
      </c>
      <c r="D185" t="s">
        <v>20</v>
      </c>
      <c r="E185" t="s">
        <v>25</v>
      </c>
      <c r="F185">
        <v>3211.08</v>
      </c>
      <c r="G185">
        <f t="array" ref="G185">SalesData!$I$2 - 'RFM Table'!B185</f>
        <v>679</v>
      </c>
      <c r="H185">
        <f t="array" ref="H185">COUNTIF(A:A,A185)</f>
        <v>8</v>
      </c>
      <c r="I185">
        <f t="array" ref="I185">SUMIF(A:A,A185,F:F)</f>
        <v>21286.739999999998</v>
      </c>
      <c r="J185">
        <f t="array" ref="J185">5 - INT(5 * (RANK(G185,G:G, 1) - 1) / COUNT(G:G))</f>
        <v>1</v>
      </c>
      <c r="K185">
        <f t="array" ref="K185">INT(5 * (RANK(H185,H:H, 0) - 1) / COUNT(H:H)) + 1</f>
        <v>3</v>
      </c>
      <c r="L185">
        <f t="array" ref="L185">INT(5 * (RANK(I185,I:I, 0) - 1) / COUNT(I:I)) + 1</f>
        <v>5</v>
      </c>
      <c r="M185" t="str">
        <f t="shared" si="4"/>
        <v>135</v>
      </c>
      <c r="N185" s="6" t="str">
        <f t="shared" si="5"/>
        <v>At Risk</v>
      </c>
    </row>
    <row r="186" spans="1:14" x14ac:dyDescent="0.35">
      <c r="A186">
        <v>1033</v>
      </c>
      <c r="B186" s="4">
        <v>45458.375085336993</v>
      </c>
      <c r="C186" t="s">
        <v>11</v>
      </c>
      <c r="D186" t="s">
        <v>18</v>
      </c>
      <c r="E186" t="s">
        <v>24</v>
      </c>
      <c r="F186">
        <v>4203.72</v>
      </c>
      <c r="G186">
        <f t="array" ref="G186">SalesData!$I$2 - 'RFM Table'!B186</f>
        <v>678</v>
      </c>
      <c r="H186">
        <f t="array" ref="H186">COUNTIF(A:A,A186)</f>
        <v>7</v>
      </c>
      <c r="I186">
        <f t="array" ref="I186">SUMIF(A:A,A186,F:F)</f>
        <v>18694.46</v>
      </c>
      <c r="J186">
        <f t="array" ref="J186">5 - INT(5 * (RANK(G186,G:G, 1) - 1) / COUNT(G:G))</f>
        <v>1</v>
      </c>
      <c r="K186">
        <f t="array" ref="K186">INT(5 * (RANK(H186,H:H, 0) - 1) / COUNT(H:H)) + 1</f>
        <v>4</v>
      </c>
      <c r="L186">
        <f t="array" ref="L186">INT(5 * (RANK(I186,I:I, 0) - 1) / COUNT(I:I)) + 1</f>
        <v>5</v>
      </c>
      <c r="M186" t="str">
        <f t="shared" si="4"/>
        <v>145</v>
      </c>
      <c r="N186" s="6" t="str">
        <f t="shared" si="5"/>
        <v>At Risk</v>
      </c>
    </row>
    <row r="187" spans="1:14" x14ac:dyDescent="0.35">
      <c r="A187">
        <v>1183</v>
      </c>
      <c r="B187" s="4">
        <v>45458.375085336993</v>
      </c>
      <c r="C187" t="s">
        <v>15</v>
      </c>
      <c r="D187" t="s">
        <v>16</v>
      </c>
      <c r="E187" t="s">
        <v>23</v>
      </c>
      <c r="F187">
        <v>5398.96</v>
      </c>
      <c r="G187">
        <f t="array" ref="G187">SalesData!$I$2 - 'RFM Table'!B187</f>
        <v>678</v>
      </c>
      <c r="H187">
        <f t="array" ref="H187">COUNTIF(A:A,A187)</f>
        <v>6</v>
      </c>
      <c r="I187">
        <f t="array" ref="I187">SUMIF(A:A,A187,F:F)</f>
        <v>27493.600000000002</v>
      </c>
      <c r="J187">
        <f t="array" ref="J187">5 - INT(5 * (RANK(G187,G:G, 1) - 1) / COUNT(G:G))</f>
        <v>1</v>
      </c>
      <c r="K187">
        <f t="array" ref="K187">INT(5 * (RANK(H187,H:H, 0) - 1) / COUNT(H:H)) + 1</f>
        <v>4</v>
      </c>
      <c r="L187">
        <f t="array" ref="L187">INT(5 * (RANK(I187,I:I, 0) - 1) / COUNT(I:I)) + 1</f>
        <v>4</v>
      </c>
      <c r="M187" t="str">
        <f t="shared" si="4"/>
        <v>144</v>
      </c>
      <c r="N187" s="6" t="str">
        <f t="shared" si="5"/>
        <v>At Risk</v>
      </c>
    </row>
    <row r="188" spans="1:14" x14ac:dyDescent="0.35">
      <c r="A188">
        <v>1069</v>
      </c>
      <c r="B188" s="4">
        <v>45458.375085336993</v>
      </c>
      <c r="C188" t="s">
        <v>13</v>
      </c>
      <c r="D188" t="s">
        <v>17</v>
      </c>
      <c r="E188" t="s">
        <v>23</v>
      </c>
      <c r="F188">
        <v>3793.51</v>
      </c>
      <c r="G188">
        <f t="array" ref="G188">SalesData!$I$2 - 'RFM Table'!B188</f>
        <v>678</v>
      </c>
      <c r="H188">
        <f t="array" ref="H188">COUNTIF(A:A,A188)</f>
        <v>4</v>
      </c>
      <c r="I188">
        <f t="array" ref="I188">SUMIF(A:A,A188,F:F)</f>
        <v>26120.1</v>
      </c>
      <c r="J188">
        <f t="array" ref="J188">5 - INT(5 * (RANK(G188,G:G, 1) - 1) / COUNT(G:G))</f>
        <v>1</v>
      </c>
      <c r="K188">
        <f t="array" ref="K188">INT(5 * (RANK(H188,H:H, 0) - 1) / COUNT(H:H)) + 1</f>
        <v>5</v>
      </c>
      <c r="L188">
        <f t="array" ref="L188">INT(5 * (RANK(I188,I:I, 0) - 1) / COUNT(I:I)) + 1</f>
        <v>4</v>
      </c>
      <c r="M188" t="str">
        <f t="shared" si="4"/>
        <v>154</v>
      </c>
      <c r="N188" s="6" t="str">
        <f t="shared" si="5"/>
        <v>At Risk</v>
      </c>
    </row>
    <row r="189" spans="1:14" x14ac:dyDescent="0.35">
      <c r="A189">
        <v>1270</v>
      </c>
      <c r="B189" s="4">
        <v>45458.375085336993</v>
      </c>
      <c r="C189" t="s">
        <v>12</v>
      </c>
      <c r="D189" t="s">
        <v>18</v>
      </c>
      <c r="E189" t="s">
        <v>23</v>
      </c>
      <c r="F189">
        <v>1619.62</v>
      </c>
      <c r="G189">
        <f t="array" ref="G189">SalesData!$I$2 - 'RFM Table'!B189</f>
        <v>678</v>
      </c>
      <c r="H189">
        <f t="array" ref="H189">COUNTIF(A:A,A189)</f>
        <v>10</v>
      </c>
      <c r="I189">
        <f t="array" ref="I189">SUMIF(A:A,A189,F:F)</f>
        <v>34623.81</v>
      </c>
      <c r="J189">
        <f t="array" ref="J189">5 - INT(5 * (RANK(G189,G:G, 1) - 1) / COUNT(G:G))</f>
        <v>1</v>
      </c>
      <c r="K189">
        <f t="array" ref="K189">INT(5 * (RANK(H189,H:H, 0) - 1) / COUNT(H:H)) + 1</f>
        <v>2</v>
      </c>
      <c r="L189">
        <f t="array" ref="L189">INT(5 * (RANK(I189,I:I, 0) - 1) / COUNT(I:I)) + 1</f>
        <v>3</v>
      </c>
      <c r="M189" t="str">
        <f t="shared" si="4"/>
        <v>123</v>
      </c>
      <c r="N189" s="6" t="str">
        <f t="shared" si="5"/>
        <v>Can't Lose Them</v>
      </c>
    </row>
    <row r="190" spans="1:14" x14ac:dyDescent="0.35">
      <c r="A190">
        <v>1265</v>
      </c>
      <c r="B190" s="4">
        <v>45459.375085336993</v>
      </c>
      <c r="C190" t="s">
        <v>6</v>
      </c>
      <c r="D190" t="s">
        <v>20</v>
      </c>
      <c r="E190" t="s">
        <v>23</v>
      </c>
      <c r="F190">
        <v>1668.24</v>
      </c>
      <c r="G190">
        <f t="array" ref="G190">SalesData!$I$2 - 'RFM Table'!B190</f>
        <v>677</v>
      </c>
      <c r="H190">
        <f t="array" ref="H190">COUNTIF(A:A,A190)</f>
        <v>7</v>
      </c>
      <c r="I190">
        <f t="array" ref="I190">SUMIF(A:A,A190,F:F)</f>
        <v>24998.240000000005</v>
      </c>
      <c r="J190">
        <f t="array" ref="J190">5 - INT(5 * (RANK(G190,G:G, 1) - 1) / COUNT(G:G))</f>
        <v>1</v>
      </c>
      <c r="K190">
        <f t="array" ref="K190">INT(5 * (RANK(H190,H:H, 0) - 1) / COUNT(H:H)) + 1</f>
        <v>4</v>
      </c>
      <c r="L190">
        <f t="array" ref="L190">INT(5 * (RANK(I190,I:I, 0) - 1) / COUNT(I:I)) + 1</f>
        <v>4</v>
      </c>
      <c r="M190" t="str">
        <f t="shared" si="4"/>
        <v>144</v>
      </c>
      <c r="N190" s="6" t="str">
        <f t="shared" si="5"/>
        <v>At Risk</v>
      </c>
    </row>
    <row r="191" spans="1:14" x14ac:dyDescent="0.35">
      <c r="A191">
        <v>1173</v>
      </c>
      <c r="B191" s="4">
        <v>45459.375085336993</v>
      </c>
      <c r="C191" t="s">
        <v>10</v>
      </c>
      <c r="D191" t="s">
        <v>19</v>
      </c>
      <c r="E191" t="s">
        <v>25</v>
      </c>
      <c r="F191">
        <v>4757.49</v>
      </c>
      <c r="G191">
        <f t="array" ref="G191">SalesData!$I$2 - 'RFM Table'!B191</f>
        <v>677</v>
      </c>
      <c r="H191">
        <f t="array" ref="H191">COUNTIF(A:A,A191)</f>
        <v>5</v>
      </c>
      <c r="I191">
        <f t="array" ref="I191">SUMIF(A:A,A191,F:F)</f>
        <v>17550.75</v>
      </c>
      <c r="J191">
        <f t="array" ref="J191">5 - INT(5 * (RANK(G191,G:G, 1) - 1) / COUNT(G:G))</f>
        <v>1</v>
      </c>
      <c r="K191">
        <f t="array" ref="K191">INT(5 * (RANK(H191,H:H, 0) - 1) / COUNT(H:H)) + 1</f>
        <v>5</v>
      </c>
      <c r="L191">
        <f t="array" ref="L191">INT(5 * (RANK(I191,I:I, 0) - 1) / COUNT(I:I)) + 1</f>
        <v>5</v>
      </c>
      <c r="M191" t="str">
        <f t="shared" si="4"/>
        <v>155</v>
      </c>
      <c r="N191" s="6" t="str">
        <f t="shared" si="5"/>
        <v>At Risk</v>
      </c>
    </row>
    <row r="192" spans="1:14" x14ac:dyDescent="0.35">
      <c r="A192">
        <v>1152</v>
      </c>
      <c r="B192" s="4">
        <v>45459.375085336993</v>
      </c>
      <c r="C192" t="s">
        <v>13</v>
      </c>
      <c r="D192" t="s">
        <v>17</v>
      </c>
      <c r="E192" t="s">
        <v>25</v>
      </c>
      <c r="F192">
        <v>3621.72</v>
      </c>
      <c r="G192">
        <f t="array" ref="G192">SalesData!$I$2 - 'RFM Table'!B192</f>
        <v>677</v>
      </c>
      <c r="H192">
        <f t="array" ref="H192">COUNTIF(A:A,A192)</f>
        <v>9</v>
      </c>
      <c r="I192">
        <f t="array" ref="I192">SUMIF(A:A,A192,F:F)</f>
        <v>34982.139999999992</v>
      </c>
      <c r="J192">
        <f t="array" ref="J192">5 - INT(5 * (RANK(G192,G:G, 1) - 1) / COUNT(G:G))</f>
        <v>1</v>
      </c>
      <c r="K192">
        <f t="array" ref="K192">INT(5 * (RANK(H192,H:H, 0) - 1) / COUNT(H:H)) + 1</f>
        <v>2</v>
      </c>
      <c r="L192">
        <f t="array" ref="L192">INT(5 * (RANK(I192,I:I, 0) - 1) / COUNT(I:I)) + 1</f>
        <v>3</v>
      </c>
      <c r="M192" t="str">
        <f t="shared" si="4"/>
        <v>123</v>
      </c>
      <c r="N192" s="6" t="str">
        <f t="shared" si="5"/>
        <v>Can't Lose Them</v>
      </c>
    </row>
    <row r="193" spans="1:14" x14ac:dyDescent="0.35">
      <c r="A193">
        <v>1288</v>
      </c>
      <c r="B193" s="4">
        <v>45459.375085336993</v>
      </c>
      <c r="C193" t="s">
        <v>12</v>
      </c>
      <c r="D193" t="s">
        <v>18</v>
      </c>
      <c r="E193" t="s">
        <v>25</v>
      </c>
      <c r="F193">
        <v>4471.75</v>
      </c>
      <c r="G193">
        <f t="array" ref="G193">SalesData!$I$2 - 'RFM Table'!B193</f>
        <v>677</v>
      </c>
      <c r="H193">
        <f t="array" ref="H193">COUNTIF(A:A,A193)</f>
        <v>13</v>
      </c>
      <c r="I193">
        <f t="array" ref="I193">SUMIF(A:A,A193,F:F)</f>
        <v>40219.18</v>
      </c>
      <c r="J193">
        <f t="array" ref="J193">5 - INT(5 * (RANK(G193,G:G, 1) - 1) / COUNT(G:G))</f>
        <v>1</v>
      </c>
      <c r="K193">
        <f t="array" ref="K193">INT(5 * (RANK(H193,H:H, 0) - 1) / COUNT(H:H)) + 1</f>
        <v>1</v>
      </c>
      <c r="L193">
        <f t="array" ref="L193">INT(5 * (RANK(I193,I:I, 0) - 1) / COUNT(I:I)) + 1</f>
        <v>2</v>
      </c>
      <c r="M193" t="str">
        <f t="shared" si="4"/>
        <v>112</v>
      </c>
      <c r="N193" s="6" t="str">
        <f t="shared" si="5"/>
        <v>Lost</v>
      </c>
    </row>
    <row r="194" spans="1:14" x14ac:dyDescent="0.35">
      <c r="A194">
        <v>1102</v>
      </c>
      <c r="B194" s="4">
        <v>45460.375085336993</v>
      </c>
      <c r="C194" t="s">
        <v>6</v>
      </c>
      <c r="D194" t="s">
        <v>18</v>
      </c>
      <c r="E194" t="s">
        <v>23</v>
      </c>
      <c r="F194">
        <v>2162.16</v>
      </c>
      <c r="G194">
        <f t="array" ref="G194">SalesData!$I$2 - 'RFM Table'!B194</f>
        <v>676</v>
      </c>
      <c r="H194">
        <f t="array" ref="H194">COUNTIF(A:A,A194)</f>
        <v>7</v>
      </c>
      <c r="I194">
        <f t="array" ref="I194">SUMIF(A:A,A194,F:F)</f>
        <v>29725.939999999995</v>
      </c>
      <c r="J194">
        <f t="array" ref="J194">5 - INT(5 * (RANK(G194,G:G, 1) - 1) / COUNT(G:G))</f>
        <v>1</v>
      </c>
      <c r="K194">
        <f t="array" ref="K194">INT(5 * (RANK(H194,H:H, 0) - 1) / COUNT(H:H)) + 1</f>
        <v>4</v>
      </c>
      <c r="L194">
        <f t="array" ref="L194">INT(5 * (RANK(I194,I:I, 0) - 1) / COUNT(I:I)) + 1</f>
        <v>3</v>
      </c>
      <c r="M194" t="str">
        <f t="shared" si="4"/>
        <v>143</v>
      </c>
      <c r="N194" s="6" t="str">
        <f t="shared" si="5"/>
        <v>At Risk</v>
      </c>
    </row>
    <row r="195" spans="1:14" x14ac:dyDescent="0.35">
      <c r="A195">
        <v>1323</v>
      </c>
      <c r="B195" s="4">
        <v>45460.375085336993</v>
      </c>
      <c r="C195" t="s">
        <v>6</v>
      </c>
      <c r="D195" t="s">
        <v>17</v>
      </c>
      <c r="E195" t="s">
        <v>24</v>
      </c>
      <c r="F195">
        <v>423.83</v>
      </c>
      <c r="G195">
        <f t="array" ref="G195">SalesData!$I$2 - 'RFM Table'!B195</f>
        <v>676</v>
      </c>
      <c r="H195">
        <f t="array" ref="H195">COUNTIF(A:A,A195)</f>
        <v>9</v>
      </c>
      <c r="I195">
        <f t="array" ref="I195">SUMIF(A:A,A195,F:F)</f>
        <v>39366.480000000003</v>
      </c>
      <c r="J195">
        <f t="array" ref="J195">5 - INT(5 * (RANK(G195,G:G, 1) - 1) / COUNT(G:G))</f>
        <v>1</v>
      </c>
      <c r="K195">
        <f t="array" ref="K195">INT(5 * (RANK(H195,H:H, 0) - 1) / COUNT(H:H)) + 1</f>
        <v>2</v>
      </c>
      <c r="L195">
        <f t="array" ref="L195">INT(5 * (RANK(I195,I:I, 0) - 1) / COUNT(I:I)) + 1</f>
        <v>2</v>
      </c>
      <c r="M195" t="str">
        <f t="shared" ref="M195:M258" si="6">J195 &amp; K195 &amp; L195</f>
        <v>122</v>
      </c>
      <c r="N195" s="6" t="str">
        <f t="shared" ref="N195:N258" si="7">IF(AND(J195&gt;=4,K195&lt;=2),"New Customers",
IF(AND(J195&lt;=2,K195&gt;=3,L195&gt;=3),"At Risk",
IF(AND(J195&lt;=2,K195&lt;=2,L195&gt;=3),"Can't Lose Them",
IF(AND(J195&lt;=2,K195&lt;=2,L195&lt;=2),"Lost",
"Others"))))</f>
        <v>Lost</v>
      </c>
    </row>
    <row r="196" spans="1:14" x14ac:dyDescent="0.35">
      <c r="A196">
        <v>1113</v>
      </c>
      <c r="B196" s="4">
        <v>45461.375085336993</v>
      </c>
      <c r="C196" t="s">
        <v>12</v>
      </c>
      <c r="D196" t="s">
        <v>16</v>
      </c>
      <c r="E196" t="s">
        <v>25</v>
      </c>
      <c r="F196">
        <v>1877.81</v>
      </c>
      <c r="G196">
        <f t="array" ref="G196">SalesData!$I$2 - 'RFM Table'!B196</f>
        <v>675</v>
      </c>
      <c r="H196">
        <f t="array" ref="H196">COUNTIF(A:A,A196)</f>
        <v>7</v>
      </c>
      <c r="I196">
        <f t="array" ref="I196">SUMIF(A:A,A196,F:F)</f>
        <v>17672.689999999999</v>
      </c>
      <c r="J196">
        <f t="array" ref="J196">5 - INT(5 * (RANK(G196,G:G, 1) - 1) / COUNT(G:G))</f>
        <v>1</v>
      </c>
      <c r="K196">
        <f t="array" ref="K196">INT(5 * (RANK(H196,H:H, 0) - 1) / COUNT(H:H)) + 1</f>
        <v>4</v>
      </c>
      <c r="L196">
        <f t="array" ref="L196">INT(5 * (RANK(I196,I:I, 0) - 1) / COUNT(I:I)) + 1</f>
        <v>5</v>
      </c>
      <c r="M196" t="str">
        <f t="shared" si="6"/>
        <v>145</v>
      </c>
      <c r="N196" s="6" t="str">
        <f t="shared" si="7"/>
        <v>At Risk</v>
      </c>
    </row>
    <row r="197" spans="1:14" x14ac:dyDescent="0.35">
      <c r="A197">
        <v>1109</v>
      </c>
      <c r="B197" s="4">
        <v>45461.375085336993</v>
      </c>
      <c r="C197" t="s">
        <v>9</v>
      </c>
      <c r="D197" t="s">
        <v>22</v>
      </c>
      <c r="E197" t="s">
        <v>24</v>
      </c>
      <c r="F197">
        <v>1321.69</v>
      </c>
      <c r="G197">
        <f t="array" ref="G197">SalesData!$I$2 - 'RFM Table'!B197</f>
        <v>675</v>
      </c>
      <c r="H197">
        <f t="array" ref="H197">COUNTIF(A:A,A197)</f>
        <v>3</v>
      </c>
      <c r="I197">
        <f t="array" ref="I197">SUMIF(A:A,A197,F:F)</f>
        <v>8165.32</v>
      </c>
      <c r="J197">
        <f t="array" ref="J197">5 - INT(5 * (RANK(G197,G:G, 1) - 1) / COUNT(G:G))</f>
        <v>1</v>
      </c>
      <c r="K197">
        <f t="array" ref="K197">INT(5 * (RANK(H197,H:H, 0) - 1) / COUNT(H:H)) + 1</f>
        <v>5</v>
      </c>
      <c r="L197">
        <f t="array" ref="L197">INT(5 * (RANK(I197,I:I, 0) - 1) / COUNT(I:I)) + 1</f>
        <v>5</v>
      </c>
      <c r="M197" t="str">
        <f t="shared" si="6"/>
        <v>155</v>
      </c>
      <c r="N197" s="6" t="str">
        <f t="shared" si="7"/>
        <v>At Risk</v>
      </c>
    </row>
    <row r="198" spans="1:14" x14ac:dyDescent="0.35">
      <c r="A198">
        <v>1306</v>
      </c>
      <c r="B198" s="4">
        <v>45461.375085336993</v>
      </c>
      <c r="C198" t="s">
        <v>12</v>
      </c>
      <c r="D198" t="s">
        <v>17</v>
      </c>
      <c r="E198" t="s">
        <v>25</v>
      </c>
      <c r="F198">
        <v>3058.73</v>
      </c>
      <c r="G198">
        <f t="array" ref="G198">SalesData!$I$2 - 'RFM Table'!B198</f>
        <v>675</v>
      </c>
      <c r="H198">
        <f t="array" ref="H198">COUNTIF(A:A,A198)</f>
        <v>4</v>
      </c>
      <c r="I198">
        <f t="array" ref="I198">SUMIF(A:A,A198,F:F)</f>
        <v>21062.23</v>
      </c>
      <c r="J198">
        <f t="array" ref="J198">5 - INT(5 * (RANK(G198,G:G, 1) - 1) / COUNT(G:G))</f>
        <v>1</v>
      </c>
      <c r="K198">
        <f t="array" ref="K198">INT(5 * (RANK(H198,H:H, 0) - 1) / COUNT(H:H)) + 1</f>
        <v>5</v>
      </c>
      <c r="L198">
        <f t="array" ref="L198">INT(5 * (RANK(I198,I:I, 0) - 1) / COUNT(I:I)) + 1</f>
        <v>5</v>
      </c>
      <c r="M198" t="str">
        <f t="shared" si="6"/>
        <v>155</v>
      </c>
      <c r="N198" s="6" t="str">
        <f t="shared" si="7"/>
        <v>At Risk</v>
      </c>
    </row>
    <row r="199" spans="1:14" x14ac:dyDescent="0.35">
      <c r="A199">
        <v>1186</v>
      </c>
      <c r="B199" s="4">
        <v>45462.375085336993</v>
      </c>
      <c r="C199" t="s">
        <v>6</v>
      </c>
      <c r="D199" t="s">
        <v>20</v>
      </c>
      <c r="E199" t="s">
        <v>25</v>
      </c>
      <c r="F199">
        <v>4187.8500000000004</v>
      </c>
      <c r="G199">
        <f t="array" ref="G199">SalesData!$I$2 - 'RFM Table'!B199</f>
        <v>674</v>
      </c>
      <c r="H199">
        <f t="array" ref="H199">COUNTIF(A:A,A199)</f>
        <v>7</v>
      </c>
      <c r="I199">
        <f t="array" ref="I199">SUMIF(A:A,A199,F:F)</f>
        <v>18132.900000000001</v>
      </c>
      <c r="J199">
        <f t="array" ref="J199">5 - INT(5 * (RANK(G199,G:G, 1) - 1) / COUNT(G:G))</f>
        <v>1</v>
      </c>
      <c r="K199">
        <f t="array" ref="K199">INT(5 * (RANK(H199,H:H, 0) - 1) / COUNT(H:H)) + 1</f>
        <v>4</v>
      </c>
      <c r="L199">
        <f t="array" ref="L199">INT(5 * (RANK(I199,I:I, 0) - 1) / COUNT(I:I)) + 1</f>
        <v>5</v>
      </c>
      <c r="M199" t="str">
        <f t="shared" si="6"/>
        <v>145</v>
      </c>
      <c r="N199" s="6" t="str">
        <f t="shared" si="7"/>
        <v>At Risk</v>
      </c>
    </row>
    <row r="200" spans="1:14" x14ac:dyDescent="0.35">
      <c r="A200">
        <v>1005</v>
      </c>
      <c r="B200" s="4">
        <v>45462.375085336993</v>
      </c>
      <c r="C200" t="s">
        <v>8</v>
      </c>
      <c r="D200" t="s">
        <v>20</v>
      </c>
      <c r="E200" t="s">
        <v>25</v>
      </c>
      <c r="F200">
        <v>7192.84</v>
      </c>
      <c r="G200">
        <f t="array" ref="G200">SalesData!$I$2 - 'RFM Table'!B200</f>
        <v>674</v>
      </c>
      <c r="H200">
        <f t="array" ref="H200">COUNTIF(A:A,A200)</f>
        <v>4</v>
      </c>
      <c r="I200">
        <f t="array" ref="I200">SUMIF(A:A,A200,F:F)</f>
        <v>30283.82</v>
      </c>
      <c r="J200">
        <f t="array" ref="J200">5 - INT(5 * (RANK(G200,G:G, 1) - 1) / COUNT(G:G))</f>
        <v>1</v>
      </c>
      <c r="K200">
        <f t="array" ref="K200">INT(5 * (RANK(H200,H:H, 0) - 1) / COUNT(H:H)) + 1</f>
        <v>5</v>
      </c>
      <c r="L200">
        <f t="array" ref="L200">INT(5 * (RANK(I200,I:I, 0) - 1) / COUNT(I:I)) + 1</f>
        <v>3</v>
      </c>
      <c r="M200" t="str">
        <f t="shared" si="6"/>
        <v>153</v>
      </c>
      <c r="N200" s="6" t="str">
        <f t="shared" si="7"/>
        <v>At Risk</v>
      </c>
    </row>
    <row r="201" spans="1:14" x14ac:dyDescent="0.35">
      <c r="A201">
        <v>1026</v>
      </c>
      <c r="B201" s="4">
        <v>45462.375085336993</v>
      </c>
      <c r="C201" t="s">
        <v>14</v>
      </c>
      <c r="D201" t="s">
        <v>16</v>
      </c>
      <c r="E201" t="s">
        <v>23</v>
      </c>
      <c r="F201">
        <v>3385.73</v>
      </c>
      <c r="G201">
        <f t="array" ref="G201">SalesData!$I$2 - 'RFM Table'!B201</f>
        <v>674</v>
      </c>
      <c r="H201">
        <f t="array" ref="H201">COUNTIF(A:A,A201)</f>
        <v>7</v>
      </c>
      <c r="I201">
        <f t="array" ref="I201">SUMIF(A:A,A201,F:F)</f>
        <v>24873.88</v>
      </c>
      <c r="J201">
        <f t="array" ref="J201">5 - INT(5 * (RANK(G201,G:G, 1) - 1) / COUNT(G:G))</f>
        <v>1</v>
      </c>
      <c r="K201">
        <f t="array" ref="K201">INT(5 * (RANK(H201,H:H, 0) - 1) / COUNT(H:H)) + 1</f>
        <v>4</v>
      </c>
      <c r="L201">
        <f t="array" ref="L201">INT(5 * (RANK(I201,I:I, 0) - 1) / COUNT(I:I)) + 1</f>
        <v>4</v>
      </c>
      <c r="M201" t="str">
        <f t="shared" si="6"/>
        <v>144</v>
      </c>
      <c r="N201" s="6" t="str">
        <f t="shared" si="7"/>
        <v>At Risk</v>
      </c>
    </row>
    <row r="202" spans="1:14" x14ac:dyDescent="0.35">
      <c r="A202">
        <v>1250</v>
      </c>
      <c r="B202" s="4">
        <v>45463.375085336993</v>
      </c>
      <c r="C202" t="s">
        <v>13</v>
      </c>
      <c r="D202" t="s">
        <v>19</v>
      </c>
      <c r="E202" t="s">
        <v>24</v>
      </c>
      <c r="F202">
        <v>1134.49</v>
      </c>
      <c r="G202">
        <f t="array" ref="G202">SalesData!$I$2 - 'RFM Table'!B202</f>
        <v>673</v>
      </c>
      <c r="H202">
        <f t="array" ref="H202">COUNTIF(A:A,A202)</f>
        <v>9</v>
      </c>
      <c r="I202">
        <f t="array" ref="I202">SUMIF(A:A,A202,F:F)</f>
        <v>36713.85</v>
      </c>
      <c r="J202">
        <f t="array" ref="J202">5 - INT(5 * (RANK(G202,G:G, 1) - 1) / COUNT(G:G))</f>
        <v>1</v>
      </c>
      <c r="K202">
        <f t="array" ref="K202">INT(5 * (RANK(H202,H:H, 0) - 1) / COUNT(H:H)) + 1</f>
        <v>2</v>
      </c>
      <c r="L202">
        <f t="array" ref="L202">INT(5 * (RANK(I202,I:I, 0) - 1) / COUNT(I:I)) + 1</f>
        <v>3</v>
      </c>
      <c r="M202" t="str">
        <f t="shared" si="6"/>
        <v>123</v>
      </c>
      <c r="N202" s="6" t="str">
        <f t="shared" si="7"/>
        <v>Can't Lose Them</v>
      </c>
    </row>
    <row r="203" spans="1:14" x14ac:dyDescent="0.35">
      <c r="A203">
        <v>1325</v>
      </c>
      <c r="B203" s="4">
        <v>45463.375085336993</v>
      </c>
      <c r="C203" t="s">
        <v>10</v>
      </c>
      <c r="D203" t="s">
        <v>18</v>
      </c>
      <c r="E203" t="s">
        <v>25</v>
      </c>
      <c r="F203">
        <v>4014.39</v>
      </c>
      <c r="G203">
        <f t="array" ref="G203">SalesData!$I$2 - 'RFM Table'!B203</f>
        <v>673</v>
      </c>
      <c r="H203">
        <f t="array" ref="H203">COUNTIF(A:A,A203)</f>
        <v>9</v>
      </c>
      <c r="I203">
        <f t="array" ref="I203">SUMIF(A:A,A203,F:F)</f>
        <v>38753.799999999988</v>
      </c>
      <c r="J203">
        <f t="array" ref="J203">5 - INT(5 * (RANK(G203,G:G, 1) - 1) / COUNT(G:G))</f>
        <v>1</v>
      </c>
      <c r="K203">
        <f t="array" ref="K203">INT(5 * (RANK(H203,H:H, 0) - 1) / COUNT(H:H)) + 1</f>
        <v>2</v>
      </c>
      <c r="L203">
        <f t="array" ref="L203">INT(5 * (RANK(I203,I:I, 0) - 1) / COUNT(I:I)) + 1</f>
        <v>2</v>
      </c>
      <c r="M203" t="str">
        <f t="shared" si="6"/>
        <v>122</v>
      </c>
      <c r="N203" s="6" t="str">
        <f t="shared" si="7"/>
        <v>Lost</v>
      </c>
    </row>
    <row r="204" spans="1:14" x14ac:dyDescent="0.35">
      <c r="A204">
        <v>1306</v>
      </c>
      <c r="B204" s="4">
        <v>45463.375085336993</v>
      </c>
      <c r="C204" t="s">
        <v>7</v>
      </c>
      <c r="D204" t="s">
        <v>17</v>
      </c>
      <c r="E204" t="s">
        <v>24</v>
      </c>
      <c r="F204">
        <v>9416.25</v>
      </c>
      <c r="G204">
        <f t="array" ref="G204">SalesData!$I$2 - 'RFM Table'!B204</f>
        <v>673</v>
      </c>
      <c r="H204">
        <f t="array" ref="H204">COUNTIF(A:A,A204)</f>
        <v>4</v>
      </c>
      <c r="I204">
        <f t="array" ref="I204">SUMIF(A:A,A204,F:F)</f>
        <v>21062.23</v>
      </c>
      <c r="J204">
        <f t="array" ref="J204">5 - INT(5 * (RANK(G204,G:G, 1) - 1) / COUNT(G:G))</f>
        <v>1</v>
      </c>
      <c r="K204">
        <f t="array" ref="K204">INT(5 * (RANK(H204,H:H, 0) - 1) / COUNT(H:H)) + 1</f>
        <v>5</v>
      </c>
      <c r="L204">
        <f t="array" ref="L204">INT(5 * (RANK(I204,I:I, 0) - 1) / COUNT(I:I)) + 1</f>
        <v>5</v>
      </c>
      <c r="M204" t="str">
        <f t="shared" si="6"/>
        <v>155</v>
      </c>
      <c r="N204" s="6" t="str">
        <f t="shared" si="7"/>
        <v>At Risk</v>
      </c>
    </row>
    <row r="205" spans="1:14" x14ac:dyDescent="0.35">
      <c r="A205">
        <v>1375</v>
      </c>
      <c r="B205" s="4">
        <v>45463.375085336993</v>
      </c>
      <c r="C205" t="s">
        <v>6</v>
      </c>
      <c r="D205" t="s">
        <v>17</v>
      </c>
      <c r="E205" t="s">
        <v>23</v>
      </c>
      <c r="F205">
        <v>4111.53</v>
      </c>
      <c r="G205">
        <f t="array" ref="G205">SalesData!$I$2 - 'RFM Table'!B205</f>
        <v>673</v>
      </c>
      <c r="H205">
        <f t="array" ref="H205">COUNTIF(A:A,A205)</f>
        <v>9</v>
      </c>
      <c r="I205">
        <f t="array" ref="I205">SUMIF(A:A,A205,F:F)</f>
        <v>37215.54</v>
      </c>
      <c r="J205">
        <f t="array" ref="J205">5 - INT(5 * (RANK(G205,G:G, 1) - 1) / COUNT(G:G))</f>
        <v>1</v>
      </c>
      <c r="K205">
        <f t="array" ref="K205">INT(5 * (RANK(H205,H:H, 0) - 1) / COUNT(H:H)) + 1</f>
        <v>2</v>
      </c>
      <c r="L205">
        <f t="array" ref="L205">INT(5 * (RANK(I205,I:I, 0) - 1) / COUNT(I:I)) + 1</f>
        <v>2</v>
      </c>
      <c r="M205" t="str">
        <f t="shared" si="6"/>
        <v>122</v>
      </c>
      <c r="N205" s="6" t="str">
        <f t="shared" si="7"/>
        <v>Lost</v>
      </c>
    </row>
    <row r="206" spans="1:14" x14ac:dyDescent="0.35">
      <c r="A206">
        <v>1008</v>
      </c>
      <c r="B206" s="4">
        <v>45464.375085336993</v>
      </c>
      <c r="C206" t="s">
        <v>14</v>
      </c>
      <c r="D206" t="s">
        <v>19</v>
      </c>
      <c r="E206" t="s">
        <v>25</v>
      </c>
      <c r="F206">
        <v>3754.65</v>
      </c>
      <c r="G206">
        <f t="array" ref="G206">SalesData!$I$2 - 'RFM Table'!B206</f>
        <v>672</v>
      </c>
      <c r="H206">
        <f t="array" ref="H206">COUNTIF(A:A,A206)</f>
        <v>9</v>
      </c>
      <c r="I206">
        <f t="array" ref="I206">SUMIF(A:A,A206,F:F)</f>
        <v>32548.37</v>
      </c>
      <c r="J206">
        <f t="array" ref="J206">5 - INT(5 * (RANK(G206,G:G, 1) - 1) / COUNT(G:G))</f>
        <v>1</v>
      </c>
      <c r="K206">
        <f t="array" ref="K206">INT(5 * (RANK(H206,H:H, 0) - 1) / COUNT(H:H)) + 1</f>
        <v>2</v>
      </c>
      <c r="L206">
        <f t="array" ref="L206">INT(5 * (RANK(I206,I:I, 0) - 1) / COUNT(I:I)) + 1</f>
        <v>3</v>
      </c>
      <c r="M206" t="str">
        <f t="shared" si="6"/>
        <v>123</v>
      </c>
      <c r="N206" s="6" t="str">
        <f t="shared" si="7"/>
        <v>Can't Lose Them</v>
      </c>
    </row>
    <row r="207" spans="1:14" x14ac:dyDescent="0.35">
      <c r="A207">
        <v>1182</v>
      </c>
      <c r="B207" s="4">
        <v>45464.375085336993</v>
      </c>
      <c r="C207" t="s">
        <v>8</v>
      </c>
      <c r="D207" t="s">
        <v>21</v>
      </c>
      <c r="E207" t="s">
        <v>23</v>
      </c>
      <c r="F207">
        <v>160.81</v>
      </c>
      <c r="G207">
        <f t="array" ref="G207">SalesData!$I$2 - 'RFM Table'!B207</f>
        <v>672</v>
      </c>
      <c r="H207">
        <f t="array" ref="H207">COUNTIF(A:A,A207)</f>
        <v>7</v>
      </c>
      <c r="I207">
        <f t="array" ref="I207">SUMIF(A:A,A207,F:F)</f>
        <v>20657.780000000002</v>
      </c>
      <c r="J207">
        <f t="array" ref="J207">5 - INT(5 * (RANK(G207,G:G, 1) - 1) / COUNT(G:G))</f>
        <v>1</v>
      </c>
      <c r="K207">
        <f t="array" ref="K207">INT(5 * (RANK(H207,H:H, 0) - 1) / COUNT(H:H)) + 1</f>
        <v>4</v>
      </c>
      <c r="L207">
        <f t="array" ref="L207">INT(5 * (RANK(I207,I:I, 0) - 1) / COUNT(I:I)) + 1</f>
        <v>5</v>
      </c>
      <c r="M207" t="str">
        <f t="shared" si="6"/>
        <v>145</v>
      </c>
      <c r="N207" s="6" t="str">
        <f t="shared" si="7"/>
        <v>At Risk</v>
      </c>
    </row>
    <row r="208" spans="1:14" x14ac:dyDescent="0.35">
      <c r="A208">
        <v>1159</v>
      </c>
      <c r="B208" s="4">
        <v>45464.375085336993</v>
      </c>
      <c r="C208" t="s">
        <v>12</v>
      </c>
      <c r="D208" t="s">
        <v>21</v>
      </c>
      <c r="E208" t="s">
        <v>24</v>
      </c>
      <c r="F208">
        <v>3396.12</v>
      </c>
      <c r="G208">
        <f t="array" ref="G208">SalesData!$I$2 - 'RFM Table'!B208</f>
        <v>672</v>
      </c>
      <c r="H208">
        <f t="array" ref="H208">COUNTIF(A:A,A208)</f>
        <v>15</v>
      </c>
      <c r="I208">
        <f t="array" ref="I208">SUMIF(A:A,A208,F:F)</f>
        <v>57217.139999999992</v>
      </c>
      <c r="J208">
        <f t="array" ref="J208">5 - INT(5 * (RANK(G208,G:G, 1) - 1) / COUNT(G:G))</f>
        <v>1</v>
      </c>
      <c r="K208">
        <f t="array" ref="K208">INT(5 * (RANK(H208,H:H, 0) - 1) / COUNT(H:H)) + 1</f>
        <v>1</v>
      </c>
      <c r="L208">
        <f t="array" ref="L208">INT(5 * (RANK(I208,I:I, 0) - 1) / COUNT(I:I)) + 1</f>
        <v>1</v>
      </c>
      <c r="M208" t="str">
        <f t="shared" si="6"/>
        <v>111</v>
      </c>
      <c r="N208" s="6" t="str">
        <f t="shared" si="7"/>
        <v>Lost</v>
      </c>
    </row>
    <row r="209" spans="1:14" x14ac:dyDescent="0.35">
      <c r="A209">
        <v>1009</v>
      </c>
      <c r="B209" s="4">
        <v>45464.375085336993</v>
      </c>
      <c r="C209" t="s">
        <v>14</v>
      </c>
      <c r="D209" t="s">
        <v>16</v>
      </c>
      <c r="E209" t="s">
        <v>25</v>
      </c>
      <c r="F209">
        <v>1738.61</v>
      </c>
      <c r="G209">
        <f t="array" ref="G209">SalesData!$I$2 - 'RFM Table'!B209</f>
        <v>672</v>
      </c>
      <c r="H209">
        <f t="array" ref="H209">COUNTIF(A:A,A209)</f>
        <v>9</v>
      </c>
      <c r="I209">
        <f t="array" ref="I209">SUMIF(A:A,A209,F:F)</f>
        <v>30047.29</v>
      </c>
      <c r="J209">
        <f t="array" ref="J209">5 - INT(5 * (RANK(G209,G:G, 1) - 1) / COUNT(G:G))</f>
        <v>1</v>
      </c>
      <c r="K209">
        <f t="array" ref="K209">INT(5 * (RANK(H209,H:H, 0) - 1) / COUNT(H:H)) + 1</f>
        <v>2</v>
      </c>
      <c r="L209">
        <f t="array" ref="L209">INT(5 * (RANK(I209,I:I, 0) - 1) / COUNT(I:I)) + 1</f>
        <v>3</v>
      </c>
      <c r="M209" t="str">
        <f t="shared" si="6"/>
        <v>123</v>
      </c>
      <c r="N209" s="6" t="str">
        <f t="shared" si="7"/>
        <v>Can't Lose Them</v>
      </c>
    </row>
    <row r="210" spans="1:14" x14ac:dyDescent="0.35">
      <c r="A210">
        <v>1374</v>
      </c>
      <c r="B210" s="4">
        <v>45464.375085336993</v>
      </c>
      <c r="C210" t="s">
        <v>13</v>
      </c>
      <c r="D210" t="s">
        <v>18</v>
      </c>
      <c r="E210" t="s">
        <v>24</v>
      </c>
      <c r="F210">
        <v>2873.04</v>
      </c>
      <c r="G210">
        <f t="array" ref="G210">SalesData!$I$2 - 'RFM Table'!B210</f>
        <v>672</v>
      </c>
      <c r="H210">
        <f t="array" ref="H210">COUNTIF(A:A,A210)</f>
        <v>6</v>
      </c>
      <c r="I210">
        <f t="array" ref="I210">SUMIF(A:A,A210,F:F)</f>
        <v>17843.009999999998</v>
      </c>
      <c r="J210">
        <f t="array" ref="J210">5 - INT(5 * (RANK(G210,G:G, 1) - 1) / COUNT(G:G))</f>
        <v>1</v>
      </c>
      <c r="K210">
        <f t="array" ref="K210">INT(5 * (RANK(H210,H:H, 0) - 1) / COUNT(H:H)) + 1</f>
        <v>4</v>
      </c>
      <c r="L210">
        <f t="array" ref="L210">INT(5 * (RANK(I210,I:I, 0) - 1) / COUNT(I:I)) + 1</f>
        <v>5</v>
      </c>
      <c r="M210" t="str">
        <f t="shared" si="6"/>
        <v>145</v>
      </c>
      <c r="N210" s="6" t="str">
        <f t="shared" si="7"/>
        <v>At Risk</v>
      </c>
    </row>
    <row r="211" spans="1:14" x14ac:dyDescent="0.35">
      <c r="A211">
        <v>1363</v>
      </c>
      <c r="B211" s="4">
        <v>45464.375085336993</v>
      </c>
      <c r="C211" t="s">
        <v>13</v>
      </c>
      <c r="D211" t="s">
        <v>16</v>
      </c>
      <c r="E211" t="s">
        <v>25</v>
      </c>
      <c r="F211">
        <v>3297.01</v>
      </c>
      <c r="G211">
        <f t="array" ref="G211">SalesData!$I$2 - 'RFM Table'!B211</f>
        <v>672</v>
      </c>
      <c r="H211">
        <f t="array" ref="H211">COUNTIF(A:A,A211)</f>
        <v>9</v>
      </c>
      <c r="I211">
        <f t="array" ref="I211">SUMIF(A:A,A211,F:F)</f>
        <v>33344.57</v>
      </c>
      <c r="J211">
        <f t="array" ref="J211">5 - INT(5 * (RANK(G211,G:G, 1) - 1) / COUNT(G:G))</f>
        <v>1</v>
      </c>
      <c r="K211">
        <f t="array" ref="K211">INT(5 * (RANK(H211,H:H, 0) - 1) / COUNT(H:H)) + 1</f>
        <v>2</v>
      </c>
      <c r="L211">
        <f t="array" ref="L211">INT(5 * (RANK(I211,I:I, 0) - 1) / COUNT(I:I)) + 1</f>
        <v>3</v>
      </c>
      <c r="M211" t="str">
        <f t="shared" si="6"/>
        <v>123</v>
      </c>
      <c r="N211" s="6" t="str">
        <f t="shared" si="7"/>
        <v>Can't Lose Them</v>
      </c>
    </row>
    <row r="212" spans="1:14" x14ac:dyDescent="0.35">
      <c r="A212">
        <v>1174</v>
      </c>
      <c r="B212" s="4">
        <v>45464.375085336993</v>
      </c>
      <c r="C212" t="s">
        <v>7</v>
      </c>
      <c r="D212" t="s">
        <v>22</v>
      </c>
      <c r="E212" t="s">
        <v>25</v>
      </c>
      <c r="F212">
        <v>2903.17</v>
      </c>
      <c r="G212">
        <f t="array" ref="G212">SalesData!$I$2 - 'RFM Table'!B212</f>
        <v>672</v>
      </c>
      <c r="H212">
        <f t="array" ref="H212">COUNTIF(A:A,A212)</f>
        <v>7</v>
      </c>
      <c r="I212">
        <f t="array" ref="I212">SUMIF(A:A,A212,F:F)</f>
        <v>28777.9</v>
      </c>
      <c r="J212">
        <f t="array" ref="J212">5 - INT(5 * (RANK(G212,G:G, 1) - 1) / COUNT(G:G))</f>
        <v>1</v>
      </c>
      <c r="K212">
        <f t="array" ref="K212">INT(5 * (RANK(H212,H:H, 0) - 1) / COUNT(H:H)) + 1</f>
        <v>4</v>
      </c>
      <c r="L212">
        <f t="array" ref="L212">INT(5 * (RANK(I212,I:I, 0) - 1) / COUNT(I:I)) + 1</f>
        <v>4</v>
      </c>
      <c r="M212" t="str">
        <f t="shared" si="6"/>
        <v>144</v>
      </c>
      <c r="N212" s="6" t="str">
        <f t="shared" si="7"/>
        <v>At Risk</v>
      </c>
    </row>
    <row r="213" spans="1:14" x14ac:dyDescent="0.35">
      <c r="A213">
        <v>1243</v>
      </c>
      <c r="B213" s="4">
        <v>45464.375085336993</v>
      </c>
      <c r="C213" t="s">
        <v>15</v>
      </c>
      <c r="D213" t="s">
        <v>19</v>
      </c>
      <c r="E213" t="s">
        <v>23</v>
      </c>
      <c r="F213">
        <v>1298.53</v>
      </c>
      <c r="G213">
        <f t="array" ref="G213">SalesData!$I$2 - 'RFM Table'!B213</f>
        <v>672</v>
      </c>
      <c r="H213">
        <f t="array" ref="H213">COUNTIF(A:A,A213)</f>
        <v>4</v>
      </c>
      <c r="I213">
        <f t="array" ref="I213">SUMIF(A:A,A213,F:F)</f>
        <v>7830.67</v>
      </c>
      <c r="J213">
        <f t="array" ref="J213">5 - INT(5 * (RANK(G213,G:G, 1) - 1) / COUNT(G:G))</f>
        <v>1</v>
      </c>
      <c r="K213">
        <f t="array" ref="K213">INT(5 * (RANK(H213,H:H, 0) - 1) / COUNT(H:H)) + 1</f>
        <v>5</v>
      </c>
      <c r="L213">
        <f t="array" ref="L213">INT(5 * (RANK(I213,I:I, 0) - 1) / COUNT(I:I)) + 1</f>
        <v>5</v>
      </c>
      <c r="M213" t="str">
        <f t="shared" si="6"/>
        <v>155</v>
      </c>
      <c r="N213" s="6" t="str">
        <f t="shared" si="7"/>
        <v>At Risk</v>
      </c>
    </row>
    <row r="214" spans="1:14" x14ac:dyDescent="0.35">
      <c r="A214">
        <v>1368</v>
      </c>
      <c r="B214" s="4">
        <v>45465.375085336993</v>
      </c>
      <c r="C214" t="s">
        <v>12</v>
      </c>
      <c r="D214" t="s">
        <v>17</v>
      </c>
      <c r="E214" t="s">
        <v>24</v>
      </c>
      <c r="F214">
        <v>6215.76</v>
      </c>
      <c r="G214">
        <f t="array" ref="G214">SalesData!$I$2 - 'RFM Table'!B214</f>
        <v>671</v>
      </c>
      <c r="H214">
        <f t="array" ref="H214">COUNTIF(A:A,A214)</f>
        <v>8</v>
      </c>
      <c r="I214">
        <f t="array" ref="I214">SUMIF(A:A,A214,F:F)</f>
        <v>26119.000000000004</v>
      </c>
      <c r="J214">
        <f t="array" ref="J214">5 - INT(5 * (RANK(G214,G:G, 1) - 1) / COUNT(G:G))</f>
        <v>1</v>
      </c>
      <c r="K214">
        <f t="array" ref="K214">INT(5 * (RANK(H214,H:H, 0) - 1) / COUNT(H:H)) + 1</f>
        <v>3</v>
      </c>
      <c r="L214">
        <f t="array" ref="L214">INT(5 * (RANK(I214,I:I, 0) - 1) / COUNT(I:I)) + 1</f>
        <v>4</v>
      </c>
      <c r="M214" t="str">
        <f t="shared" si="6"/>
        <v>134</v>
      </c>
      <c r="N214" s="6" t="str">
        <f t="shared" si="7"/>
        <v>At Risk</v>
      </c>
    </row>
    <row r="215" spans="1:14" x14ac:dyDescent="0.35">
      <c r="A215">
        <v>1121</v>
      </c>
      <c r="B215" s="4">
        <v>45465.375085336993</v>
      </c>
      <c r="C215" t="s">
        <v>9</v>
      </c>
      <c r="D215" t="s">
        <v>16</v>
      </c>
      <c r="E215" t="s">
        <v>23</v>
      </c>
      <c r="F215">
        <v>1908.19</v>
      </c>
      <c r="G215">
        <f t="array" ref="G215">SalesData!$I$2 - 'RFM Table'!B215</f>
        <v>671</v>
      </c>
      <c r="H215">
        <f t="array" ref="H215">COUNTIF(A:A,A215)</f>
        <v>10</v>
      </c>
      <c r="I215">
        <f t="array" ref="I215">SUMIF(A:A,A215,F:F)</f>
        <v>28216.130000000005</v>
      </c>
      <c r="J215">
        <f t="array" ref="J215">5 - INT(5 * (RANK(G215,G:G, 1) - 1) / COUNT(G:G))</f>
        <v>1</v>
      </c>
      <c r="K215">
        <f t="array" ref="K215">INT(5 * (RANK(H215,H:H, 0) - 1) / COUNT(H:H)) + 1</f>
        <v>2</v>
      </c>
      <c r="L215">
        <f t="array" ref="L215">INT(5 * (RANK(I215,I:I, 0) - 1) / COUNT(I:I)) + 1</f>
        <v>4</v>
      </c>
      <c r="M215" t="str">
        <f t="shared" si="6"/>
        <v>124</v>
      </c>
      <c r="N215" s="6" t="str">
        <f t="shared" si="7"/>
        <v>Can't Lose Them</v>
      </c>
    </row>
    <row r="216" spans="1:14" x14ac:dyDescent="0.35">
      <c r="A216">
        <v>1307</v>
      </c>
      <c r="B216" s="4">
        <v>45465.375085336993</v>
      </c>
      <c r="C216" t="s">
        <v>12</v>
      </c>
      <c r="D216" t="s">
        <v>17</v>
      </c>
      <c r="E216" t="s">
        <v>24</v>
      </c>
      <c r="F216">
        <v>2295.9</v>
      </c>
      <c r="G216">
        <f t="array" ref="G216">SalesData!$I$2 - 'RFM Table'!B216</f>
        <v>671</v>
      </c>
      <c r="H216">
        <f t="array" ref="H216">COUNTIF(A:A,A216)</f>
        <v>7</v>
      </c>
      <c r="I216">
        <f t="array" ref="I216">SUMIF(A:A,A216,F:F)</f>
        <v>33514.49</v>
      </c>
      <c r="J216">
        <f t="array" ref="J216">5 - INT(5 * (RANK(G216,G:G, 1) - 1) / COUNT(G:G))</f>
        <v>1</v>
      </c>
      <c r="K216">
        <f t="array" ref="K216">INT(5 * (RANK(H216,H:H, 0) - 1) / COUNT(H:H)) + 1</f>
        <v>4</v>
      </c>
      <c r="L216">
        <f t="array" ref="L216">INT(5 * (RANK(I216,I:I, 0) - 1) / COUNT(I:I)) + 1</f>
        <v>3</v>
      </c>
      <c r="M216" t="str">
        <f t="shared" si="6"/>
        <v>143</v>
      </c>
      <c r="N216" s="6" t="str">
        <f t="shared" si="7"/>
        <v>At Risk</v>
      </c>
    </row>
    <row r="217" spans="1:14" x14ac:dyDescent="0.35">
      <c r="A217">
        <v>1152</v>
      </c>
      <c r="B217" s="4">
        <v>45466.375085336993</v>
      </c>
      <c r="C217" t="s">
        <v>7</v>
      </c>
      <c r="D217" t="s">
        <v>21</v>
      </c>
      <c r="E217" t="s">
        <v>23</v>
      </c>
      <c r="F217">
        <v>6778.61</v>
      </c>
      <c r="G217">
        <f t="array" ref="G217">SalesData!$I$2 - 'RFM Table'!B217</f>
        <v>670</v>
      </c>
      <c r="H217">
        <f t="array" ref="H217">COUNTIF(A:A,A217)</f>
        <v>9</v>
      </c>
      <c r="I217">
        <f t="array" ref="I217">SUMIF(A:A,A217,F:F)</f>
        <v>34982.139999999992</v>
      </c>
      <c r="J217">
        <f t="array" ref="J217">5 - INT(5 * (RANK(G217,G:G, 1) - 1) / COUNT(G:G))</f>
        <v>1</v>
      </c>
      <c r="K217">
        <f t="array" ref="K217">INT(5 * (RANK(H217,H:H, 0) - 1) / COUNT(H:H)) + 1</f>
        <v>2</v>
      </c>
      <c r="L217">
        <f t="array" ref="L217">INT(5 * (RANK(I217,I:I, 0) - 1) / COUNT(I:I)) + 1</f>
        <v>3</v>
      </c>
      <c r="M217" t="str">
        <f t="shared" si="6"/>
        <v>123</v>
      </c>
      <c r="N217" s="6" t="str">
        <f t="shared" si="7"/>
        <v>Can't Lose Them</v>
      </c>
    </row>
    <row r="218" spans="1:14" x14ac:dyDescent="0.35">
      <c r="A218">
        <v>1039</v>
      </c>
      <c r="B218" s="4">
        <v>45466.375085336993</v>
      </c>
      <c r="C218" t="s">
        <v>14</v>
      </c>
      <c r="D218" t="s">
        <v>19</v>
      </c>
      <c r="E218" t="s">
        <v>23</v>
      </c>
      <c r="F218">
        <v>2794.55</v>
      </c>
      <c r="G218">
        <f t="array" ref="G218">SalesData!$I$2 - 'RFM Table'!B218</f>
        <v>670</v>
      </c>
      <c r="H218">
        <f t="array" ref="H218">COUNTIF(A:A,A218)</f>
        <v>8</v>
      </c>
      <c r="I218">
        <f t="array" ref="I218">SUMIF(A:A,A218,F:F)</f>
        <v>21286.739999999998</v>
      </c>
      <c r="J218">
        <f t="array" ref="J218">5 - INT(5 * (RANK(G218,G:G, 1) - 1) / COUNT(G:G))</f>
        <v>1</v>
      </c>
      <c r="K218">
        <f t="array" ref="K218">INT(5 * (RANK(H218,H:H, 0) - 1) / COUNT(H:H)) + 1</f>
        <v>3</v>
      </c>
      <c r="L218">
        <f t="array" ref="L218">INT(5 * (RANK(I218,I:I, 0) - 1) / COUNT(I:I)) + 1</f>
        <v>5</v>
      </c>
      <c r="M218" t="str">
        <f t="shared" si="6"/>
        <v>135</v>
      </c>
      <c r="N218" s="6" t="str">
        <f t="shared" si="7"/>
        <v>At Risk</v>
      </c>
    </row>
    <row r="219" spans="1:14" x14ac:dyDescent="0.35">
      <c r="A219">
        <v>1387</v>
      </c>
      <c r="B219" s="4">
        <v>45466.375085336993</v>
      </c>
      <c r="C219" t="s">
        <v>13</v>
      </c>
      <c r="D219" t="s">
        <v>22</v>
      </c>
      <c r="E219" t="s">
        <v>25</v>
      </c>
      <c r="F219">
        <v>7009.89</v>
      </c>
      <c r="G219">
        <f t="array" ref="G219">SalesData!$I$2 - 'RFM Table'!B219</f>
        <v>670</v>
      </c>
      <c r="H219">
        <f t="array" ref="H219">COUNTIF(A:A,A219)</f>
        <v>8</v>
      </c>
      <c r="I219">
        <f t="array" ref="I219">SUMIF(A:A,A219,F:F)</f>
        <v>30848.15</v>
      </c>
      <c r="J219">
        <f t="array" ref="J219">5 - INT(5 * (RANK(G219,G:G, 1) - 1) / COUNT(G:G))</f>
        <v>1</v>
      </c>
      <c r="K219">
        <f t="array" ref="K219">INT(5 * (RANK(H219,H:H, 0) - 1) / COUNT(H:H)) + 1</f>
        <v>3</v>
      </c>
      <c r="L219">
        <f t="array" ref="L219">INT(5 * (RANK(I219,I:I, 0) - 1) / COUNT(I:I)) + 1</f>
        <v>3</v>
      </c>
      <c r="M219" t="str">
        <f t="shared" si="6"/>
        <v>133</v>
      </c>
      <c r="N219" s="6" t="str">
        <f t="shared" si="7"/>
        <v>At Risk</v>
      </c>
    </row>
    <row r="220" spans="1:14" x14ac:dyDescent="0.35">
      <c r="A220">
        <v>1208</v>
      </c>
      <c r="B220" s="4">
        <v>45467.375085336993</v>
      </c>
      <c r="C220" t="s">
        <v>6</v>
      </c>
      <c r="D220" t="s">
        <v>19</v>
      </c>
      <c r="E220" t="s">
        <v>23</v>
      </c>
      <c r="F220">
        <v>5376.2</v>
      </c>
      <c r="G220">
        <f t="array" ref="G220">SalesData!$I$2 - 'RFM Table'!B220</f>
        <v>669</v>
      </c>
      <c r="H220">
        <f t="array" ref="H220">COUNTIF(A:A,A220)</f>
        <v>5</v>
      </c>
      <c r="I220">
        <f t="array" ref="I220">SUMIF(A:A,A220,F:F)</f>
        <v>25493.58</v>
      </c>
      <c r="J220">
        <f t="array" ref="J220">5 - INT(5 * (RANK(G220,G:G, 1) - 1) / COUNT(G:G))</f>
        <v>1</v>
      </c>
      <c r="K220">
        <f t="array" ref="K220">INT(5 * (RANK(H220,H:H, 0) - 1) / COUNT(H:H)) + 1</f>
        <v>5</v>
      </c>
      <c r="L220">
        <f t="array" ref="L220">INT(5 * (RANK(I220,I:I, 0) - 1) / COUNT(I:I)) + 1</f>
        <v>4</v>
      </c>
      <c r="M220" t="str">
        <f t="shared" si="6"/>
        <v>154</v>
      </c>
      <c r="N220" s="6" t="str">
        <f t="shared" si="7"/>
        <v>At Risk</v>
      </c>
    </row>
    <row r="221" spans="1:14" x14ac:dyDescent="0.35">
      <c r="A221">
        <v>1110</v>
      </c>
      <c r="B221" s="4">
        <v>45467.375085336993</v>
      </c>
      <c r="C221" t="s">
        <v>8</v>
      </c>
      <c r="D221" t="s">
        <v>20</v>
      </c>
      <c r="E221" t="s">
        <v>25</v>
      </c>
      <c r="F221">
        <v>6488.12</v>
      </c>
      <c r="G221">
        <f t="array" ref="G221">SalesData!$I$2 - 'RFM Table'!B221</f>
        <v>669</v>
      </c>
      <c r="H221">
        <f t="array" ref="H221">COUNTIF(A:A,A221)</f>
        <v>13</v>
      </c>
      <c r="I221">
        <f t="array" ref="I221">SUMIF(A:A,A221,F:F)</f>
        <v>72511.88</v>
      </c>
      <c r="J221">
        <f t="array" ref="J221">5 - INT(5 * (RANK(G221,G:G, 1) - 1) / COUNT(G:G))</f>
        <v>1</v>
      </c>
      <c r="K221">
        <f t="array" ref="K221">INT(5 * (RANK(H221,H:H, 0) - 1) / COUNT(H:H)) + 1</f>
        <v>1</v>
      </c>
      <c r="L221">
        <f t="array" ref="L221">INT(5 * (RANK(I221,I:I, 0) - 1) / COUNT(I:I)) + 1</f>
        <v>1</v>
      </c>
      <c r="M221" t="str">
        <f t="shared" si="6"/>
        <v>111</v>
      </c>
      <c r="N221" s="6" t="str">
        <f t="shared" si="7"/>
        <v>Lost</v>
      </c>
    </row>
    <row r="222" spans="1:14" x14ac:dyDescent="0.35">
      <c r="A222">
        <v>1320</v>
      </c>
      <c r="B222" s="4">
        <v>45467.375085336993</v>
      </c>
      <c r="C222" t="s">
        <v>13</v>
      </c>
      <c r="D222" t="s">
        <v>22</v>
      </c>
      <c r="E222" t="s">
        <v>24</v>
      </c>
      <c r="F222">
        <v>6687.91</v>
      </c>
      <c r="G222">
        <f t="array" ref="G222">SalesData!$I$2 - 'RFM Table'!B222</f>
        <v>669</v>
      </c>
      <c r="H222">
        <f t="array" ref="H222">COUNTIF(A:A,A222)</f>
        <v>6</v>
      </c>
      <c r="I222">
        <f t="array" ref="I222">SUMIF(A:A,A222,F:F)</f>
        <v>32825.340000000004</v>
      </c>
      <c r="J222">
        <f t="array" ref="J222">5 - INT(5 * (RANK(G222,G:G, 1) - 1) / COUNT(G:G))</f>
        <v>1</v>
      </c>
      <c r="K222">
        <f t="array" ref="K222">INT(5 * (RANK(H222,H:H, 0) - 1) / COUNT(H:H)) + 1</f>
        <v>4</v>
      </c>
      <c r="L222">
        <f t="array" ref="L222">INT(5 * (RANK(I222,I:I, 0) - 1) / COUNT(I:I)) + 1</f>
        <v>3</v>
      </c>
      <c r="M222" t="str">
        <f t="shared" si="6"/>
        <v>143</v>
      </c>
      <c r="N222" s="6" t="str">
        <f t="shared" si="7"/>
        <v>At Risk</v>
      </c>
    </row>
    <row r="223" spans="1:14" x14ac:dyDescent="0.35">
      <c r="A223">
        <v>1150</v>
      </c>
      <c r="B223" s="4">
        <v>45468.375085336993</v>
      </c>
      <c r="C223" t="s">
        <v>15</v>
      </c>
      <c r="D223" t="s">
        <v>20</v>
      </c>
      <c r="E223" t="s">
        <v>24</v>
      </c>
      <c r="F223">
        <v>2230.63</v>
      </c>
      <c r="G223">
        <f t="array" ref="G223">SalesData!$I$2 - 'RFM Table'!B223</f>
        <v>668</v>
      </c>
      <c r="H223">
        <f t="array" ref="H223">COUNTIF(A:A,A223)</f>
        <v>10</v>
      </c>
      <c r="I223">
        <f t="array" ref="I223">SUMIF(A:A,A223,F:F)</f>
        <v>34643.039999999994</v>
      </c>
      <c r="J223">
        <f t="array" ref="J223">5 - INT(5 * (RANK(G223,G:G, 1) - 1) / COUNT(G:G))</f>
        <v>1</v>
      </c>
      <c r="K223">
        <f t="array" ref="K223">INT(5 * (RANK(H223,H:H, 0) - 1) / COUNT(H:H)) + 1</f>
        <v>2</v>
      </c>
      <c r="L223">
        <f t="array" ref="L223">INT(5 * (RANK(I223,I:I, 0) - 1) / COUNT(I:I)) + 1</f>
        <v>3</v>
      </c>
      <c r="M223" t="str">
        <f t="shared" si="6"/>
        <v>123</v>
      </c>
      <c r="N223" s="6" t="str">
        <f t="shared" si="7"/>
        <v>Can't Lose Them</v>
      </c>
    </row>
    <row r="224" spans="1:14" x14ac:dyDescent="0.35">
      <c r="A224">
        <v>1097</v>
      </c>
      <c r="B224" s="4">
        <v>45468.375085336993</v>
      </c>
      <c r="C224" t="s">
        <v>7</v>
      </c>
      <c r="D224" t="s">
        <v>17</v>
      </c>
      <c r="E224" t="s">
        <v>25</v>
      </c>
      <c r="F224">
        <v>7460.13</v>
      </c>
      <c r="G224">
        <f t="array" ref="G224">SalesData!$I$2 - 'RFM Table'!B224</f>
        <v>668</v>
      </c>
      <c r="H224">
        <f t="array" ref="H224">COUNTIF(A:A,A224)</f>
        <v>9</v>
      </c>
      <c r="I224">
        <f t="array" ref="I224">SUMIF(A:A,A224,F:F)</f>
        <v>51674.6</v>
      </c>
      <c r="J224">
        <f t="array" ref="J224">5 - INT(5 * (RANK(G224,G:G, 1) - 1) / COUNT(G:G))</f>
        <v>1</v>
      </c>
      <c r="K224">
        <f t="array" ref="K224">INT(5 * (RANK(H224,H:H, 0) - 1) / COUNT(H:H)) + 1</f>
        <v>2</v>
      </c>
      <c r="L224">
        <f t="array" ref="L224">INT(5 * (RANK(I224,I:I, 0) - 1) / COUNT(I:I)) + 1</f>
        <v>1</v>
      </c>
      <c r="M224" t="str">
        <f t="shared" si="6"/>
        <v>121</v>
      </c>
      <c r="N224" s="6" t="str">
        <f t="shared" si="7"/>
        <v>Lost</v>
      </c>
    </row>
    <row r="225" spans="1:14" x14ac:dyDescent="0.35">
      <c r="A225">
        <v>1195</v>
      </c>
      <c r="B225" s="4">
        <v>45468.375085336993</v>
      </c>
      <c r="C225" t="s">
        <v>8</v>
      </c>
      <c r="D225" t="s">
        <v>16</v>
      </c>
      <c r="E225" t="s">
        <v>25</v>
      </c>
      <c r="F225">
        <v>1416.23</v>
      </c>
      <c r="G225">
        <f t="array" ref="G225">SalesData!$I$2 - 'RFM Table'!B225</f>
        <v>668</v>
      </c>
      <c r="H225">
        <f t="array" ref="H225">COUNTIF(A:A,A225)</f>
        <v>7</v>
      </c>
      <c r="I225">
        <f t="array" ref="I225">SUMIF(A:A,A225,F:F)</f>
        <v>22005.660000000003</v>
      </c>
      <c r="J225">
        <f t="array" ref="J225">5 - INT(5 * (RANK(G225,G:G, 1) - 1) / COUNT(G:G))</f>
        <v>1</v>
      </c>
      <c r="K225">
        <f t="array" ref="K225">INT(5 * (RANK(H225,H:H, 0) - 1) / COUNT(H:H)) + 1</f>
        <v>4</v>
      </c>
      <c r="L225">
        <f t="array" ref="L225">INT(5 * (RANK(I225,I:I, 0) - 1) / COUNT(I:I)) + 1</f>
        <v>4</v>
      </c>
      <c r="M225" t="str">
        <f t="shared" si="6"/>
        <v>144</v>
      </c>
      <c r="N225" s="6" t="str">
        <f t="shared" si="7"/>
        <v>At Risk</v>
      </c>
    </row>
    <row r="226" spans="1:14" x14ac:dyDescent="0.35">
      <c r="A226">
        <v>1280</v>
      </c>
      <c r="B226" s="4">
        <v>45468.375085336993</v>
      </c>
      <c r="C226" t="s">
        <v>8</v>
      </c>
      <c r="D226" t="s">
        <v>22</v>
      </c>
      <c r="E226" t="s">
        <v>23</v>
      </c>
      <c r="F226">
        <v>3294.42</v>
      </c>
      <c r="G226">
        <f t="array" ref="G226">SalesData!$I$2 - 'RFM Table'!B226</f>
        <v>668</v>
      </c>
      <c r="H226">
        <f t="array" ref="H226">COUNTIF(A:A,A226)</f>
        <v>7</v>
      </c>
      <c r="I226">
        <f t="array" ref="I226">SUMIF(A:A,A226,F:F)</f>
        <v>34546.720000000001</v>
      </c>
      <c r="J226">
        <f t="array" ref="J226">5 - INT(5 * (RANK(G226,G:G, 1) - 1) / COUNT(G:G))</f>
        <v>1</v>
      </c>
      <c r="K226">
        <f t="array" ref="K226">INT(5 * (RANK(H226,H:H, 0) - 1) / COUNT(H:H)) + 1</f>
        <v>4</v>
      </c>
      <c r="L226">
        <f t="array" ref="L226">INT(5 * (RANK(I226,I:I, 0) - 1) / COUNT(I:I)) + 1</f>
        <v>3</v>
      </c>
      <c r="M226" t="str">
        <f t="shared" si="6"/>
        <v>143</v>
      </c>
      <c r="N226" s="6" t="str">
        <f t="shared" si="7"/>
        <v>At Risk</v>
      </c>
    </row>
    <row r="227" spans="1:14" x14ac:dyDescent="0.35">
      <c r="A227">
        <v>1176</v>
      </c>
      <c r="B227" s="4">
        <v>45468.375085336993</v>
      </c>
      <c r="C227" t="s">
        <v>7</v>
      </c>
      <c r="D227" t="s">
        <v>16</v>
      </c>
      <c r="E227" t="s">
        <v>25</v>
      </c>
      <c r="F227">
        <v>3313.79</v>
      </c>
      <c r="G227">
        <f t="array" ref="G227">SalesData!$I$2 - 'RFM Table'!B227</f>
        <v>668</v>
      </c>
      <c r="H227">
        <f t="array" ref="H227">COUNTIF(A:A,A227)</f>
        <v>9</v>
      </c>
      <c r="I227">
        <f t="array" ref="I227">SUMIF(A:A,A227,F:F)</f>
        <v>30242.800000000003</v>
      </c>
      <c r="J227">
        <f t="array" ref="J227">5 - INT(5 * (RANK(G227,G:G, 1) - 1) / COUNT(G:G))</f>
        <v>1</v>
      </c>
      <c r="K227">
        <f t="array" ref="K227">INT(5 * (RANK(H227,H:H, 0) - 1) / COUNT(H:H)) + 1</f>
        <v>2</v>
      </c>
      <c r="L227">
        <f t="array" ref="L227">INT(5 * (RANK(I227,I:I, 0) - 1) / COUNT(I:I)) + 1</f>
        <v>3</v>
      </c>
      <c r="M227" t="str">
        <f t="shared" si="6"/>
        <v>123</v>
      </c>
      <c r="N227" s="6" t="str">
        <f t="shared" si="7"/>
        <v>Can't Lose Them</v>
      </c>
    </row>
    <row r="228" spans="1:14" x14ac:dyDescent="0.35">
      <c r="A228">
        <v>1183</v>
      </c>
      <c r="B228" s="4">
        <v>45469.375085336993</v>
      </c>
      <c r="C228" t="s">
        <v>14</v>
      </c>
      <c r="D228" t="s">
        <v>21</v>
      </c>
      <c r="E228" t="s">
        <v>24</v>
      </c>
      <c r="F228">
        <v>6596.74</v>
      </c>
      <c r="G228">
        <f t="array" ref="G228">SalesData!$I$2 - 'RFM Table'!B228</f>
        <v>667</v>
      </c>
      <c r="H228">
        <f t="array" ref="H228">COUNTIF(A:A,A228)</f>
        <v>6</v>
      </c>
      <c r="I228">
        <f t="array" ref="I228">SUMIF(A:A,A228,F:F)</f>
        <v>27493.600000000002</v>
      </c>
      <c r="J228">
        <f t="array" ref="J228">5 - INT(5 * (RANK(G228,G:G, 1) - 1) / COUNT(G:G))</f>
        <v>1</v>
      </c>
      <c r="K228">
        <f t="array" ref="K228">INT(5 * (RANK(H228,H:H, 0) - 1) / COUNT(H:H)) + 1</f>
        <v>4</v>
      </c>
      <c r="L228">
        <f t="array" ref="L228">INT(5 * (RANK(I228,I:I, 0) - 1) / COUNT(I:I)) + 1</f>
        <v>4</v>
      </c>
      <c r="M228" t="str">
        <f t="shared" si="6"/>
        <v>144</v>
      </c>
      <c r="N228" s="6" t="str">
        <f t="shared" si="7"/>
        <v>At Risk</v>
      </c>
    </row>
    <row r="229" spans="1:14" x14ac:dyDescent="0.35">
      <c r="A229">
        <v>1335</v>
      </c>
      <c r="B229" s="4">
        <v>45469.375085336993</v>
      </c>
      <c r="C229" t="s">
        <v>7</v>
      </c>
      <c r="D229" t="s">
        <v>22</v>
      </c>
      <c r="E229" t="s">
        <v>25</v>
      </c>
      <c r="F229">
        <v>1526.34</v>
      </c>
      <c r="G229">
        <f t="array" ref="G229">SalesData!$I$2 - 'RFM Table'!B229</f>
        <v>667</v>
      </c>
      <c r="H229">
        <f t="array" ref="H229">COUNTIF(A:A,A229)</f>
        <v>8</v>
      </c>
      <c r="I229">
        <f t="array" ref="I229">SUMIF(A:A,A229,F:F)</f>
        <v>31568.060000000005</v>
      </c>
      <c r="J229">
        <f t="array" ref="J229">5 - INT(5 * (RANK(G229,G:G, 1) - 1) / COUNT(G:G))</f>
        <v>1</v>
      </c>
      <c r="K229">
        <f t="array" ref="K229">INT(5 * (RANK(H229,H:H, 0) - 1) / COUNT(H:H)) + 1</f>
        <v>3</v>
      </c>
      <c r="L229">
        <f t="array" ref="L229">INT(5 * (RANK(I229,I:I, 0) - 1) / COUNT(I:I)) + 1</f>
        <v>3</v>
      </c>
      <c r="M229" t="str">
        <f t="shared" si="6"/>
        <v>133</v>
      </c>
      <c r="N229" s="6" t="str">
        <f t="shared" si="7"/>
        <v>At Risk</v>
      </c>
    </row>
    <row r="230" spans="1:14" x14ac:dyDescent="0.35">
      <c r="A230">
        <v>1142</v>
      </c>
      <c r="B230" s="4">
        <v>45469.375085336993</v>
      </c>
      <c r="C230" t="s">
        <v>13</v>
      </c>
      <c r="D230" t="s">
        <v>19</v>
      </c>
      <c r="E230" t="s">
        <v>25</v>
      </c>
      <c r="F230">
        <v>3433.45</v>
      </c>
      <c r="G230">
        <f t="array" ref="G230">SalesData!$I$2 - 'RFM Table'!B230</f>
        <v>667</v>
      </c>
      <c r="H230">
        <f t="array" ref="H230">COUNTIF(A:A,A230)</f>
        <v>10</v>
      </c>
      <c r="I230">
        <f t="array" ref="I230">SUMIF(A:A,A230,F:F)</f>
        <v>45537.319999999992</v>
      </c>
      <c r="J230">
        <f t="array" ref="J230">5 - INT(5 * (RANK(G230,G:G, 1) - 1) / COUNT(G:G))</f>
        <v>1</v>
      </c>
      <c r="K230">
        <f t="array" ref="K230">INT(5 * (RANK(H230,H:H, 0) - 1) / COUNT(H:H)) + 1</f>
        <v>2</v>
      </c>
      <c r="L230">
        <f t="array" ref="L230">INT(5 * (RANK(I230,I:I, 0) - 1) / COUNT(I:I)) + 1</f>
        <v>1</v>
      </c>
      <c r="M230" t="str">
        <f t="shared" si="6"/>
        <v>121</v>
      </c>
      <c r="N230" s="6" t="str">
        <f t="shared" si="7"/>
        <v>Lost</v>
      </c>
    </row>
    <row r="231" spans="1:14" x14ac:dyDescent="0.35">
      <c r="A231">
        <v>1265</v>
      </c>
      <c r="B231" s="4">
        <v>45469.375085336993</v>
      </c>
      <c r="C231" t="s">
        <v>15</v>
      </c>
      <c r="D231" t="s">
        <v>18</v>
      </c>
      <c r="E231" t="s">
        <v>23</v>
      </c>
      <c r="F231">
        <v>2746.84</v>
      </c>
      <c r="G231">
        <f t="array" ref="G231">SalesData!$I$2 - 'RFM Table'!B231</f>
        <v>667</v>
      </c>
      <c r="H231">
        <f t="array" ref="H231">COUNTIF(A:A,A231)</f>
        <v>7</v>
      </c>
      <c r="I231">
        <f t="array" ref="I231">SUMIF(A:A,A231,F:F)</f>
        <v>24998.240000000005</v>
      </c>
      <c r="J231">
        <f t="array" ref="J231">5 - INT(5 * (RANK(G231,G:G, 1) - 1) / COUNT(G:G))</f>
        <v>1</v>
      </c>
      <c r="K231">
        <f t="array" ref="K231">INT(5 * (RANK(H231,H:H, 0) - 1) / COUNT(H:H)) + 1</f>
        <v>4</v>
      </c>
      <c r="L231">
        <f t="array" ref="L231">INT(5 * (RANK(I231,I:I, 0) - 1) / COUNT(I:I)) + 1</f>
        <v>4</v>
      </c>
      <c r="M231" t="str">
        <f t="shared" si="6"/>
        <v>144</v>
      </c>
      <c r="N231" s="6" t="str">
        <f t="shared" si="7"/>
        <v>At Risk</v>
      </c>
    </row>
    <row r="232" spans="1:14" x14ac:dyDescent="0.35">
      <c r="A232">
        <v>1100</v>
      </c>
      <c r="B232" s="4">
        <v>45470.375085336993</v>
      </c>
      <c r="C232" t="s">
        <v>6</v>
      </c>
      <c r="D232" t="s">
        <v>20</v>
      </c>
      <c r="E232" t="s">
        <v>25</v>
      </c>
      <c r="F232">
        <v>5503.84</v>
      </c>
      <c r="G232">
        <f t="array" ref="G232">SalesData!$I$2 - 'RFM Table'!B232</f>
        <v>666</v>
      </c>
      <c r="H232">
        <f t="array" ref="H232">COUNTIF(A:A,A232)</f>
        <v>12</v>
      </c>
      <c r="I232">
        <f t="array" ref="I232">SUMIF(A:A,A232,F:F)</f>
        <v>54905.279999999992</v>
      </c>
      <c r="J232">
        <f t="array" ref="J232">5 - INT(5 * (RANK(G232,G:G, 1) - 1) / COUNT(G:G))</f>
        <v>1</v>
      </c>
      <c r="K232">
        <f t="array" ref="K232">INT(5 * (RANK(H232,H:H, 0) - 1) / COUNT(H:H)) + 1</f>
        <v>1</v>
      </c>
      <c r="L232">
        <f t="array" ref="L232">INT(5 * (RANK(I232,I:I, 0) - 1) / COUNT(I:I)) + 1</f>
        <v>1</v>
      </c>
      <c r="M232" t="str">
        <f t="shared" si="6"/>
        <v>111</v>
      </c>
      <c r="N232" s="6" t="str">
        <f t="shared" si="7"/>
        <v>Lost</v>
      </c>
    </row>
    <row r="233" spans="1:14" x14ac:dyDescent="0.35">
      <c r="A233">
        <v>1394</v>
      </c>
      <c r="B233" s="4">
        <v>45470.375085336993</v>
      </c>
      <c r="C233" t="s">
        <v>13</v>
      </c>
      <c r="D233" t="s">
        <v>19</v>
      </c>
      <c r="E233" t="s">
        <v>23</v>
      </c>
      <c r="F233">
        <v>2337.29</v>
      </c>
      <c r="G233">
        <f t="array" ref="G233">SalesData!$I$2 - 'RFM Table'!B233</f>
        <v>666</v>
      </c>
      <c r="H233">
        <f t="array" ref="H233">COUNTIF(A:A,A233)</f>
        <v>6</v>
      </c>
      <c r="I233">
        <f t="array" ref="I233">SUMIF(A:A,A233,F:F)</f>
        <v>15872.329999999998</v>
      </c>
      <c r="J233">
        <f t="array" ref="J233">5 - INT(5 * (RANK(G233,G:G, 1) - 1) / COUNT(G:G))</f>
        <v>1</v>
      </c>
      <c r="K233">
        <f t="array" ref="K233">INT(5 * (RANK(H233,H:H, 0) - 1) / COUNT(H:H)) + 1</f>
        <v>4</v>
      </c>
      <c r="L233">
        <f t="array" ref="L233">INT(5 * (RANK(I233,I:I, 0) - 1) / COUNT(I:I)) + 1</f>
        <v>5</v>
      </c>
      <c r="M233" t="str">
        <f t="shared" si="6"/>
        <v>145</v>
      </c>
      <c r="N233" s="6" t="str">
        <f t="shared" si="7"/>
        <v>At Risk</v>
      </c>
    </row>
    <row r="234" spans="1:14" x14ac:dyDescent="0.35">
      <c r="A234">
        <v>1003</v>
      </c>
      <c r="B234" s="4">
        <v>45470.375085336993</v>
      </c>
      <c r="C234" t="s">
        <v>6</v>
      </c>
      <c r="D234" t="s">
        <v>16</v>
      </c>
      <c r="E234" t="s">
        <v>24</v>
      </c>
      <c r="F234">
        <v>5651.68</v>
      </c>
      <c r="G234">
        <f t="array" ref="G234">SalesData!$I$2 - 'RFM Table'!B234</f>
        <v>666</v>
      </c>
      <c r="H234">
        <f t="array" ref="H234">COUNTIF(A:A,A234)</f>
        <v>9</v>
      </c>
      <c r="I234">
        <f t="array" ref="I234">SUMIF(A:A,A234,F:F)</f>
        <v>48978.57</v>
      </c>
      <c r="J234">
        <f t="array" ref="J234">5 - INT(5 * (RANK(G234,G:G, 1) - 1) / COUNT(G:G))</f>
        <v>1</v>
      </c>
      <c r="K234">
        <f t="array" ref="K234">INT(5 * (RANK(H234,H:H, 0) - 1) / COUNT(H:H)) + 1</f>
        <v>2</v>
      </c>
      <c r="L234">
        <f t="array" ref="L234">INT(5 * (RANK(I234,I:I, 0) - 1) / COUNT(I:I)) + 1</f>
        <v>1</v>
      </c>
      <c r="M234" t="str">
        <f t="shared" si="6"/>
        <v>121</v>
      </c>
      <c r="N234" s="6" t="str">
        <f t="shared" si="7"/>
        <v>Lost</v>
      </c>
    </row>
    <row r="235" spans="1:14" x14ac:dyDescent="0.35">
      <c r="A235">
        <v>1127</v>
      </c>
      <c r="B235" s="4">
        <v>45470.375085336993</v>
      </c>
      <c r="C235" t="s">
        <v>7</v>
      </c>
      <c r="D235" t="s">
        <v>17</v>
      </c>
      <c r="E235" t="s">
        <v>24</v>
      </c>
      <c r="F235">
        <v>4833.3100000000004</v>
      </c>
      <c r="G235">
        <f t="array" ref="G235">SalesData!$I$2 - 'RFM Table'!B235</f>
        <v>666</v>
      </c>
      <c r="H235">
        <f t="array" ref="H235">COUNTIF(A:A,A235)</f>
        <v>9</v>
      </c>
      <c r="I235">
        <f t="array" ref="I235">SUMIF(A:A,A235,F:F)</f>
        <v>30288.86</v>
      </c>
      <c r="J235">
        <f t="array" ref="J235">5 - INT(5 * (RANK(G235,G:G, 1) - 1) / COUNT(G:G))</f>
        <v>1</v>
      </c>
      <c r="K235">
        <f t="array" ref="K235">INT(5 * (RANK(H235,H:H, 0) - 1) / COUNT(H:H)) + 1</f>
        <v>2</v>
      </c>
      <c r="L235">
        <f t="array" ref="L235">INT(5 * (RANK(I235,I:I, 0) - 1) / COUNT(I:I)) + 1</f>
        <v>3</v>
      </c>
      <c r="M235" t="str">
        <f t="shared" si="6"/>
        <v>123</v>
      </c>
      <c r="N235" s="6" t="str">
        <f t="shared" si="7"/>
        <v>Can't Lose Them</v>
      </c>
    </row>
    <row r="236" spans="1:14" x14ac:dyDescent="0.35">
      <c r="A236">
        <v>1341</v>
      </c>
      <c r="B236" s="4">
        <v>45470.375085336993</v>
      </c>
      <c r="C236" t="s">
        <v>9</v>
      </c>
      <c r="D236" t="s">
        <v>17</v>
      </c>
      <c r="E236" t="s">
        <v>23</v>
      </c>
      <c r="F236">
        <v>8645.77</v>
      </c>
      <c r="G236">
        <f t="array" ref="G236">SalesData!$I$2 - 'RFM Table'!B236</f>
        <v>666</v>
      </c>
      <c r="H236">
        <f t="array" ref="H236">COUNTIF(A:A,A236)</f>
        <v>11</v>
      </c>
      <c r="I236">
        <f t="array" ref="I236">SUMIF(A:A,A236,F:F)</f>
        <v>45526.78</v>
      </c>
      <c r="J236">
        <f t="array" ref="J236">5 - INT(5 * (RANK(G236,G:G, 1) - 1) / COUNT(G:G))</f>
        <v>1</v>
      </c>
      <c r="K236">
        <f t="array" ref="K236">INT(5 * (RANK(H236,H:H, 0) - 1) / COUNT(H:H)) + 1</f>
        <v>1</v>
      </c>
      <c r="L236">
        <f t="array" ref="L236">INT(5 * (RANK(I236,I:I, 0) - 1) / COUNT(I:I)) + 1</f>
        <v>1</v>
      </c>
      <c r="M236" t="str">
        <f t="shared" si="6"/>
        <v>111</v>
      </c>
      <c r="N236" s="6" t="str">
        <f t="shared" si="7"/>
        <v>Lost</v>
      </c>
    </row>
    <row r="237" spans="1:14" x14ac:dyDescent="0.35">
      <c r="A237">
        <v>1278</v>
      </c>
      <c r="B237" s="4">
        <v>45470.375085336993</v>
      </c>
      <c r="C237" t="s">
        <v>7</v>
      </c>
      <c r="D237" t="s">
        <v>18</v>
      </c>
      <c r="E237" t="s">
        <v>23</v>
      </c>
      <c r="F237">
        <v>5124.1000000000004</v>
      </c>
      <c r="G237">
        <f t="array" ref="G237">SalesData!$I$2 - 'RFM Table'!B237</f>
        <v>666</v>
      </c>
      <c r="H237">
        <f t="array" ref="H237">COUNTIF(A:A,A237)</f>
        <v>4</v>
      </c>
      <c r="I237">
        <f t="array" ref="I237">SUMIF(A:A,A237,F:F)</f>
        <v>12855.77</v>
      </c>
      <c r="J237">
        <f t="array" ref="J237">5 - INT(5 * (RANK(G237,G:G, 1) - 1) / COUNT(G:G))</f>
        <v>1</v>
      </c>
      <c r="K237">
        <f t="array" ref="K237">INT(5 * (RANK(H237,H:H, 0) - 1) / COUNT(H:H)) + 1</f>
        <v>5</v>
      </c>
      <c r="L237">
        <f t="array" ref="L237">INT(5 * (RANK(I237,I:I, 0) - 1) / COUNT(I:I)) + 1</f>
        <v>5</v>
      </c>
      <c r="M237" t="str">
        <f t="shared" si="6"/>
        <v>155</v>
      </c>
      <c r="N237" s="6" t="str">
        <f t="shared" si="7"/>
        <v>At Risk</v>
      </c>
    </row>
    <row r="238" spans="1:14" x14ac:dyDescent="0.35">
      <c r="A238">
        <v>1084</v>
      </c>
      <c r="B238" s="4">
        <v>45470.375085336993</v>
      </c>
      <c r="C238" t="s">
        <v>8</v>
      </c>
      <c r="D238" t="s">
        <v>21</v>
      </c>
      <c r="E238" t="s">
        <v>25</v>
      </c>
      <c r="F238">
        <v>3413.51</v>
      </c>
      <c r="G238">
        <f t="array" ref="G238">SalesData!$I$2 - 'RFM Table'!B238</f>
        <v>666</v>
      </c>
      <c r="H238">
        <f t="array" ref="H238">COUNTIF(A:A,A238)</f>
        <v>4</v>
      </c>
      <c r="I238">
        <f t="array" ref="I238">SUMIF(A:A,A238,F:F)</f>
        <v>12531.98</v>
      </c>
      <c r="J238">
        <f t="array" ref="J238">5 - INT(5 * (RANK(G238,G:G, 1) - 1) / COUNT(G:G))</f>
        <v>1</v>
      </c>
      <c r="K238">
        <f t="array" ref="K238">INT(5 * (RANK(H238,H:H, 0) - 1) / COUNT(H:H)) + 1</f>
        <v>5</v>
      </c>
      <c r="L238">
        <f t="array" ref="L238">INT(5 * (RANK(I238,I:I, 0) - 1) / COUNT(I:I)) + 1</f>
        <v>5</v>
      </c>
      <c r="M238" t="str">
        <f t="shared" si="6"/>
        <v>155</v>
      </c>
      <c r="N238" s="6" t="str">
        <f t="shared" si="7"/>
        <v>At Risk</v>
      </c>
    </row>
    <row r="239" spans="1:14" x14ac:dyDescent="0.35">
      <c r="A239">
        <v>1160</v>
      </c>
      <c r="B239" s="4">
        <v>45471.375085336993</v>
      </c>
      <c r="C239" t="s">
        <v>13</v>
      </c>
      <c r="D239" t="s">
        <v>22</v>
      </c>
      <c r="E239" t="s">
        <v>24</v>
      </c>
      <c r="F239">
        <v>7734.05</v>
      </c>
      <c r="G239">
        <f t="array" ref="G239">SalesData!$I$2 - 'RFM Table'!B239</f>
        <v>665</v>
      </c>
      <c r="H239">
        <f t="array" ref="H239">COUNTIF(A:A,A239)</f>
        <v>13</v>
      </c>
      <c r="I239">
        <f t="array" ref="I239">SUMIF(A:A,A239,F:F)</f>
        <v>56128.799999999996</v>
      </c>
      <c r="J239">
        <f t="array" ref="J239">5 - INT(5 * (RANK(G239,G:G, 1) - 1) / COUNT(G:G))</f>
        <v>1</v>
      </c>
      <c r="K239">
        <f t="array" ref="K239">INT(5 * (RANK(H239,H:H, 0) - 1) / COUNT(H:H)) + 1</f>
        <v>1</v>
      </c>
      <c r="L239">
        <f t="array" ref="L239">INT(5 * (RANK(I239,I:I, 0) - 1) / COUNT(I:I)) + 1</f>
        <v>1</v>
      </c>
      <c r="M239" t="str">
        <f t="shared" si="6"/>
        <v>111</v>
      </c>
      <c r="N239" s="6" t="str">
        <f t="shared" si="7"/>
        <v>Lost</v>
      </c>
    </row>
    <row r="240" spans="1:14" x14ac:dyDescent="0.35">
      <c r="A240">
        <v>1242</v>
      </c>
      <c r="B240" s="4">
        <v>45471.375085336993</v>
      </c>
      <c r="C240" t="s">
        <v>9</v>
      </c>
      <c r="D240" t="s">
        <v>19</v>
      </c>
      <c r="E240" t="s">
        <v>23</v>
      </c>
      <c r="F240">
        <v>5796.15</v>
      </c>
      <c r="G240">
        <f t="array" ref="G240">SalesData!$I$2 - 'RFM Table'!B240</f>
        <v>665</v>
      </c>
      <c r="H240">
        <f t="array" ref="H240">COUNTIF(A:A,A240)</f>
        <v>8</v>
      </c>
      <c r="I240">
        <f t="array" ref="I240">SUMIF(A:A,A240,F:F)</f>
        <v>26424.119999999995</v>
      </c>
      <c r="J240">
        <f t="array" ref="J240">5 - INT(5 * (RANK(G240,G:G, 1) - 1) / COUNT(G:G))</f>
        <v>1</v>
      </c>
      <c r="K240">
        <f t="array" ref="K240">INT(5 * (RANK(H240,H:H, 0) - 1) / COUNT(H:H)) + 1</f>
        <v>3</v>
      </c>
      <c r="L240">
        <f t="array" ref="L240">INT(5 * (RANK(I240,I:I, 0) - 1) / COUNT(I:I)) + 1</f>
        <v>4</v>
      </c>
      <c r="M240" t="str">
        <f t="shared" si="6"/>
        <v>134</v>
      </c>
      <c r="N240" s="6" t="str">
        <f t="shared" si="7"/>
        <v>At Risk</v>
      </c>
    </row>
    <row r="241" spans="1:14" x14ac:dyDescent="0.35">
      <c r="A241">
        <v>1065</v>
      </c>
      <c r="B241" s="4">
        <v>45471.375085336993</v>
      </c>
      <c r="C241" t="s">
        <v>15</v>
      </c>
      <c r="D241" t="s">
        <v>20</v>
      </c>
      <c r="E241" t="s">
        <v>24</v>
      </c>
      <c r="F241">
        <v>1572.5</v>
      </c>
      <c r="G241">
        <f t="array" ref="G241">SalesData!$I$2 - 'RFM Table'!B241</f>
        <v>665</v>
      </c>
      <c r="H241">
        <f t="array" ref="H241">COUNTIF(A:A,A241)</f>
        <v>7</v>
      </c>
      <c r="I241">
        <f t="array" ref="I241">SUMIF(A:A,A241,F:F)</f>
        <v>25155.31</v>
      </c>
      <c r="J241">
        <f t="array" ref="J241">5 - INT(5 * (RANK(G241,G:G, 1) - 1) / COUNT(G:G))</f>
        <v>1</v>
      </c>
      <c r="K241">
        <f t="array" ref="K241">INT(5 * (RANK(H241,H:H, 0) - 1) / COUNT(H:H)) + 1</f>
        <v>4</v>
      </c>
      <c r="L241">
        <f t="array" ref="L241">INT(5 * (RANK(I241,I:I, 0) - 1) / COUNT(I:I)) + 1</f>
        <v>4</v>
      </c>
      <c r="M241" t="str">
        <f t="shared" si="6"/>
        <v>144</v>
      </c>
      <c r="N241" s="6" t="str">
        <f t="shared" si="7"/>
        <v>At Risk</v>
      </c>
    </row>
    <row r="242" spans="1:14" x14ac:dyDescent="0.35">
      <c r="A242">
        <v>1151</v>
      </c>
      <c r="B242" s="4">
        <v>45471.375085336993</v>
      </c>
      <c r="C242" t="s">
        <v>6</v>
      </c>
      <c r="D242" t="s">
        <v>19</v>
      </c>
      <c r="E242" t="s">
        <v>23</v>
      </c>
      <c r="F242">
        <v>1648.21</v>
      </c>
      <c r="G242">
        <f t="array" ref="G242">SalesData!$I$2 - 'RFM Table'!B242</f>
        <v>665</v>
      </c>
      <c r="H242">
        <f t="array" ref="H242">COUNTIF(A:A,A242)</f>
        <v>13</v>
      </c>
      <c r="I242">
        <f t="array" ref="I242">SUMIF(A:A,A242,F:F)</f>
        <v>49208.94</v>
      </c>
      <c r="J242">
        <f t="array" ref="J242">5 - INT(5 * (RANK(G242,G:G, 1) - 1) / COUNT(G:G))</f>
        <v>1</v>
      </c>
      <c r="K242">
        <f t="array" ref="K242">INT(5 * (RANK(H242,H:H, 0) - 1) / COUNT(H:H)) + 1</f>
        <v>1</v>
      </c>
      <c r="L242">
        <f t="array" ref="L242">INT(5 * (RANK(I242,I:I, 0) - 1) / COUNT(I:I)) + 1</f>
        <v>1</v>
      </c>
      <c r="M242" t="str">
        <f t="shared" si="6"/>
        <v>111</v>
      </c>
      <c r="N242" s="6" t="str">
        <f t="shared" si="7"/>
        <v>Lost</v>
      </c>
    </row>
    <row r="243" spans="1:14" x14ac:dyDescent="0.35">
      <c r="A243">
        <v>1004</v>
      </c>
      <c r="B243" s="4">
        <v>45473.375085336993</v>
      </c>
      <c r="C243" t="s">
        <v>6</v>
      </c>
      <c r="D243" t="s">
        <v>17</v>
      </c>
      <c r="E243" t="s">
        <v>25</v>
      </c>
      <c r="F243">
        <v>1193.79</v>
      </c>
      <c r="G243">
        <f t="array" ref="G243">SalesData!$I$2 - 'RFM Table'!B243</f>
        <v>663</v>
      </c>
      <c r="H243">
        <f t="array" ref="H243">COUNTIF(A:A,A243)</f>
        <v>12</v>
      </c>
      <c r="I243">
        <f t="array" ref="I243">SUMIF(A:A,A243,F:F)</f>
        <v>34222.5</v>
      </c>
      <c r="J243">
        <f t="array" ref="J243">5 - INT(5 * (RANK(G243,G:G, 1) - 1) / COUNT(G:G))</f>
        <v>1</v>
      </c>
      <c r="K243">
        <f t="array" ref="K243">INT(5 * (RANK(H243,H:H, 0) - 1) / COUNT(H:H)) + 1</f>
        <v>1</v>
      </c>
      <c r="L243">
        <f t="array" ref="L243">INT(5 * (RANK(I243,I:I, 0) - 1) / COUNT(I:I)) + 1</f>
        <v>3</v>
      </c>
      <c r="M243" t="str">
        <f t="shared" si="6"/>
        <v>113</v>
      </c>
      <c r="N243" s="6" t="str">
        <f t="shared" si="7"/>
        <v>Can't Lose Them</v>
      </c>
    </row>
    <row r="244" spans="1:14" x14ac:dyDescent="0.35">
      <c r="A244">
        <v>1140</v>
      </c>
      <c r="B244" s="4">
        <v>45473.375085336993</v>
      </c>
      <c r="C244" t="s">
        <v>11</v>
      </c>
      <c r="D244" t="s">
        <v>17</v>
      </c>
      <c r="E244" t="s">
        <v>25</v>
      </c>
      <c r="F244">
        <v>10213.35</v>
      </c>
      <c r="G244">
        <f t="array" ref="G244">SalesData!$I$2 - 'RFM Table'!B244</f>
        <v>663</v>
      </c>
      <c r="H244">
        <f t="array" ref="H244">COUNTIF(A:A,A244)</f>
        <v>9</v>
      </c>
      <c r="I244">
        <f t="array" ref="I244">SUMIF(A:A,A244,F:F)</f>
        <v>45498.270000000004</v>
      </c>
      <c r="J244">
        <f t="array" ref="J244">5 - INT(5 * (RANK(G244,G:G, 1) - 1) / COUNT(G:G))</f>
        <v>1</v>
      </c>
      <c r="K244">
        <f t="array" ref="K244">INT(5 * (RANK(H244,H:H, 0) - 1) / COUNT(H:H)) + 1</f>
        <v>2</v>
      </c>
      <c r="L244">
        <f t="array" ref="L244">INT(5 * (RANK(I244,I:I, 0) - 1) / COUNT(I:I)) + 1</f>
        <v>1</v>
      </c>
      <c r="M244" t="str">
        <f t="shared" si="6"/>
        <v>121</v>
      </c>
      <c r="N244" s="6" t="str">
        <f t="shared" si="7"/>
        <v>Lost</v>
      </c>
    </row>
    <row r="245" spans="1:14" x14ac:dyDescent="0.35">
      <c r="A245">
        <v>1018</v>
      </c>
      <c r="B245" s="4">
        <v>45473.375085336993</v>
      </c>
      <c r="C245" t="s">
        <v>12</v>
      </c>
      <c r="D245" t="s">
        <v>16</v>
      </c>
      <c r="E245" t="s">
        <v>23</v>
      </c>
      <c r="F245">
        <v>5082.2</v>
      </c>
      <c r="G245">
        <f t="array" ref="G245">SalesData!$I$2 - 'RFM Table'!B245</f>
        <v>663</v>
      </c>
      <c r="H245">
        <f t="array" ref="H245">COUNTIF(A:A,A245)</f>
        <v>7</v>
      </c>
      <c r="I245">
        <f t="array" ref="I245">SUMIF(A:A,A245,F:F)</f>
        <v>25356.28</v>
      </c>
      <c r="J245">
        <f t="array" ref="J245">5 - INT(5 * (RANK(G245,G:G, 1) - 1) / COUNT(G:G))</f>
        <v>1</v>
      </c>
      <c r="K245">
        <f t="array" ref="K245">INT(5 * (RANK(H245,H:H, 0) - 1) / COUNT(H:H)) + 1</f>
        <v>4</v>
      </c>
      <c r="L245">
        <f t="array" ref="L245">INT(5 * (RANK(I245,I:I, 0) - 1) / COUNT(I:I)) + 1</f>
        <v>4</v>
      </c>
      <c r="M245" t="str">
        <f t="shared" si="6"/>
        <v>144</v>
      </c>
      <c r="N245" s="6" t="str">
        <f t="shared" si="7"/>
        <v>At Risk</v>
      </c>
    </row>
    <row r="246" spans="1:14" x14ac:dyDescent="0.35">
      <c r="A246">
        <v>1398</v>
      </c>
      <c r="B246" s="4">
        <v>45473.375085336993</v>
      </c>
      <c r="C246" t="s">
        <v>6</v>
      </c>
      <c r="D246" t="s">
        <v>22</v>
      </c>
      <c r="E246" t="s">
        <v>25</v>
      </c>
      <c r="F246">
        <v>1174.6500000000001</v>
      </c>
      <c r="G246">
        <f t="array" ref="G246">SalesData!$I$2 - 'RFM Table'!B246</f>
        <v>663</v>
      </c>
      <c r="H246">
        <f t="array" ref="H246">COUNTIF(A:A,A246)</f>
        <v>7</v>
      </c>
      <c r="I246">
        <f t="array" ref="I246">SUMIF(A:A,A246,F:F)</f>
        <v>28040.249999999996</v>
      </c>
      <c r="J246">
        <f t="array" ref="J246">5 - INT(5 * (RANK(G246,G:G, 1) - 1) / COUNT(G:G))</f>
        <v>1</v>
      </c>
      <c r="K246">
        <f t="array" ref="K246">INT(5 * (RANK(H246,H:H, 0) - 1) / COUNT(H:H)) + 1</f>
        <v>4</v>
      </c>
      <c r="L246">
        <f t="array" ref="L246">INT(5 * (RANK(I246,I:I, 0) - 1) / COUNT(I:I)) + 1</f>
        <v>4</v>
      </c>
      <c r="M246" t="str">
        <f t="shared" si="6"/>
        <v>144</v>
      </c>
      <c r="N246" s="6" t="str">
        <f t="shared" si="7"/>
        <v>At Risk</v>
      </c>
    </row>
    <row r="247" spans="1:14" x14ac:dyDescent="0.35">
      <c r="A247">
        <v>1246</v>
      </c>
      <c r="B247" s="4">
        <v>45473.375085336993</v>
      </c>
      <c r="C247" t="s">
        <v>13</v>
      </c>
      <c r="D247" t="s">
        <v>21</v>
      </c>
      <c r="E247" t="s">
        <v>25</v>
      </c>
      <c r="F247">
        <v>3750.61</v>
      </c>
      <c r="G247">
        <f t="array" ref="G247">SalesData!$I$2 - 'RFM Table'!B247</f>
        <v>663</v>
      </c>
      <c r="H247">
        <f t="array" ref="H247">COUNTIF(A:A,A247)</f>
        <v>9</v>
      </c>
      <c r="I247">
        <f t="array" ref="I247">SUMIF(A:A,A247,F:F)</f>
        <v>38767.17</v>
      </c>
      <c r="J247">
        <f t="array" ref="J247">5 - INT(5 * (RANK(G247,G:G, 1) - 1) / COUNT(G:G))</f>
        <v>1</v>
      </c>
      <c r="K247">
        <f t="array" ref="K247">INT(5 * (RANK(H247,H:H, 0) - 1) / COUNT(H:H)) + 1</f>
        <v>2</v>
      </c>
      <c r="L247">
        <f t="array" ref="L247">INT(5 * (RANK(I247,I:I, 0) - 1) / COUNT(I:I)) + 1</f>
        <v>2</v>
      </c>
      <c r="M247" t="str">
        <f t="shared" si="6"/>
        <v>122</v>
      </c>
      <c r="N247" s="6" t="str">
        <f t="shared" si="7"/>
        <v>Lost</v>
      </c>
    </row>
    <row r="248" spans="1:14" x14ac:dyDescent="0.35">
      <c r="A248">
        <v>1282</v>
      </c>
      <c r="B248" s="4">
        <v>45473.375085336993</v>
      </c>
      <c r="C248" t="s">
        <v>13</v>
      </c>
      <c r="D248" t="s">
        <v>18</v>
      </c>
      <c r="E248" t="s">
        <v>24</v>
      </c>
      <c r="F248">
        <v>3633.55</v>
      </c>
      <c r="G248">
        <f t="array" ref="G248">SalesData!$I$2 - 'RFM Table'!B248</f>
        <v>663</v>
      </c>
      <c r="H248">
        <f t="array" ref="H248">COUNTIF(A:A,A248)</f>
        <v>7</v>
      </c>
      <c r="I248">
        <f t="array" ref="I248">SUMIF(A:A,A248,F:F)</f>
        <v>37438.960000000006</v>
      </c>
      <c r="J248">
        <f t="array" ref="J248">5 - INT(5 * (RANK(G248,G:G, 1) - 1) / COUNT(G:G))</f>
        <v>1</v>
      </c>
      <c r="K248">
        <f t="array" ref="K248">INT(5 * (RANK(H248,H:H, 0) - 1) / COUNT(H:H)) + 1</f>
        <v>4</v>
      </c>
      <c r="L248">
        <f t="array" ref="L248">INT(5 * (RANK(I248,I:I, 0) - 1) / COUNT(I:I)) + 1</f>
        <v>2</v>
      </c>
      <c r="M248" t="str">
        <f t="shared" si="6"/>
        <v>142</v>
      </c>
      <c r="N248" s="6" t="str">
        <f t="shared" si="7"/>
        <v>Others</v>
      </c>
    </row>
    <row r="249" spans="1:14" x14ac:dyDescent="0.35">
      <c r="A249">
        <v>1038</v>
      </c>
      <c r="B249" s="4">
        <v>45474.375085336993</v>
      </c>
      <c r="C249" t="s">
        <v>15</v>
      </c>
      <c r="D249" t="s">
        <v>21</v>
      </c>
      <c r="E249" t="s">
        <v>25</v>
      </c>
      <c r="F249">
        <v>5985.58</v>
      </c>
      <c r="G249">
        <f t="array" ref="G249">SalesData!$I$2 - 'RFM Table'!B249</f>
        <v>662</v>
      </c>
      <c r="H249">
        <f t="array" ref="H249">COUNTIF(A:A,A249)</f>
        <v>16</v>
      </c>
      <c r="I249">
        <f t="array" ref="I249">SUMIF(A:A,A249,F:F)</f>
        <v>76962.720000000001</v>
      </c>
      <c r="J249">
        <f t="array" ref="J249">5 - INT(5 * (RANK(G249,G:G, 1) - 1) / COUNT(G:G))</f>
        <v>1</v>
      </c>
      <c r="K249">
        <f t="array" ref="K249">INT(5 * (RANK(H249,H:H, 0) - 1) / COUNT(H:H)) + 1</f>
        <v>1</v>
      </c>
      <c r="L249">
        <f t="array" ref="L249">INT(5 * (RANK(I249,I:I, 0) - 1) / COUNT(I:I)) + 1</f>
        <v>1</v>
      </c>
      <c r="M249" t="str">
        <f t="shared" si="6"/>
        <v>111</v>
      </c>
      <c r="N249" s="6" t="str">
        <f t="shared" si="7"/>
        <v>Lost</v>
      </c>
    </row>
    <row r="250" spans="1:14" x14ac:dyDescent="0.35">
      <c r="A250">
        <v>1147</v>
      </c>
      <c r="B250" s="4">
        <v>45474.375085336993</v>
      </c>
      <c r="C250" t="s">
        <v>11</v>
      </c>
      <c r="D250" t="s">
        <v>16</v>
      </c>
      <c r="E250" t="s">
        <v>25</v>
      </c>
      <c r="F250">
        <v>2017.22</v>
      </c>
      <c r="G250">
        <f t="array" ref="G250">SalesData!$I$2 - 'RFM Table'!B250</f>
        <v>662</v>
      </c>
      <c r="H250">
        <f t="array" ref="H250">COUNTIF(A:A,A250)</f>
        <v>9</v>
      </c>
      <c r="I250">
        <f t="array" ref="I250">SUMIF(A:A,A250,F:F)</f>
        <v>31221.600000000002</v>
      </c>
      <c r="J250">
        <f t="array" ref="J250">5 - INT(5 * (RANK(G250,G:G, 1) - 1) / COUNT(G:G))</f>
        <v>1</v>
      </c>
      <c r="K250">
        <f t="array" ref="K250">INT(5 * (RANK(H250,H:H, 0) - 1) / COUNT(H:H)) + 1</f>
        <v>2</v>
      </c>
      <c r="L250">
        <f t="array" ref="L250">INT(5 * (RANK(I250,I:I, 0) - 1) / COUNT(I:I)) + 1</f>
        <v>3</v>
      </c>
      <c r="M250" t="str">
        <f t="shared" si="6"/>
        <v>123</v>
      </c>
      <c r="N250" s="6" t="str">
        <f t="shared" si="7"/>
        <v>Can't Lose Them</v>
      </c>
    </row>
    <row r="251" spans="1:14" x14ac:dyDescent="0.35">
      <c r="A251">
        <v>1255</v>
      </c>
      <c r="B251" s="4">
        <v>45474.375085336993</v>
      </c>
      <c r="C251" t="s">
        <v>12</v>
      </c>
      <c r="D251" t="s">
        <v>21</v>
      </c>
      <c r="E251" t="s">
        <v>23</v>
      </c>
      <c r="F251">
        <v>2045.97</v>
      </c>
      <c r="G251">
        <f t="array" ref="G251">SalesData!$I$2 - 'RFM Table'!B251</f>
        <v>662</v>
      </c>
      <c r="H251">
        <f t="array" ref="H251">COUNTIF(A:A,A251)</f>
        <v>8</v>
      </c>
      <c r="I251">
        <f t="array" ref="I251">SUMIF(A:A,A251,F:F)</f>
        <v>33838.019999999997</v>
      </c>
      <c r="J251">
        <f t="array" ref="J251">5 - INT(5 * (RANK(G251,G:G, 1) - 1) / COUNT(G:G))</f>
        <v>1</v>
      </c>
      <c r="K251">
        <f t="array" ref="K251">INT(5 * (RANK(H251,H:H, 0) - 1) / COUNT(H:H)) + 1</f>
        <v>3</v>
      </c>
      <c r="L251">
        <f t="array" ref="L251">INT(5 * (RANK(I251,I:I, 0) - 1) / COUNT(I:I)) + 1</f>
        <v>3</v>
      </c>
      <c r="M251" t="str">
        <f t="shared" si="6"/>
        <v>133</v>
      </c>
      <c r="N251" s="6" t="str">
        <f t="shared" si="7"/>
        <v>At Risk</v>
      </c>
    </row>
    <row r="252" spans="1:14" x14ac:dyDescent="0.35">
      <c r="A252">
        <v>1113</v>
      </c>
      <c r="B252" s="4">
        <v>45474.375085336993</v>
      </c>
      <c r="C252" t="s">
        <v>12</v>
      </c>
      <c r="D252" t="s">
        <v>19</v>
      </c>
      <c r="E252" t="s">
        <v>25</v>
      </c>
      <c r="F252">
        <v>1883.98</v>
      </c>
      <c r="G252">
        <f t="array" ref="G252">SalesData!$I$2 - 'RFM Table'!B252</f>
        <v>662</v>
      </c>
      <c r="H252">
        <f t="array" ref="H252">COUNTIF(A:A,A252)</f>
        <v>7</v>
      </c>
      <c r="I252">
        <f t="array" ref="I252">SUMIF(A:A,A252,F:F)</f>
        <v>17672.689999999999</v>
      </c>
      <c r="J252">
        <f t="array" ref="J252">5 - INT(5 * (RANK(G252,G:G, 1) - 1) / COUNT(G:G))</f>
        <v>1</v>
      </c>
      <c r="K252">
        <f t="array" ref="K252">INT(5 * (RANK(H252,H:H, 0) - 1) / COUNT(H:H)) + 1</f>
        <v>4</v>
      </c>
      <c r="L252">
        <f t="array" ref="L252">INT(5 * (RANK(I252,I:I, 0) - 1) / COUNT(I:I)) + 1</f>
        <v>5</v>
      </c>
      <c r="M252" t="str">
        <f t="shared" si="6"/>
        <v>145</v>
      </c>
      <c r="N252" s="6" t="str">
        <f t="shared" si="7"/>
        <v>At Risk</v>
      </c>
    </row>
    <row r="253" spans="1:14" x14ac:dyDescent="0.35">
      <c r="A253">
        <v>1010</v>
      </c>
      <c r="B253" s="4">
        <v>45474.375085336993</v>
      </c>
      <c r="C253" t="s">
        <v>13</v>
      </c>
      <c r="D253" t="s">
        <v>19</v>
      </c>
      <c r="E253" t="s">
        <v>23</v>
      </c>
      <c r="F253">
        <v>5028.38</v>
      </c>
      <c r="G253">
        <f t="array" ref="G253">SalesData!$I$2 - 'RFM Table'!B253</f>
        <v>662</v>
      </c>
      <c r="H253">
        <f t="array" ref="H253">COUNTIF(A:A,A253)</f>
        <v>7</v>
      </c>
      <c r="I253">
        <f t="array" ref="I253">SUMIF(A:A,A253,F:F)</f>
        <v>26629.329999999998</v>
      </c>
      <c r="J253">
        <f t="array" ref="J253">5 - INT(5 * (RANK(G253,G:G, 1) - 1) / COUNT(G:G))</f>
        <v>1</v>
      </c>
      <c r="K253">
        <f t="array" ref="K253">INT(5 * (RANK(H253,H:H, 0) - 1) / COUNT(H:H)) + 1</f>
        <v>4</v>
      </c>
      <c r="L253">
        <f t="array" ref="L253">INT(5 * (RANK(I253,I:I, 0) - 1) / COUNT(I:I)) + 1</f>
        <v>4</v>
      </c>
      <c r="M253" t="str">
        <f t="shared" si="6"/>
        <v>144</v>
      </c>
      <c r="N253" s="6" t="str">
        <f t="shared" si="7"/>
        <v>At Risk</v>
      </c>
    </row>
    <row r="254" spans="1:14" x14ac:dyDescent="0.35">
      <c r="A254">
        <v>1054</v>
      </c>
      <c r="B254" s="4">
        <v>45475.375085336993</v>
      </c>
      <c r="C254" t="s">
        <v>15</v>
      </c>
      <c r="D254" t="s">
        <v>16</v>
      </c>
      <c r="E254" t="s">
        <v>25</v>
      </c>
      <c r="F254">
        <v>2787.68</v>
      </c>
      <c r="G254">
        <f t="array" ref="G254">SalesData!$I$2 - 'RFM Table'!B254</f>
        <v>661</v>
      </c>
      <c r="H254">
        <f t="array" ref="H254">COUNTIF(A:A,A254)</f>
        <v>7</v>
      </c>
      <c r="I254">
        <f t="array" ref="I254">SUMIF(A:A,A254,F:F)</f>
        <v>21298.79</v>
      </c>
      <c r="J254">
        <f t="array" ref="J254">5 - INT(5 * (RANK(G254,G:G, 1) - 1) / COUNT(G:G))</f>
        <v>1</v>
      </c>
      <c r="K254">
        <f t="array" ref="K254">INT(5 * (RANK(H254,H:H, 0) - 1) / COUNT(H:H)) + 1</f>
        <v>4</v>
      </c>
      <c r="L254">
        <f t="array" ref="L254">INT(5 * (RANK(I254,I:I, 0) - 1) / COUNT(I:I)) + 1</f>
        <v>5</v>
      </c>
      <c r="M254" t="str">
        <f t="shared" si="6"/>
        <v>145</v>
      </c>
      <c r="N254" s="6" t="str">
        <f t="shared" si="7"/>
        <v>At Risk</v>
      </c>
    </row>
    <row r="255" spans="1:14" x14ac:dyDescent="0.35">
      <c r="A255">
        <v>1157</v>
      </c>
      <c r="B255" s="4">
        <v>45475.375085336993</v>
      </c>
      <c r="C255" t="s">
        <v>8</v>
      </c>
      <c r="D255" t="s">
        <v>17</v>
      </c>
      <c r="E255" t="s">
        <v>24</v>
      </c>
      <c r="F255">
        <v>9170.14</v>
      </c>
      <c r="G255">
        <f t="array" ref="G255">SalesData!$I$2 - 'RFM Table'!B255</f>
        <v>661</v>
      </c>
      <c r="H255">
        <f t="array" ref="H255">COUNTIF(A:A,A255)</f>
        <v>11</v>
      </c>
      <c r="I255">
        <f t="array" ref="I255">SUMIF(A:A,A255,F:F)</f>
        <v>45651.77</v>
      </c>
      <c r="J255">
        <f t="array" ref="J255">5 - INT(5 * (RANK(G255,G:G, 1) - 1) / COUNT(G:G))</f>
        <v>1</v>
      </c>
      <c r="K255">
        <f t="array" ref="K255">INT(5 * (RANK(H255,H:H, 0) - 1) / COUNT(H:H)) + 1</f>
        <v>1</v>
      </c>
      <c r="L255">
        <f t="array" ref="L255">INT(5 * (RANK(I255,I:I, 0) - 1) / COUNT(I:I)) + 1</f>
        <v>1</v>
      </c>
      <c r="M255" t="str">
        <f t="shared" si="6"/>
        <v>111</v>
      </c>
      <c r="N255" s="6" t="str">
        <f t="shared" si="7"/>
        <v>Lost</v>
      </c>
    </row>
    <row r="256" spans="1:14" x14ac:dyDescent="0.35">
      <c r="A256">
        <v>1391</v>
      </c>
      <c r="B256" s="4">
        <v>45475.375085336993</v>
      </c>
      <c r="C256" t="s">
        <v>15</v>
      </c>
      <c r="D256" t="s">
        <v>16</v>
      </c>
      <c r="E256" t="s">
        <v>24</v>
      </c>
      <c r="F256">
        <v>6123.01</v>
      </c>
      <c r="G256">
        <f t="array" ref="G256">SalesData!$I$2 - 'RFM Table'!B256</f>
        <v>661</v>
      </c>
      <c r="H256">
        <f t="array" ref="H256">COUNTIF(A:A,A256)</f>
        <v>7</v>
      </c>
      <c r="I256">
        <f t="array" ref="I256">SUMIF(A:A,A256,F:F)</f>
        <v>21209.440000000002</v>
      </c>
      <c r="J256">
        <f t="array" ref="J256">5 - INT(5 * (RANK(G256,G:G, 1) - 1) / COUNT(G:G))</f>
        <v>1</v>
      </c>
      <c r="K256">
        <f t="array" ref="K256">INT(5 * (RANK(H256,H:H, 0) - 1) / COUNT(H:H)) + 1</f>
        <v>4</v>
      </c>
      <c r="L256">
        <f t="array" ref="L256">INT(5 * (RANK(I256,I:I, 0) - 1) / COUNT(I:I)) + 1</f>
        <v>5</v>
      </c>
      <c r="M256" t="str">
        <f t="shared" si="6"/>
        <v>145</v>
      </c>
      <c r="N256" s="6" t="str">
        <f t="shared" si="7"/>
        <v>At Risk</v>
      </c>
    </row>
    <row r="257" spans="1:14" x14ac:dyDescent="0.35">
      <c r="A257">
        <v>1340</v>
      </c>
      <c r="B257" s="4">
        <v>45476.375085336993</v>
      </c>
      <c r="C257" t="s">
        <v>9</v>
      </c>
      <c r="D257" t="s">
        <v>19</v>
      </c>
      <c r="E257" t="s">
        <v>24</v>
      </c>
      <c r="F257">
        <v>3546.46</v>
      </c>
      <c r="G257">
        <f t="array" ref="G257">SalesData!$I$2 - 'RFM Table'!B257</f>
        <v>660</v>
      </c>
      <c r="H257">
        <f t="array" ref="H257">COUNTIF(A:A,A257)</f>
        <v>6</v>
      </c>
      <c r="I257">
        <f t="array" ref="I257">SUMIF(A:A,A257,F:F)</f>
        <v>22984.870000000003</v>
      </c>
      <c r="J257">
        <f t="array" ref="J257">5 - INT(5 * (RANK(G257,G:G, 1) - 1) / COUNT(G:G))</f>
        <v>1</v>
      </c>
      <c r="K257">
        <f t="array" ref="K257">INT(5 * (RANK(H257,H:H, 0) - 1) / COUNT(H:H)) + 1</f>
        <v>4</v>
      </c>
      <c r="L257">
        <f t="array" ref="L257">INT(5 * (RANK(I257,I:I, 0) - 1) / COUNT(I:I)) + 1</f>
        <v>4</v>
      </c>
      <c r="M257" t="str">
        <f t="shared" si="6"/>
        <v>144</v>
      </c>
      <c r="N257" s="6" t="str">
        <f t="shared" si="7"/>
        <v>At Risk</v>
      </c>
    </row>
    <row r="258" spans="1:14" x14ac:dyDescent="0.35">
      <c r="A258">
        <v>1257</v>
      </c>
      <c r="B258" s="4">
        <v>45476.375085336993</v>
      </c>
      <c r="C258" t="s">
        <v>6</v>
      </c>
      <c r="D258" t="s">
        <v>17</v>
      </c>
      <c r="E258" t="s">
        <v>24</v>
      </c>
      <c r="F258">
        <v>3270.31</v>
      </c>
      <c r="G258">
        <f t="array" ref="G258">SalesData!$I$2 - 'RFM Table'!B258</f>
        <v>660</v>
      </c>
      <c r="H258">
        <f t="array" ref="H258">COUNTIF(A:A,A258)</f>
        <v>8</v>
      </c>
      <c r="I258">
        <f t="array" ref="I258">SUMIF(A:A,A258,F:F)</f>
        <v>17550.599999999999</v>
      </c>
      <c r="J258">
        <f t="array" ref="J258">5 - INT(5 * (RANK(G258,G:G, 1) - 1) / COUNT(G:G))</f>
        <v>1</v>
      </c>
      <c r="K258">
        <f t="array" ref="K258">INT(5 * (RANK(H258,H:H, 0) - 1) / COUNT(H:H)) + 1</f>
        <v>3</v>
      </c>
      <c r="L258">
        <f t="array" ref="L258">INT(5 * (RANK(I258,I:I, 0) - 1) / COUNT(I:I)) + 1</f>
        <v>5</v>
      </c>
      <c r="M258" t="str">
        <f t="shared" si="6"/>
        <v>135</v>
      </c>
      <c r="N258" s="6" t="str">
        <f t="shared" si="7"/>
        <v>At Risk</v>
      </c>
    </row>
    <row r="259" spans="1:14" x14ac:dyDescent="0.35">
      <c r="A259">
        <v>1284</v>
      </c>
      <c r="B259" s="4">
        <v>45476.375085336993</v>
      </c>
      <c r="C259" t="s">
        <v>11</v>
      </c>
      <c r="D259" t="s">
        <v>17</v>
      </c>
      <c r="E259" t="s">
        <v>23</v>
      </c>
      <c r="F259">
        <v>3898.72</v>
      </c>
      <c r="G259">
        <f t="array" ref="G259">SalesData!$I$2 - 'RFM Table'!B259</f>
        <v>660</v>
      </c>
      <c r="H259">
        <f t="array" ref="H259">COUNTIF(A:A,A259)</f>
        <v>12</v>
      </c>
      <c r="I259">
        <f t="array" ref="I259">SUMIF(A:A,A259,F:F)</f>
        <v>49930.359999999993</v>
      </c>
      <c r="J259">
        <f t="array" ref="J259">5 - INT(5 * (RANK(G259,G:G, 1) - 1) / COUNT(G:G))</f>
        <v>1</v>
      </c>
      <c r="K259">
        <f t="array" ref="K259">INT(5 * (RANK(H259,H:H, 0) - 1) / COUNT(H:H)) + 1</f>
        <v>1</v>
      </c>
      <c r="L259">
        <f t="array" ref="L259">INT(5 * (RANK(I259,I:I, 0) - 1) / COUNT(I:I)) + 1</f>
        <v>1</v>
      </c>
      <c r="M259" t="str">
        <f t="shared" ref="M259:M322" si="8">J259 &amp; K259 &amp; L259</f>
        <v>111</v>
      </c>
      <c r="N259" s="6" t="str">
        <f t="shared" ref="N259:N322" si="9">IF(AND(J259&gt;=4,K259&lt;=2),"New Customers",
IF(AND(J259&lt;=2,K259&gt;=3,L259&gt;=3),"At Risk",
IF(AND(J259&lt;=2,K259&lt;=2,L259&gt;=3),"Can't Lose Them",
IF(AND(J259&lt;=2,K259&lt;=2,L259&lt;=2),"Lost",
"Others"))))</f>
        <v>Lost</v>
      </c>
    </row>
    <row r="260" spans="1:14" x14ac:dyDescent="0.35">
      <c r="A260">
        <v>1342</v>
      </c>
      <c r="B260" s="4">
        <v>45477.375085336993</v>
      </c>
      <c r="C260" t="s">
        <v>15</v>
      </c>
      <c r="D260" t="s">
        <v>17</v>
      </c>
      <c r="E260" t="s">
        <v>24</v>
      </c>
      <c r="F260">
        <v>4746.53</v>
      </c>
      <c r="G260">
        <f t="array" ref="G260">SalesData!$I$2 - 'RFM Table'!B260</f>
        <v>659</v>
      </c>
      <c r="H260">
        <f t="array" ref="H260">COUNTIF(A:A,A260)</f>
        <v>3</v>
      </c>
      <c r="I260">
        <f t="array" ref="I260">SUMIF(A:A,A260,F:F)</f>
        <v>11200.41</v>
      </c>
      <c r="J260">
        <f t="array" ref="J260">5 - INT(5 * (RANK(G260,G:G, 1) - 1) / COUNT(G:G))</f>
        <v>1</v>
      </c>
      <c r="K260">
        <f t="array" ref="K260">INT(5 * (RANK(H260,H:H, 0) - 1) / COUNT(H:H)) + 1</f>
        <v>5</v>
      </c>
      <c r="L260">
        <f t="array" ref="L260">INT(5 * (RANK(I260,I:I, 0) - 1) / COUNT(I:I)) + 1</f>
        <v>5</v>
      </c>
      <c r="M260" t="str">
        <f t="shared" si="8"/>
        <v>155</v>
      </c>
      <c r="N260" s="6" t="str">
        <f t="shared" si="9"/>
        <v>At Risk</v>
      </c>
    </row>
    <row r="261" spans="1:14" x14ac:dyDescent="0.35">
      <c r="A261">
        <v>1156</v>
      </c>
      <c r="B261" s="4">
        <v>45477.375085336993</v>
      </c>
      <c r="C261" t="s">
        <v>8</v>
      </c>
      <c r="D261" t="s">
        <v>17</v>
      </c>
      <c r="E261" t="s">
        <v>24</v>
      </c>
      <c r="F261">
        <v>5595</v>
      </c>
      <c r="G261">
        <f t="array" ref="G261">SalesData!$I$2 - 'RFM Table'!B261</f>
        <v>659</v>
      </c>
      <c r="H261">
        <f t="array" ref="H261">COUNTIF(A:A,A261)</f>
        <v>8</v>
      </c>
      <c r="I261">
        <f t="array" ref="I261">SUMIF(A:A,A261,F:F)</f>
        <v>43799.990000000005</v>
      </c>
      <c r="J261">
        <f t="array" ref="J261">5 - INT(5 * (RANK(G261,G:G, 1) - 1) / COUNT(G:G))</f>
        <v>1</v>
      </c>
      <c r="K261">
        <f t="array" ref="K261">INT(5 * (RANK(H261,H:H, 0) - 1) / COUNT(H:H)) + 1</f>
        <v>3</v>
      </c>
      <c r="L261">
        <f t="array" ref="L261">INT(5 * (RANK(I261,I:I, 0) - 1) / COUNT(I:I)) + 1</f>
        <v>2</v>
      </c>
      <c r="M261" t="str">
        <f t="shared" si="8"/>
        <v>132</v>
      </c>
      <c r="N261" s="6" t="str">
        <f t="shared" si="9"/>
        <v>Others</v>
      </c>
    </row>
    <row r="262" spans="1:14" x14ac:dyDescent="0.35">
      <c r="A262">
        <v>1257</v>
      </c>
      <c r="B262" s="4">
        <v>45477.375085336993</v>
      </c>
      <c r="C262" t="s">
        <v>6</v>
      </c>
      <c r="D262" t="s">
        <v>21</v>
      </c>
      <c r="E262" t="s">
        <v>23</v>
      </c>
      <c r="F262">
        <v>3800.31</v>
      </c>
      <c r="G262">
        <f t="array" ref="G262">SalesData!$I$2 - 'RFM Table'!B262</f>
        <v>659</v>
      </c>
      <c r="H262">
        <f t="array" ref="H262">COUNTIF(A:A,A262)</f>
        <v>8</v>
      </c>
      <c r="I262">
        <f t="array" ref="I262">SUMIF(A:A,A262,F:F)</f>
        <v>17550.599999999999</v>
      </c>
      <c r="J262">
        <f t="array" ref="J262">5 - INT(5 * (RANK(G262,G:G, 1) - 1) / COUNT(G:G))</f>
        <v>1</v>
      </c>
      <c r="K262">
        <f t="array" ref="K262">INT(5 * (RANK(H262,H:H, 0) - 1) / COUNT(H:H)) + 1</f>
        <v>3</v>
      </c>
      <c r="L262">
        <f t="array" ref="L262">INT(5 * (RANK(I262,I:I, 0) - 1) / COUNT(I:I)) + 1</f>
        <v>5</v>
      </c>
      <c r="M262" t="str">
        <f t="shared" si="8"/>
        <v>135</v>
      </c>
      <c r="N262" s="6" t="str">
        <f t="shared" si="9"/>
        <v>At Risk</v>
      </c>
    </row>
    <row r="263" spans="1:14" x14ac:dyDescent="0.35">
      <c r="A263">
        <v>1102</v>
      </c>
      <c r="B263" s="4">
        <v>45477.375085336993</v>
      </c>
      <c r="C263" t="s">
        <v>12</v>
      </c>
      <c r="D263" t="s">
        <v>21</v>
      </c>
      <c r="E263" t="s">
        <v>24</v>
      </c>
      <c r="F263">
        <v>7149.85</v>
      </c>
      <c r="G263">
        <f t="array" ref="G263">SalesData!$I$2 - 'RFM Table'!B263</f>
        <v>659</v>
      </c>
      <c r="H263">
        <f t="array" ref="H263">COUNTIF(A:A,A263)</f>
        <v>7</v>
      </c>
      <c r="I263">
        <f t="array" ref="I263">SUMIF(A:A,A263,F:F)</f>
        <v>29725.939999999995</v>
      </c>
      <c r="J263">
        <f t="array" ref="J263">5 - INT(5 * (RANK(G263,G:G, 1) - 1) / COUNT(G:G))</f>
        <v>1</v>
      </c>
      <c r="K263">
        <f t="array" ref="K263">INT(5 * (RANK(H263,H:H, 0) - 1) / COUNT(H:H)) + 1</f>
        <v>4</v>
      </c>
      <c r="L263">
        <f t="array" ref="L263">INT(5 * (RANK(I263,I:I, 0) - 1) / COUNT(I:I)) + 1</f>
        <v>3</v>
      </c>
      <c r="M263" t="str">
        <f t="shared" si="8"/>
        <v>143</v>
      </c>
      <c r="N263" s="6" t="str">
        <f t="shared" si="9"/>
        <v>At Risk</v>
      </c>
    </row>
    <row r="264" spans="1:14" x14ac:dyDescent="0.35">
      <c r="A264">
        <v>1302</v>
      </c>
      <c r="B264" s="4">
        <v>45477.375085336993</v>
      </c>
      <c r="C264" t="s">
        <v>15</v>
      </c>
      <c r="D264" t="s">
        <v>17</v>
      </c>
      <c r="E264" t="s">
        <v>25</v>
      </c>
      <c r="F264">
        <v>2104.67</v>
      </c>
      <c r="G264">
        <f t="array" ref="G264">SalesData!$I$2 - 'RFM Table'!B264</f>
        <v>659</v>
      </c>
      <c r="H264">
        <f t="array" ref="H264">COUNTIF(A:A,A264)</f>
        <v>13</v>
      </c>
      <c r="I264">
        <f t="array" ref="I264">SUMIF(A:A,A264,F:F)</f>
        <v>51409.87</v>
      </c>
      <c r="J264">
        <f t="array" ref="J264">5 - INT(5 * (RANK(G264,G:G, 1) - 1) / COUNT(G:G))</f>
        <v>1</v>
      </c>
      <c r="K264">
        <f t="array" ref="K264">INT(5 * (RANK(H264,H:H, 0) - 1) / COUNT(H:H)) + 1</f>
        <v>1</v>
      </c>
      <c r="L264">
        <f t="array" ref="L264">INT(5 * (RANK(I264,I:I, 0) - 1) / COUNT(I:I)) + 1</f>
        <v>1</v>
      </c>
      <c r="M264" t="str">
        <f t="shared" si="8"/>
        <v>111</v>
      </c>
      <c r="N264" s="6" t="str">
        <f t="shared" si="9"/>
        <v>Lost</v>
      </c>
    </row>
    <row r="265" spans="1:14" x14ac:dyDescent="0.35">
      <c r="A265">
        <v>1396</v>
      </c>
      <c r="B265" s="4">
        <v>45477.375085336993</v>
      </c>
      <c r="C265" t="s">
        <v>15</v>
      </c>
      <c r="D265" t="s">
        <v>21</v>
      </c>
      <c r="E265" t="s">
        <v>24</v>
      </c>
      <c r="F265">
        <v>4742.8500000000004</v>
      </c>
      <c r="G265">
        <f t="array" ref="G265">SalesData!$I$2 - 'RFM Table'!B265</f>
        <v>659</v>
      </c>
      <c r="H265">
        <f t="array" ref="H265">COUNTIF(A:A,A265)</f>
        <v>11</v>
      </c>
      <c r="I265">
        <f t="array" ref="I265">SUMIF(A:A,A265,F:F)</f>
        <v>54143.32</v>
      </c>
      <c r="J265">
        <f t="array" ref="J265">5 - INT(5 * (RANK(G265,G:G, 1) - 1) / COUNT(G:G))</f>
        <v>1</v>
      </c>
      <c r="K265">
        <f t="array" ref="K265">INT(5 * (RANK(H265,H:H, 0) - 1) / COUNT(H:H)) + 1</f>
        <v>1</v>
      </c>
      <c r="L265">
        <f t="array" ref="L265">INT(5 * (RANK(I265,I:I, 0) - 1) / COUNT(I:I)) + 1</f>
        <v>1</v>
      </c>
      <c r="M265" t="str">
        <f t="shared" si="8"/>
        <v>111</v>
      </c>
      <c r="N265" s="6" t="str">
        <f t="shared" si="9"/>
        <v>Lost</v>
      </c>
    </row>
    <row r="266" spans="1:14" x14ac:dyDescent="0.35">
      <c r="A266">
        <v>1222</v>
      </c>
      <c r="B266" s="4">
        <v>45478.375085336993</v>
      </c>
      <c r="C266" t="s">
        <v>11</v>
      </c>
      <c r="D266" t="s">
        <v>17</v>
      </c>
      <c r="E266" t="s">
        <v>25</v>
      </c>
      <c r="F266">
        <v>196.8</v>
      </c>
      <c r="G266">
        <f t="array" ref="G266">SalesData!$I$2 - 'RFM Table'!B266</f>
        <v>658</v>
      </c>
      <c r="H266">
        <f t="array" ref="H266">COUNTIF(A:A,A266)</f>
        <v>12</v>
      </c>
      <c r="I266">
        <f t="array" ref="I266">SUMIF(A:A,A266,F:F)</f>
        <v>45191.609999999993</v>
      </c>
      <c r="J266">
        <f t="array" ref="J266">5 - INT(5 * (RANK(G266,G:G, 1) - 1) / COUNT(G:G))</f>
        <v>1</v>
      </c>
      <c r="K266">
        <f t="array" ref="K266">INT(5 * (RANK(H266,H:H, 0) - 1) / COUNT(H:H)) + 1</f>
        <v>1</v>
      </c>
      <c r="L266">
        <f t="array" ref="L266">INT(5 * (RANK(I266,I:I, 0) - 1) / COUNT(I:I)) + 1</f>
        <v>1</v>
      </c>
      <c r="M266" t="str">
        <f t="shared" si="8"/>
        <v>111</v>
      </c>
      <c r="N266" s="6" t="str">
        <f t="shared" si="9"/>
        <v>Lost</v>
      </c>
    </row>
    <row r="267" spans="1:14" x14ac:dyDescent="0.35">
      <c r="A267">
        <v>1272</v>
      </c>
      <c r="B267" s="4">
        <v>45478.375085336993</v>
      </c>
      <c r="C267" t="s">
        <v>7</v>
      </c>
      <c r="D267" t="s">
        <v>17</v>
      </c>
      <c r="E267" t="s">
        <v>24</v>
      </c>
      <c r="F267">
        <v>3745.11</v>
      </c>
      <c r="G267">
        <f t="array" ref="G267">SalesData!$I$2 - 'RFM Table'!B267</f>
        <v>658</v>
      </c>
      <c r="H267">
        <f t="array" ref="H267">COUNTIF(A:A,A267)</f>
        <v>10</v>
      </c>
      <c r="I267">
        <f t="array" ref="I267">SUMIF(A:A,A267,F:F)</f>
        <v>54972.43</v>
      </c>
      <c r="J267">
        <f t="array" ref="J267">5 - INT(5 * (RANK(G267,G:G, 1) - 1) / COUNT(G:G))</f>
        <v>1</v>
      </c>
      <c r="K267">
        <f t="array" ref="K267">INT(5 * (RANK(H267,H:H, 0) - 1) / COUNT(H:H)) + 1</f>
        <v>2</v>
      </c>
      <c r="L267">
        <f t="array" ref="L267">INT(5 * (RANK(I267,I:I, 0) - 1) / COUNT(I:I)) + 1</f>
        <v>1</v>
      </c>
      <c r="M267" t="str">
        <f t="shared" si="8"/>
        <v>121</v>
      </c>
      <c r="N267" s="6" t="str">
        <f t="shared" si="9"/>
        <v>Lost</v>
      </c>
    </row>
    <row r="268" spans="1:14" x14ac:dyDescent="0.35">
      <c r="A268">
        <v>1292</v>
      </c>
      <c r="B268" s="4">
        <v>45478.375085336993</v>
      </c>
      <c r="C268" t="s">
        <v>10</v>
      </c>
      <c r="D268" t="s">
        <v>21</v>
      </c>
      <c r="E268" t="s">
        <v>23</v>
      </c>
      <c r="F268">
        <v>1062.68</v>
      </c>
      <c r="G268">
        <f t="array" ref="G268">SalesData!$I$2 - 'RFM Table'!B268</f>
        <v>658</v>
      </c>
      <c r="H268">
        <f t="array" ref="H268">COUNTIF(A:A,A268)</f>
        <v>15</v>
      </c>
      <c r="I268">
        <f t="array" ref="I268">SUMIF(A:A,A268,F:F)</f>
        <v>49637.999999999993</v>
      </c>
      <c r="J268">
        <f t="array" ref="J268">5 - INT(5 * (RANK(G268,G:G, 1) - 1) / COUNT(G:G))</f>
        <v>1</v>
      </c>
      <c r="K268">
        <f t="array" ref="K268">INT(5 * (RANK(H268,H:H, 0) - 1) / COUNT(H:H)) + 1</f>
        <v>1</v>
      </c>
      <c r="L268">
        <f t="array" ref="L268">INT(5 * (RANK(I268,I:I, 0) - 1) / COUNT(I:I)) + 1</f>
        <v>1</v>
      </c>
      <c r="M268" t="str">
        <f t="shared" si="8"/>
        <v>111</v>
      </c>
      <c r="N268" s="6" t="str">
        <f t="shared" si="9"/>
        <v>Lost</v>
      </c>
    </row>
    <row r="269" spans="1:14" x14ac:dyDescent="0.35">
      <c r="A269">
        <v>1107</v>
      </c>
      <c r="B269" s="4">
        <v>45478.375085336993</v>
      </c>
      <c r="C269" t="s">
        <v>10</v>
      </c>
      <c r="D269" t="s">
        <v>20</v>
      </c>
      <c r="E269" t="s">
        <v>25</v>
      </c>
      <c r="F269">
        <v>10144.81</v>
      </c>
      <c r="G269">
        <f t="array" ref="G269">SalesData!$I$2 - 'RFM Table'!B269</f>
        <v>658</v>
      </c>
      <c r="H269">
        <f t="array" ref="H269">COUNTIF(A:A,A269)</f>
        <v>9</v>
      </c>
      <c r="I269">
        <f t="array" ref="I269">SUMIF(A:A,A269,F:F)</f>
        <v>56095.37999999999</v>
      </c>
      <c r="J269">
        <f t="array" ref="J269">5 - INT(5 * (RANK(G269,G:G, 1) - 1) / COUNT(G:G))</f>
        <v>1</v>
      </c>
      <c r="K269">
        <f t="array" ref="K269">INT(5 * (RANK(H269,H:H, 0) - 1) / COUNT(H:H)) + 1</f>
        <v>2</v>
      </c>
      <c r="L269">
        <f t="array" ref="L269">INT(5 * (RANK(I269,I:I, 0) - 1) / COUNT(I:I)) + 1</f>
        <v>1</v>
      </c>
      <c r="M269" t="str">
        <f t="shared" si="8"/>
        <v>121</v>
      </c>
      <c r="N269" s="6" t="str">
        <f t="shared" si="9"/>
        <v>Lost</v>
      </c>
    </row>
    <row r="270" spans="1:14" x14ac:dyDescent="0.35">
      <c r="A270">
        <v>1028</v>
      </c>
      <c r="B270" s="4">
        <v>45478.375085336993</v>
      </c>
      <c r="C270" t="s">
        <v>15</v>
      </c>
      <c r="D270" t="s">
        <v>22</v>
      </c>
      <c r="E270" t="s">
        <v>25</v>
      </c>
      <c r="F270">
        <v>3964.84</v>
      </c>
      <c r="G270">
        <f t="array" ref="G270">SalesData!$I$2 - 'RFM Table'!B270</f>
        <v>658</v>
      </c>
      <c r="H270">
        <f t="array" ref="H270">COUNTIF(A:A,A270)</f>
        <v>10</v>
      </c>
      <c r="I270">
        <f t="array" ref="I270">SUMIF(A:A,A270,F:F)</f>
        <v>37984.589999999997</v>
      </c>
      <c r="J270">
        <f t="array" ref="J270">5 - INT(5 * (RANK(G270,G:G, 1) - 1) / COUNT(G:G))</f>
        <v>1</v>
      </c>
      <c r="K270">
        <f t="array" ref="K270">INT(5 * (RANK(H270,H:H, 0) - 1) / COUNT(H:H)) + 1</f>
        <v>2</v>
      </c>
      <c r="L270">
        <f t="array" ref="L270">INT(5 * (RANK(I270,I:I, 0) - 1) / COUNT(I:I)) + 1</f>
        <v>2</v>
      </c>
      <c r="M270" t="str">
        <f t="shared" si="8"/>
        <v>122</v>
      </c>
      <c r="N270" s="6" t="str">
        <f t="shared" si="9"/>
        <v>Lost</v>
      </c>
    </row>
    <row r="271" spans="1:14" x14ac:dyDescent="0.35">
      <c r="A271">
        <v>1125</v>
      </c>
      <c r="B271" s="4">
        <v>45478.375085336993</v>
      </c>
      <c r="C271" t="s">
        <v>10</v>
      </c>
      <c r="D271" t="s">
        <v>22</v>
      </c>
      <c r="E271" t="s">
        <v>23</v>
      </c>
      <c r="F271">
        <v>81.7</v>
      </c>
      <c r="G271">
        <f t="array" ref="G271">SalesData!$I$2 - 'RFM Table'!B271</f>
        <v>658</v>
      </c>
      <c r="H271">
        <f t="array" ref="H271">COUNTIF(A:A,A271)</f>
        <v>9</v>
      </c>
      <c r="I271">
        <f t="array" ref="I271">SUMIF(A:A,A271,F:F)</f>
        <v>32520.350000000002</v>
      </c>
      <c r="J271">
        <f t="array" ref="J271">5 - INT(5 * (RANK(G271,G:G, 1) - 1) / COUNT(G:G))</f>
        <v>1</v>
      </c>
      <c r="K271">
        <f t="array" ref="K271">INT(5 * (RANK(H271,H:H, 0) - 1) / COUNT(H:H)) + 1</f>
        <v>2</v>
      </c>
      <c r="L271">
        <f t="array" ref="L271">INT(5 * (RANK(I271,I:I, 0) - 1) / COUNT(I:I)) + 1</f>
        <v>3</v>
      </c>
      <c r="M271" t="str">
        <f t="shared" si="8"/>
        <v>123</v>
      </c>
      <c r="N271" s="6" t="str">
        <f t="shared" si="9"/>
        <v>Can't Lose Them</v>
      </c>
    </row>
    <row r="272" spans="1:14" x14ac:dyDescent="0.35">
      <c r="A272">
        <v>1214</v>
      </c>
      <c r="B272" s="4">
        <v>45478.375085336993</v>
      </c>
      <c r="C272" t="s">
        <v>6</v>
      </c>
      <c r="D272" t="s">
        <v>21</v>
      </c>
      <c r="E272" t="s">
        <v>25</v>
      </c>
      <c r="F272">
        <v>4784.0200000000004</v>
      </c>
      <c r="G272">
        <f t="array" ref="G272">SalesData!$I$2 - 'RFM Table'!B272</f>
        <v>658</v>
      </c>
      <c r="H272">
        <f t="array" ref="H272">COUNTIF(A:A,A272)</f>
        <v>12</v>
      </c>
      <c r="I272">
        <f t="array" ref="I272">SUMIF(A:A,A272,F:F)</f>
        <v>49382.650000000009</v>
      </c>
      <c r="J272">
        <f t="array" ref="J272">5 - INT(5 * (RANK(G272,G:G, 1) - 1) / COUNT(G:G))</f>
        <v>1</v>
      </c>
      <c r="K272">
        <f t="array" ref="K272">INT(5 * (RANK(H272,H:H, 0) - 1) / COUNT(H:H)) + 1</f>
        <v>1</v>
      </c>
      <c r="L272">
        <f t="array" ref="L272">INT(5 * (RANK(I272,I:I, 0) - 1) / COUNT(I:I)) + 1</f>
        <v>1</v>
      </c>
      <c r="M272" t="str">
        <f t="shared" si="8"/>
        <v>111</v>
      </c>
      <c r="N272" s="6" t="str">
        <f t="shared" si="9"/>
        <v>Lost</v>
      </c>
    </row>
    <row r="273" spans="1:14" x14ac:dyDescent="0.35">
      <c r="A273">
        <v>1280</v>
      </c>
      <c r="B273" s="4">
        <v>45478.375085336993</v>
      </c>
      <c r="C273" t="s">
        <v>9</v>
      </c>
      <c r="D273" t="s">
        <v>21</v>
      </c>
      <c r="E273" t="s">
        <v>25</v>
      </c>
      <c r="F273">
        <v>3477.44</v>
      </c>
      <c r="G273">
        <f t="array" ref="G273">SalesData!$I$2 - 'RFM Table'!B273</f>
        <v>658</v>
      </c>
      <c r="H273">
        <f t="array" ref="H273">COUNTIF(A:A,A273)</f>
        <v>7</v>
      </c>
      <c r="I273">
        <f t="array" ref="I273">SUMIF(A:A,A273,F:F)</f>
        <v>34546.720000000001</v>
      </c>
      <c r="J273">
        <f t="array" ref="J273">5 - INT(5 * (RANK(G273,G:G, 1) - 1) / COUNT(G:G))</f>
        <v>1</v>
      </c>
      <c r="K273">
        <f t="array" ref="K273">INT(5 * (RANK(H273,H:H, 0) - 1) / COUNT(H:H)) + 1</f>
        <v>4</v>
      </c>
      <c r="L273">
        <f t="array" ref="L273">INT(5 * (RANK(I273,I:I, 0) - 1) / COUNT(I:I)) + 1</f>
        <v>3</v>
      </c>
      <c r="M273" t="str">
        <f t="shared" si="8"/>
        <v>143</v>
      </c>
      <c r="N273" s="6" t="str">
        <f t="shared" si="9"/>
        <v>At Risk</v>
      </c>
    </row>
    <row r="274" spans="1:14" x14ac:dyDescent="0.35">
      <c r="A274">
        <v>1103</v>
      </c>
      <c r="B274" s="4">
        <v>45478.375085336993</v>
      </c>
      <c r="C274" t="s">
        <v>6</v>
      </c>
      <c r="D274" t="s">
        <v>21</v>
      </c>
      <c r="E274" t="s">
        <v>24</v>
      </c>
      <c r="F274">
        <v>5529.17</v>
      </c>
      <c r="G274">
        <f t="array" ref="G274">SalesData!$I$2 - 'RFM Table'!B274</f>
        <v>658</v>
      </c>
      <c r="H274">
        <f t="array" ref="H274">COUNTIF(A:A,A274)</f>
        <v>10</v>
      </c>
      <c r="I274">
        <f t="array" ref="I274">SUMIF(A:A,A274,F:F)</f>
        <v>44305.600000000006</v>
      </c>
      <c r="J274">
        <f t="array" ref="J274">5 - INT(5 * (RANK(G274,G:G, 1) - 1) / COUNT(G:G))</f>
        <v>1</v>
      </c>
      <c r="K274">
        <f t="array" ref="K274">INT(5 * (RANK(H274,H:H, 0) - 1) / COUNT(H:H)) + 1</f>
        <v>2</v>
      </c>
      <c r="L274">
        <f t="array" ref="L274">INT(5 * (RANK(I274,I:I, 0) - 1) / COUNT(I:I)) + 1</f>
        <v>2</v>
      </c>
      <c r="M274" t="str">
        <f t="shared" si="8"/>
        <v>122</v>
      </c>
      <c r="N274" s="6" t="str">
        <f t="shared" si="9"/>
        <v>Lost</v>
      </c>
    </row>
    <row r="275" spans="1:14" x14ac:dyDescent="0.35">
      <c r="A275">
        <v>1302</v>
      </c>
      <c r="B275" s="4">
        <v>45478.375085336993</v>
      </c>
      <c r="C275" t="s">
        <v>7</v>
      </c>
      <c r="D275" t="s">
        <v>21</v>
      </c>
      <c r="E275" t="s">
        <v>24</v>
      </c>
      <c r="F275">
        <v>1217.26</v>
      </c>
      <c r="G275">
        <f t="array" ref="G275">SalesData!$I$2 - 'RFM Table'!B275</f>
        <v>658</v>
      </c>
      <c r="H275">
        <f t="array" ref="H275">COUNTIF(A:A,A275)</f>
        <v>13</v>
      </c>
      <c r="I275">
        <f t="array" ref="I275">SUMIF(A:A,A275,F:F)</f>
        <v>51409.87</v>
      </c>
      <c r="J275">
        <f t="array" ref="J275">5 - INT(5 * (RANK(G275,G:G, 1) - 1) / COUNT(G:G))</f>
        <v>1</v>
      </c>
      <c r="K275">
        <f t="array" ref="K275">INT(5 * (RANK(H275,H:H, 0) - 1) / COUNT(H:H)) + 1</f>
        <v>1</v>
      </c>
      <c r="L275">
        <f t="array" ref="L275">INT(5 * (RANK(I275,I:I, 0) - 1) / COUNT(I:I)) + 1</f>
        <v>1</v>
      </c>
      <c r="M275" t="str">
        <f t="shared" si="8"/>
        <v>111</v>
      </c>
      <c r="N275" s="6" t="str">
        <f t="shared" si="9"/>
        <v>Lost</v>
      </c>
    </row>
    <row r="276" spans="1:14" x14ac:dyDescent="0.35">
      <c r="A276">
        <v>1086</v>
      </c>
      <c r="B276" s="4">
        <v>45479.375085336993</v>
      </c>
      <c r="C276" t="s">
        <v>10</v>
      </c>
      <c r="D276" t="s">
        <v>19</v>
      </c>
      <c r="E276" t="s">
        <v>25</v>
      </c>
      <c r="F276">
        <v>1159.24</v>
      </c>
      <c r="G276">
        <f t="array" ref="G276">SalesData!$I$2 - 'RFM Table'!B276</f>
        <v>657</v>
      </c>
      <c r="H276">
        <f t="array" ref="H276">COUNTIF(A:A,A276)</f>
        <v>6</v>
      </c>
      <c r="I276">
        <f t="array" ref="I276">SUMIF(A:A,A276,F:F)</f>
        <v>18163.55</v>
      </c>
      <c r="J276">
        <f t="array" ref="J276">5 - INT(5 * (RANK(G276,G:G, 1) - 1) / COUNT(G:G))</f>
        <v>1</v>
      </c>
      <c r="K276">
        <f t="array" ref="K276">INT(5 * (RANK(H276,H:H, 0) - 1) / COUNT(H:H)) + 1</f>
        <v>4</v>
      </c>
      <c r="L276">
        <f t="array" ref="L276">INT(5 * (RANK(I276,I:I, 0) - 1) / COUNT(I:I)) + 1</f>
        <v>5</v>
      </c>
      <c r="M276" t="str">
        <f t="shared" si="8"/>
        <v>145</v>
      </c>
      <c r="N276" s="6" t="str">
        <f t="shared" si="9"/>
        <v>At Risk</v>
      </c>
    </row>
    <row r="277" spans="1:14" x14ac:dyDescent="0.35">
      <c r="A277">
        <v>1080</v>
      </c>
      <c r="B277" s="4">
        <v>45479.375085336993</v>
      </c>
      <c r="C277" t="s">
        <v>14</v>
      </c>
      <c r="D277" t="s">
        <v>22</v>
      </c>
      <c r="E277" t="s">
        <v>24</v>
      </c>
      <c r="F277">
        <v>9267.98</v>
      </c>
      <c r="G277">
        <f t="array" ref="G277">SalesData!$I$2 - 'RFM Table'!B277</f>
        <v>657</v>
      </c>
      <c r="H277">
        <f t="array" ref="H277">COUNTIF(A:A,A277)</f>
        <v>7</v>
      </c>
      <c r="I277">
        <f t="array" ref="I277">SUMIF(A:A,A277,F:F)</f>
        <v>28511.58</v>
      </c>
      <c r="J277">
        <f t="array" ref="J277">5 - INT(5 * (RANK(G277,G:G, 1) - 1) / COUNT(G:G))</f>
        <v>1</v>
      </c>
      <c r="K277">
        <f t="array" ref="K277">INT(5 * (RANK(H277,H:H, 0) - 1) / COUNT(H:H)) + 1</f>
        <v>4</v>
      </c>
      <c r="L277">
        <f t="array" ref="L277">INT(5 * (RANK(I277,I:I, 0) - 1) / COUNT(I:I)) + 1</f>
        <v>4</v>
      </c>
      <c r="M277" t="str">
        <f t="shared" si="8"/>
        <v>144</v>
      </c>
      <c r="N277" s="6" t="str">
        <f t="shared" si="9"/>
        <v>At Risk</v>
      </c>
    </row>
    <row r="278" spans="1:14" x14ac:dyDescent="0.35">
      <c r="A278">
        <v>1132</v>
      </c>
      <c r="B278" s="4">
        <v>45479.375085336993</v>
      </c>
      <c r="C278" t="s">
        <v>15</v>
      </c>
      <c r="D278" t="s">
        <v>21</v>
      </c>
      <c r="E278" t="s">
        <v>25</v>
      </c>
      <c r="F278">
        <v>10499.29</v>
      </c>
      <c r="G278">
        <f t="array" ref="G278">SalesData!$I$2 - 'RFM Table'!B278</f>
        <v>657</v>
      </c>
      <c r="H278">
        <f t="array" ref="H278">COUNTIF(A:A,A278)</f>
        <v>11</v>
      </c>
      <c r="I278">
        <f t="array" ref="I278">SUMIF(A:A,A278,F:F)</f>
        <v>52771.959999999992</v>
      </c>
      <c r="J278">
        <f t="array" ref="J278">5 - INT(5 * (RANK(G278,G:G, 1) - 1) / COUNT(G:G))</f>
        <v>1</v>
      </c>
      <c r="K278">
        <f t="array" ref="K278">INT(5 * (RANK(H278,H:H, 0) - 1) / COUNT(H:H)) + 1</f>
        <v>1</v>
      </c>
      <c r="L278">
        <f t="array" ref="L278">INT(5 * (RANK(I278,I:I, 0) - 1) / COUNT(I:I)) + 1</f>
        <v>1</v>
      </c>
      <c r="M278" t="str">
        <f t="shared" si="8"/>
        <v>111</v>
      </c>
      <c r="N278" s="6" t="str">
        <f t="shared" si="9"/>
        <v>Lost</v>
      </c>
    </row>
    <row r="279" spans="1:14" x14ac:dyDescent="0.35">
      <c r="A279">
        <v>1248</v>
      </c>
      <c r="B279" s="4">
        <v>45479.375085336993</v>
      </c>
      <c r="C279" t="s">
        <v>11</v>
      </c>
      <c r="D279" t="s">
        <v>18</v>
      </c>
      <c r="E279" t="s">
        <v>25</v>
      </c>
      <c r="F279">
        <v>3278.32</v>
      </c>
      <c r="G279">
        <f t="array" ref="G279">SalesData!$I$2 - 'RFM Table'!B279</f>
        <v>657</v>
      </c>
      <c r="H279">
        <f t="array" ref="H279">COUNTIF(A:A,A279)</f>
        <v>7</v>
      </c>
      <c r="I279">
        <f t="array" ref="I279">SUMIF(A:A,A279,F:F)</f>
        <v>27796.990000000005</v>
      </c>
      <c r="J279">
        <f t="array" ref="J279">5 - INT(5 * (RANK(G279,G:G, 1) - 1) / COUNT(G:G))</f>
        <v>1</v>
      </c>
      <c r="K279">
        <f t="array" ref="K279">INT(5 * (RANK(H279,H:H, 0) - 1) / COUNT(H:H)) + 1</f>
        <v>4</v>
      </c>
      <c r="L279">
        <f t="array" ref="L279">INT(5 * (RANK(I279,I:I, 0) - 1) / COUNT(I:I)) + 1</f>
        <v>4</v>
      </c>
      <c r="M279" t="str">
        <f t="shared" si="8"/>
        <v>144</v>
      </c>
      <c r="N279" s="6" t="str">
        <f t="shared" si="9"/>
        <v>At Risk</v>
      </c>
    </row>
    <row r="280" spans="1:14" x14ac:dyDescent="0.35">
      <c r="A280">
        <v>1152</v>
      </c>
      <c r="B280" s="4">
        <v>45480.375085336993</v>
      </c>
      <c r="C280" t="s">
        <v>7</v>
      </c>
      <c r="D280" t="s">
        <v>18</v>
      </c>
      <c r="E280" t="s">
        <v>23</v>
      </c>
      <c r="F280">
        <v>3100.55</v>
      </c>
      <c r="G280">
        <f t="array" ref="G280">SalesData!$I$2 - 'RFM Table'!B280</f>
        <v>656</v>
      </c>
      <c r="H280">
        <f t="array" ref="H280">COUNTIF(A:A,A280)</f>
        <v>9</v>
      </c>
      <c r="I280">
        <f t="array" ref="I280">SUMIF(A:A,A280,F:F)</f>
        <v>34982.139999999992</v>
      </c>
      <c r="J280">
        <f t="array" ref="J280">5 - INT(5 * (RANK(G280,G:G, 1) - 1) / COUNT(G:G))</f>
        <v>1</v>
      </c>
      <c r="K280">
        <f t="array" ref="K280">INT(5 * (RANK(H280,H:H, 0) - 1) / COUNT(H:H)) + 1</f>
        <v>2</v>
      </c>
      <c r="L280">
        <f t="array" ref="L280">INT(5 * (RANK(I280,I:I, 0) - 1) / COUNT(I:I)) + 1</f>
        <v>3</v>
      </c>
      <c r="M280" t="str">
        <f t="shared" si="8"/>
        <v>123</v>
      </c>
      <c r="N280" s="6" t="str">
        <f t="shared" si="9"/>
        <v>Can't Lose Them</v>
      </c>
    </row>
    <row r="281" spans="1:14" x14ac:dyDescent="0.35">
      <c r="A281">
        <v>1302</v>
      </c>
      <c r="B281" s="4">
        <v>45480.375085336993</v>
      </c>
      <c r="C281" t="s">
        <v>8</v>
      </c>
      <c r="D281" t="s">
        <v>21</v>
      </c>
      <c r="E281" t="s">
        <v>25</v>
      </c>
      <c r="F281">
        <v>2445.5300000000002</v>
      </c>
      <c r="G281">
        <f t="array" ref="G281">SalesData!$I$2 - 'RFM Table'!B281</f>
        <v>656</v>
      </c>
      <c r="H281">
        <f t="array" ref="H281">COUNTIF(A:A,A281)</f>
        <v>13</v>
      </c>
      <c r="I281">
        <f t="array" ref="I281">SUMIF(A:A,A281,F:F)</f>
        <v>51409.87</v>
      </c>
      <c r="J281">
        <f t="array" ref="J281">5 - INT(5 * (RANK(G281,G:G, 1) - 1) / COUNT(G:G))</f>
        <v>1</v>
      </c>
      <c r="K281">
        <f t="array" ref="K281">INT(5 * (RANK(H281,H:H, 0) - 1) / COUNT(H:H)) + 1</f>
        <v>1</v>
      </c>
      <c r="L281">
        <f t="array" ref="L281">INT(5 * (RANK(I281,I:I, 0) - 1) / COUNT(I:I)) + 1</f>
        <v>1</v>
      </c>
      <c r="M281" t="str">
        <f t="shared" si="8"/>
        <v>111</v>
      </c>
      <c r="N281" s="6" t="str">
        <f t="shared" si="9"/>
        <v>Lost</v>
      </c>
    </row>
    <row r="282" spans="1:14" x14ac:dyDescent="0.35">
      <c r="A282">
        <v>1306</v>
      </c>
      <c r="B282" s="4">
        <v>45480.375085336993</v>
      </c>
      <c r="C282" t="s">
        <v>15</v>
      </c>
      <c r="D282" t="s">
        <v>19</v>
      </c>
      <c r="E282" t="s">
        <v>25</v>
      </c>
      <c r="F282">
        <v>2880.82</v>
      </c>
      <c r="G282">
        <f t="array" ref="G282">SalesData!$I$2 - 'RFM Table'!B282</f>
        <v>656</v>
      </c>
      <c r="H282">
        <f t="array" ref="H282">COUNTIF(A:A,A282)</f>
        <v>4</v>
      </c>
      <c r="I282">
        <f t="array" ref="I282">SUMIF(A:A,A282,F:F)</f>
        <v>21062.23</v>
      </c>
      <c r="J282">
        <f t="array" ref="J282">5 - INT(5 * (RANK(G282,G:G, 1) - 1) / COUNT(G:G))</f>
        <v>1</v>
      </c>
      <c r="K282">
        <f t="array" ref="K282">INT(5 * (RANK(H282,H:H, 0) - 1) / COUNT(H:H)) + 1</f>
        <v>5</v>
      </c>
      <c r="L282">
        <f t="array" ref="L282">INT(5 * (RANK(I282,I:I, 0) - 1) / COUNT(I:I)) + 1</f>
        <v>5</v>
      </c>
      <c r="M282" t="str">
        <f t="shared" si="8"/>
        <v>155</v>
      </c>
      <c r="N282" s="6" t="str">
        <f t="shared" si="9"/>
        <v>At Risk</v>
      </c>
    </row>
    <row r="283" spans="1:14" x14ac:dyDescent="0.35">
      <c r="A283">
        <v>1235</v>
      </c>
      <c r="B283" s="4">
        <v>45480.375085336993</v>
      </c>
      <c r="C283" t="s">
        <v>10</v>
      </c>
      <c r="D283" t="s">
        <v>22</v>
      </c>
      <c r="E283" t="s">
        <v>23</v>
      </c>
      <c r="F283">
        <v>2216.9699999999998</v>
      </c>
      <c r="G283">
        <f t="array" ref="G283">SalesData!$I$2 - 'RFM Table'!B283</f>
        <v>656</v>
      </c>
      <c r="H283">
        <f t="array" ref="H283">COUNTIF(A:A,A283)</f>
        <v>9</v>
      </c>
      <c r="I283">
        <f t="array" ref="I283">SUMIF(A:A,A283,F:F)</f>
        <v>30846.7</v>
      </c>
      <c r="J283">
        <f t="array" ref="J283">5 - INT(5 * (RANK(G283,G:G, 1) - 1) / COUNT(G:G))</f>
        <v>1</v>
      </c>
      <c r="K283">
        <f t="array" ref="K283">INT(5 * (RANK(H283,H:H, 0) - 1) / COUNT(H:H)) + 1</f>
        <v>2</v>
      </c>
      <c r="L283">
        <f t="array" ref="L283">INT(5 * (RANK(I283,I:I, 0) - 1) / COUNT(I:I)) + 1</f>
        <v>3</v>
      </c>
      <c r="M283" t="str">
        <f t="shared" si="8"/>
        <v>123</v>
      </c>
      <c r="N283" s="6" t="str">
        <f t="shared" si="9"/>
        <v>Can't Lose Them</v>
      </c>
    </row>
    <row r="284" spans="1:14" x14ac:dyDescent="0.35">
      <c r="A284">
        <v>1232</v>
      </c>
      <c r="B284" s="4">
        <v>45480.375085336993</v>
      </c>
      <c r="C284" t="s">
        <v>14</v>
      </c>
      <c r="D284" t="s">
        <v>22</v>
      </c>
      <c r="E284" t="s">
        <v>25</v>
      </c>
      <c r="F284">
        <v>1079.98</v>
      </c>
      <c r="G284">
        <f t="array" ref="G284">SalesData!$I$2 - 'RFM Table'!B284</f>
        <v>656</v>
      </c>
      <c r="H284">
        <f t="array" ref="H284">COUNTIF(A:A,A284)</f>
        <v>13</v>
      </c>
      <c r="I284">
        <f t="array" ref="I284">SUMIF(A:A,A284,F:F)</f>
        <v>40298.450000000004</v>
      </c>
      <c r="J284">
        <f t="array" ref="J284">5 - INT(5 * (RANK(G284,G:G, 1) - 1) / COUNT(G:G))</f>
        <v>1</v>
      </c>
      <c r="K284">
        <f t="array" ref="K284">INT(5 * (RANK(H284,H:H, 0) - 1) / COUNT(H:H)) + 1</f>
        <v>1</v>
      </c>
      <c r="L284">
        <f t="array" ref="L284">INT(5 * (RANK(I284,I:I, 0) - 1) / COUNT(I:I)) + 1</f>
        <v>2</v>
      </c>
      <c r="M284" t="str">
        <f t="shared" si="8"/>
        <v>112</v>
      </c>
      <c r="N284" s="6" t="str">
        <f t="shared" si="9"/>
        <v>Lost</v>
      </c>
    </row>
    <row r="285" spans="1:14" x14ac:dyDescent="0.35">
      <c r="A285">
        <v>1316</v>
      </c>
      <c r="B285" s="4">
        <v>45480.375085336993</v>
      </c>
      <c r="C285" t="s">
        <v>12</v>
      </c>
      <c r="D285" t="s">
        <v>20</v>
      </c>
      <c r="E285" t="s">
        <v>25</v>
      </c>
      <c r="F285">
        <v>1555.7</v>
      </c>
      <c r="G285">
        <f t="array" ref="G285">SalesData!$I$2 - 'RFM Table'!B285</f>
        <v>656</v>
      </c>
      <c r="H285">
        <f t="array" ref="H285">COUNTIF(A:A,A285)</f>
        <v>5</v>
      </c>
      <c r="I285">
        <f t="array" ref="I285">SUMIF(A:A,A285,F:F)</f>
        <v>20246.7</v>
      </c>
      <c r="J285">
        <f t="array" ref="J285">5 - INT(5 * (RANK(G285,G:G, 1) - 1) / COUNT(G:G))</f>
        <v>1</v>
      </c>
      <c r="K285">
        <f t="array" ref="K285">INT(5 * (RANK(H285,H:H, 0) - 1) / COUNT(H:H)) + 1</f>
        <v>5</v>
      </c>
      <c r="L285">
        <f t="array" ref="L285">INT(5 * (RANK(I285,I:I, 0) - 1) / COUNT(I:I)) + 1</f>
        <v>5</v>
      </c>
      <c r="M285" t="str">
        <f t="shared" si="8"/>
        <v>155</v>
      </c>
      <c r="N285" s="6" t="str">
        <f t="shared" si="9"/>
        <v>At Risk</v>
      </c>
    </row>
    <row r="286" spans="1:14" x14ac:dyDescent="0.35">
      <c r="A286">
        <v>1006</v>
      </c>
      <c r="B286" s="4">
        <v>45480.375085336993</v>
      </c>
      <c r="C286" t="s">
        <v>10</v>
      </c>
      <c r="D286" t="s">
        <v>18</v>
      </c>
      <c r="E286" t="s">
        <v>23</v>
      </c>
      <c r="F286">
        <v>1410.36</v>
      </c>
      <c r="G286">
        <f t="array" ref="G286">SalesData!$I$2 - 'RFM Table'!B286</f>
        <v>656</v>
      </c>
      <c r="H286">
        <f t="array" ref="H286">COUNTIF(A:A,A286)</f>
        <v>9</v>
      </c>
      <c r="I286">
        <f t="array" ref="I286">SUMIF(A:A,A286,F:F)</f>
        <v>44812.989999999991</v>
      </c>
      <c r="J286">
        <f t="array" ref="J286">5 - INT(5 * (RANK(G286,G:G, 1) - 1) / COUNT(G:G))</f>
        <v>1</v>
      </c>
      <c r="K286">
        <f t="array" ref="K286">INT(5 * (RANK(H286,H:H, 0) - 1) / COUNT(H:H)) + 1</f>
        <v>2</v>
      </c>
      <c r="L286">
        <f t="array" ref="L286">INT(5 * (RANK(I286,I:I, 0) - 1) / COUNT(I:I)) + 1</f>
        <v>2</v>
      </c>
      <c r="M286" t="str">
        <f t="shared" si="8"/>
        <v>122</v>
      </c>
      <c r="N286" s="6" t="str">
        <f t="shared" si="9"/>
        <v>Lost</v>
      </c>
    </row>
    <row r="287" spans="1:14" x14ac:dyDescent="0.35">
      <c r="A287">
        <v>1021</v>
      </c>
      <c r="B287" s="4">
        <v>45481.375085336993</v>
      </c>
      <c r="C287" t="s">
        <v>7</v>
      </c>
      <c r="D287" t="s">
        <v>19</v>
      </c>
      <c r="E287" t="s">
        <v>23</v>
      </c>
      <c r="F287">
        <v>490.15</v>
      </c>
      <c r="G287">
        <f t="array" ref="G287">SalesData!$I$2 - 'RFM Table'!B287</f>
        <v>655</v>
      </c>
      <c r="H287">
        <f t="array" ref="H287">COUNTIF(A:A,A287)</f>
        <v>7</v>
      </c>
      <c r="I287">
        <f t="array" ref="I287">SUMIF(A:A,A287,F:F)</f>
        <v>13087.390000000001</v>
      </c>
      <c r="J287">
        <f t="array" ref="J287">5 - INT(5 * (RANK(G287,G:G, 1) - 1) / COUNT(G:G))</f>
        <v>1</v>
      </c>
      <c r="K287">
        <f t="array" ref="K287">INT(5 * (RANK(H287,H:H, 0) - 1) / COUNT(H:H)) + 1</f>
        <v>4</v>
      </c>
      <c r="L287">
        <f t="array" ref="L287">INT(5 * (RANK(I287,I:I, 0) - 1) / COUNT(I:I)) + 1</f>
        <v>5</v>
      </c>
      <c r="M287" t="str">
        <f t="shared" si="8"/>
        <v>145</v>
      </c>
      <c r="N287" s="6" t="str">
        <f t="shared" si="9"/>
        <v>At Risk</v>
      </c>
    </row>
    <row r="288" spans="1:14" x14ac:dyDescent="0.35">
      <c r="A288">
        <v>1214</v>
      </c>
      <c r="B288" s="4">
        <v>45481.375085336993</v>
      </c>
      <c r="C288" t="s">
        <v>8</v>
      </c>
      <c r="D288" t="s">
        <v>22</v>
      </c>
      <c r="E288" t="s">
        <v>23</v>
      </c>
      <c r="F288">
        <v>953.51</v>
      </c>
      <c r="G288">
        <f t="array" ref="G288">SalesData!$I$2 - 'RFM Table'!B288</f>
        <v>655</v>
      </c>
      <c r="H288">
        <f t="array" ref="H288">COUNTIF(A:A,A288)</f>
        <v>12</v>
      </c>
      <c r="I288">
        <f t="array" ref="I288">SUMIF(A:A,A288,F:F)</f>
        <v>49382.650000000009</v>
      </c>
      <c r="J288">
        <f t="array" ref="J288">5 - INT(5 * (RANK(G288,G:G, 1) - 1) / COUNT(G:G))</f>
        <v>1</v>
      </c>
      <c r="K288">
        <f t="array" ref="K288">INT(5 * (RANK(H288,H:H, 0) - 1) / COUNT(H:H)) + 1</f>
        <v>1</v>
      </c>
      <c r="L288">
        <f t="array" ref="L288">INT(5 * (RANK(I288,I:I, 0) - 1) / COUNT(I:I)) + 1</f>
        <v>1</v>
      </c>
      <c r="M288" t="str">
        <f t="shared" si="8"/>
        <v>111</v>
      </c>
      <c r="N288" s="6" t="str">
        <f t="shared" si="9"/>
        <v>Lost</v>
      </c>
    </row>
    <row r="289" spans="1:14" x14ac:dyDescent="0.35">
      <c r="A289">
        <v>1221</v>
      </c>
      <c r="B289" s="4">
        <v>45481.375085336993</v>
      </c>
      <c r="C289" t="s">
        <v>9</v>
      </c>
      <c r="D289" t="s">
        <v>18</v>
      </c>
      <c r="E289" t="s">
        <v>24</v>
      </c>
      <c r="F289">
        <v>3093.32</v>
      </c>
      <c r="G289">
        <f t="array" ref="G289">SalesData!$I$2 - 'RFM Table'!B289</f>
        <v>655</v>
      </c>
      <c r="H289">
        <f t="array" ref="H289">COUNTIF(A:A,A289)</f>
        <v>8</v>
      </c>
      <c r="I289">
        <f t="array" ref="I289">SUMIF(A:A,A289,F:F)</f>
        <v>38894.44</v>
      </c>
      <c r="J289">
        <f t="array" ref="J289">5 - INT(5 * (RANK(G289,G:G, 1) - 1) / COUNT(G:G))</f>
        <v>1</v>
      </c>
      <c r="K289">
        <f t="array" ref="K289">INT(5 * (RANK(H289,H:H, 0) - 1) / COUNT(H:H)) + 1</f>
        <v>3</v>
      </c>
      <c r="L289">
        <f t="array" ref="L289">INT(5 * (RANK(I289,I:I, 0) - 1) / COUNT(I:I)) + 1</f>
        <v>2</v>
      </c>
      <c r="M289" t="str">
        <f t="shared" si="8"/>
        <v>132</v>
      </c>
      <c r="N289" s="6" t="str">
        <f t="shared" si="9"/>
        <v>Others</v>
      </c>
    </row>
    <row r="290" spans="1:14" x14ac:dyDescent="0.35">
      <c r="A290">
        <v>1359</v>
      </c>
      <c r="B290" s="4">
        <v>45481.375085336993</v>
      </c>
      <c r="C290" t="s">
        <v>7</v>
      </c>
      <c r="D290" t="s">
        <v>22</v>
      </c>
      <c r="E290" t="s">
        <v>24</v>
      </c>
      <c r="F290">
        <v>5449.02</v>
      </c>
      <c r="G290">
        <f t="array" ref="G290">SalesData!$I$2 - 'RFM Table'!B290</f>
        <v>655</v>
      </c>
      <c r="H290">
        <f t="array" ref="H290">COUNTIF(A:A,A290)</f>
        <v>13</v>
      </c>
      <c r="I290">
        <f t="array" ref="I290">SUMIF(A:A,A290,F:F)</f>
        <v>40402.14</v>
      </c>
      <c r="J290">
        <f t="array" ref="J290">5 - INT(5 * (RANK(G290,G:G, 1) - 1) / COUNT(G:G))</f>
        <v>1</v>
      </c>
      <c r="K290">
        <f t="array" ref="K290">INT(5 * (RANK(H290,H:H, 0) - 1) / COUNT(H:H)) + 1</f>
        <v>1</v>
      </c>
      <c r="L290">
        <f t="array" ref="L290">INT(5 * (RANK(I290,I:I, 0) - 1) / COUNT(I:I)) + 1</f>
        <v>2</v>
      </c>
      <c r="M290" t="str">
        <f t="shared" si="8"/>
        <v>112</v>
      </c>
      <c r="N290" s="6" t="str">
        <f t="shared" si="9"/>
        <v>Lost</v>
      </c>
    </row>
    <row r="291" spans="1:14" x14ac:dyDescent="0.35">
      <c r="A291">
        <v>1006</v>
      </c>
      <c r="B291" s="4">
        <v>45481.375085336993</v>
      </c>
      <c r="C291" t="s">
        <v>10</v>
      </c>
      <c r="D291" t="s">
        <v>20</v>
      </c>
      <c r="E291" t="s">
        <v>25</v>
      </c>
      <c r="F291">
        <v>3275.42</v>
      </c>
      <c r="G291">
        <f t="array" ref="G291">SalesData!$I$2 - 'RFM Table'!B291</f>
        <v>655</v>
      </c>
      <c r="H291">
        <f t="array" ref="H291">COUNTIF(A:A,A291)</f>
        <v>9</v>
      </c>
      <c r="I291">
        <f t="array" ref="I291">SUMIF(A:A,A291,F:F)</f>
        <v>44812.989999999991</v>
      </c>
      <c r="J291">
        <f t="array" ref="J291">5 - INT(5 * (RANK(G291,G:G, 1) - 1) / COUNT(G:G))</f>
        <v>1</v>
      </c>
      <c r="K291">
        <f t="array" ref="K291">INT(5 * (RANK(H291,H:H, 0) - 1) / COUNT(H:H)) + 1</f>
        <v>2</v>
      </c>
      <c r="L291">
        <f t="array" ref="L291">INT(5 * (RANK(I291,I:I, 0) - 1) / COUNT(I:I)) + 1</f>
        <v>2</v>
      </c>
      <c r="M291" t="str">
        <f t="shared" si="8"/>
        <v>122</v>
      </c>
      <c r="N291" s="6" t="str">
        <f t="shared" si="9"/>
        <v>Lost</v>
      </c>
    </row>
    <row r="292" spans="1:14" x14ac:dyDescent="0.35">
      <c r="A292">
        <v>1105</v>
      </c>
      <c r="B292" s="4">
        <v>45481.375085336993</v>
      </c>
      <c r="C292" t="s">
        <v>6</v>
      </c>
      <c r="D292" t="s">
        <v>22</v>
      </c>
      <c r="E292" t="s">
        <v>24</v>
      </c>
      <c r="F292">
        <v>1567.2</v>
      </c>
      <c r="G292">
        <f t="array" ref="G292">SalesData!$I$2 - 'RFM Table'!B292</f>
        <v>655</v>
      </c>
      <c r="H292">
        <f t="array" ref="H292">COUNTIF(A:A,A292)</f>
        <v>7</v>
      </c>
      <c r="I292">
        <f t="array" ref="I292">SUMIF(A:A,A292,F:F)</f>
        <v>24539.160000000003</v>
      </c>
      <c r="J292">
        <f t="array" ref="J292">5 - INT(5 * (RANK(G292,G:G, 1) - 1) / COUNT(G:G))</f>
        <v>1</v>
      </c>
      <c r="K292">
        <f t="array" ref="K292">INT(5 * (RANK(H292,H:H, 0) - 1) / COUNT(H:H)) + 1</f>
        <v>4</v>
      </c>
      <c r="L292">
        <f t="array" ref="L292">INT(5 * (RANK(I292,I:I, 0) - 1) / COUNT(I:I)) + 1</f>
        <v>4</v>
      </c>
      <c r="M292" t="str">
        <f t="shared" si="8"/>
        <v>144</v>
      </c>
      <c r="N292" s="6" t="str">
        <f t="shared" si="9"/>
        <v>At Risk</v>
      </c>
    </row>
    <row r="293" spans="1:14" x14ac:dyDescent="0.35">
      <c r="A293">
        <v>1145</v>
      </c>
      <c r="B293" s="4">
        <v>45481.375085336993</v>
      </c>
      <c r="C293" t="s">
        <v>15</v>
      </c>
      <c r="D293" t="s">
        <v>22</v>
      </c>
      <c r="E293" t="s">
        <v>24</v>
      </c>
      <c r="F293">
        <v>5298.95</v>
      </c>
      <c r="G293">
        <f t="array" ref="G293">SalesData!$I$2 - 'RFM Table'!B293</f>
        <v>655</v>
      </c>
      <c r="H293">
        <f t="array" ref="H293">COUNTIF(A:A,A293)</f>
        <v>9</v>
      </c>
      <c r="I293">
        <f t="array" ref="I293">SUMIF(A:A,A293,F:F)</f>
        <v>36233.340000000004</v>
      </c>
      <c r="J293">
        <f t="array" ref="J293">5 - INT(5 * (RANK(G293,G:G, 1) - 1) / COUNT(G:G))</f>
        <v>1</v>
      </c>
      <c r="K293">
        <f t="array" ref="K293">INT(5 * (RANK(H293,H:H, 0) - 1) / COUNT(H:H)) + 1</f>
        <v>2</v>
      </c>
      <c r="L293">
        <f t="array" ref="L293">INT(5 * (RANK(I293,I:I, 0) - 1) / COUNT(I:I)) + 1</f>
        <v>3</v>
      </c>
      <c r="M293" t="str">
        <f t="shared" si="8"/>
        <v>123</v>
      </c>
      <c r="N293" s="6" t="str">
        <f t="shared" si="9"/>
        <v>Can't Lose Them</v>
      </c>
    </row>
    <row r="294" spans="1:14" x14ac:dyDescent="0.35">
      <c r="A294">
        <v>1349</v>
      </c>
      <c r="B294" s="4">
        <v>45481.375085336993</v>
      </c>
      <c r="C294" t="s">
        <v>7</v>
      </c>
      <c r="D294" t="s">
        <v>19</v>
      </c>
      <c r="E294" t="s">
        <v>25</v>
      </c>
      <c r="F294">
        <v>1897.88</v>
      </c>
      <c r="G294">
        <f t="array" ref="G294">SalesData!$I$2 - 'RFM Table'!B294</f>
        <v>655</v>
      </c>
      <c r="H294">
        <f t="array" ref="H294">COUNTIF(A:A,A294)</f>
        <v>8</v>
      </c>
      <c r="I294">
        <f t="array" ref="I294">SUMIF(A:A,A294,F:F)</f>
        <v>24691.75</v>
      </c>
      <c r="J294">
        <f t="array" ref="J294">5 - INT(5 * (RANK(G294,G:G, 1) - 1) / COUNT(G:G))</f>
        <v>1</v>
      </c>
      <c r="K294">
        <f t="array" ref="K294">INT(5 * (RANK(H294,H:H, 0) - 1) / COUNT(H:H)) + 1</f>
        <v>3</v>
      </c>
      <c r="L294">
        <f t="array" ref="L294">INT(5 * (RANK(I294,I:I, 0) - 1) / COUNT(I:I)) + 1</f>
        <v>4</v>
      </c>
      <c r="M294" t="str">
        <f t="shared" si="8"/>
        <v>134</v>
      </c>
      <c r="N294" s="6" t="str">
        <f t="shared" si="9"/>
        <v>At Risk</v>
      </c>
    </row>
    <row r="295" spans="1:14" x14ac:dyDescent="0.35">
      <c r="A295">
        <v>1351</v>
      </c>
      <c r="B295" s="4">
        <v>45482.375085336993</v>
      </c>
      <c r="C295" t="s">
        <v>6</v>
      </c>
      <c r="D295" t="s">
        <v>17</v>
      </c>
      <c r="E295" t="s">
        <v>24</v>
      </c>
      <c r="F295">
        <v>4209.6899999999996</v>
      </c>
      <c r="G295">
        <f t="array" ref="G295">SalesData!$I$2 - 'RFM Table'!B295</f>
        <v>654</v>
      </c>
      <c r="H295">
        <f t="array" ref="H295">COUNTIF(A:A,A295)</f>
        <v>7</v>
      </c>
      <c r="I295">
        <f t="array" ref="I295">SUMIF(A:A,A295,F:F)</f>
        <v>18845.82</v>
      </c>
      <c r="J295">
        <f t="array" ref="J295">5 - INT(5 * (RANK(G295,G:G, 1) - 1) / COUNT(G:G))</f>
        <v>1</v>
      </c>
      <c r="K295">
        <f t="array" ref="K295">INT(5 * (RANK(H295,H:H, 0) - 1) / COUNT(H:H)) + 1</f>
        <v>4</v>
      </c>
      <c r="L295">
        <f t="array" ref="L295">INT(5 * (RANK(I295,I:I, 0) - 1) / COUNT(I:I)) + 1</f>
        <v>5</v>
      </c>
      <c r="M295" t="str">
        <f t="shared" si="8"/>
        <v>145</v>
      </c>
      <c r="N295" s="6" t="str">
        <f t="shared" si="9"/>
        <v>At Risk</v>
      </c>
    </row>
    <row r="296" spans="1:14" x14ac:dyDescent="0.35">
      <c r="A296">
        <v>1274</v>
      </c>
      <c r="B296" s="4">
        <v>45482.375085336993</v>
      </c>
      <c r="C296" t="s">
        <v>6</v>
      </c>
      <c r="D296" t="s">
        <v>21</v>
      </c>
      <c r="E296" t="s">
        <v>23</v>
      </c>
      <c r="F296">
        <v>6167.02</v>
      </c>
      <c r="G296">
        <f t="array" ref="G296">SalesData!$I$2 - 'RFM Table'!B296</f>
        <v>654</v>
      </c>
      <c r="H296">
        <f t="array" ref="H296">COUNTIF(A:A,A296)</f>
        <v>5</v>
      </c>
      <c r="I296">
        <f t="array" ref="I296">SUMIF(A:A,A296,F:F)</f>
        <v>19562.71</v>
      </c>
      <c r="J296">
        <f t="array" ref="J296">5 - INT(5 * (RANK(G296,G:G, 1) - 1) / COUNT(G:G))</f>
        <v>1</v>
      </c>
      <c r="K296">
        <f t="array" ref="K296">INT(5 * (RANK(H296,H:H, 0) - 1) / COUNT(H:H)) + 1</f>
        <v>5</v>
      </c>
      <c r="L296">
        <f t="array" ref="L296">INT(5 * (RANK(I296,I:I, 0) - 1) / COUNT(I:I)) + 1</f>
        <v>5</v>
      </c>
      <c r="M296" t="str">
        <f t="shared" si="8"/>
        <v>155</v>
      </c>
      <c r="N296" s="6" t="str">
        <f t="shared" si="9"/>
        <v>At Risk</v>
      </c>
    </row>
    <row r="297" spans="1:14" x14ac:dyDescent="0.35">
      <c r="A297">
        <v>1319</v>
      </c>
      <c r="B297" s="4">
        <v>45483.375085336993</v>
      </c>
      <c r="C297" t="s">
        <v>6</v>
      </c>
      <c r="D297" t="s">
        <v>19</v>
      </c>
      <c r="E297" t="s">
        <v>24</v>
      </c>
      <c r="F297">
        <v>180.45</v>
      </c>
      <c r="G297">
        <f t="array" ref="G297">SalesData!$I$2 - 'RFM Table'!B297</f>
        <v>653</v>
      </c>
      <c r="H297">
        <f t="array" ref="H297">COUNTIF(A:A,A297)</f>
        <v>10</v>
      </c>
      <c r="I297">
        <f t="array" ref="I297">SUMIF(A:A,A297,F:F)</f>
        <v>39681.960000000006</v>
      </c>
      <c r="J297">
        <f t="array" ref="J297">5 - INT(5 * (RANK(G297,G:G, 1) - 1) / COUNT(G:G))</f>
        <v>1</v>
      </c>
      <c r="K297">
        <f t="array" ref="K297">INT(5 * (RANK(H297,H:H, 0) - 1) / COUNT(H:H)) + 1</f>
        <v>2</v>
      </c>
      <c r="L297">
        <f t="array" ref="L297">INT(5 * (RANK(I297,I:I, 0) - 1) / COUNT(I:I)) + 1</f>
        <v>2</v>
      </c>
      <c r="M297" t="str">
        <f t="shared" si="8"/>
        <v>122</v>
      </c>
      <c r="N297" s="6" t="str">
        <f t="shared" si="9"/>
        <v>Lost</v>
      </c>
    </row>
    <row r="298" spans="1:14" x14ac:dyDescent="0.35">
      <c r="A298">
        <v>1075</v>
      </c>
      <c r="B298" s="4">
        <v>45483.375085336993</v>
      </c>
      <c r="C298" t="s">
        <v>12</v>
      </c>
      <c r="D298" t="s">
        <v>22</v>
      </c>
      <c r="E298" t="s">
        <v>24</v>
      </c>
      <c r="F298">
        <v>641.19000000000005</v>
      </c>
      <c r="G298">
        <f t="array" ref="G298">SalesData!$I$2 - 'RFM Table'!B298</f>
        <v>653</v>
      </c>
      <c r="H298">
        <f t="array" ref="H298">COUNTIF(A:A,A298)</f>
        <v>8</v>
      </c>
      <c r="I298">
        <f t="array" ref="I298">SUMIF(A:A,A298,F:F)</f>
        <v>27084.66</v>
      </c>
      <c r="J298">
        <f t="array" ref="J298">5 - INT(5 * (RANK(G298,G:G, 1) - 1) / COUNT(G:G))</f>
        <v>1</v>
      </c>
      <c r="K298">
        <f t="array" ref="K298">INT(5 * (RANK(H298,H:H, 0) - 1) / COUNT(H:H)) + 1</f>
        <v>3</v>
      </c>
      <c r="L298">
        <f t="array" ref="L298">INT(5 * (RANK(I298,I:I, 0) - 1) / COUNT(I:I)) + 1</f>
        <v>4</v>
      </c>
      <c r="M298" t="str">
        <f t="shared" si="8"/>
        <v>134</v>
      </c>
      <c r="N298" s="6" t="str">
        <f t="shared" si="9"/>
        <v>At Risk</v>
      </c>
    </row>
    <row r="299" spans="1:14" x14ac:dyDescent="0.35">
      <c r="A299">
        <v>1318</v>
      </c>
      <c r="B299" s="4">
        <v>45484.375085336993</v>
      </c>
      <c r="C299" t="s">
        <v>7</v>
      </c>
      <c r="D299" t="s">
        <v>21</v>
      </c>
      <c r="E299" t="s">
        <v>25</v>
      </c>
      <c r="F299">
        <v>15258.77</v>
      </c>
      <c r="G299">
        <f t="array" ref="G299">SalesData!$I$2 - 'RFM Table'!B299</f>
        <v>652</v>
      </c>
      <c r="H299">
        <f t="array" ref="H299">COUNTIF(A:A,A299)</f>
        <v>8</v>
      </c>
      <c r="I299">
        <f t="array" ref="I299">SUMIF(A:A,A299,F:F)</f>
        <v>45571.029999999992</v>
      </c>
      <c r="J299">
        <f t="array" ref="J299">5 - INT(5 * (RANK(G299,G:G, 1) - 1) / COUNT(G:G))</f>
        <v>1</v>
      </c>
      <c r="K299">
        <f t="array" ref="K299">INT(5 * (RANK(H299,H:H, 0) - 1) / COUNT(H:H)) + 1</f>
        <v>3</v>
      </c>
      <c r="L299">
        <f t="array" ref="L299">INT(5 * (RANK(I299,I:I, 0) - 1) / COUNT(I:I)) + 1</f>
        <v>1</v>
      </c>
      <c r="M299" t="str">
        <f t="shared" si="8"/>
        <v>131</v>
      </c>
      <c r="N299" s="6" t="str">
        <f t="shared" si="9"/>
        <v>Others</v>
      </c>
    </row>
    <row r="300" spans="1:14" x14ac:dyDescent="0.35">
      <c r="A300">
        <v>1358</v>
      </c>
      <c r="B300" s="4">
        <v>45484.375085336993</v>
      </c>
      <c r="C300" t="s">
        <v>12</v>
      </c>
      <c r="D300" t="s">
        <v>17</v>
      </c>
      <c r="E300" t="s">
        <v>24</v>
      </c>
      <c r="F300">
        <v>6719.77</v>
      </c>
      <c r="G300">
        <f t="array" ref="G300">SalesData!$I$2 - 'RFM Table'!B300</f>
        <v>652</v>
      </c>
      <c r="H300">
        <f t="array" ref="H300">COUNTIF(A:A,A300)</f>
        <v>9</v>
      </c>
      <c r="I300">
        <f t="array" ref="I300">SUMIF(A:A,A300,F:F)</f>
        <v>29151.88</v>
      </c>
      <c r="J300">
        <f t="array" ref="J300">5 - INT(5 * (RANK(G300,G:G, 1) - 1) / COUNT(G:G))</f>
        <v>1</v>
      </c>
      <c r="K300">
        <f t="array" ref="K300">INT(5 * (RANK(H300,H:H, 0) - 1) / COUNT(H:H)) + 1</f>
        <v>2</v>
      </c>
      <c r="L300">
        <f t="array" ref="L300">INT(5 * (RANK(I300,I:I, 0) - 1) / COUNT(I:I)) + 1</f>
        <v>4</v>
      </c>
      <c r="M300" t="str">
        <f t="shared" si="8"/>
        <v>124</v>
      </c>
      <c r="N300" s="6" t="str">
        <f t="shared" si="9"/>
        <v>Can't Lose Them</v>
      </c>
    </row>
    <row r="301" spans="1:14" x14ac:dyDescent="0.35">
      <c r="A301">
        <v>1160</v>
      </c>
      <c r="B301" s="4">
        <v>45484.375085336993</v>
      </c>
      <c r="C301" t="s">
        <v>13</v>
      </c>
      <c r="D301" t="s">
        <v>21</v>
      </c>
      <c r="E301" t="s">
        <v>25</v>
      </c>
      <c r="F301">
        <v>6466.79</v>
      </c>
      <c r="G301">
        <f t="array" ref="G301">SalesData!$I$2 - 'RFM Table'!B301</f>
        <v>652</v>
      </c>
      <c r="H301">
        <f t="array" ref="H301">COUNTIF(A:A,A301)</f>
        <v>13</v>
      </c>
      <c r="I301">
        <f t="array" ref="I301">SUMIF(A:A,A301,F:F)</f>
        <v>56128.799999999996</v>
      </c>
      <c r="J301">
        <f t="array" ref="J301">5 - INT(5 * (RANK(G301,G:G, 1) - 1) / COUNT(G:G))</f>
        <v>1</v>
      </c>
      <c r="K301">
        <f t="array" ref="K301">INT(5 * (RANK(H301,H:H, 0) - 1) / COUNT(H:H)) + 1</f>
        <v>1</v>
      </c>
      <c r="L301">
        <f t="array" ref="L301">INT(5 * (RANK(I301,I:I, 0) - 1) / COUNT(I:I)) + 1</f>
        <v>1</v>
      </c>
      <c r="M301" t="str">
        <f t="shared" si="8"/>
        <v>111</v>
      </c>
      <c r="N301" s="6" t="str">
        <f t="shared" si="9"/>
        <v>Lost</v>
      </c>
    </row>
    <row r="302" spans="1:14" x14ac:dyDescent="0.35">
      <c r="A302">
        <v>1341</v>
      </c>
      <c r="B302" s="4">
        <v>45486.375085336993</v>
      </c>
      <c r="C302" t="s">
        <v>14</v>
      </c>
      <c r="D302" t="s">
        <v>18</v>
      </c>
      <c r="E302" t="s">
        <v>24</v>
      </c>
      <c r="F302">
        <v>4512.8900000000003</v>
      </c>
      <c r="G302">
        <f t="array" ref="G302">SalesData!$I$2 - 'RFM Table'!B302</f>
        <v>650</v>
      </c>
      <c r="H302">
        <f t="array" ref="H302">COUNTIF(A:A,A302)</f>
        <v>11</v>
      </c>
      <c r="I302">
        <f t="array" ref="I302">SUMIF(A:A,A302,F:F)</f>
        <v>45526.78</v>
      </c>
      <c r="J302">
        <f t="array" ref="J302">5 - INT(5 * (RANK(G302,G:G, 1) - 1) / COUNT(G:G))</f>
        <v>1</v>
      </c>
      <c r="K302">
        <f t="array" ref="K302">INT(5 * (RANK(H302,H:H, 0) - 1) / COUNT(H:H)) + 1</f>
        <v>1</v>
      </c>
      <c r="L302">
        <f t="array" ref="L302">INT(5 * (RANK(I302,I:I, 0) - 1) / COUNT(I:I)) + 1</f>
        <v>1</v>
      </c>
      <c r="M302" t="str">
        <f t="shared" si="8"/>
        <v>111</v>
      </c>
      <c r="N302" s="6" t="str">
        <f t="shared" si="9"/>
        <v>Lost</v>
      </c>
    </row>
    <row r="303" spans="1:14" x14ac:dyDescent="0.35">
      <c r="A303">
        <v>1163</v>
      </c>
      <c r="B303" s="4">
        <v>45486.375085336993</v>
      </c>
      <c r="C303" t="s">
        <v>7</v>
      </c>
      <c r="D303" t="s">
        <v>18</v>
      </c>
      <c r="E303" t="s">
        <v>24</v>
      </c>
      <c r="F303">
        <v>2745.29</v>
      </c>
      <c r="G303">
        <f t="array" ref="G303">SalesData!$I$2 - 'RFM Table'!B303</f>
        <v>650</v>
      </c>
      <c r="H303">
        <f t="array" ref="H303">COUNTIF(A:A,A303)</f>
        <v>11</v>
      </c>
      <c r="I303">
        <f t="array" ref="I303">SUMIF(A:A,A303,F:F)</f>
        <v>43753.86</v>
      </c>
      <c r="J303">
        <f t="array" ref="J303">5 - INT(5 * (RANK(G303,G:G, 1) - 1) / COUNT(G:G))</f>
        <v>1</v>
      </c>
      <c r="K303">
        <f t="array" ref="K303">INT(5 * (RANK(H303,H:H, 0) - 1) / COUNT(H:H)) + 1</f>
        <v>1</v>
      </c>
      <c r="L303">
        <f t="array" ref="L303">INT(5 * (RANK(I303,I:I, 0) - 1) / COUNT(I:I)) + 1</f>
        <v>2</v>
      </c>
      <c r="M303" t="str">
        <f t="shared" si="8"/>
        <v>112</v>
      </c>
      <c r="N303" s="6" t="str">
        <f t="shared" si="9"/>
        <v>Lost</v>
      </c>
    </row>
    <row r="304" spans="1:14" x14ac:dyDescent="0.35">
      <c r="A304">
        <v>1197</v>
      </c>
      <c r="B304" s="4">
        <v>45487.375085336993</v>
      </c>
      <c r="C304" t="s">
        <v>10</v>
      </c>
      <c r="D304" t="s">
        <v>21</v>
      </c>
      <c r="E304" t="s">
        <v>23</v>
      </c>
      <c r="F304">
        <v>1445.49</v>
      </c>
      <c r="G304">
        <f t="array" ref="G304">SalesData!$I$2 - 'RFM Table'!B304</f>
        <v>649</v>
      </c>
      <c r="H304">
        <f t="array" ref="H304">COUNTIF(A:A,A304)</f>
        <v>9</v>
      </c>
      <c r="I304">
        <f t="array" ref="I304">SUMIF(A:A,A304,F:F)</f>
        <v>28813.449999999997</v>
      </c>
      <c r="J304">
        <f t="array" ref="J304">5 - INT(5 * (RANK(G304,G:G, 1) - 1) / COUNT(G:G))</f>
        <v>1</v>
      </c>
      <c r="K304">
        <f t="array" ref="K304">INT(5 * (RANK(H304,H:H, 0) - 1) / COUNT(H:H)) + 1</f>
        <v>2</v>
      </c>
      <c r="L304">
        <f t="array" ref="L304">INT(5 * (RANK(I304,I:I, 0) - 1) / COUNT(I:I)) + 1</f>
        <v>4</v>
      </c>
      <c r="M304" t="str">
        <f t="shared" si="8"/>
        <v>124</v>
      </c>
      <c r="N304" s="6" t="str">
        <f t="shared" si="9"/>
        <v>Can't Lose Them</v>
      </c>
    </row>
    <row r="305" spans="1:14" x14ac:dyDescent="0.35">
      <c r="A305">
        <v>1016</v>
      </c>
      <c r="B305" s="4">
        <v>45487.375085336993</v>
      </c>
      <c r="C305" t="s">
        <v>13</v>
      </c>
      <c r="D305" t="s">
        <v>19</v>
      </c>
      <c r="E305" t="s">
        <v>23</v>
      </c>
      <c r="F305">
        <v>9558.11</v>
      </c>
      <c r="G305">
        <f t="array" ref="G305">SalesData!$I$2 - 'RFM Table'!B305</f>
        <v>649</v>
      </c>
      <c r="H305">
        <f t="array" ref="H305">COUNTIF(A:A,A305)</f>
        <v>9</v>
      </c>
      <c r="I305">
        <f t="array" ref="I305">SUMIF(A:A,A305,F:F)</f>
        <v>37239.53</v>
      </c>
      <c r="J305">
        <f t="array" ref="J305">5 - INT(5 * (RANK(G305,G:G, 1) - 1) / COUNT(G:G))</f>
        <v>1</v>
      </c>
      <c r="K305">
        <f t="array" ref="K305">INT(5 * (RANK(H305,H:H, 0) - 1) / COUNT(H:H)) + 1</f>
        <v>2</v>
      </c>
      <c r="L305">
        <f t="array" ref="L305">INT(5 * (RANK(I305,I:I, 0) - 1) / COUNT(I:I)) + 1</f>
        <v>2</v>
      </c>
      <c r="M305" t="str">
        <f t="shared" si="8"/>
        <v>122</v>
      </c>
      <c r="N305" s="6" t="str">
        <f t="shared" si="9"/>
        <v>Lost</v>
      </c>
    </row>
    <row r="306" spans="1:14" x14ac:dyDescent="0.35">
      <c r="A306">
        <v>1252</v>
      </c>
      <c r="B306" s="4">
        <v>45487.375085336993</v>
      </c>
      <c r="C306" t="s">
        <v>12</v>
      </c>
      <c r="D306" t="s">
        <v>22</v>
      </c>
      <c r="E306" t="s">
        <v>25</v>
      </c>
      <c r="F306">
        <v>2074.21</v>
      </c>
      <c r="G306">
        <f t="array" ref="G306">SalesData!$I$2 - 'RFM Table'!B306</f>
        <v>649</v>
      </c>
      <c r="H306">
        <f t="array" ref="H306">COUNTIF(A:A,A306)</f>
        <v>8</v>
      </c>
      <c r="I306">
        <f t="array" ref="I306">SUMIF(A:A,A306,F:F)</f>
        <v>29088.159999999996</v>
      </c>
      <c r="J306">
        <f t="array" ref="J306">5 - INT(5 * (RANK(G306,G:G, 1) - 1) / COUNT(G:G))</f>
        <v>1</v>
      </c>
      <c r="K306">
        <f t="array" ref="K306">INT(5 * (RANK(H306,H:H, 0) - 1) / COUNT(H:H)) + 1</f>
        <v>3</v>
      </c>
      <c r="L306">
        <f t="array" ref="L306">INT(5 * (RANK(I306,I:I, 0) - 1) / COUNT(I:I)) + 1</f>
        <v>4</v>
      </c>
      <c r="M306" t="str">
        <f t="shared" si="8"/>
        <v>134</v>
      </c>
      <c r="N306" s="6" t="str">
        <f t="shared" si="9"/>
        <v>At Risk</v>
      </c>
    </row>
    <row r="307" spans="1:14" x14ac:dyDescent="0.35">
      <c r="A307">
        <v>1377</v>
      </c>
      <c r="B307" s="4">
        <v>45487.375085336993</v>
      </c>
      <c r="C307" t="s">
        <v>8</v>
      </c>
      <c r="D307" t="s">
        <v>17</v>
      </c>
      <c r="E307" t="s">
        <v>23</v>
      </c>
      <c r="F307">
        <v>4414.51</v>
      </c>
      <c r="G307">
        <f t="array" ref="G307">SalesData!$I$2 - 'RFM Table'!B307</f>
        <v>649</v>
      </c>
      <c r="H307">
        <f t="array" ref="H307">COUNTIF(A:A,A307)</f>
        <v>6</v>
      </c>
      <c r="I307">
        <f t="array" ref="I307">SUMIF(A:A,A307,F:F)</f>
        <v>39626.31</v>
      </c>
      <c r="J307">
        <f t="array" ref="J307">5 - INT(5 * (RANK(G307,G:G, 1) - 1) / COUNT(G:G))</f>
        <v>1</v>
      </c>
      <c r="K307">
        <f t="array" ref="K307">INT(5 * (RANK(H307,H:H, 0) - 1) / COUNT(H:H)) + 1</f>
        <v>4</v>
      </c>
      <c r="L307">
        <f t="array" ref="L307">INT(5 * (RANK(I307,I:I, 0) - 1) / COUNT(I:I)) + 1</f>
        <v>2</v>
      </c>
      <c r="M307" t="str">
        <f t="shared" si="8"/>
        <v>142</v>
      </c>
      <c r="N307" s="6" t="str">
        <f t="shared" si="9"/>
        <v>Others</v>
      </c>
    </row>
    <row r="308" spans="1:14" x14ac:dyDescent="0.35">
      <c r="A308">
        <v>1329</v>
      </c>
      <c r="B308" s="4">
        <v>45487.375085336993</v>
      </c>
      <c r="C308" t="s">
        <v>10</v>
      </c>
      <c r="D308" t="s">
        <v>19</v>
      </c>
      <c r="E308" t="s">
        <v>25</v>
      </c>
      <c r="F308">
        <v>392.21</v>
      </c>
      <c r="G308">
        <f t="array" ref="G308">SalesData!$I$2 - 'RFM Table'!B308</f>
        <v>649</v>
      </c>
      <c r="H308">
        <f t="array" ref="H308">COUNTIF(A:A,A308)</f>
        <v>9</v>
      </c>
      <c r="I308">
        <f t="array" ref="I308">SUMIF(A:A,A308,F:F)</f>
        <v>27881.53</v>
      </c>
      <c r="J308">
        <f t="array" ref="J308">5 - INT(5 * (RANK(G308,G:G, 1) - 1) / COUNT(G:G))</f>
        <v>1</v>
      </c>
      <c r="K308">
        <f t="array" ref="K308">INT(5 * (RANK(H308,H:H, 0) - 1) / COUNT(H:H)) + 1</f>
        <v>2</v>
      </c>
      <c r="L308">
        <f t="array" ref="L308">INT(5 * (RANK(I308,I:I, 0) - 1) / COUNT(I:I)) + 1</f>
        <v>4</v>
      </c>
      <c r="M308" t="str">
        <f t="shared" si="8"/>
        <v>124</v>
      </c>
      <c r="N308" s="6" t="str">
        <f t="shared" si="9"/>
        <v>Can't Lose Them</v>
      </c>
    </row>
    <row r="309" spans="1:14" x14ac:dyDescent="0.35">
      <c r="A309">
        <v>1098</v>
      </c>
      <c r="B309" s="4">
        <v>45487.375085336993</v>
      </c>
      <c r="C309" t="s">
        <v>12</v>
      </c>
      <c r="D309" t="s">
        <v>17</v>
      </c>
      <c r="E309" t="s">
        <v>23</v>
      </c>
      <c r="F309">
        <v>4574.99</v>
      </c>
      <c r="G309">
        <f t="array" ref="G309">SalesData!$I$2 - 'RFM Table'!B309</f>
        <v>649</v>
      </c>
      <c r="H309">
        <f t="array" ref="H309">COUNTIF(A:A,A309)</f>
        <v>12</v>
      </c>
      <c r="I309">
        <f t="array" ref="I309">SUMIF(A:A,A309,F:F)</f>
        <v>36909.899999999994</v>
      </c>
      <c r="J309">
        <f t="array" ref="J309">5 - INT(5 * (RANK(G309,G:G, 1) - 1) / COUNT(G:G))</f>
        <v>1</v>
      </c>
      <c r="K309">
        <f t="array" ref="K309">INT(5 * (RANK(H309,H:H, 0) - 1) / COUNT(H:H)) + 1</f>
        <v>1</v>
      </c>
      <c r="L309">
        <f t="array" ref="L309">INT(5 * (RANK(I309,I:I, 0) - 1) / COUNT(I:I)) + 1</f>
        <v>2</v>
      </c>
      <c r="M309" t="str">
        <f t="shared" si="8"/>
        <v>112</v>
      </c>
      <c r="N309" s="6" t="str">
        <f t="shared" si="9"/>
        <v>Lost</v>
      </c>
    </row>
    <row r="310" spans="1:14" x14ac:dyDescent="0.35">
      <c r="A310">
        <v>1291</v>
      </c>
      <c r="B310" s="4">
        <v>45488.375085336993</v>
      </c>
      <c r="C310" t="s">
        <v>7</v>
      </c>
      <c r="D310" t="s">
        <v>18</v>
      </c>
      <c r="E310" t="s">
        <v>25</v>
      </c>
      <c r="F310">
        <v>7226.64</v>
      </c>
      <c r="G310">
        <f t="array" ref="G310">SalesData!$I$2 - 'RFM Table'!B310</f>
        <v>648</v>
      </c>
      <c r="H310">
        <f t="array" ref="H310">COUNTIF(A:A,A310)</f>
        <v>7</v>
      </c>
      <c r="I310">
        <f t="array" ref="I310">SUMIF(A:A,A310,F:F)</f>
        <v>33778.21</v>
      </c>
      <c r="J310">
        <f t="array" ref="J310">5 - INT(5 * (RANK(G310,G:G, 1) - 1) / COUNT(G:G))</f>
        <v>1</v>
      </c>
      <c r="K310">
        <f t="array" ref="K310">INT(5 * (RANK(H310,H:H, 0) - 1) / COUNT(H:H)) + 1</f>
        <v>4</v>
      </c>
      <c r="L310">
        <f t="array" ref="L310">INT(5 * (RANK(I310,I:I, 0) - 1) / COUNT(I:I)) + 1</f>
        <v>3</v>
      </c>
      <c r="M310" t="str">
        <f t="shared" si="8"/>
        <v>143</v>
      </c>
      <c r="N310" s="6" t="str">
        <f t="shared" si="9"/>
        <v>At Risk</v>
      </c>
    </row>
    <row r="311" spans="1:14" x14ac:dyDescent="0.35">
      <c r="A311">
        <v>1187</v>
      </c>
      <c r="B311" s="4">
        <v>45488.375085336993</v>
      </c>
      <c r="C311" t="s">
        <v>10</v>
      </c>
      <c r="D311" t="s">
        <v>22</v>
      </c>
      <c r="E311" t="s">
        <v>23</v>
      </c>
      <c r="F311">
        <v>4657.91</v>
      </c>
      <c r="G311">
        <f t="array" ref="G311">SalesData!$I$2 - 'RFM Table'!B311</f>
        <v>648</v>
      </c>
      <c r="H311">
        <f t="array" ref="H311">COUNTIF(A:A,A311)</f>
        <v>11</v>
      </c>
      <c r="I311">
        <f t="array" ref="I311">SUMIF(A:A,A311,F:F)</f>
        <v>43247.159999999996</v>
      </c>
      <c r="J311">
        <f t="array" ref="J311">5 - INT(5 * (RANK(G311,G:G, 1) - 1) / COUNT(G:G))</f>
        <v>1</v>
      </c>
      <c r="K311">
        <f t="array" ref="K311">INT(5 * (RANK(H311,H:H, 0) - 1) / COUNT(H:H)) + 1</f>
        <v>1</v>
      </c>
      <c r="L311">
        <f t="array" ref="L311">INT(5 * (RANK(I311,I:I, 0) - 1) / COUNT(I:I)) + 1</f>
        <v>2</v>
      </c>
      <c r="M311" t="str">
        <f t="shared" si="8"/>
        <v>112</v>
      </c>
      <c r="N311" s="6" t="str">
        <f t="shared" si="9"/>
        <v>Lost</v>
      </c>
    </row>
    <row r="312" spans="1:14" x14ac:dyDescent="0.35">
      <c r="A312">
        <v>1378</v>
      </c>
      <c r="B312" s="4">
        <v>45488.375085336993</v>
      </c>
      <c r="C312" t="s">
        <v>14</v>
      </c>
      <c r="D312" t="s">
        <v>22</v>
      </c>
      <c r="E312" t="s">
        <v>25</v>
      </c>
      <c r="F312">
        <v>3898.24</v>
      </c>
      <c r="G312">
        <f t="array" ref="G312">SalesData!$I$2 - 'RFM Table'!B312</f>
        <v>648</v>
      </c>
      <c r="H312">
        <f t="array" ref="H312">COUNTIF(A:A,A312)</f>
        <v>11</v>
      </c>
      <c r="I312">
        <f t="array" ref="I312">SUMIF(A:A,A312,F:F)</f>
        <v>58842.799999999996</v>
      </c>
      <c r="J312">
        <f t="array" ref="J312">5 - INT(5 * (RANK(G312,G:G, 1) - 1) / COUNT(G:G))</f>
        <v>1</v>
      </c>
      <c r="K312">
        <f t="array" ref="K312">INT(5 * (RANK(H312,H:H, 0) - 1) / COUNT(H:H)) + 1</f>
        <v>1</v>
      </c>
      <c r="L312">
        <f t="array" ref="L312">INT(5 * (RANK(I312,I:I, 0) - 1) / COUNT(I:I)) + 1</f>
        <v>1</v>
      </c>
      <c r="M312" t="str">
        <f t="shared" si="8"/>
        <v>111</v>
      </c>
      <c r="N312" s="6" t="str">
        <f t="shared" si="9"/>
        <v>Lost</v>
      </c>
    </row>
    <row r="313" spans="1:14" x14ac:dyDescent="0.35">
      <c r="A313">
        <v>1206</v>
      </c>
      <c r="B313" s="4">
        <v>45488.375085336993</v>
      </c>
      <c r="C313" t="s">
        <v>7</v>
      </c>
      <c r="D313" t="s">
        <v>17</v>
      </c>
      <c r="E313" t="s">
        <v>24</v>
      </c>
      <c r="F313">
        <v>5812.49</v>
      </c>
      <c r="G313">
        <f t="array" ref="G313">SalesData!$I$2 - 'RFM Table'!B313</f>
        <v>648</v>
      </c>
      <c r="H313">
        <f t="array" ref="H313">COUNTIF(A:A,A313)</f>
        <v>5</v>
      </c>
      <c r="I313">
        <f t="array" ref="I313">SUMIF(A:A,A313,F:F)</f>
        <v>18720.68</v>
      </c>
      <c r="J313">
        <f t="array" ref="J313">5 - INT(5 * (RANK(G313,G:G, 1) - 1) / COUNT(G:G))</f>
        <v>1</v>
      </c>
      <c r="K313">
        <f t="array" ref="K313">INT(5 * (RANK(H313,H:H, 0) - 1) / COUNT(H:H)) + 1</f>
        <v>5</v>
      </c>
      <c r="L313">
        <f t="array" ref="L313">INT(5 * (RANK(I313,I:I, 0) - 1) / COUNT(I:I)) + 1</f>
        <v>5</v>
      </c>
      <c r="M313" t="str">
        <f t="shared" si="8"/>
        <v>155</v>
      </c>
      <c r="N313" s="6" t="str">
        <f t="shared" si="9"/>
        <v>At Risk</v>
      </c>
    </row>
    <row r="314" spans="1:14" x14ac:dyDescent="0.35">
      <c r="A314">
        <v>1336</v>
      </c>
      <c r="B314" s="4">
        <v>45488.375085336993</v>
      </c>
      <c r="C314" t="s">
        <v>11</v>
      </c>
      <c r="D314" t="s">
        <v>19</v>
      </c>
      <c r="E314" t="s">
        <v>24</v>
      </c>
      <c r="F314">
        <v>2449.85</v>
      </c>
      <c r="G314">
        <f t="array" ref="G314">SalesData!$I$2 - 'RFM Table'!B314</f>
        <v>648</v>
      </c>
      <c r="H314">
        <f t="array" ref="H314">COUNTIF(A:A,A314)</f>
        <v>6</v>
      </c>
      <c r="I314">
        <f t="array" ref="I314">SUMIF(A:A,A314,F:F)</f>
        <v>27182.68</v>
      </c>
      <c r="J314">
        <f t="array" ref="J314">5 - INT(5 * (RANK(G314,G:G, 1) - 1) / COUNT(G:G))</f>
        <v>1</v>
      </c>
      <c r="K314">
        <f t="array" ref="K314">INT(5 * (RANK(H314,H:H, 0) - 1) / COUNT(H:H)) + 1</f>
        <v>4</v>
      </c>
      <c r="L314">
        <f t="array" ref="L314">INT(5 * (RANK(I314,I:I, 0) - 1) / COUNT(I:I)) + 1</f>
        <v>4</v>
      </c>
      <c r="M314" t="str">
        <f t="shared" si="8"/>
        <v>144</v>
      </c>
      <c r="N314" s="6" t="str">
        <f t="shared" si="9"/>
        <v>At Risk</v>
      </c>
    </row>
    <row r="315" spans="1:14" x14ac:dyDescent="0.35">
      <c r="A315">
        <v>1115</v>
      </c>
      <c r="B315" s="4">
        <v>45488.375085336993</v>
      </c>
      <c r="C315" t="s">
        <v>15</v>
      </c>
      <c r="D315" t="s">
        <v>22</v>
      </c>
      <c r="E315" t="s">
        <v>25</v>
      </c>
      <c r="F315">
        <v>1709.76</v>
      </c>
      <c r="G315">
        <f t="array" ref="G315">SalesData!$I$2 - 'RFM Table'!B315</f>
        <v>648</v>
      </c>
      <c r="H315">
        <f t="array" ref="H315">COUNTIF(A:A,A315)</f>
        <v>6</v>
      </c>
      <c r="I315">
        <f t="array" ref="I315">SUMIF(A:A,A315,F:F)</f>
        <v>19413.5</v>
      </c>
      <c r="J315">
        <f t="array" ref="J315">5 - INT(5 * (RANK(G315,G:G, 1) - 1) / COUNT(G:G))</f>
        <v>1</v>
      </c>
      <c r="K315">
        <f t="array" ref="K315">INT(5 * (RANK(H315,H:H, 0) - 1) / COUNT(H:H)) + 1</f>
        <v>4</v>
      </c>
      <c r="L315">
        <f t="array" ref="L315">INT(5 * (RANK(I315,I:I, 0) - 1) / COUNT(I:I)) + 1</f>
        <v>5</v>
      </c>
      <c r="M315" t="str">
        <f t="shared" si="8"/>
        <v>145</v>
      </c>
      <c r="N315" s="6" t="str">
        <f t="shared" si="9"/>
        <v>At Risk</v>
      </c>
    </row>
    <row r="316" spans="1:14" x14ac:dyDescent="0.35">
      <c r="A316">
        <v>1378</v>
      </c>
      <c r="B316" s="4">
        <v>45489.375085336993</v>
      </c>
      <c r="C316" t="s">
        <v>13</v>
      </c>
      <c r="D316" t="s">
        <v>17</v>
      </c>
      <c r="E316" t="s">
        <v>23</v>
      </c>
      <c r="F316">
        <v>11973.75</v>
      </c>
      <c r="G316">
        <f t="array" ref="G316">SalesData!$I$2 - 'RFM Table'!B316</f>
        <v>647</v>
      </c>
      <c r="H316">
        <f t="array" ref="H316">COUNTIF(A:A,A316)</f>
        <v>11</v>
      </c>
      <c r="I316">
        <f t="array" ref="I316">SUMIF(A:A,A316,F:F)</f>
        <v>58842.799999999996</v>
      </c>
      <c r="J316">
        <f t="array" ref="J316">5 - INT(5 * (RANK(G316,G:G, 1) - 1) / COUNT(G:G))</f>
        <v>1</v>
      </c>
      <c r="K316">
        <f t="array" ref="K316">INT(5 * (RANK(H316,H:H, 0) - 1) / COUNT(H:H)) + 1</f>
        <v>1</v>
      </c>
      <c r="L316">
        <f t="array" ref="L316">INT(5 * (RANK(I316,I:I, 0) - 1) / COUNT(I:I)) + 1</f>
        <v>1</v>
      </c>
      <c r="M316" t="str">
        <f t="shared" si="8"/>
        <v>111</v>
      </c>
      <c r="N316" s="6" t="str">
        <f t="shared" si="9"/>
        <v>Lost</v>
      </c>
    </row>
    <row r="317" spans="1:14" x14ac:dyDescent="0.35">
      <c r="A317">
        <v>1114</v>
      </c>
      <c r="B317" s="4">
        <v>45489.375085336993</v>
      </c>
      <c r="C317" t="s">
        <v>10</v>
      </c>
      <c r="D317" t="s">
        <v>17</v>
      </c>
      <c r="E317" t="s">
        <v>24</v>
      </c>
      <c r="F317">
        <v>3132.18</v>
      </c>
      <c r="G317">
        <f t="array" ref="G317">SalesData!$I$2 - 'RFM Table'!B317</f>
        <v>647</v>
      </c>
      <c r="H317">
        <f t="array" ref="H317">COUNTIF(A:A,A317)</f>
        <v>5</v>
      </c>
      <c r="I317">
        <f t="array" ref="I317">SUMIF(A:A,A317,F:F)</f>
        <v>26334.340000000004</v>
      </c>
      <c r="J317">
        <f t="array" ref="J317">5 - INT(5 * (RANK(G317,G:G, 1) - 1) / COUNT(G:G))</f>
        <v>1</v>
      </c>
      <c r="K317">
        <f t="array" ref="K317">INT(5 * (RANK(H317,H:H, 0) - 1) / COUNT(H:H)) + 1</f>
        <v>5</v>
      </c>
      <c r="L317">
        <f t="array" ref="L317">INT(5 * (RANK(I317,I:I, 0) - 1) / COUNT(I:I)) + 1</f>
        <v>4</v>
      </c>
      <c r="M317" t="str">
        <f t="shared" si="8"/>
        <v>154</v>
      </c>
      <c r="N317" s="6" t="str">
        <f t="shared" si="9"/>
        <v>At Risk</v>
      </c>
    </row>
    <row r="318" spans="1:14" x14ac:dyDescent="0.35">
      <c r="A318">
        <v>1042</v>
      </c>
      <c r="B318" s="4">
        <v>45489.375085336993</v>
      </c>
      <c r="C318" t="s">
        <v>12</v>
      </c>
      <c r="D318" t="s">
        <v>20</v>
      </c>
      <c r="E318" t="s">
        <v>24</v>
      </c>
      <c r="F318">
        <v>3103.22</v>
      </c>
      <c r="G318">
        <f t="array" ref="G318">SalesData!$I$2 - 'RFM Table'!B318</f>
        <v>647</v>
      </c>
      <c r="H318">
        <f t="array" ref="H318">COUNTIF(A:A,A318)</f>
        <v>5</v>
      </c>
      <c r="I318">
        <f t="array" ref="I318">SUMIF(A:A,A318,F:F)</f>
        <v>18557.84</v>
      </c>
      <c r="J318">
        <f t="array" ref="J318">5 - INT(5 * (RANK(G318,G:G, 1) - 1) / COUNT(G:G))</f>
        <v>1</v>
      </c>
      <c r="K318">
        <f t="array" ref="K318">INT(5 * (RANK(H318,H:H, 0) - 1) / COUNT(H:H)) + 1</f>
        <v>5</v>
      </c>
      <c r="L318">
        <f t="array" ref="L318">INT(5 * (RANK(I318,I:I, 0) - 1) / COUNT(I:I)) + 1</f>
        <v>5</v>
      </c>
      <c r="M318" t="str">
        <f t="shared" si="8"/>
        <v>155</v>
      </c>
      <c r="N318" s="6" t="str">
        <f t="shared" si="9"/>
        <v>At Risk</v>
      </c>
    </row>
    <row r="319" spans="1:14" x14ac:dyDescent="0.35">
      <c r="A319">
        <v>1289</v>
      </c>
      <c r="B319" s="4">
        <v>45489.375085336993</v>
      </c>
      <c r="C319" t="s">
        <v>13</v>
      </c>
      <c r="D319" t="s">
        <v>18</v>
      </c>
      <c r="E319" t="s">
        <v>25</v>
      </c>
      <c r="F319">
        <v>4877.7</v>
      </c>
      <c r="G319">
        <f t="array" ref="G319">SalesData!$I$2 - 'RFM Table'!B319</f>
        <v>647</v>
      </c>
      <c r="H319">
        <f t="array" ref="H319">COUNTIF(A:A,A319)</f>
        <v>5</v>
      </c>
      <c r="I319">
        <f t="array" ref="I319">SUMIF(A:A,A319,F:F)</f>
        <v>21964.689999999995</v>
      </c>
      <c r="J319">
        <f t="array" ref="J319">5 - INT(5 * (RANK(G319,G:G, 1) - 1) / COUNT(G:G))</f>
        <v>1</v>
      </c>
      <c r="K319">
        <f t="array" ref="K319">INT(5 * (RANK(H319,H:H, 0) - 1) / COUNT(H:H)) + 1</f>
        <v>5</v>
      </c>
      <c r="L319">
        <f t="array" ref="L319">INT(5 * (RANK(I319,I:I, 0) - 1) / COUNT(I:I)) + 1</f>
        <v>4</v>
      </c>
      <c r="M319" t="str">
        <f t="shared" si="8"/>
        <v>154</v>
      </c>
      <c r="N319" s="6" t="str">
        <f t="shared" si="9"/>
        <v>At Risk</v>
      </c>
    </row>
    <row r="320" spans="1:14" x14ac:dyDescent="0.35">
      <c r="A320">
        <v>1024</v>
      </c>
      <c r="B320" s="4">
        <v>45489.375085336993</v>
      </c>
      <c r="C320" t="s">
        <v>8</v>
      </c>
      <c r="D320" t="s">
        <v>18</v>
      </c>
      <c r="E320" t="s">
        <v>25</v>
      </c>
      <c r="F320">
        <v>2974.35</v>
      </c>
      <c r="G320">
        <f t="array" ref="G320">SalesData!$I$2 - 'RFM Table'!B320</f>
        <v>647</v>
      </c>
      <c r="H320">
        <f t="array" ref="H320">COUNTIF(A:A,A320)</f>
        <v>12</v>
      </c>
      <c r="I320">
        <f t="array" ref="I320">SUMIF(A:A,A320,F:F)</f>
        <v>48008.159999999996</v>
      </c>
      <c r="J320">
        <f t="array" ref="J320">5 - INT(5 * (RANK(G320,G:G, 1) - 1) / COUNT(G:G))</f>
        <v>1</v>
      </c>
      <c r="K320">
        <f t="array" ref="K320">INT(5 * (RANK(H320,H:H, 0) - 1) / COUNT(H:H)) + 1</f>
        <v>1</v>
      </c>
      <c r="L320">
        <f t="array" ref="L320">INT(5 * (RANK(I320,I:I, 0) - 1) / COUNT(I:I)) + 1</f>
        <v>1</v>
      </c>
      <c r="M320" t="str">
        <f t="shared" si="8"/>
        <v>111</v>
      </c>
      <c r="N320" s="6" t="str">
        <f t="shared" si="9"/>
        <v>Lost</v>
      </c>
    </row>
    <row r="321" spans="1:14" x14ac:dyDescent="0.35">
      <c r="A321">
        <v>1248</v>
      </c>
      <c r="B321" s="4">
        <v>45490.375085336993</v>
      </c>
      <c r="C321" t="s">
        <v>6</v>
      </c>
      <c r="D321" t="s">
        <v>16</v>
      </c>
      <c r="E321" t="s">
        <v>25</v>
      </c>
      <c r="F321">
        <v>2088</v>
      </c>
      <c r="G321">
        <f t="array" ref="G321">SalesData!$I$2 - 'RFM Table'!B321</f>
        <v>646</v>
      </c>
      <c r="H321">
        <f t="array" ref="H321">COUNTIF(A:A,A321)</f>
        <v>7</v>
      </c>
      <c r="I321">
        <f t="array" ref="I321">SUMIF(A:A,A321,F:F)</f>
        <v>27796.990000000005</v>
      </c>
      <c r="J321">
        <f t="array" ref="J321">5 - INT(5 * (RANK(G321,G:G, 1) - 1) / COUNT(G:G))</f>
        <v>1</v>
      </c>
      <c r="K321">
        <f t="array" ref="K321">INT(5 * (RANK(H321,H:H, 0) - 1) / COUNT(H:H)) + 1</f>
        <v>4</v>
      </c>
      <c r="L321">
        <f t="array" ref="L321">INT(5 * (RANK(I321,I:I, 0) - 1) / COUNT(I:I)) + 1</f>
        <v>4</v>
      </c>
      <c r="M321" t="str">
        <f t="shared" si="8"/>
        <v>144</v>
      </c>
      <c r="N321" s="6" t="str">
        <f t="shared" si="9"/>
        <v>At Risk</v>
      </c>
    </row>
    <row r="322" spans="1:14" x14ac:dyDescent="0.35">
      <c r="A322">
        <v>1061</v>
      </c>
      <c r="B322" s="4">
        <v>45491.375085336993</v>
      </c>
      <c r="C322" t="s">
        <v>11</v>
      </c>
      <c r="D322" t="s">
        <v>20</v>
      </c>
      <c r="E322" t="s">
        <v>24</v>
      </c>
      <c r="F322">
        <v>1356.07</v>
      </c>
      <c r="G322">
        <f t="array" ref="G322">SalesData!$I$2 - 'RFM Table'!B322</f>
        <v>645</v>
      </c>
      <c r="H322">
        <f t="array" ref="H322">COUNTIF(A:A,A322)</f>
        <v>9</v>
      </c>
      <c r="I322">
        <f t="array" ref="I322">SUMIF(A:A,A322,F:F)</f>
        <v>24509.48</v>
      </c>
      <c r="J322">
        <f t="array" ref="J322">5 - INT(5 * (RANK(G322,G:G, 1) - 1) / COUNT(G:G))</f>
        <v>1</v>
      </c>
      <c r="K322">
        <f t="array" ref="K322">INT(5 * (RANK(H322,H:H, 0) - 1) / COUNT(H:H)) + 1</f>
        <v>2</v>
      </c>
      <c r="L322">
        <f t="array" ref="L322">INT(5 * (RANK(I322,I:I, 0) - 1) / COUNT(I:I)) + 1</f>
        <v>4</v>
      </c>
      <c r="M322" t="str">
        <f t="shared" si="8"/>
        <v>124</v>
      </c>
      <c r="N322" s="6" t="str">
        <f t="shared" si="9"/>
        <v>Can't Lose Them</v>
      </c>
    </row>
    <row r="323" spans="1:14" x14ac:dyDescent="0.35">
      <c r="A323">
        <v>1052</v>
      </c>
      <c r="B323" s="4">
        <v>45491.375085336993</v>
      </c>
      <c r="C323" t="s">
        <v>15</v>
      </c>
      <c r="D323" t="s">
        <v>21</v>
      </c>
      <c r="E323" t="s">
        <v>24</v>
      </c>
      <c r="F323">
        <v>8422.39</v>
      </c>
      <c r="G323">
        <f t="array" ref="G323">SalesData!$I$2 - 'RFM Table'!B323</f>
        <v>645</v>
      </c>
      <c r="H323">
        <f t="array" ref="H323">COUNTIF(A:A,A323)</f>
        <v>9</v>
      </c>
      <c r="I323">
        <f t="array" ref="I323">SUMIF(A:A,A323,F:F)</f>
        <v>35283.15</v>
      </c>
      <c r="J323">
        <f t="array" ref="J323">5 - INT(5 * (RANK(G323,G:G, 1) - 1) / COUNT(G:G))</f>
        <v>1</v>
      </c>
      <c r="K323">
        <f t="array" ref="K323">INT(5 * (RANK(H323,H:H, 0) - 1) / COUNT(H:H)) + 1</f>
        <v>2</v>
      </c>
      <c r="L323">
        <f t="array" ref="L323">INT(5 * (RANK(I323,I:I, 0) - 1) / COUNT(I:I)) + 1</f>
        <v>3</v>
      </c>
      <c r="M323" t="str">
        <f t="shared" ref="M323:M386" si="10">J323 &amp; K323 &amp; L323</f>
        <v>123</v>
      </c>
      <c r="N323" s="6" t="str">
        <f t="shared" ref="N323:N386" si="11">IF(AND(J323&gt;=4,K323&lt;=2),"New Customers",
IF(AND(J323&lt;=2,K323&gt;=3,L323&gt;=3),"At Risk",
IF(AND(J323&lt;=2,K323&lt;=2,L323&gt;=3),"Can't Lose Them",
IF(AND(J323&lt;=2,K323&lt;=2,L323&lt;=2),"Lost",
"Others"))))</f>
        <v>Can't Lose Them</v>
      </c>
    </row>
    <row r="324" spans="1:14" x14ac:dyDescent="0.35">
      <c r="A324">
        <v>1315</v>
      </c>
      <c r="B324" s="4">
        <v>45491.375085336993</v>
      </c>
      <c r="C324" t="s">
        <v>7</v>
      </c>
      <c r="D324" t="s">
        <v>16</v>
      </c>
      <c r="E324" t="s">
        <v>24</v>
      </c>
      <c r="F324">
        <v>6559.63</v>
      </c>
      <c r="G324">
        <f t="array" ref="G324">SalesData!$I$2 - 'RFM Table'!B324</f>
        <v>645</v>
      </c>
      <c r="H324">
        <f t="array" ref="H324">COUNTIF(A:A,A324)</f>
        <v>12</v>
      </c>
      <c r="I324">
        <f t="array" ref="I324">SUMIF(A:A,A324,F:F)</f>
        <v>42776.80999999999</v>
      </c>
      <c r="J324">
        <f t="array" ref="J324">5 - INT(5 * (RANK(G324,G:G, 1) - 1) / COUNT(G:G))</f>
        <v>1</v>
      </c>
      <c r="K324">
        <f t="array" ref="K324">INT(5 * (RANK(H324,H:H, 0) - 1) / COUNT(H:H)) + 1</f>
        <v>1</v>
      </c>
      <c r="L324">
        <f t="array" ref="L324">INT(5 * (RANK(I324,I:I, 0) - 1) / COUNT(I:I)) + 1</f>
        <v>2</v>
      </c>
      <c r="M324" t="str">
        <f t="shared" si="10"/>
        <v>112</v>
      </c>
      <c r="N324" s="6" t="str">
        <f t="shared" si="11"/>
        <v>Lost</v>
      </c>
    </row>
    <row r="325" spans="1:14" x14ac:dyDescent="0.35">
      <c r="A325">
        <v>1154</v>
      </c>
      <c r="B325" s="4">
        <v>45492.375085336993</v>
      </c>
      <c r="C325" t="s">
        <v>11</v>
      </c>
      <c r="D325" t="s">
        <v>20</v>
      </c>
      <c r="E325" t="s">
        <v>24</v>
      </c>
      <c r="F325">
        <v>6216.99</v>
      </c>
      <c r="G325">
        <f t="array" ref="G325">SalesData!$I$2 - 'RFM Table'!B325</f>
        <v>644</v>
      </c>
      <c r="H325">
        <f t="array" ref="H325">COUNTIF(A:A,A325)</f>
        <v>5</v>
      </c>
      <c r="I325">
        <f t="array" ref="I325">SUMIF(A:A,A325,F:F)</f>
        <v>20686.43</v>
      </c>
      <c r="J325">
        <f t="array" ref="J325">5 - INT(5 * (RANK(G325,G:G, 1) - 1) / COUNT(G:G))</f>
        <v>1</v>
      </c>
      <c r="K325">
        <f t="array" ref="K325">INT(5 * (RANK(H325,H:H, 0) - 1) / COUNT(H:H)) + 1</f>
        <v>5</v>
      </c>
      <c r="L325">
        <f t="array" ref="L325">INT(5 * (RANK(I325,I:I, 0) - 1) / COUNT(I:I)) + 1</f>
        <v>5</v>
      </c>
      <c r="M325" t="str">
        <f t="shared" si="10"/>
        <v>155</v>
      </c>
      <c r="N325" s="6" t="str">
        <f t="shared" si="11"/>
        <v>At Risk</v>
      </c>
    </row>
    <row r="326" spans="1:14" x14ac:dyDescent="0.35">
      <c r="A326">
        <v>1257</v>
      </c>
      <c r="B326" s="4">
        <v>45492.375085336993</v>
      </c>
      <c r="C326" t="s">
        <v>14</v>
      </c>
      <c r="D326" t="s">
        <v>16</v>
      </c>
      <c r="E326" t="s">
        <v>23</v>
      </c>
      <c r="F326">
        <v>1072.6199999999999</v>
      </c>
      <c r="G326">
        <f t="array" ref="G326">SalesData!$I$2 - 'RFM Table'!B326</f>
        <v>644</v>
      </c>
      <c r="H326">
        <f t="array" ref="H326">COUNTIF(A:A,A326)</f>
        <v>8</v>
      </c>
      <c r="I326">
        <f t="array" ref="I326">SUMIF(A:A,A326,F:F)</f>
        <v>17550.599999999999</v>
      </c>
      <c r="J326">
        <f t="array" ref="J326">5 - INT(5 * (RANK(G326,G:G, 1) - 1) / COUNT(G:G))</f>
        <v>1</v>
      </c>
      <c r="K326">
        <f t="array" ref="K326">INT(5 * (RANK(H326,H:H, 0) - 1) / COUNT(H:H)) + 1</f>
        <v>3</v>
      </c>
      <c r="L326">
        <f t="array" ref="L326">INT(5 * (RANK(I326,I:I, 0) - 1) / COUNT(I:I)) + 1</f>
        <v>5</v>
      </c>
      <c r="M326" t="str">
        <f t="shared" si="10"/>
        <v>135</v>
      </c>
      <c r="N326" s="6" t="str">
        <f t="shared" si="11"/>
        <v>At Risk</v>
      </c>
    </row>
    <row r="327" spans="1:14" x14ac:dyDescent="0.35">
      <c r="A327">
        <v>1057</v>
      </c>
      <c r="B327" s="4">
        <v>45492.375085336993</v>
      </c>
      <c r="C327" t="s">
        <v>10</v>
      </c>
      <c r="D327" t="s">
        <v>16</v>
      </c>
      <c r="E327" t="s">
        <v>25</v>
      </c>
      <c r="F327">
        <v>4471.58</v>
      </c>
      <c r="G327">
        <f t="array" ref="G327">SalesData!$I$2 - 'RFM Table'!B327</f>
        <v>644</v>
      </c>
      <c r="H327">
        <f t="array" ref="H327">COUNTIF(A:A,A327)</f>
        <v>9</v>
      </c>
      <c r="I327">
        <f t="array" ref="I327">SUMIF(A:A,A327,F:F)</f>
        <v>32930.549999999996</v>
      </c>
      <c r="J327">
        <f t="array" ref="J327">5 - INT(5 * (RANK(G327,G:G, 1) - 1) / COUNT(G:G))</f>
        <v>1</v>
      </c>
      <c r="K327">
        <f t="array" ref="K327">INT(5 * (RANK(H327,H:H, 0) - 1) / COUNT(H:H)) + 1</f>
        <v>2</v>
      </c>
      <c r="L327">
        <f t="array" ref="L327">INT(5 * (RANK(I327,I:I, 0) - 1) / COUNT(I:I)) + 1</f>
        <v>3</v>
      </c>
      <c r="M327" t="str">
        <f t="shared" si="10"/>
        <v>123</v>
      </c>
      <c r="N327" s="6" t="str">
        <f t="shared" si="11"/>
        <v>Can't Lose Them</v>
      </c>
    </row>
    <row r="328" spans="1:14" x14ac:dyDescent="0.35">
      <c r="A328">
        <v>1300</v>
      </c>
      <c r="B328" s="4">
        <v>45492.375085336993</v>
      </c>
      <c r="C328" t="s">
        <v>13</v>
      </c>
      <c r="D328" t="s">
        <v>16</v>
      </c>
      <c r="E328" t="s">
        <v>25</v>
      </c>
      <c r="F328">
        <v>3690</v>
      </c>
      <c r="G328">
        <f t="array" ref="G328">SalesData!$I$2 - 'RFM Table'!B328</f>
        <v>644</v>
      </c>
      <c r="H328">
        <f t="array" ref="H328">COUNTIF(A:A,A328)</f>
        <v>9</v>
      </c>
      <c r="I328">
        <f t="array" ref="I328">SUMIF(A:A,A328,F:F)</f>
        <v>34007.68</v>
      </c>
      <c r="J328">
        <f t="array" ref="J328">5 - INT(5 * (RANK(G328,G:G, 1) - 1) / COUNT(G:G))</f>
        <v>1</v>
      </c>
      <c r="K328">
        <f t="array" ref="K328">INT(5 * (RANK(H328,H:H, 0) - 1) / COUNT(H:H)) + 1</f>
        <v>2</v>
      </c>
      <c r="L328">
        <f t="array" ref="L328">INT(5 * (RANK(I328,I:I, 0) - 1) / COUNT(I:I)) + 1</f>
        <v>3</v>
      </c>
      <c r="M328" t="str">
        <f t="shared" si="10"/>
        <v>123</v>
      </c>
      <c r="N328" s="6" t="str">
        <f t="shared" si="11"/>
        <v>Can't Lose Them</v>
      </c>
    </row>
    <row r="329" spans="1:14" x14ac:dyDescent="0.35">
      <c r="A329">
        <v>1300</v>
      </c>
      <c r="B329" s="4">
        <v>45493.375085336993</v>
      </c>
      <c r="C329" t="s">
        <v>8</v>
      </c>
      <c r="D329" t="s">
        <v>18</v>
      </c>
      <c r="E329" t="s">
        <v>24</v>
      </c>
      <c r="F329">
        <v>9389.9699999999993</v>
      </c>
      <c r="G329">
        <f t="array" ref="G329">SalesData!$I$2 - 'RFM Table'!B329</f>
        <v>643</v>
      </c>
      <c r="H329">
        <f t="array" ref="H329">COUNTIF(A:A,A329)</f>
        <v>9</v>
      </c>
      <c r="I329">
        <f t="array" ref="I329">SUMIF(A:A,A329,F:F)</f>
        <v>34007.68</v>
      </c>
      <c r="J329">
        <f t="array" ref="J329">5 - INT(5 * (RANK(G329,G:G, 1) - 1) / COUNT(G:G))</f>
        <v>1</v>
      </c>
      <c r="K329">
        <f t="array" ref="K329">INT(5 * (RANK(H329,H:H, 0) - 1) / COUNT(H:H)) + 1</f>
        <v>2</v>
      </c>
      <c r="L329">
        <f t="array" ref="L329">INT(5 * (RANK(I329,I:I, 0) - 1) / COUNT(I:I)) + 1</f>
        <v>3</v>
      </c>
      <c r="M329" t="str">
        <f t="shared" si="10"/>
        <v>123</v>
      </c>
      <c r="N329" s="6" t="str">
        <f t="shared" si="11"/>
        <v>Can't Lose Them</v>
      </c>
    </row>
    <row r="330" spans="1:14" x14ac:dyDescent="0.35">
      <c r="A330">
        <v>1215</v>
      </c>
      <c r="B330" s="4">
        <v>45493.375085336993</v>
      </c>
      <c r="C330" t="s">
        <v>10</v>
      </c>
      <c r="D330" t="s">
        <v>18</v>
      </c>
      <c r="E330" t="s">
        <v>23</v>
      </c>
      <c r="F330">
        <v>7551.75</v>
      </c>
      <c r="G330">
        <f t="array" ref="G330">SalesData!$I$2 - 'RFM Table'!B330</f>
        <v>643</v>
      </c>
      <c r="H330">
        <f t="array" ref="H330">COUNTIF(A:A,A330)</f>
        <v>9</v>
      </c>
      <c r="I330">
        <f t="array" ref="I330">SUMIF(A:A,A330,F:F)</f>
        <v>26752.640000000003</v>
      </c>
      <c r="J330">
        <f t="array" ref="J330">5 - INT(5 * (RANK(G330,G:G, 1) - 1) / COUNT(G:G))</f>
        <v>1</v>
      </c>
      <c r="K330">
        <f t="array" ref="K330">INT(5 * (RANK(H330,H:H, 0) - 1) / COUNT(H:H)) + 1</f>
        <v>2</v>
      </c>
      <c r="L330">
        <f t="array" ref="L330">INT(5 * (RANK(I330,I:I, 0) - 1) / COUNT(I:I)) + 1</f>
        <v>4</v>
      </c>
      <c r="M330" t="str">
        <f t="shared" si="10"/>
        <v>124</v>
      </c>
      <c r="N330" s="6" t="str">
        <f t="shared" si="11"/>
        <v>Can't Lose Them</v>
      </c>
    </row>
    <row r="331" spans="1:14" x14ac:dyDescent="0.35">
      <c r="A331">
        <v>1292</v>
      </c>
      <c r="B331" s="4">
        <v>45493.375085336993</v>
      </c>
      <c r="C331" t="s">
        <v>11</v>
      </c>
      <c r="D331" t="s">
        <v>17</v>
      </c>
      <c r="E331" t="s">
        <v>24</v>
      </c>
      <c r="F331">
        <v>2583.4299999999998</v>
      </c>
      <c r="G331">
        <f t="array" ref="G331">SalesData!$I$2 - 'RFM Table'!B331</f>
        <v>643</v>
      </c>
      <c r="H331">
        <f t="array" ref="H331">COUNTIF(A:A,A331)</f>
        <v>15</v>
      </c>
      <c r="I331">
        <f t="array" ref="I331">SUMIF(A:A,A331,F:F)</f>
        <v>49637.999999999993</v>
      </c>
      <c r="J331">
        <f t="array" ref="J331">5 - INT(5 * (RANK(G331,G:G, 1) - 1) / COUNT(G:G))</f>
        <v>1</v>
      </c>
      <c r="K331">
        <f t="array" ref="K331">INT(5 * (RANK(H331,H:H, 0) - 1) / COUNT(H:H)) + 1</f>
        <v>1</v>
      </c>
      <c r="L331">
        <f t="array" ref="L331">INT(5 * (RANK(I331,I:I, 0) - 1) / COUNT(I:I)) + 1</f>
        <v>1</v>
      </c>
      <c r="M331" t="str">
        <f t="shared" si="10"/>
        <v>111</v>
      </c>
      <c r="N331" s="6" t="str">
        <f t="shared" si="11"/>
        <v>Lost</v>
      </c>
    </row>
    <row r="332" spans="1:14" x14ac:dyDescent="0.35">
      <c r="A332">
        <v>1008</v>
      </c>
      <c r="B332" s="4">
        <v>45493.375085336993</v>
      </c>
      <c r="C332" t="s">
        <v>10</v>
      </c>
      <c r="D332" t="s">
        <v>18</v>
      </c>
      <c r="E332" t="s">
        <v>23</v>
      </c>
      <c r="F332">
        <v>542.91</v>
      </c>
      <c r="G332">
        <f t="array" ref="G332">SalesData!$I$2 - 'RFM Table'!B332</f>
        <v>643</v>
      </c>
      <c r="H332">
        <f t="array" ref="H332">COUNTIF(A:A,A332)</f>
        <v>9</v>
      </c>
      <c r="I332">
        <f t="array" ref="I332">SUMIF(A:A,A332,F:F)</f>
        <v>32548.37</v>
      </c>
      <c r="J332">
        <f t="array" ref="J332">5 - INT(5 * (RANK(G332,G:G, 1) - 1) / COUNT(G:G))</f>
        <v>1</v>
      </c>
      <c r="K332">
        <f t="array" ref="K332">INT(5 * (RANK(H332,H:H, 0) - 1) / COUNT(H:H)) + 1</f>
        <v>2</v>
      </c>
      <c r="L332">
        <f t="array" ref="L332">INT(5 * (RANK(I332,I:I, 0) - 1) / COUNT(I:I)) + 1</f>
        <v>3</v>
      </c>
      <c r="M332" t="str">
        <f t="shared" si="10"/>
        <v>123</v>
      </c>
      <c r="N332" s="6" t="str">
        <f t="shared" si="11"/>
        <v>Can't Lose Them</v>
      </c>
    </row>
    <row r="333" spans="1:14" x14ac:dyDescent="0.35">
      <c r="A333">
        <v>1279</v>
      </c>
      <c r="B333" s="4">
        <v>45493.375085336993</v>
      </c>
      <c r="C333" t="s">
        <v>7</v>
      </c>
      <c r="D333" t="s">
        <v>20</v>
      </c>
      <c r="E333" t="s">
        <v>25</v>
      </c>
      <c r="F333">
        <v>5294.88</v>
      </c>
      <c r="G333">
        <f t="array" ref="G333">SalesData!$I$2 - 'RFM Table'!B333</f>
        <v>643</v>
      </c>
      <c r="H333">
        <f t="array" ref="H333">COUNTIF(A:A,A333)</f>
        <v>8</v>
      </c>
      <c r="I333">
        <f t="array" ref="I333">SUMIF(A:A,A333,F:F)</f>
        <v>28833.759999999998</v>
      </c>
      <c r="J333">
        <f t="array" ref="J333">5 - INT(5 * (RANK(G333,G:G, 1) - 1) / COUNT(G:G))</f>
        <v>1</v>
      </c>
      <c r="K333">
        <f t="array" ref="K333">INT(5 * (RANK(H333,H:H, 0) - 1) / COUNT(H:H)) + 1</f>
        <v>3</v>
      </c>
      <c r="L333">
        <f t="array" ref="L333">INT(5 * (RANK(I333,I:I, 0) - 1) / COUNT(I:I)) + 1</f>
        <v>4</v>
      </c>
      <c r="M333" t="str">
        <f t="shared" si="10"/>
        <v>134</v>
      </c>
      <c r="N333" s="6" t="str">
        <f t="shared" si="11"/>
        <v>At Risk</v>
      </c>
    </row>
    <row r="334" spans="1:14" x14ac:dyDescent="0.35">
      <c r="A334">
        <v>1212</v>
      </c>
      <c r="B334" s="4">
        <v>45494.375085336993</v>
      </c>
      <c r="C334" t="s">
        <v>9</v>
      </c>
      <c r="D334" t="s">
        <v>21</v>
      </c>
      <c r="E334" t="s">
        <v>23</v>
      </c>
      <c r="F334">
        <v>3632.2</v>
      </c>
      <c r="G334">
        <f t="array" ref="G334">SalesData!$I$2 - 'RFM Table'!B334</f>
        <v>642</v>
      </c>
      <c r="H334">
        <f t="array" ref="H334">COUNTIF(A:A,A334)</f>
        <v>9</v>
      </c>
      <c r="I334">
        <f t="array" ref="I334">SUMIF(A:A,A334,F:F)</f>
        <v>33311.4</v>
      </c>
      <c r="J334">
        <f t="array" ref="J334">5 - INT(5 * (RANK(G334,G:G, 1) - 1) / COUNT(G:G))</f>
        <v>1</v>
      </c>
      <c r="K334">
        <f t="array" ref="K334">INT(5 * (RANK(H334,H:H, 0) - 1) / COUNT(H:H)) + 1</f>
        <v>2</v>
      </c>
      <c r="L334">
        <f t="array" ref="L334">INT(5 * (RANK(I334,I:I, 0) - 1) / COUNT(I:I)) + 1</f>
        <v>3</v>
      </c>
      <c r="M334" t="str">
        <f t="shared" si="10"/>
        <v>123</v>
      </c>
      <c r="N334" s="6" t="str">
        <f t="shared" si="11"/>
        <v>Can't Lose Them</v>
      </c>
    </row>
    <row r="335" spans="1:14" x14ac:dyDescent="0.35">
      <c r="A335">
        <v>1103</v>
      </c>
      <c r="B335" s="4">
        <v>45494.375085336993</v>
      </c>
      <c r="C335" t="s">
        <v>11</v>
      </c>
      <c r="D335" t="s">
        <v>21</v>
      </c>
      <c r="E335" t="s">
        <v>24</v>
      </c>
      <c r="F335">
        <v>6745.87</v>
      </c>
      <c r="G335">
        <f t="array" ref="G335">SalesData!$I$2 - 'RFM Table'!B335</f>
        <v>642</v>
      </c>
      <c r="H335">
        <f t="array" ref="H335">COUNTIF(A:A,A335)</f>
        <v>10</v>
      </c>
      <c r="I335">
        <f t="array" ref="I335">SUMIF(A:A,A335,F:F)</f>
        <v>44305.600000000006</v>
      </c>
      <c r="J335">
        <f t="array" ref="J335">5 - INT(5 * (RANK(G335,G:G, 1) - 1) / COUNT(G:G))</f>
        <v>1</v>
      </c>
      <c r="K335">
        <f t="array" ref="K335">INT(5 * (RANK(H335,H:H, 0) - 1) / COUNT(H:H)) + 1</f>
        <v>2</v>
      </c>
      <c r="L335">
        <f t="array" ref="L335">INT(5 * (RANK(I335,I:I, 0) - 1) / COUNT(I:I)) + 1</f>
        <v>2</v>
      </c>
      <c r="M335" t="str">
        <f t="shared" si="10"/>
        <v>122</v>
      </c>
      <c r="N335" s="6" t="str">
        <f t="shared" si="11"/>
        <v>Lost</v>
      </c>
    </row>
    <row r="336" spans="1:14" x14ac:dyDescent="0.35">
      <c r="A336">
        <v>1129</v>
      </c>
      <c r="B336" s="4">
        <v>45494.375085336993</v>
      </c>
      <c r="C336" t="s">
        <v>14</v>
      </c>
      <c r="D336" t="s">
        <v>21</v>
      </c>
      <c r="E336" t="s">
        <v>25</v>
      </c>
      <c r="F336">
        <v>4037.88</v>
      </c>
      <c r="G336">
        <f t="array" ref="G336">SalesData!$I$2 - 'RFM Table'!B336</f>
        <v>642</v>
      </c>
      <c r="H336">
        <f t="array" ref="H336">COUNTIF(A:A,A336)</f>
        <v>14</v>
      </c>
      <c r="I336">
        <f t="array" ref="I336">SUMIF(A:A,A336,F:F)</f>
        <v>53433.220000000008</v>
      </c>
      <c r="J336">
        <f t="array" ref="J336">5 - INT(5 * (RANK(G336,G:G, 1) - 1) / COUNT(G:G))</f>
        <v>1</v>
      </c>
      <c r="K336">
        <f t="array" ref="K336">INT(5 * (RANK(H336,H:H, 0) - 1) / COUNT(H:H)) + 1</f>
        <v>1</v>
      </c>
      <c r="L336">
        <f t="array" ref="L336">INT(5 * (RANK(I336,I:I, 0) - 1) / COUNT(I:I)) + 1</f>
        <v>1</v>
      </c>
      <c r="M336" t="str">
        <f t="shared" si="10"/>
        <v>111</v>
      </c>
      <c r="N336" s="6" t="str">
        <f t="shared" si="11"/>
        <v>Lost</v>
      </c>
    </row>
    <row r="337" spans="1:14" x14ac:dyDescent="0.35">
      <c r="A337">
        <v>1000</v>
      </c>
      <c r="B337" s="4">
        <v>45495.375085336993</v>
      </c>
      <c r="C337" t="s">
        <v>10</v>
      </c>
      <c r="D337" t="s">
        <v>17</v>
      </c>
      <c r="E337" t="s">
        <v>24</v>
      </c>
      <c r="F337">
        <v>7698.96</v>
      </c>
      <c r="G337">
        <f t="array" ref="G337">SalesData!$I$2 - 'RFM Table'!B337</f>
        <v>641</v>
      </c>
      <c r="H337">
        <f t="array" ref="H337">COUNTIF(A:A,A337)</f>
        <v>11</v>
      </c>
      <c r="I337">
        <f t="array" ref="I337">SUMIF(A:A,A337,F:F)</f>
        <v>62566.770000000004</v>
      </c>
      <c r="J337">
        <f t="array" ref="J337">5 - INT(5 * (RANK(G337,G:G, 1) - 1) / COUNT(G:G))</f>
        <v>1</v>
      </c>
      <c r="K337">
        <f t="array" ref="K337">INT(5 * (RANK(H337,H:H, 0) - 1) / COUNT(H:H)) + 1</f>
        <v>1</v>
      </c>
      <c r="L337">
        <f t="array" ref="L337">INT(5 * (RANK(I337,I:I, 0) - 1) / COUNT(I:I)) + 1</f>
        <v>1</v>
      </c>
      <c r="M337" t="str">
        <f t="shared" si="10"/>
        <v>111</v>
      </c>
      <c r="N337" s="6" t="str">
        <f t="shared" si="11"/>
        <v>Lost</v>
      </c>
    </row>
    <row r="338" spans="1:14" x14ac:dyDescent="0.35">
      <c r="A338">
        <v>1085</v>
      </c>
      <c r="B338" s="4">
        <v>45495.375085336993</v>
      </c>
      <c r="C338" t="s">
        <v>8</v>
      </c>
      <c r="D338" t="s">
        <v>18</v>
      </c>
      <c r="E338" t="s">
        <v>23</v>
      </c>
      <c r="F338">
        <v>4433.66</v>
      </c>
      <c r="G338">
        <f t="array" ref="G338">SalesData!$I$2 - 'RFM Table'!B338</f>
        <v>641</v>
      </c>
      <c r="H338">
        <f t="array" ref="H338">COUNTIF(A:A,A338)</f>
        <v>10</v>
      </c>
      <c r="I338">
        <f t="array" ref="I338">SUMIF(A:A,A338,F:F)</f>
        <v>50122.659999999996</v>
      </c>
      <c r="J338">
        <f t="array" ref="J338">5 - INT(5 * (RANK(G338,G:G, 1) - 1) / COUNT(G:G))</f>
        <v>1</v>
      </c>
      <c r="K338">
        <f t="array" ref="K338">INT(5 * (RANK(H338,H:H, 0) - 1) / COUNT(H:H)) + 1</f>
        <v>2</v>
      </c>
      <c r="L338">
        <f t="array" ref="L338">INT(5 * (RANK(I338,I:I, 0) - 1) / COUNT(I:I)) + 1</f>
        <v>1</v>
      </c>
      <c r="M338" t="str">
        <f t="shared" si="10"/>
        <v>121</v>
      </c>
      <c r="N338" s="6" t="str">
        <f t="shared" si="11"/>
        <v>Lost</v>
      </c>
    </row>
    <row r="339" spans="1:14" x14ac:dyDescent="0.35">
      <c r="A339">
        <v>1135</v>
      </c>
      <c r="B339" s="4">
        <v>45495.375085336993</v>
      </c>
      <c r="C339" t="s">
        <v>10</v>
      </c>
      <c r="D339" t="s">
        <v>22</v>
      </c>
      <c r="E339" t="s">
        <v>23</v>
      </c>
      <c r="F339">
        <v>2778.16</v>
      </c>
      <c r="G339">
        <f t="array" ref="G339">SalesData!$I$2 - 'RFM Table'!B339</f>
        <v>641</v>
      </c>
      <c r="H339">
        <f t="array" ref="H339">COUNTIF(A:A,A339)</f>
        <v>10</v>
      </c>
      <c r="I339">
        <f t="array" ref="I339">SUMIF(A:A,A339,F:F)</f>
        <v>31217.780000000002</v>
      </c>
      <c r="J339">
        <f t="array" ref="J339">5 - INT(5 * (RANK(G339,G:G, 1) - 1) / COUNT(G:G))</f>
        <v>1</v>
      </c>
      <c r="K339">
        <f t="array" ref="K339">INT(5 * (RANK(H339,H:H, 0) - 1) / COUNT(H:H)) + 1</f>
        <v>2</v>
      </c>
      <c r="L339">
        <f t="array" ref="L339">INT(5 * (RANK(I339,I:I, 0) - 1) / COUNT(I:I)) + 1</f>
        <v>3</v>
      </c>
      <c r="M339" t="str">
        <f t="shared" si="10"/>
        <v>123</v>
      </c>
      <c r="N339" s="6" t="str">
        <f t="shared" si="11"/>
        <v>Can't Lose Them</v>
      </c>
    </row>
    <row r="340" spans="1:14" x14ac:dyDescent="0.35">
      <c r="A340">
        <v>1107</v>
      </c>
      <c r="B340" s="4">
        <v>45495.375085336993</v>
      </c>
      <c r="C340" t="s">
        <v>10</v>
      </c>
      <c r="D340" t="s">
        <v>20</v>
      </c>
      <c r="E340" t="s">
        <v>24</v>
      </c>
      <c r="F340">
        <v>316.27999999999997</v>
      </c>
      <c r="G340">
        <f t="array" ref="G340">SalesData!$I$2 - 'RFM Table'!B340</f>
        <v>641</v>
      </c>
      <c r="H340">
        <f t="array" ref="H340">COUNTIF(A:A,A340)</f>
        <v>9</v>
      </c>
      <c r="I340">
        <f t="array" ref="I340">SUMIF(A:A,A340,F:F)</f>
        <v>56095.37999999999</v>
      </c>
      <c r="J340">
        <f t="array" ref="J340">5 - INT(5 * (RANK(G340,G:G, 1) - 1) / COUNT(G:G))</f>
        <v>1</v>
      </c>
      <c r="K340">
        <f t="array" ref="K340">INT(5 * (RANK(H340,H:H, 0) - 1) / COUNT(H:H)) + 1</f>
        <v>2</v>
      </c>
      <c r="L340">
        <f t="array" ref="L340">INT(5 * (RANK(I340,I:I, 0) - 1) / COUNT(I:I)) + 1</f>
        <v>1</v>
      </c>
      <c r="M340" t="str">
        <f t="shared" si="10"/>
        <v>121</v>
      </c>
      <c r="N340" s="6" t="str">
        <f t="shared" si="11"/>
        <v>Lost</v>
      </c>
    </row>
    <row r="341" spans="1:14" x14ac:dyDescent="0.35">
      <c r="A341">
        <v>1000</v>
      </c>
      <c r="B341" s="4">
        <v>45496.375085336993</v>
      </c>
      <c r="C341" t="s">
        <v>14</v>
      </c>
      <c r="D341" t="s">
        <v>22</v>
      </c>
      <c r="E341" t="s">
        <v>23</v>
      </c>
      <c r="F341">
        <v>1241.18</v>
      </c>
      <c r="G341">
        <f t="array" ref="G341">SalesData!$I$2 - 'RFM Table'!B341</f>
        <v>640</v>
      </c>
      <c r="H341">
        <f t="array" ref="H341">COUNTIF(A:A,A341)</f>
        <v>11</v>
      </c>
      <c r="I341">
        <f t="array" ref="I341">SUMIF(A:A,A341,F:F)</f>
        <v>62566.770000000004</v>
      </c>
      <c r="J341">
        <f t="array" ref="J341">5 - INT(5 * (RANK(G341,G:G, 1) - 1) / COUNT(G:G))</f>
        <v>1</v>
      </c>
      <c r="K341">
        <f t="array" ref="K341">INT(5 * (RANK(H341,H:H, 0) - 1) / COUNT(H:H)) + 1</f>
        <v>1</v>
      </c>
      <c r="L341">
        <f t="array" ref="L341">INT(5 * (RANK(I341,I:I, 0) - 1) / COUNT(I:I)) + 1</f>
        <v>1</v>
      </c>
      <c r="M341" t="str">
        <f t="shared" si="10"/>
        <v>111</v>
      </c>
      <c r="N341" s="6" t="str">
        <f t="shared" si="11"/>
        <v>Lost</v>
      </c>
    </row>
    <row r="342" spans="1:14" x14ac:dyDescent="0.35">
      <c r="A342">
        <v>1346</v>
      </c>
      <c r="B342" s="4">
        <v>45496.375085336993</v>
      </c>
      <c r="C342" t="s">
        <v>11</v>
      </c>
      <c r="D342" t="s">
        <v>21</v>
      </c>
      <c r="E342" t="s">
        <v>23</v>
      </c>
      <c r="F342">
        <v>3880.86</v>
      </c>
      <c r="G342">
        <f t="array" ref="G342">SalesData!$I$2 - 'RFM Table'!B342</f>
        <v>640</v>
      </c>
      <c r="H342">
        <f t="array" ref="H342">COUNTIF(A:A,A342)</f>
        <v>6</v>
      </c>
      <c r="I342">
        <f t="array" ref="I342">SUMIF(A:A,A342,F:F)</f>
        <v>23326.76</v>
      </c>
      <c r="J342">
        <f t="array" ref="J342">5 - INT(5 * (RANK(G342,G:G, 1) - 1) / COUNT(G:G))</f>
        <v>1</v>
      </c>
      <c r="K342">
        <f t="array" ref="K342">INT(5 * (RANK(H342,H:H, 0) - 1) / COUNT(H:H)) + 1</f>
        <v>4</v>
      </c>
      <c r="L342">
        <f t="array" ref="L342">INT(5 * (RANK(I342,I:I, 0) - 1) / COUNT(I:I)) + 1</f>
        <v>4</v>
      </c>
      <c r="M342" t="str">
        <f t="shared" si="10"/>
        <v>144</v>
      </c>
      <c r="N342" s="6" t="str">
        <f t="shared" si="11"/>
        <v>At Risk</v>
      </c>
    </row>
    <row r="343" spans="1:14" x14ac:dyDescent="0.35">
      <c r="A343">
        <v>1331</v>
      </c>
      <c r="B343" s="4">
        <v>45496.375085336993</v>
      </c>
      <c r="C343" t="s">
        <v>10</v>
      </c>
      <c r="D343" t="s">
        <v>17</v>
      </c>
      <c r="E343" t="s">
        <v>23</v>
      </c>
      <c r="F343">
        <v>4155.68</v>
      </c>
      <c r="G343">
        <f t="array" ref="G343">SalesData!$I$2 - 'RFM Table'!B343</f>
        <v>640</v>
      </c>
      <c r="H343">
        <f t="array" ref="H343">COUNTIF(A:A,A343)</f>
        <v>4</v>
      </c>
      <c r="I343">
        <f t="array" ref="I343">SUMIF(A:A,A343,F:F)</f>
        <v>21830.14</v>
      </c>
      <c r="J343">
        <f t="array" ref="J343">5 - INT(5 * (RANK(G343,G:G, 1) - 1) / COUNT(G:G))</f>
        <v>1</v>
      </c>
      <c r="K343">
        <f t="array" ref="K343">INT(5 * (RANK(H343,H:H, 0) - 1) / COUNT(H:H)) + 1</f>
        <v>5</v>
      </c>
      <c r="L343">
        <f t="array" ref="L343">INT(5 * (RANK(I343,I:I, 0) - 1) / COUNT(I:I)) + 1</f>
        <v>4</v>
      </c>
      <c r="M343" t="str">
        <f t="shared" si="10"/>
        <v>154</v>
      </c>
      <c r="N343" s="6" t="str">
        <f t="shared" si="11"/>
        <v>At Risk</v>
      </c>
    </row>
    <row r="344" spans="1:14" x14ac:dyDescent="0.35">
      <c r="A344">
        <v>1006</v>
      </c>
      <c r="B344" s="4">
        <v>45496.375085336993</v>
      </c>
      <c r="C344" t="s">
        <v>14</v>
      </c>
      <c r="D344" t="s">
        <v>22</v>
      </c>
      <c r="E344" t="s">
        <v>23</v>
      </c>
      <c r="F344">
        <v>7055.43</v>
      </c>
      <c r="G344">
        <f t="array" ref="G344">SalesData!$I$2 - 'RFM Table'!B344</f>
        <v>640</v>
      </c>
      <c r="H344">
        <f t="array" ref="H344">COUNTIF(A:A,A344)</f>
        <v>9</v>
      </c>
      <c r="I344">
        <f t="array" ref="I344">SUMIF(A:A,A344,F:F)</f>
        <v>44812.989999999991</v>
      </c>
      <c r="J344">
        <f t="array" ref="J344">5 - INT(5 * (RANK(G344,G:G, 1) - 1) / COUNT(G:G))</f>
        <v>1</v>
      </c>
      <c r="K344">
        <f t="array" ref="K344">INT(5 * (RANK(H344,H:H, 0) - 1) / COUNT(H:H)) + 1</f>
        <v>2</v>
      </c>
      <c r="L344">
        <f t="array" ref="L344">INT(5 * (RANK(I344,I:I, 0) - 1) / COUNT(I:I)) + 1</f>
        <v>2</v>
      </c>
      <c r="M344" t="str">
        <f t="shared" si="10"/>
        <v>122</v>
      </c>
      <c r="N344" s="6" t="str">
        <f t="shared" si="11"/>
        <v>Lost</v>
      </c>
    </row>
    <row r="345" spans="1:14" x14ac:dyDescent="0.35">
      <c r="A345">
        <v>1397</v>
      </c>
      <c r="B345" s="4">
        <v>45497.375085336993</v>
      </c>
      <c r="C345" t="s">
        <v>12</v>
      </c>
      <c r="D345" t="s">
        <v>19</v>
      </c>
      <c r="E345" t="s">
        <v>24</v>
      </c>
      <c r="F345">
        <v>4151.67</v>
      </c>
      <c r="G345">
        <f t="array" ref="G345">SalesData!$I$2 - 'RFM Table'!B345</f>
        <v>639</v>
      </c>
      <c r="H345">
        <f t="array" ref="H345">COUNTIF(A:A,A345)</f>
        <v>6</v>
      </c>
      <c r="I345">
        <f t="array" ref="I345">SUMIF(A:A,A345,F:F)</f>
        <v>17195.870000000003</v>
      </c>
      <c r="J345">
        <f t="array" ref="J345">5 - INT(5 * (RANK(G345,G:G, 1) - 1) / COUNT(G:G))</f>
        <v>1</v>
      </c>
      <c r="K345">
        <f t="array" ref="K345">INT(5 * (RANK(H345,H:H, 0) - 1) / COUNT(H:H)) + 1</f>
        <v>4</v>
      </c>
      <c r="L345">
        <f t="array" ref="L345">INT(5 * (RANK(I345,I:I, 0) - 1) / COUNT(I:I)) + 1</f>
        <v>5</v>
      </c>
      <c r="M345" t="str">
        <f t="shared" si="10"/>
        <v>145</v>
      </c>
      <c r="N345" s="6" t="str">
        <f t="shared" si="11"/>
        <v>At Risk</v>
      </c>
    </row>
    <row r="346" spans="1:14" x14ac:dyDescent="0.35">
      <c r="A346">
        <v>1160</v>
      </c>
      <c r="B346" s="4">
        <v>45497.375085336993</v>
      </c>
      <c r="C346" t="s">
        <v>6</v>
      </c>
      <c r="D346" t="s">
        <v>17</v>
      </c>
      <c r="E346" t="s">
        <v>24</v>
      </c>
      <c r="F346">
        <v>6854.64</v>
      </c>
      <c r="G346">
        <f t="array" ref="G346">SalesData!$I$2 - 'RFM Table'!B346</f>
        <v>639</v>
      </c>
      <c r="H346">
        <f t="array" ref="H346">COUNTIF(A:A,A346)</f>
        <v>13</v>
      </c>
      <c r="I346">
        <f t="array" ref="I346">SUMIF(A:A,A346,F:F)</f>
        <v>56128.799999999996</v>
      </c>
      <c r="J346">
        <f t="array" ref="J346">5 - INT(5 * (RANK(G346,G:G, 1) - 1) / COUNT(G:G))</f>
        <v>1</v>
      </c>
      <c r="K346">
        <f t="array" ref="K346">INT(5 * (RANK(H346,H:H, 0) - 1) / COUNT(H:H)) + 1</f>
        <v>1</v>
      </c>
      <c r="L346">
        <f t="array" ref="L346">INT(5 * (RANK(I346,I:I, 0) - 1) / COUNT(I:I)) + 1</f>
        <v>1</v>
      </c>
      <c r="M346" t="str">
        <f t="shared" si="10"/>
        <v>111</v>
      </c>
      <c r="N346" s="6" t="str">
        <f t="shared" si="11"/>
        <v>Lost</v>
      </c>
    </row>
    <row r="347" spans="1:14" x14ac:dyDescent="0.35">
      <c r="A347">
        <v>1078</v>
      </c>
      <c r="B347" s="4">
        <v>45498.375085336993</v>
      </c>
      <c r="C347" t="s">
        <v>7</v>
      </c>
      <c r="D347" t="s">
        <v>17</v>
      </c>
      <c r="E347" t="s">
        <v>24</v>
      </c>
      <c r="F347">
        <v>1571.55</v>
      </c>
      <c r="G347">
        <f t="array" ref="G347">SalesData!$I$2 - 'RFM Table'!B347</f>
        <v>638</v>
      </c>
      <c r="H347">
        <f t="array" ref="H347">COUNTIF(A:A,A347)</f>
        <v>5</v>
      </c>
      <c r="I347">
        <f t="array" ref="I347">SUMIF(A:A,A347,F:F)</f>
        <v>16253.25</v>
      </c>
      <c r="J347">
        <f t="array" ref="J347">5 - INT(5 * (RANK(G347,G:G, 1) - 1) / COUNT(G:G))</f>
        <v>1</v>
      </c>
      <c r="K347">
        <f t="array" ref="K347">INT(5 * (RANK(H347,H:H, 0) - 1) / COUNT(H:H)) + 1</f>
        <v>5</v>
      </c>
      <c r="L347">
        <f t="array" ref="L347">INT(5 * (RANK(I347,I:I, 0) - 1) / COUNT(I:I)) + 1</f>
        <v>5</v>
      </c>
      <c r="M347" t="str">
        <f t="shared" si="10"/>
        <v>155</v>
      </c>
      <c r="N347" s="6" t="str">
        <f t="shared" si="11"/>
        <v>At Risk</v>
      </c>
    </row>
    <row r="348" spans="1:14" x14ac:dyDescent="0.35">
      <c r="A348">
        <v>1083</v>
      </c>
      <c r="B348" s="4">
        <v>45498.375085336993</v>
      </c>
      <c r="C348" t="s">
        <v>14</v>
      </c>
      <c r="D348" t="s">
        <v>16</v>
      </c>
      <c r="E348" t="s">
        <v>24</v>
      </c>
      <c r="F348">
        <v>2328.5100000000002</v>
      </c>
      <c r="G348">
        <f t="array" ref="G348">SalesData!$I$2 - 'RFM Table'!B348</f>
        <v>638</v>
      </c>
      <c r="H348">
        <f t="array" ref="H348">COUNTIF(A:A,A348)</f>
        <v>10</v>
      </c>
      <c r="I348">
        <f t="array" ref="I348">SUMIF(A:A,A348,F:F)</f>
        <v>27359.329999999998</v>
      </c>
      <c r="J348">
        <f t="array" ref="J348">5 - INT(5 * (RANK(G348,G:G, 1) - 1) / COUNT(G:G))</f>
        <v>1</v>
      </c>
      <c r="K348">
        <f t="array" ref="K348">INT(5 * (RANK(H348,H:H, 0) - 1) / COUNT(H:H)) + 1</f>
        <v>2</v>
      </c>
      <c r="L348">
        <f t="array" ref="L348">INT(5 * (RANK(I348,I:I, 0) - 1) / COUNT(I:I)) + 1</f>
        <v>4</v>
      </c>
      <c r="M348" t="str">
        <f t="shared" si="10"/>
        <v>124</v>
      </c>
      <c r="N348" s="6" t="str">
        <f t="shared" si="11"/>
        <v>Can't Lose Them</v>
      </c>
    </row>
    <row r="349" spans="1:14" x14ac:dyDescent="0.35">
      <c r="A349">
        <v>1170</v>
      </c>
      <c r="B349" s="4">
        <v>45498.375085336993</v>
      </c>
      <c r="C349" t="s">
        <v>11</v>
      </c>
      <c r="D349" t="s">
        <v>17</v>
      </c>
      <c r="E349" t="s">
        <v>25</v>
      </c>
      <c r="F349">
        <v>4250.49</v>
      </c>
      <c r="G349">
        <f t="array" ref="G349">SalesData!$I$2 - 'RFM Table'!B349</f>
        <v>638</v>
      </c>
      <c r="H349">
        <f t="array" ref="H349">COUNTIF(A:A,A349)</f>
        <v>5</v>
      </c>
      <c r="I349">
        <f t="array" ref="I349">SUMIF(A:A,A349,F:F)</f>
        <v>28709.97</v>
      </c>
      <c r="J349">
        <f t="array" ref="J349">5 - INT(5 * (RANK(G349,G:G, 1) - 1) / COUNT(G:G))</f>
        <v>1</v>
      </c>
      <c r="K349">
        <f t="array" ref="K349">INT(5 * (RANK(H349,H:H, 0) - 1) / COUNT(H:H)) + 1</f>
        <v>5</v>
      </c>
      <c r="L349">
        <f t="array" ref="L349">INT(5 * (RANK(I349,I:I, 0) - 1) / COUNT(I:I)) + 1</f>
        <v>4</v>
      </c>
      <c r="M349" t="str">
        <f t="shared" si="10"/>
        <v>154</v>
      </c>
      <c r="N349" s="6" t="str">
        <f t="shared" si="11"/>
        <v>At Risk</v>
      </c>
    </row>
    <row r="350" spans="1:14" x14ac:dyDescent="0.35">
      <c r="A350">
        <v>1095</v>
      </c>
      <c r="B350" s="4">
        <v>45498.375085336993</v>
      </c>
      <c r="C350" t="s">
        <v>7</v>
      </c>
      <c r="D350" t="s">
        <v>21</v>
      </c>
      <c r="E350" t="s">
        <v>25</v>
      </c>
      <c r="F350">
        <v>8074.14</v>
      </c>
      <c r="G350">
        <f t="array" ref="G350">SalesData!$I$2 - 'RFM Table'!B350</f>
        <v>638</v>
      </c>
      <c r="H350">
        <f t="array" ref="H350">COUNTIF(A:A,A350)</f>
        <v>9</v>
      </c>
      <c r="I350">
        <f t="array" ref="I350">SUMIF(A:A,A350,F:F)</f>
        <v>48530.240000000005</v>
      </c>
      <c r="J350">
        <f t="array" ref="J350">5 - INT(5 * (RANK(G350,G:G, 1) - 1) / COUNT(G:G))</f>
        <v>1</v>
      </c>
      <c r="K350">
        <f t="array" ref="K350">INT(5 * (RANK(H350,H:H, 0) - 1) / COUNT(H:H)) + 1</f>
        <v>2</v>
      </c>
      <c r="L350">
        <f t="array" ref="L350">INT(5 * (RANK(I350,I:I, 0) - 1) / COUNT(I:I)) + 1</f>
        <v>1</v>
      </c>
      <c r="M350" t="str">
        <f t="shared" si="10"/>
        <v>121</v>
      </c>
      <c r="N350" s="6" t="str">
        <f t="shared" si="11"/>
        <v>Lost</v>
      </c>
    </row>
    <row r="351" spans="1:14" x14ac:dyDescent="0.35">
      <c r="A351">
        <v>1096</v>
      </c>
      <c r="B351" s="4">
        <v>45498.375085336993</v>
      </c>
      <c r="C351" t="s">
        <v>10</v>
      </c>
      <c r="D351" t="s">
        <v>17</v>
      </c>
      <c r="E351" t="s">
        <v>23</v>
      </c>
      <c r="F351">
        <v>636.16</v>
      </c>
      <c r="G351">
        <f t="array" ref="G351">SalesData!$I$2 - 'RFM Table'!B351</f>
        <v>638</v>
      </c>
      <c r="H351">
        <f t="array" ref="H351">COUNTIF(A:A,A351)</f>
        <v>6</v>
      </c>
      <c r="I351">
        <f t="array" ref="I351">SUMIF(A:A,A351,F:F)</f>
        <v>11900.869999999999</v>
      </c>
      <c r="J351">
        <f t="array" ref="J351">5 - INT(5 * (RANK(G351,G:G, 1) - 1) / COUNT(G:G))</f>
        <v>1</v>
      </c>
      <c r="K351">
        <f t="array" ref="K351">INT(5 * (RANK(H351,H:H, 0) - 1) / COUNT(H:H)) + 1</f>
        <v>4</v>
      </c>
      <c r="L351">
        <f t="array" ref="L351">INT(5 * (RANK(I351,I:I, 0) - 1) / COUNT(I:I)) + 1</f>
        <v>5</v>
      </c>
      <c r="M351" t="str">
        <f t="shared" si="10"/>
        <v>145</v>
      </c>
      <c r="N351" s="6" t="str">
        <f t="shared" si="11"/>
        <v>At Risk</v>
      </c>
    </row>
    <row r="352" spans="1:14" x14ac:dyDescent="0.35">
      <c r="A352">
        <v>1380</v>
      </c>
      <c r="B352" s="4">
        <v>45498.375085336993</v>
      </c>
      <c r="C352" t="s">
        <v>7</v>
      </c>
      <c r="D352" t="s">
        <v>21</v>
      </c>
      <c r="E352" t="s">
        <v>23</v>
      </c>
      <c r="F352">
        <v>1820.46</v>
      </c>
      <c r="G352">
        <f t="array" ref="G352">SalesData!$I$2 - 'RFM Table'!B352</f>
        <v>638</v>
      </c>
      <c r="H352">
        <f t="array" ref="H352">COUNTIF(A:A,A352)</f>
        <v>9</v>
      </c>
      <c r="I352">
        <f t="array" ref="I352">SUMIF(A:A,A352,F:F)</f>
        <v>40711.57</v>
      </c>
      <c r="J352">
        <f t="array" ref="J352">5 - INT(5 * (RANK(G352,G:G, 1) - 1) / COUNT(G:G))</f>
        <v>1</v>
      </c>
      <c r="K352">
        <f t="array" ref="K352">INT(5 * (RANK(H352,H:H, 0) - 1) / COUNT(H:H)) + 1</f>
        <v>2</v>
      </c>
      <c r="L352">
        <f t="array" ref="L352">INT(5 * (RANK(I352,I:I, 0) - 1) / COUNT(I:I)) + 1</f>
        <v>2</v>
      </c>
      <c r="M352" t="str">
        <f t="shared" si="10"/>
        <v>122</v>
      </c>
      <c r="N352" s="6" t="str">
        <f t="shared" si="11"/>
        <v>Lost</v>
      </c>
    </row>
    <row r="353" spans="1:14" x14ac:dyDescent="0.35">
      <c r="A353">
        <v>1302</v>
      </c>
      <c r="B353" s="4">
        <v>45498.375085336993</v>
      </c>
      <c r="C353" t="s">
        <v>14</v>
      </c>
      <c r="D353" t="s">
        <v>16</v>
      </c>
      <c r="E353" t="s">
        <v>25</v>
      </c>
      <c r="F353">
        <v>758.86</v>
      </c>
      <c r="G353">
        <f t="array" ref="G353">SalesData!$I$2 - 'RFM Table'!B353</f>
        <v>638</v>
      </c>
      <c r="H353">
        <f t="array" ref="H353">COUNTIF(A:A,A353)</f>
        <v>13</v>
      </c>
      <c r="I353">
        <f t="array" ref="I353">SUMIF(A:A,A353,F:F)</f>
        <v>51409.87</v>
      </c>
      <c r="J353">
        <f t="array" ref="J353">5 - INT(5 * (RANK(G353,G:G, 1) - 1) / COUNT(G:G))</f>
        <v>1</v>
      </c>
      <c r="K353">
        <f t="array" ref="K353">INT(5 * (RANK(H353,H:H, 0) - 1) / COUNT(H:H)) + 1</f>
        <v>1</v>
      </c>
      <c r="L353">
        <f t="array" ref="L353">INT(5 * (RANK(I353,I:I, 0) - 1) / COUNT(I:I)) + 1</f>
        <v>1</v>
      </c>
      <c r="M353" t="str">
        <f t="shared" si="10"/>
        <v>111</v>
      </c>
      <c r="N353" s="6" t="str">
        <f t="shared" si="11"/>
        <v>Lost</v>
      </c>
    </row>
    <row r="354" spans="1:14" x14ac:dyDescent="0.35">
      <c r="A354">
        <v>1103</v>
      </c>
      <c r="B354" s="4">
        <v>45498.375085336993</v>
      </c>
      <c r="C354" t="s">
        <v>8</v>
      </c>
      <c r="D354" t="s">
        <v>18</v>
      </c>
      <c r="E354" t="s">
        <v>24</v>
      </c>
      <c r="F354">
        <v>2826.13</v>
      </c>
      <c r="G354">
        <f t="array" ref="G354">SalesData!$I$2 - 'RFM Table'!B354</f>
        <v>638</v>
      </c>
      <c r="H354">
        <f t="array" ref="H354">COUNTIF(A:A,A354)</f>
        <v>10</v>
      </c>
      <c r="I354">
        <f t="array" ref="I354">SUMIF(A:A,A354,F:F)</f>
        <v>44305.600000000006</v>
      </c>
      <c r="J354">
        <f t="array" ref="J354">5 - INT(5 * (RANK(G354,G:G, 1) - 1) / COUNT(G:G))</f>
        <v>1</v>
      </c>
      <c r="K354">
        <f t="array" ref="K354">INT(5 * (RANK(H354,H:H, 0) - 1) / COUNT(H:H)) + 1</f>
        <v>2</v>
      </c>
      <c r="L354">
        <f t="array" ref="L354">INT(5 * (RANK(I354,I:I, 0) - 1) / COUNT(I:I)) + 1</f>
        <v>2</v>
      </c>
      <c r="M354" t="str">
        <f t="shared" si="10"/>
        <v>122</v>
      </c>
      <c r="N354" s="6" t="str">
        <f t="shared" si="11"/>
        <v>Lost</v>
      </c>
    </row>
    <row r="355" spans="1:14" x14ac:dyDescent="0.35">
      <c r="A355">
        <v>1250</v>
      </c>
      <c r="B355" s="4">
        <v>45499.375085336993</v>
      </c>
      <c r="C355" t="s">
        <v>12</v>
      </c>
      <c r="D355" t="s">
        <v>20</v>
      </c>
      <c r="E355" t="s">
        <v>23</v>
      </c>
      <c r="F355">
        <v>4750.09</v>
      </c>
      <c r="G355">
        <f t="array" ref="G355">SalesData!$I$2 - 'RFM Table'!B355</f>
        <v>637</v>
      </c>
      <c r="H355">
        <f t="array" ref="H355">COUNTIF(A:A,A355)</f>
        <v>9</v>
      </c>
      <c r="I355">
        <f t="array" ref="I355">SUMIF(A:A,A355,F:F)</f>
        <v>36713.85</v>
      </c>
      <c r="J355">
        <f t="array" ref="J355">5 - INT(5 * (RANK(G355,G:G, 1) - 1) / COUNT(G:G))</f>
        <v>1</v>
      </c>
      <c r="K355">
        <f t="array" ref="K355">INT(5 * (RANK(H355,H:H, 0) - 1) / COUNT(H:H)) + 1</f>
        <v>2</v>
      </c>
      <c r="L355">
        <f t="array" ref="L355">INT(5 * (RANK(I355,I:I, 0) - 1) / COUNT(I:I)) + 1</f>
        <v>3</v>
      </c>
      <c r="M355" t="str">
        <f t="shared" si="10"/>
        <v>123</v>
      </c>
      <c r="N355" s="6" t="str">
        <f t="shared" si="11"/>
        <v>Can't Lose Them</v>
      </c>
    </row>
    <row r="356" spans="1:14" x14ac:dyDescent="0.35">
      <c r="A356">
        <v>1153</v>
      </c>
      <c r="B356" s="4">
        <v>45499.375085336993</v>
      </c>
      <c r="C356" t="s">
        <v>10</v>
      </c>
      <c r="D356" t="s">
        <v>22</v>
      </c>
      <c r="E356" t="s">
        <v>25</v>
      </c>
      <c r="F356">
        <v>3219.89</v>
      </c>
      <c r="G356">
        <f t="array" ref="G356">SalesData!$I$2 - 'RFM Table'!B356</f>
        <v>637</v>
      </c>
      <c r="H356">
        <f t="array" ref="H356">COUNTIF(A:A,A356)</f>
        <v>12</v>
      </c>
      <c r="I356">
        <f t="array" ref="I356">SUMIF(A:A,A356,F:F)</f>
        <v>42146.06</v>
      </c>
      <c r="J356">
        <f t="array" ref="J356">5 - INT(5 * (RANK(G356,G:G, 1) - 1) / COUNT(G:G))</f>
        <v>1</v>
      </c>
      <c r="K356">
        <f t="array" ref="K356">INT(5 * (RANK(H356,H:H, 0) - 1) / COUNT(H:H)) + 1</f>
        <v>1</v>
      </c>
      <c r="L356">
        <f t="array" ref="L356">INT(5 * (RANK(I356,I:I, 0) - 1) / COUNT(I:I)) + 1</f>
        <v>2</v>
      </c>
      <c r="M356" t="str">
        <f t="shared" si="10"/>
        <v>112</v>
      </c>
      <c r="N356" s="6" t="str">
        <f t="shared" si="11"/>
        <v>Lost</v>
      </c>
    </row>
    <row r="357" spans="1:14" x14ac:dyDescent="0.35">
      <c r="A357">
        <v>1362</v>
      </c>
      <c r="B357" s="4">
        <v>45500.375085336993</v>
      </c>
      <c r="C357" t="s">
        <v>15</v>
      </c>
      <c r="D357" t="s">
        <v>16</v>
      </c>
      <c r="E357" t="s">
        <v>25</v>
      </c>
      <c r="F357">
        <v>6884.27</v>
      </c>
      <c r="G357">
        <f t="array" ref="G357">SalesData!$I$2 - 'RFM Table'!B357</f>
        <v>636</v>
      </c>
      <c r="H357">
        <f t="array" ref="H357">COUNTIF(A:A,A357)</f>
        <v>5</v>
      </c>
      <c r="I357">
        <f t="array" ref="I357">SUMIF(A:A,A357,F:F)</f>
        <v>30121.440000000002</v>
      </c>
      <c r="J357">
        <f t="array" ref="J357">5 - INT(5 * (RANK(G357,G:G, 1) - 1) / COUNT(G:G))</f>
        <v>1</v>
      </c>
      <c r="K357">
        <f t="array" ref="K357">INT(5 * (RANK(H357,H:H, 0) - 1) / COUNT(H:H)) + 1</f>
        <v>5</v>
      </c>
      <c r="L357">
        <f t="array" ref="L357">INT(5 * (RANK(I357,I:I, 0) - 1) / COUNT(I:I)) + 1</f>
        <v>3</v>
      </c>
      <c r="M357" t="str">
        <f t="shared" si="10"/>
        <v>153</v>
      </c>
      <c r="N357" s="6" t="str">
        <f t="shared" si="11"/>
        <v>At Risk</v>
      </c>
    </row>
    <row r="358" spans="1:14" x14ac:dyDescent="0.35">
      <c r="A358">
        <v>1345</v>
      </c>
      <c r="B358" s="4">
        <v>45501.375085336993</v>
      </c>
      <c r="C358" t="s">
        <v>7</v>
      </c>
      <c r="D358" t="s">
        <v>20</v>
      </c>
      <c r="E358" t="s">
        <v>23</v>
      </c>
      <c r="F358">
        <v>2434.04</v>
      </c>
      <c r="G358">
        <f t="array" ref="G358">SalesData!$I$2 - 'RFM Table'!B358</f>
        <v>635</v>
      </c>
      <c r="H358">
        <f t="array" ref="H358">COUNTIF(A:A,A358)</f>
        <v>9</v>
      </c>
      <c r="I358">
        <f t="array" ref="I358">SUMIF(A:A,A358,F:F)</f>
        <v>35330.950000000004</v>
      </c>
      <c r="J358">
        <f t="array" ref="J358">5 - INT(5 * (RANK(G358,G:G, 1) - 1) / COUNT(G:G))</f>
        <v>1</v>
      </c>
      <c r="K358">
        <f t="array" ref="K358">INT(5 * (RANK(H358,H:H, 0) - 1) / COUNT(H:H)) + 1</f>
        <v>2</v>
      </c>
      <c r="L358">
        <f t="array" ref="L358">INT(5 * (RANK(I358,I:I, 0) - 1) / COUNT(I:I)) + 1</f>
        <v>3</v>
      </c>
      <c r="M358" t="str">
        <f t="shared" si="10"/>
        <v>123</v>
      </c>
      <c r="N358" s="6" t="str">
        <f t="shared" si="11"/>
        <v>Can't Lose Them</v>
      </c>
    </row>
    <row r="359" spans="1:14" x14ac:dyDescent="0.35">
      <c r="A359">
        <v>1268</v>
      </c>
      <c r="B359" s="4">
        <v>45501.375085336993</v>
      </c>
      <c r="C359" t="s">
        <v>11</v>
      </c>
      <c r="D359" t="s">
        <v>19</v>
      </c>
      <c r="E359" t="s">
        <v>23</v>
      </c>
      <c r="F359">
        <v>5135.6499999999996</v>
      </c>
      <c r="G359">
        <f t="array" ref="G359">SalesData!$I$2 - 'RFM Table'!B359</f>
        <v>635</v>
      </c>
      <c r="H359">
        <f t="array" ref="H359">COUNTIF(A:A,A359)</f>
        <v>8</v>
      </c>
      <c r="I359">
        <f t="array" ref="I359">SUMIF(A:A,A359,F:F)</f>
        <v>48110.42</v>
      </c>
      <c r="J359">
        <f t="array" ref="J359">5 - INT(5 * (RANK(G359,G:G, 1) - 1) / COUNT(G:G))</f>
        <v>1</v>
      </c>
      <c r="K359">
        <f t="array" ref="K359">INT(5 * (RANK(H359,H:H, 0) - 1) / COUNT(H:H)) + 1</f>
        <v>3</v>
      </c>
      <c r="L359">
        <f t="array" ref="L359">INT(5 * (RANK(I359,I:I, 0) - 1) / COUNT(I:I)) + 1</f>
        <v>1</v>
      </c>
      <c r="M359" t="str">
        <f t="shared" si="10"/>
        <v>131</v>
      </c>
      <c r="N359" s="6" t="str">
        <f t="shared" si="11"/>
        <v>Others</v>
      </c>
    </row>
    <row r="360" spans="1:14" x14ac:dyDescent="0.35">
      <c r="A360">
        <v>1157</v>
      </c>
      <c r="B360" s="4">
        <v>45501.375085336993</v>
      </c>
      <c r="C360" t="s">
        <v>15</v>
      </c>
      <c r="D360" t="s">
        <v>19</v>
      </c>
      <c r="E360" t="s">
        <v>24</v>
      </c>
      <c r="F360">
        <v>2686.74</v>
      </c>
      <c r="G360">
        <f t="array" ref="G360">SalesData!$I$2 - 'RFM Table'!B360</f>
        <v>635</v>
      </c>
      <c r="H360">
        <f t="array" ref="H360">COUNTIF(A:A,A360)</f>
        <v>11</v>
      </c>
      <c r="I360">
        <f t="array" ref="I360">SUMIF(A:A,A360,F:F)</f>
        <v>45651.77</v>
      </c>
      <c r="J360">
        <f t="array" ref="J360">5 - INT(5 * (RANK(G360,G:G, 1) - 1) / COUNT(G:G))</f>
        <v>1</v>
      </c>
      <c r="K360">
        <f t="array" ref="K360">INT(5 * (RANK(H360,H:H, 0) - 1) / COUNT(H:H)) + 1</f>
        <v>1</v>
      </c>
      <c r="L360">
        <f t="array" ref="L360">INT(5 * (RANK(I360,I:I, 0) - 1) / COUNT(I:I)) + 1</f>
        <v>1</v>
      </c>
      <c r="M360" t="str">
        <f t="shared" si="10"/>
        <v>111</v>
      </c>
      <c r="N360" s="6" t="str">
        <f t="shared" si="11"/>
        <v>Lost</v>
      </c>
    </row>
    <row r="361" spans="1:14" x14ac:dyDescent="0.35">
      <c r="A361">
        <v>1147</v>
      </c>
      <c r="B361" s="4">
        <v>45501.375085336993</v>
      </c>
      <c r="C361" t="s">
        <v>15</v>
      </c>
      <c r="D361" t="s">
        <v>21</v>
      </c>
      <c r="E361" t="s">
        <v>23</v>
      </c>
      <c r="F361">
        <v>3857.23</v>
      </c>
      <c r="G361">
        <f t="array" ref="G361">SalesData!$I$2 - 'RFM Table'!B361</f>
        <v>635</v>
      </c>
      <c r="H361">
        <f t="array" ref="H361">COUNTIF(A:A,A361)</f>
        <v>9</v>
      </c>
      <c r="I361">
        <f t="array" ref="I361">SUMIF(A:A,A361,F:F)</f>
        <v>31221.600000000002</v>
      </c>
      <c r="J361">
        <f t="array" ref="J361">5 - INT(5 * (RANK(G361,G:G, 1) - 1) / COUNT(G:G))</f>
        <v>1</v>
      </c>
      <c r="K361">
        <f t="array" ref="K361">INT(5 * (RANK(H361,H:H, 0) - 1) / COUNT(H:H)) + 1</f>
        <v>2</v>
      </c>
      <c r="L361">
        <f t="array" ref="L361">INT(5 * (RANK(I361,I:I, 0) - 1) / COUNT(I:I)) + 1</f>
        <v>3</v>
      </c>
      <c r="M361" t="str">
        <f t="shared" si="10"/>
        <v>123</v>
      </c>
      <c r="N361" s="6" t="str">
        <f t="shared" si="11"/>
        <v>Can't Lose Them</v>
      </c>
    </row>
    <row r="362" spans="1:14" x14ac:dyDescent="0.35">
      <c r="A362">
        <v>1394</v>
      </c>
      <c r="B362" s="4">
        <v>45501.375085336993</v>
      </c>
      <c r="C362" t="s">
        <v>13</v>
      </c>
      <c r="D362" t="s">
        <v>20</v>
      </c>
      <c r="E362" t="s">
        <v>24</v>
      </c>
      <c r="F362">
        <v>4473.55</v>
      </c>
      <c r="G362">
        <f t="array" ref="G362">SalesData!$I$2 - 'RFM Table'!B362</f>
        <v>635</v>
      </c>
      <c r="H362">
        <f t="array" ref="H362">COUNTIF(A:A,A362)</f>
        <v>6</v>
      </c>
      <c r="I362">
        <f t="array" ref="I362">SUMIF(A:A,A362,F:F)</f>
        <v>15872.329999999998</v>
      </c>
      <c r="J362">
        <f t="array" ref="J362">5 - INT(5 * (RANK(G362,G:G, 1) - 1) / COUNT(G:G))</f>
        <v>1</v>
      </c>
      <c r="K362">
        <f t="array" ref="K362">INT(5 * (RANK(H362,H:H, 0) - 1) / COUNT(H:H)) + 1</f>
        <v>4</v>
      </c>
      <c r="L362">
        <f t="array" ref="L362">INT(5 * (RANK(I362,I:I, 0) - 1) / COUNT(I:I)) + 1</f>
        <v>5</v>
      </c>
      <c r="M362" t="str">
        <f t="shared" si="10"/>
        <v>145</v>
      </c>
      <c r="N362" s="6" t="str">
        <f t="shared" si="11"/>
        <v>At Risk</v>
      </c>
    </row>
    <row r="363" spans="1:14" x14ac:dyDescent="0.35">
      <c r="A363">
        <v>1249</v>
      </c>
      <c r="B363" s="4">
        <v>45502.375085336993</v>
      </c>
      <c r="C363" t="s">
        <v>9</v>
      </c>
      <c r="D363" t="s">
        <v>16</v>
      </c>
      <c r="E363" t="s">
        <v>25</v>
      </c>
      <c r="F363">
        <v>6417.38</v>
      </c>
      <c r="G363">
        <f t="array" ref="G363">SalesData!$I$2 - 'RFM Table'!B363</f>
        <v>634</v>
      </c>
      <c r="H363">
        <f t="array" ref="H363">COUNTIF(A:A,A363)</f>
        <v>6</v>
      </c>
      <c r="I363">
        <f t="array" ref="I363">SUMIF(A:A,A363,F:F)</f>
        <v>29261.35</v>
      </c>
      <c r="J363">
        <f t="array" ref="J363">5 - INT(5 * (RANK(G363,G:G, 1) - 1) / COUNT(G:G))</f>
        <v>1</v>
      </c>
      <c r="K363">
        <f t="array" ref="K363">INT(5 * (RANK(H363,H:H, 0) - 1) / COUNT(H:H)) + 1</f>
        <v>4</v>
      </c>
      <c r="L363">
        <f t="array" ref="L363">INT(5 * (RANK(I363,I:I, 0) - 1) / COUNT(I:I)) + 1</f>
        <v>4</v>
      </c>
      <c r="M363" t="str">
        <f t="shared" si="10"/>
        <v>144</v>
      </c>
      <c r="N363" s="6" t="str">
        <f t="shared" si="11"/>
        <v>At Risk</v>
      </c>
    </row>
    <row r="364" spans="1:14" x14ac:dyDescent="0.35">
      <c r="A364">
        <v>1058</v>
      </c>
      <c r="B364" s="4">
        <v>45502.375085336993</v>
      </c>
      <c r="C364" t="s">
        <v>8</v>
      </c>
      <c r="D364" t="s">
        <v>20</v>
      </c>
      <c r="E364" t="s">
        <v>24</v>
      </c>
      <c r="F364">
        <v>2460.7199999999998</v>
      </c>
      <c r="G364">
        <f t="array" ref="G364">SalesData!$I$2 - 'RFM Table'!B364</f>
        <v>634</v>
      </c>
      <c r="H364">
        <f t="array" ref="H364">COUNTIF(A:A,A364)</f>
        <v>8</v>
      </c>
      <c r="I364">
        <f t="array" ref="I364">SUMIF(A:A,A364,F:F)</f>
        <v>29892.99</v>
      </c>
      <c r="J364">
        <f t="array" ref="J364">5 - INT(5 * (RANK(G364,G:G, 1) - 1) / COUNT(G:G))</f>
        <v>1</v>
      </c>
      <c r="K364">
        <f t="array" ref="K364">INT(5 * (RANK(H364,H:H, 0) - 1) / COUNT(H:H)) + 1</f>
        <v>3</v>
      </c>
      <c r="L364">
        <f t="array" ref="L364">INT(5 * (RANK(I364,I:I, 0) - 1) / COUNT(I:I)) + 1</f>
        <v>3</v>
      </c>
      <c r="M364" t="str">
        <f t="shared" si="10"/>
        <v>133</v>
      </c>
      <c r="N364" s="6" t="str">
        <f t="shared" si="11"/>
        <v>At Risk</v>
      </c>
    </row>
    <row r="365" spans="1:14" x14ac:dyDescent="0.35">
      <c r="A365">
        <v>1159</v>
      </c>
      <c r="B365" s="4">
        <v>45502.375085336993</v>
      </c>
      <c r="C365" t="s">
        <v>9</v>
      </c>
      <c r="D365" t="s">
        <v>19</v>
      </c>
      <c r="E365" t="s">
        <v>24</v>
      </c>
      <c r="F365">
        <v>6632.92</v>
      </c>
      <c r="G365">
        <f t="array" ref="G365">SalesData!$I$2 - 'RFM Table'!B365</f>
        <v>634</v>
      </c>
      <c r="H365">
        <f t="array" ref="H365">COUNTIF(A:A,A365)</f>
        <v>15</v>
      </c>
      <c r="I365">
        <f t="array" ref="I365">SUMIF(A:A,A365,F:F)</f>
        <v>57217.139999999992</v>
      </c>
      <c r="J365">
        <f t="array" ref="J365">5 - INT(5 * (RANK(G365,G:G, 1) - 1) / COUNT(G:G))</f>
        <v>1</v>
      </c>
      <c r="K365">
        <f t="array" ref="K365">INT(5 * (RANK(H365,H:H, 0) - 1) / COUNT(H:H)) + 1</f>
        <v>1</v>
      </c>
      <c r="L365">
        <f t="array" ref="L365">INT(5 * (RANK(I365,I:I, 0) - 1) / COUNT(I:I)) + 1</f>
        <v>1</v>
      </c>
      <c r="M365" t="str">
        <f t="shared" si="10"/>
        <v>111</v>
      </c>
      <c r="N365" s="6" t="str">
        <f t="shared" si="11"/>
        <v>Lost</v>
      </c>
    </row>
    <row r="366" spans="1:14" x14ac:dyDescent="0.35">
      <c r="A366">
        <v>1007</v>
      </c>
      <c r="B366" s="4">
        <v>45503.375085336993</v>
      </c>
      <c r="C366" t="s">
        <v>6</v>
      </c>
      <c r="D366" t="s">
        <v>18</v>
      </c>
      <c r="E366" t="s">
        <v>24</v>
      </c>
      <c r="F366">
        <v>4982.91</v>
      </c>
      <c r="G366">
        <f t="array" ref="G366">SalesData!$I$2 - 'RFM Table'!B366</f>
        <v>633</v>
      </c>
      <c r="H366">
        <f t="array" ref="H366">COUNTIF(A:A,A366)</f>
        <v>9</v>
      </c>
      <c r="I366">
        <f t="array" ref="I366">SUMIF(A:A,A366,F:F)</f>
        <v>47571.369999999995</v>
      </c>
      <c r="J366">
        <f t="array" ref="J366">5 - INT(5 * (RANK(G366,G:G, 1) - 1) / COUNT(G:G))</f>
        <v>1</v>
      </c>
      <c r="K366">
        <f t="array" ref="K366">INT(5 * (RANK(H366,H:H, 0) - 1) / COUNT(H:H)) + 1</f>
        <v>2</v>
      </c>
      <c r="L366">
        <f t="array" ref="L366">INT(5 * (RANK(I366,I:I, 0) - 1) / COUNT(I:I)) + 1</f>
        <v>1</v>
      </c>
      <c r="M366" t="str">
        <f t="shared" si="10"/>
        <v>121</v>
      </c>
      <c r="N366" s="6" t="str">
        <f t="shared" si="11"/>
        <v>Lost</v>
      </c>
    </row>
    <row r="367" spans="1:14" x14ac:dyDescent="0.35">
      <c r="A367">
        <v>1159</v>
      </c>
      <c r="B367" s="4">
        <v>45503.375085336993</v>
      </c>
      <c r="C367" t="s">
        <v>14</v>
      </c>
      <c r="D367" t="s">
        <v>19</v>
      </c>
      <c r="E367" t="s">
        <v>23</v>
      </c>
      <c r="F367">
        <v>964.48</v>
      </c>
      <c r="G367">
        <f t="array" ref="G367">SalesData!$I$2 - 'RFM Table'!B367</f>
        <v>633</v>
      </c>
      <c r="H367">
        <f t="array" ref="H367">COUNTIF(A:A,A367)</f>
        <v>15</v>
      </c>
      <c r="I367">
        <f t="array" ref="I367">SUMIF(A:A,A367,F:F)</f>
        <v>57217.139999999992</v>
      </c>
      <c r="J367">
        <f t="array" ref="J367">5 - INT(5 * (RANK(G367,G:G, 1) - 1) / COUNT(G:G))</f>
        <v>1</v>
      </c>
      <c r="K367">
        <f t="array" ref="K367">INT(5 * (RANK(H367,H:H, 0) - 1) / COUNT(H:H)) + 1</f>
        <v>1</v>
      </c>
      <c r="L367">
        <f t="array" ref="L367">INT(5 * (RANK(I367,I:I, 0) - 1) / COUNT(I:I)) + 1</f>
        <v>1</v>
      </c>
      <c r="M367" t="str">
        <f t="shared" si="10"/>
        <v>111</v>
      </c>
      <c r="N367" s="6" t="str">
        <f t="shared" si="11"/>
        <v>Lost</v>
      </c>
    </row>
    <row r="368" spans="1:14" x14ac:dyDescent="0.35">
      <c r="A368">
        <v>1025</v>
      </c>
      <c r="B368" s="4">
        <v>45503.375085336993</v>
      </c>
      <c r="C368" t="s">
        <v>7</v>
      </c>
      <c r="D368" t="s">
        <v>21</v>
      </c>
      <c r="E368" t="s">
        <v>23</v>
      </c>
      <c r="F368">
        <v>4373.87</v>
      </c>
      <c r="G368">
        <f t="array" ref="G368">SalesData!$I$2 - 'RFM Table'!B368</f>
        <v>633</v>
      </c>
      <c r="H368">
        <f t="array" ref="H368">COUNTIF(A:A,A368)</f>
        <v>7</v>
      </c>
      <c r="I368">
        <f t="array" ref="I368">SUMIF(A:A,A368,F:F)</f>
        <v>16120.029999999999</v>
      </c>
      <c r="J368">
        <f t="array" ref="J368">5 - INT(5 * (RANK(G368,G:G, 1) - 1) / COUNT(G:G))</f>
        <v>1</v>
      </c>
      <c r="K368">
        <f t="array" ref="K368">INT(5 * (RANK(H368,H:H, 0) - 1) / COUNT(H:H)) + 1</f>
        <v>4</v>
      </c>
      <c r="L368">
        <f t="array" ref="L368">INT(5 * (RANK(I368,I:I, 0) - 1) / COUNT(I:I)) + 1</f>
        <v>5</v>
      </c>
      <c r="M368" t="str">
        <f t="shared" si="10"/>
        <v>145</v>
      </c>
      <c r="N368" s="6" t="str">
        <f t="shared" si="11"/>
        <v>At Risk</v>
      </c>
    </row>
    <row r="369" spans="1:14" x14ac:dyDescent="0.35">
      <c r="A369">
        <v>1085</v>
      </c>
      <c r="B369" s="4">
        <v>45503.375085336993</v>
      </c>
      <c r="C369" t="s">
        <v>7</v>
      </c>
      <c r="D369" t="s">
        <v>22</v>
      </c>
      <c r="E369" t="s">
        <v>23</v>
      </c>
      <c r="F369">
        <v>7222.74</v>
      </c>
      <c r="G369">
        <f t="array" ref="G369">SalesData!$I$2 - 'RFM Table'!B369</f>
        <v>633</v>
      </c>
      <c r="H369">
        <f t="array" ref="H369">COUNTIF(A:A,A369)</f>
        <v>10</v>
      </c>
      <c r="I369">
        <f t="array" ref="I369">SUMIF(A:A,A369,F:F)</f>
        <v>50122.659999999996</v>
      </c>
      <c r="J369">
        <f t="array" ref="J369">5 - INT(5 * (RANK(G369,G:G, 1) - 1) / COUNT(G:G))</f>
        <v>1</v>
      </c>
      <c r="K369">
        <f t="array" ref="K369">INT(5 * (RANK(H369,H:H, 0) - 1) / COUNT(H:H)) + 1</f>
        <v>2</v>
      </c>
      <c r="L369">
        <f t="array" ref="L369">INT(5 * (RANK(I369,I:I, 0) - 1) / COUNT(I:I)) + 1</f>
        <v>1</v>
      </c>
      <c r="M369" t="str">
        <f t="shared" si="10"/>
        <v>121</v>
      </c>
      <c r="N369" s="6" t="str">
        <f t="shared" si="11"/>
        <v>Lost</v>
      </c>
    </row>
    <row r="370" spans="1:14" x14ac:dyDescent="0.35">
      <c r="A370">
        <v>1180</v>
      </c>
      <c r="B370" s="4">
        <v>45504.375085336993</v>
      </c>
      <c r="C370" t="s">
        <v>9</v>
      </c>
      <c r="D370" t="s">
        <v>17</v>
      </c>
      <c r="E370" t="s">
        <v>24</v>
      </c>
      <c r="F370">
        <v>5988.3</v>
      </c>
      <c r="G370">
        <f t="array" ref="G370">SalesData!$I$2 - 'RFM Table'!B370</f>
        <v>632</v>
      </c>
      <c r="H370">
        <f t="array" ref="H370">COUNTIF(A:A,A370)</f>
        <v>8</v>
      </c>
      <c r="I370">
        <f t="array" ref="I370">SUMIF(A:A,A370,F:F)</f>
        <v>35247.5</v>
      </c>
      <c r="J370">
        <f t="array" ref="J370">5 - INT(5 * (RANK(G370,G:G, 1) - 1) / COUNT(G:G))</f>
        <v>1</v>
      </c>
      <c r="K370">
        <f t="array" ref="K370">INT(5 * (RANK(H370,H:H, 0) - 1) / COUNT(H:H)) + 1</f>
        <v>3</v>
      </c>
      <c r="L370">
        <f t="array" ref="L370">INT(5 * (RANK(I370,I:I, 0) - 1) / COUNT(I:I)) + 1</f>
        <v>3</v>
      </c>
      <c r="M370" t="str">
        <f t="shared" si="10"/>
        <v>133</v>
      </c>
      <c r="N370" s="6" t="str">
        <f t="shared" si="11"/>
        <v>At Risk</v>
      </c>
    </row>
    <row r="371" spans="1:14" x14ac:dyDescent="0.35">
      <c r="A371">
        <v>1212</v>
      </c>
      <c r="B371" s="4">
        <v>45504.375085336993</v>
      </c>
      <c r="C371" t="s">
        <v>12</v>
      </c>
      <c r="D371" t="s">
        <v>22</v>
      </c>
      <c r="E371" t="s">
        <v>25</v>
      </c>
      <c r="F371">
        <v>7890.35</v>
      </c>
      <c r="G371">
        <f t="array" ref="G371">SalesData!$I$2 - 'RFM Table'!B371</f>
        <v>632</v>
      </c>
      <c r="H371">
        <f t="array" ref="H371">COUNTIF(A:A,A371)</f>
        <v>9</v>
      </c>
      <c r="I371">
        <f t="array" ref="I371">SUMIF(A:A,A371,F:F)</f>
        <v>33311.4</v>
      </c>
      <c r="J371">
        <f t="array" ref="J371">5 - INT(5 * (RANK(G371,G:G, 1) - 1) / COUNT(G:G))</f>
        <v>1</v>
      </c>
      <c r="K371">
        <f t="array" ref="K371">INT(5 * (RANK(H371,H:H, 0) - 1) / COUNT(H:H)) + 1</f>
        <v>2</v>
      </c>
      <c r="L371">
        <f t="array" ref="L371">INT(5 * (RANK(I371,I:I, 0) - 1) / COUNT(I:I)) + 1</f>
        <v>3</v>
      </c>
      <c r="M371" t="str">
        <f t="shared" si="10"/>
        <v>123</v>
      </c>
      <c r="N371" s="6" t="str">
        <f t="shared" si="11"/>
        <v>Can't Lose Them</v>
      </c>
    </row>
    <row r="372" spans="1:14" x14ac:dyDescent="0.35">
      <c r="A372">
        <v>1083</v>
      </c>
      <c r="B372" s="4">
        <v>45504.375085336993</v>
      </c>
      <c r="C372" t="s">
        <v>10</v>
      </c>
      <c r="D372" t="s">
        <v>17</v>
      </c>
      <c r="E372" t="s">
        <v>24</v>
      </c>
      <c r="F372">
        <v>3573.84</v>
      </c>
      <c r="G372">
        <f t="array" ref="G372">SalesData!$I$2 - 'RFM Table'!B372</f>
        <v>632</v>
      </c>
      <c r="H372">
        <f t="array" ref="H372">COUNTIF(A:A,A372)</f>
        <v>10</v>
      </c>
      <c r="I372">
        <f t="array" ref="I372">SUMIF(A:A,A372,F:F)</f>
        <v>27359.329999999998</v>
      </c>
      <c r="J372">
        <f t="array" ref="J372">5 - INT(5 * (RANK(G372,G:G, 1) - 1) / COUNT(G:G))</f>
        <v>1</v>
      </c>
      <c r="K372">
        <f t="array" ref="K372">INT(5 * (RANK(H372,H:H, 0) - 1) / COUNT(H:H)) + 1</f>
        <v>2</v>
      </c>
      <c r="L372">
        <f t="array" ref="L372">INT(5 * (RANK(I372,I:I, 0) - 1) / COUNT(I:I)) + 1</f>
        <v>4</v>
      </c>
      <c r="M372" t="str">
        <f t="shared" si="10"/>
        <v>124</v>
      </c>
      <c r="N372" s="6" t="str">
        <f t="shared" si="11"/>
        <v>Can't Lose Them</v>
      </c>
    </row>
    <row r="373" spans="1:14" x14ac:dyDescent="0.35">
      <c r="A373">
        <v>1041</v>
      </c>
      <c r="B373" s="4">
        <v>45505.375085336993</v>
      </c>
      <c r="C373" t="s">
        <v>15</v>
      </c>
      <c r="D373" t="s">
        <v>21</v>
      </c>
      <c r="E373" t="s">
        <v>25</v>
      </c>
      <c r="F373">
        <v>3245.23</v>
      </c>
      <c r="G373">
        <f t="array" ref="G373">SalesData!$I$2 - 'RFM Table'!B373</f>
        <v>631</v>
      </c>
      <c r="H373">
        <f t="array" ref="H373">COUNTIF(A:A,A373)</f>
        <v>12</v>
      </c>
      <c r="I373">
        <f t="array" ref="I373">SUMIF(A:A,A373,F:F)</f>
        <v>44894.799999999996</v>
      </c>
      <c r="J373">
        <f t="array" ref="J373">5 - INT(5 * (RANK(G373,G:G, 1) - 1) / COUNT(G:G))</f>
        <v>1</v>
      </c>
      <c r="K373">
        <f t="array" ref="K373">INT(5 * (RANK(H373,H:H, 0) - 1) / COUNT(H:H)) + 1</f>
        <v>1</v>
      </c>
      <c r="L373">
        <f t="array" ref="L373">INT(5 * (RANK(I373,I:I, 0) - 1) / COUNT(I:I)) + 1</f>
        <v>1</v>
      </c>
      <c r="M373" t="str">
        <f t="shared" si="10"/>
        <v>111</v>
      </c>
      <c r="N373" s="6" t="str">
        <f t="shared" si="11"/>
        <v>Lost</v>
      </c>
    </row>
    <row r="374" spans="1:14" x14ac:dyDescent="0.35">
      <c r="A374">
        <v>1170</v>
      </c>
      <c r="B374" s="4">
        <v>45505.375085336993</v>
      </c>
      <c r="C374" t="s">
        <v>9</v>
      </c>
      <c r="D374" t="s">
        <v>21</v>
      </c>
      <c r="E374" t="s">
        <v>25</v>
      </c>
      <c r="F374">
        <v>5184.45</v>
      </c>
      <c r="G374">
        <f t="array" ref="G374">SalesData!$I$2 - 'RFM Table'!B374</f>
        <v>631</v>
      </c>
      <c r="H374">
        <f t="array" ref="H374">COUNTIF(A:A,A374)</f>
        <v>5</v>
      </c>
      <c r="I374">
        <f t="array" ref="I374">SUMIF(A:A,A374,F:F)</f>
        <v>28709.97</v>
      </c>
      <c r="J374">
        <f t="array" ref="J374">5 - INT(5 * (RANK(G374,G:G, 1) - 1) / COUNT(G:G))</f>
        <v>1</v>
      </c>
      <c r="K374">
        <f t="array" ref="K374">INT(5 * (RANK(H374,H:H, 0) - 1) / COUNT(H:H)) + 1</f>
        <v>5</v>
      </c>
      <c r="L374">
        <f t="array" ref="L374">INT(5 * (RANK(I374,I:I, 0) - 1) / COUNT(I:I)) + 1</f>
        <v>4</v>
      </c>
      <c r="M374" t="str">
        <f t="shared" si="10"/>
        <v>154</v>
      </c>
      <c r="N374" s="6" t="str">
        <f t="shared" si="11"/>
        <v>At Risk</v>
      </c>
    </row>
    <row r="375" spans="1:14" x14ac:dyDescent="0.35">
      <c r="A375">
        <v>1066</v>
      </c>
      <c r="B375" s="4">
        <v>45505.375085336993</v>
      </c>
      <c r="C375" t="s">
        <v>14</v>
      </c>
      <c r="D375" t="s">
        <v>18</v>
      </c>
      <c r="E375" t="s">
        <v>23</v>
      </c>
      <c r="F375">
        <v>2169.4699999999998</v>
      </c>
      <c r="G375">
        <f t="array" ref="G375">SalesData!$I$2 - 'RFM Table'!B375</f>
        <v>631</v>
      </c>
      <c r="H375">
        <f t="array" ref="H375">COUNTIF(A:A,A375)</f>
        <v>5</v>
      </c>
      <c r="I375">
        <f t="array" ref="I375">SUMIF(A:A,A375,F:F)</f>
        <v>17833.57</v>
      </c>
      <c r="J375">
        <f t="array" ref="J375">5 - INT(5 * (RANK(G375,G:G, 1) - 1) / COUNT(G:G))</f>
        <v>1</v>
      </c>
      <c r="K375">
        <f t="array" ref="K375">INT(5 * (RANK(H375,H:H, 0) - 1) / COUNT(H:H)) + 1</f>
        <v>5</v>
      </c>
      <c r="L375">
        <f t="array" ref="L375">INT(5 * (RANK(I375,I:I, 0) - 1) / COUNT(I:I)) + 1</f>
        <v>5</v>
      </c>
      <c r="M375" t="str">
        <f t="shared" si="10"/>
        <v>155</v>
      </c>
      <c r="N375" s="6" t="str">
        <f t="shared" si="11"/>
        <v>At Risk</v>
      </c>
    </row>
    <row r="376" spans="1:14" x14ac:dyDescent="0.35">
      <c r="A376">
        <v>1024</v>
      </c>
      <c r="B376" s="4">
        <v>45505.375085336993</v>
      </c>
      <c r="C376" t="s">
        <v>10</v>
      </c>
      <c r="D376" t="s">
        <v>20</v>
      </c>
      <c r="E376" t="s">
        <v>25</v>
      </c>
      <c r="F376">
        <v>2715.35</v>
      </c>
      <c r="G376">
        <f t="array" ref="G376">SalesData!$I$2 - 'RFM Table'!B376</f>
        <v>631</v>
      </c>
      <c r="H376">
        <f t="array" ref="H376">COUNTIF(A:A,A376)</f>
        <v>12</v>
      </c>
      <c r="I376">
        <f t="array" ref="I376">SUMIF(A:A,A376,F:F)</f>
        <v>48008.159999999996</v>
      </c>
      <c r="J376">
        <f t="array" ref="J376">5 - INT(5 * (RANK(G376,G:G, 1) - 1) / COUNT(G:G))</f>
        <v>1</v>
      </c>
      <c r="K376">
        <f t="array" ref="K376">INT(5 * (RANK(H376,H:H, 0) - 1) / COUNT(H:H)) + 1</f>
        <v>1</v>
      </c>
      <c r="L376">
        <f t="array" ref="L376">INT(5 * (RANK(I376,I:I, 0) - 1) / COUNT(I:I)) + 1</f>
        <v>1</v>
      </c>
      <c r="M376" t="str">
        <f t="shared" si="10"/>
        <v>111</v>
      </c>
      <c r="N376" s="6" t="str">
        <f t="shared" si="11"/>
        <v>Lost</v>
      </c>
    </row>
    <row r="377" spans="1:14" x14ac:dyDescent="0.35">
      <c r="A377">
        <v>1273</v>
      </c>
      <c r="B377" s="4">
        <v>45506.375085336993</v>
      </c>
      <c r="C377" t="s">
        <v>15</v>
      </c>
      <c r="D377" t="s">
        <v>22</v>
      </c>
      <c r="E377" t="s">
        <v>23</v>
      </c>
      <c r="F377">
        <v>1484.7</v>
      </c>
      <c r="G377">
        <f t="array" ref="G377">SalesData!$I$2 - 'RFM Table'!B377</f>
        <v>630</v>
      </c>
      <c r="H377">
        <f t="array" ref="H377">COUNTIF(A:A,A377)</f>
        <v>5</v>
      </c>
      <c r="I377">
        <f t="array" ref="I377">SUMIF(A:A,A377,F:F)</f>
        <v>20536.82</v>
      </c>
      <c r="J377">
        <f t="array" ref="J377">5 - INT(5 * (RANK(G377,G:G, 1) - 1) / COUNT(G:G))</f>
        <v>1</v>
      </c>
      <c r="K377">
        <f t="array" ref="K377">INT(5 * (RANK(H377,H:H, 0) - 1) / COUNT(H:H)) + 1</f>
        <v>5</v>
      </c>
      <c r="L377">
        <f t="array" ref="L377">INT(5 * (RANK(I377,I:I, 0) - 1) / COUNT(I:I)) + 1</f>
        <v>5</v>
      </c>
      <c r="M377" t="str">
        <f t="shared" si="10"/>
        <v>155</v>
      </c>
      <c r="N377" s="6" t="str">
        <f t="shared" si="11"/>
        <v>At Risk</v>
      </c>
    </row>
    <row r="378" spans="1:14" x14ac:dyDescent="0.35">
      <c r="A378">
        <v>1153</v>
      </c>
      <c r="B378" s="4">
        <v>45506.375085336993</v>
      </c>
      <c r="C378" t="s">
        <v>11</v>
      </c>
      <c r="D378" t="s">
        <v>21</v>
      </c>
      <c r="E378" t="s">
        <v>25</v>
      </c>
      <c r="F378">
        <v>2146.2399999999998</v>
      </c>
      <c r="G378">
        <f t="array" ref="G378">SalesData!$I$2 - 'RFM Table'!B378</f>
        <v>630</v>
      </c>
      <c r="H378">
        <f t="array" ref="H378">COUNTIF(A:A,A378)</f>
        <v>12</v>
      </c>
      <c r="I378">
        <f t="array" ref="I378">SUMIF(A:A,A378,F:F)</f>
        <v>42146.06</v>
      </c>
      <c r="J378">
        <f t="array" ref="J378">5 - INT(5 * (RANK(G378,G:G, 1) - 1) / COUNT(G:G))</f>
        <v>1</v>
      </c>
      <c r="K378">
        <f t="array" ref="K378">INT(5 * (RANK(H378,H:H, 0) - 1) / COUNT(H:H)) + 1</f>
        <v>1</v>
      </c>
      <c r="L378">
        <f t="array" ref="L378">INT(5 * (RANK(I378,I:I, 0) - 1) / COUNT(I:I)) + 1</f>
        <v>2</v>
      </c>
      <c r="M378" t="str">
        <f t="shared" si="10"/>
        <v>112</v>
      </c>
      <c r="N378" s="6" t="str">
        <f t="shared" si="11"/>
        <v>Lost</v>
      </c>
    </row>
    <row r="379" spans="1:14" x14ac:dyDescent="0.35">
      <c r="A379">
        <v>1141</v>
      </c>
      <c r="B379" s="4">
        <v>45506.375085336993</v>
      </c>
      <c r="C379" t="s">
        <v>12</v>
      </c>
      <c r="D379" t="s">
        <v>19</v>
      </c>
      <c r="E379" t="s">
        <v>25</v>
      </c>
      <c r="F379">
        <v>2764.68</v>
      </c>
      <c r="G379">
        <f t="array" ref="G379">SalesData!$I$2 - 'RFM Table'!B379</f>
        <v>630</v>
      </c>
      <c r="H379">
        <f t="array" ref="H379">COUNTIF(A:A,A379)</f>
        <v>5</v>
      </c>
      <c r="I379">
        <f t="array" ref="I379">SUMIF(A:A,A379,F:F)</f>
        <v>18049.21</v>
      </c>
      <c r="J379">
        <f t="array" ref="J379">5 - INT(5 * (RANK(G379,G:G, 1) - 1) / COUNT(G:G))</f>
        <v>1</v>
      </c>
      <c r="K379">
        <f t="array" ref="K379">INT(5 * (RANK(H379,H:H, 0) - 1) / COUNT(H:H)) + 1</f>
        <v>5</v>
      </c>
      <c r="L379">
        <f t="array" ref="L379">INT(5 * (RANK(I379,I:I, 0) - 1) / COUNT(I:I)) + 1</f>
        <v>5</v>
      </c>
      <c r="M379" t="str">
        <f t="shared" si="10"/>
        <v>155</v>
      </c>
      <c r="N379" s="6" t="str">
        <f t="shared" si="11"/>
        <v>At Risk</v>
      </c>
    </row>
    <row r="380" spans="1:14" x14ac:dyDescent="0.35">
      <c r="A380">
        <v>1088</v>
      </c>
      <c r="B380" s="4">
        <v>45507.375085336993</v>
      </c>
      <c r="C380" t="s">
        <v>14</v>
      </c>
      <c r="D380" t="s">
        <v>16</v>
      </c>
      <c r="E380" t="s">
        <v>25</v>
      </c>
      <c r="F380">
        <v>1339.48</v>
      </c>
      <c r="G380">
        <f t="array" ref="G380">SalesData!$I$2 - 'RFM Table'!B380</f>
        <v>629</v>
      </c>
      <c r="H380">
        <f t="array" ref="H380">COUNTIF(A:A,A380)</f>
        <v>8</v>
      </c>
      <c r="I380">
        <f t="array" ref="I380">SUMIF(A:A,A380,F:F)</f>
        <v>40213.310000000005</v>
      </c>
      <c r="J380">
        <f t="array" ref="J380">5 - INT(5 * (RANK(G380,G:G, 1) - 1) / COUNT(G:G))</f>
        <v>1</v>
      </c>
      <c r="K380">
        <f t="array" ref="K380">INT(5 * (RANK(H380,H:H, 0) - 1) / COUNT(H:H)) + 1</f>
        <v>3</v>
      </c>
      <c r="L380">
        <f t="array" ref="L380">INT(5 * (RANK(I380,I:I, 0) - 1) / COUNT(I:I)) + 1</f>
        <v>2</v>
      </c>
      <c r="M380" t="str">
        <f t="shared" si="10"/>
        <v>132</v>
      </c>
      <c r="N380" s="6" t="str">
        <f t="shared" si="11"/>
        <v>Others</v>
      </c>
    </row>
    <row r="381" spans="1:14" x14ac:dyDescent="0.35">
      <c r="A381">
        <v>1351</v>
      </c>
      <c r="B381" s="4">
        <v>45507.375085336993</v>
      </c>
      <c r="C381" t="s">
        <v>15</v>
      </c>
      <c r="D381" t="s">
        <v>22</v>
      </c>
      <c r="E381" t="s">
        <v>25</v>
      </c>
      <c r="F381">
        <v>2180.73</v>
      </c>
      <c r="G381">
        <f t="array" ref="G381">SalesData!$I$2 - 'RFM Table'!B381</f>
        <v>629</v>
      </c>
      <c r="H381">
        <f t="array" ref="H381">COUNTIF(A:A,A381)</f>
        <v>7</v>
      </c>
      <c r="I381">
        <f t="array" ref="I381">SUMIF(A:A,A381,F:F)</f>
        <v>18845.82</v>
      </c>
      <c r="J381">
        <f t="array" ref="J381">5 - INT(5 * (RANK(G381,G:G, 1) - 1) / COUNT(G:G))</f>
        <v>1</v>
      </c>
      <c r="K381">
        <f t="array" ref="K381">INT(5 * (RANK(H381,H:H, 0) - 1) / COUNT(H:H)) + 1</f>
        <v>4</v>
      </c>
      <c r="L381">
        <f t="array" ref="L381">INT(5 * (RANK(I381,I:I, 0) - 1) / COUNT(I:I)) + 1</f>
        <v>5</v>
      </c>
      <c r="M381" t="str">
        <f t="shared" si="10"/>
        <v>145</v>
      </c>
      <c r="N381" s="6" t="str">
        <f t="shared" si="11"/>
        <v>At Risk</v>
      </c>
    </row>
    <row r="382" spans="1:14" x14ac:dyDescent="0.35">
      <c r="A382">
        <v>1392</v>
      </c>
      <c r="B382" s="4">
        <v>45507.375085336993</v>
      </c>
      <c r="C382" t="s">
        <v>8</v>
      </c>
      <c r="D382" t="s">
        <v>22</v>
      </c>
      <c r="E382" t="s">
        <v>24</v>
      </c>
      <c r="F382">
        <v>4507.1400000000003</v>
      </c>
      <c r="G382">
        <f t="array" ref="G382">SalesData!$I$2 - 'RFM Table'!B382</f>
        <v>629</v>
      </c>
      <c r="H382">
        <f t="array" ref="H382">COUNTIF(A:A,A382)</f>
        <v>10</v>
      </c>
      <c r="I382">
        <f t="array" ref="I382">SUMIF(A:A,A382,F:F)</f>
        <v>27910.07</v>
      </c>
      <c r="J382">
        <f t="array" ref="J382">5 - INT(5 * (RANK(G382,G:G, 1) - 1) / COUNT(G:G))</f>
        <v>1</v>
      </c>
      <c r="K382">
        <f t="array" ref="K382">INT(5 * (RANK(H382,H:H, 0) - 1) / COUNT(H:H)) + 1</f>
        <v>2</v>
      </c>
      <c r="L382">
        <f t="array" ref="L382">INT(5 * (RANK(I382,I:I, 0) - 1) / COUNT(I:I)) + 1</f>
        <v>4</v>
      </c>
      <c r="M382" t="str">
        <f t="shared" si="10"/>
        <v>124</v>
      </c>
      <c r="N382" s="6" t="str">
        <f t="shared" si="11"/>
        <v>Can't Lose Them</v>
      </c>
    </row>
    <row r="383" spans="1:14" x14ac:dyDescent="0.35">
      <c r="A383">
        <v>1317</v>
      </c>
      <c r="B383" s="4">
        <v>45507.375085336993</v>
      </c>
      <c r="C383" t="s">
        <v>15</v>
      </c>
      <c r="D383" t="s">
        <v>17</v>
      </c>
      <c r="E383" t="s">
        <v>24</v>
      </c>
      <c r="F383">
        <v>3408.36</v>
      </c>
      <c r="G383">
        <f t="array" ref="G383">SalesData!$I$2 - 'RFM Table'!B383</f>
        <v>629</v>
      </c>
      <c r="H383">
        <f t="array" ref="H383">COUNTIF(A:A,A383)</f>
        <v>12</v>
      </c>
      <c r="I383">
        <f t="array" ref="I383">SUMIF(A:A,A383,F:F)</f>
        <v>43413.4</v>
      </c>
      <c r="J383">
        <f t="array" ref="J383">5 - INT(5 * (RANK(G383,G:G, 1) - 1) / COUNT(G:G))</f>
        <v>1</v>
      </c>
      <c r="K383">
        <f t="array" ref="K383">INT(5 * (RANK(H383,H:H, 0) - 1) / COUNT(H:H)) + 1</f>
        <v>1</v>
      </c>
      <c r="L383">
        <f t="array" ref="L383">INT(5 * (RANK(I383,I:I, 0) - 1) / COUNT(I:I)) + 1</f>
        <v>2</v>
      </c>
      <c r="M383" t="str">
        <f t="shared" si="10"/>
        <v>112</v>
      </c>
      <c r="N383" s="6" t="str">
        <f t="shared" si="11"/>
        <v>Lost</v>
      </c>
    </row>
    <row r="384" spans="1:14" x14ac:dyDescent="0.35">
      <c r="A384">
        <v>1040</v>
      </c>
      <c r="B384" s="4">
        <v>45507.375085336993</v>
      </c>
      <c r="C384" t="s">
        <v>11</v>
      </c>
      <c r="D384" t="s">
        <v>16</v>
      </c>
      <c r="E384" t="s">
        <v>25</v>
      </c>
      <c r="F384">
        <v>11048.72</v>
      </c>
      <c r="G384">
        <f t="array" ref="G384">SalesData!$I$2 - 'RFM Table'!B384</f>
        <v>629</v>
      </c>
      <c r="H384">
        <f t="array" ref="H384">COUNTIF(A:A,A384)</f>
        <v>7</v>
      </c>
      <c r="I384">
        <f t="array" ref="I384">SUMIF(A:A,A384,F:F)</f>
        <v>32869.479999999996</v>
      </c>
      <c r="J384">
        <f t="array" ref="J384">5 - INT(5 * (RANK(G384,G:G, 1) - 1) / COUNT(G:G))</f>
        <v>1</v>
      </c>
      <c r="K384">
        <f t="array" ref="K384">INT(5 * (RANK(H384,H:H, 0) - 1) / COUNT(H:H)) + 1</f>
        <v>4</v>
      </c>
      <c r="L384">
        <f t="array" ref="L384">INT(5 * (RANK(I384,I:I, 0) - 1) / COUNT(I:I)) + 1</f>
        <v>3</v>
      </c>
      <c r="M384" t="str">
        <f t="shared" si="10"/>
        <v>143</v>
      </c>
      <c r="N384" s="6" t="str">
        <f t="shared" si="11"/>
        <v>At Risk</v>
      </c>
    </row>
    <row r="385" spans="1:14" x14ac:dyDescent="0.35">
      <c r="A385">
        <v>1015</v>
      </c>
      <c r="B385" s="4">
        <v>45508.375085336993</v>
      </c>
      <c r="C385" t="s">
        <v>7</v>
      </c>
      <c r="D385" t="s">
        <v>20</v>
      </c>
      <c r="E385" t="s">
        <v>23</v>
      </c>
      <c r="F385">
        <v>1663.8</v>
      </c>
      <c r="G385">
        <f t="array" ref="G385">SalesData!$I$2 - 'RFM Table'!B385</f>
        <v>628</v>
      </c>
      <c r="H385">
        <f t="array" ref="H385">COUNTIF(A:A,A385)</f>
        <v>3</v>
      </c>
      <c r="I385">
        <f t="array" ref="I385">SUMIF(A:A,A385,F:F)</f>
        <v>4922.93</v>
      </c>
      <c r="J385">
        <f t="array" ref="J385">5 - INT(5 * (RANK(G385,G:G, 1) - 1) / COUNT(G:G))</f>
        <v>1</v>
      </c>
      <c r="K385">
        <f t="array" ref="K385">INT(5 * (RANK(H385,H:H, 0) - 1) / COUNT(H:H)) + 1</f>
        <v>5</v>
      </c>
      <c r="L385">
        <f t="array" ref="L385">INT(5 * (RANK(I385,I:I, 0) - 1) / COUNT(I:I)) + 1</f>
        <v>5</v>
      </c>
      <c r="M385" t="str">
        <f t="shared" si="10"/>
        <v>155</v>
      </c>
      <c r="N385" s="6" t="str">
        <f t="shared" si="11"/>
        <v>At Risk</v>
      </c>
    </row>
    <row r="386" spans="1:14" x14ac:dyDescent="0.35">
      <c r="A386">
        <v>1119</v>
      </c>
      <c r="B386" s="4">
        <v>45508.375085336993</v>
      </c>
      <c r="C386" t="s">
        <v>12</v>
      </c>
      <c r="D386" t="s">
        <v>19</v>
      </c>
      <c r="E386" t="s">
        <v>23</v>
      </c>
      <c r="F386">
        <v>1423.72</v>
      </c>
      <c r="G386">
        <f t="array" ref="G386">SalesData!$I$2 - 'RFM Table'!B386</f>
        <v>628</v>
      </c>
      <c r="H386">
        <f t="array" ref="H386">COUNTIF(A:A,A386)</f>
        <v>8</v>
      </c>
      <c r="I386">
        <f t="array" ref="I386">SUMIF(A:A,A386,F:F)</f>
        <v>33012.819999999992</v>
      </c>
      <c r="J386">
        <f t="array" ref="J386">5 - INT(5 * (RANK(G386,G:G, 1) - 1) / COUNT(G:G))</f>
        <v>1</v>
      </c>
      <c r="K386">
        <f t="array" ref="K386">INT(5 * (RANK(H386,H:H, 0) - 1) / COUNT(H:H)) + 1</f>
        <v>3</v>
      </c>
      <c r="L386">
        <f t="array" ref="L386">INT(5 * (RANK(I386,I:I, 0) - 1) / COUNT(I:I)) + 1</f>
        <v>3</v>
      </c>
      <c r="M386" t="str">
        <f t="shared" si="10"/>
        <v>133</v>
      </c>
      <c r="N386" s="6" t="str">
        <f t="shared" si="11"/>
        <v>At Risk</v>
      </c>
    </row>
    <row r="387" spans="1:14" x14ac:dyDescent="0.35">
      <c r="A387">
        <v>1284</v>
      </c>
      <c r="B387" s="4">
        <v>45508.375085336993</v>
      </c>
      <c r="C387" t="s">
        <v>10</v>
      </c>
      <c r="D387" t="s">
        <v>19</v>
      </c>
      <c r="E387" t="s">
        <v>23</v>
      </c>
      <c r="F387">
        <v>6403.89</v>
      </c>
      <c r="G387">
        <f t="array" ref="G387">SalesData!$I$2 - 'RFM Table'!B387</f>
        <v>628</v>
      </c>
      <c r="H387">
        <f t="array" ref="H387">COUNTIF(A:A,A387)</f>
        <v>12</v>
      </c>
      <c r="I387">
        <f t="array" ref="I387">SUMIF(A:A,A387,F:F)</f>
        <v>49930.359999999993</v>
      </c>
      <c r="J387">
        <f t="array" ref="J387">5 - INT(5 * (RANK(G387,G:G, 1) - 1) / COUNT(G:G))</f>
        <v>1</v>
      </c>
      <c r="K387">
        <f t="array" ref="K387">INT(5 * (RANK(H387,H:H, 0) - 1) / COUNT(H:H)) + 1</f>
        <v>1</v>
      </c>
      <c r="L387">
        <f t="array" ref="L387">INT(5 * (RANK(I387,I:I, 0) - 1) / COUNT(I:I)) + 1</f>
        <v>1</v>
      </c>
      <c r="M387" t="str">
        <f t="shared" ref="M387:M450" si="12">J387 &amp; K387 &amp; L387</f>
        <v>111</v>
      </c>
      <c r="N387" s="6" t="str">
        <f t="shared" ref="N387:N450" si="13">IF(AND(J387&gt;=4,K387&lt;=2),"New Customers",
IF(AND(J387&lt;=2,K387&gt;=3,L387&gt;=3),"At Risk",
IF(AND(J387&lt;=2,K387&lt;=2,L387&gt;=3),"Can't Lose Them",
IF(AND(J387&lt;=2,K387&lt;=2,L387&lt;=2),"Lost",
"Others"))))</f>
        <v>Lost</v>
      </c>
    </row>
    <row r="388" spans="1:14" x14ac:dyDescent="0.35">
      <c r="A388">
        <v>1161</v>
      </c>
      <c r="B388" s="4">
        <v>45509.375085336993</v>
      </c>
      <c r="C388" t="s">
        <v>15</v>
      </c>
      <c r="D388" t="s">
        <v>19</v>
      </c>
      <c r="E388" t="s">
        <v>23</v>
      </c>
      <c r="F388">
        <v>3921.31</v>
      </c>
      <c r="G388">
        <f t="array" ref="G388">SalesData!$I$2 - 'RFM Table'!B388</f>
        <v>627</v>
      </c>
      <c r="H388">
        <f t="array" ref="H388">COUNTIF(A:A,A388)</f>
        <v>4</v>
      </c>
      <c r="I388">
        <f t="array" ref="I388">SUMIF(A:A,A388,F:F)</f>
        <v>13595.329999999998</v>
      </c>
      <c r="J388">
        <f t="array" ref="J388">5 - INT(5 * (RANK(G388,G:G, 1) - 1) / COUNT(G:G))</f>
        <v>1</v>
      </c>
      <c r="K388">
        <f t="array" ref="K388">INT(5 * (RANK(H388,H:H, 0) - 1) / COUNT(H:H)) + 1</f>
        <v>5</v>
      </c>
      <c r="L388">
        <f t="array" ref="L388">INT(5 * (RANK(I388,I:I, 0) - 1) / COUNT(I:I)) + 1</f>
        <v>5</v>
      </c>
      <c r="M388" t="str">
        <f t="shared" si="12"/>
        <v>155</v>
      </c>
      <c r="N388" s="6" t="str">
        <f t="shared" si="13"/>
        <v>At Risk</v>
      </c>
    </row>
    <row r="389" spans="1:14" x14ac:dyDescent="0.35">
      <c r="A389">
        <v>1201</v>
      </c>
      <c r="B389" s="4">
        <v>45509.375085336993</v>
      </c>
      <c r="C389" t="s">
        <v>9</v>
      </c>
      <c r="D389" t="s">
        <v>19</v>
      </c>
      <c r="E389" t="s">
        <v>23</v>
      </c>
      <c r="F389">
        <v>2669.55</v>
      </c>
      <c r="G389">
        <f t="array" ref="G389">SalesData!$I$2 - 'RFM Table'!B389</f>
        <v>627</v>
      </c>
      <c r="H389">
        <f t="array" ref="H389">COUNTIF(A:A,A389)</f>
        <v>10</v>
      </c>
      <c r="I389">
        <f t="array" ref="I389">SUMIF(A:A,A389,F:F)</f>
        <v>30897.65</v>
      </c>
      <c r="J389">
        <f t="array" ref="J389">5 - INT(5 * (RANK(G389,G:G, 1) - 1) / COUNT(G:G))</f>
        <v>1</v>
      </c>
      <c r="K389">
        <f t="array" ref="K389">INT(5 * (RANK(H389,H:H, 0) - 1) / COUNT(H:H)) + 1</f>
        <v>2</v>
      </c>
      <c r="L389">
        <f t="array" ref="L389">INT(5 * (RANK(I389,I:I, 0) - 1) / COUNT(I:I)) + 1</f>
        <v>3</v>
      </c>
      <c r="M389" t="str">
        <f t="shared" si="12"/>
        <v>123</v>
      </c>
      <c r="N389" s="6" t="str">
        <f t="shared" si="13"/>
        <v>Can't Lose Them</v>
      </c>
    </row>
    <row r="390" spans="1:14" x14ac:dyDescent="0.35">
      <c r="A390">
        <v>1202</v>
      </c>
      <c r="B390" s="4">
        <v>45509.375085336993</v>
      </c>
      <c r="C390" t="s">
        <v>9</v>
      </c>
      <c r="D390" t="s">
        <v>22</v>
      </c>
      <c r="E390" t="s">
        <v>23</v>
      </c>
      <c r="F390">
        <v>3527.05</v>
      </c>
      <c r="G390">
        <f t="array" ref="G390">SalesData!$I$2 - 'RFM Table'!B390</f>
        <v>627</v>
      </c>
      <c r="H390">
        <f t="array" ref="H390">COUNTIF(A:A,A390)</f>
        <v>6</v>
      </c>
      <c r="I390">
        <f t="array" ref="I390">SUMIF(A:A,A390,F:F)</f>
        <v>14707.359999999999</v>
      </c>
      <c r="J390">
        <f t="array" ref="J390">5 - INT(5 * (RANK(G390,G:G, 1) - 1) / COUNT(G:G))</f>
        <v>1</v>
      </c>
      <c r="K390">
        <f t="array" ref="K390">INT(5 * (RANK(H390,H:H, 0) - 1) / COUNT(H:H)) + 1</f>
        <v>4</v>
      </c>
      <c r="L390">
        <f t="array" ref="L390">INT(5 * (RANK(I390,I:I, 0) - 1) / COUNT(I:I)) + 1</f>
        <v>5</v>
      </c>
      <c r="M390" t="str">
        <f t="shared" si="12"/>
        <v>145</v>
      </c>
      <c r="N390" s="6" t="str">
        <f t="shared" si="13"/>
        <v>At Risk</v>
      </c>
    </row>
    <row r="391" spans="1:14" x14ac:dyDescent="0.35">
      <c r="A391">
        <v>1133</v>
      </c>
      <c r="B391" s="4">
        <v>45509.375085336993</v>
      </c>
      <c r="C391" t="s">
        <v>6</v>
      </c>
      <c r="D391" t="s">
        <v>22</v>
      </c>
      <c r="E391" t="s">
        <v>24</v>
      </c>
      <c r="F391">
        <v>5710.57</v>
      </c>
      <c r="G391">
        <f t="array" ref="G391">SalesData!$I$2 - 'RFM Table'!B391</f>
        <v>627</v>
      </c>
      <c r="H391">
        <f t="array" ref="H391">COUNTIF(A:A,A391)</f>
        <v>8</v>
      </c>
      <c r="I391">
        <f t="array" ref="I391">SUMIF(A:A,A391,F:F)</f>
        <v>34167.589999999997</v>
      </c>
      <c r="J391">
        <f t="array" ref="J391">5 - INT(5 * (RANK(G391,G:G, 1) - 1) / COUNT(G:G))</f>
        <v>1</v>
      </c>
      <c r="K391">
        <f t="array" ref="K391">INT(5 * (RANK(H391,H:H, 0) - 1) / COUNT(H:H)) + 1</f>
        <v>3</v>
      </c>
      <c r="L391">
        <f t="array" ref="L391">INT(5 * (RANK(I391,I:I, 0) - 1) / COUNT(I:I)) + 1</f>
        <v>3</v>
      </c>
      <c r="M391" t="str">
        <f t="shared" si="12"/>
        <v>133</v>
      </c>
      <c r="N391" s="6" t="str">
        <f t="shared" si="13"/>
        <v>At Risk</v>
      </c>
    </row>
    <row r="392" spans="1:14" x14ac:dyDescent="0.35">
      <c r="A392">
        <v>1268</v>
      </c>
      <c r="B392" s="4">
        <v>45509.375085336993</v>
      </c>
      <c r="C392" t="s">
        <v>9</v>
      </c>
      <c r="D392" t="s">
        <v>21</v>
      </c>
      <c r="E392" t="s">
        <v>24</v>
      </c>
      <c r="F392">
        <v>2043.25</v>
      </c>
      <c r="G392">
        <f t="array" ref="G392">SalesData!$I$2 - 'RFM Table'!B392</f>
        <v>627</v>
      </c>
      <c r="H392">
        <f t="array" ref="H392">COUNTIF(A:A,A392)</f>
        <v>8</v>
      </c>
      <c r="I392">
        <f t="array" ref="I392">SUMIF(A:A,A392,F:F)</f>
        <v>48110.42</v>
      </c>
      <c r="J392">
        <f t="array" ref="J392">5 - INT(5 * (RANK(G392,G:G, 1) - 1) / COUNT(G:G))</f>
        <v>1</v>
      </c>
      <c r="K392">
        <f t="array" ref="K392">INT(5 * (RANK(H392,H:H, 0) - 1) / COUNT(H:H)) + 1</f>
        <v>3</v>
      </c>
      <c r="L392">
        <f t="array" ref="L392">INT(5 * (RANK(I392,I:I, 0) - 1) / COUNT(I:I)) + 1</f>
        <v>1</v>
      </c>
      <c r="M392" t="str">
        <f t="shared" si="12"/>
        <v>131</v>
      </c>
      <c r="N392" s="6" t="str">
        <f t="shared" si="13"/>
        <v>Others</v>
      </c>
    </row>
    <row r="393" spans="1:14" x14ac:dyDescent="0.35">
      <c r="A393">
        <v>1037</v>
      </c>
      <c r="B393" s="4">
        <v>45509.375085336993</v>
      </c>
      <c r="C393" t="s">
        <v>14</v>
      </c>
      <c r="D393" t="s">
        <v>17</v>
      </c>
      <c r="E393" t="s">
        <v>23</v>
      </c>
      <c r="F393">
        <v>5349.19</v>
      </c>
      <c r="G393">
        <f t="array" ref="G393">SalesData!$I$2 - 'RFM Table'!B393</f>
        <v>627</v>
      </c>
      <c r="H393">
        <f t="array" ref="H393">COUNTIF(A:A,A393)</f>
        <v>9</v>
      </c>
      <c r="I393">
        <f t="array" ref="I393">SUMIF(A:A,A393,F:F)</f>
        <v>42109.760000000002</v>
      </c>
      <c r="J393">
        <f t="array" ref="J393">5 - INT(5 * (RANK(G393,G:G, 1) - 1) / COUNT(G:G))</f>
        <v>1</v>
      </c>
      <c r="K393">
        <f t="array" ref="K393">INT(5 * (RANK(H393,H:H, 0) - 1) / COUNT(H:H)) + 1</f>
        <v>2</v>
      </c>
      <c r="L393">
        <f t="array" ref="L393">INT(5 * (RANK(I393,I:I, 0) - 1) / COUNT(I:I)) + 1</f>
        <v>2</v>
      </c>
      <c r="M393" t="str">
        <f t="shared" si="12"/>
        <v>122</v>
      </c>
      <c r="N393" s="6" t="str">
        <f t="shared" si="13"/>
        <v>Lost</v>
      </c>
    </row>
    <row r="394" spans="1:14" x14ac:dyDescent="0.35">
      <c r="A394">
        <v>1125</v>
      </c>
      <c r="B394" s="4">
        <v>45509.375085336993</v>
      </c>
      <c r="C394" t="s">
        <v>14</v>
      </c>
      <c r="D394" t="s">
        <v>19</v>
      </c>
      <c r="E394" t="s">
        <v>24</v>
      </c>
      <c r="F394">
        <v>3748.33</v>
      </c>
      <c r="G394">
        <f t="array" ref="G394">SalesData!$I$2 - 'RFM Table'!B394</f>
        <v>627</v>
      </c>
      <c r="H394">
        <f t="array" ref="H394">COUNTIF(A:A,A394)</f>
        <v>9</v>
      </c>
      <c r="I394">
        <f t="array" ref="I394">SUMIF(A:A,A394,F:F)</f>
        <v>32520.350000000002</v>
      </c>
      <c r="J394">
        <f t="array" ref="J394">5 - INT(5 * (RANK(G394,G:G, 1) - 1) / COUNT(G:G))</f>
        <v>1</v>
      </c>
      <c r="K394">
        <f t="array" ref="K394">INT(5 * (RANK(H394,H:H, 0) - 1) / COUNT(H:H)) + 1</f>
        <v>2</v>
      </c>
      <c r="L394">
        <f t="array" ref="L394">INT(5 * (RANK(I394,I:I, 0) - 1) / COUNT(I:I)) + 1</f>
        <v>3</v>
      </c>
      <c r="M394" t="str">
        <f t="shared" si="12"/>
        <v>123</v>
      </c>
      <c r="N394" s="6" t="str">
        <f t="shared" si="13"/>
        <v>Can't Lose Them</v>
      </c>
    </row>
    <row r="395" spans="1:14" x14ac:dyDescent="0.35">
      <c r="A395">
        <v>1036</v>
      </c>
      <c r="B395" s="4">
        <v>45509.375085336993</v>
      </c>
      <c r="C395" t="s">
        <v>15</v>
      </c>
      <c r="D395" t="s">
        <v>20</v>
      </c>
      <c r="E395" t="s">
        <v>25</v>
      </c>
      <c r="F395">
        <v>368.86</v>
      </c>
      <c r="G395">
        <f t="array" ref="G395">SalesData!$I$2 - 'RFM Table'!B395</f>
        <v>627</v>
      </c>
      <c r="H395">
        <f t="array" ref="H395">COUNTIF(A:A,A395)</f>
        <v>6</v>
      </c>
      <c r="I395">
        <f t="array" ref="I395">SUMIF(A:A,A395,F:F)</f>
        <v>18264</v>
      </c>
      <c r="J395">
        <f t="array" ref="J395">5 - INT(5 * (RANK(G395,G:G, 1) - 1) / COUNT(G:G))</f>
        <v>1</v>
      </c>
      <c r="K395">
        <f t="array" ref="K395">INT(5 * (RANK(H395,H:H, 0) - 1) / COUNT(H:H)) + 1</f>
        <v>4</v>
      </c>
      <c r="L395">
        <f t="array" ref="L395">INT(5 * (RANK(I395,I:I, 0) - 1) / COUNT(I:I)) + 1</f>
        <v>5</v>
      </c>
      <c r="M395" t="str">
        <f t="shared" si="12"/>
        <v>145</v>
      </c>
      <c r="N395" s="6" t="str">
        <f t="shared" si="13"/>
        <v>At Risk</v>
      </c>
    </row>
    <row r="396" spans="1:14" x14ac:dyDescent="0.35">
      <c r="A396">
        <v>1160</v>
      </c>
      <c r="B396" s="4">
        <v>45510.375085336993</v>
      </c>
      <c r="C396" t="s">
        <v>12</v>
      </c>
      <c r="D396" t="s">
        <v>18</v>
      </c>
      <c r="E396" t="s">
        <v>23</v>
      </c>
      <c r="F396">
        <v>4296.01</v>
      </c>
      <c r="G396">
        <f t="array" ref="G396">SalesData!$I$2 - 'RFM Table'!B396</f>
        <v>626</v>
      </c>
      <c r="H396">
        <f t="array" ref="H396">COUNTIF(A:A,A396)</f>
        <v>13</v>
      </c>
      <c r="I396">
        <f t="array" ref="I396">SUMIF(A:A,A396,F:F)</f>
        <v>56128.799999999996</v>
      </c>
      <c r="J396">
        <f t="array" ref="J396">5 - INT(5 * (RANK(G396,G:G, 1) - 1) / COUNT(G:G))</f>
        <v>1</v>
      </c>
      <c r="K396">
        <f t="array" ref="K396">INT(5 * (RANK(H396,H:H, 0) - 1) / COUNT(H:H)) + 1</f>
        <v>1</v>
      </c>
      <c r="L396">
        <f t="array" ref="L396">INT(5 * (RANK(I396,I:I, 0) - 1) / COUNT(I:I)) + 1</f>
        <v>1</v>
      </c>
      <c r="M396" t="str">
        <f t="shared" si="12"/>
        <v>111</v>
      </c>
      <c r="N396" s="6" t="str">
        <f t="shared" si="13"/>
        <v>Lost</v>
      </c>
    </row>
    <row r="397" spans="1:14" x14ac:dyDescent="0.35">
      <c r="A397">
        <v>1101</v>
      </c>
      <c r="B397" s="4">
        <v>45510.375085336993</v>
      </c>
      <c r="C397" t="s">
        <v>11</v>
      </c>
      <c r="D397" t="s">
        <v>19</v>
      </c>
      <c r="E397" t="s">
        <v>24</v>
      </c>
      <c r="F397">
        <v>4075.55</v>
      </c>
      <c r="G397">
        <f t="array" ref="G397">SalesData!$I$2 - 'RFM Table'!B397</f>
        <v>626</v>
      </c>
      <c r="H397">
        <f t="array" ref="H397">COUNTIF(A:A,A397)</f>
        <v>7</v>
      </c>
      <c r="I397">
        <f t="array" ref="I397">SUMIF(A:A,A397,F:F)</f>
        <v>27512.969999999998</v>
      </c>
      <c r="J397">
        <f t="array" ref="J397">5 - INT(5 * (RANK(G397,G:G, 1) - 1) / COUNT(G:G))</f>
        <v>1</v>
      </c>
      <c r="K397">
        <f t="array" ref="K397">INT(5 * (RANK(H397,H:H, 0) - 1) / COUNT(H:H)) + 1</f>
        <v>4</v>
      </c>
      <c r="L397">
        <f t="array" ref="L397">INT(5 * (RANK(I397,I:I, 0) - 1) / COUNT(I:I)) + 1</f>
        <v>4</v>
      </c>
      <c r="M397" t="str">
        <f t="shared" si="12"/>
        <v>144</v>
      </c>
      <c r="N397" s="6" t="str">
        <f t="shared" si="13"/>
        <v>At Risk</v>
      </c>
    </row>
    <row r="398" spans="1:14" x14ac:dyDescent="0.35">
      <c r="A398">
        <v>1301</v>
      </c>
      <c r="B398" s="4">
        <v>45510.375085336993</v>
      </c>
      <c r="C398" t="s">
        <v>6</v>
      </c>
      <c r="D398" t="s">
        <v>22</v>
      </c>
      <c r="E398" t="s">
        <v>24</v>
      </c>
      <c r="F398">
        <v>4785.3</v>
      </c>
      <c r="G398">
        <f t="array" ref="G398">SalesData!$I$2 - 'RFM Table'!B398</f>
        <v>626</v>
      </c>
      <c r="H398">
        <f t="array" ref="H398">COUNTIF(A:A,A398)</f>
        <v>12</v>
      </c>
      <c r="I398">
        <f t="array" ref="I398">SUMIF(A:A,A398,F:F)</f>
        <v>44897.450000000004</v>
      </c>
      <c r="J398">
        <f t="array" ref="J398">5 - INT(5 * (RANK(G398,G:G, 1) - 1) / COUNT(G:G))</f>
        <v>1</v>
      </c>
      <c r="K398">
        <f t="array" ref="K398">INT(5 * (RANK(H398,H:H, 0) - 1) / COUNT(H:H)) + 1</f>
        <v>1</v>
      </c>
      <c r="L398">
        <f t="array" ref="L398">INT(5 * (RANK(I398,I:I, 0) - 1) / COUNT(I:I)) + 1</f>
        <v>1</v>
      </c>
      <c r="M398" t="str">
        <f t="shared" si="12"/>
        <v>111</v>
      </c>
      <c r="N398" s="6" t="str">
        <f t="shared" si="13"/>
        <v>Lost</v>
      </c>
    </row>
    <row r="399" spans="1:14" x14ac:dyDescent="0.35">
      <c r="A399">
        <v>1271</v>
      </c>
      <c r="B399" s="4">
        <v>45510.375085336993</v>
      </c>
      <c r="C399" t="s">
        <v>13</v>
      </c>
      <c r="D399" t="s">
        <v>19</v>
      </c>
      <c r="E399" t="s">
        <v>23</v>
      </c>
      <c r="F399">
        <v>2762.08</v>
      </c>
      <c r="G399">
        <f t="array" ref="G399">SalesData!$I$2 - 'RFM Table'!B399</f>
        <v>626</v>
      </c>
      <c r="H399">
        <f t="array" ref="H399">COUNTIF(A:A,A399)</f>
        <v>4</v>
      </c>
      <c r="I399">
        <f t="array" ref="I399">SUMIF(A:A,A399,F:F)</f>
        <v>18876.47</v>
      </c>
      <c r="J399">
        <f t="array" ref="J399">5 - INT(5 * (RANK(G399,G:G, 1) - 1) / COUNT(G:G))</f>
        <v>1</v>
      </c>
      <c r="K399">
        <f t="array" ref="K399">INT(5 * (RANK(H399,H:H, 0) - 1) / COUNT(H:H)) + 1</f>
        <v>5</v>
      </c>
      <c r="L399">
        <f t="array" ref="L399">INT(5 * (RANK(I399,I:I, 0) - 1) / COUNT(I:I)) + 1</f>
        <v>5</v>
      </c>
      <c r="M399" t="str">
        <f t="shared" si="12"/>
        <v>155</v>
      </c>
      <c r="N399" s="6" t="str">
        <f t="shared" si="13"/>
        <v>At Risk</v>
      </c>
    </row>
    <row r="400" spans="1:14" x14ac:dyDescent="0.35">
      <c r="A400">
        <v>1142</v>
      </c>
      <c r="B400" s="4">
        <v>45511.375085336993</v>
      </c>
      <c r="C400" t="s">
        <v>9</v>
      </c>
      <c r="D400" t="s">
        <v>20</v>
      </c>
      <c r="E400" t="s">
        <v>24</v>
      </c>
      <c r="F400">
        <v>11961.39</v>
      </c>
      <c r="G400">
        <f t="array" ref="G400">SalesData!$I$2 - 'RFM Table'!B400</f>
        <v>625</v>
      </c>
      <c r="H400">
        <f t="array" ref="H400">COUNTIF(A:A,A400)</f>
        <v>10</v>
      </c>
      <c r="I400">
        <f t="array" ref="I400">SUMIF(A:A,A400,F:F)</f>
        <v>45537.319999999992</v>
      </c>
      <c r="J400">
        <f t="array" ref="J400">5 - INT(5 * (RANK(G400,G:G, 1) - 1) / COUNT(G:G))</f>
        <v>1</v>
      </c>
      <c r="K400">
        <f t="array" ref="K400">INT(5 * (RANK(H400,H:H, 0) - 1) / COUNT(H:H)) + 1</f>
        <v>2</v>
      </c>
      <c r="L400">
        <f t="array" ref="L400">INT(5 * (RANK(I400,I:I, 0) - 1) / COUNT(I:I)) + 1</f>
        <v>1</v>
      </c>
      <c r="M400" t="str">
        <f t="shared" si="12"/>
        <v>121</v>
      </c>
      <c r="N400" s="6" t="str">
        <f t="shared" si="13"/>
        <v>Lost</v>
      </c>
    </row>
    <row r="401" spans="1:14" x14ac:dyDescent="0.35">
      <c r="A401">
        <v>1151</v>
      </c>
      <c r="B401" s="4">
        <v>45511.375085336993</v>
      </c>
      <c r="C401" t="s">
        <v>11</v>
      </c>
      <c r="D401" t="s">
        <v>18</v>
      </c>
      <c r="E401" t="s">
        <v>24</v>
      </c>
      <c r="F401">
        <v>1073.77</v>
      </c>
      <c r="G401">
        <f t="array" ref="G401">SalesData!$I$2 - 'RFM Table'!B401</f>
        <v>625</v>
      </c>
      <c r="H401">
        <f t="array" ref="H401">COUNTIF(A:A,A401)</f>
        <v>13</v>
      </c>
      <c r="I401">
        <f t="array" ref="I401">SUMIF(A:A,A401,F:F)</f>
        <v>49208.94</v>
      </c>
      <c r="J401">
        <f t="array" ref="J401">5 - INT(5 * (RANK(G401,G:G, 1) - 1) / COUNT(G:G))</f>
        <v>1</v>
      </c>
      <c r="K401">
        <f t="array" ref="K401">INT(5 * (RANK(H401,H:H, 0) - 1) / COUNT(H:H)) + 1</f>
        <v>1</v>
      </c>
      <c r="L401">
        <f t="array" ref="L401">INT(5 * (RANK(I401,I:I, 0) - 1) / COUNT(I:I)) + 1</f>
        <v>1</v>
      </c>
      <c r="M401" t="str">
        <f t="shared" si="12"/>
        <v>111</v>
      </c>
      <c r="N401" s="6" t="str">
        <f t="shared" si="13"/>
        <v>Lost</v>
      </c>
    </row>
    <row r="402" spans="1:14" x14ac:dyDescent="0.35">
      <c r="A402">
        <v>1128</v>
      </c>
      <c r="B402" s="4">
        <v>45511.375085336993</v>
      </c>
      <c r="C402" t="s">
        <v>6</v>
      </c>
      <c r="D402" t="s">
        <v>18</v>
      </c>
      <c r="E402" t="s">
        <v>25</v>
      </c>
      <c r="F402">
        <v>5173.16</v>
      </c>
      <c r="G402">
        <f t="array" ref="G402">SalesData!$I$2 - 'RFM Table'!B402</f>
        <v>625</v>
      </c>
      <c r="H402">
        <f t="array" ref="H402">COUNTIF(A:A,A402)</f>
        <v>8</v>
      </c>
      <c r="I402">
        <f t="array" ref="I402">SUMIF(A:A,A402,F:F)</f>
        <v>36475.079999999994</v>
      </c>
      <c r="J402">
        <f t="array" ref="J402">5 - INT(5 * (RANK(G402,G:G, 1) - 1) / COUNT(G:G))</f>
        <v>1</v>
      </c>
      <c r="K402">
        <f t="array" ref="K402">INT(5 * (RANK(H402,H:H, 0) - 1) / COUNT(H:H)) + 1</f>
        <v>3</v>
      </c>
      <c r="L402">
        <f t="array" ref="L402">INT(5 * (RANK(I402,I:I, 0) - 1) / COUNT(I:I)) + 1</f>
        <v>3</v>
      </c>
      <c r="M402" t="str">
        <f t="shared" si="12"/>
        <v>133</v>
      </c>
      <c r="N402" s="6" t="str">
        <f t="shared" si="13"/>
        <v>At Risk</v>
      </c>
    </row>
    <row r="403" spans="1:14" x14ac:dyDescent="0.35">
      <c r="A403">
        <v>1012</v>
      </c>
      <c r="B403" s="4">
        <v>45512.375085336993</v>
      </c>
      <c r="C403" t="s">
        <v>6</v>
      </c>
      <c r="D403" t="s">
        <v>17</v>
      </c>
      <c r="E403" t="s">
        <v>24</v>
      </c>
      <c r="F403">
        <v>3681.81</v>
      </c>
      <c r="G403">
        <f t="array" ref="G403">SalesData!$I$2 - 'RFM Table'!B403</f>
        <v>624</v>
      </c>
      <c r="H403">
        <f t="array" ref="H403">COUNTIF(A:A,A403)</f>
        <v>8</v>
      </c>
      <c r="I403">
        <f t="array" ref="I403">SUMIF(A:A,A403,F:F)</f>
        <v>35967.03</v>
      </c>
      <c r="J403">
        <f t="array" ref="J403">5 - INT(5 * (RANK(G403,G:G, 1) - 1) / COUNT(G:G))</f>
        <v>1</v>
      </c>
      <c r="K403">
        <f t="array" ref="K403">INT(5 * (RANK(H403,H:H, 0) - 1) / COUNT(H:H)) + 1</f>
        <v>3</v>
      </c>
      <c r="L403">
        <f t="array" ref="L403">INT(5 * (RANK(I403,I:I, 0) - 1) / COUNT(I:I)) + 1</f>
        <v>3</v>
      </c>
      <c r="M403" t="str">
        <f t="shared" si="12"/>
        <v>133</v>
      </c>
      <c r="N403" s="6" t="str">
        <f t="shared" si="13"/>
        <v>At Risk</v>
      </c>
    </row>
    <row r="404" spans="1:14" x14ac:dyDescent="0.35">
      <c r="A404">
        <v>1145</v>
      </c>
      <c r="B404" s="4">
        <v>45512.375085336993</v>
      </c>
      <c r="C404" t="s">
        <v>14</v>
      </c>
      <c r="D404" t="s">
        <v>19</v>
      </c>
      <c r="E404" t="s">
        <v>23</v>
      </c>
      <c r="F404">
        <v>5012.57</v>
      </c>
      <c r="G404">
        <f t="array" ref="G404">SalesData!$I$2 - 'RFM Table'!B404</f>
        <v>624</v>
      </c>
      <c r="H404">
        <f t="array" ref="H404">COUNTIF(A:A,A404)</f>
        <v>9</v>
      </c>
      <c r="I404">
        <f t="array" ref="I404">SUMIF(A:A,A404,F:F)</f>
        <v>36233.340000000004</v>
      </c>
      <c r="J404">
        <f t="array" ref="J404">5 - INT(5 * (RANK(G404,G:G, 1) - 1) / COUNT(G:G))</f>
        <v>1</v>
      </c>
      <c r="K404">
        <f t="array" ref="K404">INT(5 * (RANK(H404,H:H, 0) - 1) / COUNT(H:H)) + 1</f>
        <v>2</v>
      </c>
      <c r="L404">
        <f t="array" ref="L404">INT(5 * (RANK(I404,I:I, 0) - 1) / COUNT(I:I)) + 1</f>
        <v>3</v>
      </c>
      <c r="M404" t="str">
        <f t="shared" si="12"/>
        <v>123</v>
      </c>
      <c r="N404" s="6" t="str">
        <f t="shared" si="13"/>
        <v>Can't Lose Them</v>
      </c>
    </row>
    <row r="405" spans="1:14" x14ac:dyDescent="0.35">
      <c r="A405">
        <v>1153</v>
      </c>
      <c r="B405" s="4">
        <v>45512.375085336993</v>
      </c>
      <c r="C405" t="s">
        <v>15</v>
      </c>
      <c r="D405" t="s">
        <v>19</v>
      </c>
      <c r="E405" t="s">
        <v>23</v>
      </c>
      <c r="F405">
        <v>619.78</v>
      </c>
      <c r="G405">
        <f t="array" ref="G405">SalesData!$I$2 - 'RFM Table'!B405</f>
        <v>624</v>
      </c>
      <c r="H405">
        <f t="array" ref="H405">COUNTIF(A:A,A405)</f>
        <v>12</v>
      </c>
      <c r="I405">
        <f t="array" ref="I405">SUMIF(A:A,A405,F:F)</f>
        <v>42146.06</v>
      </c>
      <c r="J405">
        <f t="array" ref="J405">5 - INT(5 * (RANK(G405,G:G, 1) - 1) / COUNT(G:G))</f>
        <v>1</v>
      </c>
      <c r="K405">
        <f t="array" ref="K405">INT(5 * (RANK(H405,H:H, 0) - 1) / COUNT(H:H)) + 1</f>
        <v>1</v>
      </c>
      <c r="L405">
        <f t="array" ref="L405">INT(5 * (RANK(I405,I:I, 0) - 1) / COUNT(I:I)) + 1</f>
        <v>2</v>
      </c>
      <c r="M405" t="str">
        <f t="shared" si="12"/>
        <v>112</v>
      </c>
      <c r="N405" s="6" t="str">
        <f t="shared" si="13"/>
        <v>Lost</v>
      </c>
    </row>
    <row r="406" spans="1:14" x14ac:dyDescent="0.35">
      <c r="A406">
        <v>1228</v>
      </c>
      <c r="B406" s="4">
        <v>45513.375085336993</v>
      </c>
      <c r="C406" t="s">
        <v>15</v>
      </c>
      <c r="D406" t="s">
        <v>17</v>
      </c>
      <c r="E406" t="s">
        <v>23</v>
      </c>
      <c r="F406">
        <v>3641.84</v>
      </c>
      <c r="G406">
        <f t="array" ref="G406">SalesData!$I$2 - 'RFM Table'!B406</f>
        <v>623</v>
      </c>
      <c r="H406">
        <f t="array" ref="H406">COUNTIF(A:A,A406)</f>
        <v>13</v>
      </c>
      <c r="I406">
        <f t="array" ref="I406">SUMIF(A:A,A406,F:F)</f>
        <v>47658.630000000005</v>
      </c>
      <c r="J406">
        <f t="array" ref="J406">5 - INT(5 * (RANK(G406,G:G, 1) - 1) / COUNT(G:G))</f>
        <v>1</v>
      </c>
      <c r="K406">
        <f t="array" ref="K406">INT(5 * (RANK(H406,H:H, 0) - 1) / COUNT(H:H)) + 1</f>
        <v>1</v>
      </c>
      <c r="L406">
        <f t="array" ref="L406">INT(5 * (RANK(I406,I:I, 0) - 1) / COUNT(I:I)) + 1</f>
        <v>1</v>
      </c>
      <c r="M406" t="str">
        <f t="shared" si="12"/>
        <v>111</v>
      </c>
      <c r="N406" s="6" t="str">
        <f t="shared" si="13"/>
        <v>Lost</v>
      </c>
    </row>
    <row r="407" spans="1:14" x14ac:dyDescent="0.35">
      <c r="A407">
        <v>1024</v>
      </c>
      <c r="B407" s="4">
        <v>45513.375085336993</v>
      </c>
      <c r="C407" t="s">
        <v>13</v>
      </c>
      <c r="D407" t="s">
        <v>17</v>
      </c>
      <c r="E407" t="s">
        <v>24</v>
      </c>
      <c r="F407">
        <v>4677.72</v>
      </c>
      <c r="G407">
        <f t="array" ref="G407">SalesData!$I$2 - 'RFM Table'!B407</f>
        <v>623</v>
      </c>
      <c r="H407">
        <f t="array" ref="H407">COUNTIF(A:A,A407)</f>
        <v>12</v>
      </c>
      <c r="I407">
        <f t="array" ref="I407">SUMIF(A:A,A407,F:F)</f>
        <v>48008.159999999996</v>
      </c>
      <c r="J407">
        <f t="array" ref="J407">5 - INT(5 * (RANK(G407,G:G, 1) - 1) / COUNT(G:G))</f>
        <v>1</v>
      </c>
      <c r="K407">
        <f t="array" ref="K407">INT(5 * (RANK(H407,H:H, 0) - 1) / COUNT(H:H)) + 1</f>
        <v>1</v>
      </c>
      <c r="L407">
        <f t="array" ref="L407">INT(5 * (RANK(I407,I:I, 0) - 1) / COUNT(I:I)) + 1</f>
        <v>1</v>
      </c>
      <c r="M407" t="str">
        <f t="shared" si="12"/>
        <v>111</v>
      </c>
      <c r="N407" s="6" t="str">
        <f t="shared" si="13"/>
        <v>Lost</v>
      </c>
    </row>
    <row r="408" spans="1:14" x14ac:dyDescent="0.35">
      <c r="A408">
        <v>1314</v>
      </c>
      <c r="B408" s="4">
        <v>45513.375085336993</v>
      </c>
      <c r="C408" t="s">
        <v>15</v>
      </c>
      <c r="D408" t="s">
        <v>17</v>
      </c>
      <c r="E408" t="s">
        <v>23</v>
      </c>
      <c r="F408">
        <v>8381.77</v>
      </c>
      <c r="G408">
        <f t="array" ref="G408">SalesData!$I$2 - 'RFM Table'!B408</f>
        <v>623</v>
      </c>
      <c r="H408">
        <f t="array" ref="H408">COUNTIF(A:A,A408)</f>
        <v>5</v>
      </c>
      <c r="I408">
        <f t="array" ref="I408">SUMIF(A:A,A408,F:F)</f>
        <v>24865.420000000002</v>
      </c>
      <c r="J408">
        <f t="array" ref="J408">5 - INT(5 * (RANK(G408,G:G, 1) - 1) / COUNT(G:G))</f>
        <v>1</v>
      </c>
      <c r="K408">
        <f t="array" ref="K408">INT(5 * (RANK(H408,H:H, 0) - 1) / COUNT(H:H)) + 1</f>
        <v>5</v>
      </c>
      <c r="L408">
        <f t="array" ref="L408">INT(5 * (RANK(I408,I:I, 0) - 1) / COUNT(I:I)) + 1</f>
        <v>4</v>
      </c>
      <c r="M408" t="str">
        <f t="shared" si="12"/>
        <v>154</v>
      </c>
      <c r="N408" s="6" t="str">
        <f t="shared" si="13"/>
        <v>At Risk</v>
      </c>
    </row>
    <row r="409" spans="1:14" x14ac:dyDescent="0.35">
      <c r="A409">
        <v>1249</v>
      </c>
      <c r="B409" s="4">
        <v>45514.375085336993</v>
      </c>
      <c r="C409" t="s">
        <v>7</v>
      </c>
      <c r="D409" t="s">
        <v>16</v>
      </c>
      <c r="E409" t="s">
        <v>24</v>
      </c>
      <c r="F409">
        <v>5443.63</v>
      </c>
      <c r="G409">
        <f t="array" ref="G409">SalesData!$I$2 - 'RFM Table'!B409</f>
        <v>622</v>
      </c>
      <c r="H409">
        <f t="array" ref="H409">COUNTIF(A:A,A409)</f>
        <v>6</v>
      </c>
      <c r="I409">
        <f t="array" ref="I409">SUMIF(A:A,A409,F:F)</f>
        <v>29261.35</v>
      </c>
      <c r="J409">
        <f t="array" ref="J409">5 - INT(5 * (RANK(G409,G:G, 1) - 1) / COUNT(G:G))</f>
        <v>1</v>
      </c>
      <c r="K409">
        <f t="array" ref="K409">INT(5 * (RANK(H409,H:H, 0) - 1) / COUNT(H:H)) + 1</f>
        <v>4</v>
      </c>
      <c r="L409">
        <f t="array" ref="L409">INT(5 * (RANK(I409,I:I, 0) - 1) / COUNT(I:I)) + 1</f>
        <v>4</v>
      </c>
      <c r="M409" t="str">
        <f t="shared" si="12"/>
        <v>144</v>
      </c>
      <c r="N409" s="6" t="str">
        <f t="shared" si="13"/>
        <v>At Risk</v>
      </c>
    </row>
    <row r="410" spans="1:14" x14ac:dyDescent="0.35">
      <c r="A410">
        <v>1360</v>
      </c>
      <c r="B410" s="4">
        <v>45514.375085336993</v>
      </c>
      <c r="C410" t="s">
        <v>6</v>
      </c>
      <c r="D410" t="s">
        <v>19</v>
      </c>
      <c r="E410" t="s">
        <v>25</v>
      </c>
      <c r="F410">
        <v>1539.64</v>
      </c>
      <c r="G410">
        <f t="array" ref="G410">SalesData!$I$2 - 'RFM Table'!B410</f>
        <v>622</v>
      </c>
      <c r="H410">
        <f t="array" ref="H410">COUNTIF(A:A,A410)</f>
        <v>8</v>
      </c>
      <c r="I410">
        <f t="array" ref="I410">SUMIF(A:A,A410,F:F)</f>
        <v>31675.43</v>
      </c>
      <c r="J410">
        <f t="array" ref="J410">5 - INT(5 * (RANK(G410,G:G, 1) - 1) / COUNT(G:G))</f>
        <v>1</v>
      </c>
      <c r="K410">
        <f t="array" ref="K410">INT(5 * (RANK(H410,H:H, 0) - 1) / COUNT(H:H)) + 1</f>
        <v>3</v>
      </c>
      <c r="L410">
        <f t="array" ref="L410">INT(5 * (RANK(I410,I:I, 0) - 1) / COUNT(I:I)) + 1</f>
        <v>3</v>
      </c>
      <c r="M410" t="str">
        <f t="shared" si="12"/>
        <v>133</v>
      </c>
      <c r="N410" s="6" t="str">
        <f t="shared" si="13"/>
        <v>At Risk</v>
      </c>
    </row>
    <row r="411" spans="1:14" x14ac:dyDescent="0.35">
      <c r="A411">
        <v>1099</v>
      </c>
      <c r="B411" s="4">
        <v>45514.375085336993</v>
      </c>
      <c r="C411" t="s">
        <v>14</v>
      </c>
      <c r="D411" t="s">
        <v>21</v>
      </c>
      <c r="E411" t="s">
        <v>24</v>
      </c>
      <c r="F411">
        <v>4726.7700000000004</v>
      </c>
      <c r="G411">
        <f t="array" ref="G411">SalesData!$I$2 - 'RFM Table'!B411</f>
        <v>622</v>
      </c>
      <c r="H411">
        <f t="array" ref="H411">COUNTIF(A:A,A411)</f>
        <v>6</v>
      </c>
      <c r="I411">
        <f t="array" ref="I411">SUMIF(A:A,A411,F:F)</f>
        <v>20804.55</v>
      </c>
      <c r="J411">
        <f t="array" ref="J411">5 - INT(5 * (RANK(G411,G:G, 1) - 1) / COUNT(G:G))</f>
        <v>1</v>
      </c>
      <c r="K411">
        <f t="array" ref="K411">INT(5 * (RANK(H411,H:H, 0) - 1) / COUNT(H:H)) + 1</f>
        <v>4</v>
      </c>
      <c r="L411">
        <f t="array" ref="L411">INT(5 * (RANK(I411,I:I, 0) - 1) / COUNT(I:I)) + 1</f>
        <v>5</v>
      </c>
      <c r="M411" t="str">
        <f t="shared" si="12"/>
        <v>145</v>
      </c>
      <c r="N411" s="6" t="str">
        <f t="shared" si="13"/>
        <v>At Risk</v>
      </c>
    </row>
    <row r="412" spans="1:14" x14ac:dyDescent="0.35">
      <c r="A412">
        <v>1268</v>
      </c>
      <c r="B412" s="4">
        <v>45514.375085336993</v>
      </c>
      <c r="C412" t="s">
        <v>6</v>
      </c>
      <c r="D412" t="s">
        <v>19</v>
      </c>
      <c r="E412" t="s">
        <v>23</v>
      </c>
      <c r="F412">
        <v>8398.9500000000007</v>
      </c>
      <c r="G412">
        <f t="array" ref="G412">SalesData!$I$2 - 'RFM Table'!B412</f>
        <v>622</v>
      </c>
      <c r="H412">
        <f t="array" ref="H412">COUNTIF(A:A,A412)</f>
        <v>8</v>
      </c>
      <c r="I412">
        <f t="array" ref="I412">SUMIF(A:A,A412,F:F)</f>
        <v>48110.42</v>
      </c>
      <c r="J412">
        <f t="array" ref="J412">5 - INT(5 * (RANK(G412,G:G, 1) - 1) / COUNT(G:G))</f>
        <v>1</v>
      </c>
      <c r="K412">
        <f t="array" ref="K412">INT(5 * (RANK(H412,H:H, 0) - 1) / COUNT(H:H)) + 1</f>
        <v>3</v>
      </c>
      <c r="L412">
        <f t="array" ref="L412">INT(5 * (RANK(I412,I:I, 0) - 1) / COUNT(I:I)) + 1</f>
        <v>1</v>
      </c>
      <c r="M412" t="str">
        <f t="shared" si="12"/>
        <v>131</v>
      </c>
      <c r="N412" s="6" t="str">
        <f t="shared" si="13"/>
        <v>Others</v>
      </c>
    </row>
    <row r="413" spans="1:14" x14ac:dyDescent="0.35">
      <c r="A413">
        <v>1117</v>
      </c>
      <c r="B413" s="4">
        <v>45514.375085336993</v>
      </c>
      <c r="C413" t="s">
        <v>8</v>
      </c>
      <c r="D413" t="s">
        <v>20</v>
      </c>
      <c r="E413" t="s">
        <v>25</v>
      </c>
      <c r="F413">
        <v>5573.49</v>
      </c>
      <c r="G413">
        <f t="array" ref="G413">SalesData!$I$2 - 'RFM Table'!B413</f>
        <v>622</v>
      </c>
      <c r="H413">
        <f t="array" ref="H413">COUNTIF(A:A,A413)</f>
        <v>10</v>
      </c>
      <c r="I413">
        <f t="array" ref="I413">SUMIF(A:A,A413,F:F)</f>
        <v>47973.33</v>
      </c>
      <c r="J413">
        <f t="array" ref="J413">5 - INT(5 * (RANK(G413,G:G, 1) - 1) / COUNT(G:G))</f>
        <v>1</v>
      </c>
      <c r="K413">
        <f t="array" ref="K413">INT(5 * (RANK(H413,H:H, 0) - 1) / COUNT(H:H)) + 1</f>
        <v>2</v>
      </c>
      <c r="L413">
        <f t="array" ref="L413">INT(5 * (RANK(I413,I:I, 0) - 1) / COUNT(I:I)) + 1</f>
        <v>1</v>
      </c>
      <c r="M413" t="str">
        <f t="shared" si="12"/>
        <v>121</v>
      </c>
      <c r="N413" s="6" t="str">
        <f t="shared" si="13"/>
        <v>Lost</v>
      </c>
    </row>
    <row r="414" spans="1:14" x14ac:dyDescent="0.35">
      <c r="A414">
        <v>1361</v>
      </c>
      <c r="B414" s="4">
        <v>45514.375085336993</v>
      </c>
      <c r="C414" t="s">
        <v>6</v>
      </c>
      <c r="D414" t="s">
        <v>20</v>
      </c>
      <c r="E414" t="s">
        <v>23</v>
      </c>
      <c r="F414">
        <v>6107.4</v>
      </c>
      <c r="G414">
        <f t="array" ref="G414">SalesData!$I$2 - 'RFM Table'!B414</f>
        <v>622</v>
      </c>
      <c r="H414">
        <f t="array" ref="H414">COUNTIF(A:A,A414)</f>
        <v>5</v>
      </c>
      <c r="I414">
        <f t="array" ref="I414">SUMIF(A:A,A414,F:F)</f>
        <v>27766.260000000002</v>
      </c>
      <c r="J414">
        <f t="array" ref="J414">5 - INT(5 * (RANK(G414,G:G, 1) - 1) / COUNT(G:G))</f>
        <v>1</v>
      </c>
      <c r="K414">
        <f t="array" ref="K414">INT(5 * (RANK(H414,H:H, 0) - 1) / COUNT(H:H)) + 1</f>
        <v>5</v>
      </c>
      <c r="L414">
        <f t="array" ref="L414">INT(5 * (RANK(I414,I:I, 0) - 1) / COUNT(I:I)) + 1</f>
        <v>4</v>
      </c>
      <c r="M414" t="str">
        <f t="shared" si="12"/>
        <v>154</v>
      </c>
      <c r="N414" s="6" t="str">
        <f t="shared" si="13"/>
        <v>At Risk</v>
      </c>
    </row>
    <row r="415" spans="1:14" x14ac:dyDescent="0.35">
      <c r="A415">
        <v>1258</v>
      </c>
      <c r="B415" s="4">
        <v>45514.375085336993</v>
      </c>
      <c r="C415" t="s">
        <v>12</v>
      </c>
      <c r="D415" t="s">
        <v>19</v>
      </c>
      <c r="E415" t="s">
        <v>23</v>
      </c>
      <c r="F415">
        <v>2436.41</v>
      </c>
      <c r="G415">
        <f t="array" ref="G415">SalesData!$I$2 - 'RFM Table'!B415</f>
        <v>622</v>
      </c>
      <c r="H415">
        <f t="array" ref="H415">COUNTIF(A:A,A415)</f>
        <v>8</v>
      </c>
      <c r="I415">
        <f t="array" ref="I415">SUMIF(A:A,A415,F:F)</f>
        <v>28559.850000000002</v>
      </c>
      <c r="J415">
        <f t="array" ref="J415">5 - INT(5 * (RANK(G415,G:G, 1) - 1) / COUNT(G:G))</f>
        <v>1</v>
      </c>
      <c r="K415">
        <f t="array" ref="K415">INT(5 * (RANK(H415,H:H, 0) - 1) / COUNT(H:H)) + 1</f>
        <v>3</v>
      </c>
      <c r="L415">
        <f t="array" ref="L415">INT(5 * (RANK(I415,I:I, 0) - 1) / COUNT(I:I)) + 1</f>
        <v>4</v>
      </c>
      <c r="M415" t="str">
        <f t="shared" si="12"/>
        <v>134</v>
      </c>
      <c r="N415" s="6" t="str">
        <f t="shared" si="13"/>
        <v>At Risk</v>
      </c>
    </row>
    <row r="416" spans="1:14" x14ac:dyDescent="0.35">
      <c r="A416">
        <v>1201</v>
      </c>
      <c r="B416" s="4">
        <v>45514.375085336993</v>
      </c>
      <c r="C416" t="s">
        <v>6</v>
      </c>
      <c r="D416" t="s">
        <v>21</v>
      </c>
      <c r="E416" t="s">
        <v>23</v>
      </c>
      <c r="F416">
        <v>1016.95</v>
      </c>
      <c r="G416">
        <f t="array" ref="G416">SalesData!$I$2 - 'RFM Table'!B416</f>
        <v>622</v>
      </c>
      <c r="H416">
        <f t="array" ref="H416">COUNTIF(A:A,A416)</f>
        <v>10</v>
      </c>
      <c r="I416">
        <f t="array" ref="I416">SUMIF(A:A,A416,F:F)</f>
        <v>30897.65</v>
      </c>
      <c r="J416">
        <f t="array" ref="J416">5 - INT(5 * (RANK(G416,G:G, 1) - 1) / COUNT(G:G))</f>
        <v>1</v>
      </c>
      <c r="K416">
        <f t="array" ref="K416">INT(5 * (RANK(H416,H:H, 0) - 1) / COUNT(H:H)) + 1</f>
        <v>2</v>
      </c>
      <c r="L416">
        <f t="array" ref="L416">INT(5 * (RANK(I416,I:I, 0) - 1) / COUNT(I:I)) + 1</f>
        <v>3</v>
      </c>
      <c r="M416" t="str">
        <f t="shared" si="12"/>
        <v>123</v>
      </c>
      <c r="N416" s="6" t="str">
        <f t="shared" si="13"/>
        <v>Can't Lose Them</v>
      </c>
    </row>
    <row r="417" spans="1:14" x14ac:dyDescent="0.35">
      <c r="A417">
        <v>1074</v>
      </c>
      <c r="B417" s="4">
        <v>45514.375085336993</v>
      </c>
      <c r="C417" t="s">
        <v>13</v>
      </c>
      <c r="D417" t="s">
        <v>17</v>
      </c>
      <c r="E417" t="s">
        <v>25</v>
      </c>
      <c r="F417">
        <v>4951.24</v>
      </c>
      <c r="G417">
        <f t="array" ref="G417">SalesData!$I$2 - 'RFM Table'!B417</f>
        <v>622</v>
      </c>
      <c r="H417">
        <f t="array" ref="H417">COUNTIF(A:A,A417)</f>
        <v>8</v>
      </c>
      <c r="I417">
        <f t="array" ref="I417">SUMIF(A:A,A417,F:F)</f>
        <v>23394.15</v>
      </c>
      <c r="J417">
        <f t="array" ref="J417">5 - INT(5 * (RANK(G417,G:G, 1) - 1) / COUNT(G:G))</f>
        <v>1</v>
      </c>
      <c r="K417">
        <f t="array" ref="K417">INT(5 * (RANK(H417,H:H, 0) - 1) / COUNT(H:H)) + 1</f>
        <v>3</v>
      </c>
      <c r="L417">
        <f t="array" ref="L417">INT(5 * (RANK(I417,I:I, 0) - 1) / COUNT(I:I)) + 1</f>
        <v>4</v>
      </c>
      <c r="M417" t="str">
        <f t="shared" si="12"/>
        <v>134</v>
      </c>
      <c r="N417" s="6" t="str">
        <f t="shared" si="13"/>
        <v>At Risk</v>
      </c>
    </row>
    <row r="418" spans="1:14" x14ac:dyDescent="0.35">
      <c r="A418">
        <v>1031</v>
      </c>
      <c r="B418" s="4">
        <v>45514.375085336993</v>
      </c>
      <c r="C418" t="s">
        <v>14</v>
      </c>
      <c r="D418" t="s">
        <v>21</v>
      </c>
      <c r="E418" t="s">
        <v>23</v>
      </c>
      <c r="F418">
        <v>2634.61</v>
      </c>
      <c r="G418">
        <f t="array" ref="G418">SalesData!$I$2 - 'RFM Table'!B418</f>
        <v>622</v>
      </c>
      <c r="H418">
        <f t="array" ref="H418">COUNTIF(A:A,A418)</f>
        <v>3</v>
      </c>
      <c r="I418">
        <f t="array" ref="I418">SUMIF(A:A,A418,F:F)</f>
        <v>11609.24</v>
      </c>
      <c r="J418">
        <f t="array" ref="J418">5 - INT(5 * (RANK(G418,G:G, 1) - 1) / COUNT(G:G))</f>
        <v>1</v>
      </c>
      <c r="K418">
        <f t="array" ref="K418">INT(5 * (RANK(H418,H:H, 0) - 1) / COUNT(H:H)) + 1</f>
        <v>5</v>
      </c>
      <c r="L418">
        <f t="array" ref="L418">INT(5 * (RANK(I418,I:I, 0) - 1) / COUNT(I:I)) + 1</f>
        <v>5</v>
      </c>
      <c r="M418" t="str">
        <f t="shared" si="12"/>
        <v>155</v>
      </c>
      <c r="N418" s="6" t="str">
        <f t="shared" si="13"/>
        <v>At Risk</v>
      </c>
    </row>
    <row r="419" spans="1:14" x14ac:dyDescent="0.35">
      <c r="A419">
        <v>1025</v>
      </c>
      <c r="B419" s="4">
        <v>45515.375085336993</v>
      </c>
      <c r="C419" t="s">
        <v>14</v>
      </c>
      <c r="D419" t="s">
        <v>18</v>
      </c>
      <c r="E419" t="s">
        <v>25</v>
      </c>
      <c r="F419">
        <v>4952.5200000000004</v>
      </c>
      <c r="G419">
        <f t="array" ref="G419">SalesData!$I$2 - 'RFM Table'!B419</f>
        <v>621</v>
      </c>
      <c r="H419">
        <f t="array" ref="H419">COUNTIF(A:A,A419)</f>
        <v>7</v>
      </c>
      <c r="I419">
        <f t="array" ref="I419">SUMIF(A:A,A419,F:F)</f>
        <v>16120.029999999999</v>
      </c>
      <c r="J419">
        <f t="array" ref="J419">5 - INT(5 * (RANK(G419,G:G, 1) - 1) / COUNT(G:G))</f>
        <v>1</v>
      </c>
      <c r="K419">
        <f t="array" ref="K419">INT(5 * (RANK(H419,H:H, 0) - 1) / COUNT(H:H)) + 1</f>
        <v>4</v>
      </c>
      <c r="L419">
        <f t="array" ref="L419">INT(5 * (RANK(I419,I:I, 0) - 1) / COUNT(I:I)) + 1</f>
        <v>5</v>
      </c>
      <c r="M419" t="str">
        <f t="shared" si="12"/>
        <v>145</v>
      </c>
      <c r="N419" s="6" t="str">
        <f t="shared" si="13"/>
        <v>At Risk</v>
      </c>
    </row>
    <row r="420" spans="1:14" x14ac:dyDescent="0.35">
      <c r="A420">
        <v>1276</v>
      </c>
      <c r="B420" s="4">
        <v>45516.375085336993</v>
      </c>
      <c r="C420" t="s">
        <v>6</v>
      </c>
      <c r="D420" t="s">
        <v>17</v>
      </c>
      <c r="E420" t="s">
        <v>23</v>
      </c>
      <c r="F420">
        <v>1493.69</v>
      </c>
      <c r="G420">
        <f t="array" ref="G420">SalesData!$I$2 - 'RFM Table'!B420</f>
        <v>620</v>
      </c>
      <c r="H420">
        <f t="array" ref="H420">COUNTIF(A:A,A420)</f>
        <v>11</v>
      </c>
      <c r="I420">
        <f t="array" ref="I420">SUMIF(A:A,A420,F:F)</f>
        <v>38337.789999999994</v>
      </c>
      <c r="J420">
        <f t="array" ref="J420">5 - INT(5 * (RANK(G420,G:G, 1) - 1) / COUNT(G:G))</f>
        <v>1</v>
      </c>
      <c r="K420">
        <f t="array" ref="K420">INT(5 * (RANK(H420,H:H, 0) - 1) / COUNT(H:H)) + 1</f>
        <v>1</v>
      </c>
      <c r="L420">
        <f t="array" ref="L420">INT(5 * (RANK(I420,I:I, 0) - 1) / COUNT(I:I)) + 1</f>
        <v>2</v>
      </c>
      <c r="M420" t="str">
        <f t="shared" si="12"/>
        <v>112</v>
      </c>
      <c r="N420" s="6" t="str">
        <f t="shared" si="13"/>
        <v>Lost</v>
      </c>
    </row>
    <row r="421" spans="1:14" x14ac:dyDescent="0.35">
      <c r="A421">
        <v>1292</v>
      </c>
      <c r="B421" s="4">
        <v>45516.375085336993</v>
      </c>
      <c r="C421" t="s">
        <v>12</v>
      </c>
      <c r="D421" t="s">
        <v>21</v>
      </c>
      <c r="E421" t="s">
        <v>24</v>
      </c>
      <c r="F421">
        <v>409.85</v>
      </c>
      <c r="G421">
        <f t="array" ref="G421">SalesData!$I$2 - 'RFM Table'!B421</f>
        <v>620</v>
      </c>
      <c r="H421">
        <f t="array" ref="H421">COUNTIF(A:A,A421)</f>
        <v>15</v>
      </c>
      <c r="I421">
        <f t="array" ref="I421">SUMIF(A:A,A421,F:F)</f>
        <v>49637.999999999993</v>
      </c>
      <c r="J421">
        <f t="array" ref="J421">5 - INT(5 * (RANK(G421,G:G, 1) - 1) / COUNT(G:G))</f>
        <v>1</v>
      </c>
      <c r="K421">
        <f t="array" ref="K421">INT(5 * (RANK(H421,H:H, 0) - 1) / COUNT(H:H)) + 1</f>
        <v>1</v>
      </c>
      <c r="L421">
        <f t="array" ref="L421">INT(5 * (RANK(I421,I:I, 0) - 1) / COUNT(I:I)) + 1</f>
        <v>1</v>
      </c>
      <c r="M421" t="str">
        <f t="shared" si="12"/>
        <v>111</v>
      </c>
      <c r="N421" s="6" t="str">
        <f t="shared" si="13"/>
        <v>Lost</v>
      </c>
    </row>
    <row r="422" spans="1:14" x14ac:dyDescent="0.35">
      <c r="A422">
        <v>1129</v>
      </c>
      <c r="B422" s="4">
        <v>45516.375085336993</v>
      </c>
      <c r="C422" t="s">
        <v>6</v>
      </c>
      <c r="D422" t="s">
        <v>20</v>
      </c>
      <c r="E422" t="s">
        <v>25</v>
      </c>
      <c r="F422">
        <v>8060.33</v>
      </c>
      <c r="G422">
        <f t="array" ref="G422">SalesData!$I$2 - 'RFM Table'!B422</f>
        <v>620</v>
      </c>
      <c r="H422">
        <f t="array" ref="H422">COUNTIF(A:A,A422)</f>
        <v>14</v>
      </c>
      <c r="I422">
        <f t="array" ref="I422">SUMIF(A:A,A422,F:F)</f>
        <v>53433.220000000008</v>
      </c>
      <c r="J422">
        <f t="array" ref="J422">5 - INT(5 * (RANK(G422,G:G, 1) - 1) / COUNT(G:G))</f>
        <v>1</v>
      </c>
      <c r="K422">
        <f t="array" ref="K422">INT(5 * (RANK(H422,H:H, 0) - 1) / COUNT(H:H)) + 1</f>
        <v>1</v>
      </c>
      <c r="L422">
        <f t="array" ref="L422">INT(5 * (RANK(I422,I:I, 0) - 1) / COUNT(I:I)) + 1</f>
        <v>1</v>
      </c>
      <c r="M422" t="str">
        <f t="shared" si="12"/>
        <v>111</v>
      </c>
      <c r="N422" s="6" t="str">
        <f t="shared" si="13"/>
        <v>Lost</v>
      </c>
    </row>
    <row r="423" spans="1:14" x14ac:dyDescent="0.35">
      <c r="A423">
        <v>1316</v>
      </c>
      <c r="B423" s="4">
        <v>45516.375085336993</v>
      </c>
      <c r="C423" t="s">
        <v>14</v>
      </c>
      <c r="D423" t="s">
        <v>19</v>
      </c>
      <c r="E423" t="s">
        <v>24</v>
      </c>
      <c r="F423">
        <v>5925.93</v>
      </c>
      <c r="G423">
        <f t="array" ref="G423">SalesData!$I$2 - 'RFM Table'!B423</f>
        <v>620</v>
      </c>
      <c r="H423">
        <f t="array" ref="H423">COUNTIF(A:A,A423)</f>
        <v>5</v>
      </c>
      <c r="I423">
        <f t="array" ref="I423">SUMIF(A:A,A423,F:F)</f>
        <v>20246.7</v>
      </c>
      <c r="J423">
        <f t="array" ref="J423">5 - INT(5 * (RANK(G423,G:G, 1) - 1) / COUNT(G:G))</f>
        <v>1</v>
      </c>
      <c r="K423">
        <f t="array" ref="K423">INT(5 * (RANK(H423,H:H, 0) - 1) / COUNT(H:H)) + 1</f>
        <v>5</v>
      </c>
      <c r="L423">
        <f t="array" ref="L423">INT(5 * (RANK(I423,I:I, 0) - 1) / COUNT(I:I)) + 1</f>
        <v>5</v>
      </c>
      <c r="M423" t="str">
        <f t="shared" si="12"/>
        <v>155</v>
      </c>
      <c r="N423" s="6" t="str">
        <f t="shared" si="13"/>
        <v>At Risk</v>
      </c>
    </row>
    <row r="424" spans="1:14" x14ac:dyDescent="0.35">
      <c r="A424">
        <v>1307</v>
      </c>
      <c r="B424" s="4">
        <v>45516.375085336993</v>
      </c>
      <c r="C424" t="s">
        <v>11</v>
      </c>
      <c r="D424" t="s">
        <v>19</v>
      </c>
      <c r="E424" t="s">
        <v>23</v>
      </c>
      <c r="F424">
        <v>4124.4799999999996</v>
      </c>
      <c r="G424">
        <f t="array" ref="G424">SalesData!$I$2 - 'RFM Table'!B424</f>
        <v>620</v>
      </c>
      <c r="H424">
        <f t="array" ref="H424">COUNTIF(A:A,A424)</f>
        <v>7</v>
      </c>
      <c r="I424">
        <f t="array" ref="I424">SUMIF(A:A,A424,F:F)</f>
        <v>33514.49</v>
      </c>
      <c r="J424">
        <f t="array" ref="J424">5 - INT(5 * (RANK(G424,G:G, 1) - 1) / COUNT(G:G))</f>
        <v>1</v>
      </c>
      <c r="K424">
        <f t="array" ref="K424">INT(5 * (RANK(H424,H:H, 0) - 1) / COUNT(H:H)) + 1</f>
        <v>4</v>
      </c>
      <c r="L424">
        <f t="array" ref="L424">INT(5 * (RANK(I424,I:I, 0) - 1) / COUNT(I:I)) + 1</f>
        <v>3</v>
      </c>
      <c r="M424" t="str">
        <f t="shared" si="12"/>
        <v>143</v>
      </c>
      <c r="N424" s="6" t="str">
        <f t="shared" si="13"/>
        <v>At Risk</v>
      </c>
    </row>
    <row r="425" spans="1:14" x14ac:dyDescent="0.35">
      <c r="A425">
        <v>1136</v>
      </c>
      <c r="B425" s="4">
        <v>45516.375085336993</v>
      </c>
      <c r="C425" t="s">
        <v>15</v>
      </c>
      <c r="D425" t="s">
        <v>20</v>
      </c>
      <c r="E425" t="s">
        <v>23</v>
      </c>
      <c r="F425">
        <v>4368.8999999999996</v>
      </c>
      <c r="G425">
        <f t="array" ref="G425">SalesData!$I$2 - 'RFM Table'!B425</f>
        <v>620</v>
      </c>
      <c r="H425">
        <f t="array" ref="H425">COUNTIF(A:A,A425)</f>
        <v>6</v>
      </c>
      <c r="I425">
        <f t="array" ref="I425">SUMIF(A:A,A425,F:F)</f>
        <v>16588.13</v>
      </c>
      <c r="J425">
        <f t="array" ref="J425">5 - INT(5 * (RANK(G425,G:G, 1) - 1) / COUNT(G:G))</f>
        <v>1</v>
      </c>
      <c r="K425">
        <f t="array" ref="K425">INT(5 * (RANK(H425,H:H, 0) - 1) / COUNT(H:H)) + 1</f>
        <v>4</v>
      </c>
      <c r="L425">
        <f t="array" ref="L425">INT(5 * (RANK(I425,I:I, 0) - 1) / COUNT(I:I)) + 1</f>
        <v>5</v>
      </c>
      <c r="M425" t="str">
        <f t="shared" si="12"/>
        <v>145</v>
      </c>
      <c r="N425" s="6" t="str">
        <f t="shared" si="13"/>
        <v>At Risk</v>
      </c>
    </row>
    <row r="426" spans="1:14" x14ac:dyDescent="0.35">
      <c r="A426">
        <v>1379</v>
      </c>
      <c r="B426" s="4">
        <v>45516.375085336993</v>
      </c>
      <c r="C426" t="s">
        <v>13</v>
      </c>
      <c r="D426" t="s">
        <v>19</v>
      </c>
      <c r="E426" t="s">
        <v>24</v>
      </c>
      <c r="F426">
        <v>5972.47</v>
      </c>
      <c r="G426">
        <f t="array" ref="G426">SalesData!$I$2 - 'RFM Table'!B426</f>
        <v>620</v>
      </c>
      <c r="H426">
        <f t="array" ref="H426">COUNTIF(A:A,A426)</f>
        <v>10</v>
      </c>
      <c r="I426">
        <f t="array" ref="I426">SUMIF(A:A,A426,F:F)</f>
        <v>33545.49</v>
      </c>
      <c r="J426">
        <f t="array" ref="J426">5 - INT(5 * (RANK(G426,G:G, 1) - 1) / COUNT(G:G))</f>
        <v>1</v>
      </c>
      <c r="K426">
        <f t="array" ref="K426">INT(5 * (RANK(H426,H:H, 0) - 1) / COUNT(H:H)) + 1</f>
        <v>2</v>
      </c>
      <c r="L426">
        <f t="array" ref="L426">INT(5 * (RANK(I426,I:I, 0) - 1) / COUNT(I:I)) + 1</f>
        <v>3</v>
      </c>
      <c r="M426" t="str">
        <f t="shared" si="12"/>
        <v>123</v>
      </c>
      <c r="N426" s="6" t="str">
        <f t="shared" si="13"/>
        <v>Can't Lose Them</v>
      </c>
    </row>
    <row r="427" spans="1:14" x14ac:dyDescent="0.35">
      <c r="A427">
        <v>1164</v>
      </c>
      <c r="B427" s="4">
        <v>45517.375085336993</v>
      </c>
      <c r="C427" t="s">
        <v>13</v>
      </c>
      <c r="D427" t="s">
        <v>17</v>
      </c>
      <c r="E427" t="s">
        <v>23</v>
      </c>
      <c r="F427">
        <v>1539.58</v>
      </c>
      <c r="G427">
        <f t="array" ref="G427">SalesData!$I$2 - 'RFM Table'!B427</f>
        <v>619</v>
      </c>
      <c r="H427">
        <f t="array" ref="H427">COUNTIF(A:A,A427)</f>
        <v>7</v>
      </c>
      <c r="I427">
        <f t="array" ref="I427">SUMIF(A:A,A427,F:F)</f>
        <v>29497.360000000001</v>
      </c>
      <c r="J427">
        <f t="array" ref="J427">5 - INT(5 * (RANK(G427,G:G, 1) - 1) / COUNT(G:G))</f>
        <v>1</v>
      </c>
      <c r="K427">
        <f t="array" ref="K427">INT(5 * (RANK(H427,H:H, 0) - 1) / COUNT(H:H)) + 1</f>
        <v>4</v>
      </c>
      <c r="L427">
        <f t="array" ref="L427">INT(5 * (RANK(I427,I:I, 0) - 1) / COUNT(I:I)) + 1</f>
        <v>3</v>
      </c>
      <c r="M427" t="str">
        <f t="shared" si="12"/>
        <v>143</v>
      </c>
      <c r="N427" s="6" t="str">
        <f t="shared" si="13"/>
        <v>At Risk</v>
      </c>
    </row>
    <row r="428" spans="1:14" x14ac:dyDescent="0.35">
      <c r="A428">
        <v>1143</v>
      </c>
      <c r="B428" s="4">
        <v>45517.375085336993</v>
      </c>
      <c r="C428" t="s">
        <v>9</v>
      </c>
      <c r="D428" t="s">
        <v>21</v>
      </c>
      <c r="E428" t="s">
        <v>24</v>
      </c>
      <c r="F428">
        <v>4907.6499999999996</v>
      </c>
      <c r="G428">
        <f t="array" ref="G428">SalesData!$I$2 - 'RFM Table'!B428</f>
        <v>619</v>
      </c>
      <c r="H428">
        <f t="array" ref="H428">COUNTIF(A:A,A428)</f>
        <v>11</v>
      </c>
      <c r="I428">
        <f t="array" ref="I428">SUMIF(A:A,A428,F:F)</f>
        <v>44004.459999999992</v>
      </c>
      <c r="J428">
        <f t="array" ref="J428">5 - INT(5 * (RANK(G428,G:G, 1) - 1) / COUNT(G:G))</f>
        <v>1</v>
      </c>
      <c r="K428">
        <f t="array" ref="K428">INT(5 * (RANK(H428,H:H, 0) - 1) / COUNT(H:H)) + 1</f>
        <v>1</v>
      </c>
      <c r="L428">
        <f t="array" ref="L428">INT(5 * (RANK(I428,I:I, 0) - 1) / COUNT(I:I)) + 1</f>
        <v>2</v>
      </c>
      <c r="M428" t="str">
        <f t="shared" si="12"/>
        <v>112</v>
      </c>
      <c r="N428" s="6" t="str">
        <f t="shared" si="13"/>
        <v>Lost</v>
      </c>
    </row>
    <row r="429" spans="1:14" x14ac:dyDescent="0.35">
      <c r="A429">
        <v>1157</v>
      </c>
      <c r="B429" s="4">
        <v>45517.375085336993</v>
      </c>
      <c r="C429" t="s">
        <v>14</v>
      </c>
      <c r="D429" t="s">
        <v>18</v>
      </c>
      <c r="E429" t="s">
        <v>25</v>
      </c>
      <c r="F429">
        <v>4339.04</v>
      </c>
      <c r="G429">
        <f t="array" ref="G429">SalesData!$I$2 - 'RFM Table'!B429</f>
        <v>619</v>
      </c>
      <c r="H429">
        <f t="array" ref="H429">COUNTIF(A:A,A429)</f>
        <v>11</v>
      </c>
      <c r="I429">
        <f t="array" ref="I429">SUMIF(A:A,A429,F:F)</f>
        <v>45651.77</v>
      </c>
      <c r="J429">
        <f t="array" ref="J429">5 - INT(5 * (RANK(G429,G:G, 1) - 1) / COUNT(G:G))</f>
        <v>1</v>
      </c>
      <c r="K429">
        <f t="array" ref="K429">INT(5 * (RANK(H429,H:H, 0) - 1) / COUNT(H:H)) + 1</f>
        <v>1</v>
      </c>
      <c r="L429">
        <f t="array" ref="L429">INT(5 * (RANK(I429,I:I, 0) - 1) / COUNT(I:I)) + 1</f>
        <v>1</v>
      </c>
      <c r="M429" t="str">
        <f t="shared" si="12"/>
        <v>111</v>
      </c>
      <c r="N429" s="6" t="str">
        <f t="shared" si="13"/>
        <v>Lost</v>
      </c>
    </row>
    <row r="430" spans="1:14" x14ac:dyDescent="0.35">
      <c r="A430">
        <v>1120</v>
      </c>
      <c r="B430" s="4">
        <v>45517.375085336993</v>
      </c>
      <c r="C430" t="s">
        <v>14</v>
      </c>
      <c r="D430" t="s">
        <v>17</v>
      </c>
      <c r="E430" t="s">
        <v>25</v>
      </c>
      <c r="F430">
        <v>4448.51</v>
      </c>
      <c r="G430">
        <f t="array" ref="G430">SalesData!$I$2 - 'RFM Table'!B430</f>
        <v>619</v>
      </c>
      <c r="H430">
        <f t="array" ref="H430">COUNTIF(A:A,A430)</f>
        <v>7</v>
      </c>
      <c r="I430">
        <f t="array" ref="I430">SUMIF(A:A,A430,F:F)</f>
        <v>12366.910000000002</v>
      </c>
      <c r="J430">
        <f t="array" ref="J430">5 - INT(5 * (RANK(G430,G:G, 1) - 1) / COUNT(G:G))</f>
        <v>1</v>
      </c>
      <c r="K430">
        <f t="array" ref="K430">INT(5 * (RANK(H430,H:H, 0) - 1) / COUNT(H:H)) + 1</f>
        <v>4</v>
      </c>
      <c r="L430">
        <f t="array" ref="L430">INT(5 * (RANK(I430,I:I, 0) - 1) / COUNT(I:I)) + 1</f>
        <v>5</v>
      </c>
      <c r="M430" t="str">
        <f t="shared" si="12"/>
        <v>145</v>
      </c>
      <c r="N430" s="6" t="str">
        <f t="shared" si="13"/>
        <v>At Risk</v>
      </c>
    </row>
    <row r="431" spans="1:14" x14ac:dyDescent="0.35">
      <c r="A431">
        <v>1326</v>
      </c>
      <c r="B431" s="4">
        <v>45517.375085336993</v>
      </c>
      <c r="C431" t="s">
        <v>7</v>
      </c>
      <c r="D431" t="s">
        <v>21</v>
      </c>
      <c r="E431" t="s">
        <v>25</v>
      </c>
      <c r="F431">
        <v>3433.75</v>
      </c>
      <c r="G431">
        <f t="array" ref="G431">SalesData!$I$2 - 'RFM Table'!B431</f>
        <v>619</v>
      </c>
      <c r="H431">
        <f t="array" ref="H431">COUNTIF(A:A,A431)</f>
        <v>4</v>
      </c>
      <c r="I431">
        <f t="array" ref="I431">SUMIF(A:A,A431,F:F)</f>
        <v>10665.94</v>
      </c>
      <c r="J431">
        <f t="array" ref="J431">5 - INT(5 * (RANK(G431,G:G, 1) - 1) / COUNT(G:G))</f>
        <v>1</v>
      </c>
      <c r="K431">
        <f t="array" ref="K431">INT(5 * (RANK(H431,H:H, 0) - 1) / COUNT(H:H)) + 1</f>
        <v>5</v>
      </c>
      <c r="L431">
        <f t="array" ref="L431">INT(5 * (RANK(I431,I:I, 0) - 1) / COUNT(I:I)) + 1</f>
        <v>5</v>
      </c>
      <c r="M431" t="str">
        <f t="shared" si="12"/>
        <v>155</v>
      </c>
      <c r="N431" s="6" t="str">
        <f t="shared" si="13"/>
        <v>At Risk</v>
      </c>
    </row>
    <row r="432" spans="1:14" x14ac:dyDescent="0.35">
      <c r="A432">
        <v>1101</v>
      </c>
      <c r="B432" s="4">
        <v>45517.375085336993</v>
      </c>
      <c r="C432" t="s">
        <v>12</v>
      </c>
      <c r="D432" t="s">
        <v>17</v>
      </c>
      <c r="E432" t="s">
        <v>25</v>
      </c>
      <c r="F432">
        <v>8880.68</v>
      </c>
      <c r="G432">
        <f t="array" ref="G432">SalesData!$I$2 - 'RFM Table'!B432</f>
        <v>619</v>
      </c>
      <c r="H432">
        <f t="array" ref="H432">COUNTIF(A:A,A432)</f>
        <v>7</v>
      </c>
      <c r="I432">
        <f t="array" ref="I432">SUMIF(A:A,A432,F:F)</f>
        <v>27512.969999999998</v>
      </c>
      <c r="J432">
        <f t="array" ref="J432">5 - INT(5 * (RANK(G432,G:G, 1) - 1) / COUNT(G:G))</f>
        <v>1</v>
      </c>
      <c r="K432">
        <f t="array" ref="K432">INT(5 * (RANK(H432,H:H, 0) - 1) / COUNT(H:H)) + 1</f>
        <v>4</v>
      </c>
      <c r="L432">
        <f t="array" ref="L432">INT(5 * (RANK(I432,I:I, 0) - 1) / COUNT(I:I)) + 1</f>
        <v>4</v>
      </c>
      <c r="M432" t="str">
        <f t="shared" si="12"/>
        <v>144</v>
      </c>
      <c r="N432" s="6" t="str">
        <f t="shared" si="13"/>
        <v>At Risk</v>
      </c>
    </row>
    <row r="433" spans="1:14" x14ac:dyDescent="0.35">
      <c r="A433">
        <v>1022</v>
      </c>
      <c r="B433" s="4">
        <v>45518.375085336993</v>
      </c>
      <c r="C433" t="s">
        <v>9</v>
      </c>
      <c r="D433" t="s">
        <v>19</v>
      </c>
      <c r="E433" t="s">
        <v>24</v>
      </c>
      <c r="F433">
        <v>5226.6099999999997</v>
      </c>
      <c r="G433">
        <f t="array" ref="G433">SalesData!$I$2 - 'RFM Table'!B433</f>
        <v>618</v>
      </c>
      <c r="H433">
        <f t="array" ref="H433">COUNTIF(A:A,A433)</f>
        <v>6</v>
      </c>
      <c r="I433">
        <f t="array" ref="I433">SUMIF(A:A,A433,F:F)</f>
        <v>22201.78</v>
      </c>
      <c r="J433">
        <f t="array" ref="J433">5 - INT(5 * (RANK(G433,G:G, 1) - 1) / COUNT(G:G))</f>
        <v>1</v>
      </c>
      <c r="K433">
        <f t="array" ref="K433">INT(5 * (RANK(H433,H:H, 0) - 1) / COUNT(H:H)) + 1</f>
        <v>4</v>
      </c>
      <c r="L433">
        <f t="array" ref="L433">INT(5 * (RANK(I433,I:I, 0) - 1) / COUNT(I:I)) + 1</f>
        <v>4</v>
      </c>
      <c r="M433" t="str">
        <f t="shared" si="12"/>
        <v>144</v>
      </c>
      <c r="N433" s="6" t="str">
        <f t="shared" si="13"/>
        <v>At Risk</v>
      </c>
    </row>
    <row r="434" spans="1:14" x14ac:dyDescent="0.35">
      <c r="A434">
        <v>1276</v>
      </c>
      <c r="B434" s="4">
        <v>45518.375085336993</v>
      </c>
      <c r="C434" t="s">
        <v>14</v>
      </c>
      <c r="D434" t="s">
        <v>16</v>
      </c>
      <c r="E434" t="s">
        <v>25</v>
      </c>
      <c r="F434">
        <v>6136.23</v>
      </c>
      <c r="G434">
        <f t="array" ref="G434">SalesData!$I$2 - 'RFM Table'!B434</f>
        <v>618</v>
      </c>
      <c r="H434">
        <f t="array" ref="H434">COUNTIF(A:A,A434)</f>
        <v>11</v>
      </c>
      <c r="I434">
        <f t="array" ref="I434">SUMIF(A:A,A434,F:F)</f>
        <v>38337.789999999994</v>
      </c>
      <c r="J434">
        <f t="array" ref="J434">5 - INT(5 * (RANK(G434,G:G, 1) - 1) / COUNT(G:G))</f>
        <v>1</v>
      </c>
      <c r="K434">
        <f t="array" ref="K434">INT(5 * (RANK(H434,H:H, 0) - 1) / COUNT(H:H)) + 1</f>
        <v>1</v>
      </c>
      <c r="L434">
        <f t="array" ref="L434">INT(5 * (RANK(I434,I:I, 0) - 1) / COUNT(I:I)) + 1</f>
        <v>2</v>
      </c>
      <c r="M434" t="str">
        <f t="shared" si="12"/>
        <v>112</v>
      </c>
      <c r="N434" s="6" t="str">
        <f t="shared" si="13"/>
        <v>Lost</v>
      </c>
    </row>
    <row r="435" spans="1:14" x14ac:dyDescent="0.35">
      <c r="A435">
        <v>1235</v>
      </c>
      <c r="B435" s="4">
        <v>45518.375085336993</v>
      </c>
      <c r="C435" t="s">
        <v>8</v>
      </c>
      <c r="D435" t="s">
        <v>18</v>
      </c>
      <c r="E435" t="s">
        <v>25</v>
      </c>
      <c r="F435">
        <v>2455.02</v>
      </c>
      <c r="G435">
        <f t="array" ref="G435">SalesData!$I$2 - 'RFM Table'!B435</f>
        <v>618</v>
      </c>
      <c r="H435">
        <f t="array" ref="H435">COUNTIF(A:A,A435)</f>
        <v>9</v>
      </c>
      <c r="I435">
        <f t="array" ref="I435">SUMIF(A:A,A435,F:F)</f>
        <v>30846.7</v>
      </c>
      <c r="J435">
        <f t="array" ref="J435">5 - INT(5 * (RANK(G435,G:G, 1) - 1) / COUNT(G:G))</f>
        <v>1</v>
      </c>
      <c r="K435">
        <f t="array" ref="K435">INT(5 * (RANK(H435,H:H, 0) - 1) / COUNT(H:H)) + 1</f>
        <v>2</v>
      </c>
      <c r="L435">
        <f t="array" ref="L435">INT(5 * (RANK(I435,I:I, 0) - 1) / COUNT(I:I)) + 1</f>
        <v>3</v>
      </c>
      <c r="M435" t="str">
        <f t="shared" si="12"/>
        <v>123</v>
      </c>
      <c r="N435" s="6" t="str">
        <f t="shared" si="13"/>
        <v>Can't Lose Them</v>
      </c>
    </row>
    <row r="436" spans="1:14" x14ac:dyDescent="0.35">
      <c r="A436">
        <v>1129</v>
      </c>
      <c r="B436" s="4">
        <v>45518.375085336993</v>
      </c>
      <c r="C436" t="s">
        <v>7</v>
      </c>
      <c r="D436" t="s">
        <v>21</v>
      </c>
      <c r="E436" t="s">
        <v>25</v>
      </c>
      <c r="F436">
        <v>902.5</v>
      </c>
      <c r="G436">
        <f t="array" ref="G436">SalesData!$I$2 - 'RFM Table'!B436</f>
        <v>618</v>
      </c>
      <c r="H436">
        <f t="array" ref="H436">COUNTIF(A:A,A436)</f>
        <v>14</v>
      </c>
      <c r="I436">
        <f t="array" ref="I436">SUMIF(A:A,A436,F:F)</f>
        <v>53433.220000000008</v>
      </c>
      <c r="J436">
        <f t="array" ref="J436">5 - INT(5 * (RANK(G436,G:G, 1) - 1) / COUNT(G:G))</f>
        <v>1</v>
      </c>
      <c r="K436">
        <f t="array" ref="K436">INT(5 * (RANK(H436,H:H, 0) - 1) / COUNT(H:H)) + 1</f>
        <v>1</v>
      </c>
      <c r="L436">
        <f t="array" ref="L436">INT(5 * (RANK(I436,I:I, 0) - 1) / COUNT(I:I)) + 1</f>
        <v>1</v>
      </c>
      <c r="M436" t="str">
        <f t="shared" si="12"/>
        <v>111</v>
      </c>
      <c r="N436" s="6" t="str">
        <f t="shared" si="13"/>
        <v>Lost</v>
      </c>
    </row>
    <row r="437" spans="1:14" x14ac:dyDescent="0.35">
      <c r="A437">
        <v>1097</v>
      </c>
      <c r="B437" s="4">
        <v>45518.375085336993</v>
      </c>
      <c r="C437" t="s">
        <v>15</v>
      </c>
      <c r="D437" t="s">
        <v>21</v>
      </c>
      <c r="E437" t="s">
        <v>23</v>
      </c>
      <c r="F437">
        <v>3632.11</v>
      </c>
      <c r="G437">
        <f t="array" ref="G437">SalesData!$I$2 - 'RFM Table'!B437</f>
        <v>618</v>
      </c>
      <c r="H437">
        <f t="array" ref="H437">COUNTIF(A:A,A437)</f>
        <v>9</v>
      </c>
      <c r="I437">
        <f t="array" ref="I437">SUMIF(A:A,A437,F:F)</f>
        <v>51674.6</v>
      </c>
      <c r="J437">
        <f t="array" ref="J437">5 - INT(5 * (RANK(G437,G:G, 1) - 1) / COUNT(G:G))</f>
        <v>1</v>
      </c>
      <c r="K437">
        <f t="array" ref="K437">INT(5 * (RANK(H437,H:H, 0) - 1) / COUNT(H:H)) + 1</f>
        <v>2</v>
      </c>
      <c r="L437">
        <f t="array" ref="L437">INT(5 * (RANK(I437,I:I, 0) - 1) / COUNT(I:I)) + 1</f>
        <v>1</v>
      </c>
      <c r="M437" t="str">
        <f t="shared" si="12"/>
        <v>121</v>
      </c>
      <c r="N437" s="6" t="str">
        <f t="shared" si="13"/>
        <v>Lost</v>
      </c>
    </row>
    <row r="438" spans="1:14" x14ac:dyDescent="0.35">
      <c r="A438">
        <v>1037</v>
      </c>
      <c r="B438" s="4">
        <v>45518.375085336993</v>
      </c>
      <c r="C438" t="s">
        <v>6</v>
      </c>
      <c r="D438" t="s">
        <v>22</v>
      </c>
      <c r="E438" t="s">
        <v>23</v>
      </c>
      <c r="F438">
        <v>252.24</v>
      </c>
      <c r="G438">
        <f t="array" ref="G438">SalesData!$I$2 - 'RFM Table'!B438</f>
        <v>618</v>
      </c>
      <c r="H438">
        <f t="array" ref="H438">COUNTIF(A:A,A438)</f>
        <v>9</v>
      </c>
      <c r="I438">
        <f t="array" ref="I438">SUMIF(A:A,A438,F:F)</f>
        <v>42109.760000000002</v>
      </c>
      <c r="J438">
        <f t="array" ref="J438">5 - INT(5 * (RANK(G438,G:G, 1) - 1) / COUNT(G:G))</f>
        <v>1</v>
      </c>
      <c r="K438">
        <f t="array" ref="K438">INT(5 * (RANK(H438,H:H, 0) - 1) / COUNT(H:H)) + 1</f>
        <v>2</v>
      </c>
      <c r="L438">
        <f t="array" ref="L438">INT(5 * (RANK(I438,I:I, 0) - 1) / COUNT(I:I)) + 1</f>
        <v>2</v>
      </c>
      <c r="M438" t="str">
        <f t="shared" si="12"/>
        <v>122</v>
      </c>
      <c r="N438" s="6" t="str">
        <f t="shared" si="13"/>
        <v>Lost</v>
      </c>
    </row>
    <row r="439" spans="1:14" x14ac:dyDescent="0.35">
      <c r="A439">
        <v>1043</v>
      </c>
      <c r="B439" s="4">
        <v>45518.375085336993</v>
      </c>
      <c r="C439" t="s">
        <v>14</v>
      </c>
      <c r="D439" t="s">
        <v>19</v>
      </c>
      <c r="E439" t="s">
        <v>23</v>
      </c>
      <c r="F439">
        <v>2419.09</v>
      </c>
      <c r="G439">
        <f t="array" ref="G439">SalesData!$I$2 - 'RFM Table'!B439</f>
        <v>618</v>
      </c>
      <c r="H439">
        <f t="array" ref="H439">COUNTIF(A:A,A439)</f>
        <v>7</v>
      </c>
      <c r="I439">
        <f t="array" ref="I439">SUMIF(A:A,A439,F:F)</f>
        <v>20627.900000000001</v>
      </c>
      <c r="J439">
        <f t="array" ref="J439">5 - INT(5 * (RANK(G439,G:G, 1) - 1) / COUNT(G:G))</f>
        <v>1</v>
      </c>
      <c r="K439">
        <f t="array" ref="K439">INT(5 * (RANK(H439,H:H, 0) - 1) / COUNT(H:H)) + 1</f>
        <v>4</v>
      </c>
      <c r="L439">
        <f t="array" ref="L439">INT(5 * (RANK(I439,I:I, 0) - 1) / COUNT(I:I)) + 1</f>
        <v>5</v>
      </c>
      <c r="M439" t="str">
        <f t="shared" si="12"/>
        <v>145</v>
      </c>
      <c r="N439" s="6" t="str">
        <f t="shared" si="13"/>
        <v>At Risk</v>
      </c>
    </row>
    <row r="440" spans="1:14" x14ac:dyDescent="0.35">
      <c r="A440">
        <v>1083</v>
      </c>
      <c r="B440" s="4">
        <v>45518.375085336993</v>
      </c>
      <c r="C440" t="s">
        <v>12</v>
      </c>
      <c r="D440" t="s">
        <v>17</v>
      </c>
      <c r="E440" t="s">
        <v>23</v>
      </c>
      <c r="F440">
        <v>6118.5</v>
      </c>
      <c r="G440">
        <f t="array" ref="G440">SalesData!$I$2 - 'RFM Table'!B440</f>
        <v>618</v>
      </c>
      <c r="H440">
        <f t="array" ref="H440">COUNTIF(A:A,A440)</f>
        <v>10</v>
      </c>
      <c r="I440">
        <f t="array" ref="I440">SUMIF(A:A,A440,F:F)</f>
        <v>27359.329999999998</v>
      </c>
      <c r="J440">
        <f t="array" ref="J440">5 - INT(5 * (RANK(G440,G:G, 1) - 1) / COUNT(G:G))</f>
        <v>1</v>
      </c>
      <c r="K440">
        <f t="array" ref="K440">INT(5 * (RANK(H440,H:H, 0) - 1) / COUNT(H:H)) + 1</f>
        <v>2</v>
      </c>
      <c r="L440">
        <f t="array" ref="L440">INT(5 * (RANK(I440,I:I, 0) - 1) / COUNT(I:I)) + 1</f>
        <v>4</v>
      </c>
      <c r="M440" t="str">
        <f t="shared" si="12"/>
        <v>124</v>
      </c>
      <c r="N440" s="6" t="str">
        <f t="shared" si="13"/>
        <v>Can't Lose Them</v>
      </c>
    </row>
    <row r="441" spans="1:14" x14ac:dyDescent="0.35">
      <c r="A441">
        <v>1223</v>
      </c>
      <c r="B441" s="4">
        <v>45519.375085336993</v>
      </c>
      <c r="C441" t="s">
        <v>11</v>
      </c>
      <c r="D441" t="s">
        <v>19</v>
      </c>
      <c r="E441" t="s">
        <v>23</v>
      </c>
      <c r="F441">
        <v>1529.63</v>
      </c>
      <c r="G441">
        <f t="array" ref="G441">SalesData!$I$2 - 'RFM Table'!B441</f>
        <v>617</v>
      </c>
      <c r="H441">
        <f t="array" ref="H441">COUNTIF(A:A,A441)</f>
        <v>12</v>
      </c>
      <c r="I441">
        <f t="array" ref="I441">SUMIF(A:A,A441,F:F)</f>
        <v>40797.409999999996</v>
      </c>
      <c r="J441">
        <f t="array" ref="J441">5 - INT(5 * (RANK(G441,G:G, 1) - 1) / COUNT(G:G))</f>
        <v>1</v>
      </c>
      <c r="K441">
        <f t="array" ref="K441">INT(5 * (RANK(H441,H:H, 0) - 1) / COUNT(H:H)) + 1</f>
        <v>1</v>
      </c>
      <c r="L441">
        <f t="array" ref="L441">INT(5 * (RANK(I441,I:I, 0) - 1) / COUNT(I:I)) + 1</f>
        <v>2</v>
      </c>
      <c r="M441" t="str">
        <f t="shared" si="12"/>
        <v>112</v>
      </c>
      <c r="N441" s="6" t="str">
        <f t="shared" si="13"/>
        <v>Lost</v>
      </c>
    </row>
    <row r="442" spans="1:14" x14ac:dyDescent="0.35">
      <c r="A442">
        <v>1065</v>
      </c>
      <c r="B442" s="4">
        <v>45519.375085336993</v>
      </c>
      <c r="C442" t="s">
        <v>9</v>
      </c>
      <c r="D442" t="s">
        <v>16</v>
      </c>
      <c r="E442" t="s">
        <v>25</v>
      </c>
      <c r="F442">
        <v>781.69</v>
      </c>
      <c r="G442">
        <f t="array" ref="G442">SalesData!$I$2 - 'RFM Table'!B442</f>
        <v>617</v>
      </c>
      <c r="H442">
        <f t="array" ref="H442">COUNTIF(A:A,A442)</f>
        <v>7</v>
      </c>
      <c r="I442">
        <f t="array" ref="I442">SUMIF(A:A,A442,F:F)</f>
        <v>25155.31</v>
      </c>
      <c r="J442">
        <f t="array" ref="J442">5 - INT(5 * (RANK(G442,G:G, 1) - 1) / COUNT(G:G))</f>
        <v>1</v>
      </c>
      <c r="K442">
        <f t="array" ref="K442">INT(5 * (RANK(H442,H:H, 0) - 1) / COUNT(H:H)) + 1</f>
        <v>4</v>
      </c>
      <c r="L442">
        <f t="array" ref="L442">INT(5 * (RANK(I442,I:I, 0) - 1) / COUNT(I:I)) + 1</f>
        <v>4</v>
      </c>
      <c r="M442" t="str">
        <f t="shared" si="12"/>
        <v>144</v>
      </c>
      <c r="N442" s="6" t="str">
        <f t="shared" si="13"/>
        <v>At Risk</v>
      </c>
    </row>
    <row r="443" spans="1:14" x14ac:dyDescent="0.35">
      <c r="A443">
        <v>1363</v>
      </c>
      <c r="B443" s="4">
        <v>45519.375085336993</v>
      </c>
      <c r="C443" t="s">
        <v>13</v>
      </c>
      <c r="D443" t="s">
        <v>20</v>
      </c>
      <c r="E443" t="s">
        <v>23</v>
      </c>
      <c r="F443">
        <v>1217.6500000000001</v>
      </c>
      <c r="G443">
        <f t="array" ref="G443">SalesData!$I$2 - 'RFM Table'!B443</f>
        <v>617</v>
      </c>
      <c r="H443">
        <f t="array" ref="H443">COUNTIF(A:A,A443)</f>
        <v>9</v>
      </c>
      <c r="I443">
        <f t="array" ref="I443">SUMIF(A:A,A443,F:F)</f>
        <v>33344.57</v>
      </c>
      <c r="J443">
        <f t="array" ref="J443">5 - INT(5 * (RANK(G443,G:G, 1) - 1) / COUNT(G:G))</f>
        <v>1</v>
      </c>
      <c r="K443">
        <f t="array" ref="K443">INT(5 * (RANK(H443,H:H, 0) - 1) / COUNT(H:H)) + 1</f>
        <v>2</v>
      </c>
      <c r="L443">
        <f t="array" ref="L443">INT(5 * (RANK(I443,I:I, 0) - 1) / COUNT(I:I)) + 1</f>
        <v>3</v>
      </c>
      <c r="M443" t="str">
        <f t="shared" si="12"/>
        <v>123</v>
      </c>
      <c r="N443" s="6" t="str">
        <f t="shared" si="13"/>
        <v>Can't Lose Them</v>
      </c>
    </row>
    <row r="444" spans="1:14" x14ac:dyDescent="0.35">
      <c r="A444">
        <v>1232</v>
      </c>
      <c r="B444" s="4">
        <v>45520.375085336993</v>
      </c>
      <c r="C444" t="s">
        <v>13</v>
      </c>
      <c r="D444" t="s">
        <v>17</v>
      </c>
      <c r="E444" t="s">
        <v>24</v>
      </c>
      <c r="F444">
        <v>2383.35</v>
      </c>
      <c r="G444">
        <f t="array" ref="G444">SalesData!$I$2 - 'RFM Table'!B444</f>
        <v>616</v>
      </c>
      <c r="H444">
        <f t="array" ref="H444">COUNTIF(A:A,A444)</f>
        <v>13</v>
      </c>
      <c r="I444">
        <f t="array" ref="I444">SUMIF(A:A,A444,F:F)</f>
        <v>40298.450000000004</v>
      </c>
      <c r="J444">
        <f t="array" ref="J444">5 - INT(5 * (RANK(G444,G:G, 1) - 1) / COUNT(G:G))</f>
        <v>1</v>
      </c>
      <c r="K444">
        <f t="array" ref="K444">INT(5 * (RANK(H444,H:H, 0) - 1) / COUNT(H:H)) + 1</f>
        <v>1</v>
      </c>
      <c r="L444">
        <f t="array" ref="L444">INT(5 * (RANK(I444,I:I, 0) - 1) / COUNT(I:I)) + 1</f>
        <v>2</v>
      </c>
      <c r="M444" t="str">
        <f t="shared" si="12"/>
        <v>112</v>
      </c>
      <c r="N444" s="6" t="str">
        <f t="shared" si="13"/>
        <v>Lost</v>
      </c>
    </row>
    <row r="445" spans="1:14" x14ac:dyDescent="0.35">
      <c r="A445">
        <v>1283</v>
      </c>
      <c r="B445" s="4">
        <v>45520.375085336993</v>
      </c>
      <c r="C445" t="s">
        <v>8</v>
      </c>
      <c r="D445" t="s">
        <v>21</v>
      </c>
      <c r="E445" t="s">
        <v>25</v>
      </c>
      <c r="F445">
        <v>962.19</v>
      </c>
      <c r="G445">
        <f t="array" ref="G445">SalesData!$I$2 - 'RFM Table'!B445</f>
        <v>616</v>
      </c>
      <c r="H445">
        <f t="array" ref="H445">COUNTIF(A:A,A445)</f>
        <v>7</v>
      </c>
      <c r="I445">
        <f t="array" ref="I445">SUMIF(A:A,A445,F:F)</f>
        <v>30708.170000000002</v>
      </c>
      <c r="J445">
        <f t="array" ref="J445">5 - INT(5 * (RANK(G445,G:G, 1) - 1) / COUNT(G:G))</f>
        <v>1</v>
      </c>
      <c r="K445">
        <f t="array" ref="K445">INT(5 * (RANK(H445,H:H, 0) - 1) / COUNT(H:H)) + 1</f>
        <v>4</v>
      </c>
      <c r="L445">
        <f t="array" ref="L445">INT(5 * (RANK(I445,I:I, 0) - 1) / COUNT(I:I)) + 1</f>
        <v>3</v>
      </c>
      <c r="M445" t="str">
        <f t="shared" si="12"/>
        <v>143</v>
      </c>
      <c r="N445" s="6" t="str">
        <f t="shared" si="13"/>
        <v>At Risk</v>
      </c>
    </row>
    <row r="446" spans="1:14" x14ac:dyDescent="0.35">
      <c r="A446">
        <v>1378</v>
      </c>
      <c r="B446" s="4">
        <v>45520.375085336993</v>
      </c>
      <c r="C446" t="s">
        <v>9</v>
      </c>
      <c r="D446" t="s">
        <v>22</v>
      </c>
      <c r="E446" t="s">
        <v>24</v>
      </c>
      <c r="F446">
        <v>8351.84</v>
      </c>
      <c r="G446">
        <f t="array" ref="G446">SalesData!$I$2 - 'RFM Table'!B446</f>
        <v>616</v>
      </c>
      <c r="H446">
        <f t="array" ref="H446">COUNTIF(A:A,A446)</f>
        <v>11</v>
      </c>
      <c r="I446">
        <f t="array" ref="I446">SUMIF(A:A,A446,F:F)</f>
        <v>58842.799999999996</v>
      </c>
      <c r="J446">
        <f t="array" ref="J446">5 - INT(5 * (RANK(G446,G:G, 1) - 1) / COUNT(G:G))</f>
        <v>1</v>
      </c>
      <c r="K446">
        <f t="array" ref="K446">INT(5 * (RANK(H446,H:H, 0) - 1) / COUNT(H:H)) + 1</f>
        <v>1</v>
      </c>
      <c r="L446">
        <f t="array" ref="L446">INT(5 * (RANK(I446,I:I, 0) - 1) / COUNT(I:I)) + 1</f>
        <v>1</v>
      </c>
      <c r="M446" t="str">
        <f t="shared" si="12"/>
        <v>111</v>
      </c>
      <c r="N446" s="6" t="str">
        <f t="shared" si="13"/>
        <v>Lost</v>
      </c>
    </row>
    <row r="447" spans="1:14" x14ac:dyDescent="0.35">
      <c r="A447">
        <v>1180</v>
      </c>
      <c r="B447" s="4">
        <v>45521.375085336993</v>
      </c>
      <c r="C447" t="s">
        <v>6</v>
      </c>
      <c r="D447" t="s">
        <v>20</v>
      </c>
      <c r="E447" t="s">
        <v>24</v>
      </c>
      <c r="F447">
        <v>2489.35</v>
      </c>
      <c r="G447">
        <f t="array" ref="G447">SalesData!$I$2 - 'RFM Table'!B447</f>
        <v>615</v>
      </c>
      <c r="H447">
        <f t="array" ref="H447">COUNTIF(A:A,A447)</f>
        <v>8</v>
      </c>
      <c r="I447">
        <f t="array" ref="I447">SUMIF(A:A,A447,F:F)</f>
        <v>35247.5</v>
      </c>
      <c r="J447">
        <f t="array" ref="J447">5 - INT(5 * (RANK(G447,G:G, 1) - 1) / COUNT(G:G))</f>
        <v>1</v>
      </c>
      <c r="K447">
        <f t="array" ref="K447">INT(5 * (RANK(H447,H:H, 0) - 1) / COUNT(H:H)) + 1</f>
        <v>3</v>
      </c>
      <c r="L447">
        <f t="array" ref="L447">INT(5 * (RANK(I447,I:I, 0) - 1) / COUNT(I:I)) + 1</f>
        <v>3</v>
      </c>
      <c r="M447" t="str">
        <f t="shared" si="12"/>
        <v>133</v>
      </c>
      <c r="N447" s="6" t="str">
        <f t="shared" si="13"/>
        <v>At Risk</v>
      </c>
    </row>
    <row r="448" spans="1:14" x14ac:dyDescent="0.35">
      <c r="A448">
        <v>1373</v>
      </c>
      <c r="B448" s="4">
        <v>45521.375085336993</v>
      </c>
      <c r="C448" t="s">
        <v>9</v>
      </c>
      <c r="D448" t="s">
        <v>18</v>
      </c>
      <c r="E448" t="s">
        <v>23</v>
      </c>
      <c r="F448">
        <v>9944.57</v>
      </c>
      <c r="G448">
        <f t="array" ref="G448">SalesData!$I$2 - 'RFM Table'!B448</f>
        <v>615</v>
      </c>
      <c r="H448">
        <f t="array" ref="H448">COUNTIF(A:A,A448)</f>
        <v>11</v>
      </c>
      <c r="I448">
        <f t="array" ref="I448">SUMIF(A:A,A448,F:F)</f>
        <v>46795.570000000007</v>
      </c>
      <c r="J448">
        <f t="array" ref="J448">5 - INT(5 * (RANK(G448,G:G, 1) - 1) / COUNT(G:G))</f>
        <v>1</v>
      </c>
      <c r="K448">
        <f t="array" ref="K448">INT(5 * (RANK(H448,H:H, 0) - 1) / COUNT(H:H)) + 1</f>
        <v>1</v>
      </c>
      <c r="L448">
        <f t="array" ref="L448">INT(5 * (RANK(I448,I:I, 0) - 1) / COUNT(I:I)) + 1</f>
        <v>1</v>
      </c>
      <c r="M448" t="str">
        <f t="shared" si="12"/>
        <v>111</v>
      </c>
      <c r="N448" s="6" t="str">
        <f t="shared" si="13"/>
        <v>Lost</v>
      </c>
    </row>
    <row r="449" spans="1:14" x14ac:dyDescent="0.35">
      <c r="A449">
        <v>1390</v>
      </c>
      <c r="B449" s="4">
        <v>45521.375085336993</v>
      </c>
      <c r="C449" t="s">
        <v>14</v>
      </c>
      <c r="D449" t="s">
        <v>16</v>
      </c>
      <c r="E449" t="s">
        <v>25</v>
      </c>
      <c r="F449">
        <v>2478.02</v>
      </c>
      <c r="G449">
        <f t="array" ref="G449">SalesData!$I$2 - 'RFM Table'!B449</f>
        <v>615</v>
      </c>
      <c r="H449">
        <f t="array" ref="H449">COUNTIF(A:A,A449)</f>
        <v>8</v>
      </c>
      <c r="I449">
        <f t="array" ref="I449">SUMIF(A:A,A449,F:F)</f>
        <v>37946.1</v>
      </c>
      <c r="J449">
        <f t="array" ref="J449">5 - INT(5 * (RANK(G449,G:G, 1) - 1) / COUNT(G:G))</f>
        <v>1</v>
      </c>
      <c r="K449">
        <f t="array" ref="K449">INT(5 * (RANK(H449,H:H, 0) - 1) / COUNT(H:H)) + 1</f>
        <v>3</v>
      </c>
      <c r="L449">
        <f t="array" ref="L449">INT(5 * (RANK(I449,I:I, 0) - 1) / COUNT(I:I)) + 1</f>
        <v>2</v>
      </c>
      <c r="M449" t="str">
        <f t="shared" si="12"/>
        <v>132</v>
      </c>
      <c r="N449" s="6" t="str">
        <f t="shared" si="13"/>
        <v>Others</v>
      </c>
    </row>
    <row r="450" spans="1:14" x14ac:dyDescent="0.35">
      <c r="A450">
        <v>1002</v>
      </c>
      <c r="B450" s="4">
        <v>45521.375085336993</v>
      </c>
      <c r="C450" t="s">
        <v>9</v>
      </c>
      <c r="D450" t="s">
        <v>19</v>
      </c>
      <c r="E450" t="s">
        <v>23</v>
      </c>
      <c r="F450">
        <v>7309.47</v>
      </c>
      <c r="G450">
        <f t="array" ref="G450">SalesData!$I$2 - 'RFM Table'!B450</f>
        <v>615</v>
      </c>
      <c r="H450">
        <f t="array" ref="H450">COUNTIF(A:A,A450)</f>
        <v>9</v>
      </c>
      <c r="I450">
        <f t="array" ref="I450">SUMIF(A:A,A450,F:F)</f>
        <v>35145.360000000001</v>
      </c>
      <c r="J450">
        <f t="array" ref="J450">5 - INT(5 * (RANK(G450,G:G, 1) - 1) / COUNT(G:G))</f>
        <v>1</v>
      </c>
      <c r="K450">
        <f t="array" ref="K450">INT(5 * (RANK(H450,H:H, 0) - 1) / COUNT(H:H)) + 1</f>
        <v>2</v>
      </c>
      <c r="L450">
        <f t="array" ref="L450">INT(5 * (RANK(I450,I:I, 0) - 1) / COUNT(I:I)) + 1</f>
        <v>3</v>
      </c>
      <c r="M450" t="str">
        <f t="shared" si="12"/>
        <v>123</v>
      </c>
      <c r="N450" s="6" t="str">
        <f t="shared" si="13"/>
        <v>Can't Lose Them</v>
      </c>
    </row>
    <row r="451" spans="1:14" x14ac:dyDescent="0.35">
      <c r="A451">
        <v>1311</v>
      </c>
      <c r="B451" s="4">
        <v>45521.375085336993</v>
      </c>
      <c r="C451" t="s">
        <v>7</v>
      </c>
      <c r="D451" t="s">
        <v>17</v>
      </c>
      <c r="E451" t="s">
        <v>25</v>
      </c>
      <c r="F451">
        <v>1544.69</v>
      </c>
      <c r="G451">
        <f t="array" ref="G451">SalesData!$I$2 - 'RFM Table'!B451</f>
        <v>615</v>
      </c>
      <c r="H451">
        <f t="array" ref="H451">COUNTIF(A:A,A451)</f>
        <v>8</v>
      </c>
      <c r="I451">
        <f t="array" ref="I451">SUMIF(A:A,A451,F:F)</f>
        <v>37668.22</v>
      </c>
      <c r="J451">
        <f t="array" ref="J451">5 - INT(5 * (RANK(G451,G:G, 1) - 1) / COUNT(G:G))</f>
        <v>1</v>
      </c>
      <c r="K451">
        <f t="array" ref="K451">INT(5 * (RANK(H451,H:H, 0) - 1) / COUNT(H:H)) + 1</f>
        <v>3</v>
      </c>
      <c r="L451">
        <f t="array" ref="L451">INT(5 * (RANK(I451,I:I, 0) - 1) / COUNT(I:I)) + 1</f>
        <v>2</v>
      </c>
      <c r="M451" t="str">
        <f t="shared" ref="M451:M514" si="14">J451 &amp; K451 &amp; L451</f>
        <v>132</v>
      </c>
      <c r="N451" s="6" t="str">
        <f t="shared" ref="N451:N514" si="15">IF(AND(J451&gt;=4,K451&lt;=2),"New Customers",
IF(AND(J451&lt;=2,K451&gt;=3,L451&gt;=3),"At Risk",
IF(AND(J451&lt;=2,K451&lt;=2,L451&gt;=3),"Can't Lose Them",
IF(AND(J451&lt;=2,K451&lt;=2,L451&lt;=2),"Lost",
"Others"))))</f>
        <v>Others</v>
      </c>
    </row>
    <row r="452" spans="1:14" x14ac:dyDescent="0.35">
      <c r="A452">
        <v>1149</v>
      </c>
      <c r="B452" s="4">
        <v>45522.375085336993</v>
      </c>
      <c r="C452" t="s">
        <v>7</v>
      </c>
      <c r="D452" t="s">
        <v>20</v>
      </c>
      <c r="E452" t="s">
        <v>24</v>
      </c>
      <c r="F452">
        <v>4829.63</v>
      </c>
      <c r="G452">
        <f t="array" ref="G452">SalesData!$I$2 - 'RFM Table'!B452</f>
        <v>614</v>
      </c>
      <c r="H452">
        <f t="array" ref="H452">COUNTIF(A:A,A452)</f>
        <v>8</v>
      </c>
      <c r="I452">
        <f t="array" ref="I452">SUMIF(A:A,A452,F:F)</f>
        <v>22978.19</v>
      </c>
      <c r="J452">
        <f t="array" ref="J452">5 - INT(5 * (RANK(G452,G:G, 1) - 1) / COUNT(G:G))</f>
        <v>1</v>
      </c>
      <c r="K452">
        <f t="array" ref="K452">INT(5 * (RANK(H452,H:H, 0) - 1) / COUNT(H:H)) + 1</f>
        <v>3</v>
      </c>
      <c r="L452">
        <f t="array" ref="L452">INT(5 * (RANK(I452,I:I, 0) - 1) / COUNT(I:I)) + 1</f>
        <v>4</v>
      </c>
      <c r="M452" t="str">
        <f t="shared" si="14"/>
        <v>134</v>
      </c>
      <c r="N452" s="6" t="str">
        <f t="shared" si="15"/>
        <v>At Risk</v>
      </c>
    </row>
    <row r="453" spans="1:14" x14ac:dyDescent="0.35">
      <c r="A453">
        <v>1372</v>
      </c>
      <c r="B453" s="4">
        <v>45522.375085336993</v>
      </c>
      <c r="C453" t="s">
        <v>13</v>
      </c>
      <c r="D453" t="s">
        <v>17</v>
      </c>
      <c r="E453" t="s">
        <v>23</v>
      </c>
      <c r="F453">
        <v>3333.59</v>
      </c>
      <c r="G453">
        <f t="array" ref="G453">SalesData!$I$2 - 'RFM Table'!B453</f>
        <v>614</v>
      </c>
      <c r="H453">
        <f t="array" ref="H453">COUNTIF(A:A,A453)</f>
        <v>9</v>
      </c>
      <c r="I453">
        <f t="array" ref="I453">SUMIF(A:A,A453,F:F)</f>
        <v>32843.11</v>
      </c>
      <c r="J453">
        <f t="array" ref="J453">5 - INT(5 * (RANK(G453,G:G, 1) - 1) / COUNT(G:G))</f>
        <v>1</v>
      </c>
      <c r="K453">
        <f t="array" ref="K453">INT(5 * (RANK(H453,H:H, 0) - 1) / COUNT(H:H)) + 1</f>
        <v>2</v>
      </c>
      <c r="L453">
        <f t="array" ref="L453">INT(5 * (RANK(I453,I:I, 0) - 1) / COUNT(I:I)) + 1</f>
        <v>3</v>
      </c>
      <c r="M453" t="str">
        <f t="shared" si="14"/>
        <v>123</v>
      </c>
      <c r="N453" s="6" t="str">
        <f t="shared" si="15"/>
        <v>Can't Lose Them</v>
      </c>
    </row>
    <row r="454" spans="1:14" x14ac:dyDescent="0.35">
      <c r="A454">
        <v>1218</v>
      </c>
      <c r="B454" s="4">
        <v>45523.375085336993</v>
      </c>
      <c r="C454" t="s">
        <v>8</v>
      </c>
      <c r="D454" t="s">
        <v>21</v>
      </c>
      <c r="E454" t="s">
        <v>23</v>
      </c>
      <c r="F454">
        <v>10978.19</v>
      </c>
      <c r="G454">
        <f t="array" ref="G454">SalesData!$I$2 - 'RFM Table'!B454</f>
        <v>613</v>
      </c>
      <c r="H454">
        <f t="array" ref="H454">COUNTIF(A:A,A454)</f>
        <v>4</v>
      </c>
      <c r="I454">
        <f t="array" ref="I454">SUMIF(A:A,A454,F:F)</f>
        <v>29501.85</v>
      </c>
      <c r="J454">
        <f t="array" ref="J454">5 - INT(5 * (RANK(G454,G:G, 1) - 1) / COUNT(G:G))</f>
        <v>1</v>
      </c>
      <c r="K454">
        <f t="array" ref="K454">INT(5 * (RANK(H454,H:H, 0) - 1) / COUNT(H:H)) + 1</f>
        <v>5</v>
      </c>
      <c r="L454">
        <f t="array" ref="L454">INT(5 * (RANK(I454,I:I, 0) - 1) / COUNT(I:I)) + 1</f>
        <v>3</v>
      </c>
      <c r="M454" t="str">
        <f t="shared" si="14"/>
        <v>153</v>
      </c>
      <c r="N454" s="6" t="str">
        <f t="shared" si="15"/>
        <v>At Risk</v>
      </c>
    </row>
    <row r="455" spans="1:14" x14ac:dyDescent="0.35">
      <c r="A455">
        <v>1283</v>
      </c>
      <c r="B455" s="4">
        <v>45523.375085336993</v>
      </c>
      <c r="C455" t="s">
        <v>10</v>
      </c>
      <c r="D455" t="s">
        <v>19</v>
      </c>
      <c r="E455" t="s">
        <v>25</v>
      </c>
      <c r="F455">
        <v>2044.55</v>
      </c>
      <c r="G455">
        <f t="array" ref="G455">SalesData!$I$2 - 'RFM Table'!B455</f>
        <v>613</v>
      </c>
      <c r="H455">
        <f t="array" ref="H455">COUNTIF(A:A,A455)</f>
        <v>7</v>
      </c>
      <c r="I455">
        <f t="array" ref="I455">SUMIF(A:A,A455,F:F)</f>
        <v>30708.170000000002</v>
      </c>
      <c r="J455">
        <f t="array" ref="J455">5 - INT(5 * (RANK(G455,G:G, 1) - 1) / COUNT(G:G))</f>
        <v>1</v>
      </c>
      <c r="K455">
        <f t="array" ref="K455">INT(5 * (RANK(H455,H:H, 0) - 1) / COUNT(H:H)) + 1</f>
        <v>4</v>
      </c>
      <c r="L455">
        <f t="array" ref="L455">INT(5 * (RANK(I455,I:I, 0) - 1) / COUNT(I:I)) + 1</f>
        <v>3</v>
      </c>
      <c r="M455" t="str">
        <f t="shared" si="14"/>
        <v>143</v>
      </c>
      <c r="N455" s="6" t="str">
        <f t="shared" si="15"/>
        <v>At Risk</v>
      </c>
    </row>
    <row r="456" spans="1:14" x14ac:dyDescent="0.35">
      <c r="A456">
        <v>1058</v>
      </c>
      <c r="B456" s="4">
        <v>45523.375085336993</v>
      </c>
      <c r="C456" t="s">
        <v>7</v>
      </c>
      <c r="D456" t="s">
        <v>22</v>
      </c>
      <c r="E456" t="s">
        <v>25</v>
      </c>
      <c r="F456">
        <v>3883.4</v>
      </c>
      <c r="G456">
        <f t="array" ref="G456">SalesData!$I$2 - 'RFM Table'!B456</f>
        <v>613</v>
      </c>
      <c r="H456">
        <f t="array" ref="H456">COUNTIF(A:A,A456)</f>
        <v>8</v>
      </c>
      <c r="I456">
        <f t="array" ref="I456">SUMIF(A:A,A456,F:F)</f>
        <v>29892.99</v>
      </c>
      <c r="J456">
        <f t="array" ref="J456">5 - INT(5 * (RANK(G456,G:G, 1) - 1) / COUNT(G:G))</f>
        <v>1</v>
      </c>
      <c r="K456">
        <f t="array" ref="K456">INT(5 * (RANK(H456,H:H, 0) - 1) / COUNT(H:H)) + 1</f>
        <v>3</v>
      </c>
      <c r="L456">
        <f t="array" ref="L456">INT(5 * (RANK(I456,I:I, 0) - 1) / COUNT(I:I)) + 1</f>
        <v>3</v>
      </c>
      <c r="M456" t="str">
        <f t="shared" si="14"/>
        <v>133</v>
      </c>
      <c r="N456" s="6" t="str">
        <f t="shared" si="15"/>
        <v>At Risk</v>
      </c>
    </row>
    <row r="457" spans="1:14" x14ac:dyDescent="0.35">
      <c r="A457">
        <v>1119</v>
      </c>
      <c r="B457" s="4">
        <v>45523.375085336993</v>
      </c>
      <c r="C457" t="s">
        <v>12</v>
      </c>
      <c r="D457" t="s">
        <v>16</v>
      </c>
      <c r="E457" t="s">
        <v>23</v>
      </c>
      <c r="F457">
        <v>4964.6099999999997</v>
      </c>
      <c r="G457">
        <f t="array" ref="G457">SalesData!$I$2 - 'RFM Table'!B457</f>
        <v>613</v>
      </c>
      <c r="H457">
        <f t="array" ref="H457">COUNTIF(A:A,A457)</f>
        <v>8</v>
      </c>
      <c r="I457">
        <f t="array" ref="I457">SUMIF(A:A,A457,F:F)</f>
        <v>33012.819999999992</v>
      </c>
      <c r="J457">
        <f t="array" ref="J457">5 - INT(5 * (RANK(G457,G:G, 1) - 1) / COUNT(G:G))</f>
        <v>1</v>
      </c>
      <c r="K457">
        <f t="array" ref="K457">INT(5 * (RANK(H457,H:H, 0) - 1) / COUNT(H:H)) + 1</f>
        <v>3</v>
      </c>
      <c r="L457">
        <f t="array" ref="L457">INT(5 * (RANK(I457,I:I, 0) - 1) / COUNT(I:I)) + 1</f>
        <v>3</v>
      </c>
      <c r="M457" t="str">
        <f t="shared" si="14"/>
        <v>133</v>
      </c>
      <c r="N457" s="6" t="str">
        <f t="shared" si="15"/>
        <v>At Risk</v>
      </c>
    </row>
    <row r="458" spans="1:14" x14ac:dyDescent="0.35">
      <c r="A458">
        <v>1376</v>
      </c>
      <c r="B458" s="4">
        <v>45523.375085336993</v>
      </c>
      <c r="C458" t="s">
        <v>6</v>
      </c>
      <c r="D458" t="s">
        <v>16</v>
      </c>
      <c r="E458" t="s">
        <v>24</v>
      </c>
      <c r="F458">
        <v>6340.02</v>
      </c>
      <c r="G458">
        <f t="array" ref="G458">SalesData!$I$2 - 'RFM Table'!B458</f>
        <v>613</v>
      </c>
      <c r="H458">
        <f t="array" ref="H458">COUNTIF(A:A,A458)</f>
        <v>6</v>
      </c>
      <c r="I458">
        <f t="array" ref="I458">SUMIF(A:A,A458,F:F)</f>
        <v>21816.019999999997</v>
      </c>
      <c r="J458">
        <f t="array" ref="J458">5 - INT(5 * (RANK(G458,G:G, 1) - 1) / COUNT(G:G))</f>
        <v>1</v>
      </c>
      <c r="K458">
        <f t="array" ref="K458">INT(5 * (RANK(H458,H:H, 0) - 1) / COUNT(H:H)) + 1</f>
        <v>4</v>
      </c>
      <c r="L458">
        <f t="array" ref="L458">INT(5 * (RANK(I458,I:I, 0) - 1) / COUNT(I:I)) + 1</f>
        <v>4</v>
      </c>
      <c r="M458" t="str">
        <f t="shared" si="14"/>
        <v>144</v>
      </c>
      <c r="N458" s="6" t="str">
        <f t="shared" si="15"/>
        <v>At Risk</v>
      </c>
    </row>
    <row r="459" spans="1:14" x14ac:dyDescent="0.35">
      <c r="A459">
        <v>1226</v>
      </c>
      <c r="B459" s="4">
        <v>45523.375085336993</v>
      </c>
      <c r="C459" t="s">
        <v>12</v>
      </c>
      <c r="D459" t="s">
        <v>21</v>
      </c>
      <c r="E459" t="s">
        <v>24</v>
      </c>
      <c r="F459">
        <v>3217.8</v>
      </c>
      <c r="G459">
        <f t="array" ref="G459">SalesData!$I$2 - 'RFM Table'!B459</f>
        <v>613</v>
      </c>
      <c r="H459">
        <f t="array" ref="H459">COUNTIF(A:A,A459)</f>
        <v>13</v>
      </c>
      <c r="I459">
        <f t="array" ref="I459">SUMIF(A:A,A459,F:F)</f>
        <v>49471.75</v>
      </c>
      <c r="J459">
        <f t="array" ref="J459">5 - INT(5 * (RANK(G459,G:G, 1) - 1) / COUNT(G:G))</f>
        <v>1</v>
      </c>
      <c r="K459">
        <f t="array" ref="K459">INT(5 * (RANK(H459,H:H, 0) - 1) / COUNT(H:H)) + 1</f>
        <v>1</v>
      </c>
      <c r="L459">
        <f t="array" ref="L459">INT(5 * (RANK(I459,I:I, 0) - 1) / COUNT(I:I)) + 1</f>
        <v>1</v>
      </c>
      <c r="M459" t="str">
        <f t="shared" si="14"/>
        <v>111</v>
      </c>
      <c r="N459" s="6" t="str">
        <f t="shared" si="15"/>
        <v>Lost</v>
      </c>
    </row>
    <row r="460" spans="1:14" x14ac:dyDescent="0.35">
      <c r="A460">
        <v>1336</v>
      </c>
      <c r="B460" s="4">
        <v>45523.375085336993</v>
      </c>
      <c r="C460" t="s">
        <v>15</v>
      </c>
      <c r="D460" t="s">
        <v>19</v>
      </c>
      <c r="E460" t="s">
        <v>23</v>
      </c>
      <c r="F460">
        <v>3784.4</v>
      </c>
      <c r="G460">
        <f t="array" ref="G460">SalesData!$I$2 - 'RFM Table'!B460</f>
        <v>613</v>
      </c>
      <c r="H460">
        <f t="array" ref="H460">COUNTIF(A:A,A460)</f>
        <v>6</v>
      </c>
      <c r="I460">
        <f t="array" ref="I460">SUMIF(A:A,A460,F:F)</f>
        <v>27182.68</v>
      </c>
      <c r="J460">
        <f t="array" ref="J460">5 - INT(5 * (RANK(G460,G:G, 1) - 1) / COUNT(G:G))</f>
        <v>1</v>
      </c>
      <c r="K460">
        <f t="array" ref="K460">INT(5 * (RANK(H460,H:H, 0) - 1) / COUNT(H:H)) + 1</f>
        <v>4</v>
      </c>
      <c r="L460">
        <f t="array" ref="L460">INT(5 * (RANK(I460,I:I, 0) - 1) / COUNT(I:I)) + 1</f>
        <v>4</v>
      </c>
      <c r="M460" t="str">
        <f t="shared" si="14"/>
        <v>144</v>
      </c>
      <c r="N460" s="6" t="str">
        <f t="shared" si="15"/>
        <v>At Risk</v>
      </c>
    </row>
    <row r="461" spans="1:14" x14ac:dyDescent="0.35">
      <c r="A461">
        <v>1263</v>
      </c>
      <c r="B461" s="4">
        <v>45524.375085336993</v>
      </c>
      <c r="C461" t="s">
        <v>6</v>
      </c>
      <c r="D461" t="s">
        <v>17</v>
      </c>
      <c r="E461" t="s">
        <v>25</v>
      </c>
      <c r="F461">
        <v>2812.54</v>
      </c>
      <c r="G461">
        <f t="array" ref="G461">SalesData!$I$2 - 'RFM Table'!B461</f>
        <v>612</v>
      </c>
      <c r="H461">
        <f t="array" ref="H461">COUNTIF(A:A,A461)</f>
        <v>15</v>
      </c>
      <c r="I461">
        <f t="array" ref="I461">SUMIF(A:A,A461,F:F)</f>
        <v>55867.080000000016</v>
      </c>
      <c r="J461">
        <f t="array" ref="J461">5 - INT(5 * (RANK(G461,G:G, 1) - 1) / COUNT(G:G))</f>
        <v>1</v>
      </c>
      <c r="K461">
        <f t="array" ref="K461">INT(5 * (RANK(H461,H:H, 0) - 1) / COUNT(H:H)) + 1</f>
        <v>1</v>
      </c>
      <c r="L461">
        <f t="array" ref="L461">INT(5 * (RANK(I461,I:I, 0) - 1) / COUNT(I:I)) + 1</f>
        <v>1</v>
      </c>
      <c r="M461" t="str">
        <f t="shared" si="14"/>
        <v>111</v>
      </c>
      <c r="N461" s="6" t="str">
        <f t="shared" si="15"/>
        <v>Lost</v>
      </c>
    </row>
    <row r="462" spans="1:14" x14ac:dyDescent="0.35">
      <c r="A462">
        <v>1219</v>
      </c>
      <c r="B462" s="4">
        <v>45524.375085336993</v>
      </c>
      <c r="C462" t="s">
        <v>15</v>
      </c>
      <c r="D462" t="s">
        <v>20</v>
      </c>
      <c r="E462" t="s">
        <v>23</v>
      </c>
      <c r="F462">
        <v>3331.98</v>
      </c>
      <c r="G462">
        <f t="array" ref="G462">SalesData!$I$2 - 'RFM Table'!B462</f>
        <v>612</v>
      </c>
      <c r="H462">
        <f t="array" ref="H462">COUNTIF(A:A,A462)</f>
        <v>11</v>
      </c>
      <c r="I462">
        <f t="array" ref="I462">SUMIF(A:A,A462,F:F)</f>
        <v>38976.650000000009</v>
      </c>
      <c r="J462">
        <f t="array" ref="J462">5 - INT(5 * (RANK(G462,G:G, 1) - 1) / COUNT(G:G))</f>
        <v>1</v>
      </c>
      <c r="K462">
        <f t="array" ref="K462">INT(5 * (RANK(H462,H:H, 0) - 1) / COUNT(H:H)) + 1</f>
        <v>1</v>
      </c>
      <c r="L462">
        <f t="array" ref="L462">INT(5 * (RANK(I462,I:I, 0) - 1) / COUNT(I:I)) + 1</f>
        <v>2</v>
      </c>
      <c r="M462" t="str">
        <f t="shared" si="14"/>
        <v>112</v>
      </c>
      <c r="N462" s="6" t="str">
        <f t="shared" si="15"/>
        <v>Lost</v>
      </c>
    </row>
    <row r="463" spans="1:14" x14ac:dyDescent="0.35">
      <c r="A463">
        <v>1279</v>
      </c>
      <c r="B463" s="4">
        <v>45525.375085336993</v>
      </c>
      <c r="C463" t="s">
        <v>9</v>
      </c>
      <c r="D463" t="s">
        <v>21</v>
      </c>
      <c r="E463" t="s">
        <v>25</v>
      </c>
      <c r="F463">
        <v>885.86</v>
      </c>
      <c r="G463">
        <f t="array" ref="G463">SalesData!$I$2 - 'RFM Table'!B463</f>
        <v>611</v>
      </c>
      <c r="H463">
        <f t="array" ref="H463">COUNTIF(A:A,A463)</f>
        <v>8</v>
      </c>
      <c r="I463">
        <f t="array" ref="I463">SUMIF(A:A,A463,F:F)</f>
        <v>28833.759999999998</v>
      </c>
      <c r="J463">
        <f t="array" ref="J463">5 - INT(5 * (RANK(G463,G:G, 1) - 1) / COUNT(G:G))</f>
        <v>1</v>
      </c>
      <c r="K463">
        <f t="array" ref="K463">INT(5 * (RANK(H463,H:H, 0) - 1) / COUNT(H:H)) + 1</f>
        <v>3</v>
      </c>
      <c r="L463">
        <f t="array" ref="L463">INT(5 * (RANK(I463,I:I, 0) - 1) / COUNT(I:I)) + 1</f>
        <v>4</v>
      </c>
      <c r="M463" t="str">
        <f t="shared" si="14"/>
        <v>134</v>
      </c>
      <c r="N463" s="6" t="str">
        <f t="shared" si="15"/>
        <v>At Risk</v>
      </c>
    </row>
    <row r="464" spans="1:14" x14ac:dyDescent="0.35">
      <c r="A464">
        <v>1118</v>
      </c>
      <c r="B464" s="4">
        <v>45525.375085336993</v>
      </c>
      <c r="C464" t="s">
        <v>6</v>
      </c>
      <c r="D464" t="s">
        <v>21</v>
      </c>
      <c r="E464" t="s">
        <v>25</v>
      </c>
      <c r="F464">
        <v>4506.1400000000003</v>
      </c>
      <c r="G464">
        <f t="array" ref="G464">SalesData!$I$2 - 'RFM Table'!B464</f>
        <v>611</v>
      </c>
      <c r="H464">
        <f t="array" ref="H464">COUNTIF(A:A,A464)</f>
        <v>10</v>
      </c>
      <c r="I464">
        <f t="array" ref="I464">SUMIF(A:A,A464,F:F)</f>
        <v>40587.47</v>
      </c>
      <c r="J464">
        <f t="array" ref="J464">5 - INT(5 * (RANK(G464,G:G, 1) - 1) / COUNT(G:G))</f>
        <v>1</v>
      </c>
      <c r="K464">
        <f t="array" ref="K464">INT(5 * (RANK(H464,H:H, 0) - 1) / COUNT(H:H)) + 1</f>
        <v>2</v>
      </c>
      <c r="L464">
        <f t="array" ref="L464">INT(5 * (RANK(I464,I:I, 0) - 1) / COUNT(I:I)) + 1</f>
        <v>2</v>
      </c>
      <c r="M464" t="str">
        <f t="shared" si="14"/>
        <v>122</v>
      </c>
      <c r="N464" s="6" t="str">
        <f t="shared" si="15"/>
        <v>Lost</v>
      </c>
    </row>
    <row r="465" spans="1:14" x14ac:dyDescent="0.35">
      <c r="A465">
        <v>1202</v>
      </c>
      <c r="B465" s="4">
        <v>45525.375085336993</v>
      </c>
      <c r="C465" t="s">
        <v>8</v>
      </c>
      <c r="D465" t="s">
        <v>17</v>
      </c>
      <c r="E465" t="s">
        <v>25</v>
      </c>
      <c r="F465">
        <v>279.93</v>
      </c>
      <c r="G465">
        <f t="array" ref="G465">SalesData!$I$2 - 'RFM Table'!B465</f>
        <v>611</v>
      </c>
      <c r="H465">
        <f t="array" ref="H465">COUNTIF(A:A,A465)</f>
        <v>6</v>
      </c>
      <c r="I465">
        <f t="array" ref="I465">SUMIF(A:A,A465,F:F)</f>
        <v>14707.359999999999</v>
      </c>
      <c r="J465">
        <f t="array" ref="J465">5 - INT(5 * (RANK(G465,G:G, 1) - 1) / COUNT(G:G))</f>
        <v>1</v>
      </c>
      <c r="K465">
        <f t="array" ref="K465">INT(5 * (RANK(H465,H:H, 0) - 1) / COUNT(H:H)) + 1</f>
        <v>4</v>
      </c>
      <c r="L465">
        <f t="array" ref="L465">INT(5 * (RANK(I465,I:I, 0) - 1) / COUNT(I:I)) + 1</f>
        <v>5</v>
      </c>
      <c r="M465" t="str">
        <f t="shared" si="14"/>
        <v>145</v>
      </c>
      <c r="N465" s="6" t="str">
        <f t="shared" si="15"/>
        <v>At Risk</v>
      </c>
    </row>
    <row r="466" spans="1:14" x14ac:dyDescent="0.35">
      <c r="A466">
        <v>1394</v>
      </c>
      <c r="B466" s="4">
        <v>45526.375085336993</v>
      </c>
      <c r="C466" t="s">
        <v>6</v>
      </c>
      <c r="D466" t="s">
        <v>20</v>
      </c>
      <c r="E466" t="s">
        <v>24</v>
      </c>
      <c r="F466">
        <v>970.98</v>
      </c>
      <c r="G466">
        <f t="array" ref="G466">SalesData!$I$2 - 'RFM Table'!B466</f>
        <v>610</v>
      </c>
      <c r="H466">
        <f t="array" ref="H466">COUNTIF(A:A,A466)</f>
        <v>6</v>
      </c>
      <c r="I466">
        <f t="array" ref="I466">SUMIF(A:A,A466,F:F)</f>
        <v>15872.329999999998</v>
      </c>
      <c r="J466">
        <f t="array" ref="J466">5 - INT(5 * (RANK(G466,G:G, 1) - 1) / COUNT(G:G))</f>
        <v>1</v>
      </c>
      <c r="K466">
        <f t="array" ref="K466">INT(5 * (RANK(H466,H:H, 0) - 1) / COUNT(H:H)) + 1</f>
        <v>4</v>
      </c>
      <c r="L466">
        <f t="array" ref="L466">INT(5 * (RANK(I466,I:I, 0) - 1) / COUNT(I:I)) + 1</f>
        <v>5</v>
      </c>
      <c r="M466" t="str">
        <f t="shared" si="14"/>
        <v>145</v>
      </c>
      <c r="N466" s="6" t="str">
        <f t="shared" si="15"/>
        <v>At Risk</v>
      </c>
    </row>
    <row r="467" spans="1:14" x14ac:dyDescent="0.35">
      <c r="A467">
        <v>1182</v>
      </c>
      <c r="B467" s="4">
        <v>45526.375085336993</v>
      </c>
      <c r="C467" t="s">
        <v>9</v>
      </c>
      <c r="D467" t="s">
        <v>16</v>
      </c>
      <c r="E467" t="s">
        <v>23</v>
      </c>
      <c r="F467">
        <v>10737.68</v>
      </c>
      <c r="G467">
        <f t="array" ref="G467">SalesData!$I$2 - 'RFM Table'!B467</f>
        <v>610</v>
      </c>
      <c r="H467">
        <f t="array" ref="H467">COUNTIF(A:A,A467)</f>
        <v>7</v>
      </c>
      <c r="I467">
        <f t="array" ref="I467">SUMIF(A:A,A467,F:F)</f>
        <v>20657.780000000002</v>
      </c>
      <c r="J467">
        <f t="array" ref="J467">5 - INT(5 * (RANK(G467,G:G, 1) - 1) / COUNT(G:G))</f>
        <v>1</v>
      </c>
      <c r="K467">
        <f t="array" ref="K467">INT(5 * (RANK(H467,H:H, 0) - 1) / COUNT(H:H)) + 1</f>
        <v>4</v>
      </c>
      <c r="L467">
        <f t="array" ref="L467">INT(5 * (RANK(I467,I:I, 0) - 1) / COUNT(I:I)) + 1</f>
        <v>5</v>
      </c>
      <c r="M467" t="str">
        <f t="shared" si="14"/>
        <v>145</v>
      </c>
      <c r="N467" s="6" t="str">
        <f t="shared" si="15"/>
        <v>At Risk</v>
      </c>
    </row>
    <row r="468" spans="1:14" x14ac:dyDescent="0.35">
      <c r="A468">
        <v>1364</v>
      </c>
      <c r="B468" s="4">
        <v>45527.375085336993</v>
      </c>
      <c r="C468" t="s">
        <v>14</v>
      </c>
      <c r="D468" t="s">
        <v>19</v>
      </c>
      <c r="E468" t="s">
        <v>25</v>
      </c>
      <c r="F468">
        <v>4977.1099999999997</v>
      </c>
      <c r="G468">
        <f t="array" ref="G468">SalesData!$I$2 - 'RFM Table'!B468</f>
        <v>609</v>
      </c>
      <c r="H468">
        <f t="array" ref="H468">COUNTIF(A:A,A468)</f>
        <v>11</v>
      </c>
      <c r="I468">
        <f t="array" ref="I468">SUMIF(A:A,A468,F:F)</f>
        <v>39674.43</v>
      </c>
      <c r="J468">
        <f t="array" ref="J468">5 - INT(5 * (RANK(G468,G:G, 1) - 1) / COUNT(G:G))</f>
        <v>1</v>
      </c>
      <c r="K468">
        <f t="array" ref="K468">INT(5 * (RANK(H468,H:H, 0) - 1) / COUNT(H:H)) + 1</f>
        <v>1</v>
      </c>
      <c r="L468">
        <f t="array" ref="L468">INT(5 * (RANK(I468,I:I, 0) - 1) / COUNT(I:I)) + 1</f>
        <v>2</v>
      </c>
      <c r="M468" t="str">
        <f t="shared" si="14"/>
        <v>112</v>
      </c>
      <c r="N468" s="6" t="str">
        <f t="shared" si="15"/>
        <v>Lost</v>
      </c>
    </row>
    <row r="469" spans="1:14" x14ac:dyDescent="0.35">
      <c r="A469">
        <v>1212</v>
      </c>
      <c r="B469" s="4">
        <v>45527.375085336993</v>
      </c>
      <c r="C469" t="s">
        <v>6</v>
      </c>
      <c r="D469" t="s">
        <v>18</v>
      </c>
      <c r="E469" t="s">
        <v>25</v>
      </c>
      <c r="F469">
        <v>3699.91</v>
      </c>
      <c r="G469">
        <f t="array" ref="G469">SalesData!$I$2 - 'RFM Table'!B469</f>
        <v>609</v>
      </c>
      <c r="H469">
        <f t="array" ref="H469">COUNTIF(A:A,A469)</f>
        <v>9</v>
      </c>
      <c r="I469">
        <f t="array" ref="I469">SUMIF(A:A,A469,F:F)</f>
        <v>33311.4</v>
      </c>
      <c r="J469">
        <f t="array" ref="J469">5 - INT(5 * (RANK(G469,G:G, 1) - 1) / COUNT(G:G))</f>
        <v>1</v>
      </c>
      <c r="K469">
        <f t="array" ref="K469">INT(5 * (RANK(H469,H:H, 0) - 1) / COUNT(H:H)) + 1</f>
        <v>2</v>
      </c>
      <c r="L469">
        <f t="array" ref="L469">INT(5 * (RANK(I469,I:I, 0) - 1) / COUNT(I:I)) + 1</f>
        <v>3</v>
      </c>
      <c r="M469" t="str">
        <f t="shared" si="14"/>
        <v>123</v>
      </c>
      <c r="N469" s="6" t="str">
        <f t="shared" si="15"/>
        <v>Can't Lose Them</v>
      </c>
    </row>
    <row r="470" spans="1:14" x14ac:dyDescent="0.35">
      <c r="A470">
        <v>1385</v>
      </c>
      <c r="B470" s="4">
        <v>45527.375085336993</v>
      </c>
      <c r="C470" t="s">
        <v>7</v>
      </c>
      <c r="D470" t="s">
        <v>21</v>
      </c>
      <c r="E470" t="s">
        <v>23</v>
      </c>
      <c r="F470">
        <v>4599.0600000000004</v>
      </c>
      <c r="G470">
        <f t="array" ref="G470">SalesData!$I$2 - 'RFM Table'!B470</f>
        <v>609</v>
      </c>
      <c r="H470">
        <f t="array" ref="H470">COUNTIF(A:A,A470)</f>
        <v>11</v>
      </c>
      <c r="I470">
        <f t="array" ref="I470">SUMIF(A:A,A470,F:F)</f>
        <v>73437.08</v>
      </c>
      <c r="J470">
        <f t="array" ref="J470">5 - INT(5 * (RANK(G470,G:G, 1) - 1) / COUNT(G:G))</f>
        <v>1</v>
      </c>
      <c r="K470">
        <f t="array" ref="K470">INT(5 * (RANK(H470,H:H, 0) - 1) / COUNT(H:H)) + 1</f>
        <v>1</v>
      </c>
      <c r="L470">
        <f t="array" ref="L470">INT(5 * (RANK(I470,I:I, 0) - 1) / COUNT(I:I)) + 1</f>
        <v>1</v>
      </c>
      <c r="M470" t="str">
        <f t="shared" si="14"/>
        <v>111</v>
      </c>
      <c r="N470" s="6" t="str">
        <f t="shared" si="15"/>
        <v>Lost</v>
      </c>
    </row>
    <row r="471" spans="1:14" x14ac:dyDescent="0.35">
      <c r="A471">
        <v>1103</v>
      </c>
      <c r="B471" s="4">
        <v>45527.375085336993</v>
      </c>
      <c r="C471" t="s">
        <v>14</v>
      </c>
      <c r="D471" t="s">
        <v>19</v>
      </c>
      <c r="E471" t="s">
        <v>25</v>
      </c>
      <c r="F471">
        <v>4878.2700000000004</v>
      </c>
      <c r="G471">
        <f t="array" ref="G471">SalesData!$I$2 - 'RFM Table'!B471</f>
        <v>609</v>
      </c>
      <c r="H471">
        <f t="array" ref="H471">COUNTIF(A:A,A471)</f>
        <v>10</v>
      </c>
      <c r="I471">
        <f t="array" ref="I471">SUMIF(A:A,A471,F:F)</f>
        <v>44305.600000000006</v>
      </c>
      <c r="J471">
        <f t="array" ref="J471">5 - INT(5 * (RANK(G471,G:G, 1) - 1) / COUNT(G:G))</f>
        <v>1</v>
      </c>
      <c r="K471">
        <f t="array" ref="K471">INT(5 * (RANK(H471,H:H, 0) - 1) / COUNT(H:H)) + 1</f>
        <v>2</v>
      </c>
      <c r="L471">
        <f t="array" ref="L471">INT(5 * (RANK(I471,I:I, 0) - 1) / COUNT(I:I)) + 1</f>
        <v>2</v>
      </c>
      <c r="M471" t="str">
        <f t="shared" si="14"/>
        <v>122</v>
      </c>
      <c r="N471" s="6" t="str">
        <f t="shared" si="15"/>
        <v>Lost</v>
      </c>
    </row>
    <row r="472" spans="1:14" x14ac:dyDescent="0.35">
      <c r="A472">
        <v>1228</v>
      </c>
      <c r="B472" s="4">
        <v>45528.375085336993</v>
      </c>
      <c r="C472" t="s">
        <v>11</v>
      </c>
      <c r="D472" t="s">
        <v>19</v>
      </c>
      <c r="E472" t="s">
        <v>23</v>
      </c>
      <c r="F472">
        <v>1406.84</v>
      </c>
      <c r="G472">
        <f t="array" ref="G472">SalesData!$I$2 - 'RFM Table'!B472</f>
        <v>608</v>
      </c>
      <c r="H472">
        <f t="array" ref="H472">COUNTIF(A:A,A472)</f>
        <v>13</v>
      </c>
      <c r="I472">
        <f t="array" ref="I472">SUMIF(A:A,A472,F:F)</f>
        <v>47658.630000000005</v>
      </c>
      <c r="J472">
        <f t="array" ref="J472">5 - INT(5 * (RANK(G472,G:G, 1) - 1) / COUNT(G:G))</f>
        <v>1</v>
      </c>
      <c r="K472">
        <f t="array" ref="K472">INT(5 * (RANK(H472,H:H, 0) - 1) / COUNT(H:H)) + 1</f>
        <v>1</v>
      </c>
      <c r="L472">
        <f t="array" ref="L472">INT(5 * (RANK(I472,I:I, 0) - 1) / COUNT(I:I)) + 1</f>
        <v>1</v>
      </c>
      <c r="M472" t="str">
        <f t="shared" si="14"/>
        <v>111</v>
      </c>
      <c r="N472" s="6" t="str">
        <f t="shared" si="15"/>
        <v>Lost</v>
      </c>
    </row>
    <row r="473" spans="1:14" x14ac:dyDescent="0.35">
      <c r="A473">
        <v>1002</v>
      </c>
      <c r="B473" s="4">
        <v>45528.375085336993</v>
      </c>
      <c r="C473" t="s">
        <v>13</v>
      </c>
      <c r="D473" t="s">
        <v>21</v>
      </c>
      <c r="E473" t="s">
        <v>24</v>
      </c>
      <c r="F473">
        <v>1711.29</v>
      </c>
      <c r="G473">
        <f t="array" ref="G473">SalesData!$I$2 - 'RFM Table'!B473</f>
        <v>608</v>
      </c>
      <c r="H473">
        <f t="array" ref="H473">COUNTIF(A:A,A473)</f>
        <v>9</v>
      </c>
      <c r="I473">
        <f t="array" ref="I473">SUMIF(A:A,A473,F:F)</f>
        <v>35145.360000000001</v>
      </c>
      <c r="J473">
        <f t="array" ref="J473">5 - INT(5 * (RANK(G473,G:G, 1) - 1) / COUNT(G:G))</f>
        <v>1</v>
      </c>
      <c r="K473">
        <f t="array" ref="K473">INT(5 * (RANK(H473,H:H, 0) - 1) / COUNT(H:H)) + 1</f>
        <v>2</v>
      </c>
      <c r="L473">
        <f t="array" ref="L473">INT(5 * (RANK(I473,I:I, 0) - 1) / COUNT(I:I)) + 1</f>
        <v>3</v>
      </c>
      <c r="M473" t="str">
        <f t="shared" si="14"/>
        <v>123</v>
      </c>
      <c r="N473" s="6" t="str">
        <f t="shared" si="15"/>
        <v>Can't Lose Them</v>
      </c>
    </row>
    <row r="474" spans="1:14" x14ac:dyDescent="0.35">
      <c r="A474">
        <v>1309</v>
      </c>
      <c r="B474" s="4">
        <v>45529.375085336993</v>
      </c>
      <c r="C474" t="s">
        <v>13</v>
      </c>
      <c r="D474" t="s">
        <v>18</v>
      </c>
      <c r="E474" t="s">
        <v>24</v>
      </c>
      <c r="F474">
        <v>2536.9299999999998</v>
      </c>
      <c r="G474">
        <f t="array" ref="G474">SalesData!$I$2 - 'RFM Table'!B474</f>
        <v>607</v>
      </c>
      <c r="H474">
        <f t="array" ref="H474">COUNTIF(A:A,A474)</f>
        <v>11</v>
      </c>
      <c r="I474">
        <f t="array" ref="I474">SUMIF(A:A,A474,F:F)</f>
        <v>43078.749999999993</v>
      </c>
      <c r="J474">
        <f t="array" ref="J474">5 - INT(5 * (RANK(G474,G:G, 1) - 1) / COUNT(G:G))</f>
        <v>1</v>
      </c>
      <c r="K474">
        <f t="array" ref="K474">INT(5 * (RANK(H474,H:H, 0) - 1) / COUNT(H:H)) + 1</f>
        <v>1</v>
      </c>
      <c r="L474">
        <f t="array" ref="L474">INT(5 * (RANK(I474,I:I, 0) - 1) / COUNT(I:I)) + 1</f>
        <v>2</v>
      </c>
      <c r="M474" t="str">
        <f t="shared" si="14"/>
        <v>112</v>
      </c>
      <c r="N474" s="6" t="str">
        <f t="shared" si="15"/>
        <v>Lost</v>
      </c>
    </row>
    <row r="475" spans="1:14" x14ac:dyDescent="0.35">
      <c r="A475">
        <v>1134</v>
      </c>
      <c r="B475" s="4">
        <v>45529.375085336993</v>
      </c>
      <c r="C475" t="s">
        <v>6</v>
      </c>
      <c r="D475" t="s">
        <v>20</v>
      </c>
      <c r="E475" t="s">
        <v>24</v>
      </c>
      <c r="F475">
        <v>3421.17</v>
      </c>
      <c r="G475">
        <f t="array" ref="G475">SalesData!$I$2 - 'RFM Table'!B475</f>
        <v>607</v>
      </c>
      <c r="H475">
        <f t="array" ref="H475">COUNTIF(A:A,A475)</f>
        <v>4</v>
      </c>
      <c r="I475">
        <f t="array" ref="I475">SUMIF(A:A,A475,F:F)</f>
        <v>11791.11</v>
      </c>
      <c r="J475">
        <f t="array" ref="J475">5 - INT(5 * (RANK(G475,G:G, 1) - 1) / COUNT(G:G))</f>
        <v>1</v>
      </c>
      <c r="K475">
        <f t="array" ref="K475">INT(5 * (RANK(H475,H:H, 0) - 1) / COUNT(H:H)) + 1</f>
        <v>5</v>
      </c>
      <c r="L475">
        <f t="array" ref="L475">INT(5 * (RANK(I475,I:I, 0) - 1) / COUNT(I:I)) + 1</f>
        <v>5</v>
      </c>
      <c r="M475" t="str">
        <f t="shared" si="14"/>
        <v>155</v>
      </c>
      <c r="N475" s="6" t="str">
        <f t="shared" si="15"/>
        <v>At Risk</v>
      </c>
    </row>
    <row r="476" spans="1:14" x14ac:dyDescent="0.35">
      <c r="A476">
        <v>1100</v>
      </c>
      <c r="B476" s="4">
        <v>45529.375085336993</v>
      </c>
      <c r="C476" t="s">
        <v>13</v>
      </c>
      <c r="D476" t="s">
        <v>19</v>
      </c>
      <c r="E476" t="s">
        <v>23</v>
      </c>
      <c r="F476">
        <v>4588.13</v>
      </c>
      <c r="G476">
        <f t="array" ref="G476">SalesData!$I$2 - 'RFM Table'!B476</f>
        <v>607</v>
      </c>
      <c r="H476">
        <f t="array" ref="H476">COUNTIF(A:A,A476)</f>
        <v>12</v>
      </c>
      <c r="I476">
        <f t="array" ref="I476">SUMIF(A:A,A476,F:F)</f>
        <v>54905.279999999992</v>
      </c>
      <c r="J476">
        <f t="array" ref="J476">5 - INT(5 * (RANK(G476,G:G, 1) - 1) / COUNT(G:G))</f>
        <v>1</v>
      </c>
      <c r="K476">
        <f t="array" ref="K476">INT(5 * (RANK(H476,H:H, 0) - 1) / COUNT(H:H)) + 1</f>
        <v>1</v>
      </c>
      <c r="L476">
        <f t="array" ref="L476">INT(5 * (RANK(I476,I:I, 0) - 1) / COUNT(I:I)) + 1</f>
        <v>1</v>
      </c>
      <c r="M476" t="str">
        <f t="shared" si="14"/>
        <v>111</v>
      </c>
      <c r="N476" s="6" t="str">
        <f t="shared" si="15"/>
        <v>Lost</v>
      </c>
    </row>
    <row r="477" spans="1:14" x14ac:dyDescent="0.35">
      <c r="A477">
        <v>1130</v>
      </c>
      <c r="B477" s="4">
        <v>45529.375085336993</v>
      </c>
      <c r="C477" t="s">
        <v>10</v>
      </c>
      <c r="D477" t="s">
        <v>19</v>
      </c>
      <c r="E477" t="s">
        <v>25</v>
      </c>
      <c r="F477">
        <v>1672.05</v>
      </c>
      <c r="G477">
        <f t="array" ref="G477">SalesData!$I$2 - 'RFM Table'!B477</f>
        <v>607</v>
      </c>
      <c r="H477">
        <f t="array" ref="H477">COUNTIF(A:A,A477)</f>
        <v>9</v>
      </c>
      <c r="I477">
        <f t="array" ref="I477">SUMIF(A:A,A477,F:F)</f>
        <v>36963.729999999996</v>
      </c>
      <c r="J477">
        <f t="array" ref="J477">5 - INT(5 * (RANK(G477,G:G, 1) - 1) / COUNT(G:G))</f>
        <v>1</v>
      </c>
      <c r="K477">
        <f t="array" ref="K477">INT(5 * (RANK(H477,H:H, 0) - 1) / COUNT(H:H)) + 1</f>
        <v>2</v>
      </c>
      <c r="L477">
        <f t="array" ref="L477">INT(5 * (RANK(I477,I:I, 0) - 1) / COUNT(I:I)) + 1</f>
        <v>2</v>
      </c>
      <c r="M477" t="str">
        <f t="shared" si="14"/>
        <v>122</v>
      </c>
      <c r="N477" s="6" t="str">
        <f t="shared" si="15"/>
        <v>Lost</v>
      </c>
    </row>
    <row r="478" spans="1:14" x14ac:dyDescent="0.35">
      <c r="A478">
        <v>1337</v>
      </c>
      <c r="B478" s="4">
        <v>45529.375085336993</v>
      </c>
      <c r="C478" t="s">
        <v>8</v>
      </c>
      <c r="D478" t="s">
        <v>19</v>
      </c>
      <c r="E478" t="s">
        <v>24</v>
      </c>
      <c r="F478">
        <v>1275.23</v>
      </c>
      <c r="G478">
        <f t="array" ref="G478">SalesData!$I$2 - 'RFM Table'!B478</f>
        <v>607</v>
      </c>
      <c r="H478">
        <f t="array" ref="H478">COUNTIF(A:A,A478)</f>
        <v>7</v>
      </c>
      <c r="I478">
        <f t="array" ref="I478">SUMIF(A:A,A478,F:F)</f>
        <v>33899.22</v>
      </c>
      <c r="J478">
        <f t="array" ref="J478">5 - INT(5 * (RANK(G478,G:G, 1) - 1) / COUNT(G:G))</f>
        <v>1</v>
      </c>
      <c r="K478">
        <f t="array" ref="K478">INT(5 * (RANK(H478,H:H, 0) - 1) / COUNT(H:H)) + 1</f>
        <v>4</v>
      </c>
      <c r="L478">
        <f t="array" ref="L478">INT(5 * (RANK(I478,I:I, 0) - 1) / COUNT(I:I)) + 1</f>
        <v>3</v>
      </c>
      <c r="M478" t="str">
        <f t="shared" si="14"/>
        <v>143</v>
      </c>
      <c r="N478" s="6" t="str">
        <f t="shared" si="15"/>
        <v>At Risk</v>
      </c>
    </row>
    <row r="479" spans="1:14" x14ac:dyDescent="0.35">
      <c r="A479">
        <v>1212</v>
      </c>
      <c r="B479" s="4">
        <v>45529.375085336993</v>
      </c>
      <c r="C479" t="s">
        <v>8</v>
      </c>
      <c r="D479" t="s">
        <v>22</v>
      </c>
      <c r="E479" t="s">
        <v>24</v>
      </c>
      <c r="F479">
        <v>1081.3</v>
      </c>
      <c r="G479">
        <f t="array" ref="G479">SalesData!$I$2 - 'RFM Table'!B479</f>
        <v>607</v>
      </c>
      <c r="H479">
        <f t="array" ref="H479">COUNTIF(A:A,A479)</f>
        <v>9</v>
      </c>
      <c r="I479">
        <f t="array" ref="I479">SUMIF(A:A,A479,F:F)</f>
        <v>33311.4</v>
      </c>
      <c r="J479">
        <f t="array" ref="J479">5 - INT(5 * (RANK(G479,G:G, 1) - 1) / COUNT(G:G))</f>
        <v>1</v>
      </c>
      <c r="K479">
        <f t="array" ref="K479">INT(5 * (RANK(H479,H:H, 0) - 1) / COUNT(H:H)) + 1</f>
        <v>2</v>
      </c>
      <c r="L479">
        <f t="array" ref="L479">INT(5 * (RANK(I479,I:I, 0) - 1) / COUNT(I:I)) + 1</f>
        <v>3</v>
      </c>
      <c r="M479" t="str">
        <f t="shared" si="14"/>
        <v>123</v>
      </c>
      <c r="N479" s="6" t="str">
        <f t="shared" si="15"/>
        <v>Can't Lose Them</v>
      </c>
    </row>
    <row r="480" spans="1:14" x14ac:dyDescent="0.35">
      <c r="A480">
        <v>1326</v>
      </c>
      <c r="B480" s="4">
        <v>45529.375085336993</v>
      </c>
      <c r="C480" t="s">
        <v>8</v>
      </c>
      <c r="D480" t="s">
        <v>22</v>
      </c>
      <c r="E480" t="s">
        <v>23</v>
      </c>
      <c r="F480">
        <v>1950.61</v>
      </c>
      <c r="G480">
        <f t="array" ref="G480">SalesData!$I$2 - 'RFM Table'!B480</f>
        <v>607</v>
      </c>
      <c r="H480">
        <f t="array" ref="H480">COUNTIF(A:A,A480)</f>
        <v>4</v>
      </c>
      <c r="I480">
        <f t="array" ref="I480">SUMIF(A:A,A480,F:F)</f>
        <v>10665.94</v>
      </c>
      <c r="J480">
        <f t="array" ref="J480">5 - INT(5 * (RANK(G480,G:G, 1) - 1) / COUNT(G:G))</f>
        <v>1</v>
      </c>
      <c r="K480">
        <f t="array" ref="K480">INT(5 * (RANK(H480,H:H, 0) - 1) / COUNT(H:H)) + 1</f>
        <v>5</v>
      </c>
      <c r="L480">
        <f t="array" ref="L480">INT(5 * (RANK(I480,I:I, 0) - 1) / COUNT(I:I)) + 1</f>
        <v>5</v>
      </c>
      <c r="M480" t="str">
        <f t="shared" si="14"/>
        <v>155</v>
      </c>
      <c r="N480" s="6" t="str">
        <f t="shared" si="15"/>
        <v>At Risk</v>
      </c>
    </row>
    <row r="481" spans="1:14" x14ac:dyDescent="0.35">
      <c r="A481">
        <v>1028</v>
      </c>
      <c r="B481" s="4">
        <v>45530.375085336993</v>
      </c>
      <c r="C481" t="s">
        <v>7</v>
      </c>
      <c r="D481" t="s">
        <v>20</v>
      </c>
      <c r="E481" t="s">
        <v>24</v>
      </c>
      <c r="F481">
        <v>1634.72</v>
      </c>
      <c r="G481">
        <f t="array" ref="G481">SalesData!$I$2 - 'RFM Table'!B481</f>
        <v>606</v>
      </c>
      <c r="H481">
        <f t="array" ref="H481">COUNTIF(A:A,A481)</f>
        <v>10</v>
      </c>
      <c r="I481">
        <f t="array" ref="I481">SUMIF(A:A,A481,F:F)</f>
        <v>37984.589999999997</v>
      </c>
      <c r="J481">
        <f t="array" ref="J481">5 - INT(5 * (RANK(G481,G:G, 1) - 1) / COUNT(G:G))</f>
        <v>1</v>
      </c>
      <c r="K481">
        <f t="array" ref="K481">INT(5 * (RANK(H481,H:H, 0) - 1) / COUNT(H:H)) + 1</f>
        <v>2</v>
      </c>
      <c r="L481">
        <f t="array" ref="L481">INT(5 * (RANK(I481,I:I, 0) - 1) / COUNT(I:I)) + 1</f>
        <v>2</v>
      </c>
      <c r="M481" t="str">
        <f t="shared" si="14"/>
        <v>122</v>
      </c>
      <c r="N481" s="6" t="str">
        <f t="shared" si="15"/>
        <v>Lost</v>
      </c>
    </row>
    <row r="482" spans="1:14" x14ac:dyDescent="0.35">
      <c r="A482">
        <v>1320</v>
      </c>
      <c r="B482" s="4">
        <v>45530.375085336993</v>
      </c>
      <c r="C482" t="s">
        <v>10</v>
      </c>
      <c r="D482" t="s">
        <v>20</v>
      </c>
      <c r="E482" t="s">
        <v>24</v>
      </c>
      <c r="F482">
        <v>3086.28</v>
      </c>
      <c r="G482">
        <f t="array" ref="G482">SalesData!$I$2 - 'RFM Table'!B482</f>
        <v>606</v>
      </c>
      <c r="H482">
        <f t="array" ref="H482">COUNTIF(A:A,A482)</f>
        <v>6</v>
      </c>
      <c r="I482">
        <f t="array" ref="I482">SUMIF(A:A,A482,F:F)</f>
        <v>32825.340000000004</v>
      </c>
      <c r="J482">
        <f t="array" ref="J482">5 - INT(5 * (RANK(G482,G:G, 1) - 1) / COUNT(G:G))</f>
        <v>1</v>
      </c>
      <c r="K482">
        <f t="array" ref="K482">INT(5 * (RANK(H482,H:H, 0) - 1) / COUNT(H:H)) + 1</f>
        <v>4</v>
      </c>
      <c r="L482">
        <f t="array" ref="L482">INT(5 * (RANK(I482,I:I, 0) - 1) / COUNT(I:I)) + 1</f>
        <v>3</v>
      </c>
      <c r="M482" t="str">
        <f t="shared" si="14"/>
        <v>143</v>
      </c>
      <c r="N482" s="6" t="str">
        <f t="shared" si="15"/>
        <v>At Risk</v>
      </c>
    </row>
    <row r="483" spans="1:14" x14ac:dyDescent="0.35">
      <c r="A483">
        <v>1236</v>
      </c>
      <c r="B483" s="4">
        <v>45530.375085336993</v>
      </c>
      <c r="C483" t="s">
        <v>9</v>
      </c>
      <c r="D483" t="s">
        <v>20</v>
      </c>
      <c r="E483" t="s">
        <v>25</v>
      </c>
      <c r="F483">
        <v>2129.77</v>
      </c>
      <c r="G483">
        <f t="array" ref="G483">SalesData!$I$2 - 'RFM Table'!B483</f>
        <v>606</v>
      </c>
      <c r="H483">
        <f t="array" ref="H483">COUNTIF(A:A,A483)</f>
        <v>10</v>
      </c>
      <c r="I483">
        <f t="array" ref="I483">SUMIF(A:A,A483,F:F)</f>
        <v>40760.559999999998</v>
      </c>
      <c r="J483">
        <f t="array" ref="J483">5 - INT(5 * (RANK(G483,G:G, 1) - 1) / COUNT(G:G))</f>
        <v>1</v>
      </c>
      <c r="K483">
        <f t="array" ref="K483">INT(5 * (RANK(H483,H:H, 0) - 1) / COUNT(H:H)) + 1</f>
        <v>2</v>
      </c>
      <c r="L483">
        <f t="array" ref="L483">INT(5 * (RANK(I483,I:I, 0) - 1) / COUNT(I:I)) + 1</f>
        <v>2</v>
      </c>
      <c r="M483" t="str">
        <f t="shared" si="14"/>
        <v>122</v>
      </c>
      <c r="N483" s="6" t="str">
        <f t="shared" si="15"/>
        <v>Lost</v>
      </c>
    </row>
    <row r="484" spans="1:14" x14ac:dyDescent="0.35">
      <c r="A484">
        <v>1222</v>
      </c>
      <c r="B484" s="4">
        <v>45530.375085336993</v>
      </c>
      <c r="C484" t="s">
        <v>15</v>
      </c>
      <c r="D484" t="s">
        <v>17</v>
      </c>
      <c r="E484" t="s">
        <v>23</v>
      </c>
      <c r="F484">
        <v>587.76</v>
      </c>
      <c r="G484">
        <f t="array" ref="G484">SalesData!$I$2 - 'RFM Table'!B484</f>
        <v>606</v>
      </c>
      <c r="H484">
        <f t="array" ref="H484">COUNTIF(A:A,A484)</f>
        <v>12</v>
      </c>
      <c r="I484">
        <f t="array" ref="I484">SUMIF(A:A,A484,F:F)</f>
        <v>45191.609999999993</v>
      </c>
      <c r="J484">
        <f t="array" ref="J484">5 - INT(5 * (RANK(G484,G:G, 1) - 1) / COUNT(G:G))</f>
        <v>1</v>
      </c>
      <c r="K484">
        <f t="array" ref="K484">INT(5 * (RANK(H484,H:H, 0) - 1) / COUNT(H:H)) + 1</f>
        <v>1</v>
      </c>
      <c r="L484">
        <f t="array" ref="L484">INT(5 * (RANK(I484,I:I, 0) - 1) / COUNT(I:I)) + 1</f>
        <v>1</v>
      </c>
      <c r="M484" t="str">
        <f t="shared" si="14"/>
        <v>111</v>
      </c>
      <c r="N484" s="6" t="str">
        <f t="shared" si="15"/>
        <v>Lost</v>
      </c>
    </row>
    <row r="485" spans="1:14" x14ac:dyDescent="0.35">
      <c r="A485">
        <v>1282</v>
      </c>
      <c r="B485" s="4">
        <v>45530.375085336993</v>
      </c>
      <c r="C485" t="s">
        <v>10</v>
      </c>
      <c r="D485" t="s">
        <v>16</v>
      </c>
      <c r="E485" t="s">
        <v>25</v>
      </c>
      <c r="F485">
        <v>11716.62</v>
      </c>
      <c r="G485">
        <f t="array" ref="G485">SalesData!$I$2 - 'RFM Table'!B485</f>
        <v>606</v>
      </c>
      <c r="H485">
        <f t="array" ref="H485">COUNTIF(A:A,A485)</f>
        <v>7</v>
      </c>
      <c r="I485">
        <f t="array" ref="I485">SUMIF(A:A,A485,F:F)</f>
        <v>37438.960000000006</v>
      </c>
      <c r="J485">
        <f t="array" ref="J485">5 - INT(5 * (RANK(G485,G:G, 1) - 1) / COUNT(G:G))</f>
        <v>1</v>
      </c>
      <c r="K485">
        <f t="array" ref="K485">INT(5 * (RANK(H485,H:H, 0) - 1) / COUNT(H:H)) + 1</f>
        <v>4</v>
      </c>
      <c r="L485">
        <f t="array" ref="L485">INT(5 * (RANK(I485,I:I, 0) - 1) / COUNT(I:I)) + 1</f>
        <v>2</v>
      </c>
      <c r="M485" t="str">
        <f t="shared" si="14"/>
        <v>142</v>
      </c>
      <c r="N485" s="6" t="str">
        <f t="shared" si="15"/>
        <v>Others</v>
      </c>
    </row>
    <row r="486" spans="1:14" x14ac:dyDescent="0.35">
      <c r="A486">
        <v>1392</v>
      </c>
      <c r="B486" s="4">
        <v>45530.375085336993</v>
      </c>
      <c r="C486" t="s">
        <v>8</v>
      </c>
      <c r="D486" t="s">
        <v>19</v>
      </c>
      <c r="E486" t="s">
        <v>25</v>
      </c>
      <c r="F486">
        <v>2337.41</v>
      </c>
      <c r="G486">
        <f t="array" ref="G486">SalesData!$I$2 - 'RFM Table'!B486</f>
        <v>606</v>
      </c>
      <c r="H486">
        <f t="array" ref="H486">COUNTIF(A:A,A486)</f>
        <v>10</v>
      </c>
      <c r="I486">
        <f t="array" ref="I486">SUMIF(A:A,A486,F:F)</f>
        <v>27910.07</v>
      </c>
      <c r="J486">
        <f t="array" ref="J486">5 - INT(5 * (RANK(G486,G:G, 1) - 1) / COUNT(G:G))</f>
        <v>1</v>
      </c>
      <c r="K486">
        <f t="array" ref="K486">INT(5 * (RANK(H486,H:H, 0) - 1) / COUNT(H:H)) + 1</f>
        <v>2</v>
      </c>
      <c r="L486">
        <f t="array" ref="L486">INT(5 * (RANK(I486,I:I, 0) - 1) / COUNT(I:I)) + 1</f>
        <v>4</v>
      </c>
      <c r="M486" t="str">
        <f t="shared" si="14"/>
        <v>124</v>
      </c>
      <c r="N486" s="6" t="str">
        <f t="shared" si="15"/>
        <v>Can't Lose Them</v>
      </c>
    </row>
    <row r="487" spans="1:14" x14ac:dyDescent="0.35">
      <c r="A487">
        <v>1110</v>
      </c>
      <c r="B487" s="4">
        <v>45531.375085336993</v>
      </c>
      <c r="C487" t="s">
        <v>6</v>
      </c>
      <c r="D487" t="s">
        <v>22</v>
      </c>
      <c r="E487" t="s">
        <v>24</v>
      </c>
      <c r="F487">
        <v>1954.87</v>
      </c>
      <c r="G487">
        <f t="array" ref="G487">SalesData!$I$2 - 'RFM Table'!B487</f>
        <v>605</v>
      </c>
      <c r="H487">
        <f t="array" ref="H487">COUNTIF(A:A,A487)</f>
        <v>13</v>
      </c>
      <c r="I487">
        <f t="array" ref="I487">SUMIF(A:A,A487,F:F)</f>
        <v>72511.88</v>
      </c>
      <c r="J487">
        <f t="array" ref="J487">5 - INT(5 * (RANK(G487,G:G, 1) - 1) / COUNT(G:G))</f>
        <v>1</v>
      </c>
      <c r="K487">
        <f t="array" ref="K487">INT(5 * (RANK(H487,H:H, 0) - 1) / COUNT(H:H)) + 1</f>
        <v>1</v>
      </c>
      <c r="L487">
        <f t="array" ref="L487">INT(5 * (RANK(I487,I:I, 0) - 1) / COUNT(I:I)) + 1</f>
        <v>1</v>
      </c>
      <c r="M487" t="str">
        <f t="shared" si="14"/>
        <v>111</v>
      </c>
      <c r="N487" s="6" t="str">
        <f t="shared" si="15"/>
        <v>Lost</v>
      </c>
    </row>
    <row r="488" spans="1:14" x14ac:dyDescent="0.35">
      <c r="A488">
        <v>1341</v>
      </c>
      <c r="B488" s="4">
        <v>45531.375085336993</v>
      </c>
      <c r="C488" t="s">
        <v>6</v>
      </c>
      <c r="D488" t="s">
        <v>21</v>
      </c>
      <c r="E488" t="s">
        <v>25</v>
      </c>
      <c r="F488">
        <v>3961.86</v>
      </c>
      <c r="G488">
        <f t="array" ref="G488">SalesData!$I$2 - 'RFM Table'!B488</f>
        <v>605</v>
      </c>
      <c r="H488">
        <f t="array" ref="H488">COUNTIF(A:A,A488)</f>
        <v>11</v>
      </c>
      <c r="I488">
        <f t="array" ref="I488">SUMIF(A:A,A488,F:F)</f>
        <v>45526.78</v>
      </c>
      <c r="J488">
        <f t="array" ref="J488">5 - INT(5 * (RANK(G488,G:G, 1) - 1) / COUNT(G:G))</f>
        <v>1</v>
      </c>
      <c r="K488">
        <f t="array" ref="K488">INT(5 * (RANK(H488,H:H, 0) - 1) / COUNT(H:H)) + 1</f>
        <v>1</v>
      </c>
      <c r="L488">
        <f t="array" ref="L488">INT(5 * (RANK(I488,I:I, 0) - 1) / COUNT(I:I)) + 1</f>
        <v>1</v>
      </c>
      <c r="M488" t="str">
        <f t="shared" si="14"/>
        <v>111</v>
      </c>
      <c r="N488" s="6" t="str">
        <f t="shared" si="15"/>
        <v>Lost</v>
      </c>
    </row>
    <row r="489" spans="1:14" x14ac:dyDescent="0.35">
      <c r="A489">
        <v>1041</v>
      </c>
      <c r="B489" s="4">
        <v>45531.375085336993</v>
      </c>
      <c r="C489" t="s">
        <v>11</v>
      </c>
      <c r="D489" t="s">
        <v>16</v>
      </c>
      <c r="E489" t="s">
        <v>25</v>
      </c>
      <c r="F489">
        <v>5044.1000000000004</v>
      </c>
      <c r="G489">
        <f t="array" ref="G489">SalesData!$I$2 - 'RFM Table'!B489</f>
        <v>605</v>
      </c>
      <c r="H489">
        <f t="array" ref="H489">COUNTIF(A:A,A489)</f>
        <v>12</v>
      </c>
      <c r="I489">
        <f t="array" ref="I489">SUMIF(A:A,A489,F:F)</f>
        <v>44894.799999999996</v>
      </c>
      <c r="J489">
        <f t="array" ref="J489">5 - INT(5 * (RANK(G489,G:G, 1) - 1) / COUNT(G:G))</f>
        <v>1</v>
      </c>
      <c r="K489">
        <f t="array" ref="K489">INT(5 * (RANK(H489,H:H, 0) - 1) / COUNT(H:H)) + 1</f>
        <v>1</v>
      </c>
      <c r="L489">
        <f t="array" ref="L489">INT(5 * (RANK(I489,I:I, 0) - 1) / COUNT(I:I)) + 1</f>
        <v>1</v>
      </c>
      <c r="M489" t="str">
        <f t="shared" si="14"/>
        <v>111</v>
      </c>
      <c r="N489" s="6" t="str">
        <f t="shared" si="15"/>
        <v>Lost</v>
      </c>
    </row>
    <row r="490" spans="1:14" x14ac:dyDescent="0.35">
      <c r="A490">
        <v>1390</v>
      </c>
      <c r="B490" s="4">
        <v>45532.375085336993</v>
      </c>
      <c r="C490" t="s">
        <v>14</v>
      </c>
      <c r="D490" t="s">
        <v>20</v>
      </c>
      <c r="E490" t="s">
        <v>23</v>
      </c>
      <c r="F490">
        <v>8008.67</v>
      </c>
      <c r="G490">
        <f t="array" ref="G490">SalesData!$I$2 - 'RFM Table'!B490</f>
        <v>604</v>
      </c>
      <c r="H490">
        <f t="array" ref="H490">COUNTIF(A:A,A490)</f>
        <v>8</v>
      </c>
      <c r="I490">
        <f t="array" ref="I490">SUMIF(A:A,A490,F:F)</f>
        <v>37946.1</v>
      </c>
      <c r="J490">
        <f t="array" ref="J490">5 - INT(5 * (RANK(G490,G:G, 1) - 1) / COUNT(G:G))</f>
        <v>1</v>
      </c>
      <c r="K490">
        <f t="array" ref="K490">INT(5 * (RANK(H490,H:H, 0) - 1) / COUNT(H:H)) + 1</f>
        <v>3</v>
      </c>
      <c r="L490">
        <f t="array" ref="L490">INT(5 * (RANK(I490,I:I, 0) - 1) / COUNT(I:I)) + 1</f>
        <v>2</v>
      </c>
      <c r="M490" t="str">
        <f t="shared" si="14"/>
        <v>132</v>
      </c>
      <c r="N490" s="6" t="str">
        <f t="shared" si="15"/>
        <v>Others</v>
      </c>
    </row>
    <row r="491" spans="1:14" x14ac:dyDescent="0.35">
      <c r="A491">
        <v>1241</v>
      </c>
      <c r="B491" s="4">
        <v>45532.375085336993</v>
      </c>
      <c r="C491" t="s">
        <v>10</v>
      </c>
      <c r="D491" t="s">
        <v>22</v>
      </c>
      <c r="E491" t="s">
        <v>25</v>
      </c>
      <c r="F491">
        <v>6074.49</v>
      </c>
      <c r="G491">
        <f t="array" ref="G491">SalesData!$I$2 - 'RFM Table'!B491</f>
        <v>604</v>
      </c>
      <c r="H491">
        <f t="array" ref="H491">COUNTIF(A:A,A491)</f>
        <v>10</v>
      </c>
      <c r="I491">
        <f t="array" ref="I491">SUMIF(A:A,A491,F:F)</f>
        <v>38069.94</v>
      </c>
      <c r="J491">
        <f t="array" ref="J491">5 - INT(5 * (RANK(G491,G:G, 1) - 1) / COUNT(G:G))</f>
        <v>1</v>
      </c>
      <c r="K491">
        <f t="array" ref="K491">INT(5 * (RANK(H491,H:H, 0) - 1) / COUNT(H:H)) + 1</f>
        <v>2</v>
      </c>
      <c r="L491">
        <f t="array" ref="L491">INT(5 * (RANK(I491,I:I, 0) - 1) / COUNT(I:I)) + 1</f>
        <v>2</v>
      </c>
      <c r="M491" t="str">
        <f t="shared" si="14"/>
        <v>122</v>
      </c>
      <c r="N491" s="6" t="str">
        <f t="shared" si="15"/>
        <v>Lost</v>
      </c>
    </row>
    <row r="492" spans="1:14" x14ac:dyDescent="0.35">
      <c r="A492">
        <v>1262</v>
      </c>
      <c r="B492" s="4">
        <v>45532.375085336993</v>
      </c>
      <c r="C492" t="s">
        <v>9</v>
      </c>
      <c r="D492" t="s">
        <v>16</v>
      </c>
      <c r="E492" t="s">
        <v>23</v>
      </c>
      <c r="F492">
        <v>3008.56</v>
      </c>
      <c r="G492">
        <f t="array" ref="G492">SalesData!$I$2 - 'RFM Table'!B492</f>
        <v>604</v>
      </c>
      <c r="H492">
        <f t="array" ref="H492">COUNTIF(A:A,A492)</f>
        <v>6</v>
      </c>
      <c r="I492">
        <f t="array" ref="I492">SUMIF(A:A,A492,F:F)</f>
        <v>15936.029999999999</v>
      </c>
      <c r="J492">
        <f t="array" ref="J492">5 - INT(5 * (RANK(G492,G:G, 1) - 1) / COUNT(G:G))</f>
        <v>1</v>
      </c>
      <c r="K492">
        <f t="array" ref="K492">INT(5 * (RANK(H492,H:H, 0) - 1) / COUNT(H:H)) + 1</f>
        <v>4</v>
      </c>
      <c r="L492">
        <f t="array" ref="L492">INT(5 * (RANK(I492,I:I, 0) - 1) / COUNT(I:I)) + 1</f>
        <v>5</v>
      </c>
      <c r="M492" t="str">
        <f t="shared" si="14"/>
        <v>145</v>
      </c>
      <c r="N492" s="6" t="str">
        <f t="shared" si="15"/>
        <v>At Risk</v>
      </c>
    </row>
    <row r="493" spans="1:14" x14ac:dyDescent="0.35">
      <c r="A493">
        <v>1022</v>
      </c>
      <c r="B493" s="4">
        <v>45532.375085336993</v>
      </c>
      <c r="C493" t="s">
        <v>12</v>
      </c>
      <c r="D493" t="s">
        <v>17</v>
      </c>
      <c r="E493" t="s">
        <v>24</v>
      </c>
      <c r="F493">
        <v>3002.45</v>
      </c>
      <c r="G493">
        <f t="array" ref="G493">SalesData!$I$2 - 'RFM Table'!B493</f>
        <v>604</v>
      </c>
      <c r="H493">
        <f t="array" ref="H493">COUNTIF(A:A,A493)</f>
        <v>6</v>
      </c>
      <c r="I493">
        <f t="array" ref="I493">SUMIF(A:A,A493,F:F)</f>
        <v>22201.78</v>
      </c>
      <c r="J493">
        <f t="array" ref="J493">5 - INT(5 * (RANK(G493,G:G, 1) - 1) / COUNT(G:G))</f>
        <v>1</v>
      </c>
      <c r="K493">
        <f t="array" ref="K493">INT(5 * (RANK(H493,H:H, 0) - 1) / COUNT(H:H)) + 1</f>
        <v>4</v>
      </c>
      <c r="L493">
        <f t="array" ref="L493">INT(5 * (RANK(I493,I:I, 0) - 1) / COUNT(I:I)) + 1</f>
        <v>4</v>
      </c>
      <c r="M493" t="str">
        <f t="shared" si="14"/>
        <v>144</v>
      </c>
      <c r="N493" s="6" t="str">
        <f t="shared" si="15"/>
        <v>At Risk</v>
      </c>
    </row>
    <row r="494" spans="1:14" x14ac:dyDescent="0.35">
      <c r="A494">
        <v>1176</v>
      </c>
      <c r="B494" s="4">
        <v>45532.375085336993</v>
      </c>
      <c r="C494" t="s">
        <v>15</v>
      </c>
      <c r="D494" t="s">
        <v>17</v>
      </c>
      <c r="E494" t="s">
        <v>23</v>
      </c>
      <c r="F494">
        <v>1628.32</v>
      </c>
      <c r="G494">
        <f t="array" ref="G494">SalesData!$I$2 - 'RFM Table'!B494</f>
        <v>604</v>
      </c>
      <c r="H494">
        <f t="array" ref="H494">COUNTIF(A:A,A494)</f>
        <v>9</v>
      </c>
      <c r="I494">
        <f t="array" ref="I494">SUMIF(A:A,A494,F:F)</f>
        <v>30242.800000000003</v>
      </c>
      <c r="J494">
        <f t="array" ref="J494">5 - INT(5 * (RANK(G494,G:G, 1) - 1) / COUNT(G:G))</f>
        <v>1</v>
      </c>
      <c r="K494">
        <f t="array" ref="K494">INT(5 * (RANK(H494,H:H, 0) - 1) / COUNT(H:H)) + 1</f>
        <v>2</v>
      </c>
      <c r="L494">
        <f t="array" ref="L494">INT(5 * (RANK(I494,I:I, 0) - 1) / COUNT(I:I)) + 1</f>
        <v>3</v>
      </c>
      <c r="M494" t="str">
        <f t="shared" si="14"/>
        <v>123</v>
      </c>
      <c r="N494" s="6" t="str">
        <f t="shared" si="15"/>
        <v>Can't Lose Them</v>
      </c>
    </row>
    <row r="495" spans="1:14" x14ac:dyDescent="0.35">
      <c r="A495">
        <v>1151</v>
      </c>
      <c r="B495" s="4">
        <v>45532.375085336993</v>
      </c>
      <c r="C495" t="s">
        <v>9</v>
      </c>
      <c r="D495" t="s">
        <v>16</v>
      </c>
      <c r="E495" t="s">
        <v>25</v>
      </c>
      <c r="F495">
        <v>1833.82</v>
      </c>
      <c r="G495">
        <f t="array" ref="G495">SalesData!$I$2 - 'RFM Table'!B495</f>
        <v>604</v>
      </c>
      <c r="H495">
        <f t="array" ref="H495">COUNTIF(A:A,A495)</f>
        <v>13</v>
      </c>
      <c r="I495">
        <f t="array" ref="I495">SUMIF(A:A,A495,F:F)</f>
        <v>49208.94</v>
      </c>
      <c r="J495">
        <f t="array" ref="J495">5 - INT(5 * (RANK(G495,G:G, 1) - 1) / COUNT(G:G))</f>
        <v>1</v>
      </c>
      <c r="K495">
        <f t="array" ref="K495">INT(5 * (RANK(H495,H:H, 0) - 1) / COUNT(H:H)) + 1</f>
        <v>1</v>
      </c>
      <c r="L495">
        <f t="array" ref="L495">INT(5 * (RANK(I495,I:I, 0) - 1) / COUNT(I:I)) + 1</f>
        <v>1</v>
      </c>
      <c r="M495" t="str">
        <f t="shared" si="14"/>
        <v>111</v>
      </c>
      <c r="N495" s="6" t="str">
        <f t="shared" si="15"/>
        <v>Lost</v>
      </c>
    </row>
    <row r="496" spans="1:14" x14ac:dyDescent="0.35">
      <c r="A496">
        <v>1347</v>
      </c>
      <c r="B496" s="4">
        <v>45532.375085336993</v>
      </c>
      <c r="C496" t="s">
        <v>8</v>
      </c>
      <c r="D496" t="s">
        <v>21</v>
      </c>
      <c r="E496" t="s">
        <v>23</v>
      </c>
      <c r="F496">
        <v>923.45</v>
      </c>
      <c r="G496">
        <f t="array" ref="G496">SalesData!$I$2 - 'RFM Table'!B496</f>
        <v>604</v>
      </c>
      <c r="H496">
        <f t="array" ref="H496">COUNTIF(A:A,A496)</f>
        <v>7</v>
      </c>
      <c r="I496">
        <f t="array" ref="I496">SUMIF(A:A,A496,F:F)</f>
        <v>20951.28</v>
      </c>
      <c r="J496">
        <f t="array" ref="J496">5 - INT(5 * (RANK(G496,G:G, 1) - 1) / COUNT(G:G))</f>
        <v>1</v>
      </c>
      <c r="K496">
        <f t="array" ref="K496">INT(5 * (RANK(H496,H:H, 0) - 1) / COUNT(H:H)) + 1</f>
        <v>4</v>
      </c>
      <c r="L496">
        <f t="array" ref="L496">INT(5 * (RANK(I496,I:I, 0) - 1) / COUNT(I:I)) + 1</f>
        <v>5</v>
      </c>
      <c r="M496" t="str">
        <f t="shared" si="14"/>
        <v>145</v>
      </c>
      <c r="N496" s="6" t="str">
        <f t="shared" si="15"/>
        <v>At Risk</v>
      </c>
    </row>
    <row r="497" spans="1:14" x14ac:dyDescent="0.35">
      <c r="A497">
        <v>1182</v>
      </c>
      <c r="B497" s="4">
        <v>45533.375085336993</v>
      </c>
      <c r="C497" t="s">
        <v>9</v>
      </c>
      <c r="D497" t="s">
        <v>22</v>
      </c>
      <c r="E497" t="s">
        <v>23</v>
      </c>
      <c r="F497">
        <v>2318.11</v>
      </c>
      <c r="G497">
        <f t="array" ref="G497">SalesData!$I$2 - 'RFM Table'!B497</f>
        <v>603</v>
      </c>
      <c r="H497">
        <f t="array" ref="H497">COUNTIF(A:A,A497)</f>
        <v>7</v>
      </c>
      <c r="I497">
        <f t="array" ref="I497">SUMIF(A:A,A497,F:F)</f>
        <v>20657.780000000002</v>
      </c>
      <c r="J497">
        <f t="array" ref="J497">5 - INT(5 * (RANK(G497,G:G, 1) - 1) / COUNT(G:G))</f>
        <v>1</v>
      </c>
      <c r="K497">
        <f t="array" ref="K497">INT(5 * (RANK(H497,H:H, 0) - 1) / COUNT(H:H)) + 1</f>
        <v>4</v>
      </c>
      <c r="L497">
        <f t="array" ref="L497">INT(5 * (RANK(I497,I:I, 0) - 1) / COUNT(I:I)) + 1</f>
        <v>5</v>
      </c>
      <c r="M497" t="str">
        <f t="shared" si="14"/>
        <v>145</v>
      </c>
      <c r="N497" s="6" t="str">
        <f t="shared" si="15"/>
        <v>At Risk</v>
      </c>
    </row>
    <row r="498" spans="1:14" x14ac:dyDescent="0.35">
      <c r="A498">
        <v>1353</v>
      </c>
      <c r="B498" s="4">
        <v>45533.375085336993</v>
      </c>
      <c r="C498" t="s">
        <v>7</v>
      </c>
      <c r="D498" t="s">
        <v>19</v>
      </c>
      <c r="E498" t="s">
        <v>23</v>
      </c>
      <c r="F498">
        <v>1268.03</v>
      </c>
      <c r="G498">
        <f t="array" ref="G498">SalesData!$I$2 - 'RFM Table'!B498</f>
        <v>603</v>
      </c>
      <c r="H498">
        <f t="array" ref="H498">COUNTIF(A:A,A498)</f>
        <v>7</v>
      </c>
      <c r="I498">
        <f t="array" ref="I498">SUMIF(A:A,A498,F:F)</f>
        <v>29446.02</v>
      </c>
      <c r="J498">
        <f t="array" ref="J498">5 - INT(5 * (RANK(G498,G:G, 1) - 1) / COUNT(G:G))</f>
        <v>1</v>
      </c>
      <c r="K498">
        <f t="array" ref="K498">INT(5 * (RANK(H498,H:H, 0) - 1) / COUNT(H:H)) + 1</f>
        <v>4</v>
      </c>
      <c r="L498">
        <f t="array" ref="L498">INT(5 * (RANK(I498,I:I, 0) - 1) / COUNT(I:I)) + 1</f>
        <v>4</v>
      </c>
      <c r="M498" t="str">
        <f t="shared" si="14"/>
        <v>144</v>
      </c>
      <c r="N498" s="6" t="str">
        <f t="shared" si="15"/>
        <v>At Risk</v>
      </c>
    </row>
    <row r="499" spans="1:14" x14ac:dyDescent="0.35">
      <c r="A499">
        <v>1287</v>
      </c>
      <c r="B499" s="4">
        <v>45533.375085336993</v>
      </c>
      <c r="C499" t="s">
        <v>6</v>
      </c>
      <c r="D499" t="s">
        <v>21</v>
      </c>
      <c r="E499" t="s">
        <v>25</v>
      </c>
      <c r="F499">
        <v>3731.89</v>
      </c>
      <c r="G499">
        <f t="array" ref="G499">SalesData!$I$2 - 'RFM Table'!B499</f>
        <v>603</v>
      </c>
      <c r="H499">
        <f t="array" ref="H499">COUNTIF(A:A,A499)</f>
        <v>16</v>
      </c>
      <c r="I499">
        <f t="array" ref="I499">SUMIF(A:A,A499,F:F)</f>
        <v>64716.249999999985</v>
      </c>
      <c r="J499">
        <f t="array" ref="J499">5 - INT(5 * (RANK(G499,G:G, 1) - 1) / COUNT(G:G))</f>
        <v>1</v>
      </c>
      <c r="K499">
        <f t="array" ref="K499">INT(5 * (RANK(H499,H:H, 0) - 1) / COUNT(H:H)) + 1</f>
        <v>1</v>
      </c>
      <c r="L499">
        <f t="array" ref="L499">INT(5 * (RANK(I499,I:I, 0) - 1) / COUNT(I:I)) + 1</f>
        <v>1</v>
      </c>
      <c r="M499" t="str">
        <f t="shared" si="14"/>
        <v>111</v>
      </c>
      <c r="N499" s="6" t="str">
        <f t="shared" si="15"/>
        <v>Lost</v>
      </c>
    </row>
    <row r="500" spans="1:14" x14ac:dyDescent="0.35">
      <c r="A500">
        <v>1040</v>
      </c>
      <c r="B500" s="4">
        <v>45533.375085336993</v>
      </c>
      <c r="C500" t="s">
        <v>14</v>
      </c>
      <c r="D500" t="s">
        <v>22</v>
      </c>
      <c r="E500" t="s">
        <v>24</v>
      </c>
      <c r="F500">
        <v>312.45</v>
      </c>
      <c r="G500">
        <f t="array" ref="G500">SalesData!$I$2 - 'RFM Table'!B500</f>
        <v>603</v>
      </c>
      <c r="H500">
        <f t="array" ref="H500">COUNTIF(A:A,A500)</f>
        <v>7</v>
      </c>
      <c r="I500">
        <f t="array" ref="I500">SUMIF(A:A,A500,F:F)</f>
        <v>32869.479999999996</v>
      </c>
      <c r="J500">
        <f t="array" ref="J500">5 - INT(5 * (RANK(G500,G:G, 1) - 1) / COUNT(G:G))</f>
        <v>1</v>
      </c>
      <c r="K500">
        <f t="array" ref="K500">INT(5 * (RANK(H500,H:H, 0) - 1) / COUNT(H:H)) + 1</f>
        <v>4</v>
      </c>
      <c r="L500">
        <f t="array" ref="L500">INT(5 * (RANK(I500,I:I, 0) - 1) / COUNT(I:I)) + 1</f>
        <v>3</v>
      </c>
      <c r="M500" t="str">
        <f t="shared" si="14"/>
        <v>143</v>
      </c>
      <c r="N500" s="6" t="str">
        <f t="shared" si="15"/>
        <v>At Risk</v>
      </c>
    </row>
    <row r="501" spans="1:14" x14ac:dyDescent="0.35">
      <c r="A501">
        <v>1380</v>
      </c>
      <c r="B501" s="4">
        <v>45533.375085336993</v>
      </c>
      <c r="C501" t="s">
        <v>7</v>
      </c>
      <c r="D501" t="s">
        <v>19</v>
      </c>
      <c r="E501" t="s">
        <v>23</v>
      </c>
      <c r="F501">
        <v>17398.810000000001</v>
      </c>
      <c r="G501">
        <f t="array" ref="G501">SalesData!$I$2 - 'RFM Table'!B501</f>
        <v>603</v>
      </c>
      <c r="H501">
        <f t="array" ref="H501">COUNTIF(A:A,A501)</f>
        <v>9</v>
      </c>
      <c r="I501">
        <f t="array" ref="I501">SUMIF(A:A,A501,F:F)</f>
        <v>40711.57</v>
      </c>
      <c r="J501">
        <f t="array" ref="J501">5 - INT(5 * (RANK(G501,G:G, 1) - 1) / COUNT(G:G))</f>
        <v>1</v>
      </c>
      <c r="K501">
        <f t="array" ref="K501">INT(5 * (RANK(H501,H:H, 0) - 1) / COUNT(H:H)) + 1</f>
        <v>2</v>
      </c>
      <c r="L501">
        <f t="array" ref="L501">INT(5 * (RANK(I501,I:I, 0) - 1) / COUNT(I:I)) + 1</f>
        <v>2</v>
      </c>
      <c r="M501" t="str">
        <f t="shared" si="14"/>
        <v>122</v>
      </c>
      <c r="N501" s="6" t="str">
        <f t="shared" si="15"/>
        <v>Lost</v>
      </c>
    </row>
    <row r="502" spans="1:14" x14ac:dyDescent="0.35">
      <c r="A502">
        <v>1370</v>
      </c>
      <c r="B502" s="4">
        <v>45534.375085336993</v>
      </c>
      <c r="C502" t="s">
        <v>6</v>
      </c>
      <c r="D502" t="s">
        <v>22</v>
      </c>
      <c r="E502" t="s">
        <v>23</v>
      </c>
      <c r="F502">
        <v>2372.88</v>
      </c>
      <c r="G502">
        <f t="array" ref="G502">SalesData!$I$2 - 'RFM Table'!B502</f>
        <v>602</v>
      </c>
      <c r="H502">
        <f t="array" ref="H502">COUNTIF(A:A,A502)</f>
        <v>12</v>
      </c>
      <c r="I502">
        <f t="array" ref="I502">SUMIF(A:A,A502,F:F)</f>
        <v>46195.360000000001</v>
      </c>
      <c r="J502">
        <f t="array" ref="J502">5 - INT(5 * (RANK(G502,G:G, 1) - 1) / COUNT(G:G))</f>
        <v>1</v>
      </c>
      <c r="K502">
        <f t="array" ref="K502">INT(5 * (RANK(H502,H:H, 0) - 1) / COUNT(H:H)) + 1</f>
        <v>1</v>
      </c>
      <c r="L502">
        <f t="array" ref="L502">INT(5 * (RANK(I502,I:I, 0) - 1) / COUNT(I:I)) + 1</f>
        <v>1</v>
      </c>
      <c r="M502" t="str">
        <f t="shared" si="14"/>
        <v>111</v>
      </c>
      <c r="N502" s="6" t="str">
        <f t="shared" si="15"/>
        <v>Lost</v>
      </c>
    </row>
    <row r="503" spans="1:14" x14ac:dyDescent="0.35">
      <c r="A503">
        <v>1229</v>
      </c>
      <c r="B503" s="4">
        <v>45534.375085336993</v>
      </c>
      <c r="C503" t="s">
        <v>6</v>
      </c>
      <c r="D503" t="s">
        <v>21</v>
      </c>
      <c r="E503" t="s">
        <v>25</v>
      </c>
      <c r="F503">
        <v>1154.17</v>
      </c>
      <c r="G503">
        <f t="array" ref="G503">SalesData!$I$2 - 'RFM Table'!B503</f>
        <v>602</v>
      </c>
      <c r="H503">
        <f t="array" ref="H503">COUNTIF(A:A,A503)</f>
        <v>5</v>
      </c>
      <c r="I503">
        <f t="array" ref="I503">SUMIF(A:A,A503,F:F)</f>
        <v>23857.670000000002</v>
      </c>
      <c r="J503">
        <f t="array" ref="J503">5 - INT(5 * (RANK(G503,G:G, 1) - 1) / COUNT(G:G))</f>
        <v>1</v>
      </c>
      <c r="K503">
        <f t="array" ref="K503">INT(5 * (RANK(H503,H:H, 0) - 1) / COUNT(H:H)) + 1</f>
        <v>5</v>
      </c>
      <c r="L503">
        <f t="array" ref="L503">INT(5 * (RANK(I503,I:I, 0) - 1) / COUNT(I:I)) + 1</f>
        <v>4</v>
      </c>
      <c r="M503" t="str">
        <f t="shared" si="14"/>
        <v>154</v>
      </c>
      <c r="N503" s="6" t="str">
        <f t="shared" si="15"/>
        <v>At Risk</v>
      </c>
    </row>
    <row r="504" spans="1:14" x14ac:dyDescent="0.35">
      <c r="A504">
        <v>1325</v>
      </c>
      <c r="B504" s="4">
        <v>45534.375085336993</v>
      </c>
      <c r="C504" t="s">
        <v>15</v>
      </c>
      <c r="D504" t="s">
        <v>20</v>
      </c>
      <c r="E504" t="s">
        <v>25</v>
      </c>
      <c r="F504">
        <v>1250.83</v>
      </c>
      <c r="G504">
        <f t="array" ref="G504">SalesData!$I$2 - 'RFM Table'!B504</f>
        <v>602</v>
      </c>
      <c r="H504">
        <f t="array" ref="H504">COUNTIF(A:A,A504)</f>
        <v>9</v>
      </c>
      <c r="I504">
        <f t="array" ref="I504">SUMIF(A:A,A504,F:F)</f>
        <v>38753.799999999988</v>
      </c>
      <c r="J504">
        <f t="array" ref="J504">5 - INT(5 * (RANK(G504,G:G, 1) - 1) / COUNT(G:G))</f>
        <v>1</v>
      </c>
      <c r="K504">
        <f t="array" ref="K504">INT(5 * (RANK(H504,H:H, 0) - 1) / COUNT(H:H)) + 1</f>
        <v>2</v>
      </c>
      <c r="L504">
        <f t="array" ref="L504">INT(5 * (RANK(I504,I:I, 0) - 1) / COUNT(I:I)) + 1</f>
        <v>2</v>
      </c>
      <c r="M504" t="str">
        <f t="shared" si="14"/>
        <v>122</v>
      </c>
      <c r="N504" s="6" t="str">
        <f t="shared" si="15"/>
        <v>Lost</v>
      </c>
    </row>
    <row r="505" spans="1:14" x14ac:dyDescent="0.35">
      <c r="A505">
        <v>1179</v>
      </c>
      <c r="B505" s="4">
        <v>45534.375085336993</v>
      </c>
      <c r="C505" t="s">
        <v>9</v>
      </c>
      <c r="D505" t="s">
        <v>21</v>
      </c>
      <c r="E505" t="s">
        <v>23</v>
      </c>
      <c r="F505">
        <v>2923.61</v>
      </c>
      <c r="G505">
        <f t="array" ref="G505">SalesData!$I$2 - 'RFM Table'!B505</f>
        <v>602</v>
      </c>
      <c r="H505">
        <f t="array" ref="H505">COUNTIF(A:A,A505)</f>
        <v>7</v>
      </c>
      <c r="I505">
        <f t="array" ref="I505">SUMIF(A:A,A505,F:F)</f>
        <v>25906.9</v>
      </c>
      <c r="J505">
        <f t="array" ref="J505">5 - INT(5 * (RANK(G505,G:G, 1) - 1) / COUNT(G:G))</f>
        <v>1</v>
      </c>
      <c r="K505">
        <f t="array" ref="K505">INT(5 * (RANK(H505,H:H, 0) - 1) / COUNT(H:H)) + 1</f>
        <v>4</v>
      </c>
      <c r="L505">
        <f t="array" ref="L505">INT(5 * (RANK(I505,I:I, 0) - 1) / COUNT(I:I)) + 1</f>
        <v>4</v>
      </c>
      <c r="M505" t="str">
        <f t="shared" si="14"/>
        <v>144</v>
      </c>
      <c r="N505" s="6" t="str">
        <f t="shared" si="15"/>
        <v>At Risk</v>
      </c>
    </row>
    <row r="506" spans="1:14" x14ac:dyDescent="0.35">
      <c r="A506">
        <v>1279</v>
      </c>
      <c r="B506" s="4">
        <v>45534.375085336993</v>
      </c>
      <c r="C506" t="s">
        <v>9</v>
      </c>
      <c r="D506" t="s">
        <v>21</v>
      </c>
      <c r="E506" t="s">
        <v>23</v>
      </c>
      <c r="F506">
        <v>1730.61</v>
      </c>
      <c r="G506">
        <f t="array" ref="G506">SalesData!$I$2 - 'RFM Table'!B506</f>
        <v>602</v>
      </c>
      <c r="H506">
        <f t="array" ref="H506">COUNTIF(A:A,A506)</f>
        <v>8</v>
      </c>
      <c r="I506">
        <f t="array" ref="I506">SUMIF(A:A,A506,F:F)</f>
        <v>28833.759999999998</v>
      </c>
      <c r="J506">
        <f t="array" ref="J506">5 - INT(5 * (RANK(G506,G:G, 1) - 1) / COUNT(G:G))</f>
        <v>1</v>
      </c>
      <c r="K506">
        <f t="array" ref="K506">INT(5 * (RANK(H506,H:H, 0) - 1) / COUNT(H:H)) + 1</f>
        <v>3</v>
      </c>
      <c r="L506">
        <f t="array" ref="L506">INT(5 * (RANK(I506,I:I, 0) - 1) / COUNT(I:I)) + 1</f>
        <v>4</v>
      </c>
      <c r="M506" t="str">
        <f t="shared" si="14"/>
        <v>134</v>
      </c>
      <c r="N506" s="6" t="str">
        <f t="shared" si="15"/>
        <v>At Risk</v>
      </c>
    </row>
    <row r="507" spans="1:14" x14ac:dyDescent="0.35">
      <c r="A507">
        <v>1039</v>
      </c>
      <c r="B507" s="4">
        <v>45534.375085336993</v>
      </c>
      <c r="C507" t="s">
        <v>11</v>
      </c>
      <c r="D507" t="s">
        <v>22</v>
      </c>
      <c r="E507" t="s">
        <v>25</v>
      </c>
      <c r="F507">
        <v>1144.32</v>
      </c>
      <c r="G507">
        <f t="array" ref="G507">SalesData!$I$2 - 'RFM Table'!B507</f>
        <v>602</v>
      </c>
      <c r="H507">
        <f t="array" ref="H507">COUNTIF(A:A,A507)</f>
        <v>8</v>
      </c>
      <c r="I507">
        <f t="array" ref="I507">SUMIF(A:A,A507,F:F)</f>
        <v>21286.739999999998</v>
      </c>
      <c r="J507">
        <f t="array" ref="J507">5 - INT(5 * (RANK(G507,G:G, 1) - 1) / COUNT(G:G))</f>
        <v>1</v>
      </c>
      <c r="K507">
        <f t="array" ref="K507">INT(5 * (RANK(H507,H:H, 0) - 1) / COUNT(H:H)) + 1</f>
        <v>3</v>
      </c>
      <c r="L507">
        <f t="array" ref="L507">INT(5 * (RANK(I507,I:I, 0) - 1) / COUNT(I:I)) + 1</f>
        <v>5</v>
      </c>
      <c r="M507" t="str">
        <f t="shared" si="14"/>
        <v>135</v>
      </c>
      <c r="N507" s="6" t="str">
        <f t="shared" si="15"/>
        <v>At Risk</v>
      </c>
    </row>
    <row r="508" spans="1:14" x14ac:dyDescent="0.35">
      <c r="A508">
        <v>1389</v>
      </c>
      <c r="B508" s="4">
        <v>45534.375085336993</v>
      </c>
      <c r="C508" t="s">
        <v>10</v>
      </c>
      <c r="D508" t="s">
        <v>18</v>
      </c>
      <c r="E508" t="s">
        <v>25</v>
      </c>
      <c r="F508">
        <v>6381.2</v>
      </c>
      <c r="G508">
        <f t="array" ref="G508">SalesData!$I$2 - 'RFM Table'!B508</f>
        <v>602</v>
      </c>
      <c r="H508">
        <f t="array" ref="H508">COUNTIF(A:A,A508)</f>
        <v>8</v>
      </c>
      <c r="I508">
        <f t="array" ref="I508">SUMIF(A:A,A508,F:F)</f>
        <v>35723.81</v>
      </c>
      <c r="J508">
        <f t="array" ref="J508">5 - INT(5 * (RANK(G508,G:G, 1) - 1) / COUNT(G:G))</f>
        <v>1</v>
      </c>
      <c r="K508">
        <f t="array" ref="K508">INT(5 * (RANK(H508,H:H, 0) - 1) / COUNT(H:H)) + 1</f>
        <v>3</v>
      </c>
      <c r="L508">
        <f t="array" ref="L508">INT(5 * (RANK(I508,I:I, 0) - 1) / COUNT(I:I)) + 1</f>
        <v>3</v>
      </c>
      <c r="M508" t="str">
        <f t="shared" si="14"/>
        <v>133</v>
      </c>
      <c r="N508" s="6" t="str">
        <f t="shared" si="15"/>
        <v>At Risk</v>
      </c>
    </row>
    <row r="509" spans="1:14" x14ac:dyDescent="0.35">
      <c r="A509">
        <v>1024</v>
      </c>
      <c r="B509" s="4">
        <v>45534.375085336993</v>
      </c>
      <c r="C509" t="s">
        <v>15</v>
      </c>
      <c r="D509" t="s">
        <v>19</v>
      </c>
      <c r="E509" t="s">
        <v>23</v>
      </c>
      <c r="F509">
        <v>1943.02</v>
      </c>
      <c r="G509">
        <f t="array" ref="G509">SalesData!$I$2 - 'RFM Table'!B509</f>
        <v>602</v>
      </c>
      <c r="H509">
        <f t="array" ref="H509">COUNTIF(A:A,A509)</f>
        <v>12</v>
      </c>
      <c r="I509">
        <f t="array" ref="I509">SUMIF(A:A,A509,F:F)</f>
        <v>48008.159999999996</v>
      </c>
      <c r="J509">
        <f t="array" ref="J509">5 - INT(5 * (RANK(G509,G:G, 1) - 1) / COUNT(G:G))</f>
        <v>1</v>
      </c>
      <c r="K509">
        <f t="array" ref="K509">INT(5 * (RANK(H509,H:H, 0) - 1) / COUNT(H:H)) + 1</f>
        <v>1</v>
      </c>
      <c r="L509">
        <f t="array" ref="L509">INT(5 * (RANK(I509,I:I, 0) - 1) / COUNT(I:I)) + 1</f>
        <v>1</v>
      </c>
      <c r="M509" t="str">
        <f t="shared" si="14"/>
        <v>111</v>
      </c>
      <c r="N509" s="6" t="str">
        <f t="shared" si="15"/>
        <v>Lost</v>
      </c>
    </row>
    <row r="510" spans="1:14" x14ac:dyDescent="0.35">
      <c r="A510">
        <v>1131</v>
      </c>
      <c r="B510" s="4">
        <v>45535.375085336993</v>
      </c>
      <c r="C510" t="s">
        <v>14</v>
      </c>
      <c r="D510" t="s">
        <v>16</v>
      </c>
      <c r="E510" t="s">
        <v>24</v>
      </c>
      <c r="F510">
        <v>10288.950000000001</v>
      </c>
      <c r="G510">
        <f t="array" ref="G510">SalesData!$I$2 - 'RFM Table'!B510</f>
        <v>601</v>
      </c>
      <c r="H510">
        <f t="array" ref="H510">COUNTIF(A:A,A510)</f>
        <v>7</v>
      </c>
      <c r="I510">
        <f t="array" ref="I510">SUMIF(A:A,A510,F:F)</f>
        <v>38080.880000000005</v>
      </c>
      <c r="J510">
        <f t="array" ref="J510">5 - INT(5 * (RANK(G510,G:G, 1) - 1) / COUNT(G:G))</f>
        <v>1</v>
      </c>
      <c r="K510">
        <f t="array" ref="K510">INT(5 * (RANK(H510,H:H, 0) - 1) / COUNT(H:H)) + 1</f>
        <v>4</v>
      </c>
      <c r="L510">
        <f t="array" ref="L510">INT(5 * (RANK(I510,I:I, 0) - 1) / COUNT(I:I)) + 1</f>
        <v>2</v>
      </c>
      <c r="M510" t="str">
        <f t="shared" si="14"/>
        <v>142</v>
      </c>
      <c r="N510" s="6" t="str">
        <f t="shared" si="15"/>
        <v>Others</v>
      </c>
    </row>
    <row r="511" spans="1:14" x14ac:dyDescent="0.35">
      <c r="A511">
        <v>1359</v>
      </c>
      <c r="B511" s="4">
        <v>45536.375085336993</v>
      </c>
      <c r="C511" t="s">
        <v>12</v>
      </c>
      <c r="D511" t="s">
        <v>16</v>
      </c>
      <c r="E511" t="s">
        <v>25</v>
      </c>
      <c r="F511">
        <v>6763.74</v>
      </c>
      <c r="G511">
        <f t="array" ref="G511">SalesData!$I$2 - 'RFM Table'!B511</f>
        <v>600</v>
      </c>
      <c r="H511">
        <f t="array" ref="H511">COUNTIF(A:A,A511)</f>
        <v>13</v>
      </c>
      <c r="I511">
        <f t="array" ref="I511">SUMIF(A:A,A511,F:F)</f>
        <v>40402.14</v>
      </c>
      <c r="J511">
        <f t="array" ref="J511">5 - INT(5 * (RANK(G511,G:G, 1) - 1) / COUNT(G:G))</f>
        <v>1</v>
      </c>
      <c r="K511">
        <f t="array" ref="K511">INT(5 * (RANK(H511,H:H, 0) - 1) / COUNT(H:H)) + 1</f>
        <v>1</v>
      </c>
      <c r="L511">
        <f t="array" ref="L511">INT(5 * (RANK(I511,I:I, 0) - 1) / COUNT(I:I)) + 1</f>
        <v>2</v>
      </c>
      <c r="M511" t="str">
        <f t="shared" si="14"/>
        <v>112</v>
      </c>
      <c r="N511" s="6" t="str">
        <f t="shared" si="15"/>
        <v>Lost</v>
      </c>
    </row>
    <row r="512" spans="1:14" x14ac:dyDescent="0.35">
      <c r="A512">
        <v>1359</v>
      </c>
      <c r="B512" s="4">
        <v>45536.375085336993</v>
      </c>
      <c r="C512" t="s">
        <v>7</v>
      </c>
      <c r="D512" t="s">
        <v>22</v>
      </c>
      <c r="E512" t="s">
        <v>24</v>
      </c>
      <c r="F512">
        <v>4576.05</v>
      </c>
      <c r="G512">
        <f t="array" ref="G512">SalesData!$I$2 - 'RFM Table'!B512</f>
        <v>600</v>
      </c>
      <c r="H512">
        <f t="array" ref="H512">COUNTIF(A:A,A512)</f>
        <v>13</v>
      </c>
      <c r="I512">
        <f t="array" ref="I512">SUMIF(A:A,A512,F:F)</f>
        <v>40402.14</v>
      </c>
      <c r="J512">
        <f t="array" ref="J512">5 - INT(5 * (RANK(G512,G:G, 1) - 1) / COUNT(G:G))</f>
        <v>1</v>
      </c>
      <c r="K512">
        <f t="array" ref="K512">INT(5 * (RANK(H512,H:H, 0) - 1) / COUNT(H:H)) + 1</f>
        <v>1</v>
      </c>
      <c r="L512">
        <f t="array" ref="L512">INT(5 * (RANK(I512,I:I, 0) - 1) / COUNT(I:I)) + 1</f>
        <v>2</v>
      </c>
      <c r="M512" t="str">
        <f t="shared" si="14"/>
        <v>112</v>
      </c>
      <c r="N512" s="6" t="str">
        <f t="shared" si="15"/>
        <v>Lost</v>
      </c>
    </row>
    <row r="513" spans="1:14" x14ac:dyDescent="0.35">
      <c r="A513">
        <v>1207</v>
      </c>
      <c r="B513" s="4">
        <v>45536.375085336993</v>
      </c>
      <c r="C513" t="s">
        <v>15</v>
      </c>
      <c r="D513" t="s">
        <v>17</v>
      </c>
      <c r="E513" t="s">
        <v>24</v>
      </c>
      <c r="F513">
        <v>468.91</v>
      </c>
      <c r="G513">
        <f t="array" ref="G513">SalesData!$I$2 - 'RFM Table'!B513</f>
        <v>600</v>
      </c>
      <c r="H513">
        <f t="array" ref="H513">COUNTIF(A:A,A513)</f>
        <v>7</v>
      </c>
      <c r="I513">
        <f t="array" ref="I513">SUMIF(A:A,A513,F:F)</f>
        <v>24204.07</v>
      </c>
      <c r="J513">
        <f t="array" ref="J513">5 - INT(5 * (RANK(G513,G:G, 1) - 1) / COUNT(G:G))</f>
        <v>1</v>
      </c>
      <c r="K513">
        <f t="array" ref="K513">INT(5 * (RANK(H513,H:H, 0) - 1) / COUNT(H:H)) + 1</f>
        <v>4</v>
      </c>
      <c r="L513">
        <f t="array" ref="L513">INT(5 * (RANK(I513,I:I, 0) - 1) / COUNT(I:I)) + 1</f>
        <v>4</v>
      </c>
      <c r="M513" t="str">
        <f t="shared" si="14"/>
        <v>144</v>
      </c>
      <c r="N513" s="6" t="str">
        <f t="shared" si="15"/>
        <v>At Risk</v>
      </c>
    </row>
    <row r="514" spans="1:14" x14ac:dyDescent="0.35">
      <c r="A514">
        <v>1340</v>
      </c>
      <c r="B514" s="4">
        <v>45537.375085336993</v>
      </c>
      <c r="C514" t="s">
        <v>15</v>
      </c>
      <c r="D514" t="s">
        <v>22</v>
      </c>
      <c r="E514" t="s">
        <v>25</v>
      </c>
      <c r="F514">
        <v>9441</v>
      </c>
      <c r="G514">
        <f t="array" ref="G514">SalesData!$I$2 - 'RFM Table'!B514</f>
        <v>599</v>
      </c>
      <c r="H514">
        <f t="array" ref="H514">COUNTIF(A:A,A514)</f>
        <v>6</v>
      </c>
      <c r="I514">
        <f t="array" ref="I514">SUMIF(A:A,A514,F:F)</f>
        <v>22984.870000000003</v>
      </c>
      <c r="J514">
        <f t="array" ref="J514">5 - INT(5 * (RANK(G514,G:G, 1) - 1) / COUNT(G:G))</f>
        <v>1</v>
      </c>
      <c r="K514">
        <f t="array" ref="K514">INT(5 * (RANK(H514,H:H, 0) - 1) / COUNT(H:H)) + 1</f>
        <v>4</v>
      </c>
      <c r="L514">
        <f t="array" ref="L514">INT(5 * (RANK(I514,I:I, 0) - 1) / COUNT(I:I)) + 1</f>
        <v>4</v>
      </c>
      <c r="M514" t="str">
        <f t="shared" si="14"/>
        <v>144</v>
      </c>
      <c r="N514" s="6" t="str">
        <f t="shared" si="15"/>
        <v>At Risk</v>
      </c>
    </row>
    <row r="515" spans="1:14" x14ac:dyDescent="0.35">
      <c r="A515">
        <v>1106</v>
      </c>
      <c r="B515" s="4">
        <v>45537.375085336993</v>
      </c>
      <c r="C515" t="s">
        <v>15</v>
      </c>
      <c r="D515" t="s">
        <v>19</v>
      </c>
      <c r="E515" t="s">
        <v>25</v>
      </c>
      <c r="F515">
        <v>3683.3</v>
      </c>
      <c r="G515">
        <f t="array" ref="G515">SalesData!$I$2 - 'RFM Table'!B515</f>
        <v>599</v>
      </c>
      <c r="H515">
        <f t="array" ref="H515">COUNTIF(A:A,A515)</f>
        <v>5</v>
      </c>
      <c r="I515">
        <f t="array" ref="I515">SUMIF(A:A,A515,F:F)</f>
        <v>15143.41</v>
      </c>
      <c r="J515">
        <f t="array" ref="J515">5 - INT(5 * (RANK(G515,G:G, 1) - 1) / COUNT(G:G))</f>
        <v>1</v>
      </c>
      <c r="K515">
        <f t="array" ref="K515">INT(5 * (RANK(H515,H:H, 0) - 1) / COUNT(H:H)) + 1</f>
        <v>5</v>
      </c>
      <c r="L515">
        <f t="array" ref="L515">INT(5 * (RANK(I515,I:I, 0) - 1) / COUNT(I:I)) + 1</f>
        <v>5</v>
      </c>
      <c r="M515" t="str">
        <f t="shared" ref="M515:M578" si="16">J515 &amp; K515 &amp; L515</f>
        <v>155</v>
      </c>
      <c r="N515" s="6" t="str">
        <f t="shared" ref="N515:N578" si="17">IF(AND(J515&gt;=4,K515&lt;=2),"New Customers",
IF(AND(J515&lt;=2,K515&gt;=3,L515&gt;=3),"At Risk",
IF(AND(J515&lt;=2,K515&lt;=2,L515&gt;=3),"Can't Lose Them",
IF(AND(J515&lt;=2,K515&lt;=2,L515&lt;=2),"Lost",
"Others"))))</f>
        <v>At Risk</v>
      </c>
    </row>
    <row r="516" spans="1:14" x14ac:dyDescent="0.35">
      <c r="A516">
        <v>1214</v>
      </c>
      <c r="B516" s="4">
        <v>45537.375085336993</v>
      </c>
      <c r="C516" t="s">
        <v>11</v>
      </c>
      <c r="D516" t="s">
        <v>16</v>
      </c>
      <c r="E516" t="s">
        <v>23</v>
      </c>
      <c r="F516">
        <v>2026.19</v>
      </c>
      <c r="G516">
        <f t="array" ref="G516">SalesData!$I$2 - 'RFM Table'!B516</f>
        <v>599</v>
      </c>
      <c r="H516">
        <f t="array" ref="H516">COUNTIF(A:A,A516)</f>
        <v>12</v>
      </c>
      <c r="I516">
        <f t="array" ref="I516">SUMIF(A:A,A516,F:F)</f>
        <v>49382.650000000009</v>
      </c>
      <c r="J516">
        <f t="array" ref="J516">5 - INT(5 * (RANK(G516,G:G, 1) - 1) / COUNT(G:G))</f>
        <v>1</v>
      </c>
      <c r="K516">
        <f t="array" ref="K516">INT(5 * (RANK(H516,H:H, 0) - 1) / COUNT(H:H)) + 1</f>
        <v>1</v>
      </c>
      <c r="L516">
        <f t="array" ref="L516">INT(5 * (RANK(I516,I:I, 0) - 1) / COUNT(I:I)) + 1</f>
        <v>1</v>
      </c>
      <c r="M516" t="str">
        <f t="shared" si="16"/>
        <v>111</v>
      </c>
      <c r="N516" s="6" t="str">
        <f t="shared" si="17"/>
        <v>Lost</v>
      </c>
    </row>
    <row r="517" spans="1:14" x14ac:dyDescent="0.35">
      <c r="A517">
        <v>1307</v>
      </c>
      <c r="B517" s="4">
        <v>45537.375085336993</v>
      </c>
      <c r="C517" t="s">
        <v>8</v>
      </c>
      <c r="D517" t="s">
        <v>20</v>
      </c>
      <c r="E517" t="s">
        <v>23</v>
      </c>
      <c r="F517">
        <v>6915.83</v>
      </c>
      <c r="G517">
        <f t="array" ref="G517">SalesData!$I$2 - 'RFM Table'!B517</f>
        <v>599</v>
      </c>
      <c r="H517">
        <f t="array" ref="H517">COUNTIF(A:A,A517)</f>
        <v>7</v>
      </c>
      <c r="I517">
        <f t="array" ref="I517">SUMIF(A:A,A517,F:F)</f>
        <v>33514.49</v>
      </c>
      <c r="J517">
        <f t="array" ref="J517">5 - INT(5 * (RANK(G517,G:G, 1) - 1) / COUNT(G:G))</f>
        <v>1</v>
      </c>
      <c r="K517">
        <f t="array" ref="K517">INT(5 * (RANK(H517,H:H, 0) - 1) / COUNT(H:H)) + 1</f>
        <v>4</v>
      </c>
      <c r="L517">
        <f t="array" ref="L517">INT(5 * (RANK(I517,I:I, 0) - 1) / COUNT(I:I)) + 1</f>
        <v>3</v>
      </c>
      <c r="M517" t="str">
        <f t="shared" si="16"/>
        <v>143</v>
      </c>
      <c r="N517" s="6" t="str">
        <f t="shared" si="17"/>
        <v>At Risk</v>
      </c>
    </row>
    <row r="518" spans="1:14" x14ac:dyDescent="0.35">
      <c r="A518">
        <v>1172</v>
      </c>
      <c r="B518" s="4">
        <v>45539.375085336993</v>
      </c>
      <c r="C518" t="s">
        <v>12</v>
      </c>
      <c r="D518" t="s">
        <v>16</v>
      </c>
      <c r="E518" t="s">
        <v>24</v>
      </c>
      <c r="F518">
        <v>11824.72</v>
      </c>
      <c r="G518">
        <f t="array" ref="G518">SalesData!$I$2 - 'RFM Table'!B518</f>
        <v>597</v>
      </c>
      <c r="H518">
        <f t="array" ref="H518">COUNTIF(A:A,A518)</f>
        <v>13</v>
      </c>
      <c r="I518">
        <f t="array" ref="I518">SUMIF(A:A,A518,F:F)</f>
        <v>64175.24</v>
      </c>
      <c r="J518">
        <f t="array" ref="J518">5 - INT(5 * (RANK(G518,G:G, 1) - 1) / COUNT(G:G))</f>
        <v>1</v>
      </c>
      <c r="K518">
        <f t="array" ref="K518">INT(5 * (RANK(H518,H:H, 0) - 1) / COUNT(H:H)) + 1</f>
        <v>1</v>
      </c>
      <c r="L518">
        <f t="array" ref="L518">INT(5 * (RANK(I518,I:I, 0) - 1) / COUNT(I:I)) + 1</f>
        <v>1</v>
      </c>
      <c r="M518" t="str">
        <f t="shared" si="16"/>
        <v>111</v>
      </c>
      <c r="N518" s="6" t="str">
        <f t="shared" si="17"/>
        <v>Lost</v>
      </c>
    </row>
    <row r="519" spans="1:14" x14ac:dyDescent="0.35">
      <c r="A519">
        <v>1013</v>
      </c>
      <c r="B519" s="4">
        <v>45539.375085336993</v>
      </c>
      <c r="C519" t="s">
        <v>13</v>
      </c>
      <c r="D519" t="s">
        <v>21</v>
      </c>
      <c r="E519" t="s">
        <v>24</v>
      </c>
      <c r="F519">
        <v>3851.32</v>
      </c>
      <c r="G519">
        <f t="array" ref="G519">SalesData!$I$2 - 'RFM Table'!B519</f>
        <v>597</v>
      </c>
      <c r="H519">
        <f t="array" ref="H519">COUNTIF(A:A,A519)</f>
        <v>14</v>
      </c>
      <c r="I519">
        <f t="array" ref="I519">SUMIF(A:A,A519,F:F)</f>
        <v>60099.840000000004</v>
      </c>
      <c r="J519">
        <f t="array" ref="J519">5 - INT(5 * (RANK(G519,G:G, 1) - 1) / COUNT(G:G))</f>
        <v>1</v>
      </c>
      <c r="K519">
        <f t="array" ref="K519">INT(5 * (RANK(H519,H:H, 0) - 1) / COUNT(H:H)) + 1</f>
        <v>1</v>
      </c>
      <c r="L519">
        <f t="array" ref="L519">INT(5 * (RANK(I519,I:I, 0) - 1) / COUNT(I:I)) + 1</f>
        <v>1</v>
      </c>
      <c r="M519" t="str">
        <f t="shared" si="16"/>
        <v>111</v>
      </c>
      <c r="N519" s="6" t="str">
        <f t="shared" si="17"/>
        <v>Lost</v>
      </c>
    </row>
    <row r="520" spans="1:14" x14ac:dyDescent="0.35">
      <c r="A520">
        <v>1331</v>
      </c>
      <c r="B520" s="4">
        <v>45540.375085336993</v>
      </c>
      <c r="C520" t="s">
        <v>12</v>
      </c>
      <c r="D520" t="s">
        <v>18</v>
      </c>
      <c r="E520" t="s">
        <v>25</v>
      </c>
      <c r="F520">
        <v>9078.66</v>
      </c>
      <c r="G520">
        <f t="array" ref="G520">SalesData!$I$2 - 'RFM Table'!B520</f>
        <v>596</v>
      </c>
      <c r="H520">
        <f t="array" ref="H520">COUNTIF(A:A,A520)</f>
        <v>4</v>
      </c>
      <c r="I520">
        <f t="array" ref="I520">SUMIF(A:A,A520,F:F)</f>
        <v>21830.14</v>
      </c>
      <c r="J520">
        <f t="array" ref="J520">5 - INT(5 * (RANK(G520,G:G, 1) - 1) / COUNT(G:G))</f>
        <v>1</v>
      </c>
      <c r="K520">
        <f t="array" ref="K520">INT(5 * (RANK(H520,H:H, 0) - 1) / COUNT(H:H)) + 1</f>
        <v>5</v>
      </c>
      <c r="L520">
        <f t="array" ref="L520">INT(5 * (RANK(I520,I:I, 0) - 1) / COUNT(I:I)) + 1</f>
        <v>4</v>
      </c>
      <c r="M520" t="str">
        <f t="shared" si="16"/>
        <v>154</v>
      </c>
      <c r="N520" s="6" t="str">
        <f t="shared" si="17"/>
        <v>At Risk</v>
      </c>
    </row>
    <row r="521" spans="1:14" x14ac:dyDescent="0.35">
      <c r="A521">
        <v>1313</v>
      </c>
      <c r="B521" s="4">
        <v>45540.375085336993</v>
      </c>
      <c r="C521" t="s">
        <v>14</v>
      </c>
      <c r="D521" t="s">
        <v>17</v>
      </c>
      <c r="E521" t="s">
        <v>24</v>
      </c>
      <c r="F521">
        <v>7600.75</v>
      </c>
      <c r="G521">
        <f t="array" ref="G521">SalesData!$I$2 - 'RFM Table'!B521</f>
        <v>596</v>
      </c>
      <c r="H521">
        <f t="array" ref="H521">COUNTIF(A:A,A521)</f>
        <v>9</v>
      </c>
      <c r="I521">
        <f t="array" ref="I521">SUMIF(A:A,A521,F:F)</f>
        <v>35759.83</v>
      </c>
      <c r="J521">
        <f t="array" ref="J521">5 - INT(5 * (RANK(G521,G:G, 1) - 1) / COUNT(G:G))</f>
        <v>1</v>
      </c>
      <c r="K521">
        <f t="array" ref="K521">INT(5 * (RANK(H521,H:H, 0) - 1) / COUNT(H:H)) + 1</f>
        <v>2</v>
      </c>
      <c r="L521">
        <f t="array" ref="L521">INT(5 * (RANK(I521,I:I, 0) - 1) / COUNT(I:I)) + 1</f>
        <v>3</v>
      </c>
      <c r="M521" t="str">
        <f t="shared" si="16"/>
        <v>123</v>
      </c>
      <c r="N521" s="6" t="str">
        <f t="shared" si="17"/>
        <v>Can't Lose Them</v>
      </c>
    </row>
    <row r="522" spans="1:14" x14ac:dyDescent="0.35">
      <c r="A522">
        <v>1216</v>
      </c>
      <c r="B522" s="4">
        <v>45541.375085336993</v>
      </c>
      <c r="C522" t="s">
        <v>13</v>
      </c>
      <c r="D522" t="s">
        <v>16</v>
      </c>
      <c r="E522" t="s">
        <v>25</v>
      </c>
      <c r="F522">
        <v>3512.07</v>
      </c>
      <c r="G522">
        <f t="array" ref="G522">SalesData!$I$2 - 'RFM Table'!B522</f>
        <v>595</v>
      </c>
      <c r="H522">
        <f t="array" ref="H522">COUNTIF(A:A,A522)</f>
        <v>10</v>
      </c>
      <c r="I522">
        <f t="array" ref="I522">SUMIF(A:A,A522,F:F)</f>
        <v>38608.230000000003</v>
      </c>
      <c r="J522">
        <f t="array" ref="J522">5 - INT(5 * (RANK(G522,G:G, 1) - 1) / COUNT(G:G))</f>
        <v>1</v>
      </c>
      <c r="K522">
        <f t="array" ref="K522">INT(5 * (RANK(H522,H:H, 0) - 1) / COUNT(H:H)) + 1</f>
        <v>2</v>
      </c>
      <c r="L522">
        <f t="array" ref="L522">INT(5 * (RANK(I522,I:I, 0) - 1) / COUNT(I:I)) + 1</f>
        <v>2</v>
      </c>
      <c r="M522" t="str">
        <f t="shared" si="16"/>
        <v>122</v>
      </c>
      <c r="N522" s="6" t="str">
        <f t="shared" si="17"/>
        <v>Lost</v>
      </c>
    </row>
    <row r="523" spans="1:14" x14ac:dyDescent="0.35">
      <c r="A523">
        <v>1277</v>
      </c>
      <c r="B523" s="4">
        <v>45541.375085336993</v>
      </c>
      <c r="C523" t="s">
        <v>7</v>
      </c>
      <c r="D523" t="s">
        <v>21</v>
      </c>
      <c r="E523" t="s">
        <v>24</v>
      </c>
      <c r="F523">
        <v>2486.08</v>
      </c>
      <c r="G523">
        <f t="array" ref="G523">SalesData!$I$2 - 'RFM Table'!B523</f>
        <v>595</v>
      </c>
      <c r="H523">
        <f t="array" ref="H523">COUNTIF(A:A,A523)</f>
        <v>5</v>
      </c>
      <c r="I523">
        <f t="array" ref="I523">SUMIF(A:A,A523,F:F)</f>
        <v>22112.27</v>
      </c>
      <c r="J523">
        <f t="array" ref="J523">5 - INT(5 * (RANK(G523,G:G, 1) - 1) / COUNT(G:G))</f>
        <v>1</v>
      </c>
      <c r="K523">
        <f t="array" ref="K523">INT(5 * (RANK(H523,H:H, 0) - 1) / COUNT(H:H)) + 1</f>
        <v>5</v>
      </c>
      <c r="L523">
        <f t="array" ref="L523">INT(5 * (RANK(I523,I:I, 0) - 1) / COUNT(I:I)) + 1</f>
        <v>4</v>
      </c>
      <c r="M523" t="str">
        <f t="shared" si="16"/>
        <v>154</v>
      </c>
      <c r="N523" s="6" t="str">
        <f t="shared" si="17"/>
        <v>At Risk</v>
      </c>
    </row>
    <row r="524" spans="1:14" x14ac:dyDescent="0.35">
      <c r="A524">
        <v>1220</v>
      </c>
      <c r="B524" s="4">
        <v>45541.375085336993</v>
      </c>
      <c r="C524" t="s">
        <v>14</v>
      </c>
      <c r="D524" t="s">
        <v>19</v>
      </c>
      <c r="E524" t="s">
        <v>25</v>
      </c>
      <c r="F524">
        <v>12491.92</v>
      </c>
      <c r="G524">
        <f t="array" ref="G524">SalesData!$I$2 - 'RFM Table'!B524</f>
        <v>595</v>
      </c>
      <c r="H524">
        <f t="array" ref="H524">COUNTIF(A:A,A524)</f>
        <v>6</v>
      </c>
      <c r="I524">
        <f t="array" ref="I524">SUMIF(A:A,A524,F:F)</f>
        <v>29693.030000000002</v>
      </c>
      <c r="J524">
        <f t="array" ref="J524">5 - INT(5 * (RANK(G524,G:G, 1) - 1) / COUNT(G:G))</f>
        <v>1</v>
      </c>
      <c r="K524">
        <f t="array" ref="K524">INT(5 * (RANK(H524,H:H, 0) - 1) / COUNT(H:H)) + 1</f>
        <v>4</v>
      </c>
      <c r="L524">
        <f t="array" ref="L524">INT(5 * (RANK(I524,I:I, 0) - 1) / COUNT(I:I)) + 1</f>
        <v>3</v>
      </c>
      <c r="M524" t="str">
        <f t="shared" si="16"/>
        <v>143</v>
      </c>
      <c r="N524" s="6" t="str">
        <f t="shared" si="17"/>
        <v>At Risk</v>
      </c>
    </row>
    <row r="525" spans="1:14" x14ac:dyDescent="0.35">
      <c r="A525">
        <v>1095</v>
      </c>
      <c r="B525" s="4">
        <v>45542.375085336993</v>
      </c>
      <c r="C525" t="s">
        <v>8</v>
      </c>
      <c r="D525" t="s">
        <v>21</v>
      </c>
      <c r="E525" t="s">
        <v>24</v>
      </c>
      <c r="F525">
        <v>16168.88</v>
      </c>
      <c r="G525">
        <f t="array" ref="G525">SalesData!$I$2 - 'RFM Table'!B525</f>
        <v>594</v>
      </c>
      <c r="H525">
        <f t="array" ref="H525">COUNTIF(A:A,A525)</f>
        <v>9</v>
      </c>
      <c r="I525">
        <f t="array" ref="I525">SUMIF(A:A,A525,F:F)</f>
        <v>48530.240000000005</v>
      </c>
      <c r="J525">
        <f t="array" ref="J525">5 - INT(5 * (RANK(G525,G:G, 1) - 1) / COUNT(G:G))</f>
        <v>1</v>
      </c>
      <c r="K525">
        <f t="array" ref="K525">INT(5 * (RANK(H525,H:H, 0) - 1) / COUNT(H:H)) + 1</f>
        <v>2</v>
      </c>
      <c r="L525">
        <f t="array" ref="L525">INT(5 * (RANK(I525,I:I, 0) - 1) / COUNT(I:I)) + 1</f>
        <v>1</v>
      </c>
      <c r="M525" t="str">
        <f t="shared" si="16"/>
        <v>121</v>
      </c>
      <c r="N525" s="6" t="str">
        <f t="shared" si="17"/>
        <v>Lost</v>
      </c>
    </row>
    <row r="526" spans="1:14" x14ac:dyDescent="0.35">
      <c r="A526">
        <v>1355</v>
      </c>
      <c r="B526" s="4">
        <v>45542.375085336993</v>
      </c>
      <c r="C526" t="s">
        <v>11</v>
      </c>
      <c r="D526" t="s">
        <v>22</v>
      </c>
      <c r="E526" t="s">
        <v>23</v>
      </c>
      <c r="F526">
        <v>750.56</v>
      </c>
      <c r="G526">
        <f t="array" ref="G526">SalesData!$I$2 - 'RFM Table'!B526</f>
        <v>594</v>
      </c>
      <c r="H526">
        <f t="array" ref="H526">COUNTIF(A:A,A526)</f>
        <v>6</v>
      </c>
      <c r="I526">
        <f t="array" ref="I526">SUMIF(A:A,A526,F:F)</f>
        <v>21250.21</v>
      </c>
      <c r="J526">
        <f t="array" ref="J526">5 - INT(5 * (RANK(G526,G:G, 1) - 1) / COUNT(G:G))</f>
        <v>1</v>
      </c>
      <c r="K526">
        <f t="array" ref="K526">INT(5 * (RANK(H526,H:H, 0) - 1) / COUNT(H:H)) + 1</f>
        <v>4</v>
      </c>
      <c r="L526">
        <f t="array" ref="L526">INT(5 * (RANK(I526,I:I, 0) - 1) / COUNT(I:I)) + 1</f>
        <v>5</v>
      </c>
      <c r="M526" t="str">
        <f t="shared" si="16"/>
        <v>145</v>
      </c>
      <c r="N526" s="6" t="str">
        <f t="shared" si="17"/>
        <v>At Risk</v>
      </c>
    </row>
    <row r="527" spans="1:14" x14ac:dyDescent="0.35">
      <c r="A527">
        <v>1054</v>
      </c>
      <c r="B527" s="4">
        <v>45542.375085336993</v>
      </c>
      <c r="C527" t="s">
        <v>8</v>
      </c>
      <c r="D527" t="s">
        <v>19</v>
      </c>
      <c r="E527" t="s">
        <v>25</v>
      </c>
      <c r="F527">
        <v>1808</v>
      </c>
      <c r="G527">
        <f t="array" ref="G527">SalesData!$I$2 - 'RFM Table'!B527</f>
        <v>594</v>
      </c>
      <c r="H527">
        <f t="array" ref="H527">COUNTIF(A:A,A527)</f>
        <v>7</v>
      </c>
      <c r="I527">
        <f t="array" ref="I527">SUMIF(A:A,A527,F:F)</f>
        <v>21298.79</v>
      </c>
      <c r="J527">
        <f t="array" ref="J527">5 - INT(5 * (RANK(G527,G:G, 1) - 1) / COUNT(G:G))</f>
        <v>1</v>
      </c>
      <c r="K527">
        <f t="array" ref="K527">INT(5 * (RANK(H527,H:H, 0) - 1) / COUNT(H:H)) + 1</f>
        <v>4</v>
      </c>
      <c r="L527">
        <f t="array" ref="L527">INT(5 * (RANK(I527,I:I, 0) - 1) / COUNT(I:I)) + 1</f>
        <v>5</v>
      </c>
      <c r="M527" t="str">
        <f t="shared" si="16"/>
        <v>145</v>
      </c>
      <c r="N527" s="6" t="str">
        <f t="shared" si="17"/>
        <v>At Risk</v>
      </c>
    </row>
    <row r="528" spans="1:14" x14ac:dyDescent="0.35">
      <c r="A528">
        <v>1106</v>
      </c>
      <c r="B528" s="4">
        <v>45542.375085336993</v>
      </c>
      <c r="C528" t="s">
        <v>6</v>
      </c>
      <c r="D528" t="s">
        <v>22</v>
      </c>
      <c r="E528" t="s">
        <v>25</v>
      </c>
      <c r="F528">
        <v>3275.87</v>
      </c>
      <c r="G528">
        <f t="array" ref="G528">SalesData!$I$2 - 'RFM Table'!B528</f>
        <v>594</v>
      </c>
      <c r="H528">
        <f t="array" ref="H528">COUNTIF(A:A,A528)</f>
        <v>5</v>
      </c>
      <c r="I528">
        <f t="array" ref="I528">SUMIF(A:A,A528,F:F)</f>
        <v>15143.41</v>
      </c>
      <c r="J528">
        <f t="array" ref="J528">5 - INT(5 * (RANK(G528,G:G, 1) - 1) / COUNT(G:G))</f>
        <v>1</v>
      </c>
      <c r="K528">
        <f t="array" ref="K528">INT(5 * (RANK(H528,H:H, 0) - 1) / COUNT(H:H)) + 1</f>
        <v>5</v>
      </c>
      <c r="L528">
        <f t="array" ref="L528">INT(5 * (RANK(I528,I:I, 0) - 1) / COUNT(I:I)) + 1</f>
        <v>5</v>
      </c>
      <c r="M528" t="str">
        <f t="shared" si="16"/>
        <v>155</v>
      </c>
      <c r="N528" s="6" t="str">
        <f t="shared" si="17"/>
        <v>At Risk</v>
      </c>
    </row>
    <row r="529" spans="1:14" x14ac:dyDescent="0.35">
      <c r="A529">
        <v>1134</v>
      </c>
      <c r="B529" s="4">
        <v>45542.375085336993</v>
      </c>
      <c r="C529" t="s">
        <v>8</v>
      </c>
      <c r="D529" t="s">
        <v>22</v>
      </c>
      <c r="E529" t="s">
        <v>23</v>
      </c>
      <c r="F529">
        <v>399.97</v>
      </c>
      <c r="G529">
        <f t="array" ref="G529">SalesData!$I$2 - 'RFM Table'!B529</f>
        <v>594</v>
      </c>
      <c r="H529">
        <f t="array" ref="H529">COUNTIF(A:A,A529)</f>
        <v>4</v>
      </c>
      <c r="I529">
        <f t="array" ref="I529">SUMIF(A:A,A529,F:F)</f>
        <v>11791.11</v>
      </c>
      <c r="J529">
        <f t="array" ref="J529">5 - INT(5 * (RANK(G529,G:G, 1) - 1) / COUNT(G:G))</f>
        <v>1</v>
      </c>
      <c r="K529">
        <f t="array" ref="K529">INT(5 * (RANK(H529,H:H, 0) - 1) / COUNT(H:H)) + 1</f>
        <v>5</v>
      </c>
      <c r="L529">
        <f t="array" ref="L529">INT(5 * (RANK(I529,I:I, 0) - 1) / COUNT(I:I)) + 1</f>
        <v>5</v>
      </c>
      <c r="M529" t="str">
        <f t="shared" si="16"/>
        <v>155</v>
      </c>
      <c r="N529" s="6" t="str">
        <f t="shared" si="17"/>
        <v>At Risk</v>
      </c>
    </row>
    <row r="530" spans="1:14" x14ac:dyDescent="0.35">
      <c r="A530">
        <v>1021</v>
      </c>
      <c r="B530" s="4">
        <v>45542.375085336993</v>
      </c>
      <c r="C530" t="s">
        <v>8</v>
      </c>
      <c r="D530" t="s">
        <v>17</v>
      </c>
      <c r="E530" t="s">
        <v>23</v>
      </c>
      <c r="F530">
        <v>1584.15</v>
      </c>
      <c r="G530">
        <f t="array" ref="G530">SalesData!$I$2 - 'RFM Table'!B530</f>
        <v>594</v>
      </c>
      <c r="H530">
        <f t="array" ref="H530">COUNTIF(A:A,A530)</f>
        <v>7</v>
      </c>
      <c r="I530">
        <f t="array" ref="I530">SUMIF(A:A,A530,F:F)</f>
        <v>13087.390000000001</v>
      </c>
      <c r="J530">
        <f t="array" ref="J530">5 - INT(5 * (RANK(G530,G:G, 1) - 1) / COUNT(G:G))</f>
        <v>1</v>
      </c>
      <c r="K530">
        <f t="array" ref="K530">INT(5 * (RANK(H530,H:H, 0) - 1) / COUNT(H:H)) + 1</f>
        <v>4</v>
      </c>
      <c r="L530">
        <f t="array" ref="L530">INT(5 * (RANK(I530,I:I, 0) - 1) / COUNT(I:I)) + 1</f>
        <v>5</v>
      </c>
      <c r="M530" t="str">
        <f t="shared" si="16"/>
        <v>145</v>
      </c>
      <c r="N530" s="6" t="str">
        <f t="shared" si="17"/>
        <v>At Risk</v>
      </c>
    </row>
    <row r="531" spans="1:14" x14ac:dyDescent="0.35">
      <c r="A531">
        <v>1303</v>
      </c>
      <c r="B531" s="4">
        <v>45542.375085336993</v>
      </c>
      <c r="C531" t="s">
        <v>9</v>
      </c>
      <c r="D531" t="s">
        <v>16</v>
      </c>
      <c r="E531" t="s">
        <v>25</v>
      </c>
      <c r="F531">
        <v>1011.58</v>
      </c>
      <c r="G531">
        <f t="array" ref="G531">SalesData!$I$2 - 'RFM Table'!B531</f>
        <v>594</v>
      </c>
      <c r="H531">
        <f t="array" ref="H531">COUNTIF(A:A,A531)</f>
        <v>9</v>
      </c>
      <c r="I531">
        <f t="array" ref="I531">SUMIF(A:A,A531,F:F)</f>
        <v>27888.809999999998</v>
      </c>
      <c r="J531">
        <f t="array" ref="J531">5 - INT(5 * (RANK(G531,G:G, 1) - 1) / COUNT(G:G))</f>
        <v>1</v>
      </c>
      <c r="K531">
        <f t="array" ref="K531">INT(5 * (RANK(H531,H:H, 0) - 1) / COUNT(H:H)) + 1</f>
        <v>2</v>
      </c>
      <c r="L531">
        <f t="array" ref="L531">INT(5 * (RANK(I531,I:I, 0) - 1) / COUNT(I:I)) + 1</f>
        <v>4</v>
      </c>
      <c r="M531" t="str">
        <f t="shared" si="16"/>
        <v>124</v>
      </c>
      <c r="N531" s="6" t="str">
        <f t="shared" si="17"/>
        <v>Can't Lose Them</v>
      </c>
    </row>
    <row r="532" spans="1:14" x14ac:dyDescent="0.35">
      <c r="A532">
        <v>1088</v>
      </c>
      <c r="B532" s="4">
        <v>45543.375085336993</v>
      </c>
      <c r="C532" t="s">
        <v>12</v>
      </c>
      <c r="D532" t="s">
        <v>22</v>
      </c>
      <c r="E532" t="s">
        <v>25</v>
      </c>
      <c r="F532">
        <v>693.82</v>
      </c>
      <c r="G532">
        <f t="array" ref="G532">SalesData!$I$2 - 'RFM Table'!B532</f>
        <v>593</v>
      </c>
      <c r="H532">
        <f t="array" ref="H532">COUNTIF(A:A,A532)</f>
        <v>8</v>
      </c>
      <c r="I532">
        <f t="array" ref="I532">SUMIF(A:A,A532,F:F)</f>
        <v>40213.310000000005</v>
      </c>
      <c r="J532">
        <f t="array" ref="J532">5 - INT(5 * (RANK(G532,G:G, 1) - 1) / COUNT(G:G))</f>
        <v>1</v>
      </c>
      <c r="K532">
        <f t="array" ref="K532">INT(5 * (RANK(H532,H:H, 0) - 1) / COUNT(H:H)) + 1</f>
        <v>3</v>
      </c>
      <c r="L532">
        <f t="array" ref="L532">INT(5 * (RANK(I532,I:I, 0) - 1) / COUNT(I:I)) + 1</f>
        <v>2</v>
      </c>
      <c r="M532" t="str">
        <f t="shared" si="16"/>
        <v>132</v>
      </c>
      <c r="N532" s="6" t="str">
        <f t="shared" si="17"/>
        <v>Others</v>
      </c>
    </row>
    <row r="533" spans="1:14" x14ac:dyDescent="0.35">
      <c r="A533">
        <v>1017</v>
      </c>
      <c r="B533" s="4">
        <v>45543.375085336993</v>
      </c>
      <c r="C533" t="s">
        <v>9</v>
      </c>
      <c r="D533" t="s">
        <v>17</v>
      </c>
      <c r="E533" t="s">
        <v>24</v>
      </c>
      <c r="F533">
        <v>7665.01</v>
      </c>
      <c r="G533">
        <f t="array" ref="G533">SalesData!$I$2 - 'RFM Table'!B533</f>
        <v>593</v>
      </c>
      <c r="H533">
        <f t="array" ref="H533">COUNTIF(A:A,A533)</f>
        <v>4</v>
      </c>
      <c r="I533">
        <f t="array" ref="I533">SUMIF(A:A,A533,F:F)</f>
        <v>13232.439999999999</v>
      </c>
      <c r="J533">
        <f t="array" ref="J533">5 - INT(5 * (RANK(G533,G:G, 1) - 1) / COUNT(G:G))</f>
        <v>1</v>
      </c>
      <c r="K533">
        <f t="array" ref="K533">INT(5 * (RANK(H533,H:H, 0) - 1) / COUNT(H:H)) + 1</f>
        <v>5</v>
      </c>
      <c r="L533">
        <f t="array" ref="L533">INT(5 * (RANK(I533,I:I, 0) - 1) / COUNT(I:I)) + 1</f>
        <v>5</v>
      </c>
      <c r="M533" t="str">
        <f t="shared" si="16"/>
        <v>155</v>
      </c>
      <c r="N533" s="6" t="str">
        <f t="shared" si="17"/>
        <v>At Risk</v>
      </c>
    </row>
    <row r="534" spans="1:14" x14ac:dyDescent="0.35">
      <c r="A534">
        <v>1094</v>
      </c>
      <c r="B534" s="4">
        <v>45543.375085336993</v>
      </c>
      <c r="C534" t="s">
        <v>10</v>
      </c>
      <c r="D534" t="s">
        <v>19</v>
      </c>
      <c r="E534" t="s">
        <v>24</v>
      </c>
      <c r="F534">
        <v>6431.11</v>
      </c>
      <c r="G534">
        <f t="array" ref="G534">SalesData!$I$2 - 'RFM Table'!B534</f>
        <v>593</v>
      </c>
      <c r="H534">
        <f t="array" ref="H534">COUNTIF(A:A,A534)</f>
        <v>10</v>
      </c>
      <c r="I534">
        <f t="array" ref="I534">SUMIF(A:A,A534,F:F)</f>
        <v>41704.25</v>
      </c>
      <c r="J534">
        <f t="array" ref="J534">5 - INT(5 * (RANK(G534,G:G, 1) - 1) / COUNT(G:G))</f>
        <v>1</v>
      </c>
      <c r="K534">
        <f t="array" ref="K534">INT(5 * (RANK(H534,H:H, 0) - 1) / COUNT(H:H)) + 1</f>
        <v>2</v>
      </c>
      <c r="L534">
        <f t="array" ref="L534">INT(5 * (RANK(I534,I:I, 0) - 1) / COUNT(I:I)) + 1</f>
        <v>2</v>
      </c>
      <c r="M534" t="str">
        <f t="shared" si="16"/>
        <v>122</v>
      </c>
      <c r="N534" s="6" t="str">
        <f t="shared" si="17"/>
        <v>Lost</v>
      </c>
    </row>
    <row r="535" spans="1:14" x14ac:dyDescent="0.35">
      <c r="A535">
        <v>1185</v>
      </c>
      <c r="B535" s="4">
        <v>45543.375085336993</v>
      </c>
      <c r="C535" t="s">
        <v>11</v>
      </c>
      <c r="D535" t="s">
        <v>17</v>
      </c>
      <c r="E535" t="s">
        <v>24</v>
      </c>
      <c r="F535">
        <v>1606.59</v>
      </c>
      <c r="G535">
        <f t="array" ref="G535">SalesData!$I$2 - 'RFM Table'!B535</f>
        <v>593</v>
      </c>
      <c r="H535">
        <f t="array" ref="H535">COUNTIF(A:A,A535)</f>
        <v>8</v>
      </c>
      <c r="I535">
        <f t="array" ref="I535">SUMIF(A:A,A535,F:F)</f>
        <v>27805.74</v>
      </c>
      <c r="J535">
        <f t="array" ref="J535">5 - INT(5 * (RANK(G535,G:G, 1) - 1) / COUNT(G:G))</f>
        <v>1</v>
      </c>
      <c r="K535">
        <f t="array" ref="K535">INT(5 * (RANK(H535,H:H, 0) - 1) / COUNT(H:H)) + 1</f>
        <v>3</v>
      </c>
      <c r="L535">
        <f t="array" ref="L535">INT(5 * (RANK(I535,I:I, 0) - 1) / COUNT(I:I)) + 1</f>
        <v>4</v>
      </c>
      <c r="M535" t="str">
        <f t="shared" si="16"/>
        <v>134</v>
      </c>
      <c r="N535" s="6" t="str">
        <f t="shared" si="17"/>
        <v>At Risk</v>
      </c>
    </row>
    <row r="536" spans="1:14" x14ac:dyDescent="0.35">
      <c r="A536">
        <v>1205</v>
      </c>
      <c r="B536" s="4">
        <v>45543.375085336993</v>
      </c>
      <c r="C536" t="s">
        <v>10</v>
      </c>
      <c r="D536" t="s">
        <v>19</v>
      </c>
      <c r="E536" t="s">
        <v>24</v>
      </c>
      <c r="F536">
        <v>4682.34</v>
      </c>
      <c r="G536">
        <f t="array" ref="G536">SalesData!$I$2 - 'RFM Table'!B536</f>
        <v>593</v>
      </c>
      <c r="H536">
        <f t="array" ref="H536">COUNTIF(A:A,A536)</f>
        <v>6</v>
      </c>
      <c r="I536">
        <f t="array" ref="I536">SUMIF(A:A,A536,F:F)</f>
        <v>24977.25</v>
      </c>
      <c r="J536">
        <f t="array" ref="J536">5 - INT(5 * (RANK(G536,G:G, 1) - 1) / COUNT(G:G))</f>
        <v>1</v>
      </c>
      <c r="K536">
        <f t="array" ref="K536">INT(5 * (RANK(H536,H:H, 0) - 1) / COUNT(H:H)) + 1</f>
        <v>4</v>
      </c>
      <c r="L536">
        <f t="array" ref="L536">INT(5 * (RANK(I536,I:I, 0) - 1) / COUNT(I:I)) + 1</f>
        <v>4</v>
      </c>
      <c r="M536" t="str">
        <f t="shared" si="16"/>
        <v>144</v>
      </c>
      <c r="N536" s="6" t="str">
        <f t="shared" si="17"/>
        <v>At Risk</v>
      </c>
    </row>
    <row r="537" spans="1:14" x14ac:dyDescent="0.35">
      <c r="A537">
        <v>1135</v>
      </c>
      <c r="B537" s="4">
        <v>45544.375085336993</v>
      </c>
      <c r="C537" t="s">
        <v>10</v>
      </c>
      <c r="D537" t="s">
        <v>20</v>
      </c>
      <c r="E537" t="s">
        <v>23</v>
      </c>
      <c r="F537">
        <v>3307.85</v>
      </c>
      <c r="G537">
        <f t="array" ref="G537">SalesData!$I$2 - 'RFM Table'!B537</f>
        <v>592</v>
      </c>
      <c r="H537">
        <f t="array" ref="H537">COUNTIF(A:A,A537)</f>
        <v>10</v>
      </c>
      <c r="I537">
        <f t="array" ref="I537">SUMIF(A:A,A537,F:F)</f>
        <v>31217.780000000002</v>
      </c>
      <c r="J537">
        <f t="array" ref="J537">5 - INT(5 * (RANK(G537,G:G, 1) - 1) / COUNT(G:G))</f>
        <v>1</v>
      </c>
      <c r="K537">
        <f t="array" ref="K537">INT(5 * (RANK(H537,H:H, 0) - 1) / COUNT(H:H)) + 1</f>
        <v>2</v>
      </c>
      <c r="L537">
        <f t="array" ref="L537">INT(5 * (RANK(I537,I:I, 0) - 1) / COUNT(I:I)) + 1</f>
        <v>3</v>
      </c>
      <c r="M537" t="str">
        <f t="shared" si="16"/>
        <v>123</v>
      </c>
      <c r="N537" s="6" t="str">
        <f t="shared" si="17"/>
        <v>Can't Lose Them</v>
      </c>
    </row>
    <row r="538" spans="1:14" x14ac:dyDescent="0.35">
      <c r="A538">
        <v>1273</v>
      </c>
      <c r="B538" s="4">
        <v>45544.375085336993</v>
      </c>
      <c r="C538" t="s">
        <v>7</v>
      </c>
      <c r="D538" t="s">
        <v>20</v>
      </c>
      <c r="E538" t="s">
        <v>23</v>
      </c>
      <c r="F538">
        <v>4424.04</v>
      </c>
      <c r="G538">
        <f t="array" ref="G538">SalesData!$I$2 - 'RFM Table'!B538</f>
        <v>592</v>
      </c>
      <c r="H538">
        <f t="array" ref="H538">COUNTIF(A:A,A538)</f>
        <v>5</v>
      </c>
      <c r="I538">
        <f t="array" ref="I538">SUMIF(A:A,A538,F:F)</f>
        <v>20536.82</v>
      </c>
      <c r="J538">
        <f t="array" ref="J538">5 - INT(5 * (RANK(G538,G:G, 1) - 1) / COUNT(G:G))</f>
        <v>1</v>
      </c>
      <c r="K538">
        <f t="array" ref="K538">INT(5 * (RANK(H538,H:H, 0) - 1) / COUNT(H:H)) + 1</f>
        <v>5</v>
      </c>
      <c r="L538">
        <f t="array" ref="L538">INT(5 * (RANK(I538,I:I, 0) - 1) / COUNT(I:I)) + 1</f>
        <v>5</v>
      </c>
      <c r="M538" t="str">
        <f t="shared" si="16"/>
        <v>155</v>
      </c>
      <c r="N538" s="6" t="str">
        <f t="shared" si="17"/>
        <v>At Risk</v>
      </c>
    </row>
    <row r="539" spans="1:14" x14ac:dyDescent="0.35">
      <c r="A539">
        <v>1322</v>
      </c>
      <c r="B539" s="4">
        <v>45544.375085336993</v>
      </c>
      <c r="C539" t="s">
        <v>8</v>
      </c>
      <c r="D539" t="s">
        <v>16</v>
      </c>
      <c r="E539" t="s">
        <v>25</v>
      </c>
      <c r="F539">
        <v>1748.66</v>
      </c>
      <c r="G539">
        <f t="array" ref="G539">SalesData!$I$2 - 'RFM Table'!B539</f>
        <v>592</v>
      </c>
      <c r="H539">
        <f t="array" ref="H539">COUNTIF(A:A,A539)</f>
        <v>8</v>
      </c>
      <c r="I539">
        <f t="array" ref="I539">SUMIF(A:A,A539,F:F)</f>
        <v>30924.840000000004</v>
      </c>
      <c r="J539">
        <f t="array" ref="J539">5 - INT(5 * (RANK(G539,G:G, 1) - 1) / COUNT(G:G))</f>
        <v>1</v>
      </c>
      <c r="K539">
        <f t="array" ref="K539">INT(5 * (RANK(H539,H:H, 0) - 1) / COUNT(H:H)) + 1</f>
        <v>3</v>
      </c>
      <c r="L539">
        <f t="array" ref="L539">INT(5 * (RANK(I539,I:I, 0) - 1) / COUNT(I:I)) + 1</f>
        <v>3</v>
      </c>
      <c r="M539" t="str">
        <f t="shared" si="16"/>
        <v>133</v>
      </c>
      <c r="N539" s="6" t="str">
        <f t="shared" si="17"/>
        <v>At Risk</v>
      </c>
    </row>
    <row r="540" spans="1:14" x14ac:dyDescent="0.35">
      <c r="A540">
        <v>1302</v>
      </c>
      <c r="B540" s="4">
        <v>45544.375085336993</v>
      </c>
      <c r="C540" t="s">
        <v>10</v>
      </c>
      <c r="D540" t="s">
        <v>19</v>
      </c>
      <c r="E540" t="s">
        <v>23</v>
      </c>
      <c r="F540">
        <v>3758.04</v>
      </c>
      <c r="G540">
        <f t="array" ref="G540">SalesData!$I$2 - 'RFM Table'!B540</f>
        <v>592</v>
      </c>
      <c r="H540">
        <f t="array" ref="H540">COUNTIF(A:A,A540)</f>
        <v>13</v>
      </c>
      <c r="I540">
        <f t="array" ref="I540">SUMIF(A:A,A540,F:F)</f>
        <v>51409.87</v>
      </c>
      <c r="J540">
        <f t="array" ref="J540">5 - INT(5 * (RANK(G540,G:G, 1) - 1) / COUNT(G:G))</f>
        <v>1</v>
      </c>
      <c r="K540">
        <f t="array" ref="K540">INT(5 * (RANK(H540,H:H, 0) - 1) / COUNT(H:H)) + 1</f>
        <v>1</v>
      </c>
      <c r="L540">
        <f t="array" ref="L540">INT(5 * (RANK(I540,I:I, 0) - 1) / COUNT(I:I)) + 1</f>
        <v>1</v>
      </c>
      <c r="M540" t="str">
        <f t="shared" si="16"/>
        <v>111</v>
      </c>
      <c r="N540" s="6" t="str">
        <f t="shared" si="17"/>
        <v>Lost</v>
      </c>
    </row>
    <row r="541" spans="1:14" x14ac:dyDescent="0.35">
      <c r="A541">
        <v>1311</v>
      </c>
      <c r="B541" s="4">
        <v>45544.375085336993</v>
      </c>
      <c r="C541" t="s">
        <v>10</v>
      </c>
      <c r="D541" t="s">
        <v>18</v>
      </c>
      <c r="E541" t="s">
        <v>23</v>
      </c>
      <c r="F541">
        <v>3694.87</v>
      </c>
      <c r="G541">
        <f t="array" ref="G541">SalesData!$I$2 - 'RFM Table'!B541</f>
        <v>592</v>
      </c>
      <c r="H541">
        <f t="array" ref="H541">COUNTIF(A:A,A541)</f>
        <v>8</v>
      </c>
      <c r="I541">
        <f t="array" ref="I541">SUMIF(A:A,A541,F:F)</f>
        <v>37668.22</v>
      </c>
      <c r="J541">
        <f t="array" ref="J541">5 - INT(5 * (RANK(G541,G:G, 1) - 1) / COUNT(G:G))</f>
        <v>1</v>
      </c>
      <c r="K541">
        <f t="array" ref="K541">INT(5 * (RANK(H541,H:H, 0) - 1) / COUNT(H:H)) + 1</f>
        <v>3</v>
      </c>
      <c r="L541">
        <f t="array" ref="L541">INT(5 * (RANK(I541,I:I, 0) - 1) / COUNT(I:I)) + 1</f>
        <v>2</v>
      </c>
      <c r="M541" t="str">
        <f t="shared" si="16"/>
        <v>132</v>
      </c>
      <c r="N541" s="6" t="str">
        <f t="shared" si="17"/>
        <v>Others</v>
      </c>
    </row>
    <row r="542" spans="1:14" x14ac:dyDescent="0.35">
      <c r="A542">
        <v>1124</v>
      </c>
      <c r="B542" s="4">
        <v>45544.375085336993</v>
      </c>
      <c r="C542" t="s">
        <v>10</v>
      </c>
      <c r="D542" t="s">
        <v>17</v>
      </c>
      <c r="E542" t="s">
        <v>24</v>
      </c>
      <c r="F542">
        <v>1972.19</v>
      </c>
      <c r="G542">
        <f t="array" ref="G542">SalesData!$I$2 - 'RFM Table'!B542</f>
        <v>592</v>
      </c>
      <c r="H542">
        <f t="array" ref="H542">COUNTIF(A:A,A542)</f>
        <v>5</v>
      </c>
      <c r="I542">
        <f t="array" ref="I542">SUMIF(A:A,A542,F:F)</f>
        <v>29381.64</v>
      </c>
      <c r="J542">
        <f t="array" ref="J542">5 - INT(5 * (RANK(G542,G:G, 1) - 1) / COUNT(G:G))</f>
        <v>1</v>
      </c>
      <c r="K542">
        <f t="array" ref="K542">INT(5 * (RANK(H542,H:H, 0) - 1) / COUNT(H:H)) + 1</f>
        <v>5</v>
      </c>
      <c r="L542">
        <f t="array" ref="L542">INT(5 * (RANK(I542,I:I, 0) - 1) / COUNT(I:I)) + 1</f>
        <v>4</v>
      </c>
      <c r="M542" t="str">
        <f t="shared" si="16"/>
        <v>154</v>
      </c>
      <c r="N542" s="6" t="str">
        <f t="shared" si="17"/>
        <v>At Risk</v>
      </c>
    </row>
    <row r="543" spans="1:14" x14ac:dyDescent="0.35">
      <c r="A543">
        <v>1046</v>
      </c>
      <c r="B543" s="4">
        <v>45544.375085336993</v>
      </c>
      <c r="C543" t="s">
        <v>11</v>
      </c>
      <c r="D543" t="s">
        <v>19</v>
      </c>
      <c r="E543" t="s">
        <v>24</v>
      </c>
      <c r="F543">
        <v>3838.32</v>
      </c>
      <c r="G543">
        <f t="array" ref="G543">SalesData!$I$2 - 'RFM Table'!B543</f>
        <v>592</v>
      </c>
      <c r="H543">
        <f t="array" ref="H543">COUNTIF(A:A,A543)</f>
        <v>9</v>
      </c>
      <c r="I543">
        <f t="array" ref="I543">SUMIF(A:A,A543,F:F)</f>
        <v>26580.030000000002</v>
      </c>
      <c r="J543">
        <f t="array" ref="J543">5 - INT(5 * (RANK(G543,G:G, 1) - 1) / COUNT(G:G))</f>
        <v>1</v>
      </c>
      <c r="K543">
        <f t="array" ref="K543">INT(5 * (RANK(H543,H:H, 0) - 1) / COUNT(H:H)) + 1</f>
        <v>2</v>
      </c>
      <c r="L543">
        <f t="array" ref="L543">INT(5 * (RANK(I543,I:I, 0) - 1) / COUNT(I:I)) + 1</f>
        <v>4</v>
      </c>
      <c r="M543" t="str">
        <f t="shared" si="16"/>
        <v>124</v>
      </c>
      <c r="N543" s="6" t="str">
        <f t="shared" si="17"/>
        <v>Can't Lose Them</v>
      </c>
    </row>
    <row r="544" spans="1:14" x14ac:dyDescent="0.35">
      <c r="A544">
        <v>1223</v>
      </c>
      <c r="B544" s="4">
        <v>45545.375085336993</v>
      </c>
      <c r="C544" t="s">
        <v>10</v>
      </c>
      <c r="D544" t="s">
        <v>22</v>
      </c>
      <c r="E544" t="s">
        <v>25</v>
      </c>
      <c r="F544">
        <v>1235.68</v>
      </c>
      <c r="G544">
        <f t="array" ref="G544">SalesData!$I$2 - 'RFM Table'!B544</f>
        <v>591</v>
      </c>
      <c r="H544">
        <f t="array" ref="H544">COUNTIF(A:A,A544)</f>
        <v>12</v>
      </c>
      <c r="I544">
        <f t="array" ref="I544">SUMIF(A:A,A544,F:F)</f>
        <v>40797.409999999996</v>
      </c>
      <c r="J544">
        <f t="array" ref="J544">5 - INT(5 * (RANK(G544,G:G, 1) - 1) / COUNT(G:G))</f>
        <v>1</v>
      </c>
      <c r="K544">
        <f t="array" ref="K544">INT(5 * (RANK(H544,H:H, 0) - 1) / COUNT(H:H)) + 1</f>
        <v>1</v>
      </c>
      <c r="L544">
        <f t="array" ref="L544">INT(5 * (RANK(I544,I:I, 0) - 1) / COUNT(I:I)) + 1</f>
        <v>2</v>
      </c>
      <c r="M544" t="str">
        <f t="shared" si="16"/>
        <v>112</v>
      </c>
      <c r="N544" s="6" t="str">
        <f t="shared" si="17"/>
        <v>Lost</v>
      </c>
    </row>
    <row r="545" spans="1:14" x14ac:dyDescent="0.35">
      <c r="A545">
        <v>1065</v>
      </c>
      <c r="B545" s="4">
        <v>45545.375085336993</v>
      </c>
      <c r="C545" t="s">
        <v>8</v>
      </c>
      <c r="D545" t="s">
        <v>16</v>
      </c>
      <c r="E545" t="s">
        <v>24</v>
      </c>
      <c r="F545">
        <v>4652.12</v>
      </c>
      <c r="G545">
        <f t="array" ref="G545">SalesData!$I$2 - 'RFM Table'!B545</f>
        <v>591</v>
      </c>
      <c r="H545">
        <f t="array" ref="H545">COUNTIF(A:A,A545)</f>
        <v>7</v>
      </c>
      <c r="I545">
        <f t="array" ref="I545">SUMIF(A:A,A545,F:F)</f>
        <v>25155.31</v>
      </c>
      <c r="J545">
        <f t="array" ref="J545">5 - INT(5 * (RANK(G545,G:G, 1) - 1) / COUNT(G:G))</f>
        <v>1</v>
      </c>
      <c r="K545">
        <f t="array" ref="K545">INT(5 * (RANK(H545,H:H, 0) - 1) / COUNT(H:H)) + 1</f>
        <v>4</v>
      </c>
      <c r="L545">
        <f t="array" ref="L545">INT(5 * (RANK(I545,I:I, 0) - 1) / COUNT(I:I)) + 1</f>
        <v>4</v>
      </c>
      <c r="M545" t="str">
        <f t="shared" si="16"/>
        <v>144</v>
      </c>
      <c r="N545" s="6" t="str">
        <f t="shared" si="17"/>
        <v>At Risk</v>
      </c>
    </row>
    <row r="546" spans="1:14" x14ac:dyDescent="0.35">
      <c r="A546">
        <v>1143</v>
      </c>
      <c r="B546" s="4">
        <v>45545.375085336993</v>
      </c>
      <c r="C546" t="s">
        <v>8</v>
      </c>
      <c r="D546" t="s">
        <v>17</v>
      </c>
      <c r="E546" t="s">
        <v>25</v>
      </c>
      <c r="F546">
        <v>2736.81</v>
      </c>
      <c r="G546">
        <f t="array" ref="G546">SalesData!$I$2 - 'RFM Table'!B546</f>
        <v>591</v>
      </c>
      <c r="H546">
        <f t="array" ref="H546">COUNTIF(A:A,A546)</f>
        <v>11</v>
      </c>
      <c r="I546">
        <f t="array" ref="I546">SUMIF(A:A,A546,F:F)</f>
        <v>44004.459999999992</v>
      </c>
      <c r="J546">
        <f t="array" ref="J546">5 - INT(5 * (RANK(G546,G:G, 1) - 1) / COUNT(G:G))</f>
        <v>1</v>
      </c>
      <c r="K546">
        <f t="array" ref="K546">INT(5 * (RANK(H546,H:H, 0) - 1) / COUNT(H:H)) + 1</f>
        <v>1</v>
      </c>
      <c r="L546">
        <f t="array" ref="L546">INT(5 * (RANK(I546,I:I, 0) - 1) / COUNT(I:I)) + 1</f>
        <v>2</v>
      </c>
      <c r="M546" t="str">
        <f t="shared" si="16"/>
        <v>112</v>
      </c>
      <c r="N546" s="6" t="str">
        <f t="shared" si="17"/>
        <v>Lost</v>
      </c>
    </row>
    <row r="547" spans="1:14" x14ac:dyDescent="0.35">
      <c r="A547">
        <v>1311</v>
      </c>
      <c r="B547" s="4">
        <v>45545.375085336993</v>
      </c>
      <c r="C547" t="s">
        <v>12</v>
      </c>
      <c r="D547" t="s">
        <v>17</v>
      </c>
      <c r="E547" t="s">
        <v>24</v>
      </c>
      <c r="F547">
        <v>3846.03</v>
      </c>
      <c r="G547">
        <f t="array" ref="G547">SalesData!$I$2 - 'RFM Table'!B547</f>
        <v>591</v>
      </c>
      <c r="H547">
        <f t="array" ref="H547">COUNTIF(A:A,A547)</f>
        <v>8</v>
      </c>
      <c r="I547">
        <f t="array" ref="I547">SUMIF(A:A,A547,F:F)</f>
        <v>37668.22</v>
      </c>
      <c r="J547">
        <f t="array" ref="J547">5 - INT(5 * (RANK(G547,G:G, 1) - 1) / COUNT(G:G))</f>
        <v>1</v>
      </c>
      <c r="K547">
        <f t="array" ref="K547">INT(5 * (RANK(H547,H:H, 0) - 1) / COUNT(H:H)) + 1</f>
        <v>3</v>
      </c>
      <c r="L547">
        <f t="array" ref="L547">INT(5 * (RANK(I547,I:I, 0) - 1) / COUNT(I:I)) + 1</f>
        <v>2</v>
      </c>
      <c r="M547" t="str">
        <f t="shared" si="16"/>
        <v>132</v>
      </c>
      <c r="N547" s="6" t="str">
        <f t="shared" si="17"/>
        <v>Others</v>
      </c>
    </row>
    <row r="548" spans="1:14" x14ac:dyDescent="0.35">
      <c r="A548">
        <v>1077</v>
      </c>
      <c r="B548" s="4">
        <v>45545.375085336993</v>
      </c>
      <c r="C548" t="s">
        <v>6</v>
      </c>
      <c r="D548" t="s">
        <v>19</v>
      </c>
      <c r="E548" t="s">
        <v>24</v>
      </c>
      <c r="F548">
        <v>932.71</v>
      </c>
      <c r="G548">
        <f t="array" ref="G548">SalesData!$I$2 - 'RFM Table'!B548</f>
        <v>591</v>
      </c>
      <c r="H548">
        <f t="array" ref="H548">COUNTIF(A:A,A548)</f>
        <v>8</v>
      </c>
      <c r="I548">
        <f t="array" ref="I548">SUMIF(A:A,A548,F:F)</f>
        <v>28309.71</v>
      </c>
      <c r="J548">
        <f t="array" ref="J548">5 - INT(5 * (RANK(G548,G:G, 1) - 1) / COUNT(G:G))</f>
        <v>1</v>
      </c>
      <c r="K548">
        <f t="array" ref="K548">INT(5 * (RANK(H548,H:H, 0) - 1) / COUNT(H:H)) + 1</f>
        <v>3</v>
      </c>
      <c r="L548">
        <f t="array" ref="L548">INT(5 * (RANK(I548,I:I, 0) - 1) / COUNT(I:I)) + 1</f>
        <v>4</v>
      </c>
      <c r="M548" t="str">
        <f t="shared" si="16"/>
        <v>134</v>
      </c>
      <c r="N548" s="6" t="str">
        <f t="shared" si="17"/>
        <v>At Risk</v>
      </c>
    </row>
    <row r="549" spans="1:14" x14ac:dyDescent="0.35">
      <c r="A549">
        <v>1025</v>
      </c>
      <c r="B549" s="4">
        <v>45546.375085336993</v>
      </c>
      <c r="C549" t="s">
        <v>9</v>
      </c>
      <c r="D549" t="s">
        <v>19</v>
      </c>
      <c r="E549" t="s">
        <v>25</v>
      </c>
      <c r="F549">
        <v>1483.9</v>
      </c>
      <c r="G549">
        <f t="array" ref="G549">SalesData!$I$2 - 'RFM Table'!B549</f>
        <v>590</v>
      </c>
      <c r="H549">
        <f t="array" ref="H549">COUNTIF(A:A,A549)</f>
        <v>7</v>
      </c>
      <c r="I549">
        <f t="array" ref="I549">SUMIF(A:A,A549,F:F)</f>
        <v>16120.029999999999</v>
      </c>
      <c r="J549">
        <f t="array" ref="J549">5 - INT(5 * (RANK(G549,G:G, 1) - 1) / COUNT(G:G))</f>
        <v>1</v>
      </c>
      <c r="K549">
        <f t="array" ref="K549">INT(5 * (RANK(H549,H:H, 0) - 1) / COUNT(H:H)) + 1</f>
        <v>4</v>
      </c>
      <c r="L549">
        <f t="array" ref="L549">INT(5 * (RANK(I549,I:I, 0) - 1) / COUNT(I:I)) + 1</f>
        <v>5</v>
      </c>
      <c r="M549" t="str">
        <f t="shared" si="16"/>
        <v>145</v>
      </c>
      <c r="N549" s="6" t="str">
        <f t="shared" si="17"/>
        <v>At Risk</v>
      </c>
    </row>
    <row r="550" spans="1:14" x14ac:dyDescent="0.35">
      <c r="A550">
        <v>1226</v>
      </c>
      <c r="B550" s="4">
        <v>45546.375085336993</v>
      </c>
      <c r="C550" t="s">
        <v>15</v>
      </c>
      <c r="D550" t="s">
        <v>17</v>
      </c>
      <c r="E550" t="s">
        <v>24</v>
      </c>
      <c r="F550">
        <v>2273.85</v>
      </c>
      <c r="G550">
        <f t="array" ref="G550">SalesData!$I$2 - 'RFM Table'!B550</f>
        <v>590</v>
      </c>
      <c r="H550">
        <f t="array" ref="H550">COUNTIF(A:A,A550)</f>
        <v>13</v>
      </c>
      <c r="I550">
        <f t="array" ref="I550">SUMIF(A:A,A550,F:F)</f>
        <v>49471.75</v>
      </c>
      <c r="J550">
        <f t="array" ref="J550">5 - INT(5 * (RANK(G550,G:G, 1) - 1) / COUNT(G:G))</f>
        <v>1</v>
      </c>
      <c r="K550">
        <f t="array" ref="K550">INT(5 * (RANK(H550,H:H, 0) - 1) / COUNT(H:H)) + 1</f>
        <v>1</v>
      </c>
      <c r="L550">
        <f t="array" ref="L550">INT(5 * (RANK(I550,I:I, 0) - 1) / COUNT(I:I)) + 1</f>
        <v>1</v>
      </c>
      <c r="M550" t="str">
        <f t="shared" si="16"/>
        <v>111</v>
      </c>
      <c r="N550" s="6" t="str">
        <f t="shared" si="17"/>
        <v>Lost</v>
      </c>
    </row>
    <row r="551" spans="1:14" x14ac:dyDescent="0.35">
      <c r="A551">
        <v>1041</v>
      </c>
      <c r="B551" s="4">
        <v>45546.375085336993</v>
      </c>
      <c r="C551" t="s">
        <v>9</v>
      </c>
      <c r="D551" t="s">
        <v>20</v>
      </c>
      <c r="E551" t="s">
        <v>23</v>
      </c>
      <c r="F551">
        <v>4068.3</v>
      </c>
      <c r="G551">
        <f t="array" ref="G551">SalesData!$I$2 - 'RFM Table'!B551</f>
        <v>590</v>
      </c>
      <c r="H551">
        <f t="array" ref="H551">COUNTIF(A:A,A551)</f>
        <v>12</v>
      </c>
      <c r="I551">
        <f t="array" ref="I551">SUMIF(A:A,A551,F:F)</f>
        <v>44894.799999999996</v>
      </c>
      <c r="J551">
        <f t="array" ref="J551">5 - INT(5 * (RANK(G551,G:G, 1) - 1) / COUNT(G:G))</f>
        <v>1</v>
      </c>
      <c r="K551">
        <f t="array" ref="K551">INT(5 * (RANK(H551,H:H, 0) - 1) / COUNT(H:H)) + 1</f>
        <v>1</v>
      </c>
      <c r="L551">
        <f t="array" ref="L551">INT(5 * (RANK(I551,I:I, 0) - 1) / COUNT(I:I)) + 1</f>
        <v>1</v>
      </c>
      <c r="M551" t="str">
        <f t="shared" si="16"/>
        <v>111</v>
      </c>
      <c r="N551" s="6" t="str">
        <f t="shared" si="17"/>
        <v>Lost</v>
      </c>
    </row>
    <row r="552" spans="1:14" x14ac:dyDescent="0.35">
      <c r="A552">
        <v>1133</v>
      </c>
      <c r="B552" s="4">
        <v>45546.375085336993</v>
      </c>
      <c r="C552" t="s">
        <v>8</v>
      </c>
      <c r="D552" t="s">
        <v>16</v>
      </c>
      <c r="E552" t="s">
        <v>24</v>
      </c>
      <c r="F552">
        <v>3144.87</v>
      </c>
      <c r="G552">
        <f t="array" ref="G552">SalesData!$I$2 - 'RFM Table'!B552</f>
        <v>590</v>
      </c>
      <c r="H552">
        <f t="array" ref="H552">COUNTIF(A:A,A552)</f>
        <v>8</v>
      </c>
      <c r="I552">
        <f t="array" ref="I552">SUMIF(A:A,A552,F:F)</f>
        <v>34167.589999999997</v>
      </c>
      <c r="J552">
        <f t="array" ref="J552">5 - INT(5 * (RANK(G552,G:G, 1) - 1) / COUNT(G:G))</f>
        <v>1</v>
      </c>
      <c r="K552">
        <f t="array" ref="K552">INT(5 * (RANK(H552,H:H, 0) - 1) / COUNT(H:H)) + 1</f>
        <v>3</v>
      </c>
      <c r="L552">
        <f t="array" ref="L552">INT(5 * (RANK(I552,I:I, 0) - 1) / COUNT(I:I)) + 1</f>
        <v>3</v>
      </c>
      <c r="M552" t="str">
        <f t="shared" si="16"/>
        <v>133</v>
      </c>
      <c r="N552" s="6" t="str">
        <f t="shared" si="17"/>
        <v>At Risk</v>
      </c>
    </row>
    <row r="553" spans="1:14" x14ac:dyDescent="0.35">
      <c r="A553">
        <v>1204</v>
      </c>
      <c r="B553" s="4">
        <v>45546.375085336993</v>
      </c>
      <c r="C553" t="s">
        <v>14</v>
      </c>
      <c r="D553" t="s">
        <v>16</v>
      </c>
      <c r="E553" t="s">
        <v>23</v>
      </c>
      <c r="F553">
        <v>1348.25</v>
      </c>
      <c r="G553">
        <f t="array" ref="G553">SalesData!$I$2 - 'RFM Table'!B553</f>
        <v>590</v>
      </c>
      <c r="H553">
        <f t="array" ref="H553">COUNTIF(A:A,A553)</f>
        <v>3</v>
      </c>
      <c r="I553">
        <f t="array" ref="I553">SUMIF(A:A,A553,F:F)</f>
        <v>7274.86</v>
      </c>
      <c r="J553">
        <f t="array" ref="J553">5 - INT(5 * (RANK(G553,G:G, 1) - 1) / COUNT(G:G))</f>
        <v>1</v>
      </c>
      <c r="K553">
        <f t="array" ref="K553">INT(5 * (RANK(H553,H:H, 0) - 1) / COUNT(H:H)) + 1</f>
        <v>5</v>
      </c>
      <c r="L553">
        <f t="array" ref="L553">INT(5 * (RANK(I553,I:I, 0) - 1) / COUNT(I:I)) + 1</f>
        <v>5</v>
      </c>
      <c r="M553" t="str">
        <f t="shared" si="16"/>
        <v>155</v>
      </c>
      <c r="N553" s="6" t="str">
        <f t="shared" si="17"/>
        <v>At Risk</v>
      </c>
    </row>
    <row r="554" spans="1:14" x14ac:dyDescent="0.35">
      <c r="A554">
        <v>1255</v>
      </c>
      <c r="B554" s="4">
        <v>45546.375085336993</v>
      </c>
      <c r="C554" t="s">
        <v>15</v>
      </c>
      <c r="D554" t="s">
        <v>17</v>
      </c>
      <c r="E554" t="s">
        <v>25</v>
      </c>
      <c r="F554">
        <v>3300.37</v>
      </c>
      <c r="G554">
        <f t="array" ref="G554">SalesData!$I$2 - 'RFM Table'!B554</f>
        <v>590</v>
      </c>
      <c r="H554">
        <f t="array" ref="H554">COUNTIF(A:A,A554)</f>
        <v>8</v>
      </c>
      <c r="I554">
        <f t="array" ref="I554">SUMIF(A:A,A554,F:F)</f>
        <v>33838.019999999997</v>
      </c>
      <c r="J554">
        <f t="array" ref="J554">5 - INT(5 * (RANK(G554,G:G, 1) - 1) / COUNT(G:G))</f>
        <v>1</v>
      </c>
      <c r="K554">
        <f t="array" ref="K554">INT(5 * (RANK(H554,H:H, 0) - 1) / COUNT(H:H)) + 1</f>
        <v>3</v>
      </c>
      <c r="L554">
        <f t="array" ref="L554">INT(5 * (RANK(I554,I:I, 0) - 1) / COUNT(I:I)) + 1</f>
        <v>3</v>
      </c>
      <c r="M554" t="str">
        <f t="shared" si="16"/>
        <v>133</v>
      </c>
      <c r="N554" s="6" t="str">
        <f t="shared" si="17"/>
        <v>At Risk</v>
      </c>
    </row>
    <row r="555" spans="1:14" x14ac:dyDescent="0.35">
      <c r="A555">
        <v>1358</v>
      </c>
      <c r="B555" s="4">
        <v>45546.375085336993</v>
      </c>
      <c r="C555" t="s">
        <v>14</v>
      </c>
      <c r="D555" t="s">
        <v>20</v>
      </c>
      <c r="E555" t="s">
        <v>23</v>
      </c>
      <c r="F555">
        <v>2573.79</v>
      </c>
      <c r="G555">
        <f t="array" ref="G555">SalesData!$I$2 - 'RFM Table'!B555</f>
        <v>590</v>
      </c>
      <c r="H555">
        <f t="array" ref="H555">COUNTIF(A:A,A555)</f>
        <v>9</v>
      </c>
      <c r="I555">
        <f t="array" ref="I555">SUMIF(A:A,A555,F:F)</f>
        <v>29151.88</v>
      </c>
      <c r="J555">
        <f t="array" ref="J555">5 - INT(5 * (RANK(G555,G:G, 1) - 1) / COUNT(G:G))</f>
        <v>1</v>
      </c>
      <c r="K555">
        <f t="array" ref="K555">INT(5 * (RANK(H555,H:H, 0) - 1) / COUNT(H:H)) + 1</f>
        <v>2</v>
      </c>
      <c r="L555">
        <f t="array" ref="L555">INT(5 * (RANK(I555,I:I, 0) - 1) / COUNT(I:I)) + 1</f>
        <v>4</v>
      </c>
      <c r="M555" t="str">
        <f t="shared" si="16"/>
        <v>124</v>
      </c>
      <c r="N555" s="6" t="str">
        <f t="shared" si="17"/>
        <v>Can't Lose Them</v>
      </c>
    </row>
    <row r="556" spans="1:14" x14ac:dyDescent="0.35">
      <c r="A556">
        <v>1359</v>
      </c>
      <c r="B556" s="4">
        <v>45546.375085336993</v>
      </c>
      <c r="C556" t="s">
        <v>11</v>
      </c>
      <c r="D556" t="s">
        <v>21</v>
      </c>
      <c r="E556" t="s">
        <v>23</v>
      </c>
      <c r="F556">
        <v>4354.3999999999996</v>
      </c>
      <c r="G556">
        <f t="array" ref="G556">SalesData!$I$2 - 'RFM Table'!B556</f>
        <v>590</v>
      </c>
      <c r="H556">
        <f t="array" ref="H556">COUNTIF(A:A,A556)</f>
        <v>13</v>
      </c>
      <c r="I556">
        <f t="array" ref="I556">SUMIF(A:A,A556,F:F)</f>
        <v>40402.14</v>
      </c>
      <c r="J556">
        <f t="array" ref="J556">5 - INT(5 * (RANK(G556,G:G, 1) - 1) / COUNT(G:G))</f>
        <v>1</v>
      </c>
      <c r="K556">
        <f t="array" ref="K556">INT(5 * (RANK(H556,H:H, 0) - 1) / COUNT(H:H)) + 1</f>
        <v>1</v>
      </c>
      <c r="L556">
        <f t="array" ref="L556">INT(5 * (RANK(I556,I:I, 0) - 1) / COUNT(I:I)) + 1</f>
        <v>2</v>
      </c>
      <c r="M556" t="str">
        <f t="shared" si="16"/>
        <v>112</v>
      </c>
      <c r="N556" s="6" t="str">
        <f t="shared" si="17"/>
        <v>Lost</v>
      </c>
    </row>
    <row r="557" spans="1:14" x14ac:dyDescent="0.35">
      <c r="A557">
        <v>1032</v>
      </c>
      <c r="B557" s="4">
        <v>45547.375085336993</v>
      </c>
      <c r="C557" t="s">
        <v>13</v>
      </c>
      <c r="D557" t="s">
        <v>17</v>
      </c>
      <c r="E557" t="s">
        <v>24</v>
      </c>
      <c r="F557">
        <v>2541.35</v>
      </c>
      <c r="G557">
        <f t="array" ref="G557">SalesData!$I$2 - 'RFM Table'!B557</f>
        <v>589</v>
      </c>
      <c r="H557">
        <f t="array" ref="H557">COUNTIF(A:A,A557)</f>
        <v>4</v>
      </c>
      <c r="I557">
        <f t="array" ref="I557">SUMIF(A:A,A557,F:F)</f>
        <v>24173.510000000002</v>
      </c>
      <c r="J557">
        <f t="array" ref="J557">5 - INT(5 * (RANK(G557,G:G, 1) - 1) / COUNT(G:G))</f>
        <v>1</v>
      </c>
      <c r="K557">
        <f t="array" ref="K557">INT(5 * (RANK(H557,H:H, 0) - 1) / COUNT(H:H)) + 1</f>
        <v>5</v>
      </c>
      <c r="L557">
        <f t="array" ref="L557">INT(5 * (RANK(I557,I:I, 0) - 1) / COUNT(I:I)) + 1</f>
        <v>4</v>
      </c>
      <c r="M557" t="str">
        <f t="shared" si="16"/>
        <v>154</v>
      </c>
      <c r="N557" s="6" t="str">
        <f t="shared" si="17"/>
        <v>At Risk</v>
      </c>
    </row>
    <row r="558" spans="1:14" x14ac:dyDescent="0.35">
      <c r="A558">
        <v>1171</v>
      </c>
      <c r="B558" s="4">
        <v>45547.375085336993</v>
      </c>
      <c r="C558" t="s">
        <v>10</v>
      </c>
      <c r="D558" t="s">
        <v>17</v>
      </c>
      <c r="E558" t="s">
        <v>23</v>
      </c>
      <c r="F558">
        <v>5226.6899999999996</v>
      </c>
      <c r="G558">
        <f t="array" ref="G558">SalesData!$I$2 - 'RFM Table'!B558</f>
        <v>589</v>
      </c>
      <c r="H558">
        <f t="array" ref="H558">COUNTIF(A:A,A558)</f>
        <v>9</v>
      </c>
      <c r="I558">
        <f t="array" ref="I558">SUMIF(A:A,A558,F:F)</f>
        <v>40942.560000000005</v>
      </c>
      <c r="J558">
        <f t="array" ref="J558">5 - INT(5 * (RANK(G558,G:G, 1) - 1) / COUNT(G:G))</f>
        <v>1</v>
      </c>
      <c r="K558">
        <f t="array" ref="K558">INT(5 * (RANK(H558,H:H, 0) - 1) / COUNT(H:H)) + 1</f>
        <v>2</v>
      </c>
      <c r="L558">
        <f t="array" ref="L558">INT(5 * (RANK(I558,I:I, 0) - 1) / COUNT(I:I)) + 1</f>
        <v>2</v>
      </c>
      <c r="M558" t="str">
        <f t="shared" si="16"/>
        <v>122</v>
      </c>
      <c r="N558" s="6" t="str">
        <f t="shared" si="17"/>
        <v>Lost</v>
      </c>
    </row>
    <row r="559" spans="1:14" x14ac:dyDescent="0.35">
      <c r="A559">
        <v>1047</v>
      </c>
      <c r="B559" s="4">
        <v>45547.375085336993</v>
      </c>
      <c r="C559" t="s">
        <v>6</v>
      </c>
      <c r="D559" t="s">
        <v>19</v>
      </c>
      <c r="E559" t="s">
        <v>24</v>
      </c>
      <c r="F559">
        <v>1206.8</v>
      </c>
      <c r="G559">
        <f t="array" ref="G559">SalesData!$I$2 - 'RFM Table'!B559</f>
        <v>589</v>
      </c>
      <c r="H559">
        <f t="array" ref="H559">COUNTIF(A:A,A559)</f>
        <v>4</v>
      </c>
      <c r="I559">
        <f t="array" ref="I559">SUMIF(A:A,A559,F:F)</f>
        <v>16102.51</v>
      </c>
      <c r="J559">
        <f t="array" ref="J559">5 - INT(5 * (RANK(G559,G:G, 1) - 1) / COUNT(G:G))</f>
        <v>1</v>
      </c>
      <c r="K559">
        <f t="array" ref="K559">INT(5 * (RANK(H559,H:H, 0) - 1) / COUNT(H:H)) + 1</f>
        <v>5</v>
      </c>
      <c r="L559">
        <f t="array" ref="L559">INT(5 * (RANK(I559,I:I, 0) - 1) / COUNT(I:I)) + 1</f>
        <v>5</v>
      </c>
      <c r="M559" t="str">
        <f t="shared" si="16"/>
        <v>155</v>
      </c>
      <c r="N559" s="6" t="str">
        <f t="shared" si="17"/>
        <v>At Risk</v>
      </c>
    </row>
    <row r="560" spans="1:14" x14ac:dyDescent="0.35">
      <c r="A560">
        <v>1333</v>
      </c>
      <c r="B560" s="4">
        <v>45548.375085336993</v>
      </c>
      <c r="C560" t="s">
        <v>7</v>
      </c>
      <c r="D560" t="s">
        <v>17</v>
      </c>
      <c r="E560" t="s">
        <v>24</v>
      </c>
      <c r="F560">
        <v>181.25</v>
      </c>
      <c r="G560">
        <f t="array" ref="G560">SalesData!$I$2 - 'RFM Table'!B560</f>
        <v>588</v>
      </c>
      <c r="H560">
        <f t="array" ref="H560">COUNTIF(A:A,A560)</f>
        <v>6</v>
      </c>
      <c r="I560">
        <f t="array" ref="I560">SUMIF(A:A,A560,F:F)</f>
        <v>12410.619999999999</v>
      </c>
      <c r="J560">
        <f t="array" ref="J560">5 - INT(5 * (RANK(G560,G:G, 1) - 1) / COUNT(G:G))</f>
        <v>1</v>
      </c>
      <c r="K560">
        <f t="array" ref="K560">INT(5 * (RANK(H560,H:H, 0) - 1) / COUNT(H:H)) + 1</f>
        <v>4</v>
      </c>
      <c r="L560">
        <f t="array" ref="L560">INT(5 * (RANK(I560,I:I, 0) - 1) / COUNT(I:I)) + 1</f>
        <v>5</v>
      </c>
      <c r="M560" t="str">
        <f t="shared" si="16"/>
        <v>145</v>
      </c>
      <c r="N560" s="6" t="str">
        <f t="shared" si="17"/>
        <v>At Risk</v>
      </c>
    </row>
    <row r="561" spans="1:14" x14ac:dyDescent="0.35">
      <c r="A561">
        <v>1041</v>
      </c>
      <c r="B561" s="4">
        <v>45548.375085336993</v>
      </c>
      <c r="C561" t="s">
        <v>9</v>
      </c>
      <c r="D561" t="s">
        <v>22</v>
      </c>
      <c r="E561" t="s">
        <v>25</v>
      </c>
      <c r="F561">
        <v>2431.41</v>
      </c>
      <c r="G561">
        <f t="array" ref="G561">SalesData!$I$2 - 'RFM Table'!B561</f>
        <v>588</v>
      </c>
      <c r="H561">
        <f t="array" ref="H561">COUNTIF(A:A,A561)</f>
        <v>12</v>
      </c>
      <c r="I561">
        <f t="array" ref="I561">SUMIF(A:A,A561,F:F)</f>
        <v>44894.799999999996</v>
      </c>
      <c r="J561">
        <f t="array" ref="J561">5 - INT(5 * (RANK(G561,G:G, 1) - 1) / COUNT(G:G))</f>
        <v>1</v>
      </c>
      <c r="K561">
        <f t="array" ref="K561">INT(5 * (RANK(H561,H:H, 0) - 1) / COUNT(H:H)) + 1</f>
        <v>1</v>
      </c>
      <c r="L561">
        <f t="array" ref="L561">INT(5 * (RANK(I561,I:I, 0) - 1) / COUNT(I:I)) + 1</f>
        <v>1</v>
      </c>
      <c r="M561" t="str">
        <f t="shared" si="16"/>
        <v>111</v>
      </c>
      <c r="N561" s="6" t="str">
        <f t="shared" si="17"/>
        <v>Lost</v>
      </c>
    </row>
    <row r="562" spans="1:14" x14ac:dyDescent="0.35">
      <c r="A562">
        <v>1021</v>
      </c>
      <c r="B562" s="4">
        <v>45548.375085336993</v>
      </c>
      <c r="C562" t="s">
        <v>9</v>
      </c>
      <c r="D562" t="s">
        <v>16</v>
      </c>
      <c r="E562" t="s">
        <v>25</v>
      </c>
      <c r="F562">
        <v>4938.75</v>
      </c>
      <c r="G562">
        <f t="array" ref="G562">SalesData!$I$2 - 'RFM Table'!B562</f>
        <v>588</v>
      </c>
      <c r="H562">
        <f t="array" ref="H562">COUNTIF(A:A,A562)</f>
        <v>7</v>
      </c>
      <c r="I562">
        <f t="array" ref="I562">SUMIF(A:A,A562,F:F)</f>
        <v>13087.390000000001</v>
      </c>
      <c r="J562">
        <f t="array" ref="J562">5 - INT(5 * (RANK(G562,G:G, 1) - 1) / COUNT(G:G))</f>
        <v>1</v>
      </c>
      <c r="K562">
        <f t="array" ref="K562">INT(5 * (RANK(H562,H:H, 0) - 1) / COUNT(H:H)) + 1</f>
        <v>4</v>
      </c>
      <c r="L562">
        <f t="array" ref="L562">INT(5 * (RANK(I562,I:I, 0) - 1) / COUNT(I:I)) + 1</f>
        <v>5</v>
      </c>
      <c r="M562" t="str">
        <f t="shared" si="16"/>
        <v>145</v>
      </c>
      <c r="N562" s="6" t="str">
        <f t="shared" si="17"/>
        <v>At Risk</v>
      </c>
    </row>
    <row r="563" spans="1:14" x14ac:dyDescent="0.35">
      <c r="A563">
        <v>1166</v>
      </c>
      <c r="B563" s="4">
        <v>45548.375085336993</v>
      </c>
      <c r="C563" t="s">
        <v>14</v>
      </c>
      <c r="D563" t="s">
        <v>16</v>
      </c>
      <c r="E563" t="s">
        <v>24</v>
      </c>
      <c r="F563">
        <v>4051.83</v>
      </c>
      <c r="G563">
        <f t="array" ref="G563">SalesData!$I$2 - 'RFM Table'!B563</f>
        <v>588</v>
      </c>
      <c r="H563">
        <f t="array" ref="H563">COUNTIF(A:A,A563)</f>
        <v>5</v>
      </c>
      <c r="I563">
        <f t="array" ref="I563">SUMIF(A:A,A563,F:F)</f>
        <v>23179.78</v>
      </c>
      <c r="J563">
        <f t="array" ref="J563">5 - INT(5 * (RANK(G563,G:G, 1) - 1) / COUNT(G:G))</f>
        <v>1</v>
      </c>
      <c r="K563">
        <f t="array" ref="K563">INT(5 * (RANK(H563,H:H, 0) - 1) / COUNT(H:H)) + 1</f>
        <v>5</v>
      </c>
      <c r="L563">
        <f t="array" ref="L563">INT(5 * (RANK(I563,I:I, 0) - 1) / COUNT(I:I)) + 1</f>
        <v>4</v>
      </c>
      <c r="M563" t="str">
        <f t="shared" si="16"/>
        <v>154</v>
      </c>
      <c r="N563" s="6" t="str">
        <f t="shared" si="17"/>
        <v>At Risk</v>
      </c>
    </row>
    <row r="564" spans="1:14" x14ac:dyDescent="0.35">
      <c r="A564">
        <v>1160</v>
      </c>
      <c r="B564" s="4">
        <v>45549.375085336993</v>
      </c>
      <c r="C564" t="s">
        <v>15</v>
      </c>
      <c r="D564" t="s">
        <v>21</v>
      </c>
      <c r="E564" t="s">
        <v>23</v>
      </c>
      <c r="F564">
        <v>4593.45</v>
      </c>
      <c r="G564">
        <f t="array" ref="G564">SalesData!$I$2 - 'RFM Table'!B564</f>
        <v>587</v>
      </c>
      <c r="H564">
        <f t="array" ref="H564">COUNTIF(A:A,A564)</f>
        <v>13</v>
      </c>
      <c r="I564">
        <f t="array" ref="I564">SUMIF(A:A,A564,F:F)</f>
        <v>56128.799999999996</v>
      </c>
      <c r="J564">
        <f t="array" ref="J564">5 - INT(5 * (RANK(G564,G:G, 1) - 1) / COUNT(G:G))</f>
        <v>1</v>
      </c>
      <c r="K564">
        <f t="array" ref="K564">INT(5 * (RANK(H564,H:H, 0) - 1) / COUNT(H:H)) + 1</f>
        <v>1</v>
      </c>
      <c r="L564">
        <f t="array" ref="L564">INT(5 * (RANK(I564,I:I, 0) - 1) / COUNT(I:I)) + 1</f>
        <v>1</v>
      </c>
      <c r="M564" t="str">
        <f t="shared" si="16"/>
        <v>111</v>
      </c>
      <c r="N564" s="6" t="str">
        <f t="shared" si="17"/>
        <v>Lost</v>
      </c>
    </row>
    <row r="565" spans="1:14" x14ac:dyDescent="0.35">
      <c r="A565">
        <v>1235</v>
      </c>
      <c r="B565" s="4">
        <v>45549.375085336993</v>
      </c>
      <c r="C565" t="s">
        <v>14</v>
      </c>
      <c r="D565" t="s">
        <v>17</v>
      </c>
      <c r="E565" t="s">
        <v>23</v>
      </c>
      <c r="F565">
        <v>3020.23</v>
      </c>
      <c r="G565">
        <f t="array" ref="G565">SalesData!$I$2 - 'RFM Table'!B565</f>
        <v>587</v>
      </c>
      <c r="H565">
        <f t="array" ref="H565">COUNTIF(A:A,A565)</f>
        <v>9</v>
      </c>
      <c r="I565">
        <f t="array" ref="I565">SUMIF(A:A,A565,F:F)</f>
        <v>30846.7</v>
      </c>
      <c r="J565">
        <f t="array" ref="J565">5 - INT(5 * (RANK(G565,G:G, 1) - 1) / COUNT(G:G))</f>
        <v>1</v>
      </c>
      <c r="K565">
        <f t="array" ref="K565">INT(5 * (RANK(H565,H:H, 0) - 1) / COUNT(H:H)) + 1</f>
        <v>2</v>
      </c>
      <c r="L565">
        <f t="array" ref="L565">INT(5 * (RANK(I565,I:I, 0) - 1) / COUNT(I:I)) + 1</f>
        <v>3</v>
      </c>
      <c r="M565" t="str">
        <f t="shared" si="16"/>
        <v>123</v>
      </c>
      <c r="N565" s="6" t="str">
        <f t="shared" si="17"/>
        <v>Can't Lose Them</v>
      </c>
    </row>
    <row r="566" spans="1:14" x14ac:dyDescent="0.35">
      <c r="A566">
        <v>1283</v>
      </c>
      <c r="B566" s="4">
        <v>45549.375085336993</v>
      </c>
      <c r="C566" t="s">
        <v>12</v>
      </c>
      <c r="D566" t="s">
        <v>18</v>
      </c>
      <c r="E566" t="s">
        <v>24</v>
      </c>
      <c r="F566">
        <v>11447.31</v>
      </c>
      <c r="G566">
        <f t="array" ref="G566">SalesData!$I$2 - 'RFM Table'!B566</f>
        <v>587</v>
      </c>
      <c r="H566">
        <f t="array" ref="H566">COUNTIF(A:A,A566)</f>
        <v>7</v>
      </c>
      <c r="I566">
        <f t="array" ref="I566">SUMIF(A:A,A566,F:F)</f>
        <v>30708.170000000002</v>
      </c>
      <c r="J566">
        <f t="array" ref="J566">5 - INT(5 * (RANK(G566,G:G, 1) - 1) / COUNT(G:G))</f>
        <v>1</v>
      </c>
      <c r="K566">
        <f t="array" ref="K566">INT(5 * (RANK(H566,H:H, 0) - 1) / COUNT(H:H)) + 1</f>
        <v>4</v>
      </c>
      <c r="L566">
        <f t="array" ref="L566">INT(5 * (RANK(I566,I:I, 0) - 1) / COUNT(I:I)) + 1</f>
        <v>3</v>
      </c>
      <c r="M566" t="str">
        <f t="shared" si="16"/>
        <v>143</v>
      </c>
      <c r="N566" s="6" t="str">
        <f t="shared" si="17"/>
        <v>At Risk</v>
      </c>
    </row>
    <row r="567" spans="1:14" x14ac:dyDescent="0.35">
      <c r="A567">
        <v>1131</v>
      </c>
      <c r="B567" s="4">
        <v>45549.375085336993</v>
      </c>
      <c r="C567" t="s">
        <v>8</v>
      </c>
      <c r="D567" t="s">
        <v>20</v>
      </c>
      <c r="E567" t="s">
        <v>24</v>
      </c>
      <c r="F567">
        <v>1702.85</v>
      </c>
      <c r="G567">
        <f t="array" ref="G567">SalesData!$I$2 - 'RFM Table'!B567</f>
        <v>587</v>
      </c>
      <c r="H567">
        <f t="array" ref="H567">COUNTIF(A:A,A567)</f>
        <v>7</v>
      </c>
      <c r="I567">
        <f t="array" ref="I567">SUMIF(A:A,A567,F:F)</f>
        <v>38080.880000000005</v>
      </c>
      <c r="J567">
        <f t="array" ref="J567">5 - INT(5 * (RANK(G567,G:G, 1) - 1) / COUNT(G:G))</f>
        <v>1</v>
      </c>
      <c r="K567">
        <f t="array" ref="K567">INT(5 * (RANK(H567,H:H, 0) - 1) / COUNT(H:H)) + 1</f>
        <v>4</v>
      </c>
      <c r="L567">
        <f t="array" ref="L567">INT(5 * (RANK(I567,I:I, 0) - 1) / COUNT(I:I)) + 1</f>
        <v>2</v>
      </c>
      <c r="M567" t="str">
        <f t="shared" si="16"/>
        <v>142</v>
      </c>
      <c r="N567" s="6" t="str">
        <f t="shared" si="17"/>
        <v>Others</v>
      </c>
    </row>
    <row r="568" spans="1:14" x14ac:dyDescent="0.35">
      <c r="A568">
        <v>1396</v>
      </c>
      <c r="B568" s="4">
        <v>45550.375085336993</v>
      </c>
      <c r="C568" t="s">
        <v>9</v>
      </c>
      <c r="D568" t="s">
        <v>18</v>
      </c>
      <c r="E568" t="s">
        <v>24</v>
      </c>
      <c r="F568">
        <v>9604.99</v>
      </c>
      <c r="G568">
        <f t="array" ref="G568">SalesData!$I$2 - 'RFM Table'!B568</f>
        <v>586</v>
      </c>
      <c r="H568">
        <f t="array" ref="H568">COUNTIF(A:A,A568)</f>
        <v>11</v>
      </c>
      <c r="I568">
        <f t="array" ref="I568">SUMIF(A:A,A568,F:F)</f>
        <v>54143.32</v>
      </c>
      <c r="J568">
        <f t="array" ref="J568">5 - INT(5 * (RANK(G568,G:G, 1) - 1) / COUNT(G:G))</f>
        <v>1</v>
      </c>
      <c r="K568">
        <f t="array" ref="K568">INT(5 * (RANK(H568,H:H, 0) - 1) / COUNT(H:H)) + 1</f>
        <v>1</v>
      </c>
      <c r="L568">
        <f t="array" ref="L568">INT(5 * (RANK(I568,I:I, 0) - 1) / COUNT(I:I)) + 1</f>
        <v>1</v>
      </c>
      <c r="M568" t="str">
        <f t="shared" si="16"/>
        <v>111</v>
      </c>
      <c r="N568" s="6" t="str">
        <f t="shared" si="17"/>
        <v>Lost</v>
      </c>
    </row>
    <row r="569" spans="1:14" x14ac:dyDescent="0.35">
      <c r="A569">
        <v>1172</v>
      </c>
      <c r="B569" s="4">
        <v>45550.375085336993</v>
      </c>
      <c r="C569" t="s">
        <v>11</v>
      </c>
      <c r="D569" t="s">
        <v>20</v>
      </c>
      <c r="E569" t="s">
        <v>24</v>
      </c>
      <c r="F569">
        <v>2723.46</v>
      </c>
      <c r="G569">
        <f t="array" ref="G569">SalesData!$I$2 - 'RFM Table'!B569</f>
        <v>586</v>
      </c>
      <c r="H569">
        <f t="array" ref="H569">COUNTIF(A:A,A569)</f>
        <v>13</v>
      </c>
      <c r="I569">
        <f t="array" ref="I569">SUMIF(A:A,A569,F:F)</f>
        <v>64175.24</v>
      </c>
      <c r="J569">
        <f t="array" ref="J569">5 - INT(5 * (RANK(G569,G:G, 1) - 1) / COUNT(G:G))</f>
        <v>1</v>
      </c>
      <c r="K569">
        <f t="array" ref="K569">INT(5 * (RANK(H569,H:H, 0) - 1) / COUNT(H:H)) + 1</f>
        <v>1</v>
      </c>
      <c r="L569">
        <f t="array" ref="L569">INT(5 * (RANK(I569,I:I, 0) - 1) / COUNT(I:I)) + 1</f>
        <v>1</v>
      </c>
      <c r="M569" t="str">
        <f t="shared" si="16"/>
        <v>111</v>
      </c>
      <c r="N569" s="6" t="str">
        <f t="shared" si="17"/>
        <v>Lost</v>
      </c>
    </row>
    <row r="570" spans="1:14" x14ac:dyDescent="0.35">
      <c r="A570">
        <v>1228</v>
      </c>
      <c r="B570" s="4">
        <v>45551.375085336993</v>
      </c>
      <c r="C570" t="s">
        <v>12</v>
      </c>
      <c r="D570" t="s">
        <v>19</v>
      </c>
      <c r="E570" t="s">
        <v>25</v>
      </c>
      <c r="F570">
        <v>3613.33</v>
      </c>
      <c r="G570">
        <f t="array" ref="G570">SalesData!$I$2 - 'RFM Table'!B570</f>
        <v>585</v>
      </c>
      <c r="H570">
        <f t="array" ref="H570">COUNTIF(A:A,A570)</f>
        <v>13</v>
      </c>
      <c r="I570">
        <f t="array" ref="I570">SUMIF(A:A,A570,F:F)</f>
        <v>47658.630000000005</v>
      </c>
      <c r="J570">
        <f t="array" ref="J570">5 - INT(5 * (RANK(G570,G:G, 1) - 1) / COUNT(G:G))</f>
        <v>1</v>
      </c>
      <c r="K570">
        <f t="array" ref="K570">INT(5 * (RANK(H570,H:H, 0) - 1) / COUNT(H:H)) + 1</f>
        <v>1</v>
      </c>
      <c r="L570">
        <f t="array" ref="L570">INT(5 * (RANK(I570,I:I, 0) - 1) / COUNT(I:I)) + 1</f>
        <v>1</v>
      </c>
      <c r="M570" t="str">
        <f t="shared" si="16"/>
        <v>111</v>
      </c>
      <c r="N570" s="6" t="str">
        <f t="shared" si="17"/>
        <v>Lost</v>
      </c>
    </row>
    <row r="571" spans="1:14" x14ac:dyDescent="0.35">
      <c r="A571">
        <v>1068</v>
      </c>
      <c r="B571" s="4">
        <v>45551.375085336993</v>
      </c>
      <c r="C571" t="s">
        <v>8</v>
      </c>
      <c r="D571" t="s">
        <v>22</v>
      </c>
      <c r="E571" t="s">
        <v>23</v>
      </c>
      <c r="F571">
        <v>9285.91</v>
      </c>
      <c r="G571">
        <f t="array" ref="G571">SalesData!$I$2 - 'RFM Table'!B571</f>
        <v>585</v>
      </c>
      <c r="H571">
        <f t="array" ref="H571">COUNTIF(A:A,A571)</f>
        <v>10</v>
      </c>
      <c r="I571">
        <f t="array" ref="I571">SUMIF(A:A,A571,F:F)</f>
        <v>47284.22</v>
      </c>
      <c r="J571">
        <f t="array" ref="J571">5 - INT(5 * (RANK(G571,G:G, 1) - 1) / COUNT(G:G))</f>
        <v>1</v>
      </c>
      <c r="K571">
        <f t="array" ref="K571">INT(5 * (RANK(H571,H:H, 0) - 1) / COUNT(H:H)) + 1</f>
        <v>2</v>
      </c>
      <c r="L571">
        <f t="array" ref="L571">INT(5 * (RANK(I571,I:I, 0) - 1) / COUNT(I:I)) + 1</f>
        <v>1</v>
      </c>
      <c r="M571" t="str">
        <f t="shared" si="16"/>
        <v>121</v>
      </c>
      <c r="N571" s="6" t="str">
        <f t="shared" si="17"/>
        <v>Lost</v>
      </c>
    </row>
    <row r="572" spans="1:14" x14ac:dyDescent="0.35">
      <c r="A572">
        <v>1366</v>
      </c>
      <c r="B572" s="4">
        <v>45551.375085336993</v>
      </c>
      <c r="C572" t="s">
        <v>8</v>
      </c>
      <c r="D572" t="s">
        <v>19</v>
      </c>
      <c r="E572" t="s">
        <v>24</v>
      </c>
      <c r="F572">
        <v>4750.78</v>
      </c>
      <c r="G572">
        <f t="array" ref="G572">SalesData!$I$2 - 'RFM Table'!B572</f>
        <v>585</v>
      </c>
      <c r="H572">
        <f t="array" ref="H572">COUNTIF(A:A,A572)</f>
        <v>7</v>
      </c>
      <c r="I572">
        <f t="array" ref="I572">SUMIF(A:A,A572,F:F)</f>
        <v>19730.549999999996</v>
      </c>
      <c r="J572">
        <f t="array" ref="J572">5 - INT(5 * (RANK(G572,G:G, 1) - 1) / COUNT(G:G))</f>
        <v>1</v>
      </c>
      <c r="K572">
        <f t="array" ref="K572">INT(5 * (RANK(H572,H:H, 0) - 1) / COUNT(H:H)) + 1</f>
        <v>4</v>
      </c>
      <c r="L572">
        <f t="array" ref="L572">INT(5 * (RANK(I572,I:I, 0) - 1) / COUNT(I:I)) + 1</f>
        <v>5</v>
      </c>
      <c r="M572" t="str">
        <f t="shared" si="16"/>
        <v>145</v>
      </c>
      <c r="N572" s="6" t="str">
        <f t="shared" si="17"/>
        <v>At Risk</v>
      </c>
    </row>
    <row r="573" spans="1:14" x14ac:dyDescent="0.35">
      <c r="A573">
        <v>1021</v>
      </c>
      <c r="B573" s="4">
        <v>45551.375085336993</v>
      </c>
      <c r="C573" t="s">
        <v>10</v>
      </c>
      <c r="D573" t="s">
        <v>19</v>
      </c>
      <c r="E573" t="s">
        <v>23</v>
      </c>
      <c r="F573">
        <v>1649.98</v>
      </c>
      <c r="G573">
        <f t="array" ref="G573">SalesData!$I$2 - 'RFM Table'!B573</f>
        <v>585</v>
      </c>
      <c r="H573">
        <f t="array" ref="H573">COUNTIF(A:A,A573)</f>
        <v>7</v>
      </c>
      <c r="I573">
        <f t="array" ref="I573">SUMIF(A:A,A573,F:F)</f>
        <v>13087.390000000001</v>
      </c>
      <c r="J573">
        <f t="array" ref="J573">5 - INT(5 * (RANK(G573,G:G, 1) - 1) / COUNT(G:G))</f>
        <v>1</v>
      </c>
      <c r="K573">
        <f t="array" ref="K573">INT(5 * (RANK(H573,H:H, 0) - 1) / COUNT(H:H)) + 1</f>
        <v>4</v>
      </c>
      <c r="L573">
        <f t="array" ref="L573">INT(5 * (RANK(I573,I:I, 0) - 1) / COUNT(I:I)) + 1</f>
        <v>5</v>
      </c>
      <c r="M573" t="str">
        <f t="shared" si="16"/>
        <v>145</v>
      </c>
      <c r="N573" s="6" t="str">
        <f t="shared" si="17"/>
        <v>At Risk</v>
      </c>
    </row>
    <row r="574" spans="1:14" x14ac:dyDescent="0.35">
      <c r="A574">
        <v>1135</v>
      </c>
      <c r="B574" s="4">
        <v>45552.375085336993</v>
      </c>
      <c r="C574" t="s">
        <v>6</v>
      </c>
      <c r="D574" t="s">
        <v>17</v>
      </c>
      <c r="E574" t="s">
        <v>23</v>
      </c>
      <c r="F574">
        <v>1151.97</v>
      </c>
      <c r="G574">
        <f t="array" ref="G574">SalesData!$I$2 - 'RFM Table'!B574</f>
        <v>584</v>
      </c>
      <c r="H574">
        <f t="array" ref="H574">COUNTIF(A:A,A574)</f>
        <v>10</v>
      </c>
      <c r="I574">
        <f t="array" ref="I574">SUMIF(A:A,A574,F:F)</f>
        <v>31217.780000000002</v>
      </c>
      <c r="J574">
        <f t="array" ref="J574">5 - INT(5 * (RANK(G574,G:G, 1) - 1) / COUNT(G:G))</f>
        <v>1</v>
      </c>
      <c r="K574">
        <f t="array" ref="K574">INT(5 * (RANK(H574,H:H, 0) - 1) / COUNT(H:H)) + 1</f>
        <v>2</v>
      </c>
      <c r="L574">
        <f t="array" ref="L574">INT(5 * (RANK(I574,I:I, 0) - 1) / COUNT(I:I)) + 1</f>
        <v>3</v>
      </c>
      <c r="M574" t="str">
        <f t="shared" si="16"/>
        <v>123</v>
      </c>
      <c r="N574" s="6" t="str">
        <f t="shared" si="17"/>
        <v>Can't Lose Them</v>
      </c>
    </row>
    <row r="575" spans="1:14" x14ac:dyDescent="0.35">
      <c r="A575">
        <v>1004</v>
      </c>
      <c r="B575" s="4">
        <v>45552.375085336993</v>
      </c>
      <c r="C575" t="s">
        <v>8</v>
      </c>
      <c r="D575" t="s">
        <v>18</v>
      </c>
      <c r="E575" t="s">
        <v>23</v>
      </c>
      <c r="F575">
        <v>4906.71</v>
      </c>
      <c r="G575">
        <f t="array" ref="G575">SalesData!$I$2 - 'RFM Table'!B575</f>
        <v>584</v>
      </c>
      <c r="H575">
        <f t="array" ref="H575">COUNTIF(A:A,A575)</f>
        <v>12</v>
      </c>
      <c r="I575">
        <f t="array" ref="I575">SUMIF(A:A,A575,F:F)</f>
        <v>34222.5</v>
      </c>
      <c r="J575">
        <f t="array" ref="J575">5 - INT(5 * (RANK(G575,G:G, 1) - 1) / COUNT(G:G))</f>
        <v>1</v>
      </c>
      <c r="K575">
        <f t="array" ref="K575">INT(5 * (RANK(H575,H:H, 0) - 1) / COUNT(H:H)) + 1</f>
        <v>1</v>
      </c>
      <c r="L575">
        <f t="array" ref="L575">INT(5 * (RANK(I575,I:I, 0) - 1) / COUNT(I:I)) + 1</f>
        <v>3</v>
      </c>
      <c r="M575" t="str">
        <f t="shared" si="16"/>
        <v>113</v>
      </c>
      <c r="N575" s="6" t="str">
        <f t="shared" si="17"/>
        <v>Can't Lose Them</v>
      </c>
    </row>
    <row r="576" spans="1:14" x14ac:dyDescent="0.35">
      <c r="A576">
        <v>1241</v>
      </c>
      <c r="B576" s="4">
        <v>45552.375085336993</v>
      </c>
      <c r="C576" t="s">
        <v>10</v>
      </c>
      <c r="D576" t="s">
        <v>18</v>
      </c>
      <c r="E576" t="s">
        <v>24</v>
      </c>
      <c r="F576">
        <v>888.11</v>
      </c>
      <c r="G576">
        <f t="array" ref="G576">SalesData!$I$2 - 'RFM Table'!B576</f>
        <v>584</v>
      </c>
      <c r="H576">
        <f t="array" ref="H576">COUNTIF(A:A,A576)</f>
        <v>10</v>
      </c>
      <c r="I576">
        <f t="array" ref="I576">SUMIF(A:A,A576,F:F)</f>
        <v>38069.94</v>
      </c>
      <c r="J576">
        <f t="array" ref="J576">5 - INT(5 * (RANK(G576,G:G, 1) - 1) / COUNT(G:G))</f>
        <v>1</v>
      </c>
      <c r="K576">
        <f t="array" ref="K576">INT(5 * (RANK(H576,H:H, 0) - 1) / COUNT(H:H)) + 1</f>
        <v>2</v>
      </c>
      <c r="L576">
        <f t="array" ref="L576">INT(5 * (RANK(I576,I:I, 0) - 1) / COUNT(I:I)) + 1</f>
        <v>2</v>
      </c>
      <c r="M576" t="str">
        <f t="shared" si="16"/>
        <v>122</v>
      </c>
      <c r="N576" s="6" t="str">
        <f t="shared" si="17"/>
        <v>Lost</v>
      </c>
    </row>
    <row r="577" spans="1:14" x14ac:dyDescent="0.35">
      <c r="A577">
        <v>1323</v>
      </c>
      <c r="B577" s="4">
        <v>45552.375085336993</v>
      </c>
      <c r="C577" t="s">
        <v>7</v>
      </c>
      <c r="D577" t="s">
        <v>16</v>
      </c>
      <c r="E577" t="s">
        <v>23</v>
      </c>
      <c r="F577">
        <v>562.58000000000004</v>
      </c>
      <c r="G577">
        <f t="array" ref="G577">SalesData!$I$2 - 'RFM Table'!B577</f>
        <v>584</v>
      </c>
      <c r="H577">
        <f t="array" ref="H577">COUNTIF(A:A,A577)</f>
        <v>9</v>
      </c>
      <c r="I577">
        <f t="array" ref="I577">SUMIF(A:A,A577,F:F)</f>
        <v>39366.480000000003</v>
      </c>
      <c r="J577">
        <f t="array" ref="J577">5 - INT(5 * (RANK(G577,G:G, 1) - 1) / COUNT(G:G))</f>
        <v>1</v>
      </c>
      <c r="K577">
        <f t="array" ref="K577">INT(5 * (RANK(H577,H:H, 0) - 1) / COUNT(H:H)) + 1</f>
        <v>2</v>
      </c>
      <c r="L577">
        <f t="array" ref="L577">INT(5 * (RANK(I577,I:I, 0) - 1) / COUNT(I:I)) + 1</f>
        <v>2</v>
      </c>
      <c r="M577" t="str">
        <f t="shared" si="16"/>
        <v>122</v>
      </c>
      <c r="N577" s="6" t="str">
        <f t="shared" si="17"/>
        <v>Lost</v>
      </c>
    </row>
    <row r="578" spans="1:14" x14ac:dyDescent="0.35">
      <c r="A578">
        <v>1285</v>
      </c>
      <c r="B578" s="4">
        <v>45552.375085336993</v>
      </c>
      <c r="C578" t="s">
        <v>8</v>
      </c>
      <c r="D578" t="s">
        <v>17</v>
      </c>
      <c r="E578" t="s">
        <v>25</v>
      </c>
      <c r="F578">
        <v>2558.9699999999998</v>
      </c>
      <c r="G578">
        <f t="array" ref="G578">SalesData!$I$2 - 'RFM Table'!B578</f>
        <v>584</v>
      </c>
      <c r="H578">
        <f t="array" ref="H578">COUNTIF(A:A,A578)</f>
        <v>9</v>
      </c>
      <c r="I578">
        <f t="array" ref="I578">SUMIF(A:A,A578,F:F)</f>
        <v>27990.980000000003</v>
      </c>
      <c r="J578">
        <f t="array" ref="J578">5 - INT(5 * (RANK(G578,G:G, 1) - 1) / COUNT(G:G))</f>
        <v>1</v>
      </c>
      <c r="K578">
        <f t="array" ref="K578">INT(5 * (RANK(H578,H:H, 0) - 1) / COUNT(H:H)) + 1</f>
        <v>2</v>
      </c>
      <c r="L578">
        <f t="array" ref="L578">INT(5 * (RANK(I578,I:I, 0) - 1) / COUNT(I:I)) + 1</f>
        <v>4</v>
      </c>
      <c r="M578" t="str">
        <f t="shared" si="16"/>
        <v>124</v>
      </c>
      <c r="N578" s="6" t="str">
        <f t="shared" si="17"/>
        <v>Can't Lose Them</v>
      </c>
    </row>
    <row r="579" spans="1:14" x14ac:dyDescent="0.35">
      <c r="A579">
        <v>1011</v>
      </c>
      <c r="B579" s="4">
        <v>45552.375085336993</v>
      </c>
      <c r="C579" t="s">
        <v>8</v>
      </c>
      <c r="D579" t="s">
        <v>17</v>
      </c>
      <c r="E579" t="s">
        <v>25</v>
      </c>
      <c r="F579">
        <v>3291.71</v>
      </c>
      <c r="G579">
        <f t="array" ref="G579">SalesData!$I$2 - 'RFM Table'!B579</f>
        <v>584</v>
      </c>
      <c r="H579">
        <f t="array" ref="H579">COUNTIF(A:A,A579)</f>
        <v>16</v>
      </c>
      <c r="I579">
        <f t="array" ref="I579">SUMIF(A:A,A579,F:F)</f>
        <v>58237.360000000008</v>
      </c>
      <c r="J579">
        <f t="array" ref="J579">5 - INT(5 * (RANK(G579,G:G, 1) - 1) / COUNT(G:G))</f>
        <v>1</v>
      </c>
      <c r="K579">
        <f t="array" ref="K579">INT(5 * (RANK(H579,H:H, 0) - 1) / COUNT(H:H)) + 1</f>
        <v>1</v>
      </c>
      <c r="L579">
        <f t="array" ref="L579">INT(5 * (RANK(I579,I:I, 0) - 1) / COUNT(I:I)) + 1</f>
        <v>1</v>
      </c>
      <c r="M579" t="str">
        <f t="shared" ref="M579:M642" si="18">J579 &amp; K579 &amp; L579</f>
        <v>111</v>
      </c>
      <c r="N579" s="6" t="str">
        <f t="shared" ref="N579:N642" si="19">IF(AND(J579&gt;=4,K579&lt;=2),"New Customers",
IF(AND(J579&lt;=2,K579&gt;=3,L579&gt;=3),"At Risk",
IF(AND(J579&lt;=2,K579&lt;=2,L579&gt;=3),"Can't Lose Them",
IF(AND(J579&lt;=2,K579&lt;=2,L579&lt;=2),"Lost",
"Others"))))</f>
        <v>Lost</v>
      </c>
    </row>
    <row r="580" spans="1:14" x14ac:dyDescent="0.35">
      <c r="A580">
        <v>1230</v>
      </c>
      <c r="B580" s="4">
        <v>45553.375085336993</v>
      </c>
      <c r="C580" t="s">
        <v>10</v>
      </c>
      <c r="D580" t="s">
        <v>20</v>
      </c>
      <c r="E580" t="s">
        <v>24</v>
      </c>
      <c r="F580">
        <v>3401.25</v>
      </c>
      <c r="G580">
        <f t="array" ref="G580">SalesData!$I$2 - 'RFM Table'!B580</f>
        <v>583</v>
      </c>
      <c r="H580">
        <f t="array" ref="H580">COUNTIF(A:A,A580)</f>
        <v>11</v>
      </c>
      <c r="I580">
        <f t="array" ref="I580">SUMIF(A:A,A580,F:F)</f>
        <v>29238.53</v>
      </c>
      <c r="J580">
        <f t="array" ref="J580">5 - INT(5 * (RANK(G580,G:G, 1) - 1) / COUNT(G:G))</f>
        <v>1</v>
      </c>
      <c r="K580">
        <f t="array" ref="K580">INT(5 * (RANK(H580,H:H, 0) - 1) / COUNT(H:H)) + 1</f>
        <v>1</v>
      </c>
      <c r="L580">
        <f t="array" ref="L580">INT(5 * (RANK(I580,I:I, 0) - 1) / COUNT(I:I)) + 1</f>
        <v>4</v>
      </c>
      <c r="M580" t="str">
        <f t="shared" si="18"/>
        <v>114</v>
      </c>
      <c r="N580" s="6" t="str">
        <f t="shared" si="19"/>
        <v>Can't Lose Them</v>
      </c>
    </row>
    <row r="581" spans="1:14" x14ac:dyDescent="0.35">
      <c r="A581">
        <v>1378</v>
      </c>
      <c r="B581" s="4">
        <v>45553.375085336993</v>
      </c>
      <c r="C581" t="s">
        <v>10</v>
      </c>
      <c r="D581" t="s">
        <v>16</v>
      </c>
      <c r="E581" t="s">
        <v>25</v>
      </c>
      <c r="F581">
        <v>5989.13</v>
      </c>
      <c r="G581">
        <f t="array" ref="G581">SalesData!$I$2 - 'RFM Table'!B581</f>
        <v>583</v>
      </c>
      <c r="H581">
        <f t="array" ref="H581">COUNTIF(A:A,A581)</f>
        <v>11</v>
      </c>
      <c r="I581">
        <f t="array" ref="I581">SUMIF(A:A,A581,F:F)</f>
        <v>58842.799999999996</v>
      </c>
      <c r="J581">
        <f t="array" ref="J581">5 - INT(5 * (RANK(G581,G:G, 1) - 1) / COUNT(G:G))</f>
        <v>1</v>
      </c>
      <c r="K581">
        <f t="array" ref="K581">INT(5 * (RANK(H581,H:H, 0) - 1) / COUNT(H:H)) + 1</f>
        <v>1</v>
      </c>
      <c r="L581">
        <f t="array" ref="L581">INT(5 * (RANK(I581,I:I, 0) - 1) / COUNT(I:I)) + 1</f>
        <v>1</v>
      </c>
      <c r="M581" t="str">
        <f t="shared" si="18"/>
        <v>111</v>
      </c>
      <c r="N581" s="6" t="str">
        <f t="shared" si="19"/>
        <v>Lost</v>
      </c>
    </row>
    <row r="582" spans="1:14" x14ac:dyDescent="0.35">
      <c r="A582">
        <v>1327</v>
      </c>
      <c r="B582" s="4">
        <v>45553.375085336993</v>
      </c>
      <c r="C582" t="s">
        <v>9</v>
      </c>
      <c r="D582" t="s">
        <v>19</v>
      </c>
      <c r="E582" t="s">
        <v>23</v>
      </c>
      <c r="F582">
        <v>2811.16</v>
      </c>
      <c r="G582">
        <f t="array" ref="G582">SalesData!$I$2 - 'RFM Table'!B582</f>
        <v>583</v>
      </c>
      <c r="H582">
        <f t="array" ref="H582">COUNTIF(A:A,A582)</f>
        <v>10</v>
      </c>
      <c r="I582">
        <f t="array" ref="I582">SUMIF(A:A,A582,F:F)</f>
        <v>34265.79</v>
      </c>
      <c r="J582">
        <f t="array" ref="J582">5 - INT(5 * (RANK(G582,G:G, 1) - 1) / COUNT(G:G))</f>
        <v>1</v>
      </c>
      <c r="K582">
        <f t="array" ref="K582">INT(5 * (RANK(H582,H:H, 0) - 1) / COUNT(H:H)) + 1</f>
        <v>2</v>
      </c>
      <c r="L582">
        <f t="array" ref="L582">INT(5 * (RANK(I582,I:I, 0) - 1) / COUNT(I:I)) + 1</f>
        <v>3</v>
      </c>
      <c r="M582" t="str">
        <f t="shared" si="18"/>
        <v>123</v>
      </c>
      <c r="N582" s="6" t="str">
        <f t="shared" si="19"/>
        <v>Can't Lose Them</v>
      </c>
    </row>
    <row r="583" spans="1:14" x14ac:dyDescent="0.35">
      <c r="A583">
        <v>1319</v>
      </c>
      <c r="B583" s="4">
        <v>45553.375085336993</v>
      </c>
      <c r="C583" t="s">
        <v>11</v>
      </c>
      <c r="D583" t="s">
        <v>20</v>
      </c>
      <c r="E583" t="s">
        <v>25</v>
      </c>
      <c r="F583">
        <v>318.44</v>
      </c>
      <c r="G583">
        <f t="array" ref="G583">SalesData!$I$2 - 'RFM Table'!B583</f>
        <v>583</v>
      </c>
      <c r="H583">
        <f t="array" ref="H583">COUNTIF(A:A,A583)</f>
        <v>10</v>
      </c>
      <c r="I583">
        <f t="array" ref="I583">SUMIF(A:A,A583,F:F)</f>
        <v>39681.960000000006</v>
      </c>
      <c r="J583">
        <f t="array" ref="J583">5 - INT(5 * (RANK(G583,G:G, 1) - 1) / COUNT(G:G))</f>
        <v>1</v>
      </c>
      <c r="K583">
        <f t="array" ref="K583">INT(5 * (RANK(H583,H:H, 0) - 1) / COUNT(H:H)) + 1</f>
        <v>2</v>
      </c>
      <c r="L583">
        <f t="array" ref="L583">INT(5 * (RANK(I583,I:I, 0) - 1) / COUNT(I:I)) + 1</f>
        <v>2</v>
      </c>
      <c r="M583" t="str">
        <f t="shared" si="18"/>
        <v>122</v>
      </c>
      <c r="N583" s="6" t="str">
        <f t="shared" si="19"/>
        <v>Lost</v>
      </c>
    </row>
    <row r="584" spans="1:14" x14ac:dyDescent="0.35">
      <c r="A584">
        <v>1352</v>
      </c>
      <c r="B584" s="4">
        <v>45554.375085336993</v>
      </c>
      <c r="C584" t="s">
        <v>7</v>
      </c>
      <c r="D584" t="s">
        <v>19</v>
      </c>
      <c r="E584" t="s">
        <v>24</v>
      </c>
      <c r="F584">
        <v>447.42</v>
      </c>
      <c r="G584">
        <f t="array" ref="G584">SalesData!$I$2 - 'RFM Table'!B584</f>
        <v>582</v>
      </c>
      <c r="H584">
        <f t="array" ref="H584">COUNTIF(A:A,A584)</f>
        <v>8</v>
      </c>
      <c r="I584">
        <f t="array" ref="I584">SUMIF(A:A,A584,F:F)</f>
        <v>35204.92</v>
      </c>
      <c r="J584">
        <f t="array" ref="J584">5 - INT(5 * (RANK(G584,G:G, 1) - 1) / COUNT(G:G))</f>
        <v>1</v>
      </c>
      <c r="K584">
        <f t="array" ref="K584">INT(5 * (RANK(H584,H:H, 0) - 1) / COUNT(H:H)) + 1</f>
        <v>3</v>
      </c>
      <c r="L584">
        <f t="array" ref="L584">INT(5 * (RANK(I584,I:I, 0) - 1) / COUNT(I:I)) + 1</f>
        <v>3</v>
      </c>
      <c r="M584" t="str">
        <f t="shared" si="18"/>
        <v>133</v>
      </c>
      <c r="N584" s="6" t="str">
        <f t="shared" si="19"/>
        <v>At Risk</v>
      </c>
    </row>
    <row r="585" spans="1:14" x14ac:dyDescent="0.35">
      <c r="A585">
        <v>1142</v>
      </c>
      <c r="B585" s="4">
        <v>45554.375085336993</v>
      </c>
      <c r="C585" t="s">
        <v>9</v>
      </c>
      <c r="D585" t="s">
        <v>16</v>
      </c>
      <c r="E585" t="s">
        <v>25</v>
      </c>
      <c r="F585">
        <v>6881.74</v>
      </c>
      <c r="G585">
        <f t="array" ref="G585">SalesData!$I$2 - 'RFM Table'!B585</f>
        <v>582</v>
      </c>
      <c r="H585">
        <f t="array" ref="H585">COUNTIF(A:A,A585)</f>
        <v>10</v>
      </c>
      <c r="I585">
        <f t="array" ref="I585">SUMIF(A:A,A585,F:F)</f>
        <v>45537.319999999992</v>
      </c>
      <c r="J585">
        <f t="array" ref="J585">5 - INT(5 * (RANK(G585,G:G, 1) - 1) / COUNT(G:G))</f>
        <v>1</v>
      </c>
      <c r="K585">
        <f t="array" ref="K585">INT(5 * (RANK(H585,H:H, 0) - 1) / COUNT(H:H)) + 1</f>
        <v>2</v>
      </c>
      <c r="L585">
        <f t="array" ref="L585">INT(5 * (RANK(I585,I:I, 0) - 1) / COUNT(I:I)) + 1</f>
        <v>1</v>
      </c>
      <c r="M585" t="str">
        <f t="shared" si="18"/>
        <v>121</v>
      </c>
      <c r="N585" s="6" t="str">
        <f t="shared" si="19"/>
        <v>Lost</v>
      </c>
    </row>
    <row r="586" spans="1:14" x14ac:dyDescent="0.35">
      <c r="A586">
        <v>1368</v>
      </c>
      <c r="B586" s="4">
        <v>45554.375085336993</v>
      </c>
      <c r="C586" t="s">
        <v>6</v>
      </c>
      <c r="D586" t="s">
        <v>21</v>
      </c>
      <c r="E586" t="s">
        <v>24</v>
      </c>
      <c r="F586">
        <v>3330.94</v>
      </c>
      <c r="G586">
        <f t="array" ref="G586">SalesData!$I$2 - 'RFM Table'!B586</f>
        <v>582</v>
      </c>
      <c r="H586">
        <f t="array" ref="H586">COUNTIF(A:A,A586)</f>
        <v>8</v>
      </c>
      <c r="I586">
        <f t="array" ref="I586">SUMIF(A:A,A586,F:F)</f>
        <v>26119.000000000004</v>
      </c>
      <c r="J586">
        <f t="array" ref="J586">5 - INT(5 * (RANK(G586,G:G, 1) - 1) / COUNT(G:G))</f>
        <v>1</v>
      </c>
      <c r="K586">
        <f t="array" ref="K586">INT(5 * (RANK(H586,H:H, 0) - 1) / COUNT(H:H)) + 1</f>
        <v>3</v>
      </c>
      <c r="L586">
        <f t="array" ref="L586">INT(5 * (RANK(I586,I:I, 0) - 1) / COUNT(I:I)) + 1</f>
        <v>4</v>
      </c>
      <c r="M586" t="str">
        <f t="shared" si="18"/>
        <v>134</v>
      </c>
      <c r="N586" s="6" t="str">
        <f t="shared" si="19"/>
        <v>At Risk</v>
      </c>
    </row>
    <row r="587" spans="1:14" x14ac:dyDescent="0.35">
      <c r="A587">
        <v>1027</v>
      </c>
      <c r="B587" s="4">
        <v>45555.375085336993</v>
      </c>
      <c r="C587" t="s">
        <v>15</v>
      </c>
      <c r="D587" t="s">
        <v>22</v>
      </c>
      <c r="E587" t="s">
        <v>25</v>
      </c>
      <c r="F587">
        <v>13924</v>
      </c>
      <c r="G587">
        <f t="array" ref="G587">SalesData!$I$2 - 'RFM Table'!B587</f>
        <v>581</v>
      </c>
      <c r="H587">
        <f t="array" ref="H587">COUNTIF(A:A,A587)</f>
        <v>7</v>
      </c>
      <c r="I587">
        <f t="array" ref="I587">SUMIF(A:A,A587,F:F)</f>
        <v>31771.820000000003</v>
      </c>
      <c r="J587">
        <f t="array" ref="J587">5 - INT(5 * (RANK(G587,G:G, 1) - 1) / COUNT(G:G))</f>
        <v>1</v>
      </c>
      <c r="K587">
        <f t="array" ref="K587">INT(5 * (RANK(H587,H:H, 0) - 1) / COUNT(H:H)) + 1</f>
        <v>4</v>
      </c>
      <c r="L587">
        <f t="array" ref="L587">INT(5 * (RANK(I587,I:I, 0) - 1) / COUNT(I:I)) + 1</f>
        <v>3</v>
      </c>
      <c r="M587" t="str">
        <f t="shared" si="18"/>
        <v>143</v>
      </c>
      <c r="N587" s="6" t="str">
        <f t="shared" si="19"/>
        <v>At Risk</v>
      </c>
    </row>
    <row r="588" spans="1:14" x14ac:dyDescent="0.35">
      <c r="A588">
        <v>1019</v>
      </c>
      <c r="B588" s="4">
        <v>45555.375085336993</v>
      </c>
      <c r="C588" t="s">
        <v>7</v>
      </c>
      <c r="D588" t="s">
        <v>19</v>
      </c>
      <c r="E588" t="s">
        <v>24</v>
      </c>
      <c r="F588">
        <v>2354.46</v>
      </c>
      <c r="G588">
        <f t="array" ref="G588">SalesData!$I$2 - 'RFM Table'!B588</f>
        <v>581</v>
      </c>
      <c r="H588">
        <f t="array" ref="H588">COUNTIF(A:A,A588)</f>
        <v>11</v>
      </c>
      <c r="I588">
        <f t="array" ref="I588">SUMIF(A:A,A588,F:F)</f>
        <v>37863.899999999994</v>
      </c>
      <c r="J588">
        <f t="array" ref="J588">5 - INT(5 * (RANK(G588,G:G, 1) - 1) / COUNT(G:G))</f>
        <v>1</v>
      </c>
      <c r="K588">
        <f t="array" ref="K588">INT(5 * (RANK(H588,H:H, 0) - 1) / COUNT(H:H)) + 1</f>
        <v>1</v>
      </c>
      <c r="L588">
        <f t="array" ref="L588">INT(5 * (RANK(I588,I:I, 0) - 1) / COUNT(I:I)) + 1</f>
        <v>2</v>
      </c>
      <c r="M588" t="str">
        <f t="shared" si="18"/>
        <v>112</v>
      </c>
      <c r="N588" s="6" t="str">
        <f t="shared" si="19"/>
        <v>Lost</v>
      </c>
    </row>
    <row r="589" spans="1:14" x14ac:dyDescent="0.35">
      <c r="A589">
        <v>1180</v>
      </c>
      <c r="B589" s="4">
        <v>45556.375085336993</v>
      </c>
      <c r="C589" t="s">
        <v>14</v>
      </c>
      <c r="D589" t="s">
        <v>18</v>
      </c>
      <c r="E589" t="s">
        <v>24</v>
      </c>
      <c r="F589">
        <v>8488.6299999999992</v>
      </c>
      <c r="G589">
        <f t="array" ref="G589">SalesData!$I$2 - 'RFM Table'!B589</f>
        <v>580</v>
      </c>
      <c r="H589">
        <f t="array" ref="H589">COUNTIF(A:A,A589)</f>
        <v>8</v>
      </c>
      <c r="I589">
        <f t="array" ref="I589">SUMIF(A:A,A589,F:F)</f>
        <v>35247.5</v>
      </c>
      <c r="J589">
        <f t="array" ref="J589">5 - INT(5 * (RANK(G589,G:G, 1) - 1) / COUNT(G:G))</f>
        <v>1</v>
      </c>
      <c r="K589">
        <f t="array" ref="K589">INT(5 * (RANK(H589,H:H, 0) - 1) / COUNT(H:H)) + 1</f>
        <v>3</v>
      </c>
      <c r="L589">
        <f t="array" ref="L589">INT(5 * (RANK(I589,I:I, 0) - 1) / COUNT(I:I)) + 1</f>
        <v>3</v>
      </c>
      <c r="M589" t="str">
        <f t="shared" si="18"/>
        <v>133</v>
      </c>
      <c r="N589" s="6" t="str">
        <f t="shared" si="19"/>
        <v>At Risk</v>
      </c>
    </row>
    <row r="590" spans="1:14" x14ac:dyDescent="0.35">
      <c r="A590">
        <v>1060</v>
      </c>
      <c r="B590" s="4">
        <v>45556.375085336993</v>
      </c>
      <c r="C590" t="s">
        <v>7</v>
      </c>
      <c r="D590" t="s">
        <v>17</v>
      </c>
      <c r="E590" t="s">
        <v>24</v>
      </c>
      <c r="F590">
        <v>5382.43</v>
      </c>
      <c r="G590">
        <f t="array" ref="G590">SalesData!$I$2 - 'RFM Table'!B590</f>
        <v>580</v>
      </c>
      <c r="H590">
        <f t="array" ref="H590">COUNTIF(A:A,A590)</f>
        <v>5</v>
      </c>
      <c r="I590">
        <f t="array" ref="I590">SUMIF(A:A,A590,F:F)</f>
        <v>21260</v>
      </c>
      <c r="J590">
        <f t="array" ref="J590">5 - INT(5 * (RANK(G590,G:G, 1) - 1) / COUNT(G:G))</f>
        <v>1</v>
      </c>
      <c r="K590">
        <f t="array" ref="K590">INT(5 * (RANK(H590,H:H, 0) - 1) / COUNT(H:H)) + 1</f>
        <v>5</v>
      </c>
      <c r="L590">
        <f t="array" ref="L590">INT(5 * (RANK(I590,I:I, 0) - 1) / COUNT(I:I)) + 1</f>
        <v>5</v>
      </c>
      <c r="M590" t="str">
        <f t="shared" si="18"/>
        <v>155</v>
      </c>
      <c r="N590" s="6" t="str">
        <f t="shared" si="19"/>
        <v>At Risk</v>
      </c>
    </row>
    <row r="591" spans="1:14" x14ac:dyDescent="0.35">
      <c r="A591">
        <v>1363</v>
      </c>
      <c r="B591" s="4">
        <v>45557.375085336993</v>
      </c>
      <c r="C591" t="s">
        <v>6</v>
      </c>
      <c r="D591" t="s">
        <v>21</v>
      </c>
      <c r="E591" t="s">
        <v>24</v>
      </c>
      <c r="F591">
        <v>3407.44</v>
      </c>
      <c r="G591">
        <f t="array" ref="G591">SalesData!$I$2 - 'RFM Table'!B591</f>
        <v>579</v>
      </c>
      <c r="H591">
        <f t="array" ref="H591">COUNTIF(A:A,A591)</f>
        <v>9</v>
      </c>
      <c r="I591">
        <f t="array" ref="I591">SUMIF(A:A,A591,F:F)</f>
        <v>33344.57</v>
      </c>
      <c r="J591">
        <f t="array" ref="J591">5 - INT(5 * (RANK(G591,G:G, 1) - 1) / COUNT(G:G))</f>
        <v>1</v>
      </c>
      <c r="K591">
        <f t="array" ref="K591">INT(5 * (RANK(H591,H:H, 0) - 1) / COUNT(H:H)) + 1</f>
        <v>2</v>
      </c>
      <c r="L591">
        <f t="array" ref="L591">INT(5 * (RANK(I591,I:I, 0) - 1) / COUNT(I:I)) + 1</f>
        <v>3</v>
      </c>
      <c r="M591" t="str">
        <f t="shared" si="18"/>
        <v>123</v>
      </c>
      <c r="N591" s="6" t="str">
        <f t="shared" si="19"/>
        <v>Can't Lose Them</v>
      </c>
    </row>
    <row r="592" spans="1:14" x14ac:dyDescent="0.35">
      <c r="A592">
        <v>1346</v>
      </c>
      <c r="B592" s="4">
        <v>45558.375085336993</v>
      </c>
      <c r="C592" t="s">
        <v>10</v>
      </c>
      <c r="D592" t="s">
        <v>22</v>
      </c>
      <c r="E592" t="s">
        <v>25</v>
      </c>
      <c r="F592">
        <v>5347.59</v>
      </c>
      <c r="G592">
        <f t="array" ref="G592">SalesData!$I$2 - 'RFM Table'!B592</f>
        <v>578</v>
      </c>
      <c r="H592">
        <f t="array" ref="H592">COUNTIF(A:A,A592)</f>
        <v>6</v>
      </c>
      <c r="I592">
        <f t="array" ref="I592">SUMIF(A:A,A592,F:F)</f>
        <v>23326.76</v>
      </c>
      <c r="J592">
        <f t="array" ref="J592">5 - INT(5 * (RANK(G592,G:G, 1) - 1) / COUNT(G:G))</f>
        <v>1</v>
      </c>
      <c r="K592">
        <f t="array" ref="K592">INT(5 * (RANK(H592,H:H, 0) - 1) / COUNT(H:H)) + 1</f>
        <v>4</v>
      </c>
      <c r="L592">
        <f t="array" ref="L592">INT(5 * (RANK(I592,I:I, 0) - 1) / COUNT(I:I)) + 1</f>
        <v>4</v>
      </c>
      <c r="M592" t="str">
        <f t="shared" si="18"/>
        <v>144</v>
      </c>
      <c r="N592" s="6" t="str">
        <f t="shared" si="19"/>
        <v>At Risk</v>
      </c>
    </row>
    <row r="593" spans="1:14" x14ac:dyDescent="0.35">
      <c r="A593">
        <v>1257</v>
      </c>
      <c r="B593" s="4">
        <v>45558.375085336993</v>
      </c>
      <c r="C593" t="s">
        <v>11</v>
      </c>
      <c r="D593" t="s">
        <v>18</v>
      </c>
      <c r="E593" t="s">
        <v>24</v>
      </c>
      <c r="F593">
        <v>3413.82</v>
      </c>
      <c r="G593">
        <f t="array" ref="G593">SalesData!$I$2 - 'RFM Table'!B593</f>
        <v>578</v>
      </c>
      <c r="H593">
        <f t="array" ref="H593">COUNTIF(A:A,A593)</f>
        <v>8</v>
      </c>
      <c r="I593">
        <f t="array" ref="I593">SUMIF(A:A,A593,F:F)</f>
        <v>17550.599999999999</v>
      </c>
      <c r="J593">
        <f t="array" ref="J593">5 - INT(5 * (RANK(G593,G:G, 1) - 1) / COUNT(G:G))</f>
        <v>1</v>
      </c>
      <c r="K593">
        <f t="array" ref="K593">INT(5 * (RANK(H593,H:H, 0) - 1) / COUNT(H:H)) + 1</f>
        <v>3</v>
      </c>
      <c r="L593">
        <f t="array" ref="L593">INT(5 * (RANK(I593,I:I, 0) - 1) / COUNT(I:I)) + 1</f>
        <v>5</v>
      </c>
      <c r="M593" t="str">
        <f t="shared" si="18"/>
        <v>135</v>
      </c>
      <c r="N593" s="6" t="str">
        <f t="shared" si="19"/>
        <v>At Risk</v>
      </c>
    </row>
    <row r="594" spans="1:14" x14ac:dyDescent="0.35">
      <c r="A594">
        <v>1255</v>
      </c>
      <c r="B594" s="4">
        <v>45558.375085336993</v>
      </c>
      <c r="C594" t="s">
        <v>15</v>
      </c>
      <c r="D594" t="s">
        <v>21</v>
      </c>
      <c r="E594" t="s">
        <v>23</v>
      </c>
      <c r="F594">
        <v>1516.65</v>
      </c>
      <c r="G594">
        <f t="array" ref="G594">SalesData!$I$2 - 'RFM Table'!B594</f>
        <v>578</v>
      </c>
      <c r="H594">
        <f t="array" ref="H594">COUNTIF(A:A,A594)</f>
        <v>8</v>
      </c>
      <c r="I594">
        <f t="array" ref="I594">SUMIF(A:A,A594,F:F)</f>
        <v>33838.019999999997</v>
      </c>
      <c r="J594">
        <f t="array" ref="J594">5 - INT(5 * (RANK(G594,G:G, 1) - 1) / COUNT(G:G))</f>
        <v>1</v>
      </c>
      <c r="K594">
        <f t="array" ref="K594">INT(5 * (RANK(H594,H:H, 0) - 1) / COUNT(H:H)) + 1</f>
        <v>3</v>
      </c>
      <c r="L594">
        <f t="array" ref="L594">INT(5 * (RANK(I594,I:I, 0) - 1) / COUNT(I:I)) + 1</f>
        <v>3</v>
      </c>
      <c r="M594" t="str">
        <f t="shared" si="18"/>
        <v>133</v>
      </c>
      <c r="N594" s="6" t="str">
        <f t="shared" si="19"/>
        <v>At Risk</v>
      </c>
    </row>
    <row r="595" spans="1:14" x14ac:dyDescent="0.35">
      <c r="A595">
        <v>1384</v>
      </c>
      <c r="B595" s="4">
        <v>45559.375085336993</v>
      </c>
      <c r="C595" t="s">
        <v>10</v>
      </c>
      <c r="D595" t="s">
        <v>17</v>
      </c>
      <c r="E595" t="s">
        <v>25</v>
      </c>
      <c r="F595">
        <v>4229.37</v>
      </c>
      <c r="G595">
        <f t="array" ref="G595">SalesData!$I$2 - 'RFM Table'!B595</f>
        <v>577</v>
      </c>
      <c r="H595">
        <f t="array" ref="H595">COUNTIF(A:A,A595)</f>
        <v>9</v>
      </c>
      <c r="I595">
        <f t="array" ref="I595">SUMIF(A:A,A595,F:F)</f>
        <v>39434.269999999997</v>
      </c>
      <c r="J595">
        <f t="array" ref="J595">5 - INT(5 * (RANK(G595,G:G, 1) - 1) / COUNT(G:G))</f>
        <v>2</v>
      </c>
      <c r="K595">
        <f t="array" ref="K595">INT(5 * (RANK(H595,H:H, 0) - 1) / COUNT(H:H)) + 1</f>
        <v>2</v>
      </c>
      <c r="L595">
        <f t="array" ref="L595">INT(5 * (RANK(I595,I:I, 0) - 1) / COUNT(I:I)) + 1</f>
        <v>2</v>
      </c>
      <c r="M595" t="str">
        <f t="shared" si="18"/>
        <v>222</v>
      </c>
      <c r="N595" s="6" t="str">
        <f t="shared" si="19"/>
        <v>Lost</v>
      </c>
    </row>
    <row r="596" spans="1:14" x14ac:dyDescent="0.35">
      <c r="A596">
        <v>1249</v>
      </c>
      <c r="B596" s="4">
        <v>45559.375085336993</v>
      </c>
      <c r="C596" t="s">
        <v>12</v>
      </c>
      <c r="D596" t="s">
        <v>17</v>
      </c>
      <c r="E596" t="s">
        <v>23</v>
      </c>
      <c r="F596">
        <v>6176.16</v>
      </c>
      <c r="G596">
        <f t="array" ref="G596">SalesData!$I$2 - 'RFM Table'!B596</f>
        <v>577</v>
      </c>
      <c r="H596">
        <f t="array" ref="H596">COUNTIF(A:A,A596)</f>
        <v>6</v>
      </c>
      <c r="I596">
        <f t="array" ref="I596">SUMIF(A:A,A596,F:F)</f>
        <v>29261.35</v>
      </c>
      <c r="J596">
        <f t="array" ref="J596">5 - INT(5 * (RANK(G596,G:G, 1) - 1) / COUNT(G:G))</f>
        <v>2</v>
      </c>
      <c r="K596">
        <f t="array" ref="K596">INT(5 * (RANK(H596,H:H, 0) - 1) / COUNT(H:H)) + 1</f>
        <v>4</v>
      </c>
      <c r="L596">
        <f t="array" ref="L596">INT(5 * (RANK(I596,I:I, 0) - 1) / COUNT(I:I)) + 1</f>
        <v>4</v>
      </c>
      <c r="M596" t="str">
        <f t="shared" si="18"/>
        <v>244</v>
      </c>
      <c r="N596" s="6" t="str">
        <f t="shared" si="19"/>
        <v>At Risk</v>
      </c>
    </row>
    <row r="597" spans="1:14" x14ac:dyDescent="0.35">
      <c r="A597">
        <v>1301</v>
      </c>
      <c r="B597" s="4">
        <v>45559.375085336993</v>
      </c>
      <c r="C597" t="s">
        <v>8</v>
      </c>
      <c r="D597" t="s">
        <v>21</v>
      </c>
      <c r="E597" t="s">
        <v>23</v>
      </c>
      <c r="F597">
        <v>503.18</v>
      </c>
      <c r="G597">
        <f t="array" ref="G597">SalesData!$I$2 - 'RFM Table'!B597</f>
        <v>577</v>
      </c>
      <c r="H597">
        <f t="array" ref="H597">COUNTIF(A:A,A597)</f>
        <v>12</v>
      </c>
      <c r="I597">
        <f t="array" ref="I597">SUMIF(A:A,A597,F:F)</f>
        <v>44897.450000000004</v>
      </c>
      <c r="J597">
        <f t="array" ref="J597">5 - INT(5 * (RANK(G597,G:G, 1) - 1) / COUNT(G:G))</f>
        <v>2</v>
      </c>
      <c r="K597">
        <f t="array" ref="K597">INT(5 * (RANK(H597,H:H, 0) - 1) / COUNT(H:H)) + 1</f>
        <v>1</v>
      </c>
      <c r="L597">
        <f t="array" ref="L597">INT(5 * (RANK(I597,I:I, 0) - 1) / COUNT(I:I)) + 1</f>
        <v>1</v>
      </c>
      <c r="M597" t="str">
        <f t="shared" si="18"/>
        <v>211</v>
      </c>
      <c r="N597" s="6" t="str">
        <f t="shared" si="19"/>
        <v>Lost</v>
      </c>
    </row>
    <row r="598" spans="1:14" x14ac:dyDescent="0.35">
      <c r="A598">
        <v>1178</v>
      </c>
      <c r="B598" s="4">
        <v>45559.375085336993</v>
      </c>
      <c r="C598" t="s">
        <v>12</v>
      </c>
      <c r="D598" t="s">
        <v>19</v>
      </c>
      <c r="E598" t="s">
        <v>25</v>
      </c>
      <c r="F598">
        <v>2967.77</v>
      </c>
      <c r="G598">
        <f t="array" ref="G598">SalesData!$I$2 - 'RFM Table'!B598</f>
        <v>577</v>
      </c>
      <c r="H598">
        <f t="array" ref="H598">COUNTIF(A:A,A598)</f>
        <v>7</v>
      </c>
      <c r="I598">
        <f t="array" ref="I598">SUMIF(A:A,A598,F:F)</f>
        <v>26651.280000000002</v>
      </c>
      <c r="J598">
        <f t="array" ref="J598">5 - INT(5 * (RANK(G598,G:G, 1) - 1) / COUNT(G:G))</f>
        <v>2</v>
      </c>
      <c r="K598">
        <f t="array" ref="K598">INT(5 * (RANK(H598,H:H, 0) - 1) / COUNT(H:H)) + 1</f>
        <v>4</v>
      </c>
      <c r="L598">
        <f t="array" ref="L598">INT(5 * (RANK(I598,I:I, 0) - 1) / COUNT(I:I)) + 1</f>
        <v>4</v>
      </c>
      <c r="M598" t="str">
        <f t="shared" si="18"/>
        <v>244</v>
      </c>
      <c r="N598" s="6" t="str">
        <f t="shared" si="19"/>
        <v>At Risk</v>
      </c>
    </row>
    <row r="599" spans="1:14" x14ac:dyDescent="0.35">
      <c r="A599">
        <v>1048</v>
      </c>
      <c r="B599" s="4">
        <v>45559.375085336993</v>
      </c>
      <c r="C599" t="s">
        <v>7</v>
      </c>
      <c r="D599" t="s">
        <v>17</v>
      </c>
      <c r="E599" t="s">
        <v>23</v>
      </c>
      <c r="F599">
        <v>3280.91</v>
      </c>
      <c r="G599">
        <f t="array" ref="G599">SalesData!$I$2 - 'RFM Table'!B599</f>
        <v>577</v>
      </c>
      <c r="H599">
        <f t="array" ref="H599">COUNTIF(A:A,A599)</f>
        <v>9</v>
      </c>
      <c r="I599">
        <f t="array" ref="I599">SUMIF(A:A,A599,F:F)</f>
        <v>34800.239999999998</v>
      </c>
      <c r="J599">
        <f t="array" ref="J599">5 - INT(5 * (RANK(G599,G:G, 1) - 1) / COUNT(G:G))</f>
        <v>2</v>
      </c>
      <c r="K599">
        <f t="array" ref="K599">INT(5 * (RANK(H599,H:H, 0) - 1) / COUNT(H:H)) + 1</f>
        <v>2</v>
      </c>
      <c r="L599">
        <f t="array" ref="L599">INT(5 * (RANK(I599,I:I, 0) - 1) / COUNT(I:I)) + 1</f>
        <v>3</v>
      </c>
      <c r="M599" t="str">
        <f t="shared" si="18"/>
        <v>223</v>
      </c>
      <c r="N599" s="6" t="str">
        <f t="shared" si="19"/>
        <v>Can't Lose Them</v>
      </c>
    </row>
    <row r="600" spans="1:14" x14ac:dyDescent="0.35">
      <c r="A600">
        <v>1011</v>
      </c>
      <c r="B600" s="4">
        <v>45559.375085336993</v>
      </c>
      <c r="C600" t="s">
        <v>10</v>
      </c>
      <c r="D600" t="s">
        <v>20</v>
      </c>
      <c r="E600" t="s">
        <v>23</v>
      </c>
      <c r="F600">
        <v>102.79</v>
      </c>
      <c r="G600">
        <f t="array" ref="G600">SalesData!$I$2 - 'RFM Table'!B600</f>
        <v>577</v>
      </c>
      <c r="H600">
        <f t="array" ref="H600">COUNTIF(A:A,A600)</f>
        <v>16</v>
      </c>
      <c r="I600">
        <f t="array" ref="I600">SUMIF(A:A,A600,F:F)</f>
        <v>58237.360000000008</v>
      </c>
      <c r="J600">
        <f t="array" ref="J600">5 - INT(5 * (RANK(G600,G:G, 1) - 1) / COUNT(G:G))</f>
        <v>2</v>
      </c>
      <c r="K600">
        <f t="array" ref="K600">INT(5 * (RANK(H600,H:H, 0) - 1) / COUNT(H:H)) + 1</f>
        <v>1</v>
      </c>
      <c r="L600">
        <f t="array" ref="L600">INT(5 * (RANK(I600,I:I, 0) - 1) / COUNT(I:I)) + 1</f>
        <v>1</v>
      </c>
      <c r="M600" t="str">
        <f t="shared" si="18"/>
        <v>211</v>
      </c>
      <c r="N600" s="6" t="str">
        <f t="shared" si="19"/>
        <v>Lost</v>
      </c>
    </row>
    <row r="601" spans="1:14" x14ac:dyDescent="0.35">
      <c r="A601">
        <v>1396</v>
      </c>
      <c r="B601" s="4">
        <v>45559.375085336993</v>
      </c>
      <c r="C601" t="s">
        <v>6</v>
      </c>
      <c r="D601" t="s">
        <v>20</v>
      </c>
      <c r="E601" t="s">
        <v>23</v>
      </c>
      <c r="F601">
        <v>1264.28</v>
      </c>
      <c r="G601">
        <f t="array" ref="G601">SalesData!$I$2 - 'RFM Table'!B601</f>
        <v>577</v>
      </c>
      <c r="H601">
        <f t="array" ref="H601">COUNTIF(A:A,A601)</f>
        <v>11</v>
      </c>
      <c r="I601">
        <f t="array" ref="I601">SUMIF(A:A,A601,F:F)</f>
        <v>54143.32</v>
      </c>
      <c r="J601">
        <f t="array" ref="J601">5 - INT(5 * (RANK(G601,G:G, 1) - 1) / COUNT(G:G))</f>
        <v>2</v>
      </c>
      <c r="K601">
        <f t="array" ref="K601">INT(5 * (RANK(H601,H:H, 0) - 1) / COUNT(H:H)) + 1</f>
        <v>1</v>
      </c>
      <c r="L601">
        <f t="array" ref="L601">INT(5 * (RANK(I601,I:I, 0) - 1) / COUNT(I:I)) + 1</f>
        <v>1</v>
      </c>
      <c r="M601" t="str">
        <f t="shared" si="18"/>
        <v>211</v>
      </c>
      <c r="N601" s="6" t="str">
        <f t="shared" si="19"/>
        <v>Lost</v>
      </c>
    </row>
    <row r="602" spans="1:14" x14ac:dyDescent="0.35">
      <c r="A602">
        <v>1114</v>
      </c>
      <c r="B602" s="4">
        <v>45559.375085336993</v>
      </c>
      <c r="C602" t="s">
        <v>7</v>
      </c>
      <c r="D602" t="s">
        <v>22</v>
      </c>
      <c r="E602" t="s">
        <v>24</v>
      </c>
      <c r="F602">
        <v>5817.52</v>
      </c>
      <c r="G602">
        <f t="array" ref="G602">SalesData!$I$2 - 'RFM Table'!B602</f>
        <v>577</v>
      </c>
      <c r="H602">
        <f t="array" ref="H602">COUNTIF(A:A,A602)</f>
        <v>5</v>
      </c>
      <c r="I602">
        <f t="array" ref="I602">SUMIF(A:A,A602,F:F)</f>
        <v>26334.340000000004</v>
      </c>
      <c r="J602">
        <f t="array" ref="J602">5 - INT(5 * (RANK(G602,G:G, 1) - 1) / COUNT(G:G))</f>
        <v>2</v>
      </c>
      <c r="K602">
        <f t="array" ref="K602">INT(5 * (RANK(H602,H:H, 0) - 1) / COUNT(H:H)) + 1</f>
        <v>5</v>
      </c>
      <c r="L602">
        <f t="array" ref="L602">INT(5 * (RANK(I602,I:I, 0) - 1) / COUNT(I:I)) + 1</f>
        <v>4</v>
      </c>
      <c r="M602" t="str">
        <f t="shared" si="18"/>
        <v>254</v>
      </c>
      <c r="N602" s="6" t="str">
        <f t="shared" si="19"/>
        <v>At Risk</v>
      </c>
    </row>
    <row r="603" spans="1:14" x14ac:dyDescent="0.35">
      <c r="A603">
        <v>1275</v>
      </c>
      <c r="B603" s="4">
        <v>45560.375085336993</v>
      </c>
      <c r="C603" t="s">
        <v>14</v>
      </c>
      <c r="D603" t="s">
        <v>19</v>
      </c>
      <c r="E603" t="s">
        <v>25</v>
      </c>
      <c r="F603">
        <v>618.37</v>
      </c>
      <c r="G603">
        <f t="array" ref="G603">SalesData!$I$2 - 'RFM Table'!B603</f>
        <v>576</v>
      </c>
      <c r="H603">
        <f t="array" ref="H603">COUNTIF(A:A,A603)</f>
        <v>3</v>
      </c>
      <c r="I603">
        <f t="array" ref="I603">SUMIF(A:A,A603,F:F)</f>
        <v>16365.279999999999</v>
      </c>
      <c r="J603">
        <f t="array" ref="J603">5 - INT(5 * (RANK(G603,G:G, 1) - 1) / COUNT(G:G))</f>
        <v>2</v>
      </c>
      <c r="K603">
        <f t="array" ref="K603">INT(5 * (RANK(H603,H:H, 0) - 1) / COUNT(H:H)) + 1</f>
        <v>5</v>
      </c>
      <c r="L603">
        <f t="array" ref="L603">INT(5 * (RANK(I603,I:I, 0) - 1) / COUNT(I:I)) + 1</f>
        <v>5</v>
      </c>
      <c r="M603" t="str">
        <f t="shared" si="18"/>
        <v>255</v>
      </c>
      <c r="N603" s="6" t="str">
        <f t="shared" si="19"/>
        <v>At Risk</v>
      </c>
    </row>
    <row r="604" spans="1:14" x14ac:dyDescent="0.35">
      <c r="A604">
        <v>1162</v>
      </c>
      <c r="B604" s="4">
        <v>45560.375085336993</v>
      </c>
      <c r="C604" t="s">
        <v>8</v>
      </c>
      <c r="D604" t="s">
        <v>22</v>
      </c>
      <c r="E604" t="s">
        <v>23</v>
      </c>
      <c r="F604">
        <v>558.12</v>
      </c>
      <c r="G604">
        <f t="array" ref="G604">SalesData!$I$2 - 'RFM Table'!B604</f>
        <v>576</v>
      </c>
      <c r="H604">
        <f t="array" ref="H604">COUNTIF(A:A,A604)</f>
        <v>8</v>
      </c>
      <c r="I604">
        <f t="array" ref="I604">SUMIF(A:A,A604,F:F)</f>
        <v>43723.900000000009</v>
      </c>
      <c r="J604">
        <f t="array" ref="J604">5 - INT(5 * (RANK(G604,G:G, 1) - 1) / COUNT(G:G))</f>
        <v>2</v>
      </c>
      <c r="K604">
        <f t="array" ref="K604">INT(5 * (RANK(H604,H:H, 0) - 1) / COUNT(H:H)) + 1</f>
        <v>3</v>
      </c>
      <c r="L604">
        <f t="array" ref="L604">INT(5 * (RANK(I604,I:I, 0) - 1) / COUNT(I:I)) + 1</f>
        <v>2</v>
      </c>
      <c r="M604" t="str">
        <f t="shared" si="18"/>
        <v>232</v>
      </c>
      <c r="N604" s="6" t="str">
        <f t="shared" si="19"/>
        <v>Others</v>
      </c>
    </row>
    <row r="605" spans="1:14" x14ac:dyDescent="0.35">
      <c r="A605">
        <v>1167</v>
      </c>
      <c r="B605" s="4">
        <v>45560.375085336993</v>
      </c>
      <c r="C605" t="s">
        <v>12</v>
      </c>
      <c r="D605" t="s">
        <v>18</v>
      </c>
      <c r="E605" t="s">
        <v>24</v>
      </c>
      <c r="F605">
        <v>646.37</v>
      </c>
      <c r="G605">
        <f t="array" ref="G605">SalesData!$I$2 - 'RFM Table'!B605</f>
        <v>576</v>
      </c>
      <c r="H605">
        <f t="array" ref="H605">COUNTIF(A:A,A605)</f>
        <v>5</v>
      </c>
      <c r="I605">
        <f t="array" ref="I605">SUMIF(A:A,A605,F:F)</f>
        <v>19417.830000000002</v>
      </c>
      <c r="J605">
        <f t="array" ref="J605">5 - INT(5 * (RANK(G605,G:G, 1) - 1) / COUNT(G:G))</f>
        <v>2</v>
      </c>
      <c r="K605">
        <f t="array" ref="K605">INT(5 * (RANK(H605,H:H, 0) - 1) / COUNT(H:H)) + 1</f>
        <v>5</v>
      </c>
      <c r="L605">
        <f t="array" ref="L605">INT(5 * (RANK(I605,I:I, 0) - 1) / COUNT(I:I)) + 1</f>
        <v>5</v>
      </c>
      <c r="M605" t="str">
        <f t="shared" si="18"/>
        <v>255</v>
      </c>
      <c r="N605" s="6" t="str">
        <f t="shared" si="19"/>
        <v>At Risk</v>
      </c>
    </row>
    <row r="606" spans="1:14" x14ac:dyDescent="0.35">
      <c r="A606">
        <v>1213</v>
      </c>
      <c r="B606" s="4">
        <v>45560.375085336993</v>
      </c>
      <c r="C606" t="s">
        <v>13</v>
      </c>
      <c r="D606" t="s">
        <v>21</v>
      </c>
      <c r="E606" t="s">
        <v>23</v>
      </c>
      <c r="F606">
        <v>1164.3699999999999</v>
      </c>
      <c r="G606">
        <f t="array" ref="G606">SalesData!$I$2 - 'RFM Table'!B606</f>
        <v>576</v>
      </c>
      <c r="H606">
        <f t="array" ref="H606">COUNTIF(A:A,A606)</f>
        <v>8</v>
      </c>
      <c r="I606">
        <f t="array" ref="I606">SUMIF(A:A,A606,F:F)</f>
        <v>27291.54</v>
      </c>
      <c r="J606">
        <f t="array" ref="J606">5 - INT(5 * (RANK(G606,G:G, 1) - 1) / COUNT(G:G))</f>
        <v>2</v>
      </c>
      <c r="K606">
        <f t="array" ref="K606">INT(5 * (RANK(H606,H:H, 0) - 1) / COUNT(H:H)) + 1</f>
        <v>3</v>
      </c>
      <c r="L606">
        <f t="array" ref="L606">INT(5 * (RANK(I606,I:I, 0) - 1) / COUNT(I:I)) + 1</f>
        <v>4</v>
      </c>
      <c r="M606" t="str">
        <f t="shared" si="18"/>
        <v>234</v>
      </c>
      <c r="N606" s="6" t="str">
        <f t="shared" si="19"/>
        <v>At Risk</v>
      </c>
    </row>
    <row r="607" spans="1:14" x14ac:dyDescent="0.35">
      <c r="A607">
        <v>1126</v>
      </c>
      <c r="B607" s="4">
        <v>45561.375085336993</v>
      </c>
      <c r="C607" t="s">
        <v>13</v>
      </c>
      <c r="D607" t="s">
        <v>18</v>
      </c>
      <c r="E607" t="s">
        <v>23</v>
      </c>
      <c r="F607">
        <v>6606.7</v>
      </c>
      <c r="G607">
        <f t="array" ref="G607">SalesData!$I$2 - 'RFM Table'!B607</f>
        <v>575</v>
      </c>
      <c r="H607">
        <f t="array" ref="H607">COUNTIF(A:A,A607)</f>
        <v>5</v>
      </c>
      <c r="I607">
        <f t="array" ref="I607">SUMIF(A:A,A607,F:F)</f>
        <v>16350.6</v>
      </c>
      <c r="J607">
        <f t="array" ref="J607">5 - INT(5 * (RANK(G607,G:G, 1) - 1) / COUNT(G:G))</f>
        <v>2</v>
      </c>
      <c r="K607">
        <f t="array" ref="K607">INT(5 * (RANK(H607,H:H, 0) - 1) / COUNT(H:H)) + 1</f>
        <v>5</v>
      </c>
      <c r="L607">
        <f t="array" ref="L607">INT(5 * (RANK(I607,I:I, 0) - 1) / COUNT(I:I)) + 1</f>
        <v>5</v>
      </c>
      <c r="M607" t="str">
        <f t="shared" si="18"/>
        <v>255</v>
      </c>
      <c r="N607" s="6" t="str">
        <f t="shared" si="19"/>
        <v>At Risk</v>
      </c>
    </row>
    <row r="608" spans="1:14" x14ac:dyDescent="0.35">
      <c r="A608">
        <v>1396</v>
      </c>
      <c r="B608" s="4">
        <v>45561.375085336993</v>
      </c>
      <c r="C608" t="s">
        <v>10</v>
      </c>
      <c r="D608" t="s">
        <v>21</v>
      </c>
      <c r="E608" t="s">
        <v>23</v>
      </c>
      <c r="F608">
        <v>5884.93</v>
      </c>
      <c r="G608">
        <f t="array" ref="G608">SalesData!$I$2 - 'RFM Table'!B608</f>
        <v>575</v>
      </c>
      <c r="H608">
        <f t="array" ref="H608">COUNTIF(A:A,A608)</f>
        <v>11</v>
      </c>
      <c r="I608">
        <f t="array" ref="I608">SUMIF(A:A,A608,F:F)</f>
        <v>54143.32</v>
      </c>
      <c r="J608">
        <f t="array" ref="J608">5 - INT(5 * (RANK(G608,G:G, 1) - 1) / COUNT(G:G))</f>
        <v>2</v>
      </c>
      <c r="K608">
        <f t="array" ref="K608">INT(5 * (RANK(H608,H:H, 0) - 1) / COUNT(H:H)) + 1</f>
        <v>1</v>
      </c>
      <c r="L608">
        <f t="array" ref="L608">INT(5 * (RANK(I608,I:I, 0) - 1) / COUNT(I:I)) + 1</f>
        <v>1</v>
      </c>
      <c r="M608" t="str">
        <f t="shared" si="18"/>
        <v>211</v>
      </c>
      <c r="N608" s="6" t="str">
        <f t="shared" si="19"/>
        <v>Lost</v>
      </c>
    </row>
    <row r="609" spans="1:14" x14ac:dyDescent="0.35">
      <c r="A609">
        <v>1021</v>
      </c>
      <c r="B609" s="4">
        <v>45561.375085336993</v>
      </c>
      <c r="C609" t="s">
        <v>10</v>
      </c>
      <c r="D609" t="s">
        <v>20</v>
      </c>
      <c r="E609" t="s">
        <v>25</v>
      </c>
      <c r="F609">
        <v>1281.7</v>
      </c>
      <c r="G609">
        <f t="array" ref="G609">SalesData!$I$2 - 'RFM Table'!B609</f>
        <v>575</v>
      </c>
      <c r="H609">
        <f t="array" ref="H609">COUNTIF(A:A,A609)</f>
        <v>7</v>
      </c>
      <c r="I609">
        <f t="array" ref="I609">SUMIF(A:A,A609,F:F)</f>
        <v>13087.390000000001</v>
      </c>
      <c r="J609">
        <f t="array" ref="J609">5 - INT(5 * (RANK(G609,G:G, 1) - 1) / COUNT(G:G))</f>
        <v>2</v>
      </c>
      <c r="K609">
        <f t="array" ref="K609">INT(5 * (RANK(H609,H:H, 0) - 1) / COUNT(H:H)) + 1</f>
        <v>4</v>
      </c>
      <c r="L609">
        <f t="array" ref="L609">INT(5 * (RANK(I609,I:I, 0) - 1) / COUNT(I:I)) + 1</f>
        <v>5</v>
      </c>
      <c r="M609" t="str">
        <f t="shared" si="18"/>
        <v>245</v>
      </c>
      <c r="N609" s="6" t="str">
        <f t="shared" si="19"/>
        <v>At Risk</v>
      </c>
    </row>
    <row r="610" spans="1:14" x14ac:dyDescent="0.35">
      <c r="A610">
        <v>1074</v>
      </c>
      <c r="B610" s="4">
        <v>45561.375085336993</v>
      </c>
      <c r="C610" t="s">
        <v>7</v>
      </c>
      <c r="D610" t="s">
        <v>20</v>
      </c>
      <c r="E610" t="s">
        <v>24</v>
      </c>
      <c r="F610">
        <v>3483.18</v>
      </c>
      <c r="G610">
        <f t="array" ref="G610">SalesData!$I$2 - 'RFM Table'!B610</f>
        <v>575</v>
      </c>
      <c r="H610">
        <f t="array" ref="H610">COUNTIF(A:A,A610)</f>
        <v>8</v>
      </c>
      <c r="I610">
        <f t="array" ref="I610">SUMIF(A:A,A610,F:F)</f>
        <v>23394.15</v>
      </c>
      <c r="J610">
        <f t="array" ref="J610">5 - INT(5 * (RANK(G610,G:G, 1) - 1) / COUNT(G:G))</f>
        <v>2</v>
      </c>
      <c r="K610">
        <f t="array" ref="K610">INT(5 * (RANK(H610,H:H, 0) - 1) / COUNT(H:H)) + 1</f>
        <v>3</v>
      </c>
      <c r="L610">
        <f t="array" ref="L610">INT(5 * (RANK(I610,I:I, 0) - 1) / COUNT(I:I)) + 1</f>
        <v>4</v>
      </c>
      <c r="M610" t="str">
        <f t="shared" si="18"/>
        <v>234</v>
      </c>
      <c r="N610" s="6" t="str">
        <f t="shared" si="19"/>
        <v>At Risk</v>
      </c>
    </row>
    <row r="611" spans="1:14" x14ac:dyDescent="0.35">
      <c r="A611">
        <v>1025</v>
      </c>
      <c r="B611" s="4">
        <v>45561.375085336993</v>
      </c>
      <c r="C611" t="s">
        <v>13</v>
      </c>
      <c r="D611" t="s">
        <v>19</v>
      </c>
      <c r="E611" t="s">
        <v>25</v>
      </c>
      <c r="F611">
        <v>2969.22</v>
      </c>
      <c r="G611">
        <f t="array" ref="G611">SalesData!$I$2 - 'RFM Table'!B611</f>
        <v>575</v>
      </c>
      <c r="H611">
        <f t="array" ref="H611">COUNTIF(A:A,A611)</f>
        <v>7</v>
      </c>
      <c r="I611">
        <f t="array" ref="I611">SUMIF(A:A,A611,F:F)</f>
        <v>16120.029999999999</v>
      </c>
      <c r="J611">
        <f t="array" ref="J611">5 - INT(5 * (RANK(G611,G:G, 1) - 1) / COUNT(G:G))</f>
        <v>2</v>
      </c>
      <c r="K611">
        <f t="array" ref="K611">INT(5 * (RANK(H611,H:H, 0) - 1) / COUNT(H:H)) + 1</f>
        <v>4</v>
      </c>
      <c r="L611">
        <f t="array" ref="L611">INT(5 * (RANK(I611,I:I, 0) - 1) / COUNT(I:I)) + 1</f>
        <v>5</v>
      </c>
      <c r="M611" t="str">
        <f t="shared" si="18"/>
        <v>245</v>
      </c>
      <c r="N611" s="6" t="str">
        <f t="shared" si="19"/>
        <v>At Risk</v>
      </c>
    </row>
    <row r="612" spans="1:14" x14ac:dyDescent="0.35">
      <c r="A612">
        <v>1119</v>
      </c>
      <c r="B612" s="4">
        <v>45561.375085336993</v>
      </c>
      <c r="C612" t="s">
        <v>12</v>
      </c>
      <c r="D612" t="s">
        <v>20</v>
      </c>
      <c r="E612" t="s">
        <v>24</v>
      </c>
      <c r="F612">
        <v>3625.59</v>
      </c>
      <c r="G612">
        <f t="array" ref="G612">SalesData!$I$2 - 'RFM Table'!B612</f>
        <v>575</v>
      </c>
      <c r="H612">
        <f t="array" ref="H612">COUNTIF(A:A,A612)</f>
        <v>8</v>
      </c>
      <c r="I612">
        <f t="array" ref="I612">SUMIF(A:A,A612,F:F)</f>
        <v>33012.819999999992</v>
      </c>
      <c r="J612">
        <f t="array" ref="J612">5 - INT(5 * (RANK(G612,G:G, 1) - 1) / COUNT(G:G))</f>
        <v>2</v>
      </c>
      <c r="K612">
        <f t="array" ref="K612">INT(5 * (RANK(H612,H:H, 0) - 1) / COUNT(H:H)) + 1</f>
        <v>3</v>
      </c>
      <c r="L612">
        <f t="array" ref="L612">INT(5 * (RANK(I612,I:I, 0) - 1) / COUNT(I:I)) + 1</f>
        <v>3</v>
      </c>
      <c r="M612" t="str">
        <f t="shared" si="18"/>
        <v>233</v>
      </c>
      <c r="N612" s="6" t="str">
        <f t="shared" si="19"/>
        <v>At Risk</v>
      </c>
    </row>
    <row r="613" spans="1:14" x14ac:dyDescent="0.35">
      <c r="A613">
        <v>1206</v>
      </c>
      <c r="B613" s="4">
        <v>45561.375085336993</v>
      </c>
      <c r="C613" t="s">
        <v>7</v>
      </c>
      <c r="D613" t="s">
        <v>16</v>
      </c>
      <c r="E613" t="s">
        <v>23</v>
      </c>
      <c r="F613">
        <v>1193.5899999999999</v>
      </c>
      <c r="G613">
        <f t="array" ref="G613">SalesData!$I$2 - 'RFM Table'!B613</f>
        <v>575</v>
      </c>
      <c r="H613">
        <f t="array" ref="H613">COUNTIF(A:A,A613)</f>
        <v>5</v>
      </c>
      <c r="I613">
        <f t="array" ref="I613">SUMIF(A:A,A613,F:F)</f>
        <v>18720.68</v>
      </c>
      <c r="J613">
        <f t="array" ref="J613">5 - INT(5 * (RANK(G613,G:G, 1) - 1) / COUNT(G:G))</f>
        <v>2</v>
      </c>
      <c r="K613">
        <f t="array" ref="K613">INT(5 * (RANK(H613,H:H, 0) - 1) / COUNT(H:H)) + 1</f>
        <v>5</v>
      </c>
      <c r="L613">
        <f t="array" ref="L613">INT(5 * (RANK(I613,I:I, 0) - 1) / COUNT(I:I)) + 1</f>
        <v>5</v>
      </c>
      <c r="M613" t="str">
        <f t="shared" si="18"/>
        <v>255</v>
      </c>
      <c r="N613" s="6" t="str">
        <f t="shared" si="19"/>
        <v>At Risk</v>
      </c>
    </row>
    <row r="614" spans="1:14" x14ac:dyDescent="0.35">
      <c r="A614">
        <v>1397</v>
      </c>
      <c r="B614" s="4">
        <v>45561.375085336993</v>
      </c>
      <c r="C614" t="s">
        <v>11</v>
      </c>
      <c r="D614" t="s">
        <v>22</v>
      </c>
      <c r="E614" t="s">
        <v>23</v>
      </c>
      <c r="F614">
        <v>4287.6400000000003</v>
      </c>
      <c r="G614">
        <f t="array" ref="G614">SalesData!$I$2 - 'RFM Table'!B614</f>
        <v>575</v>
      </c>
      <c r="H614">
        <f t="array" ref="H614">COUNTIF(A:A,A614)</f>
        <v>6</v>
      </c>
      <c r="I614">
        <f t="array" ref="I614">SUMIF(A:A,A614,F:F)</f>
        <v>17195.870000000003</v>
      </c>
      <c r="J614">
        <f t="array" ref="J614">5 - INT(5 * (RANK(G614,G:G, 1) - 1) / COUNT(G:G))</f>
        <v>2</v>
      </c>
      <c r="K614">
        <f t="array" ref="K614">INT(5 * (RANK(H614,H:H, 0) - 1) / COUNT(H:H)) + 1</f>
        <v>4</v>
      </c>
      <c r="L614">
        <f t="array" ref="L614">INT(5 * (RANK(I614,I:I, 0) - 1) / COUNT(I:I)) + 1</f>
        <v>5</v>
      </c>
      <c r="M614" t="str">
        <f t="shared" si="18"/>
        <v>245</v>
      </c>
      <c r="N614" s="6" t="str">
        <f t="shared" si="19"/>
        <v>At Risk</v>
      </c>
    </row>
    <row r="615" spans="1:14" x14ac:dyDescent="0.35">
      <c r="A615">
        <v>1012</v>
      </c>
      <c r="B615" s="4">
        <v>45562.375085336993</v>
      </c>
      <c r="C615" t="s">
        <v>6</v>
      </c>
      <c r="D615" t="s">
        <v>16</v>
      </c>
      <c r="E615" t="s">
        <v>25</v>
      </c>
      <c r="F615">
        <v>1606.09</v>
      </c>
      <c r="G615">
        <f t="array" ref="G615">SalesData!$I$2 - 'RFM Table'!B615</f>
        <v>574</v>
      </c>
      <c r="H615">
        <f t="array" ref="H615">COUNTIF(A:A,A615)</f>
        <v>8</v>
      </c>
      <c r="I615">
        <f t="array" ref="I615">SUMIF(A:A,A615,F:F)</f>
        <v>35967.03</v>
      </c>
      <c r="J615">
        <f t="array" ref="J615">5 - INT(5 * (RANK(G615,G:G, 1) - 1) / COUNT(G:G))</f>
        <v>2</v>
      </c>
      <c r="K615">
        <f t="array" ref="K615">INT(5 * (RANK(H615,H:H, 0) - 1) / COUNT(H:H)) + 1</f>
        <v>3</v>
      </c>
      <c r="L615">
        <f t="array" ref="L615">INT(5 * (RANK(I615,I:I, 0) - 1) / COUNT(I:I)) + 1</f>
        <v>3</v>
      </c>
      <c r="M615" t="str">
        <f t="shared" si="18"/>
        <v>233</v>
      </c>
      <c r="N615" s="6" t="str">
        <f t="shared" si="19"/>
        <v>At Risk</v>
      </c>
    </row>
    <row r="616" spans="1:14" x14ac:dyDescent="0.35">
      <c r="A616">
        <v>1248</v>
      </c>
      <c r="B616" s="4">
        <v>45562.375085336993</v>
      </c>
      <c r="C616" t="s">
        <v>11</v>
      </c>
      <c r="D616" t="s">
        <v>20</v>
      </c>
      <c r="E616" t="s">
        <v>24</v>
      </c>
      <c r="F616">
        <v>1197.17</v>
      </c>
      <c r="G616">
        <f t="array" ref="G616">SalesData!$I$2 - 'RFM Table'!B616</f>
        <v>574</v>
      </c>
      <c r="H616">
        <f t="array" ref="H616">COUNTIF(A:A,A616)</f>
        <v>7</v>
      </c>
      <c r="I616">
        <f t="array" ref="I616">SUMIF(A:A,A616,F:F)</f>
        <v>27796.990000000005</v>
      </c>
      <c r="J616">
        <f t="array" ref="J616">5 - INT(5 * (RANK(G616,G:G, 1) - 1) / COUNT(G:G))</f>
        <v>2</v>
      </c>
      <c r="K616">
        <f t="array" ref="K616">INT(5 * (RANK(H616,H:H, 0) - 1) / COUNT(H:H)) + 1</f>
        <v>4</v>
      </c>
      <c r="L616">
        <f t="array" ref="L616">INT(5 * (RANK(I616,I:I, 0) - 1) / COUNT(I:I)) + 1</f>
        <v>4</v>
      </c>
      <c r="M616" t="str">
        <f t="shared" si="18"/>
        <v>244</v>
      </c>
      <c r="N616" s="6" t="str">
        <f t="shared" si="19"/>
        <v>At Risk</v>
      </c>
    </row>
    <row r="617" spans="1:14" x14ac:dyDescent="0.35">
      <c r="A617">
        <v>1120</v>
      </c>
      <c r="B617" s="4">
        <v>45564.375085336993</v>
      </c>
      <c r="C617" t="s">
        <v>8</v>
      </c>
      <c r="D617" t="s">
        <v>16</v>
      </c>
      <c r="E617" t="s">
        <v>23</v>
      </c>
      <c r="F617">
        <v>1600.07</v>
      </c>
      <c r="G617">
        <f t="array" ref="G617">SalesData!$I$2 - 'RFM Table'!B617</f>
        <v>572</v>
      </c>
      <c r="H617">
        <f t="array" ref="H617">COUNTIF(A:A,A617)</f>
        <v>7</v>
      </c>
      <c r="I617">
        <f t="array" ref="I617">SUMIF(A:A,A617,F:F)</f>
        <v>12366.910000000002</v>
      </c>
      <c r="J617">
        <f t="array" ref="J617">5 - INT(5 * (RANK(G617,G:G, 1) - 1) / COUNT(G:G))</f>
        <v>2</v>
      </c>
      <c r="K617">
        <f t="array" ref="K617">INT(5 * (RANK(H617,H:H, 0) - 1) / COUNT(H:H)) + 1</f>
        <v>4</v>
      </c>
      <c r="L617">
        <f t="array" ref="L617">INT(5 * (RANK(I617,I:I, 0) - 1) / COUNT(I:I)) + 1</f>
        <v>5</v>
      </c>
      <c r="M617" t="str">
        <f t="shared" si="18"/>
        <v>245</v>
      </c>
      <c r="N617" s="6" t="str">
        <f t="shared" si="19"/>
        <v>At Risk</v>
      </c>
    </row>
    <row r="618" spans="1:14" x14ac:dyDescent="0.35">
      <c r="A618">
        <v>1020</v>
      </c>
      <c r="B618" s="4">
        <v>45564.375085336993</v>
      </c>
      <c r="C618" t="s">
        <v>10</v>
      </c>
      <c r="D618" t="s">
        <v>20</v>
      </c>
      <c r="E618" t="s">
        <v>23</v>
      </c>
      <c r="F618">
        <v>5711.15</v>
      </c>
      <c r="G618">
        <f t="array" ref="G618">SalesData!$I$2 - 'RFM Table'!B618</f>
        <v>572</v>
      </c>
      <c r="H618">
        <f t="array" ref="H618">COUNTIF(A:A,A618)</f>
        <v>6</v>
      </c>
      <c r="I618">
        <f t="array" ref="I618">SUMIF(A:A,A618,F:F)</f>
        <v>22687.77</v>
      </c>
      <c r="J618">
        <f t="array" ref="J618">5 - INT(5 * (RANK(G618,G:G, 1) - 1) / COUNT(G:G))</f>
        <v>2</v>
      </c>
      <c r="K618">
        <f t="array" ref="K618">INT(5 * (RANK(H618,H:H, 0) - 1) / COUNT(H:H)) + 1</f>
        <v>4</v>
      </c>
      <c r="L618">
        <f t="array" ref="L618">INT(5 * (RANK(I618,I:I, 0) - 1) / COUNT(I:I)) + 1</f>
        <v>4</v>
      </c>
      <c r="M618" t="str">
        <f t="shared" si="18"/>
        <v>244</v>
      </c>
      <c r="N618" s="6" t="str">
        <f t="shared" si="19"/>
        <v>At Risk</v>
      </c>
    </row>
    <row r="619" spans="1:14" x14ac:dyDescent="0.35">
      <c r="A619">
        <v>1294</v>
      </c>
      <c r="B619" s="4">
        <v>45564.375085336993</v>
      </c>
      <c r="C619" t="s">
        <v>15</v>
      </c>
      <c r="D619" t="s">
        <v>20</v>
      </c>
      <c r="E619" t="s">
        <v>24</v>
      </c>
      <c r="F619">
        <v>1360.08</v>
      </c>
      <c r="G619">
        <f t="array" ref="G619">SalesData!$I$2 - 'RFM Table'!B619</f>
        <v>572</v>
      </c>
      <c r="H619">
        <f t="array" ref="H619">COUNTIF(A:A,A619)</f>
        <v>7</v>
      </c>
      <c r="I619">
        <f t="array" ref="I619">SUMIF(A:A,A619,F:F)</f>
        <v>18314.88</v>
      </c>
      <c r="J619">
        <f t="array" ref="J619">5 - INT(5 * (RANK(G619,G:G, 1) - 1) / COUNT(G:G))</f>
        <v>2</v>
      </c>
      <c r="K619">
        <f t="array" ref="K619">INT(5 * (RANK(H619,H:H, 0) - 1) / COUNT(H:H)) + 1</f>
        <v>4</v>
      </c>
      <c r="L619">
        <f t="array" ref="L619">INT(5 * (RANK(I619,I:I, 0) - 1) / COUNT(I:I)) + 1</f>
        <v>5</v>
      </c>
      <c r="M619" t="str">
        <f t="shared" si="18"/>
        <v>245</v>
      </c>
      <c r="N619" s="6" t="str">
        <f t="shared" si="19"/>
        <v>At Risk</v>
      </c>
    </row>
    <row r="620" spans="1:14" x14ac:dyDescent="0.35">
      <c r="A620">
        <v>1020</v>
      </c>
      <c r="B620" s="4">
        <v>45564.375085336993</v>
      </c>
      <c r="C620" t="s">
        <v>9</v>
      </c>
      <c r="D620" t="s">
        <v>20</v>
      </c>
      <c r="E620" t="s">
        <v>24</v>
      </c>
      <c r="F620">
        <v>5340.42</v>
      </c>
      <c r="G620">
        <f t="array" ref="G620">SalesData!$I$2 - 'RFM Table'!B620</f>
        <v>572</v>
      </c>
      <c r="H620">
        <f t="array" ref="H620">COUNTIF(A:A,A620)</f>
        <v>6</v>
      </c>
      <c r="I620">
        <f t="array" ref="I620">SUMIF(A:A,A620,F:F)</f>
        <v>22687.77</v>
      </c>
      <c r="J620">
        <f t="array" ref="J620">5 - INT(5 * (RANK(G620,G:G, 1) - 1) / COUNT(G:G))</f>
        <v>2</v>
      </c>
      <c r="K620">
        <f t="array" ref="K620">INT(5 * (RANK(H620,H:H, 0) - 1) / COUNT(H:H)) + 1</f>
        <v>4</v>
      </c>
      <c r="L620">
        <f t="array" ref="L620">INT(5 * (RANK(I620,I:I, 0) - 1) / COUNT(I:I)) + 1</f>
        <v>4</v>
      </c>
      <c r="M620" t="str">
        <f t="shared" si="18"/>
        <v>244</v>
      </c>
      <c r="N620" s="6" t="str">
        <f t="shared" si="19"/>
        <v>At Risk</v>
      </c>
    </row>
    <row r="621" spans="1:14" x14ac:dyDescent="0.35">
      <c r="A621">
        <v>1381</v>
      </c>
      <c r="B621" s="4">
        <v>45565.375085336993</v>
      </c>
      <c r="C621" t="s">
        <v>11</v>
      </c>
      <c r="D621" t="s">
        <v>20</v>
      </c>
      <c r="E621" t="s">
        <v>25</v>
      </c>
      <c r="F621">
        <v>10589.6</v>
      </c>
      <c r="G621">
        <f t="array" ref="G621">SalesData!$I$2 - 'RFM Table'!B621</f>
        <v>571</v>
      </c>
      <c r="H621">
        <f t="array" ref="H621">COUNTIF(A:A,A621)</f>
        <v>7</v>
      </c>
      <c r="I621">
        <f t="array" ref="I621">SUMIF(A:A,A621,F:F)</f>
        <v>32953.599999999999</v>
      </c>
      <c r="J621">
        <f t="array" ref="J621">5 - INT(5 * (RANK(G621,G:G, 1) - 1) / COUNT(G:G))</f>
        <v>2</v>
      </c>
      <c r="K621">
        <f t="array" ref="K621">INT(5 * (RANK(H621,H:H, 0) - 1) / COUNT(H:H)) + 1</f>
        <v>4</v>
      </c>
      <c r="L621">
        <f t="array" ref="L621">INT(5 * (RANK(I621,I:I, 0) - 1) / COUNT(I:I)) + 1</f>
        <v>3</v>
      </c>
      <c r="M621" t="str">
        <f t="shared" si="18"/>
        <v>243</v>
      </c>
      <c r="N621" s="6" t="str">
        <f t="shared" si="19"/>
        <v>At Risk</v>
      </c>
    </row>
    <row r="622" spans="1:14" x14ac:dyDescent="0.35">
      <c r="A622">
        <v>1007</v>
      </c>
      <c r="B622" s="4">
        <v>45565.375085336993</v>
      </c>
      <c r="C622" t="s">
        <v>9</v>
      </c>
      <c r="D622" t="s">
        <v>20</v>
      </c>
      <c r="E622" t="s">
        <v>23</v>
      </c>
      <c r="F622">
        <v>3754.92</v>
      </c>
      <c r="G622">
        <f t="array" ref="G622">SalesData!$I$2 - 'RFM Table'!B622</f>
        <v>571</v>
      </c>
      <c r="H622">
        <f t="array" ref="H622">COUNTIF(A:A,A622)</f>
        <v>9</v>
      </c>
      <c r="I622">
        <f t="array" ref="I622">SUMIF(A:A,A622,F:F)</f>
        <v>47571.369999999995</v>
      </c>
      <c r="J622">
        <f t="array" ref="J622">5 - INT(5 * (RANK(G622,G:G, 1) - 1) / COUNT(G:G))</f>
        <v>2</v>
      </c>
      <c r="K622">
        <f t="array" ref="K622">INT(5 * (RANK(H622,H:H, 0) - 1) / COUNT(H:H)) + 1</f>
        <v>2</v>
      </c>
      <c r="L622">
        <f t="array" ref="L622">INT(5 * (RANK(I622,I:I, 0) - 1) / COUNT(I:I)) + 1</f>
        <v>1</v>
      </c>
      <c r="M622" t="str">
        <f t="shared" si="18"/>
        <v>221</v>
      </c>
      <c r="N622" s="6" t="str">
        <f t="shared" si="19"/>
        <v>Lost</v>
      </c>
    </row>
    <row r="623" spans="1:14" x14ac:dyDescent="0.35">
      <c r="A623">
        <v>1217</v>
      </c>
      <c r="B623" s="4">
        <v>45566.375085336993</v>
      </c>
      <c r="C623" t="s">
        <v>15</v>
      </c>
      <c r="D623" t="s">
        <v>21</v>
      </c>
      <c r="E623" t="s">
        <v>24</v>
      </c>
      <c r="F623">
        <v>5163.78</v>
      </c>
      <c r="G623">
        <f t="array" ref="G623">SalesData!$I$2 - 'RFM Table'!B623</f>
        <v>570</v>
      </c>
      <c r="H623">
        <f t="array" ref="H623">COUNTIF(A:A,A623)</f>
        <v>9</v>
      </c>
      <c r="I623">
        <f t="array" ref="I623">SUMIF(A:A,A623,F:F)</f>
        <v>33349.999999999993</v>
      </c>
      <c r="J623">
        <f t="array" ref="J623">5 - INT(5 * (RANK(G623,G:G, 1) - 1) / COUNT(G:G))</f>
        <v>2</v>
      </c>
      <c r="K623">
        <f t="array" ref="K623">INT(5 * (RANK(H623,H:H, 0) - 1) / COUNT(H:H)) + 1</f>
        <v>2</v>
      </c>
      <c r="L623">
        <f t="array" ref="L623">INT(5 * (RANK(I623,I:I, 0) - 1) / COUNT(I:I)) + 1</f>
        <v>3</v>
      </c>
      <c r="M623" t="str">
        <f t="shared" si="18"/>
        <v>223</v>
      </c>
      <c r="N623" s="6" t="str">
        <f t="shared" si="19"/>
        <v>Can't Lose Them</v>
      </c>
    </row>
    <row r="624" spans="1:14" x14ac:dyDescent="0.35">
      <c r="A624">
        <v>1396</v>
      </c>
      <c r="B624" s="4">
        <v>45566.375085336993</v>
      </c>
      <c r="C624" t="s">
        <v>6</v>
      </c>
      <c r="D624" t="s">
        <v>17</v>
      </c>
      <c r="E624" t="s">
        <v>25</v>
      </c>
      <c r="F624">
        <v>3660.36</v>
      </c>
      <c r="G624">
        <f t="array" ref="G624">SalesData!$I$2 - 'RFM Table'!B624</f>
        <v>570</v>
      </c>
      <c r="H624">
        <f t="array" ref="H624">COUNTIF(A:A,A624)</f>
        <v>11</v>
      </c>
      <c r="I624">
        <f t="array" ref="I624">SUMIF(A:A,A624,F:F)</f>
        <v>54143.32</v>
      </c>
      <c r="J624">
        <f t="array" ref="J624">5 - INT(5 * (RANK(G624,G:G, 1) - 1) / COUNT(G:G))</f>
        <v>2</v>
      </c>
      <c r="K624">
        <f t="array" ref="K624">INT(5 * (RANK(H624,H:H, 0) - 1) / COUNT(H:H)) + 1</f>
        <v>1</v>
      </c>
      <c r="L624">
        <f t="array" ref="L624">INT(5 * (RANK(I624,I:I, 0) - 1) / COUNT(I:I)) + 1</f>
        <v>1</v>
      </c>
      <c r="M624" t="str">
        <f t="shared" si="18"/>
        <v>211</v>
      </c>
      <c r="N624" s="6" t="str">
        <f t="shared" si="19"/>
        <v>Lost</v>
      </c>
    </row>
    <row r="625" spans="1:14" x14ac:dyDescent="0.35">
      <c r="A625">
        <v>1009</v>
      </c>
      <c r="B625" s="4">
        <v>45566.375085336993</v>
      </c>
      <c r="C625" t="s">
        <v>14</v>
      </c>
      <c r="D625" t="s">
        <v>16</v>
      </c>
      <c r="E625" t="s">
        <v>23</v>
      </c>
      <c r="F625">
        <v>1118.29</v>
      </c>
      <c r="G625">
        <f t="array" ref="G625">SalesData!$I$2 - 'RFM Table'!B625</f>
        <v>570</v>
      </c>
      <c r="H625">
        <f t="array" ref="H625">COUNTIF(A:A,A625)</f>
        <v>9</v>
      </c>
      <c r="I625">
        <f t="array" ref="I625">SUMIF(A:A,A625,F:F)</f>
        <v>30047.29</v>
      </c>
      <c r="J625">
        <f t="array" ref="J625">5 - INT(5 * (RANK(G625,G:G, 1) - 1) / COUNT(G:G))</f>
        <v>2</v>
      </c>
      <c r="K625">
        <f t="array" ref="K625">INT(5 * (RANK(H625,H:H, 0) - 1) / COUNT(H:H)) + 1</f>
        <v>2</v>
      </c>
      <c r="L625">
        <f t="array" ref="L625">INT(5 * (RANK(I625,I:I, 0) - 1) / COUNT(I:I)) + 1</f>
        <v>3</v>
      </c>
      <c r="M625" t="str">
        <f t="shared" si="18"/>
        <v>223</v>
      </c>
      <c r="N625" s="6" t="str">
        <f t="shared" si="19"/>
        <v>Can't Lose Them</v>
      </c>
    </row>
    <row r="626" spans="1:14" x14ac:dyDescent="0.35">
      <c r="A626">
        <v>1051</v>
      </c>
      <c r="B626" s="4">
        <v>45566.375085336993</v>
      </c>
      <c r="C626" t="s">
        <v>12</v>
      </c>
      <c r="D626" t="s">
        <v>18</v>
      </c>
      <c r="E626" t="s">
        <v>23</v>
      </c>
      <c r="F626">
        <v>1923.21</v>
      </c>
      <c r="G626">
        <f t="array" ref="G626">SalesData!$I$2 - 'RFM Table'!B626</f>
        <v>570</v>
      </c>
      <c r="H626">
        <f t="array" ref="H626">COUNTIF(A:A,A626)</f>
        <v>6</v>
      </c>
      <c r="I626">
        <f t="array" ref="I626">SUMIF(A:A,A626,F:F)</f>
        <v>12660.78</v>
      </c>
      <c r="J626">
        <f t="array" ref="J626">5 - INT(5 * (RANK(G626,G:G, 1) - 1) / COUNT(G:G))</f>
        <v>2</v>
      </c>
      <c r="K626">
        <f t="array" ref="K626">INT(5 * (RANK(H626,H:H, 0) - 1) / COUNT(H:H)) + 1</f>
        <v>4</v>
      </c>
      <c r="L626">
        <f t="array" ref="L626">INT(5 * (RANK(I626,I:I, 0) - 1) / COUNT(I:I)) + 1</f>
        <v>5</v>
      </c>
      <c r="M626" t="str">
        <f t="shared" si="18"/>
        <v>245</v>
      </c>
      <c r="N626" s="6" t="str">
        <f t="shared" si="19"/>
        <v>At Risk</v>
      </c>
    </row>
    <row r="627" spans="1:14" x14ac:dyDescent="0.35">
      <c r="A627">
        <v>1169</v>
      </c>
      <c r="B627" s="4">
        <v>45566.375085336993</v>
      </c>
      <c r="C627" t="s">
        <v>13</v>
      </c>
      <c r="D627" t="s">
        <v>21</v>
      </c>
      <c r="E627" t="s">
        <v>24</v>
      </c>
      <c r="F627">
        <v>2748.53</v>
      </c>
      <c r="G627">
        <f t="array" ref="G627">SalesData!$I$2 - 'RFM Table'!B627</f>
        <v>570</v>
      </c>
      <c r="H627">
        <f t="array" ref="H627">COUNTIF(A:A,A627)</f>
        <v>10</v>
      </c>
      <c r="I627">
        <f t="array" ref="I627">SUMIF(A:A,A627,F:F)</f>
        <v>45640.06</v>
      </c>
      <c r="J627">
        <f t="array" ref="J627">5 - INT(5 * (RANK(G627,G:G, 1) - 1) / COUNT(G:G))</f>
        <v>2</v>
      </c>
      <c r="K627">
        <f t="array" ref="K627">INT(5 * (RANK(H627,H:H, 0) - 1) / COUNT(H:H)) + 1</f>
        <v>2</v>
      </c>
      <c r="L627">
        <f t="array" ref="L627">INT(5 * (RANK(I627,I:I, 0) - 1) / COUNT(I:I)) + 1</f>
        <v>1</v>
      </c>
      <c r="M627" t="str">
        <f t="shared" si="18"/>
        <v>221</v>
      </c>
      <c r="N627" s="6" t="str">
        <f t="shared" si="19"/>
        <v>Lost</v>
      </c>
    </row>
    <row r="628" spans="1:14" x14ac:dyDescent="0.35">
      <c r="A628">
        <v>1302</v>
      </c>
      <c r="B628" s="4">
        <v>45567.375085336993</v>
      </c>
      <c r="C628" t="s">
        <v>6</v>
      </c>
      <c r="D628" t="s">
        <v>22</v>
      </c>
      <c r="E628" t="s">
        <v>25</v>
      </c>
      <c r="F628">
        <v>7317.73</v>
      </c>
      <c r="G628">
        <f t="array" ref="G628">SalesData!$I$2 - 'RFM Table'!B628</f>
        <v>569</v>
      </c>
      <c r="H628">
        <f t="array" ref="H628">COUNTIF(A:A,A628)</f>
        <v>13</v>
      </c>
      <c r="I628">
        <f t="array" ref="I628">SUMIF(A:A,A628,F:F)</f>
        <v>51409.87</v>
      </c>
      <c r="J628">
        <f t="array" ref="J628">5 - INT(5 * (RANK(G628,G:G, 1) - 1) / COUNT(G:G))</f>
        <v>2</v>
      </c>
      <c r="K628">
        <f t="array" ref="K628">INT(5 * (RANK(H628,H:H, 0) - 1) / COUNT(H:H)) + 1</f>
        <v>1</v>
      </c>
      <c r="L628">
        <f t="array" ref="L628">INT(5 * (RANK(I628,I:I, 0) - 1) / COUNT(I:I)) + 1</f>
        <v>1</v>
      </c>
      <c r="M628" t="str">
        <f t="shared" si="18"/>
        <v>211</v>
      </c>
      <c r="N628" s="6" t="str">
        <f t="shared" si="19"/>
        <v>Lost</v>
      </c>
    </row>
    <row r="629" spans="1:14" x14ac:dyDescent="0.35">
      <c r="A629">
        <v>1150</v>
      </c>
      <c r="B629" s="4">
        <v>45567.375085336993</v>
      </c>
      <c r="C629" t="s">
        <v>10</v>
      </c>
      <c r="D629" t="s">
        <v>20</v>
      </c>
      <c r="E629" t="s">
        <v>24</v>
      </c>
      <c r="F629">
        <v>1754.76</v>
      </c>
      <c r="G629">
        <f t="array" ref="G629">SalesData!$I$2 - 'RFM Table'!B629</f>
        <v>569</v>
      </c>
      <c r="H629">
        <f t="array" ref="H629">COUNTIF(A:A,A629)</f>
        <v>10</v>
      </c>
      <c r="I629">
        <f t="array" ref="I629">SUMIF(A:A,A629,F:F)</f>
        <v>34643.039999999994</v>
      </c>
      <c r="J629">
        <f t="array" ref="J629">5 - INT(5 * (RANK(G629,G:G, 1) - 1) / COUNT(G:G))</f>
        <v>2</v>
      </c>
      <c r="K629">
        <f t="array" ref="K629">INT(5 * (RANK(H629,H:H, 0) - 1) / COUNT(H:H)) + 1</f>
        <v>2</v>
      </c>
      <c r="L629">
        <f t="array" ref="L629">INT(5 * (RANK(I629,I:I, 0) - 1) / COUNT(I:I)) + 1</f>
        <v>3</v>
      </c>
      <c r="M629" t="str">
        <f t="shared" si="18"/>
        <v>223</v>
      </c>
      <c r="N629" s="6" t="str">
        <f t="shared" si="19"/>
        <v>Can't Lose Them</v>
      </c>
    </row>
    <row r="630" spans="1:14" x14ac:dyDescent="0.35">
      <c r="A630">
        <v>1119</v>
      </c>
      <c r="B630" s="4">
        <v>45567.375085336993</v>
      </c>
      <c r="C630" t="s">
        <v>7</v>
      </c>
      <c r="D630" t="s">
        <v>17</v>
      </c>
      <c r="E630" t="s">
        <v>23</v>
      </c>
      <c r="F630">
        <v>801.53</v>
      </c>
      <c r="G630">
        <f t="array" ref="G630">SalesData!$I$2 - 'RFM Table'!B630</f>
        <v>569</v>
      </c>
      <c r="H630">
        <f t="array" ref="H630">COUNTIF(A:A,A630)</f>
        <v>8</v>
      </c>
      <c r="I630">
        <f t="array" ref="I630">SUMIF(A:A,A630,F:F)</f>
        <v>33012.819999999992</v>
      </c>
      <c r="J630">
        <f t="array" ref="J630">5 - INT(5 * (RANK(G630,G:G, 1) - 1) / COUNT(G:G))</f>
        <v>2</v>
      </c>
      <c r="K630">
        <f t="array" ref="K630">INT(5 * (RANK(H630,H:H, 0) - 1) / COUNT(H:H)) + 1</f>
        <v>3</v>
      </c>
      <c r="L630">
        <f t="array" ref="L630">INT(5 * (RANK(I630,I:I, 0) - 1) / COUNT(I:I)) + 1</f>
        <v>3</v>
      </c>
      <c r="M630" t="str">
        <f t="shared" si="18"/>
        <v>233</v>
      </c>
      <c r="N630" s="6" t="str">
        <f t="shared" si="19"/>
        <v>At Risk</v>
      </c>
    </row>
    <row r="631" spans="1:14" x14ac:dyDescent="0.35">
      <c r="A631">
        <v>1145</v>
      </c>
      <c r="B631" s="4">
        <v>45567.375085336993</v>
      </c>
      <c r="C631" t="s">
        <v>7</v>
      </c>
      <c r="D631" t="s">
        <v>16</v>
      </c>
      <c r="E631" t="s">
        <v>23</v>
      </c>
      <c r="F631">
        <v>9129.56</v>
      </c>
      <c r="G631">
        <f t="array" ref="G631">SalesData!$I$2 - 'RFM Table'!B631</f>
        <v>569</v>
      </c>
      <c r="H631">
        <f t="array" ref="H631">COUNTIF(A:A,A631)</f>
        <v>9</v>
      </c>
      <c r="I631">
        <f t="array" ref="I631">SUMIF(A:A,A631,F:F)</f>
        <v>36233.340000000004</v>
      </c>
      <c r="J631">
        <f t="array" ref="J631">5 - INT(5 * (RANK(G631,G:G, 1) - 1) / COUNT(G:G))</f>
        <v>2</v>
      </c>
      <c r="K631">
        <f t="array" ref="K631">INT(5 * (RANK(H631,H:H, 0) - 1) / COUNT(H:H)) + 1</f>
        <v>2</v>
      </c>
      <c r="L631">
        <f t="array" ref="L631">INT(5 * (RANK(I631,I:I, 0) - 1) / COUNT(I:I)) + 1</f>
        <v>3</v>
      </c>
      <c r="M631" t="str">
        <f t="shared" si="18"/>
        <v>223</v>
      </c>
      <c r="N631" s="6" t="str">
        <f t="shared" si="19"/>
        <v>Can't Lose Them</v>
      </c>
    </row>
    <row r="632" spans="1:14" x14ac:dyDescent="0.35">
      <c r="A632">
        <v>1106</v>
      </c>
      <c r="B632" s="4">
        <v>45567.375085336993</v>
      </c>
      <c r="C632" t="s">
        <v>13</v>
      </c>
      <c r="D632" t="s">
        <v>17</v>
      </c>
      <c r="E632" t="s">
        <v>25</v>
      </c>
      <c r="F632">
        <v>2521.7399999999998</v>
      </c>
      <c r="G632">
        <f t="array" ref="G632">SalesData!$I$2 - 'RFM Table'!B632</f>
        <v>569</v>
      </c>
      <c r="H632">
        <f t="array" ref="H632">COUNTIF(A:A,A632)</f>
        <v>5</v>
      </c>
      <c r="I632">
        <f t="array" ref="I632">SUMIF(A:A,A632,F:F)</f>
        <v>15143.41</v>
      </c>
      <c r="J632">
        <f t="array" ref="J632">5 - INT(5 * (RANK(G632,G:G, 1) - 1) / COUNT(G:G))</f>
        <v>2</v>
      </c>
      <c r="K632">
        <f t="array" ref="K632">INT(5 * (RANK(H632,H:H, 0) - 1) / COUNT(H:H)) + 1</f>
        <v>5</v>
      </c>
      <c r="L632">
        <f t="array" ref="L632">INT(5 * (RANK(I632,I:I, 0) - 1) / COUNT(I:I)) + 1</f>
        <v>5</v>
      </c>
      <c r="M632" t="str">
        <f t="shared" si="18"/>
        <v>255</v>
      </c>
      <c r="N632" s="6" t="str">
        <f t="shared" si="19"/>
        <v>At Risk</v>
      </c>
    </row>
    <row r="633" spans="1:14" x14ac:dyDescent="0.35">
      <c r="A633">
        <v>1146</v>
      </c>
      <c r="B633" s="4">
        <v>45567.375085336993</v>
      </c>
      <c r="C633" t="s">
        <v>7</v>
      </c>
      <c r="D633" t="s">
        <v>22</v>
      </c>
      <c r="E633" t="s">
        <v>25</v>
      </c>
      <c r="F633">
        <v>3845.09</v>
      </c>
      <c r="G633">
        <f t="array" ref="G633">SalesData!$I$2 - 'RFM Table'!B633</f>
        <v>569</v>
      </c>
      <c r="H633">
        <f t="array" ref="H633">COUNTIF(A:A,A633)</f>
        <v>11</v>
      </c>
      <c r="I633">
        <f t="array" ref="I633">SUMIF(A:A,A633,F:F)</f>
        <v>43110.84</v>
      </c>
      <c r="J633">
        <f t="array" ref="J633">5 - INT(5 * (RANK(G633,G:G, 1) - 1) / COUNT(G:G))</f>
        <v>2</v>
      </c>
      <c r="K633">
        <f t="array" ref="K633">INT(5 * (RANK(H633,H:H, 0) - 1) / COUNT(H:H)) + 1</f>
        <v>1</v>
      </c>
      <c r="L633">
        <f t="array" ref="L633">INT(5 * (RANK(I633,I:I, 0) - 1) / COUNT(I:I)) + 1</f>
        <v>2</v>
      </c>
      <c r="M633" t="str">
        <f t="shared" si="18"/>
        <v>212</v>
      </c>
      <c r="N633" s="6" t="str">
        <f t="shared" si="19"/>
        <v>Lost</v>
      </c>
    </row>
    <row r="634" spans="1:14" x14ac:dyDescent="0.35">
      <c r="A634">
        <v>1191</v>
      </c>
      <c r="B634" s="4">
        <v>45567.375085336993</v>
      </c>
      <c r="C634" t="s">
        <v>11</v>
      </c>
      <c r="D634" t="s">
        <v>21</v>
      </c>
      <c r="E634" t="s">
        <v>25</v>
      </c>
      <c r="F634">
        <v>1539.12</v>
      </c>
      <c r="G634">
        <f t="array" ref="G634">SalesData!$I$2 - 'RFM Table'!B634</f>
        <v>569</v>
      </c>
      <c r="H634">
        <f t="array" ref="H634">COUNTIF(A:A,A634)</f>
        <v>11</v>
      </c>
      <c r="I634">
        <f t="array" ref="I634">SUMIF(A:A,A634,F:F)</f>
        <v>30527.53</v>
      </c>
      <c r="J634">
        <f t="array" ref="J634">5 - INT(5 * (RANK(G634,G:G, 1) - 1) / COUNT(G:G))</f>
        <v>2</v>
      </c>
      <c r="K634">
        <f t="array" ref="K634">INT(5 * (RANK(H634,H:H, 0) - 1) / COUNT(H:H)) + 1</f>
        <v>1</v>
      </c>
      <c r="L634">
        <f t="array" ref="L634">INT(5 * (RANK(I634,I:I, 0) - 1) / COUNT(I:I)) + 1</f>
        <v>3</v>
      </c>
      <c r="M634" t="str">
        <f t="shared" si="18"/>
        <v>213</v>
      </c>
      <c r="N634" s="6" t="str">
        <f t="shared" si="19"/>
        <v>Can't Lose Them</v>
      </c>
    </row>
    <row r="635" spans="1:14" x14ac:dyDescent="0.35">
      <c r="A635">
        <v>1251</v>
      </c>
      <c r="B635" s="4">
        <v>45568.375085336993</v>
      </c>
      <c r="C635" t="s">
        <v>15</v>
      </c>
      <c r="D635" t="s">
        <v>17</v>
      </c>
      <c r="E635" t="s">
        <v>25</v>
      </c>
      <c r="F635">
        <v>1844.37</v>
      </c>
      <c r="G635">
        <f t="array" ref="G635">SalesData!$I$2 - 'RFM Table'!B635</f>
        <v>568</v>
      </c>
      <c r="H635">
        <f t="array" ref="H635">COUNTIF(A:A,A635)</f>
        <v>9</v>
      </c>
      <c r="I635">
        <f t="array" ref="I635">SUMIF(A:A,A635,F:F)</f>
        <v>39183.29</v>
      </c>
      <c r="J635">
        <f t="array" ref="J635">5 - INT(5 * (RANK(G635,G:G, 1) - 1) / COUNT(G:G))</f>
        <v>2</v>
      </c>
      <c r="K635">
        <f t="array" ref="K635">INT(5 * (RANK(H635,H:H, 0) - 1) / COUNT(H:H)) + 1</f>
        <v>2</v>
      </c>
      <c r="L635">
        <f t="array" ref="L635">INT(5 * (RANK(I635,I:I, 0) - 1) / COUNT(I:I)) + 1</f>
        <v>2</v>
      </c>
      <c r="M635" t="str">
        <f t="shared" si="18"/>
        <v>222</v>
      </c>
      <c r="N635" s="6" t="str">
        <f t="shared" si="19"/>
        <v>Lost</v>
      </c>
    </row>
    <row r="636" spans="1:14" x14ac:dyDescent="0.35">
      <c r="A636">
        <v>1255</v>
      </c>
      <c r="B636" s="4">
        <v>45568.375085336993</v>
      </c>
      <c r="C636" t="s">
        <v>15</v>
      </c>
      <c r="D636" t="s">
        <v>17</v>
      </c>
      <c r="E636" t="s">
        <v>24</v>
      </c>
      <c r="F636">
        <v>8480.83</v>
      </c>
      <c r="G636">
        <f t="array" ref="G636">SalesData!$I$2 - 'RFM Table'!B636</f>
        <v>568</v>
      </c>
      <c r="H636">
        <f t="array" ref="H636">COUNTIF(A:A,A636)</f>
        <v>8</v>
      </c>
      <c r="I636">
        <f t="array" ref="I636">SUMIF(A:A,A636,F:F)</f>
        <v>33838.019999999997</v>
      </c>
      <c r="J636">
        <f t="array" ref="J636">5 - INT(5 * (RANK(G636,G:G, 1) - 1) / COUNT(G:G))</f>
        <v>2</v>
      </c>
      <c r="K636">
        <f t="array" ref="K636">INT(5 * (RANK(H636,H:H, 0) - 1) / COUNT(H:H)) + 1</f>
        <v>3</v>
      </c>
      <c r="L636">
        <f t="array" ref="L636">INT(5 * (RANK(I636,I:I, 0) - 1) / COUNT(I:I)) + 1</f>
        <v>3</v>
      </c>
      <c r="M636" t="str">
        <f t="shared" si="18"/>
        <v>233</v>
      </c>
      <c r="N636" s="6" t="str">
        <f t="shared" si="19"/>
        <v>At Risk</v>
      </c>
    </row>
    <row r="637" spans="1:14" x14ac:dyDescent="0.35">
      <c r="A637">
        <v>1350</v>
      </c>
      <c r="B637" s="4">
        <v>45568.375085336993</v>
      </c>
      <c r="C637" t="s">
        <v>8</v>
      </c>
      <c r="D637" t="s">
        <v>18</v>
      </c>
      <c r="E637" t="s">
        <v>24</v>
      </c>
      <c r="F637">
        <v>3969.58</v>
      </c>
      <c r="G637">
        <f t="array" ref="G637">SalesData!$I$2 - 'RFM Table'!B637</f>
        <v>568</v>
      </c>
      <c r="H637">
        <f t="array" ref="H637">COUNTIF(A:A,A637)</f>
        <v>4</v>
      </c>
      <c r="I637">
        <f t="array" ref="I637">SUMIF(A:A,A637,F:F)</f>
        <v>18485.12</v>
      </c>
      <c r="J637">
        <f t="array" ref="J637">5 - INT(5 * (RANK(G637,G:G, 1) - 1) / COUNT(G:G))</f>
        <v>2</v>
      </c>
      <c r="K637">
        <f t="array" ref="K637">INT(5 * (RANK(H637,H:H, 0) - 1) / COUNT(H:H)) + 1</f>
        <v>5</v>
      </c>
      <c r="L637">
        <f t="array" ref="L637">INT(5 * (RANK(I637,I:I, 0) - 1) / COUNT(I:I)) + 1</f>
        <v>5</v>
      </c>
      <c r="M637" t="str">
        <f t="shared" si="18"/>
        <v>255</v>
      </c>
      <c r="N637" s="6" t="str">
        <f t="shared" si="19"/>
        <v>At Risk</v>
      </c>
    </row>
    <row r="638" spans="1:14" x14ac:dyDescent="0.35">
      <c r="A638">
        <v>1019</v>
      </c>
      <c r="B638" s="4">
        <v>45568.375085336993</v>
      </c>
      <c r="C638" t="s">
        <v>15</v>
      </c>
      <c r="D638" t="s">
        <v>22</v>
      </c>
      <c r="E638" t="s">
        <v>23</v>
      </c>
      <c r="F638">
        <v>2555.23</v>
      </c>
      <c r="G638">
        <f t="array" ref="G638">SalesData!$I$2 - 'RFM Table'!B638</f>
        <v>568</v>
      </c>
      <c r="H638">
        <f t="array" ref="H638">COUNTIF(A:A,A638)</f>
        <v>11</v>
      </c>
      <c r="I638">
        <f t="array" ref="I638">SUMIF(A:A,A638,F:F)</f>
        <v>37863.899999999994</v>
      </c>
      <c r="J638">
        <f t="array" ref="J638">5 - INT(5 * (RANK(G638,G:G, 1) - 1) / COUNT(G:G))</f>
        <v>2</v>
      </c>
      <c r="K638">
        <f t="array" ref="K638">INT(5 * (RANK(H638,H:H, 0) - 1) / COUNT(H:H)) + 1</f>
        <v>1</v>
      </c>
      <c r="L638">
        <f t="array" ref="L638">INT(5 * (RANK(I638,I:I, 0) - 1) / COUNT(I:I)) + 1</f>
        <v>2</v>
      </c>
      <c r="M638" t="str">
        <f t="shared" si="18"/>
        <v>212</v>
      </c>
      <c r="N638" s="6" t="str">
        <f t="shared" si="19"/>
        <v>Lost</v>
      </c>
    </row>
    <row r="639" spans="1:14" x14ac:dyDescent="0.35">
      <c r="A639">
        <v>1366</v>
      </c>
      <c r="B639" s="4">
        <v>45568.375085336993</v>
      </c>
      <c r="C639" t="s">
        <v>13</v>
      </c>
      <c r="D639" t="s">
        <v>20</v>
      </c>
      <c r="E639" t="s">
        <v>25</v>
      </c>
      <c r="F639">
        <v>2366.69</v>
      </c>
      <c r="G639">
        <f t="array" ref="G639">SalesData!$I$2 - 'RFM Table'!B639</f>
        <v>568</v>
      </c>
      <c r="H639">
        <f t="array" ref="H639">COUNTIF(A:A,A639)</f>
        <v>7</v>
      </c>
      <c r="I639">
        <f t="array" ref="I639">SUMIF(A:A,A639,F:F)</f>
        <v>19730.549999999996</v>
      </c>
      <c r="J639">
        <f t="array" ref="J639">5 - INT(5 * (RANK(G639,G:G, 1) - 1) / COUNT(G:G))</f>
        <v>2</v>
      </c>
      <c r="K639">
        <f t="array" ref="K639">INT(5 * (RANK(H639,H:H, 0) - 1) / COUNT(H:H)) + 1</f>
        <v>4</v>
      </c>
      <c r="L639">
        <f t="array" ref="L639">INT(5 * (RANK(I639,I:I, 0) - 1) / COUNT(I:I)) + 1</f>
        <v>5</v>
      </c>
      <c r="M639" t="str">
        <f t="shared" si="18"/>
        <v>245</v>
      </c>
      <c r="N639" s="6" t="str">
        <f t="shared" si="19"/>
        <v>At Risk</v>
      </c>
    </row>
    <row r="640" spans="1:14" x14ac:dyDescent="0.35">
      <c r="A640">
        <v>1287</v>
      </c>
      <c r="B640" s="4">
        <v>45568.375085336993</v>
      </c>
      <c r="C640" t="s">
        <v>7</v>
      </c>
      <c r="D640" t="s">
        <v>18</v>
      </c>
      <c r="E640" t="s">
        <v>25</v>
      </c>
      <c r="F640">
        <v>4847.68</v>
      </c>
      <c r="G640">
        <f t="array" ref="G640">SalesData!$I$2 - 'RFM Table'!B640</f>
        <v>568</v>
      </c>
      <c r="H640">
        <f t="array" ref="H640">COUNTIF(A:A,A640)</f>
        <v>16</v>
      </c>
      <c r="I640">
        <f t="array" ref="I640">SUMIF(A:A,A640,F:F)</f>
        <v>64716.249999999985</v>
      </c>
      <c r="J640">
        <f t="array" ref="J640">5 - INT(5 * (RANK(G640,G:G, 1) - 1) / COUNT(G:G))</f>
        <v>2</v>
      </c>
      <c r="K640">
        <f t="array" ref="K640">INT(5 * (RANK(H640,H:H, 0) - 1) / COUNT(H:H)) + 1</f>
        <v>1</v>
      </c>
      <c r="L640">
        <f t="array" ref="L640">INT(5 * (RANK(I640,I:I, 0) - 1) / COUNT(I:I)) + 1</f>
        <v>1</v>
      </c>
      <c r="M640" t="str">
        <f t="shared" si="18"/>
        <v>211</v>
      </c>
      <c r="N640" s="6" t="str">
        <f t="shared" si="19"/>
        <v>Lost</v>
      </c>
    </row>
    <row r="641" spans="1:14" x14ac:dyDescent="0.35">
      <c r="A641">
        <v>1226</v>
      </c>
      <c r="B641" s="4">
        <v>45569.375085336993</v>
      </c>
      <c r="C641" t="s">
        <v>10</v>
      </c>
      <c r="D641" t="s">
        <v>17</v>
      </c>
      <c r="E641" t="s">
        <v>24</v>
      </c>
      <c r="F641">
        <v>1858.01</v>
      </c>
      <c r="G641">
        <f t="array" ref="G641">SalesData!$I$2 - 'RFM Table'!B641</f>
        <v>567</v>
      </c>
      <c r="H641">
        <f t="array" ref="H641">COUNTIF(A:A,A641)</f>
        <v>13</v>
      </c>
      <c r="I641">
        <f t="array" ref="I641">SUMIF(A:A,A641,F:F)</f>
        <v>49471.75</v>
      </c>
      <c r="J641">
        <f t="array" ref="J641">5 - INT(5 * (RANK(G641,G:G, 1) - 1) / COUNT(G:G))</f>
        <v>2</v>
      </c>
      <c r="K641">
        <f t="array" ref="K641">INT(5 * (RANK(H641,H:H, 0) - 1) / COUNT(H:H)) + 1</f>
        <v>1</v>
      </c>
      <c r="L641">
        <f t="array" ref="L641">INT(5 * (RANK(I641,I:I, 0) - 1) / COUNT(I:I)) + 1</f>
        <v>1</v>
      </c>
      <c r="M641" t="str">
        <f t="shared" si="18"/>
        <v>211</v>
      </c>
      <c r="N641" s="6" t="str">
        <f t="shared" si="19"/>
        <v>Lost</v>
      </c>
    </row>
    <row r="642" spans="1:14" x14ac:dyDescent="0.35">
      <c r="A642">
        <v>1129</v>
      </c>
      <c r="B642" s="4">
        <v>45569.375085336993</v>
      </c>
      <c r="C642" t="s">
        <v>6</v>
      </c>
      <c r="D642" t="s">
        <v>20</v>
      </c>
      <c r="E642" t="s">
        <v>25</v>
      </c>
      <c r="F642">
        <v>2455.89</v>
      </c>
      <c r="G642">
        <f t="array" ref="G642">SalesData!$I$2 - 'RFM Table'!B642</f>
        <v>567</v>
      </c>
      <c r="H642">
        <f t="array" ref="H642">COUNTIF(A:A,A642)</f>
        <v>14</v>
      </c>
      <c r="I642">
        <f t="array" ref="I642">SUMIF(A:A,A642,F:F)</f>
        <v>53433.220000000008</v>
      </c>
      <c r="J642">
        <f t="array" ref="J642">5 - INT(5 * (RANK(G642,G:G, 1) - 1) / COUNT(G:G))</f>
        <v>2</v>
      </c>
      <c r="K642">
        <f t="array" ref="K642">INT(5 * (RANK(H642,H:H, 0) - 1) / COUNT(H:H)) + 1</f>
        <v>1</v>
      </c>
      <c r="L642">
        <f t="array" ref="L642">INT(5 * (RANK(I642,I:I, 0) - 1) / COUNT(I:I)) + 1</f>
        <v>1</v>
      </c>
      <c r="M642" t="str">
        <f t="shared" si="18"/>
        <v>211</v>
      </c>
      <c r="N642" s="6" t="str">
        <f t="shared" si="19"/>
        <v>Lost</v>
      </c>
    </row>
    <row r="643" spans="1:14" x14ac:dyDescent="0.35">
      <c r="A643">
        <v>1384</v>
      </c>
      <c r="B643" s="4">
        <v>45569.375085336993</v>
      </c>
      <c r="C643" t="s">
        <v>10</v>
      </c>
      <c r="D643" t="s">
        <v>16</v>
      </c>
      <c r="E643" t="s">
        <v>23</v>
      </c>
      <c r="F643">
        <v>8828.5400000000009</v>
      </c>
      <c r="G643">
        <f t="array" ref="G643">SalesData!$I$2 - 'RFM Table'!B643</f>
        <v>567</v>
      </c>
      <c r="H643">
        <f t="array" ref="H643">COUNTIF(A:A,A643)</f>
        <v>9</v>
      </c>
      <c r="I643">
        <f t="array" ref="I643">SUMIF(A:A,A643,F:F)</f>
        <v>39434.269999999997</v>
      </c>
      <c r="J643">
        <f t="array" ref="J643">5 - INT(5 * (RANK(G643,G:G, 1) - 1) / COUNT(G:G))</f>
        <v>2</v>
      </c>
      <c r="K643">
        <f t="array" ref="K643">INT(5 * (RANK(H643,H:H, 0) - 1) / COUNT(H:H)) + 1</f>
        <v>2</v>
      </c>
      <c r="L643">
        <f t="array" ref="L643">INT(5 * (RANK(I643,I:I, 0) - 1) / COUNT(I:I)) + 1</f>
        <v>2</v>
      </c>
      <c r="M643" t="str">
        <f t="shared" ref="M643:M706" si="20">J643 &amp; K643 &amp; L643</f>
        <v>222</v>
      </c>
      <c r="N643" s="6" t="str">
        <f t="shared" ref="N643:N706" si="21">IF(AND(J643&gt;=4,K643&lt;=2),"New Customers",
IF(AND(J643&lt;=2,K643&gt;=3,L643&gt;=3),"At Risk",
IF(AND(J643&lt;=2,K643&lt;=2,L643&gt;=3),"Can't Lose Them",
IF(AND(J643&lt;=2,K643&lt;=2,L643&lt;=2),"Lost",
"Others"))))</f>
        <v>Lost</v>
      </c>
    </row>
    <row r="644" spans="1:14" x14ac:dyDescent="0.35">
      <c r="A644">
        <v>1304</v>
      </c>
      <c r="B644" s="4">
        <v>45569.375085336993</v>
      </c>
      <c r="C644" t="s">
        <v>13</v>
      </c>
      <c r="D644" t="s">
        <v>17</v>
      </c>
      <c r="E644" t="s">
        <v>24</v>
      </c>
      <c r="F644">
        <v>1277.83</v>
      </c>
      <c r="G644">
        <f t="array" ref="G644">SalesData!$I$2 - 'RFM Table'!B644</f>
        <v>567</v>
      </c>
      <c r="H644">
        <f t="array" ref="H644">COUNTIF(A:A,A644)</f>
        <v>10</v>
      </c>
      <c r="I644">
        <f t="array" ref="I644">SUMIF(A:A,A644,F:F)</f>
        <v>39472.789999999994</v>
      </c>
      <c r="J644">
        <f t="array" ref="J644">5 - INT(5 * (RANK(G644,G:G, 1) - 1) / COUNT(G:G))</f>
        <v>2</v>
      </c>
      <c r="K644">
        <f t="array" ref="K644">INT(5 * (RANK(H644,H:H, 0) - 1) / COUNT(H:H)) + 1</f>
        <v>2</v>
      </c>
      <c r="L644">
        <f t="array" ref="L644">INT(5 * (RANK(I644,I:I, 0) - 1) / COUNT(I:I)) + 1</f>
        <v>2</v>
      </c>
      <c r="M644" t="str">
        <f t="shared" si="20"/>
        <v>222</v>
      </c>
      <c r="N644" s="6" t="str">
        <f t="shared" si="21"/>
        <v>Lost</v>
      </c>
    </row>
    <row r="645" spans="1:14" x14ac:dyDescent="0.35">
      <c r="A645">
        <v>1106</v>
      </c>
      <c r="B645" s="4">
        <v>45569.375085336993</v>
      </c>
      <c r="C645" t="s">
        <v>9</v>
      </c>
      <c r="D645" t="s">
        <v>19</v>
      </c>
      <c r="E645" t="s">
        <v>25</v>
      </c>
      <c r="F645">
        <v>711.66</v>
      </c>
      <c r="G645">
        <f t="array" ref="G645">SalesData!$I$2 - 'RFM Table'!B645</f>
        <v>567</v>
      </c>
      <c r="H645">
        <f t="array" ref="H645">COUNTIF(A:A,A645)</f>
        <v>5</v>
      </c>
      <c r="I645">
        <f t="array" ref="I645">SUMIF(A:A,A645,F:F)</f>
        <v>15143.41</v>
      </c>
      <c r="J645">
        <f t="array" ref="J645">5 - INT(5 * (RANK(G645,G:G, 1) - 1) / COUNT(G:G))</f>
        <v>2</v>
      </c>
      <c r="K645">
        <f t="array" ref="K645">INT(5 * (RANK(H645,H:H, 0) - 1) / COUNT(H:H)) + 1</f>
        <v>5</v>
      </c>
      <c r="L645">
        <f t="array" ref="L645">INT(5 * (RANK(I645,I:I, 0) - 1) / COUNT(I:I)) + 1</f>
        <v>5</v>
      </c>
      <c r="M645" t="str">
        <f t="shared" si="20"/>
        <v>255</v>
      </c>
      <c r="N645" s="6" t="str">
        <f t="shared" si="21"/>
        <v>At Risk</v>
      </c>
    </row>
    <row r="646" spans="1:14" x14ac:dyDescent="0.35">
      <c r="A646">
        <v>1307</v>
      </c>
      <c r="B646" s="4">
        <v>45569.375085336993</v>
      </c>
      <c r="C646" t="s">
        <v>8</v>
      </c>
      <c r="D646" t="s">
        <v>17</v>
      </c>
      <c r="E646" t="s">
        <v>25</v>
      </c>
      <c r="F646">
        <v>8344.2000000000007</v>
      </c>
      <c r="G646">
        <f t="array" ref="G646">SalesData!$I$2 - 'RFM Table'!B646</f>
        <v>567</v>
      </c>
      <c r="H646">
        <f t="array" ref="H646">COUNTIF(A:A,A646)</f>
        <v>7</v>
      </c>
      <c r="I646">
        <f t="array" ref="I646">SUMIF(A:A,A646,F:F)</f>
        <v>33514.49</v>
      </c>
      <c r="J646">
        <f t="array" ref="J646">5 - INT(5 * (RANK(G646,G:G, 1) - 1) / COUNT(G:G))</f>
        <v>2</v>
      </c>
      <c r="K646">
        <f t="array" ref="K646">INT(5 * (RANK(H646,H:H, 0) - 1) / COUNT(H:H)) + 1</f>
        <v>4</v>
      </c>
      <c r="L646">
        <f t="array" ref="L646">INT(5 * (RANK(I646,I:I, 0) - 1) / COUNT(I:I)) + 1</f>
        <v>3</v>
      </c>
      <c r="M646" t="str">
        <f t="shared" si="20"/>
        <v>243</v>
      </c>
      <c r="N646" s="6" t="str">
        <f t="shared" si="21"/>
        <v>At Risk</v>
      </c>
    </row>
    <row r="647" spans="1:14" x14ac:dyDescent="0.35">
      <c r="A647">
        <v>1294</v>
      </c>
      <c r="B647" s="4">
        <v>45569.375085336993</v>
      </c>
      <c r="C647" t="s">
        <v>13</v>
      </c>
      <c r="D647" t="s">
        <v>17</v>
      </c>
      <c r="E647" t="s">
        <v>23</v>
      </c>
      <c r="F647">
        <v>892.64</v>
      </c>
      <c r="G647">
        <f t="array" ref="G647">SalesData!$I$2 - 'RFM Table'!B647</f>
        <v>567</v>
      </c>
      <c r="H647">
        <f t="array" ref="H647">COUNTIF(A:A,A647)</f>
        <v>7</v>
      </c>
      <c r="I647">
        <f t="array" ref="I647">SUMIF(A:A,A647,F:F)</f>
        <v>18314.88</v>
      </c>
      <c r="J647">
        <f t="array" ref="J647">5 - INT(5 * (RANK(G647,G:G, 1) - 1) / COUNT(G:G))</f>
        <v>2</v>
      </c>
      <c r="K647">
        <f t="array" ref="K647">INT(5 * (RANK(H647,H:H, 0) - 1) / COUNT(H:H)) + 1</f>
        <v>4</v>
      </c>
      <c r="L647">
        <f t="array" ref="L647">INT(5 * (RANK(I647,I:I, 0) - 1) / COUNT(I:I)) + 1</f>
        <v>5</v>
      </c>
      <c r="M647" t="str">
        <f t="shared" si="20"/>
        <v>245</v>
      </c>
      <c r="N647" s="6" t="str">
        <f t="shared" si="21"/>
        <v>At Risk</v>
      </c>
    </row>
    <row r="648" spans="1:14" x14ac:dyDescent="0.35">
      <c r="A648">
        <v>1002</v>
      </c>
      <c r="B648" s="4">
        <v>45570.375085336993</v>
      </c>
      <c r="C648" t="s">
        <v>14</v>
      </c>
      <c r="D648" t="s">
        <v>21</v>
      </c>
      <c r="E648" t="s">
        <v>23</v>
      </c>
      <c r="F648">
        <v>8228.99</v>
      </c>
      <c r="G648">
        <f t="array" ref="G648">SalesData!$I$2 - 'RFM Table'!B648</f>
        <v>566</v>
      </c>
      <c r="H648">
        <f t="array" ref="H648">COUNTIF(A:A,A648)</f>
        <v>9</v>
      </c>
      <c r="I648">
        <f t="array" ref="I648">SUMIF(A:A,A648,F:F)</f>
        <v>35145.360000000001</v>
      </c>
      <c r="J648">
        <f t="array" ref="J648">5 - INT(5 * (RANK(G648,G:G, 1) - 1) / COUNT(G:G))</f>
        <v>2</v>
      </c>
      <c r="K648">
        <f t="array" ref="K648">INT(5 * (RANK(H648,H:H, 0) - 1) / COUNT(H:H)) + 1</f>
        <v>2</v>
      </c>
      <c r="L648">
        <f t="array" ref="L648">INT(5 * (RANK(I648,I:I, 0) - 1) / COUNT(I:I)) + 1</f>
        <v>3</v>
      </c>
      <c r="M648" t="str">
        <f t="shared" si="20"/>
        <v>223</v>
      </c>
      <c r="N648" s="6" t="str">
        <f t="shared" si="21"/>
        <v>Can't Lose Them</v>
      </c>
    </row>
    <row r="649" spans="1:14" x14ac:dyDescent="0.35">
      <c r="A649">
        <v>1125</v>
      </c>
      <c r="B649" s="4">
        <v>45570.375085336993</v>
      </c>
      <c r="C649" t="s">
        <v>13</v>
      </c>
      <c r="D649" t="s">
        <v>21</v>
      </c>
      <c r="E649" t="s">
        <v>25</v>
      </c>
      <c r="F649">
        <v>483.15</v>
      </c>
      <c r="G649">
        <f t="array" ref="G649">SalesData!$I$2 - 'RFM Table'!B649</f>
        <v>566</v>
      </c>
      <c r="H649">
        <f t="array" ref="H649">COUNTIF(A:A,A649)</f>
        <v>9</v>
      </c>
      <c r="I649">
        <f t="array" ref="I649">SUMIF(A:A,A649,F:F)</f>
        <v>32520.350000000002</v>
      </c>
      <c r="J649">
        <f t="array" ref="J649">5 - INT(5 * (RANK(G649,G:G, 1) - 1) / COUNT(G:G))</f>
        <v>2</v>
      </c>
      <c r="K649">
        <f t="array" ref="K649">INT(5 * (RANK(H649,H:H, 0) - 1) / COUNT(H:H)) + 1</f>
        <v>2</v>
      </c>
      <c r="L649">
        <f t="array" ref="L649">INT(5 * (RANK(I649,I:I, 0) - 1) / COUNT(I:I)) + 1</f>
        <v>3</v>
      </c>
      <c r="M649" t="str">
        <f t="shared" si="20"/>
        <v>223</v>
      </c>
      <c r="N649" s="6" t="str">
        <f t="shared" si="21"/>
        <v>Can't Lose Them</v>
      </c>
    </row>
    <row r="650" spans="1:14" x14ac:dyDescent="0.35">
      <c r="A650">
        <v>1061</v>
      </c>
      <c r="B650" s="4">
        <v>45570.375085336993</v>
      </c>
      <c r="C650" t="s">
        <v>13</v>
      </c>
      <c r="D650" t="s">
        <v>19</v>
      </c>
      <c r="E650" t="s">
        <v>25</v>
      </c>
      <c r="F650">
        <v>5010.1000000000004</v>
      </c>
      <c r="G650">
        <f t="array" ref="G650">SalesData!$I$2 - 'RFM Table'!B650</f>
        <v>566</v>
      </c>
      <c r="H650">
        <f t="array" ref="H650">COUNTIF(A:A,A650)</f>
        <v>9</v>
      </c>
      <c r="I650">
        <f t="array" ref="I650">SUMIF(A:A,A650,F:F)</f>
        <v>24509.48</v>
      </c>
      <c r="J650">
        <f t="array" ref="J650">5 - INT(5 * (RANK(G650,G:G, 1) - 1) / COUNT(G:G))</f>
        <v>2</v>
      </c>
      <c r="K650">
        <f t="array" ref="K650">INT(5 * (RANK(H650,H:H, 0) - 1) / COUNT(H:H)) + 1</f>
        <v>2</v>
      </c>
      <c r="L650">
        <f t="array" ref="L650">INT(5 * (RANK(I650,I:I, 0) - 1) / COUNT(I:I)) + 1</f>
        <v>4</v>
      </c>
      <c r="M650" t="str">
        <f t="shared" si="20"/>
        <v>224</v>
      </c>
      <c r="N650" s="6" t="str">
        <f t="shared" si="21"/>
        <v>Can't Lose Them</v>
      </c>
    </row>
    <row r="651" spans="1:14" x14ac:dyDescent="0.35">
      <c r="A651">
        <v>1163</v>
      </c>
      <c r="B651" s="4">
        <v>45570.375085336993</v>
      </c>
      <c r="C651" t="s">
        <v>15</v>
      </c>
      <c r="D651" t="s">
        <v>16</v>
      </c>
      <c r="E651" t="s">
        <v>24</v>
      </c>
      <c r="F651">
        <v>5198.68</v>
      </c>
      <c r="G651">
        <f t="array" ref="G651">SalesData!$I$2 - 'RFM Table'!B651</f>
        <v>566</v>
      </c>
      <c r="H651">
        <f t="array" ref="H651">COUNTIF(A:A,A651)</f>
        <v>11</v>
      </c>
      <c r="I651">
        <f t="array" ref="I651">SUMIF(A:A,A651,F:F)</f>
        <v>43753.86</v>
      </c>
      <c r="J651">
        <f t="array" ref="J651">5 - INT(5 * (RANK(G651,G:G, 1) - 1) / COUNT(G:G))</f>
        <v>2</v>
      </c>
      <c r="K651">
        <f t="array" ref="K651">INT(5 * (RANK(H651,H:H, 0) - 1) / COUNT(H:H)) + 1</f>
        <v>1</v>
      </c>
      <c r="L651">
        <f t="array" ref="L651">INT(5 * (RANK(I651,I:I, 0) - 1) / COUNT(I:I)) + 1</f>
        <v>2</v>
      </c>
      <c r="M651" t="str">
        <f t="shared" si="20"/>
        <v>212</v>
      </c>
      <c r="N651" s="6" t="str">
        <f t="shared" si="21"/>
        <v>Lost</v>
      </c>
    </row>
    <row r="652" spans="1:14" x14ac:dyDescent="0.35">
      <c r="A652">
        <v>1155</v>
      </c>
      <c r="B652" s="4">
        <v>45571.375085336993</v>
      </c>
      <c r="C652" t="s">
        <v>15</v>
      </c>
      <c r="D652" t="s">
        <v>21</v>
      </c>
      <c r="E652" t="s">
        <v>23</v>
      </c>
      <c r="F652">
        <v>1910.86</v>
      </c>
      <c r="G652">
        <f t="array" ref="G652">SalesData!$I$2 - 'RFM Table'!B652</f>
        <v>565</v>
      </c>
      <c r="H652">
        <f t="array" ref="H652">COUNTIF(A:A,A652)</f>
        <v>5</v>
      </c>
      <c r="I652">
        <f t="array" ref="I652">SUMIF(A:A,A652,F:F)</f>
        <v>15744.06</v>
      </c>
      <c r="J652">
        <f t="array" ref="J652">5 - INT(5 * (RANK(G652,G:G, 1) - 1) / COUNT(G:G))</f>
        <v>2</v>
      </c>
      <c r="K652">
        <f t="array" ref="K652">INT(5 * (RANK(H652,H:H, 0) - 1) / COUNT(H:H)) + 1</f>
        <v>5</v>
      </c>
      <c r="L652">
        <f t="array" ref="L652">INT(5 * (RANK(I652,I:I, 0) - 1) / COUNT(I:I)) + 1</f>
        <v>5</v>
      </c>
      <c r="M652" t="str">
        <f t="shared" si="20"/>
        <v>255</v>
      </c>
      <c r="N652" s="6" t="str">
        <f t="shared" si="21"/>
        <v>At Risk</v>
      </c>
    </row>
    <row r="653" spans="1:14" x14ac:dyDescent="0.35">
      <c r="A653">
        <v>1235</v>
      </c>
      <c r="B653" s="4">
        <v>45571.375085336993</v>
      </c>
      <c r="C653" t="s">
        <v>14</v>
      </c>
      <c r="D653" t="s">
        <v>17</v>
      </c>
      <c r="E653" t="s">
        <v>23</v>
      </c>
      <c r="F653">
        <v>6143.59</v>
      </c>
      <c r="G653">
        <f t="array" ref="G653">SalesData!$I$2 - 'RFM Table'!B653</f>
        <v>565</v>
      </c>
      <c r="H653">
        <f t="array" ref="H653">COUNTIF(A:A,A653)</f>
        <v>9</v>
      </c>
      <c r="I653">
        <f t="array" ref="I653">SUMIF(A:A,A653,F:F)</f>
        <v>30846.7</v>
      </c>
      <c r="J653">
        <f t="array" ref="J653">5 - INT(5 * (RANK(G653,G:G, 1) - 1) / COUNT(G:G))</f>
        <v>2</v>
      </c>
      <c r="K653">
        <f t="array" ref="K653">INT(5 * (RANK(H653,H:H, 0) - 1) / COUNT(H:H)) + 1</f>
        <v>2</v>
      </c>
      <c r="L653">
        <f t="array" ref="L653">INT(5 * (RANK(I653,I:I, 0) - 1) / COUNT(I:I)) + 1</f>
        <v>3</v>
      </c>
      <c r="M653" t="str">
        <f t="shared" si="20"/>
        <v>223</v>
      </c>
      <c r="N653" s="6" t="str">
        <f t="shared" si="21"/>
        <v>Can't Lose Them</v>
      </c>
    </row>
    <row r="654" spans="1:14" x14ac:dyDescent="0.35">
      <c r="A654">
        <v>1116</v>
      </c>
      <c r="B654" s="4">
        <v>45571.375085336993</v>
      </c>
      <c r="C654" t="s">
        <v>10</v>
      </c>
      <c r="D654" t="s">
        <v>22</v>
      </c>
      <c r="E654" t="s">
        <v>23</v>
      </c>
      <c r="F654">
        <v>5131.9799999999996</v>
      </c>
      <c r="G654">
        <f t="array" ref="G654">SalesData!$I$2 - 'RFM Table'!B654</f>
        <v>565</v>
      </c>
      <c r="H654">
        <f t="array" ref="H654">COUNTIF(A:A,A654)</f>
        <v>11</v>
      </c>
      <c r="I654">
        <f t="array" ref="I654">SUMIF(A:A,A654,F:F)</f>
        <v>40714.880000000005</v>
      </c>
      <c r="J654">
        <f t="array" ref="J654">5 - INT(5 * (RANK(G654,G:G, 1) - 1) / COUNT(G:G))</f>
        <v>2</v>
      </c>
      <c r="K654">
        <f t="array" ref="K654">INT(5 * (RANK(H654,H:H, 0) - 1) / COUNT(H:H)) + 1</f>
        <v>1</v>
      </c>
      <c r="L654">
        <f t="array" ref="L654">INT(5 * (RANK(I654,I:I, 0) - 1) / COUNT(I:I)) + 1</f>
        <v>2</v>
      </c>
      <c r="M654" t="str">
        <f t="shared" si="20"/>
        <v>212</v>
      </c>
      <c r="N654" s="6" t="str">
        <f t="shared" si="21"/>
        <v>Lost</v>
      </c>
    </row>
    <row r="655" spans="1:14" x14ac:dyDescent="0.35">
      <c r="A655">
        <v>1089</v>
      </c>
      <c r="B655" s="4">
        <v>45571.375085336993</v>
      </c>
      <c r="C655" t="s">
        <v>15</v>
      </c>
      <c r="D655" t="s">
        <v>19</v>
      </c>
      <c r="E655" t="s">
        <v>25</v>
      </c>
      <c r="F655">
        <v>214.17</v>
      </c>
      <c r="G655">
        <f t="array" ref="G655">SalesData!$I$2 - 'RFM Table'!B655</f>
        <v>565</v>
      </c>
      <c r="H655">
        <f t="array" ref="H655">COUNTIF(A:A,A655)</f>
        <v>10</v>
      </c>
      <c r="I655">
        <f t="array" ref="I655">SUMIF(A:A,A655,F:F)</f>
        <v>36855.5</v>
      </c>
      <c r="J655">
        <f t="array" ref="J655">5 - INT(5 * (RANK(G655,G:G, 1) - 1) / COUNT(G:G))</f>
        <v>2</v>
      </c>
      <c r="K655">
        <f t="array" ref="K655">INT(5 * (RANK(H655,H:H, 0) - 1) / COUNT(H:H)) + 1</f>
        <v>2</v>
      </c>
      <c r="L655">
        <f t="array" ref="L655">INT(5 * (RANK(I655,I:I, 0) - 1) / COUNT(I:I)) + 1</f>
        <v>2</v>
      </c>
      <c r="M655" t="str">
        <f t="shared" si="20"/>
        <v>222</v>
      </c>
      <c r="N655" s="6" t="str">
        <f t="shared" si="21"/>
        <v>Lost</v>
      </c>
    </row>
    <row r="656" spans="1:14" x14ac:dyDescent="0.35">
      <c r="A656">
        <v>1281</v>
      </c>
      <c r="B656" s="4">
        <v>45571.375085336993</v>
      </c>
      <c r="C656" t="s">
        <v>11</v>
      </c>
      <c r="D656" t="s">
        <v>16</v>
      </c>
      <c r="E656" t="s">
        <v>25</v>
      </c>
      <c r="F656">
        <v>5495.02</v>
      </c>
      <c r="G656">
        <f t="array" ref="G656">SalesData!$I$2 - 'RFM Table'!B656</f>
        <v>565</v>
      </c>
      <c r="H656">
        <f t="array" ref="H656">COUNTIF(A:A,A656)</f>
        <v>10</v>
      </c>
      <c r="I656">
        <f t="array" ref="I656">SUMIF(A:A,A656,F:F)</f>
        <v>49420.710000000006</v>
      </c>
      <c r="J656">
        <f t="array" ref="J656">5 - INT(5 * (RANK(G656,G:G, 1) - 1) / COUNT(G:G))</f>
        <v>2</v>
      </c>
      <c r="K656">
        <f t="array" ref="K656">INT(5 * (RANK(H656,H:H, 0) - 1) / COUNT(H:H)) + 1</f>
        <v>2</v>
      </c>
      <c r="L656">
        <f t="array" ref="L656">INT(5 * (RANK(I656,I:I, 0) - 1) / COUNT(I:I)) + 1</f>
        <v>1</v>
      </c>
      <c r="M656" t="str">
        <f t="shared" si="20"/>
        <v>221</v>
      </c>
      <c r="N656" s="6" t="str">
        <f t="shared" si="21"/>
        <v>Lost</v>
      </c>
    </row>
    <row r="657" spans="1:14" x14ac:dyDescent="0.35">
      <c r="A657">
        <v>1370</v>
      </c>
      <c r="B657" s="4">
        <v>45571.375085336993</v>
      </c>
      <c r="C657" t="s">
        <v>7</v>
      </c>
      <c r="D657" t="s">
        <v>20</v>
      </c>
      <c r="E657" t="s">
        <v>23</v>
      </c>
      <c r="F657">
        <v>4869.3</v>
      </c>
      <c r="G657">
        <f t="array" ref="G657">SalesData!$I$2 - 'RFM Table'!B657</f>
        <v>565</v>
      </c>
      <c r="H657">
        <f t="array" ref="H657">COUNTIF(A:A,A657)</f>
        <v>12</v>
      </c>
      <c r="I657">
        <f t="array" ref="I657">SUMIF(A:A,A657,F:F)</f>
        <v>46195.360000000001</v>
      </c>
      <c r="J657">
        <f t="array" ref="J657">5 - INT(5 * (RANK(G657,G:G, 1) - 1) / COUNT(G:G))</f>
        <v>2</v>
      </c>
      <c r="K657">
        <f t="array" ref="K657">INT(5 * (RANK(H657,H:H, 0) - 1) / COUNT(H:H)) + 1</f>
        <v>1</v>
      </c>
      <c r="L657">
        <f t="array" ref="L657">INT(5 * (RANK(I657,I:I, 0) - 1) / COUNT(I:I)) + 1</f>
        <v>1</v>
      </c>
      <c r="M657" t="str">
        <f t="shared" si="20"/>
        <v>211</v>
      </c>
      <c r="N657" s="6" t="str">
        <f t="shared" si="21"/>
        <v>Lost</v>
      </c>
    </row>
    <row r="658" spans="1:14" x14ac:dyDescent="0.35">
      <c r="A658">
        <v>1067</v>
      </c>
      <c r="B658" s="4">
        <v>45571.375085336993</v>
      </c>
      <c r="C658" t="s">
        <v>7</v>
      </c>
      <c r="D658" t="s">
        <v>19</v>
      </c>
      <c r="E658" t="s">
        <v>23</v>
      </c>
      <c r="F658">
        <v>540.57000000000005</v>
      </c>
      <c r="G658">
        <f t="array" ref="G658">SalesData!$I$2 - 'RFM Table'!B658</f>
        <v>565</v>
      </c>
      <c r="H658">
        <f t="array" ref="H658">COUNTIF(A:A,A658)</f>
        <v>6</v>
      </c>
      <c r="I658">
        <f t="array" ref="I658">SUMIF(A:A,A658,F:F)</f>
        <v>15612.87</v>
      </c>
      <c r="J658">
        <f t="array" ref="J658">5 - INT(5 * (RANK(G658,G:G, 1) - 1) / COUNT(G:G))</f>
        <v>2</v>
      </c>
      <c r="K658">
        <f t="array" ref="K658">INT(5 * (RANK(H658,H:H, 0) - 1) / COUNT(H:H)) + 1</f>
        <v>4</v>
      </c>
      <c r="L658">
        <f t="array" ref="L658">INT(5 * (RANK(I658,I:I, 0) - 1) / COUNT(I:I)) + 1</f>
        <v>5</v>
      </c>
      <c r="M658" t="str">
        <f t="shared" si="20"/>
        <v>245</v>
      </c>
      <c r="N658" s="6" t="str">
        <f t="shared" si="21"/>
        <v>At Risk</v>
      </c>
    </row>
    <row r="659" spans="1:14" x14ac:dyDescent="0.35">
      <c r="A659">
        <v>1208</v>
      </c>
      <c r="B659" s="4">
        <v>45572.375085336993</v>
      </c>
      <c r="C659" t="s">
        <v>11</v>
      </c>
      <c r="D659" t="s">
        <v>19</v>
      </c>
      <c r="E659" t="s">
        <v>24</v>
      </c>
      <c r="F659">
        <v>3251.97</v>
      </c>
      <c r="G659">
        <f t="array" ref="G659">SalesData!$I$2 - 'RFM Table'!B659</f>
        <v>564</v>
      </c>
      <c r="H659">
        <f t="array" ref="H659">COUNTIF(A:A,A659)</f>
        <v>5</v>
      </c>
      <c r="I659">
        <f t="array" ref="I659">SUMIF(A:A,A659,F:F)</f>
        <v>25493.58</v>
      </c>
      <c r="J659">
        <f t="array" ref="J659">5 - INT(5 * (RANK(G659,G:G, 1) - 1) / COUNT(G:G))</f>
        <v>2</v>
      </c>
      <c r="K659">
        <f t="array" ref="K659">INT(5 * (RANK(H659,H:H, 0) - 1) / COUNT(H:H)) + 1</f>
        <v>5</v>
      </c>
      <c r="L659">
        <f t="array" ref="L659">INT(5 * (RANK(I659,I:I, 0) - 1) / COUNT(I:I)) + 1</f>
        <v>4</v>
      </c>
      <c r="M659" t="str">
        <f t="shared" si="20"/>
        <v>254</v>
      </c>
      <c r="N659" s="6" t="str">
        <f t="shared" si="21"/>
        <v>At Risk</v>
      </c>
    </row>
    <row r="660" spans="1:14" x14ac:dyDescent="0.35">
      <c r="A660">
        <v>1312</v>
      </c>
      <c r="B660" s="4">
        <v>45573.375085336993</v>
      </c>
      <c r="C660" t="s">
        <v>7</v>
      </c>
      <c r="D660" t="s">
        <v>21</v>
      </c>
      <c r="E660" t="s">
        <v>23</v>
      </c>
      <c r="F660">
        <v>4245.67</v>
      </c>
      <c r="G660">
        <f t="array" ref="G660">SalesData!$I$2 - 'RFM Table'!B660</f>
        <v>563</v>
      </c>
      <c r="H660">
        <f t="array" ref="H660">COUNTIF(A:A,A660)</f>
        <v>8</v>
      </c>
      <c r="I660">
        <f t="array" ref="I660">SUMIF(A:A,A660,F:F)</f>
        <v>31330.839999999997</v>
      </c>
      <c r="J660">
        <f t="array" ref="J660">5 - INT(5 * (RANK(G660,G:G, 1) - 1) / COUNT(G:G))</f>
        <v>2</v>
      </c>
      <c r="K660">
        <f t="array" ref="K660">INT(5 * (RANK(H660,H:H, 0) - 1) / COUNT(H:H)) + 1</f>
        <v>3</v>
      </c>
      <c r="L660">
        <f t="array" ref="L660">INT(5 * (RANK(I660,I:I, 0) - 1) / COUNT(I:I)) + 1</f>
        <v>3</v>
      </c>
      <c r="M660" t="str">
        <f t="shared" si="20"/>
        <v>233</v>
      </c>
      <c r="N660" s="6" t="str">
        <f t="shared" si="21"/>
        <v>At Risk</v>
      </c>
    </row>
    <row r="661" spans="1:14" x14ac:dyDescent="0.35">
      <c r="A661">
        <v>1324</v>
      </c>
      <c r="B661" s="4">
        <v>45573.375085336993</v>
      </c>
      <c r="C661" t="s">
        <v>9</v>
      </c>
      <c r="D661" t="s">
        <v>16</v>
      </c>
      <c r="E661" t="s">
        <v>23</v>
      </c>
      <c r="F661">
        <v>615.82000000000005</v>
      </c>
      <c r="G661">
        <f t="array" ref="G661">SalesData!$I$2 - 'RFM Table'!B661</f>
        <v>563</v>
      </c>
      <c r="H661">
        <f t="array" ref="H661">COUNTIF(A:A,A661)</f>
        <v>5</v>
      </c>
      <c r="I661">
        <f t="array" ref="I661">SUMIF(A:A,A661,F:F)</f>
        <v>14663.54</v>
      </c>
      <c r="J661">
        <f t="array" ref="J661">5 - INT(5 * (RANK(G661,G:G, 1) - 1) / COUNT(G:G))</f>
        <v>2</v>
      </c>
      <c r="K661">
        <f t="array" ref="K661">INT(5 * (RANK(H661,H:H, 0) - 1) / COUNT(H:H)) + 1</f>
        <v>5</v>
      </c>
      <c r="L661">
        <f t="array" ref="L661">INT(5 * (RANK(I661,I:I, 0) - 1) / COUNT(I:I)) + 1</f>
        <v>5</v>
      </c>
      <c r="M661" t="str">
        <f t="shared" si="20"/>
        <v>255</v>
      </c>
      <c r="N661" s="6" t="str">
        <f t="shared" si="21"/>
        <v>At Risk</v>
      </c>
    </row>
    <row r="662" spans="1:14" x14ac:dyDescent="0.35">
      <c r="A662">
        <v>1087</v>
      </c>
      <c r="B662" s="4">
        <v>45574.375085336993</v>
      </c>
      <c r="C662" t="s">
        <v>7</v>
      </c>
      <c r="D662" t="s">
        <v>18</v>
      </c>
      <c r="E662" t="s">
        <v>23</v>
      </c>
      <c r="F662">
        <v>4059.6</v>
      </c>
      <c r="G662">
        <f t="array" ref="G662">SalesData!$I$2 - 'RFM Table'!B662</f>
        <v>562</v>
      </c>
      <c r="H662">
        <f t="array" ref="H662">COUNTIF(A:A,A662)</f>
        <v>4</v>
      </c>
      <c r="I662">
        <f t="array" ref="I662">SUMIF(A:A,A662,F:F)</f>
        <v>19178.5</v>
      </c>
      <c r="J662">
        <f t="array" ref="J662">5 - INT(5 * (RANK(G662,G:G, 1) - 1) / COUNT(G:G))</f>
        <v>2</v>
      </c>
      <c r="K662">
        <f t="array" ref="K662">INT(5 * (RANK(H662,H:H, 0) - 1) / COUNT(H:H)) + 1</f>
        <v>5</v>
      </c>
      <c r="L662">
        <f t="array" ref="L662">INT(5 * (RANK(I662,I:I, 0) - 1) / COUNT(I:I)) + 1</f>
        <v>5</v>
      </c>
      <c r="M662" t="str">
        <f t="shared" si="20"/>
        <v>255</v>
      </c>
      <c r="N662" s="6" t="str">
        <f t="shared" si="21"/>
        <v>At Risk</v>
      </c>
    </row>
    <row r="663" spans="1:14" x14ac:dyDescent="0.35">
      <c r="A663">
        <v>1304</v>
      </c>
      <c r="B663" s="4">
        <v>45575.375085336993</v>
      </c>
      <c r="C663" t="s">
        <v>7</v>
      </c>
      <c r="D663" t="s">
        <v>19</v>
      </c>
      <c r="E663" t="s">
        <v>24</v>
      </c>
      <c r="F663">
        <v>1706.79</v>
      </c>
      <c r="G663">
        <f t="array" ref="G663">SalesData!$I$2 - 'RFM Table'!B663</f>
        <v>561</v>
      </c>
      <c r="H663">
        <f t="array" ref="H663">COUNTIF(A:A,A663)</f>
        <v>10</v>
      </c>
      <c r="I663">
        <f t="array" ref="I663">SUMIF(A:A,A663,F:F)</f>
        <v>39472.789999999994</v>
      </c>
      <c r="J663">
        <f t="array" ref="J663">5 - INT(5 * (RANK(G663,G:G, 1) - 1) / COUNT(G:G))</f>
        <v>2</v>
      </c>
      <c r="K663">
        <f t="array" ref="K663">INT(5 * (RANK(H663,H:H, 0) - 1) / COUNT(H:H)) + 1</f>
        <v>2</v>
      </c>
      <c r="L663">
        <f t="array" ref="L663">INT(5 * (RANK(I663,I:I, 0) - 1) / COUNT(I:I)) + 1</f>
        <v>2</v>
      </c>
      <c r="M663" t="str">
        <f t="shared" si="20"/>
        <v>222</v>
      </c>
      <c r="N663" s="6" t="str">
        <f t="shared" si="21"/>
        <v>Lost</v>
      </c>
    </row>
    <row r="664" spans="1:14" x14ac:dyDescent="0.35">
      <c r="A664">
        <v>1230</v>
      </c>
      <c r="B664" s="4">
        <v>45575.375085336993</v>
      </c>
      <c r="C664" t="s">
        <v>6</v>
      </c>
      <c r="D664" t="s">
        <v>16</v>
      </c>
      <c r="E664" t="s">
        <v>25</v>
      </c>
      <c r="F664">
        <v>5373.89</v>
      </c>
      <c r="G664">
        <f t="array" ref="G664">SalesData!$I$2 - 'RFM Table'!B664</f>
        <v>561</v>
      </c>
      <c r="H664">
        <f t="array" ref="H664">COUNTIF(A:A,A664)</f>
        <v>11</v>
      </c>
      <c r="I664">
        <f t="array" ref="I664">SUMIF(A:A,A664,F:F)</f>
        <v>29238.53</v>
      </c>
      <c r="J664">
        <f t="array" ref="J664">5 - INT(5 * (RANK(G664,G:G, 1) - 1) / COUNT(G:G))</f>
        <v>2</v>
      </c>
      <c r="K664">
        <f t="array" ref="K664">INT(5 * (RANK(H664,H:H, 0) - 1) / COUNT(H:H)) + 1</f>
        <v>1</v>
      </c>
      <c r="L664">
        <f t="array" ref="L664">INT(5 * (RANK(I664,I:I, 0) - 1) / COUNT(I:I)) + 1</f>
        <v>4</v>
      </c>
      <c r="M664" t="str">
        <f t="shared" si="20"/>
        <v>214</v>
      </c>
      <c r="N664" s="6" t="str">
        <f t="shared" si="21"/>
        <v>Can't Lose Them</v>
      </c>
    </row>
    <row r="665" spans="1:14" x14ac:dyDescent="0.35">
      <c r="A665">
        <v>1377</v>
      </c>
      <c r="B665" s="4">
        <v>45575.375085336993</v>
      </c>
      <c r="C665" t="s">
        <v>11</v>
      </c>
      <c r="D665" t="s">
        <v>17</v>
      </c>
      <c r="E665" t="s">
        <v>23</v>
      </c>
      <c r="F665">
        <v>10578.27</v>
      </c>
      <c r="G665">
        <f t="array" ref="G665">SalesData!$I$2 - 'RFM Table'!B665</f>
        <v>561</v>
      </c>
      <c r="H665">
        <f t="array" ref="H665">COUNTIF(A:A,A665)</f>
        <v>6</v>
      </c>
      <c r="I665">
        <f t="array" ref="I665">SUMIF(A:A,A665,F:F)</f>
        <v>39626.31</v>
      </c>
      <c r="J665">
        <f t="array" ref="J665">5 - INT(5 * (RANK(G665,G:G, 1) - 1) / COUNT(G:G))</f>
        <v>2</v>
      </c>
      <c r="K665">
        <f t="array" ref="K665">INT(5 * (RANK(H665,H:H, 0) - 1) / COUNT(H:H)) + 1</f>
        <v>4</v>
      </c>
      <c r="L665">
        <f t="array" ref="L665">INT(5 * (RANK(I665,I:I, 0) - 1) / COUNT(I:I)) + 1</f>
        <v>2</v>
      </c>
      <c r="M665" t="str">
        <f t="shared" si="20"/>
        <v>242</v>
      </c>
      <c r="N665" s="6" t="str">
        <f t="shared" si="21"/>
        <v>Others</v>
      </c>
    </row>
    <row r="666" spans="1:14" x14ac:dyDescent="0.35">
      <c r="A666">
        <v>1144</v>
      </c>
      <c r="B666" s="4">
        <v>45575.375085336993</v>
      </c>
      <c r="C666" t="s">
        <v>14</v>
      </c>
      <c r="D666" t="s">
        <v>18</v>
      </c>
      <c r="E666" t="s">
        <v>23</v>
      </c>
      <c r="F666">
        <v>5242.34</v>
      </c>
      <c r="G666">
        <f t="array" ref="G666">SalesData!$I$2 - 'RFM Table'!B666</f>
        <v>561</v>
      </c>
      <c r="H666">
        <f t="array" ref="H666">COUNTIF(A:A,A666)</f>
        <v>11</v>
      </c>
      <c r="I666">
        <f t="array" ref="I666">SUMIF(A:A,A666,F:F)</f>
        <v>62038.55</v>
      </c>
      <c r="J666">
        <f t="array" ref="J666">5 - INT(5 * (RANK(G666,G:G, 1) - 1) / COUNT(G:G))</f>
        <v>2</v>
      </c>
      <c r="K666">
        <f t="array" ref="K666">INT(5 * (RANK(H666,H:H, 0) - 1) / COUNT(H:H)) + 1</f>
        <v>1</v>
      </c>
      <c r="L666">
        <f t="array" ref="L666">INT(5 * (RANK(I666,I:I, 0) - 1) / COUNT(I:I)) + 1</f>
        <v>1</v>
      </c>
      <c r="M666" t="str">
        <f t="shared" si="20"/>
        <v>211</v>
      </c>
      <c r="N666" s="6" t="str">
        <f t="shared" si="21"/>
        <v>Lost</v>
      </c>
    </row>
    <row r="667" spans="1:14" x14ac:dyDescent="0.35">
      <c r="A667">
        <v>1287</v>
      </c>
      <c r="B667" s="4">
        <v>45576.375085336993</v>
      </c>
      <c r="C667" t="s">
        <v>14</v>
      </c>
      <c r="D667" t="s">
        <v>21</v>
      </c>
      <c r="E667" t="s">
        <v>24</v>
      </c>
      <c r="F667">
        <v>547.9</v>
      </c>
      <c r="G667">
        <f t="array" ref="G667">SalesData!$I$2 - 'RFM Table'!B667</f>
        <v>560</v>
      </c>
      <c r="H667">
        <f t="array" ref="H667">COUNTIF(A:A,A667)</f>
        <v>16</v>
      </c>
      <c r="I667">
        <f t="array" ref="I667">SUMIF(A:A,A667,F:F)</f>
        <v>64716.249999999985</v>
      </c>
      <c r="J667">
        <f t="array" ref="J667">5 - INT(5 * (RANK(G667,G:G, 1) - 1) / COUNT(G:G))</f>
        <v>2</v>
      </c>
      <c r="K667">
        <f t="array" ref="K667">INT(5 * (RANK(H667,H:H, 0) - 1) / COUNT(H:H)) + 1</f>
        <v>1</v>
      </c>
      <c r="L667">
        <f t="array" ref="L667">INT(5 * (RANK(I667,I:I, 0) - 1) / COUNT(I:I)) + 1</f>
        <v>1</v>
      </c>
      <c r="M667" t="str">
        <f t="shared" si="20"/>
        <v>211</v>
      </c>
      <c r="N667" s="6" t="str">
        <f t="shared" si="21"/>
        <v>Lost</v>
      </c>
    </row>
    <row r="668" spans="1:14" x14ac:dyDescent="0.35">
      <c r="A668">
        <v>1041</v>
      </c>
      <c r="B668" s="4">
        <v>45576.375085336993</v>
      </c>
      <c r="C668" t="s">
        <v>9</v>
      </c>
      <c r="D668" t="s">
        <v>21</v>
      </c>
      <c r="E668" t="s">
        <v>23</v>
      </c>
      <c r="F668">
        <v>1680.93</v>
      </c>
      <c r="G668">
        <f t="array" ref="G668">SalesData!$I$2 - 'RFM Table'!B668</f>
        <v>560</v>
      </c>
      <c r="H668">
        <f t="array" ref="H668">COUNTIF(A:A,A668)</f>
        <v>12</v>
      </c>
      <c r="I668">
        <f t="array" ref="I668">SUMIF(A:A,A668,F:F)</f>
        <v>44894.799999999996</v>
      </c>
      <c r="J668">
        <f t="array" ref="J668">5 - INT(5 * (RANK(G668,G:G, 1) - 1) / COUNT(G:G))</f>
        <v>2</v>
      </c>
      <c r="K668">
        <f t="array" ref="K668">INT(5 * (RANK(H668,H:H, 0) - 1) / COUNT(H:H)) + 1</f>
        <v>1</v>
      </c>
      <c r="L668">
        <f t="array" ref="L668">INT(5 * (RANK(I668,I:I, 0) - 1) / COUNT(I:I)) + 1</f>
        <v>1</v>
      </c>
      <c r="M668" t="str">
        <f t="shared" si="20"/>
        <v>211</v>
      </c>
      <c r="N668" s="6" t="str">
        <f t="shared" si="21"/>
        <v>Lost</v>
      </c>
    </row>
    <row r="669" spans="1:14" x14ac:dyDescent="0.35">
      <c r="A669">
        <v>1091</v>
      </c>
      <c r="B669" s="4">
        <v>45576.375085336993</v>
      </c>
      <c r="C669" t="s">
        <v>9</v>
      </c>
      <c r="D669" t="s">
        <v>22</v>
      </c>
      <c r="E669" t="s">
        <v>23</v>
      </c>
      <c r="F669">
        <v>1571.62</v>
      </c>
      <c r="G669">
        <f t="array" ref="G669">SalesData!$I$2 - 'RFM Table'!B669</f>
        <v>560</v>
      </c>
      <c r="H669">
        <f t="array" ref="H669">COUNTIF(A:A,A669)</f>
        <v>11</v>
      </c>
      <c r="I669">
        <f t="array" ref="I669">SUMIF(A:A,A669,F:F)</f>
        <v>39808.47</v>
      </c>
      <c r="J669">
        <f t="array" ref="J669">5 - INT(5 * (RANK(G669,G:G, 1) - 1) / COUNT(G:G))</f>
        <v>2</v>
      </c>
      <c r="K669">
        <f t="array" ref="K669">INT(5 * (RANK(H669,H:H, 0) - 1) / COUNT(H:H)) + 1</f>
        <v>1</v>
      </c>
      <c r="L669">
        <f t="array" ref="L669">INT(5 * (RANK(I669,I:I, 0) - 1) / COUNT(I:I)) + 1</f>
        <v>2</v>
      </c>
      <c r="M669" t="str">
        <f t="shared" si="20"/>
        <v>212</v>
      </c>
      <c r="N669" s="6" t="str">
        <f t="shared" si="21"/>
        <v>Lost</v>
      </c>
    </row>
    <row r="670" spans="1:14" x14ac:dyDescent="0.35">
      <c r="A670">
        <v>1228</v>
      </c>
      <c r="B670" s="4">
        <v>45576.375085336993</v>
      </c>
      <c r="C670" t="s">
        <v>11</v>
      </c>
      <c r="D670" t="s">
        <v>21</v>
      </c>
      <c r="E670" t="s">
        <v>25</v>
      </c>
      <c r="F670">
        <v>2532.69</v>
      </c>
      <c r="G670">
        <f t="array" ref="G670">SalesData!$I$2 - 'RFM Table'!B670</f>
        <v>560</v>
      </c>
      <c r="H670">
        <f t="array" ref="H670">COUNTIF(A:A,A670)</f>
        <v>13</v>
      </c>
      <c r="I670">
        <f t="array" ref="I670">SUMIF(A:A,A670,F:F)</f>
        <v>47658.630000000005</v>
      </c>
      <c r="J670">
        <f t="array" ref="J670">5 - INT(5 * (RANK(G670,G:G, 1) - 1) / COUNT(G:G))</f>
        <v>2</v>
      </c>
      <c r="K670">
        <f t="array" ref="K670">INT(5 * (RANK(H670,H:H, 0) - 1) / COUNT(H:H)) + 1</f>
        <v>1</v>
      </c>
      <c r="L670">
        <f t="array" ref="L670">INT(5 * (RANK(I670,I:I, 0) - 1) / COUNT(I:I)) + 1</f>
        <v>1</v>
      </c>
      <c r="M670" t="str">
        <f t="shared" si="20"/>
        <v>211</v>
      </c>
      <c r="N670" s="6" t="str">
        <f t="shared" si="21"/>
        <v>Lost</v>
      </c>
    </row>
    <row r="671" spans="1:14" x14ac:dyDescent="0.35">
      <c r="A671">
        <v>1313</v>
      </c>
      <c r="B671" s="4">
        <v>45576.375085336993</v>
      </c>
      <c r="C671" t="s">
        <v>12</v>
      </c>
      <c r="D671" t="s">
        <v>22</v>
      </c>
      <c r="E671" t="s">
        <v>24</v>
      </c>
      <c r="F671">
        <v>3372.88</v>
      </c>
      <c r="G671">
        <f t="array" ref="G671">SalesData!$I$2 - 'RFM Table'!B671</f>
        <v>560</v>
      </c>
      <c r="H671">
        <f t="array" ref="H671">COUNTIF(A:A,A671)</f>
        <v>9</v>
      </c>
      <c r="I671">
        <f t="array" ref="I671">SUMIF(A:A,A671,F:F)</f>
        <v>35759.83</v>
      </c>
      <c r="J671">
        <f t="array" ref="J671">5 - INT(5 * (RANK(G671,G:G, 1) - 1) / COUNT(G:G))</f>
        <v>2</v>
      </c>
      <c r="K671">
        <f t="array" ref="K671">INT(5 * (RANK(H671,H:H, 0) - 1) / COUNT(H:H)) + 1</f>
        <v>2</v>
      </c>
      <c r="L671">
        <f t="array" ref="L671">INT(5 * (RANK(I671,I:I, 0) - 1) / COUNT(I:I)) + 1</f>
        <v>3</v>
      </c>
      <c r="M671" t="str">
        <f t="shared" si="20"/>
        <v>223</v>
      </c>
      <c r="N671" s="6" t="str">
        <f t="shared" si="21"/>
        <v>Can't Lose Them</v>
      </c>
    </row>
    <row r="672" spans="1:14" x14ac:dyDescent="0.35">
      <c r="A672">
        <v>1292</v>
      </c>
      <c r="B672" s="4">
        <v>45576.375085336993</v>
      </c>
      <c r="C672" t="s">
        <v>15</v>
      </c>
      <c r="D672" t="s">
        <v>16</v>
      </c>
      <c r="E672" t="s">
        <v>24</v>
      </c>
      <c r="F672">
        <v>4205.08</v>
      </c>
      <c r="G672">
        <f t="array" ref="G672">SalesData!$I$2 - 'RFM Table'!B672</f>
        <v>560</v>
      </c>
      <c r="H672">
        <f t="array" ref="H672">COUNTIF(A:A,A672)</f>
        <v>15</v>
      </c>
      <c r="I672">
        <f t="array" ref="I672">SUMIF(A:A,A672,F:F)</f>
        <v>49637.999999999993</v>
      </c>
      <c r="J672">
        <f t="array" ref="J672">5 - INT(5 * (RANK(G672,G:G, 1) - 1) / COUNT(G:G))</f>
        <v>2</v>
      </c>
      <c r="K672">
        <f t="array" ref="K672">INT(5 * (RANK(H672,H:H, 0) - 1) / COUNT(H:H)) + 1</f>
        <v>1</v>
      </c>
      <c r="L672">
        <f t="array" ref="L672">INT(5 * (RANK(I672,I:I, 0) - 1) / COUNT(I:I)) + 1</f>
        <v>1</v>
      </c>
      <c r="M672" t="str">
        <f t="shared" si="20"/>
        <v>211</v>
      </c>
      <c r="N672" s="6" t="str">
        <f t="shared" si="21"/>
        <v>Lost</v>
      </c>
    </row>
    <row r="673" spans="1:14" x14ac:dyDescent="0.35">
      <c r="A673">
        <v>1186</v>
      </c>
      <c r="B673" s="4">
        <v>45577.375085336993</v>
      </c>
      <c r="C673" t="s">
        <v>13</v>
      </c>
      <c r="D673" t="s">
        <v>18</v>
      </c>
      <c r="E673" t="s">
        <v>23</v>
      </c>
      <c r="F673">
        <v>1979.73</v>
      </c>
      <c r="G673">
        <f t="array" ref="G673">SalesData!$I$2 - 'RFM Table'!B673</f>
        <v>559</v>
      </c>
      <c r="H673">
        <f t="array" ref="H673">COUNTIF(A:A,A673)</f>
        <v>7</v>
      </c>
      <c r="I673">
        <f t="array" ref="I673">SUMIF(A:A,A673,F:F)</f>
        <v>18132.900000000001</v>
      </c>
      <c r="J673">
        <f t="array" ref="J673">5 - INT(5 * (RANK(G673,G:G, 1) - 1) / COUNT(G:G))</f>
        <v>2</v>
      </c>
      <c r="K673">
        <f t="array" ref="K673">INT(5 * (RANK(H673,H:H, 0) - 1) / COUNT(H:H)) + 1</f>
        <v>4</v>
      </c>
      <c r="L673">
        <f t="array" ref="L673">INT(5 * (RANK(I673,I:I, 0) - 1) / COUNT(I:I)) + 1</f>
        <v>5</v>
      </c>
      <c r="M673" t="str">
        <f t="shared" si="20"/>
        <v>245</v>
      </c>
      <c r="N673" s="6" t="str">
        <f t="shared" si="21"/>
        <v>At Risk</v>
      </c>
    </row>
    <row r="674" spans="1:14" x14ac:dyDescent="0.35">
      <c r="A674">
        <v>1322</v>
      </c>
      <c r="B674" s="4">
        <v>45578.375085336993</v>
      </c>
      <c r="C674" t="s">
        <v>11</v>
      </c>
      <c r="D674" t="s">
        <v>19</v>
      </c>
      <c r="E674" t="s">
        <v>25</v>
      </c>
      <c r="F674">
        <v>1169.5999999999999</v>
      </c>
      <c r="G674">
        <f t="array" ref="G674">SalesData!$I$2 - 'RFM Table'!B674</f>
        <v>558</v>
      </c>
      <c r="H674">
        <f t="array" ref="H674">COUNTIF(A:A,A674)</f>
        <v>8</v>
      </c>
      <c r="I674">
        <f t="array" ref="I674">SUMIF(A:A,A674,F:F)</f>
        <v>30924.840000000004</v>
      </c>
      <c r="J674">
        <f t="array" ref="J674">5 - INT(5 * (RANK(G674,G:G, 1) - 1) / COUNT(G:G))</f>
        <v>2</v>
      </c>
      <c r="K674">
        <f t="array" ref="K674">INT(5 * (RANK(H674,H:H, 0) - 1) / COUNT(H:H)) + 1</f>
        <v>3</v>
      </c>
      <c r="L674">
        <f t="array" ref="L674">INT(5 * (RANK(I674,I:I, 0) - 1) / COUNT(I:I)) + 1</f>
        <v>3</v>
      </c>
      <c r="M674" t="str">
        <f t="shared" si="20"/>
        <v>233</v>
      </c>
      <c r="N674" s="6" t="str">
        <f t="shared" si="21"/>
        <v>At Risk</v>
      </c>
    </row>
    <row r="675" spans="1:14" x14ac:dyDescent="0.35">
      <c r="A675">
        <v>1108</v>
      </c>
      <c r="B675" s="4">
        <v>45578.375085336993</v>
      </c>
      <c r="C675" t="s">
        <v>15</v>
      </c>
      <c r="D675" t="s">
        <v>18</v>
      </c>
      <c r="E675" t="s">
        <v>24</v>
      </c>
      <c r="F675">
        <v>6043.34</v>
      </c>
      <c r="G675">
        <f t="array" ref="G675">SalesData!$I$2 - 'RFM Table'!B675</f>
        <v>558</v>
      </c>
      <c r="H675">
        <f t="array" ref="H675">COUNTIF(A:A,A675)</f>
        <v>5</v>
      </c>
      <c r="I675">
        <f t="array" ref="I675">SUMIF(A:A,A675,F:F)</f>
        <v>22595.8</v>
      </c>
      <c r="J675">
        <f t="array" ref="J675">5 - INT(5 * (RANK(G675,G:G, 1) - 1) / COUNT(G:G))</f>
        <v>2</v>
      </c>
      <c r="K675">
        <f t="array" ref="K675">INT(5 * (RANK(H675,H:H, 0) - 1) / COUNT(H:H)) + 1</f>
        <v>5</v>
      </c>
      <c r="L675">
        <f t="array" ref="L675">INT(5 * (RANK(I675,I:I, 0) - 1) / COUNT(I:I)) + 1</f>
        <v>4</v>
      </c>
      <c r="M675" t="str">
        <f t="shared" si="20"/>
        <v>254</v>
      </c>
      <c r="N675" s="6" t="str">
        <f t="shared" si="21"/>
        <v>At Risk</v>
      </c>
    </row>
    <row r="676" spans="1:14" x14ac:dyDescent="0.35">
      <c r="A676">
        <v>1276</v>
      </c>
      <c r="B676" s="4">
        <v>45578.375085336993</v>
      </c>
      <c r="C676" t="s">
        <v>9</v>
      </c>
      <c r="D676" t="s">
        <v>20</v>
      </c>
      <c r="E676" t="s">
        <v>25</v>
      </c>
      <c r="F676">
        <v>3107.87</v>
      </c>
      <c r="G676">
        <f t="array" ref="G676">SalesData!$I$2 - 'RFM Table'!B676</f>
        <v>558</v>
      </c>
      <c r="H676">
        <f t="array" ref="H676">COUNTIF(A:A,A676)</f>
        <v>11</v>
      </c>
      <c r="I676">
        <f t="array" ref="I676">SUMIF(A:A,A676,F:F)</f>
        <v>38337.789999999994</v>
      </c>
      <c r="J676">
        <f t="array" ref="J676">5 - INT(5 * (RANK(G676,G:G, 1) - 1) / COUNT(G:G))</f>
        <v>2</v>
      </c>
      <c r="K676">
        <f t="array" ref="K676">INT(5 * (RANK(H676,H:H, 0) - 1) / COUNT(H:H)) + 1</f>
        <v>1</v>
      </c>
      <c r="L676">
        <f t="array" ref="L676">INT(5 * (RANK(I676,I:I, 0) - 1) / COUNT(I:I)) + 1</f>
        <v>2</v>
      </c>
      <c r="M676" t="str">
        <f t="shared" si="20"/>
        <v>212</v>
      </c>
      <c r="N676" s="6" t="str">
        <f t="shared" si="21"/>
        <v>Lost</v>
      </c>
    </row>
    <row r="677" spans="1:14" x14ac:dyDescent="0.35">
      <c r="A677">
        <v>1100</v>
      </c>
      <c r="B677" s="4">
        <v>45578.375085336993</v>
      </c>
      <c r="C677" t="s">
        <v>11</v>
      </c>
      <c r="D677" t="s">
        <v>20</v>
      </c>
      <c r="E677" t="s">
        <v>25</v>
      </c>
      <c r="F677">
        <v>2759.92</v>
      </c>
      <c r="G677">
        <f t="array" ref="G677">SalesData!$I$2 - 'RFM Table'!B677</f>
        <v>558</v>
      </c>
      <c r="H677">
        <f t="array" ref="H677">COUNTIF(A:A,A677)</f>
        <v>12</v>
      </c>
      <c r="I677">
        <f t="array" ref="I677">SUMIF(A:A,A677,F:F)</f>
        <v>54905.279999999992</v>
      </c>
      <c r="J677">
        <f t="array" ref="J677">5 - INT(5 * (RANK(G677,G:G, 1) - 1) / COUNT(G:G))</f>
        <v>2</v>
      </c>
      <c r="K677">
        <f t="array" ref="K677">INT(5 * (RANK(H677,H:H, 0) - 1) / COUNT(H:H)) + 1</f>
        <v>1</v>
      </c>
      <c r="L677">
        <f t="array" ref="L677">INT(5 * (RANK(I677,I:I, 0) - 1) / COUNT(I:I)) + 1</f>
        <v>1</v>
      </c>
      <c r="M677" t="str">
        <f t="shared" si="20"/>
        <v>211</v>
      </c>
      <c r="N677" s="6" t="str">
        <f t="shared" si="21"/>
        <v>Lost</v>
      </c>
    </row>
    <row r="678" spans="1:14" x14ac:dyDescent="0.35">
      <c r="A678">
        <v>1052</v>
      </c>
      <c r="B678" s="4">
        <v>45579.375085336993</v>
      </c>
      <c r="C678" t="s">
        <v>11</v>
      </c>
      <c r="D678" t="s">
        <v>19</v>
      </c>
      <c r="E678" t="s">
        <v>24</v>
      </c>
      <c r="F678">
        <v>4085.51</v>
      </c>
      <c r="G678">
        <f t="array" ref="G678">SalesData!$I$2 - 'RFM Table'!B678</f>
        <v>557</v>
      </c>
      <c r="H678">
        <f t="array" ref="H678">COUNTIF(A:A,A678)</f>
        <v>9</v>
      </c>
      <c r="I678">
        <f t="array" ref="I678">SUMIF(A:A,A678,F:F)</f>
        <v>35283.15</v>
      </c>
      <c r="J678">
        <f t="array" ref="J678">5 - INT(5 * (RANK(G678,G:G, 1) - 1) / COUNT(G:G))</f>
        <v>2</v>
      </c>
      <c r="K678">
        <f t="array" ref="K678">INT(5 * (RANK(H678,H:H, 0) - 1) / COUNT(H:H)) + 1</f>
        <v>2</v>
      </c>
      <c r="L678">
        <f t="array" ref="L678">INT(5 * (RANK(I678,I:I, 0) - 1) / COUNT(I:I)) + 1</f>
        <v>3</v>
      </c>
      <c r="M678" t="str">
        <f t="shared" si="20"/>
        <v>223</v>
      </c>
      <c r="N678" s="6" t="str">
        <f t="shared" si="21"/>
        <v>Can't Lose Them</v>
      </c>
    </row>
    <row r="679" spans="1:14" x14ac:dyDescent="0.35">
      <c r="A679">
        <v>1383</v>
      </c>
      <c r="B679" s="4">
        <v>45579.375085336993</v>
      </c>
      <c r="C679" t="s">
        <v>6</v>
      </c>
      <c r="D679" t="s">
        <v>18</v>
      </c>
      <c r="E679" t="s">
        <v>24</v>
      </c>
      <c r="F679">
        <v>2339.44</v>
      </c>
      <c r="G679">
        <f t="array" ref="G679">SalesData!$I$2 - 'RFM Table'!B679</f>
        <v>557</v>
      </c>
      <c r="H679">
        <f t="array" ref="H679">COUNTIF(A:A,A679)</f>
        <v>6</v>
      </c>
      <c r="I679">
        <f t="array" ref="I679">SUMIF(A:A,A679,F:F)</f>
        <v>27159.870000000003</v>
      </c>
      <c r="J679">
        <f t="array" ref="J679">5 - INT(5 * (RANK(G679,G:G, 1) - 1) / COUNT(G:G))</f>
        <v>2</v>
      </c>
      <c r="K679">
        <f t="array" ref="K679">INT(5 * (RANK(H679,H:H, 0) - 1) / COUNT(H:H)) + 1</f>
        <v>4</v>
      </c>
      <c r="L679">
        <f t="array" ref="L679">INT(5 * (RANK(I679,I:I, 0) - 1) / COUNT(I:I)) + 1</f>
        <v>4</v>
      </c>
      <c r="M679" t="str">
        <f t="shared" si="20"/>
        <v>244</v>
      </c>
      <c r="N679" s="6" t="str">
        <f t="shared" si="21"/>
        <v>At Risk</v>
      </c>
    </row>
    <row r="680" spans="1:14" x14ac:dyDescent="0.35">
      <c r="A680">
        <v>1284</v>
      </c>
      <c r="B680" s="4">
        <v>45580.375085336993</v>
      </c>
      <c r="C680" t="s">
        <v>11</v>
      </c>
      <c r="D680" t="s">
        <v>19</v>
      </c>
      <c r="E680" t="s">
        <v>23</v>
      </c>
      <c r="F680">
        <v>5610.62</v>
      </c>
      <c r="G680">
        <f t="array" ref="G680">SalesData!$I$2 - 'RFM Table'!B680</f>
        <v>556</v>
      </c>
      <c r="H680">
        <f t="array" ref="H680">COUNTIF(A:A,A680)</f>
        <v>12</v>
      </c>
      <c r="I680">
        <f t="array" ref="I680">SUMIF(A:A,A680,F:F)</f>
        <v>49930.359999999993</v>
      </c>
      <c r="J680">
        <f t="array" ref="J680">5 - INT(5 * (RANK(G680,G:G, 1) - 1) / COUNT(G:G))</f>
        <v>2</v>
      </c>
      <c r="K680">
        <f t="array" ref="K680">INT(5 * (RANK(H680,H:H, 0) - 1) / COUNT(H:H)) + 1</f>
        <v>1</v>
      </c>
      <c r="L680">
        <f t="array" ref="L680">INT(5 * (RANK(I680,I:I, 0) - 1) / COUNT(I:I)) + 1</f>
        <v>1</v>
      </c>
      <c r="M680" t="str">
        <f t="shared" si="20"/>
        <v>211</v>
      </c>
      <c r="N680" s="6" t="str">
        <f t="shared" si="21"/>
        <v>Lost</v>
      </c>
    </row>
    <row r="681" spans="1:14" x14ac:dyDescent="0.35">
      <c r="A681">
        <v>1202</v>
      </c>
      <c r="B681" s="4">
        <v>45580.375085336993</v>
      </c>
      <c r="C681" t="s">
        <v>8</v>
      </c>
      <c r="D681" t="s">
        <v>21</v>
      </c>
      <c r="E681" t="s">
        <v>23</v>
      </c>
      <c r="F681">
        <v>4253.58</v>
      </c>
      <c r="G681">
        <f t="array" ref="G681">SalesData!$I$2 - 'RFM Table'!B681</f>
        <v>556</v>
      </c>
      <c r="H681">
        <f t="array" ref="H681">COUNTIF(A:A,A681)</f>
        <v>6</v>
      </c>
      <c r="I681">
        <f t="array" ref="I681">SUMIF(A:A,A681,F:F)</f>
        <v>14707.359999999999</v>
      </c>
      <c r="J681">
        <f t="array" ref="J681">5 - INT(5 * (RANK(G681,G:G, 1) - 1) / COUNT(G:G))</f>
        <v>2</v>
      </c>
      <c r="K681">
        <f t="array" ref="K681">INT(5 * (RANK(H681,H:H, 0) - 1) / COUNT(H:H)) + 1</f>
        <v>4</v>
      </c>
      <c r="L681">
        <f t="array" ref="L681">INT(5 * (RANK(I681,I:I, 0) - 1) / COUNT(I:I)) + 1</f>
        <v>5</v>
      </c>
      <c r="M681" t="str">
        <f t="shared" si="20"/>
        <v>245</v>
      </c>
      <c r="N681" s="6" t="str">
        <f t="shared" si="21"/>
        <v>At Risk</v>
      </c>
    </row>
    <row r="682" spans="1:14" x14ac:dyDescent="0.35">
      <c r="A682">
        <v>1027</v>
      </c>
      <c r="B682" s="4">
        <v>45580.375085336993</v>
      </c>
      <c r="C682" t="s">
        <v>13</v>
      </c>
      <c r="D682" t="s">
        <v>20</v>
      </c>
      <c r="E682" t="s">
        <v>24</v>
      </c>
      <c r="F682">
        <v>4195.79</v>
      </c>
      <c r="G682">
        <f t="array" ref="G682">SalesData!$I$2 - 'RFM Table'!B682</f>
        <v>556</v>
      </c>
      <c r="H682">
        <f t="array" ref="H682">COUNTIF(A:A,A682)</f>
        <v>7</v>
      </c>
      <c r="I682">
        <f t="array" ref="I682">SUMIF(A:A,A682,F:F)</f>
        <v>31771.820000000003</v>
      </c>
      <c r="J682">
        <f t="array" ref="J682">5 - INT(5 * (RANK(G682,G:G, 1) - 1) / COUNT(G:G))</f>
        <v>2</v>
      </c>
      <c r="K682">
        <f t="array" ref="K682">INT(5 * (RANK(H682,H:H, 0) - 1) / COUNT(H:H)) + 1</f>
        <v>4</v>
      </c>
      <c r="L682">
        <f t="array" ref="L682">INT(5 * (RANK(I682,I:I, 0) - 1) / COUNT(I:I)) + 1</f>
        <v>3</v>
      </c>
      <c r="M682" t="str">
        <f t="shared" si="20"/>
        <v>243</v>
      </c>
      <c r="N682" s="6" t="str">
        <f t="shared" si="21"/>
        <v>At Risk</v>
      </c>
    </row>
    <row r="683" spans="1:14" x14ac:dyDescent="0.35">
      <c r="A683">
        <v>1135</v>
      </c>
      <c r="B683" s="4">
        <v>45580.375085336993</v>
      </c>
      <c r="C683" t="s">
        <v>15</v>
      </c>
      <c r="D683" t="s">
        <v>21</v>
      </c>
      <c r="E683" t="s">
        <v>24</v>
      </c>
      <c r="F683">
        <v>1563.09</v>
      </c>
      <c r="G683">
        <f t="array" ref="G683">SalesData!$I$2 - 'RFM Table'!B683</f>
        <v>556</v>
      </c>
      <c r="H683">
        <f t="array" ref="H683">COUNTIF(A:A,A683)</f>
        <v>10</v>
      </c>
      <c r="I683">
        <f t="array" ref="I683">SUMIF(A:A,A683,F:F)</f>
        <v>31217.780000000002</v>
      </c>
      <c r="J683">
        <f t="array" ref="J683">5 - INT(5 * (RANK(G683,G:G, 1) - 1) / COUNT(G:G))</f>
        <v>2</v>
      </c>
      <c r="K683">
        <f t="array" ref="K683">INT(5 * (RANK(H683,H:H, 0) - 1) / COUNT(H:H)) + 1</f>
        <v>2</v>
      </c>
      <c r="L683">
        <f t="array" ref="L683">INT(5 * (RANK(I683,I:I, 0) - 1) / COUNT(I:I)) + 1</f>
        <v>3</v>
      </c>
      <c r="M683" t="str">
        <f t="shared" si="20"/>
        <v>223</v>
      </c>
      <c r="N683" s="6" t="str">
        <f t="shared" si="21"/>
        <v>Can't Lose Them</v>
      </c>
    </row>
    <row r="684" spans="1:14" x14ac:dyDescent="0.35">
      <c r="A684">
        <v>1344</v>
      </c>
      <c r="B684" s="4">
        <v>45580.375085336993</v>
      </c>
      <c r="C684" t="s">
        <v>7</v>
      </c>
      <c r="D684" t="s">
        <v>18</v>
      </c>
      <c r="E684" t="s">
        <v>25</v>
      </c>
      <c r="F684">
        <v>3303.64</v>
      </c>
      <c r="G684">
        <f t="array" ref="G684">SalesData!$I$2 - 'RFM Table'!B684</f>
        <v>556</v>
      </c>
      <c r="H684">
        <f t="array" ref="H684">COUNTIF(A:A,A684)</f>
        <v>9</v>
      </c>
      <c r="I684">
        <f t="array" ref="I684">SUMIF(A:A,A684,F:F)</f>
        <v>23905.670000000002</v>
      </c>
      <c r="J684">
        <f t="array" ref="J684">5 - INT(5 * (RANK(G684,G:G, 1) - 1) / COUNT(G:G))</f>
        <v>2</v>
      </c>
      <c r="K684">
        <f t="array" ref="K684">INT(5 * (RANK(H684,H:H, 0) - 1) / COUNT(H:H)) + 1</f>
        <v>2</v>
      </c>
      <c r="L684">
        <f t="array" ref="L684">INT(5 * (RANK(I684,I:I, 0) - 1) / COUNT(I:I)) + 1</f>
        <v>4</v>
      </c>
      <c r="M684" t="str">
        <f t="shared" si="20"/>
        <v>224</v>
      </c>
      <c r="N684" s="6" t="str">
        <f t="shared" si="21"/>
        <v>Can't Lose Them</v>
      </c>
    </row>
    <row r="685" spans="1:14" x14ac:dyDescent="0.35">
      <c r="A685">
        <v>1292</v>
      </c>
      <c r="B685" s="4">
        <v>45580.375085336993</v>
      </c>
      <c r="C685" t="s">
        <v>6</v>
      </c>
      <c r="D685" t="s">
        <v>21</v>
      </c>
      <c r="E685" t="s">
        <v>24</v>
      </c>
      <c r="F685">
        <v>3045.72</v>
      </c>
      <c r="G685">
        <f t="array" ref="G685">SalesData!$I$2 - 'RFM Table'!B685</f>
        <v>556</v>
      </c>
      <c r="H685">
        <f t="array" ref="H685">COUNTIF(A:A,A685)</f>
        <v>15</v>
      </c>
      <c r="I685">
        <f t="array" ref="I685">SUMIF(A:A,A685,F:F)</f>
        <v>49637.999999999993</v>
      </c>
      <c r="J685">
        <f t="array" ref="J685">5 - INT(5 * (RANK(G685,G:G, 1) - 1) / COUNT(G:G))</f>
        <v>2</v>
      </c>
      <c r="K685">
        <f t="array" ref="K685">INT(5 * (RANK(H685,H:H, 0) - 1) / COUNT(H:H)) + 1</f>
        <v>1</v>
      </c>
      <c r="L685">
        <f t="array" ref="L685">INT(5 * (RANK(I685,I:I, 0) - 1) / COUNT(I:I)) + 1</f>
        <v>1</v>
      </c>
      <c r="M685" t="str">
        <f t="shared" si="20"/>
        <v>211</v>
      </c>
      <c r="N685" s="6" t="str">
        <f t="shared" si="21"/>
        <v>Lost</v>
      </c>
    </row>
    <row r="686" spans="1:14" x14ac:dyDescent="0.35">
      <c r="A686">
        <v>1119</v>
      </c>
      <c r="B686" s="4">
        <v>45580.375085336993</v>
      </c>
      <c r="C686" t="s">
        <v>9</v>
      </c>
      <c r="D686" t="s">
        <v>20</v>
      </c>
      <c r="E686" t="s">
        <v>23</v>
      </c>
      <c r="F686">
        <v>6086.33</v>
      </c>
      <c r="G686">
        <f t="array" ref="G686">SalesData!$I$2 - 'RFM Table'!B686</f>
        <v>556</v>
      </c>
      <c r="H686">
        <f t="array" ref="H686">COUNTIF(A:A,A686)</f>
        <v>8</v>
      </c>
      <c r="I686">
        <f t="array" ref="I686">SUMIF(A:A,A686,F:F)</f>
        <v>33012.819999999992</v>
      </c>
      <c r="J686">
        <f t="array" ref="J686">5 - INT(5 * (RANK(G686,G:G, 1) - 1) / COUNT(G:G))</f>
        <v>2</v>
      </c>
      <c r="K686">
        <f t="array" ref="K686">INT(5 * (RANK(H686,H:H, 0) - 1) / COUNT(H:H)) + 1</f>
        <v>3</v>
      </c>
      <c r="L686">
        <f t="array" ref="L686">INT(5 * (RANK(I686,I:I, 0) - 1) / COUNT(I:I)) + 1</f>
        <v>3</v>
      </c>
      <c r="M686" t="str">
        <f t="shared" si="20"/>
        <v>233</v>
      </c>
      <c r="N686" s="6" t="str">
        <f t="shared" si="21"/>
        <v>At Risk</v>
      </c>
    </row>
    <row r="687" spans="1:14" x14ac:dyDescent="0.35">
      <c r="A687">
        <v>1383</v>
      </c>
      <c r="B687" s="4">
        <v>45581.375085336993</v>
      </c>
      <c r="C687" t="s">
        <v>9</v>
      </c>
      <c r="D687" t="s">
        <v>17</v>
      </c>
      <c r="E687" t="s">
        <v>23</v>
      </c>
      <c r="F687">
        <v>1674.91</v>
      </c>
      <c r="G687">
        <f t="array" ref="G687">SalesData!$I$2 - 'RFM Table'!B687</f>
        <v>555</v>
      </c>
      <c r="H687">
        <f t="array" ref="H687">COUNTIF(A:A,A687)</f>
        <v>6</v>
      </c>
      <c r="I687">
        <f t="array" ref="I687">SUMIF(A:A,A687,F:F)</f>
        <v>27159.870000000003</v>
      </c>
      <c r="J687">
        <f t="array" ref="J687">5 - INT(5 * (RANK(G687,G:G, 1) - 1) / COUNT(G:G))</f>
        <v>2</v>
      </c>
      <c r="K687">
        <f t="array" ref="K687">INT(5 * (RANK(H687,H:H, 0) - 1) / COUNT(H:H)) + 1</f>
        <v>4</v>
      </c>
      <c r="L687">
        <f t="array" ref="L687">INT(5 * (RANK(I687,I:I, 0) - 1) / COUNT(I:I)) + 1</f>
        <v>4</v>
      </c>
      <c r="M687" t="str">
        <f t="shared" si="20"/>
        <v>244</v>
      </c>
      <c r="N687" s="6" t="str">
        <f t="shared" si="21"/>
        <v>At Risk</v>
      </c>
    </row>
    <row r="688" spans="1:14" x14ac:dyDescent="0.35">
      <c r="A688">
        <v>1271</v>
      </c>
      <c r="B688" s="4">
        <v>45581.375085336993</v>
      </c>
      <c r="C688" t="s">
        <v>14</v>
      </c>
      <c r="D688" t="s">
        <v>22</v>
      </c>
      <c r="E688" t="s">
        <v>25</v>
      </c>
      <c r="F688">
        <v>7503.85</v>
      </c>
      <c r="G688">
        <f t="array" ref="G688">SalesData!$I$2 - 'RFM Table'!B688</f>
        <v>555</v>
      </c>
      <c r="H688">
        <f t="array" ref="H688">COUNTIF(A:A,A688)</f>
        <v>4</v>
      </c>
      <c r="I688">
        <f t="array" ref="I688">SUMIF(A:A,A688,F:F)</f>
        <v>18876.47</v>
      </c>
      <c r="J688">
        <f t="array" ref="J688">5 - INT(5 * (RANK(G688,G:G, 1) - 1) / COUNT(G:G))</f>
        <v>2</v>
      </c>
      <c r="K688">
        <f t="array" ref="K688">INT(5 * (RANK(H688,H:H, 0) - 1) / COUNT(H:H)) + 1</f>
        <v>5</v>
      </c>
      <c r="L688">
        <f t="array" ref="L688">INT(5 * (RANK(I688,I:I, 0) - 1) / COUNT(I:I)) + 1</f>
        <v>5</v>
      </c>
      <c r="M688" t="str">
        <f t="shared" si="20"/>
        <v>255</v>
      </c>
      <c r="N688" s="6" t="str">
        <f t="shared" si="21"/>
        <v>At Risk</v>
      </c>
    </row>
    <row r="689" spans="1:14" x14ac:dyDescent="0.35">
      <c r="A689">
        <v>1387</v>
      </c>
      <c r="B689" s="4">
        <v>45582.375085336993</v>
      </c>
      <c r="C689" t="s">
        <v>6</v>
      </c>
      <c r="D689" t="s">
        <v>19</v>
      </c>
      <c r="E689" t="s">
        <v>24</v>
      </c>
      <c r="F689">
        <v>4822.37</v>
      </c>
      <c r="G689">
        <f t="array" ref="G689">SalesData!$I$2 - 'RFM Table'!B689</f>
        <v>554</v>
      </c>
      <c r="H689">
        <f t="array" ref="H689">COUNTIF(A:A,A689)</f>
        <v>8</v>
      </c>
      <c r="I689">
        <f t="array" ref="I689">SUMIF(A:A,A689,F:F)</f>
        <v>30848.15</v>
      </c>
      <c r="J689">
        <f t="array" ref="J689">5 - INT(5 * (RANK(G689,G:G, 1) - 1) / COUNT(G:G))</f>
        <v>2</v>
      </c>
      <c r="K689">
        <f t="array" ref="K689">INT(5 * (RANK(H689,H:H, 0) - 1) / COUNT(H:H)) + 1</f>
        <v>3</v>
      </c>
      <c r="L689">
        <f t="array" ref="L689">INT(5 * (RANK(I689,I:I, 0) - 1) / COUNT(I:I)) + 1</f>
        <v>3</v>
      </c>
      <c r="M689" t="str">
        <f t="shared" si="20"/>
        <v>233</v>
      </c>
      <c r="N689" s="6" t="str">
        <f t="shared" si="21"/>
        <v>At Risk</v>
      </c>
    </row>
    <row r="690" spans="1:14" x14ac:dyDescent="0.35">
      <c r="A690">
        <v>1167</v>
      </c>
      <c r="B690" s="4">
        <v>45582.375085336993</v>
      </c>
      <c r="C690" t="s">
        <v>11</v>
      </c>
      <c r="D690" t="s">
        <v>22</v>
      </c>
      <c r="E690" t="s">
        <v>24</v>
      </c>
      <c r="F690">
        <v>4110.18</v>
      </c>
      <c r="G690">
        <f t="array" ref="G690">SalesData!$I$2 - 'RFM Table'!B690</f>
        <v>554</v>
      </c>
      <c r="H690">
        <f t="array" ref="H690">COUNTIF(A:A,A690)</f>
        <v>5</v>
      </c>
      <c r="I690">
        <f t="array" ref="I690">SUMIF(A:A,A690,F:F)</f>
        <v>19417.830000000002</v>
      </c>
      <c r="J690">
        <f t="array" ref="J690">5 - INT(5 * (RANK(G690,G:G, 1) - 1) / COUNT(G:G))</f>
        <v>2</v>
      </c>
      <c r="K690">
        <f t="array" ref="K690">INT(5 * (RANK(H690,H:H, 0) - 1) / COUNT(H:H)) + 1</f>
        <v>5</v>
      </c>
      <c r="L690">
        <f t="array" ref="L690">INT(5 * (RANK(I690,I:I, 0) - 1) / COUNT(I:I)) + 1</f>
        <v>5</v>
      </c>
      <c r="M690" t="str">
        <f t="shared" si="20"/>
        <v>255</v>
      </c>
      <c r="N690" s="6" t="str">
        <f t="shared" si="21"/>
        <v>At Risk</v>
      </c>
    </row>
    <row r="691" spans="1:14" x14ac:dyDescent="0.35">
      <c r="A691">
        <v>1057</v>
      </c>
      <c r="B691" s="4">
        <v>45582.375085336993</v>
      </c>
      <c r="C691" t="s">
        <v>13</v>
      </c>
      <c r="D691" t="s">
        <v>17</v>
      </c>
      <c r="E691" t="s">
        <v>23</v>
      </c>
      <c r="F691">
        <v>4157.47</v>
      </c>
      <c r="G691">
        <f t="array" ref="G691">SalesData!$I$2 - 'RFM Table'!B691</f>
        <v>554</v>
      </c>
      <c r="H691">
        <f t="array" ref="H691">COUNTIF(A:A,A691)</f>
        <v>9</v>
      </c>
      <c r="I691">
        <f t="array" ref="I691">SUMIF(A:A,A691,F:F)</f>
        <v>32930.549999999996</v>
      </c>
      <c r="J691">
        <f t="array" ref="J691">5 - INT(5 * (RANK(G691,G:G, 1) - 1) / COUNT(G:G))</f>
        <v>2</v>
      </c>
      <c r="K691">
        <f t="array" ref="K691">INT(5 * (RANK(H691,H:H, 0) - 1) / COUNT(H:H)) + 1</f>
        <v>2</v>
      </c>
      <c r="L691">
        <f t="array" ref="L691">INT(5 * (RANK(I691,I:I, 0) - 1) / COUNT(I:I)) + 1</f>
        <v>3</v>
      </c>
      <c r="M691" t="str">
        <f t="shared" si="20"/>
        <v>223</v>
      </c>
      <c r="N691" s="6" t="str">
        <f t="shared" si="21"/>
        <v>Can't Lose Them</v>
      </c>
    </row>
    <row r="692" spans="1:14" x14ac:dyDescent="0.35">
      <c r="A692">
        <v>1256</v>
      </c>
      <c r="B692" s="4">
        <v>45582.375085336993</v>
      </c>
      <c r="C692" t="s">
        <v>8</v>
      </c>
      <c r="D692" t="s">
        <v>19</v>
      </c>
      <c r="E692" t="s">
        <v>23</v>
      </c>
      <c r="F692">
        <v>483.4</v>
      </c>
      <c r="G692">
        <f t="array" ref="G692">SalesData!$I$2 - 'RFM Table'!B692</f>
        <v>554</v>
      </c>
      <c r="H692">
        <f t="array" ref="H692">COUNTIF(A:A,A692)</f>
        <v>8</v>
      </c>
      <c r="I692">
        <f t="array" ref="I692">SUMIF(A:A,A692,F:F)</f>
        <v>29767.75</v>
      </c>
      <c r="J692">
        <f t="array" ref="J692">5 - INT(5 * (RANK(G692,G:G, 1) - 1) / COUNT(G:G))</f>
        <v>2</v>
      </c>
      <c r="K692">
        <f t="array" ref="K692">INT(5 * (RANK(H692,H:H, 0) - 1) / COUNT(H:H)) + 1</f>
        <v>3</v>
      </c>
      <c r="L692">
        <f t="array" ref="L692">INT(5 * (RANK(I692,I:I, 0) - 1) / COUNT(I:I)) + 1</f>
        <v>3</v>
      </c>
      <c r="M692" t="str">
        <f t="shared" si="20"/>
        <v>233</v>
      </c>
      <c r="N692" s="6" t="str">
        <f t="shared" si="21"/>
        <v>At Risk</v>
      </c>
    </row>
    <row r="693" spans="1:14" x14ac:dyDescent="0.35">
      <c r="A693">
        <v>1001</v>
      </c>
      <c r="B693" s="4">
        <v>45582.375085336993</v>
      </c>
      <c r="C693" t="s">
        <v>13</v>
      </c>
      <c r="D693" t="s">
        <v>21</v>
      </c>
      <c r="E693" t="s">
        <v>23</v>
      </c>
      <c r="F693">
        <v>1341.05</v>
      </c>
      <c r="G693">
        <f t="array" ref="G693">SalesData!$I$2 - 'RFM Table'!B693</f>
        <v>554</v>
      </c>
      <c r="H693">
        <f t="array" ref="H693">COUNTIF(A:A,A693)</f>
        <v>7</v>
      </c>
      <c r="I693">
        <f t="array" ref="I693">SUMIF(A:A,A693,F:F)</f>
        <v>33081.189999999995</v>
      </c>
      <c r="J693">
        <f t="array" ref="J693">5 - INT(5 * (RANK(G693,G:G, 1) - 1) / COUNT(G:G))</f>
        <v>2</v>
      </c>
      <c r="K693">
        <f t="array" ref="K693">INT(5 * (RANK(H693,H:H, 0) - 1) / COUNT(H:H)) + 1</f>
        <v>4</v>
      </c>
      <c r="L693">
        <f t="array" ref="L693">INT(5 * (RANK(I693,I:I, 0) - 1) / COUNT(I:I)) + 1</f>
        <v>3</v>
      </c>
      <c r="M693" t="str">
        <f t="shared" si="20"/>
        <v>243</v>
      </c>
      <c r="N693" s="6" t="str">
        <f t="shared" si="21"/>
        <v>At Risk</v>
      </c>
    </row>
    <row r="694" spans="1:14" x14ac:dyDescent="0.35">
      <c r="A694">
        <v>1267</v>
      </c>
      <c r="B694" s="4">
        <v>45583.375085336993</v>
      </c>
      <c r="C694" t="s">
        <v>9</v>
      </c>
      <c r="D694" t="s">
        <v>16</v>
      </c>
      <c r="E694" t="s">
        <v>23</v>
      </c>
      <c r="F694">
        <v>2582.66</v>
      </c>
      <c r="G694">
        <f t="array" ref="G694">SalesData!$I$2 - 'RFM Table'!B694</f>
        <v>553</v>
      </c>
      <c r="H694">
        <f t="array" ref="H694">COUNTIF(A:A,A694)</f>
        <v>9</v>
      </c>
      <c r="I694">
        <f t="array" ref="I694">SUMIF(A:A,A694,F:F)</f>
        <v>39538.21</v>
      </c>
      <c r="J694">
        <f t="array" ref="J694">5 - INT(5 * (RANK(G694,G:G, 1) - 1) / COUNT(G:G))</f>
        <v>2</v>
      </c>
      <c r="K694">
        <f t="array" ref="K694">INT(5 * (RANK(H694,H:H, 0) - 1) / COUNT(H:H)) + 1</f>
        <v>2</v>
      </c>
      <c r="L694">
        <f t="array" ref="L694">INT(5 * (RANK(I694,I:I, 0) - 1) / COUNT(I:I)) + 1</f>
        <v>2</v>
      </c>
      <c r="M694" t="str">
        <f t="shared" si="20"/>
        <v>222</v>
      </c>
      <c r="N694" s="6" t="str">
        <f t="shared" si="21"/>
        <v>Lost</v>
      </c>
    </row>
    <row r="695" spans="1:14" x14ac:dyDescent="0.35">
      <c r="A695">
        <v>1254</v>
      </c>
      <c r="B695" s="4">
        <v>45583.375085336993</v>
      </c>
      <c r="C695" t="s">
        <v>10</v>
      </c>
      <c r="D695" t="s">
        <v>20</v>
      </c>
      <c r="E695" t="s">
        <v>25</v>
      </c>
      <c r="F695">
        <v>4878.6899999999996</v>
      </c>
      <c r="G695">
        <f t="array" ref="G695">SalesData!$I$2 - 'RFM Table'!B695</f>
        <v>553</v>
      </c>
      <c r="H695">
        <f t="array" ref="H695">COUNTIF(A:A,A695)</f>
        <v>5</v>
      </c>
      <c r="I695">
        <f t="array" ref="I695">SUMIF(A:A,A695,F:F)</f>
        <v>26657.089999999997</v>
      </c>
      <c r="J695">
        <f t="array" ref="J695">5 - INT(5 * (RANK(G695,G:G, 1) - 1) / COUNT(G:G))</f>
        <v>2</v>
      </c>
      <c r="K695">
        <f t="array" ref="K695">INT(5 * (RANK(H695,H:H, 0) - 1) / COUNT(H:H)) + 1</f>
        <v>5</v>
      </c>
      <c r="L695">
        <f t="array" ref="L695">INT(5 * (RANK(I695,I:I, 0) - 1) / COUNT(I:I)) + 1</f>
        <v>4</v>
      </c>
      <c r="M695" t="str">
        <f t="shared" si="20"/>
        <v>254</v>
      </c>
      <c r="N695" s="6" t="str">
        <f t="shared" si="21"/>
        <v>At Risk</v>
      </c>
    </row>
    <row r="696" spans="1:14" x14ac:dyDescent="0.35">
      <c r="A696">
        <v>1263</v>
      </c>
      <c r="B696" s="4">
        <v>45583.375085336993</v>
      </c>
      <c r="C696" t="s">
        <v>15</v>
      </c>
      <c r="D696" t="s">
        <v>19</v>
      </c>
      <c r="E696" t="s">
        <v>25</v>
      </c>
      <c r="F696">
        <v>1689.52</v>
      </c>
      <c r="G696">
        <f t="array" ref="G696">SalesData!$I$2 - 'RFM Table'!B696</f>
        <v>553</v>
      </c>
      <c r="H696">
        <f t="array" ref="H696">COUNTIF(A:A,A696)</f>
        <v>15</v>
      </c>
      <c r="I696">
        <f t="array" ref="I696">SUMIF(A:A,A696,F:F)</f>
        <v>55867.080000000016</v>
      </c>
      <c r="J696">
        <f t="array" ref="J696">5 - INT(5 * (RANK(G696,G:G, 1) - 1) / COUNT(G:G))</f>
        <v>2</v>
      </c>
      <c r="K696">
        <f t="array" ref="K696">INT(5 * (RANK(H696,H:H, 0) - 1) / COUNT(H:H)) + 1</f>
        <v>1</v>
      </c>
      <c r="L696">
        <f t="array" ref="L696">INT(5 * (RANK(I696,I:I, 0) - 1) / COUNT(I:I)) + 1</f>
        <v>1</v>
      </c>
      <c r="M696" t="str">
        <f t="shared" si="20"/>
        <v>211</v>
      </c>
      <c r="N696" s="6" t="str">
        <f t="shared" si="21"/>
        <v>Lost</v>
      </c>
    </row>
    <row r="697" spans="1:14" x14ac:dyDescent="0.35">
      <c r="A697">
        <v>1359</v>
      </c>
      <c r="B697" s="4">
        <v>45583.375085336993</v>
      </c>
      <c r="C697" t="s">
        <v>10</v>
      </c>
      <c r="D697" t="s">
        <v>16</v>
      </c>
      <c r="E697" t="s">
        <v>24</v>
      </c>
      <c r="F697">
        <v>2900.25</v>
      </c>
      <c r="G697">
        <f t="array" ref="G697">SalesData!$I$2 - 'RFM Table'!B697</f>
        <v>553</v>
      </c>
      <c r="H697">
        <f t="array" ref="H697">COUNTIF(A:A,A697)</f>
        <v>13</v>
      </c>
      <c r="I697">
        <f t="array" ref="I697">SUMIF(A:A,A697,F:F)</f>
        <v>40402.14</v>
      </c>
      <c r="J697">
        <f t="array" ref="J697">5 - INT(5 * (RANK(G697,G:G, 1) - 1) / COUNT(G:G))</f>
        <v>2</v>
      </c>
      <c r="K697">
        <f t="array" ref="K697">INT(5 * (RANK(H697,H:H, 0) - 1) / COUNT(H:H)) + 1</f>
        <v>1</v>
      </c>
      <c r="L697">
        <f t="array" ref="L697">INT(5 * (RANK(I697,I:I, 0) - 1) / COUNT(I:I)) + 1</f>
        <v>2</v>
      </c>
      <c r="M697" t="str">
        <f t="shared" si="20"/>
        <v>212</v>
      </c>
      <c r="N697" s="6" t="str">
        <f t="shared" si="21"/>
        <v>Lost</v>
      </c>
    </row>
    <row r="698" spans="1:14" x14ac:dyDescent="0.35">
      <c r="A698">
        <v>1310</v>
      </c>
      <c r="B698" s="4">
        <v>45584.375085336993</v>
      </c>
      <c r="C698" t="s">
        <v>10</v>
      </c>
      <c r="D698" t="s">
        <v>20</v>
      </c>
      <c r="E698" t="s">
        <v>25</v>
      </c>
      <c r="F698">
        <v>4475.3599999999997</v>
      </c>
      <c r="G698">
        <f t="array" ref="G698">SalesData!$I$2 - 'RFM Table'!B698</f>
        <v>552</v>
      </c>
      <c r="H698">
        <f t="array" ref="H698">COUNTIF(A:A,A698)</f>
        <v>9</v>
      </c>
      <c r="I698">
        <f t="array" ref="I698">SUMIF(A:A,A698,F:F)</f>
        <v>45883.96</v>
      </c>
      <c r="J698">
        <f t="array" ref="J698">5 - INT(5 * (RANK(G698,G:G, 1) - 1) / COUNT(G:G))</f>
        <v>2</v>
      </c>
      <c r="K698">
        <f t="array" ref="K698">INT(5 * (RANK(H698,H:H, 0) - 1) / COUNT(H:H)) + 1</f>
        <v>2</v>
      </c>
      <c r="L698">
        <f t="array" ref="L698">INT(5 * (RANK(I698,I:I, 0) - 1) / COUNT(I:I)) + 1</f>
        <v>1</v>
      </c>
      <c r="M698" t="str">
        <f t="shared" si="20"/>
        <v>221</v>
      </c>
      <c r="N698" s="6" t="str">
        <f t="shared" si="21"/>
        <v>Lost</v>
      </c>
    </row>
    <row r="699" spans="1:14" x14ac:dyDescent="0.35">
      <c r="A699">
        <v>1216</v>
      </c>
      <c r="B699" s="4">
        <v>45584.375085336993</v>
      </c>
      <c r="C699" t="s">
        <v>12</v>
      </c>
      <c r="D699" t="s">
        <v>22</v>
      </c>
      <c r="E699" t="s">
        <v>25</v>
      </c>
      <c r="F699">
        <v>7092.94</v>
      </c>
      <c r="G699">
        <f t="array" ref="G699">SalesData!$I$2 - 'RFM Table'!B699</f>
        <v>552</v>
      </c>
      <c r="H699">
        <f t="array" ref="H699">COUNTIF(A:A,A699)</f>
        <v>10</v>
      </c>
      <c r="I699">
        <f t="array" ref="I699">SUMIF(A:A,A699,F:F)</f>
        <v>38608.230000000003</v>
      </c>
      <c r="J699">
        <f t="array" ref="J699">5 - INT(5 * (RANK(G699,G:G, 1) - 1) / COUNT(G:G))</f>
        <v>2</v>
      </c>
      <c r="K699">
        <f t="array" ref="K699">INT(5 * (RANK(H699,H:H, 0) - 1) / COUNT(H:H)) + 1</f>
        <v>2</v>
      </c>
      <c r="L699">
        <f t="array" ref="L699">INT(5 * (RANK(I699,I:I, 0) - 1) / COUNT(I:I)) + 1</f>
        <v>2</v>
      </c>
      <c r="M699" t="str">
        <f t="shared" si="20"/>
        <v>222</v>
      </c>
      <c r="N699" s="6" t="str">
        <f t="shared" si="21"/>
        <v>Lost</v>
      </c>
    </row>
    <row r="700" spans="1:14" x14ac:dyDescent="0.35">
      <c r="A700">
        <v>1186</v>
      </c>
      <c r="B700" s="4">
        <v>45584.375085336993</v>
      </c>
      <c r="C700" t="s">
        <v>7</v>
      </c>
      <c r="D700" t="s">
        <v>19</v>
      </c>
      <c r="E700" t="s">
        <v>23</v>
      </c>
      <c r="F700">
        <v>2720.66</v>
      </c>
      <c r="G700">
        <f t="array" ref="G700">SalesData!$I$2 - 'RFM Table'!B700</f>
        <v>552</v>
      </c>
      <c r="H700">
        <f t="array" ref="H700">COUNTIF(A:A,A700)</f>
        <v>7</v>
      </c>
      <c r="I700">
        <f t="array" ref="I700">SUMIF(A:A,A700,F:F)</f>
        <v>18132.900000000001</v>
      </c>
      <c r="J700">
        <f t="array" ref="J700">5 - INT(5 * (RANK(G700,G:G, 1) - 1) / COUNT(G:G))</f>
        <v>2</v>
      </c>
      <c r="K700">
        <f t="array" ref="K700">INT(5 * (RANK(H700,H:H, 0) - 1) / COUNT(H:H)) + 1</f>
        <v>4</v>
      </c>
      <c r="L700">
        <f t="array" ref="L700">INT(5 * (RANK(I700,I:I, 0) - 1) / COUNT(I:I)) + 1</f>
        <v>5</v>
      </c>
      <c r="M700" t="str">
        <f t="shared" si="20"/>
        <v>245</v>
      </c>
      <c r="N700" s="6" t="str">
        <f t="shared" si="21"/>
        <v>At Risk</v>
      </c>
    </row>
    <row r="701" spans="1:14" x14ac:dyDescent="0.35">
      <c r="A701">
        <v>1255</v>
      </c>
      <c r="B701" s="4">
        <v>45585.375085336993</v>
      </c>
      <c r="C701" t="s">
        <v>11</v>
      </c>
      <c r="D701" t="s">
        <v>21</v>
      </c>
      <c r="E701" t="s">
        <v>24</v>
      </c>
      <c r="F701">
        <v>565.72</v>
      </c>
      <c r="G701">
        <f t="array" ref="G701">SalesData!$I$2 - 'RFM Table'!B701</f>
        <v>551</v>
      </c>
      <c r="H701">
        <f t="array" ref="H701">COUNTIF(A:A,A701)</f>
        <v>8</v>
      </c>
      <c r="I701">
        <f t="array" ref="I701">SUMIF(A:A,A701,F:F)</f>
        <v>33838.019999999997</v>
      </c>
      <c r="J701">
        <f t="array" ref="J701">5 - INT(5 * (RANK(G701,G:G, 1) - 1) / COUNT(G:G))</f>
        <v>2</v>
      </c>
      <c r="K701">
        <f t="array" ref="K701">INT(5 * (RANK(H701,H:H, 0) - 1) / COUNT(H:H)) + 1</f>
        <v>3</v>
      </c>
      <c r="L701">
        <f t="array" ref="L701">INT(5 * (RANK(I701,I:I, 0) - 1) / COUNT(I:I)) + 1</f>
        <v>3</v>
      </c>
      <c r="M701" t="str">
        <f t="shared" si="20"/>
        <v>233</v>
      </c>
      <c r="N701" s="6" t="str">
        <f t="shared" si="21"/>
        <v>At Risk</v>
      </c>
    </row>
    <row r="702" spans="1:14" x14ac:dyDescent="0.35">
      <c r="A702">
        <v>1344</v>
      </c>
      <c r="B702" s="4">
        <v>45585.375085336993</v>
      </c>
      <c r="C702" t="s">
        <v>6</v>
      </c>
      <c r="D702" t="s">
        <v>22</v>
      </c>
      <c r="E702" t="s">
        <v>24</v>
      </c>
      <c r="F702">
        <v>3333.15</v>
      </c>
      <c r="G702">
        <f t="array" ref="G702">SalesData!$I$2 - 'RFM Table'!B702</f>
        <v>551</v>
      </c>
      <c r="H702">
        <f t="array" ref="H702">COUNTIF(A:A,A702)</f>
        <v>9</v>
      </c>
      <c r="I702">
        <f t="array" ref="I702">SUMIF(A:A,A702,F:F)</f>
        <v>23905.670000000002</v>
      </c>
      <c r="J702">
        <f t="array" ref="J702">5 - INT(5 * (RANK(G702,G:G, 1) - 1) / COUNT(G:G))</f>
        <v>2</v>
      </c>
      <c r="K702">
        <f t="array" ref="K702">INT(5 * (RANK(H702,H:H, 0) - 1) / COUNT(H:H)) + 1</f>
        <v>2</v>
      </c>
      <c r="L702">
        <f t="array" ref="L702">INT(5 * (RANK(I702,I:I, 0) - 1) / COUNT(I:I)) + 1</f>
        <v>4</v>
      </c>
      <c r="M702" t="str">
        <f t="shared" si="20"/>
        <v>224</v>
      </c>
      <c r="N702" s="6" t="str">
        <f t="shared" si="21"/>
        <v>Can't Lose Them</v>
      </c>
    </row>
    <row r="703" spans="1:14" x14ac:dyDescent="0.35">
      <c r="A703">
        <v>1028</v>
      </c>
      <c r="B703" s="4">
        <v>45585.375085336993</v>
      </c>
      <c r="C703" t="s">
        <v>8</v>
      </c>
      <c r="D703" t="s">
        <v>19</v>
      </c>
      <c r="E703" t="s">
        <v>23</v>
      </c>
      <c r="F703">
        <v>6179.71</v>
      </c>
      <c r="G703">
        <f t="array" ref="G703">SalesData!$I$2 - 'RFM Table'!B703</f>
        <v>551</v>
      </c>
      <c r="H703">
        <f t="array" ref="H703">COUNTIF(A:A,A703)</f>
        <v>10</v>
      </c>
      <c r="I703">
        <f t="array" ref="I703">SUMIF(A:A,A703,F:F)</f>
        <v>37984.589999999997</v>
      </c>
      <c r="J703">
        <f t="array" ref="J703">5 - INT(5 * (RANK(G703,G:G, 1) - 1) / COUNT(G:G))</f>
        <v>2</v>
      </c>
      <c r="K703">
        <f t="array" ref="K703">INT(5 * (RANK(H703,H:H, 0) - 1) / COUNT(H:H)) + 1</f>
        <v>2</v>
      </c>
      <c r="L703">
        <f t="array" ref="L703">INT(5 * (RANK(I703,I:I, 0) - 1) / COUNT(I:I)) + 1</f>
        <v>2</v>
      </c>
      <c r="M703" t="str">
        <f t="shared" si="20"/>
        <v>222</v>
      </c>
      <c r="N703" s="6" t="str">
        <f t="shared" si="21"/>
        <v>Lost</v>
      </c>
    </row>
    <row r="704" spans="1:14" x14ac:dyDescent="0.35">
      <c r="A704">
        <v>1311</v>
      </c>
      <c r="B704" s="4">
        <v>45586.375085336993</v>
      </c>
      <c r="C704" t="s">
        <v>12</v>
      </c>
      <c r="D704" t="s">
        <v>19</v>
      </c>
      <c r="E704" t="s">
        <v>24</v>
      </c>
      <c r="F704">
        <v>3305.42</v>
      </c>
      <c r="G704">
        <f t="array" ref="G704">SalesData!$I$2 - 'RFM Table'!B704</f>
        <v>550</v>
      </c>
      <c r="H704">
        <f t="array" ref="H704">COUNTIF(A:A,A704)</f>
        <v>8</v>
      </c>
      <c r="I704">
        <f t="array" ref="I704">SUMIF(A:A,A704,F:F)</f>
        <v>37668.22</v>
      </c>
      <c r="J704">
        <f t="array" ref="J704">5 - INT(5 * (RANK(G704,G:G, 1) - 1) / COUNT(G:G))</f>
        <v>2</v>
      </c>
      <c r="K704">
        <f t="array" ref="K704">INT(5 * (RANK(H704,H:H, 0) - 1) / COUNT(H:H)) + 1</f>
        <v>3</v>
      </c>
      <c r="L704">
        <f t="array" ref="L704">INT(5 * (RANK(I704,I:I, 0) - 1) / COUNT(I:I)) + 1</f>
        <v>2</v>
      </c>
      <c r="M704" t="str">
        <f t="shared" si="20"/>
        <v>232</v>
      </c>
      <c r="N704" s="6" t="str">
        <f t="shared" si="21"/>
        <v>Others</v>
      </c>
    </row>
    <row r="705" spans="1:14" x14ac:dyDescent="0.35">
      <c r="A705">
        <v>1343</v>
      </c>
      <c r="B705" s="4">
        <v>45586.375085336993</v>
      </c>
      <c r="C705" t="s">
        <v>9</v>
      </c>
      <c r="D705" t="s">
        <v>21</v>
      </c>
      <c r="E705" t="s">
        <v>24</v>
      </c>
      <c r="F705">
        <v>2701.32</v>
      </c>
      <c r="G705">
        <f t="array" ref="G705">SalesData!$I$2 - 'RFM Table'!B705</f>
        <v>550</v>
      </c>
      <c r="H705">
        <f t="array" ref="H705">COUNTIF(A:A,A705)</f>
        <v>9</v>
      </c>
      <c r="I705">
        <f t="array" ref="I705">SUMIF(A:A,A705,F:F)</f>
        <v>40117.730000000003</v>
      </c>
      <c r="J705">
        <f t="array" ref="J705">5 - INT(5 * (RANK(G705,G:G, 1) - 1) / COUNT(G:G))</f>
        <v>2</v>
      </c>
      <c r="K705">
        <f t="array" ref="K705">INT(5 * (RANK(H705,H:H, 0) - 1) / COUNT(H:H)) + 1</f>
        <v>2</v>
      </c>
      <c r="L705">
        <f t="array" ref="L705">INT(5 * (RANK(I705,I:I, 0) - 1) / COUNT(I:I)) + 1</f>
        <v>2</v>
      </c>
      <c r="M705" t="str">
        <f t="shared" si="20"/>
        <v>222</v>
      </c>
      <c r="N705" s="6" t="str">
        <f t="shared" si="21"/>
        <v>Lost</v>
      </c>
    </row>
    <row r="706" spans="1:14" x14ac:dyDescent="0.35">
      <c r="A706">
        <v>1365</v>
      </c>
      <c r="B706" s="4">
        <v>45586.375085336993</v>
      </c>
      <c r="C706" t="s">
        <v>11</v>
      </c>
      <c r="D706" t="s">
        <v>16</v>
      </c>
      <c r="E706" t="s">
        <v>24</v>
      </c>
      <c r="F706">
        <v>16763.490000000002</v>
      </c>
      <c r="G706">
        <f t="array" ref="G706">SalesData!$I$2 - 'RFM Table'!B706</f>
        <v>550</v>
      </c>
      <c r="H706">
        <f t="array" ref="H706">COUNTIF(A:A,A706)</f>
        <v>6</v>
      </c>
      <c r="I706">
        <f t="array" ref="I706">SUMIF(A:A,A706,F:F)</f>
        <v>28898.239999999998</v>
      </c>
      <c r="J706">
        <f t="array" ref="J706">5 - INT(5 * (RANK(G706,G:G, 1) - 1) / COUNT(G:G))</f>
        <v>2</v>
      </c>
      <c r="K706">
        <f t="array" ref="K706">INT(5 * (RANK(H706,H:H, 0) - 1) / COUNT(H:H)) + 1</f>
        <v>4</v>
      </c>
      <c r="L706">
        <f t="array" ref="L706">INT(5 * (RANK(I706,I:I, 0) - 1) / COUNT(I:I)) + 1</f>
        <v>4</v>
      </c>
      <c r="M706" t="str">
        <f t="shared" si="20"/>
        <v>244</v>
      </c>
      <c r="N706" s="6" t="str">
        <f t="shared" si="21"/>
        <v>At Risk</v>
      </c>
    </row>
    <row r="707" spans="1:14" x14ac:dyDescent="0.35">
      <c r="A707">
        <v>1180</v>
      </c>
      <c r="B707" s="4">
        <v>45586.375085336993</v>
      </c>
      <c r="C707" t="s">
        <v>14</v>
      </c>
      <c r="D707" t="s">
        <v>22</v>
      </c>
      <c r="E707" t="s">
        <v>23</v>
      </c>
      <c r="F707">
        <v>6173.43</v>
      </c>
      <c r="G707">
        <f t="array" ref="G707">SalesData!$I$2 - 'RFM Table'!B707</f>
        <v>550</v>
      </c>
      <c r="H707">
        <f t="array" ref="H707">COUNTIF(A:A,A707)</f>
        <v>8</v>
      </c>
      <c r="I707">
        <f t="array" ref="I707">SUMIF(A:A,A707,F:F)</f>
        <v>35247.5</v>
      </c>
      <c r="J707">
        <f t="array" ref="J707">5 - INT(5 * (RANK(G707,G:G, 1) - 1) / COUNT(G:G))</f>
        <v>2</v>
      </c>
      <c r="K707">
        <f t="array" ref="K707">INT(5 * (RANK(H707,H:H, 0) - 1) / COUNT(H:H)) + 1</f>
        <v>3</v>
      </c>
      <c r="L707">
        <f t="array" ref="L707">INT(5 * (RANK(I707,I:I, 0) - 1) / COUNT(I:I)) + 1</f>
        <v>3</v>
      </c>
      <c r="M707" t="str">
        <f t="shared" ref="M707:M770" si="22">J707 &amp; K707 &amp; L707</f>
        <v>233</v>
      </c>
      <c r="N707" s="6" t="str">
        <f t="shared" ref="N707:N770" si="23">IF(AND(J707&gt;=4,K707&lt;=2),"New Customers",
IF(AND(J707&lt;=2,K707&gt;=3,L707&gt;=3),"At Risk",
IF(AND(J707&lt;=2,K707&lt;=2,L707&gt;=3),"Can't Lose Them",
IF(AND(J707&lt;=2,K707&lt;=2,L707&lt;=2),"Lost",
"Others"))))</f>
        <v>At Risk</v>
      </c>
    </row>
    <row r="708" spans="1:14" x14ac:dyDescent="0.35">
      <c r="A708">
        <v>1177</v>
      </c>
      <c r="B708" s="4">
        <v>45586.375085336993</v>
      </c>
      <c r="C708" t="s">
        <v>14</v>
      </c>
      <c r="D708" t="s">
        <v>20</v>
      </c>
      <c r="E708" t="s">
        <v>24</v>
      </c>
      <c r="F708">
        <v>2109</v>
      </c>
      <c r="G708">
        <f t="array" ref="G708">SalesData!$I$2 - 'RFM Table'!B708</f>
        <v>550</v>
      </c>
      <c r="H708">
        <f t="array" ref="H708">COUNTIF(A:A,A708)</f>
        <v>9</v>
      </c>
      <c r="I708">
        <f t="array" ref="I708">SUMIF(A:A,A708,F:F)</f>
        <v>27857.719999999998</v>
      </c>
      <c r="J708">
        <f t="array" ref="J708">5 - INT(5 * (RANK(G708,G:G, 1) - 1) / COUNT(G:G))</f>
        <v>2</v>
      </c>
      <c r="K708">
        <f t="array" ref="K708">INT(5 * (RANK(H708,H:H, 0) - 1) / COUNT(H:H)) + 1</f>
        <v>2</v>
      </c>
      <c r="L708">
        <f t="array" ref="L708">INT(5 * (RANK(I708,I:I, 0) - 1) / COUNT(I:I)) + 1</f>
        <v>4</v>
      </c>
      <c r="M708" t="str">
        <f t="shared" si="22"/>
        <v>224</v>
      </c>
      <c r="N708" s="6" t="str">
        <f t="shared" si="23"/>
        <v>Can't Lose Them</v>
      </c>
    </row>
    <row r="709" spans="1:14" x14ac:dyDescent="0.35">
      <c r="A709">
        <v>1003</v>
      </c>
      <c r="B709" s="4">
        <v>45586.375085336993</v>
      </c>
      <c r="C709" t="s">
        <v>10</v>
      </c>
      <c r="D709" t="s">
        <v>16</v>
      </c>
      <c r="E709" t="s">
        <v>25</v>
      </c>
      <c r="F709">
        <v>4109.4399999999996</v>
      </c>
      <c r="G709">
        <f t="array" ref="G709">SalesData!$I$2 - 'RFM Table'!B709</f>
        <v>550</v>
      </c>
      <c r="H709">
        <f t="array" ref="H709">COUNTIF(A:A,A709)</f>
        <v>9</v>
      </c>
      <c r="I709">
        <f t="array" ref="I709">SUMIF(A:A,A709,F:F)</f>
        <v>48978.57</v>
      </c>
      <c r="J709">
        <f t="array" ref="J709">5 - INT(5 * (RANK(G709,G:G, 1) - 1) / COUNT(G:G))</f>
        <v>2</v>
      </c>
      <c r="K709">
        <f t="array" ref="K709">INT(5 * (RANK(H709,H:H, 0) - 1) / COUNT(H:H)) + 1</f>
        <v>2</v>
      </c>
      <c r="L709">
        <f t="array" ref="L709">INT(5 * (RANK(I709,I:I, 0) - 1) / COUNT(I:I)) + 1</f>
        <v>1</v>
      </c>
      <c r="M709" t="str">
        <f t="shared" si="22"/>
        <v>221</v>
      </c>
      <c r="N709" s="6" t="str">
        <f t="shared" si="23"/>
        <v>Lost</v>
      </c>
    </row>
    <row r="710" spans="1:14" x14ac:dyDescent="0.35">
      <c r="A710">
        <v>1079</v>
      </c>
      <c r="B710" s="4">
        <v>45587.375085336993</v>
      </c>
      <c r="C710" t="s">
        <v>6</v>
      </c>
      <c r="D710" t="s">
        <v>21</v>
      </c>
      <c r="E710" t="s">
        <v>25</v>
      </c>
      <c r="F710">
        <v>3632.67</v>
      </c>
      <c r="G710">
        <f t="array" ref="G710">SalesData!$I$2 - 'RFM Table'!B710</f>
        <v>549</v>
      </c>
      <c r="H710">
        <f t="array" ref="H710">COUNTIF(A:A,A710)</f>
        <v>5</v>
      </c>
      <c r="I710">
        <f t="array" ref="I710">SUMIF(A:A,A710,F:F)</f>
        <v>20723.400000000001</v>
      </c>
      <c r="J710">
        <f t="array" ref="J710">5 - INT(5 * (RANK(G710,G:G, 1) - 1) / COUNT(G:G))</f>
        <v>2</v>
      </c>
      <c r="K710">
        <f t="array" ref="K710">INT(5 * (RANK(H710,H:H, 0) - 1) / COUNT(H:H)) + 1</f>
        <v>5</v>
      </c>
      <c r="L710">
        <f t="array" ref="L710">INT(5 * (RANK(I710,I:I, 0) - 1) / COUNT(I:I)) + 1</f>
        <v>5</v>
      </c>
      <c r="M710" t="str">
        <f t="shared" si="22"/>
        <v>255</v>
      </c>
      <c r="N710" s="6" t="str">
        <f t="shared" si="23"/>
        <v>At Risk</v>
      </c>
    </row>
    <row r="711" spans="1:14" x14ac:dyDescent="0.35">
      <c r="A711">
        <v>1187</v>
      </c>
      <c r="B711" s="4">
        <v>45587.375085336993</v>
      </c>
      <c r="C711" t="s">
        <v>8</v>
      </c>
      <c r="D711" t="s">
        <v>16</v>
      </c>
      <c r="E711" t="s">
        <v>24</v>
      </c>
      <c r="F711">
        <v>1235.22</v>
      </c>
      <c r="G711">
        <f t="array" ref="G711">SalesData!$I$2 - 'RFM Table'!B711</f>
        <v>549</v>
      </c>
      <c r="H711">
        <f t="array" ref="H711">COUNTIF(A:A,A711)</f>
        <v>11</v>
      </c>
      <c r="I711">
        <f t="array" ref="I711">SUMIF(A:A,A711,F:F)</f>
        <v>43247.159999999996</v>
      </c>
      <c r="J711">
        <f t="array" ref="J711">5 - INT(5 * (RANK(G711,G:G, 1) - 1) / COUNT(G:G))</f>
        <v>2</v>
      </c>
      <c r="K711">
        <f t="array" ref="K711">INT(5 * (RANK(H711,H:H, 0) - 1) / COUNT(H:H)) + 1</f>
        <v>1</v>
      </c>
      <c r="L711">
        <f t="array" ref="L711">INT(5 * (RANK(I711,I:I, 0) - 1) / COUNT(I:I)) + 1</f>
        <v>2</v>
      </c>
      <c r="M711" t="str">
        <f t="shared" si="22"/>
        <v>212</v>
      </c>
      <c r="N711" s="6" t="str">
        <f t="shared" si="23"/>
        <v>Lost</v>
      </c>
    </row>
    <row r="712" spans="1:14" x14ac:dyDescent="0.35">
      <c r="A712">
        <v>1043</v>
      </c>
      <c r="B712" s="4">
        <v>45587.375085336993</v>
      </c>
      <c r="C712" t="s">
        <v>14</v>
      </c>
      <c r="D712" t="s">
        <v>20</v>
      </c>
      <c r="E712" t="s">
        <v>24</v>
      </c>
      <c r="F712">
        <v>491.47</v>
      </c>
      <c r="G712">
        <f t="array" ref="G712">SalesData!$I$2 - 'RFM Table'!B712</f>
        <v>549</v>
      </c>
      <c r="H712">
        <f t="array" ref="H712">COUNTIF(A:A,A712)</f>
        <v>7</v>
      </c>
      <c r="I712">
        <f t="array" ref="I712">SUMIF(A:A,A712,F:F)</f>
        <v>20627.900000000001</v>
      </c>
      <c r="J712">
        <f t="array" ref="J712">5 - INT(5 * (RANK(G712,G:G, 1) - 1) / COUNT(G:G))</f>
        <v>2</v>
      </c>
      <c r="K712">
        <f t="array" ref="K712">INT(5 * (RANK(H712,H:H, 0) - 1) / COUNT(H:H)) + 1</f>
        <v>4</v>
      </c>
      <c r="L712">
        <f t="array" ref="L712">INT(5 * (RANK(I712,I:I, 0) - 1) / COUNT(I:I)) + 1</f>
        <v>5</v>
      </c>
      <c r="M712" t="str">
        <f t="shared" si="22"/>
        <v>245</v>
      </c>
      <c r="N712" s="6" t="str">
        <f t="shared" si="23"/>
        <v>At Risk</v>
      </c>
    </row>
    <row r="713" spans="1:14" x14ac:dyDescent="0.35">
      <c r="A713">
        <v>1201</v>
      </c>
      <c r="B713" s="4">
        <v>45587.375085336993</v>
      </c>
      <c r="C713" t="s">
        <v>12</v>
      </c>
      <c r="D713" t="s">
        <v>19</v>
      </c>
      <c r="E713" t="s">
        <v>24</v>
      </c>
      <c r="F713">
        <v>2731.89</v>
      </c>
      <c r="G713">
        <f t="array" ref="G713">SalesData!$I$2 - 'RFM Table'!B713</f>
        <v>549</v>
      </c>
      <c r="H713">
        <f t="array" ref="H713">COUNTIF(A:A,A713)</f>
        <v>10</v>
      </c>
      <c r="I713">
        <f t="array" ref="I713">SUMIF(A:A,A713,F:F)</f>
        <v>30897.65</v>
      </c>
      <c r="J713">
        <f t="array" ref="J713">5 - INT(5 * (RANK(G713,G:G, 1) - 1) / COUNT(G:G))</f>
        <v>2</v>
      </c>
      <c r="K713">
        <f t="array" ref="K713">INT(5 * (RANK(H713,H:H, 0) - 1) / COUNT(H:H)) + 1</f>
        <v>2</v>
      </c>
      <c r="L713">
        <f t="array" ref="L713">INT(5 * (RANK(I713,I:I, 0) - 1) / COUNT(I:I)) + 1</f>
        <v>3</v>
      </c>
      <c r="M713" t="str">
        <f t="shared" si="22"/>
        <v>223</v>
      </c>
      <c r="N713" s="6" t="str">
        <f t="shared" si="23"/>
        <v>Can't Lose Them</v>
      </c>
    </row>
    <row r="714" spans="1:14" x14ac:dyDescent="0.35">
      <c r="A714">
        <v>1242</v>
      </c>
      <c r="B714" s="4">
        <v>45587.375085336993</v>
      </c>
      <c r="C714" t="s">
        <v>8</v>
      </c>
      <c r="D714" t="s">
        <v>19</v>
      </c>
      <c r="E714" t="s">
        <v>25</v>
      </c>
      <c r="F714">
        <v>4064.16</v>
      </c>
      <c r="G714">
        <f t="array" ref="G714">SalesData!$I$2 - 'RFM Table'!B714</f>
        <v>549</v>
      </c>
      <c r="H714">
        <f t="array" ref="H714">COUNTIF(A:A,A714)</f>
        <v>8</v>
      </c>
      <c r="I714">
        <f t="array" ref="I714">SUMIF(A:A,A714,F:F)</f>
        <v>26424.119999999995</v>
      </c>
      <c r="J714">
        <f t="array" ref="J714">5 - INT(5 * (RANK(G714,G:G, 1) - 1) / COUNT(G:G))</f>
        <v>2</v>
      </c>
      <c r="K714">
        <f t="array" ref="K714">INT(5 * (RANK(H714,H:H, 0) - 1) / COUNT(H:H)) + 1</f>
        <v>3</v>
      </c>
      <c r="L714">
        <f t="array" ref="L714">INT(5 * (RANK(I714,I:I, 0) - 1) / COUNT(I:I)) + 1</f>
        <v>4</v>
      </c>
      <c r="M714" t="str">
        <f t="shared" si="22"/>
        <v>234</v>
      </c>
      <c r="N714" s="6" t="str">
        <f t="shared" si="23"/>
        <v>At Risk</v>
      </c>
    </row>
    <row r="715" spans="1:14" x14ac:dyDescent="0.35">
      <c r="A715">
        <v>1217</v>
      </c>
      <c r="B715" s="4">
        <v>45588.375085336993</v>
      </c>
      <c r="C715" t="s">
        <v>10</v>
      </c>
      <c r="D715" t="s">
        <v>16</v>
      </c>
      <c r="E715" t="s">
        <v>25</v>
      </c>
      <c r="F715">
        <v>1883.39</v>
      </c>
      <c r="G715">
        <f t="array" ref="G715">SalesData!$I$2 - 'RFM Table'!B715</f>
        <v>548</v>
      </c>
      <c r="H715">
        <f t="array" ref="H715">COUNTIF(A:A,A715)</f>
        <v>9</v>
      </c>
      <c r="I715">
        <f t="array" ref="I715">SUMIF(A:A,A715,F:F)</f>
        <v>33349.999999999993</v>
      </c>
      <c r="J715">
        <f t="array" ref="J715">5 - INT(5 * (RANK(G715,G:G, 1) - 1) / COUNT(G:G))</f>
        <v>2</v>
      </c>
      <c r="K715">
        <f t="array" ref="K715">INT(5 * (RANK(H715,H:H, 0) - 1) / COUNT(H:H)) + 1</f>
        <v>2</v>
      </c>
      <c r="L715">
        <f t="array" ref="L715">INT(5 * (RANK(I715,I:I, 0) - 1) / COUNT(I:I)) + 1</f>
        <v>3</v>
      </c>
      <c r="M715" t="str">
        <f t="shared" si="22"/>
        <v>223</v>
      </c>
      <c r="N715" s="6" t="str">
        <f t="shared" si="23"/>
        <v>Can't Lose Them</v>
      </c>
    </row>
    <row r="716" spans="1:14" x14ac:dyDescent="0.35">
      <c r="A716">
        <v>1191</v>
      </c>
      <c r="B716" s="4">
        <v>45588.375085336993</v>
      </c>
      <c r="C716" t="s">
        <v>13</v>
      </c>
      <c r="D716" t="s">
        <v>16</v>
      </c>
      <c r="E716" t="s">
        <v>23</v>
      </c>
      <c r="F716">
        <v>5493.83</v>
      </c>
      <c r="G716">
        <f t="array" ref="G716">SalesData!$I$2 - 'RFM Table'!B716</f>
        <v>548</v>
      </c>
      <c r="H716">
        <f t="array" ref="H716">COUNTIF(A:A,A716)</f>
        <v>11</v>
      </c>
      <c r="I716">
        <f t="array" ref="I716">SUMIF(A:A,A716,F:F)</f>
        <v>30527.53</v>
      </c>
      <c r="J716">
        <f t="array" ref="J716">5 - INT(5 * (RANK(G716,G:G, 1) - 1) / COUNT(G:G))</f>
        <v>2</v>
      </c>
      <c r="K716">
        <f t="array" ref="K716">INT(5 * (RANK(H716,H:H, 0) - 1) / COUNT(H:H)) + 1</f>
        <v>1</v>
      </c>
      <c r="L716">
        <f t="array" ref="L716">INT(5 * (RANK(I716,I:I, 0) - 1) / COUNT(I:I)) + 1</f>
        <v>3</v>
      </c>
      <c r="M716" t="str">
        <f t="shared" si="22"/>
        <v>213</v>
      </c>
      <c r="N716" s="6" t="str">
        <f t="shared" si="23"/>
        <v>Can't Lose Them</v>
      </c>
    </row>
    <row r="717" spans="1:14" x14ac:dyDescent="0.35">
      <c r="A717">
        <v>1330</v>
      </c>
      <c r="B717" s="4">
        <v>45588.375085336993</v>
      </c>
      <c r="C717" t="s">
        <v>8</v>
      </c>
      <c r="D717" t="s">
        <v>19</v>
      </c>
      <c r="E717" t="s">
        <v>23</v>
      </c>
      <c r="F717">
        <v>3580.54</v>
      </c>
      <c r="G717">
        <f t="array" ref="G717">SalesData!$I$2 - 'RFM Table'!B717</f>
        <v>548</v>
      </c>
      <c r="H717">
        <f t="array" ref="H717">COUNTIF(A:A,A717)</f>
        <v>6</v>
      </c>
      <c r="I717">
        <f t="array" ref="I717">SUMIF(A:A,A717,F:F)</f>
        <v>16595.620000000003</v>
      </c>
      <c r="J717">
        <f t="array" ref="J717">5 - INT(5 * (RANK(G717,G:G, 1) - 1) / COUNT(G:G))</f>
        <v>2</v>
      </c>
      <c r="K717">
        <f t="array" ref="K717">INT(5 * (RANK(H717,H:H, 0) - 1) / COUNT(H:H)) + 1</f>
        <v>4</v>
      </c>
      <c r="L717">
        <f t="array" ref="L717">INT(5 * (RANK(I717,I:I, 0) - 1) / COUNT(I:I)) + 1</f>
        <v>5</v>
      </c>
      <c r="M717" t="str">
        <f t="shared" si="22"/>
        <v>245</v>
      </c>
      <c r="N717" s="6" t="str">
        <f t="shared" si="23"/>
        <v>At Risk</v>
      </c>
    </row>
    <row r="718" spans="1:14" x14ac:dyDescent="0.35">
      <c r="A718">
        <v>1160</v>
      </c>
      <c r="B718" s="4">
        <v>45588.375085336993</v>
      </c>
      <c r="C718" t="s">
        <v>14</v>
      </c>
      <c r="D718" t="s">
        <v>19</v>
      </c>
      <c r="E718" t="s">
        <v>24</v>
      </c>
      <c r="F718">
        <v>2207.1999999999998</v>
      </c>
      <c r="G718">
        <f t="array" ref="G718">SalesData!$I$2 - 'RFM Table'!B718</f>
        <v>548</v>
      </c>
      <c r="H718">
        <f t="array" ref="H718">COUNTIF(A:A,A718)</f>
        <v>13</v>
      </c>
      <c r="I718">
        <f t="array" ref="I718">SUMIF(A:A,A718,F:F)</f>
        <v>56128.799999999996</v>
      </c>
      <c r="J718">
        <f t="array" ref="J718">5 - INT(5 * (RANK(G718,G:G, 1) - 1) / COUNT(G:G))</f>
        <v>2</v>
      </c>
      <c r="K718">
        <f t="array" ref="K718">INT(5 * (RANK(H718,H:H, 0) - 1) / COUNT(H:H)) + 1</f>
        <v>1</v>
      </c>
      <c r="L718">
        <f t="array" ref="L718">INT(5 * (RANK(I718,I:I, 0) - 1) / COUNT(I:I)) + 1</f>
        <v>1</v>
      </c>
      <c r="M718" t="str">
        <f t="shared" si="22"/>
        <v>211</v>
      </c>
      <c r="N718" s="6" t="str">
        <f t="shared" si="23"/>
        <v>Lost</v>
      </c>
    </row>
    <row r="719" spans="1:14" x14ac:dyDescent="0.35">
      <c r="A719">
        <v>1042</v>
      </c>
      <c r="B719" s="4">
        <v>45588.375085336993</v>
      </c>
      <c r="C719" t="s">
        <v>11</v>
      </c>
      <c r="D719" t="s">
        <v>21</v>
      </c>
      <c r="E719" t="s">
        <v>24</v>
      </c>
      <c r="F719">
        <v>2269.17</v>
      </c>
      <c r="G719">
        <f t="array" ref="G719">SalesData!$I$2 - 'RFM Table'!B719</f>
        <v>548</v>
      </c>
      <c r="H719">
        <f t="array" ref="H719">COUNTIF(A:A,A719)</f>
        <v>5</v>
      </c>
      <c r="I719">
        <f t="array" ref="I719">SUMIF(A:A,A719,F:F)</f>
        <v>18557.84</v>
      </c>
      <c r="J719">
        <f t="array" ref="J719">5 - INT(5 * (RANK(G719,G:G, 1) - 1) / COUNT(G:G))</f>
        <v>2</v>
      </c>
      <c r="K719">
        <f t="array" ref="K719">INT(5 * (RANK(H719,H:H, 0) - 1) / COUNT(H:H)) + 1</f>
        <v>5</v>
      </c>
      <c r="L719">
        <f t="array" ref="L719">INT(5 * (RANK(I719,I:I, 0) - 1) / COUNT(I:I)) + 1</f>
        <v>5</v>
      </c>
      <c r="M719" t="str">
        <f t="shared" si="22"/>
        <v>255</v>
      </c>
      <c r="N719" s="6" t="str">
        <f t="shared" si="23"/>
        <v>At Risk</v>
      </c>
    </row>
    <row r="720" spans="1:14" x14ac:dyDescent="0.35">
      <c r="A720">
        <v>1325</v>
      </c>
      <c r="B720" s="4">
        <v>45588.375085336993</v>
      </c>
      <c r="C720" t="s">
        <v>6</v>
      </c>
      <c r="D720" t="s">
        <v>19</v>
      </c>
      <c r="E720" t="s">
        <v>24</v>
      </c>
      <c r="F720">
        <v>6155.47</v>
      </c>
      <c r="G720">
        <f t="array" ref="G720">SalesData!$I$2 - 'RFM Table'!B720</f>
        <v>548</v>
      </c>
      <c r="H720">
        <f t="array" ref="H720">COUNTIF(A:A,A720)</f>
        <v>9</v>
      </c>
      <c r="I720">
        <f t="array" ref="I720">SUMIF(A:A,A720,F:F)</f>
        <v>38753.799999999988</v>
      </c>
      <c r="J720">
        <f t="array" ref="J720">5 - INT(5 * (RANK(G720,G:G, 1) - 1) / COUNT(G:G))</f>
        <v>2</v>
      </c>
      <c r="K720">
        <f t="array" ref="K720">INT(5 * (RANK(H720,H:H, 0) - 1) / COUNT(H:H)) + 1</f>
        <v>2</v>
      </c>
      <c r="L720">
        <f t="array" ref="L720">INT(5 * (RANK(I720,I:I, 0) - 1) / COUNT(I:I)) + 1</f>
        <v>2</v>
      </c>
      <c r="M720" t="str">
        <f t="shared" si="22"/>
        <v>222</v>
      </c>
      <c r="N720" s="6" t="str">
        <f t="shared" si="23"/>
        <v>Lost</v>
      </c>
    </row>
    <row r="721" spans="1:14" x14ac:dyDescent="0.35">
      <c r="A721">
        <v>1026</v>
      </c>
      <c r="B721" s="4">
        <v>45589.375085336993</v>
      </c>
      <c r="C721" t="s">
        <v>8</v>
      </c>
      <c r="D721" t="s">
        <v>22</v>
      </c>
      <c r="E721" t="s">
        <v>24</v>
      </c>
      <c r="F721">
        <v>3497.39</v>
      </c>
      <c r="G721">
        <f t="array" ref="G721">SalesData!$I$2 - 'RFM Table'!B721</f>
        <v>547</v>
      </c>
      <c r="H721">
        <f t="array" ref="H721">COUNTIF(A:A,A721)</f>
        <v>7</v>
      </c>
      <c r="I721">
        <f t="array" ref="I721">SUMIF(A:A,A721,F:F)</f>
        <v>24873.88</v>
      </c>
      <c r="J721">
        <f t="array" ref="J721">5 - INT(5 * (RANK(G721,G:G, 1) - 1) / COUNT(G:G))</f>
        <v>2</v>
      </c>
      <c r="K721">
        <f t="array" ref="K721">INT(5 * (RANK(H721,H:H, 0) - 1) / COUNT(H:H)) + 1</f>
        <v>4</v>
      </c>
      <c r="L721">
        <f t="array" ref="L721">INT(5 * (RANK(I721,I:I, 0) - 1) / COUNT(I:I)) + 1</f>
        <v>4</v>
      </c>
      <c r="M721" t="str">
        <f t="shared" si="22"/>
        <v>244</v>
      </c>
      <c r="N721" s="6" t="str">
        <f t="shared" si="23"/>
        <v>At Risk</v>
      </c>
    </row>
    <row r="722" spans="1:14" x14ac:dyDescent="0.35">
      <c r="A722">
        <v>1389</v>
      </c>
      <c r="B722" s="4">
        <v>45589.375085336993</v>
      </c>
      <c r="C722" t="s">
        <v>9</v>
      </c>
      <c r="D722" t="s">
        <v>17</v>
      </c>
      <c r="E722" t="s">
        <v>23</v>
      </c>
      <c r="F722">
        <v>1894.01</v>
      </c>
      <c r="G722">
        <f t="array" ref="G722">SalesData!$I$2 - 'RFM Table'!B722</f>
        <v>547</v>
      </c>
      <c r="H722">
        <f t="array" ref="H722">COUNTIF(A:A,A722)</f>
        <v>8</v>
      </c>
      <c r="I722">
        <f t="array" ref="I722">SUMIF(A:A,A722,F:F)</f>
        <v>35723.81</v>
      </c>
      <c r="J722">
        <f t="array" ref="J722">5 - INT(5 * (RANK(G722,G:G, 1) - 1) / COUNT(G:G))</f>
        <v>2</v>
      </c>
      <c r="K722">
        <f t="array" ref="K722">INT(5 * (RANK(H722,H:H, 0) - 1) / COUNT(H:H)) + 1</f>
        <v>3</v>
      </c>
      <c r="L722">
        <f t="array" ref="L722">INT(5 * (RANK(I722,I:I, 0) - 1) / COUNT(I:I)) + 1</f>
        <v>3</v>
      </c>
      <c r="M722" t="str">
        <f t="shared" si="22"/>
        <v>233</v>
      </c>
      <c r="N722" s="6" t="str">
        <f t="shared" si="23"/>
        <v>At Risk</v>
      </c>
    </row>
    <row r="723" spans="1:14" x14ac:dyDescent="0.35">
      <c r="A723">
        <v>1011</v>
      </c>
      <c r="B723" s="4">
        <v>45589.375085336993</v>
      </c>
      <c r="C723" t="s">
        <v>13</v>
      </c>
      <c r="D723" t="s">
        <v>16</v>
      </c>
      <c r="E723" t="s">
        <v>23</v>
      </c>
      <c r="F723">
        <v>7901.06</v>
      </c>
      <c r="G723">
        <f t="array" ref="G723">SalesData!$I$2 - 'RFM Table'!B723</f>
        <v>547</v>
      </c>
      <c r="H723">
        <f t="array" ref="H723">COUNTIF(A:A,A723)</f>
        <v>16</v>
      </c>
      <c r="I723">
        <f t="array" ref="I723">SUMIF(A:A,A723,F:F)</f>
        <v>58237.360000000008</v>
      </c>
      <c r="J723">
        <f t="array" ref="J723">5 - INT(5 * (RANK(G723,G:G, 1) - 1) / COUNT(G:G))</f>
        <v>2</v>
      </c>
      <c r="K723">
        <f t="array" ref="K723">INT(5 * (RANK(H723,H:H, 0) - 1) / COUNT(H:H)) + 1</f>
        <v>1</v>
      </c>
      <c r="L723">
        <f t="array" ref="L723">INT(5 * (RANK(I723,I:I, 0) - 1) / COUNT(I:I)) + 1</f>
        <v>1</v>
      </c>
      <c r="M723" t="str">
        <f t="shared" si="22"/>
        <v>211</v>
      </c>
      <c r="N723" s="6" t="str">
        <f t="shared" si="23"/>
        <v>Lost</v>
      </c>
    </row>
    <row r="724" spans="1:14" x14ac:dyDescent="0.35">
      <c r="A724">
        <v>1309</v>
      </c>
      <c r="B724" s="4">
        <v>45589.375085336993</v>
      </c>
      <c r="C724" t="s">
        <v>11</v>
      </c>
      <c r="D724" t="s">
        <v>16</v>
      </c>
      <c r="E724" t="s">
        <v>25</v>
      </c>
      <c r="F724">
        <v>3034.64</v>
      </c>
      <c r="G724">
        <f t="array" ref="G724">SalesData!$I$2 - 'RFM Table'!B724</f>
        <v>547</v>
      </c>
      <c r="H724">
        <f t="array" ref="H724">COUNTIF(A:A,A724)</f>
        <v>11</v>
      </c>
      <c r="I724">
        <f t="array" ref="I724">SUMIF(A:A,A724,F:F)</f>
        <v>43078.749999999993</v>
      </c>
      <c r="J724">
        <f t="array" ref="J724">5 - INT(5 * (RANK(G724,G:G, 1) - 1) / COUNT(G:G))</f>
        <v>2</v>
      </c>
      <c r="K724">
        <f t="array" ref="K724">INT(5 * (RANK(H724,H:H, 0) - 1) / COUNT(H:H)) + 1</f>
        <v>1</v>
      </c>
      <c r="L724">
        <f t="array" ref="L724">INT(5 * (RANK(I724,I:I, 0) - 1) / COUNT(I:I)) + 1</f>
        <v>2</v>
      </c>
      <c r="M724" t="str">
        <f t="shared" si="22"/>
        <v>212</v>
      </c>
      <c r="N724" s="6" t="str">
        <f t="shared" si="23"/>
        <v>Lost</v>
      </c>
    </row>
    <row r="725" spans="1:14" x14ac:dyDescent="0.35">
      <c r="A725">
        <v>1372</v>
      </c>
      <c r="B725" s="4">
        <v>45589.375085336993</v>
      </c>
      <c r="C725" t="s">
        <v>7</v>
      </c>
      <c r="D725" t="s">
        <v>21</v>
      </c>
      <c r="E725" t="s">
        <v>24</v>
      </c>
      <c r="F725">
        <v>6395.83</v>
      </c>
      <c r="G725">
        <f t="array" ref="G725">SalesData!$I$2 - 'RFM Table'!B725</f>
        <v>547</v>
      </c>
      <c r="H725">
        <f t="array" ref="H725">COUNTIF(A:A,A725)</f>
        <v>9</v>
      </c>
      <c r="I725">
        <f t="array" ref="I725">SUMIF(A:A,A725,F:F)</f>
        <v>32843.11</v>
      </c>
      <c r="J725">
        <f t="array" ref="J725">5 - INT(5 * (RANK(G725,G:G, 1) - 1) / COUNT(G:G))</f>
        <v>2</v>
      </c>
      <c r="K725">
        <f t="array" ref="K725">INT(5 * (RANK(H725,H:H, 0) - 1) / COUNT(H:H)) + 1</f>
        <v>2</v>
      </c>
      <c r="L725">
        <f t="array" ref="L725">INT(5 * (RANK(I725,I:I, 0) - 1) / COUNT(I:I)) + 1</f>
        <v>3</v>
      </c>
      <c r="M725" t="str">
        <f t="shared" si="22"/>
        <v>223</v>
      </c>
      <c r="N725" s="6" t="str">
        <f t="shared" si="23"/>
        <v>Can't Lose Them</v>
      </c>
    </row>
    <row r="726" spans="1:14" x14ac:dyDescent="0.35">
      <c r="A726">
        <v>1346</v>
      </c>
      <c r="B726" s="4">
        <v>45589.375085336993</v>
      </c>
      <c r="C726" t="s">
        <v>7</v>
      </c>
      <c r="D726" t="s">
        <v>22</v>
      </c>
      <c r="E726" t="s">
        <v>25</v>
      </c>
      <c r="F726">
        <v>4291.9399999999996</v>
      </c>
      <c r="G726">
        <f t="array" ref="G726">SalesData!$I$2 - 'RFM Table'!B726</f>
        <v>547</v>
      </c>
      <c r="H726">
        <f t="array" ref="H726">COUNTIF(A:A,A726)</f>
        <v>6</v>
      </c>
      <c r="I726">
        <f t="array" ref="I726">SUMIF(A:A,A726,F:F)</f>
        <v>23326.76</v>
      </c>
      <c r="J726">
        <f t="array" ref="J726">5 - INT(5 * (RANK(G726,G:G, 1) - 1) / COUNT(G:G))</f>
        <v>2</v>
      </c>
      <c r="K726">
        <f t="array" ref="K726">INT(5 * (RANK(H726,H:H, 0) - 1) / COUNT(H:H)) + 1</f>
        <v>4</v>
      </c>
      <c r="L726">
        <f t="array" ref="L726">INT(5 * (RANK(I726,I:I, 0) - 1) / COUNT(I:I)) + 1</f>
        <v>4</v>
      </c>
      <c r="M726" t="str">
        <f t="shared" si="22"/>
        <v>244</v>
      </c>
      <c r="N726" s="6" t="str">
        <f t="shared" si="23"/>
        <v>At Risk</v>
      </c>
    </row>
    <row r="727" spans="1:14" x14ac:dyDescent="0.35">
      <c r="A727">
        <v>1238</v>
      </c>
      <c r="B727" s="4">
        <v>45590.375085336993</v>
      </c>
      <c r="C727" t="s">
        <v>8</v>
      </c>
      <c r="D727" t="s">
        <v>19</v>
      </c>
      <c r="E727" t="s">
        <v>25</v>
      </c>
      <c r="F727">
        <v>991.23</v>
      </c>
      <c r="G727">
        <f t="array" ref="G727">SalesData!$I$2 - 'RFM Table'!B727</f>
        <v>546</v>
      </c>
      <c r="H727">
        <f t="array" ref="H727">COUNTIF(A:A,A727)</f>
        <v>10</v>
      </c>
      <c r="I727">
        <f t="array" ref="I727">SUMIF(A:A,A727,F:F)</f>
        <v>42023.55</v>
      </c>
      <c r="J727">
        <f t="array" ref="J727">5 - INT(5 * (RANK(G727,G:G, 1) - 1) / COUNT(G:G))</f>
        <v>2</v>
      </c>
      <c r="K727">
        <f t="array" ref="K727">INT(5 * (RANK(H727,H:H, 0) - 1) / COUNT(H:H)) + 1</f>
        <v>2</v>
      </c>
      <c r="L727">
        <f t="array" ref="L727">INT(5 * (RANK(I727,I:I, 0) - 1) / COUNT(I:I)) + 1</f>
        <v>2</v>
      </c>
      <c r="M727" t="str">
        <f t="shared" si="22"/>
        <v>222</v>
      </c>
      <c r="N727" s="6" t="str">
        <f t="shared" si="23"/>
        <v>Lost</v>
      </c>
    </row>
    <row r="728" spans="1:14" x14ac:dyDescent="0.35">
      <c r="A728">
        <v>1028</v>
      </c>
      <c r="B728" s="4">
        <v>45590.375085336993</v>
      </c>
      <c r="C728" t="s">
        <v>11</v>
      </c>
      <c r="D728" t="s">
        <v>21</v>
      </c>
      <c r="E728" t="s">
        <v>23</v>
      </c>
      <c r="F728">
        <v>3390.82</v>
      </c>
      <c r="G728">
        <f t="array" ref="G728">SalesData!$I$2 - 'RFM Table'!B728</f>
        <v>546</v>
      </c>
      <c r="H728">
        <f t="array" ref="H728">COUNTIF(A:A,A728)</f>
        <v>10</v>
      </c>
      <c r="I728">
        <f t="array" ref="I728">SUMIF(A:A,A728,F:F)</f>
        <v>37984.589999999997</v>
      </c>
      <c r="J728">
        <f t="array" ref="J728">5 - INT(5 * (RANK(G728,G:G, 1) - 1) / COUNT(G:G))</f>
        <v>2</v>
      </c>
      <c r="K728">
        <f t="array" ref="K728">INT(5 * (RANK(H728,H:H, 0) - 1) / COUNT(H:H)) + 1</f>
        <v>2</v>
      </c>
      <c r="L728">
        <f t="array" ref="L728">INT(5 * (RANK(I728,I:I, 0) - 1) / COUNT(I:I)) + 1</f>
        <v>2</v>
      </c>
      <c r="M728" t="str">
        <f t="shared" si="22"/>
        <v>222</v>
      </c>
      <c r="N728" s="6" t="str">
        <f t="shared" si="23"/>
        <v>Lost</v>
      </c>
    </row>
    <row r="729" spans="1:14" x14ac:dyDescent="0.35">
      <c r="A729">
        <v>1222</v>
      </c>
      <c r="B729" s="4">
        <v>45590.375085336993</v>
      </c>
      <c r="C729" t="s">
        <v>15</v>
      </c>
      <c r="D729" t="s">
        <v>18</v>
      </c>
      <c r="E729" t="s">
        <v>25</v>
      </c>
      <c r="F729">
        <v>9047.32</v>
      </c>
      <c r="G729">
        <f t="array" ref="G729">SalesData!$I$2 - 'RFM Table'!B729</f>
        <v>546</v>
      </c>
      <c r="H729">
        <f t="array" ref="H729">COUNTIF(A:A,A729)</f>
        <v>12</v>
      </c>
      <c r="I729">
        <f t="array" ref="I729">SUMIF(A:A,A729,F:F)</f>
        <v>45191.609999999993</v>
      </c>
      <c r="J729">
        <f t="array" ref="J729">5 - INT(5 * (RANK(G729,G:G, 1) - 1) / COUNT(G:G))</f>
        <v>2</v>
      </c>
      <c r="K729">
        <f t="array" ref="K729">INT(5 * (RANK(H729,H:H, 0) - 1) / COUNT(H:H)) + 1</f>
        <v>1</v>
      </c>
      <c r="L729">
        <f t="array" ref="L729">INT(5 * (RANK(I729,I:I, 0) - 1) / COUNT(I:I)) + 1</f>
        <v>1</v>
      </c>
      <c r="M729" t="str">
        <f t="shared" si="22"/>
        <v>211</v>
      </c>
      <c r="N729" s="6" t="str">
        <f t="shared" si="23"/>
        <v>Lost</v>
      </c>
    </row>
    <row r="730" spans="1:14" x14ac:dyDescent="0.35">
      <c r="A730">
        <v>1198</v>
      </c>
      <c r="B730" s="4">
        <v>45590.375085336993</v>
      </c>
      <c r="C730" t="s">
        <v>9</v>
      </c>
      <c r="D730" t="s">
        <v>18</v>
      </c>
      <c r="E730" t="s">
        <v>23</v>
      </c>
      <c r="F730">
        <v>1004.72</v>
      </c>
      <c r="G730">
        <f t="array" ref="G730">SalesData!$I$2 - 'RFM Table'!B730</f>
        <v>546</v>
      </c>
      <c r="H730">
        <f t="array" ref="H730">COUNTIF(A:A,A730)</f>
        <v>5</v>
      </c>
      <c r="I730">
        <f t="array" ref="I730">SUMIF(A:A,A730,F:F)</f>
        <v>25162.19</v>
      </c>
      <c r="J730">
        <f t="array" ref="J730">5 - INT(5 * (RANK(G730,G:G, 1) - 1) / COUNT(G:G))</f>
        <v>2</v>
      </c>
      <c r="K730">
        <f t="array" ref="K730">INT(5 * (RANK(H730,H:H, 0) - 1) / COUNT(H:H)) + 1</f>
        <v>5</v>
      </c>
      <c r="L730">
        <f t="array" ref="L730">INT(5 * (RANK(I730,I:I, 0) - 1) / COUNT(I:I)) + 1</f>
        <v>4</v>
      </c>
      <c r="M730" t="str">
        <f t="shared" si="22"/>
        <v>254</v>
      </c>
      <c r="N730" s="6" t="str">
        <f t="shared" si="23"/>
        <v>At Risk</v>
      </c>
    </row>
    <row r="731" spans="1:14" x14ac:dyDescent="0.35">
      <c r="A731">
        <v>1263</v>
      </c>
      <c r="B731" s="4">
        <v>45591.375085336993</v>
      </c>
      <c r="C731" t="s">
        <v>6</v>
      </c>
      <c r="D731" t="s">
        <v>17</v>
      </c>
      <c r="E731" t="s">
        <v>23</v>
      </c>
      <c r="F731">
        <v>4110.53</v>
      </c>
      <c r="G731">
        <f t="array" ref="G731">SalesData!$I$2 - 'RFM Table'!B731</f>
        <v>545</v>
      </c>
      <c r="H731">
        <f t="array" ref="H731">COUNTIF(A:A,A731)</f>
        <v>15</v>
      </c>
      <c r="I731">
        <f t="array" ref="I731">SUMIF(A:A,A731,F:F)</f>
        <v>55867.080000000016</v>
      </c>
      <c r="J731">
        <f t="array" ref="J731">5 - INT(5 * (RANK(G731,G:G, 1) - 1) / COUNT(G:G))</f>
        <v>2</v>
      </c>
      <c r="K731">
        <f t="array" ref="K731">INT(5 * (RANK(H731,H:H, 0) - 1) / COUNT(H:H)) + 1</f>
        <v>1</v>
      </c>
      <c r="L731">
        <f t="array" ref="L731">INT(5 * (RANK(I731,I:I, 0) - 1) / COUNT(I:I)) + 1</f>
        <v>1</v>
      </c>
      <c r="M731" t="str">
        <f t="shared" si="22"/>
        <v>211</v>
      </c>
      <c r="N731" s="6" t="str">
        <f t="shared" si="23"/>
        <v>Lost</v>
      </c>
    </row>
    <row r="732" spans="1:14" x14ac:dyDescent="0.35">
      <c r="A732">
        <v>1123</v>
      </c>
      <c r="B732" s="4">
        <v>45592.375085336993</v>
      </c>
      <c r="C732" t="s">
        <v>14</v>
      </c>
      <c r="D732" t="s">
        <v>19</v>
      </c>
      <c r="E732" t="s">
        <v>23</v>
      </c>
      <c r="F732">
        <v>6060.27</v>
      </c>
      <c r="G732">
        <f t="array" ref="G732">SalesData!$I$2 - 'RFM Table'!B732</f>
        <v>544</v>
      </c>
      <c r="H732">
        <f t="array" ref="H732">COUNTIF(A:A,A732)</f>
        <v>6</v>
      </c>
      <c r="I732">
        <f t="array" ref="I732">SUMIF(A:A,A732,F:F)</f>
        <v>26817.25</v>
      </c>
      <c r="J732">
        <f t="array" ref="J732">5 - INT(5 * (RANK(G732,G:G, 1) - 1) / COUNT(G:G))</f>
        <v>2</v>
      </c>
      <c r="K732">
        <f t="array" ref="K732">INT(5 * (RANK(H732,H:H, 0) - 1) / COUNT(H:H)) + 1</f>
        <v>4</v>
      </c>
      <c r="L732">
        <f t="array" ref="L732">INT(5 * (RANK(I732,I:I, 0) - 1) / COUNT(I:I)) + 1</f>
        <v>4</v>
      </c>
      <c r="M732" t="str">
        <f t="shared" si="22"/>
        <v>244</v>
      </c>
      <c r="N732" s="6" t="str">
        <f t="shared" si="23"/>
        <v>At Risk</v>
      </c>
    </row>
    <row r="733" spans="1:14" x14ac:dyDescent="0.35">
      <c r="A733">
        <v>1292</v>
      </c>
      <c r="B733" s="4">
        <v>45592.375085336993</v>
      </c>
      <c r="C733" t="s">
        <v>9</v>
      </c>
      <c r="D733" t="s">
        <v>16</v>
      </c>
      <c r="E733" t="s">
        <v>23</v>
      </c>
      <c r="F733">
        <v>1456.42</v>
      </c>
      <c r="G733">
        <f t="array" ref="G733">SalesData!$I$2 - 'RFM Table'!B733</f>
        <v>544</v>
      </c>
      <c r="H733">
        <f t="array" ref="H733">COUNTIF(A:A,A733)</f>
        <v>15</v>
      </c>
      <c r="I733">
        <f t="array" ref="I733">SUMIF(A:A,A733,F:F)</f>
        <v>49637.999999999993</v>
      </c>
      <c r="J733">
        <f t="array" ref="J733">5 - INT(5 * (RANK(G733,G:G, 1) - 1) / COUNT(G:G))</f>
        <v>2</v>
      </c>
      <c r="K733">
        <f t="array" ref="K733">INT(5 * (RANK(H733,H:H, 0) - 1) / COUNT(H:H)) + 1</f>
        <v>1</v>
      </c>
      <c r="L733">
        <f t="array" ref="L733">INT(5 * (RANK(I733,I:I, 0) - 1) / COUNT(I:I)) + 1</f>
        <v>1</v>
      </c>
      <c r="M733" t="str">
        <f t="shared" si="22"/>
        <v>211</v>
      </c>
      <c r="N733" s="6" t="str">
        <f t="shared" si="23"/>
        <v>Lost</v>
      </c>
    </row>
    <row r="734" spans="1:14" x14ac:dyDescent="0.35">
      <c r="A734">
        <v>1100</v>
      </c>
      <c r="B734" s="4">
        <v>45592.375085336993</v>
      </c>
      <c r="C734" t="s">
        <v>11</v>
      </c>
      <c r="D734" t="s">
        <v>17</v>
      </c>
      <c r="E734" t="s">
        <v>24</v>
      </c>
      <c r="F734">
        <v>1737.35</v>
      </c>
      <c r="G734">
        <f t="array" ref="G734">SalesData!$I$2 - 'RFM Table'!B734</f>
        <v>544</v>
      </c>
      <c r="H734">
        <f t="array" ref="H734">COUNTIF(A:A,A734)</f>
        <v>12</v>
      </c>
      <c r="I734">
        <f t="array" ref="I734">SUMIF(A:A,A734,F:F)</f>
        <v>54905.279999999992</v>
      </c>
      <c r="J734">
        <f t="array" ref="J734">5 - INT(5 * (RANK(G734,G:G, 1) - 1) / COUNT(G:G))</f>
        <v>2</v>
      </c>
      <c r="K734">
        <f t="array" ref="K734">INT(5 * (RANK(H734,H:H, 0) - 1) / COUNT(H:H)) + 1</f>
        <v>1</v>
      </c>
      <c r="L734">
        <f t="array" ref="L734">INT(5 * (RANK(I734,I:I, 0) - 1) / COUNT(I:I)) + 1</f>
        <v>1</v>
      </c>
      <c r="M734" t="str">
        <f t="shared" si="22"/>
        <v>211</v>
      </c>
      <c r="N734" s="6" t="str">
        <f t="shared" si="23"/>
        <v>Lost</v>
      </c>
    </row>
    <row r="735" spans="1:14" x14ac:dyDescent="0.35">
      <c r="A735">
        <v>1103</v>
      </c>
      <c r="B735" s="4">
        <v>45592.375085336993</v>
      </c>
      <c r="C735" t="s">
        <v>11</v>
      </c>
      <c r="D735" t="s">
        <v>18</v>
      </c>
      <c r="E735" t="s">
        <v>24</v>
      </c>
      <c r="F735">
        <v>10148.09</v>
      </c>
      <c r="G735">
        <f t="array" ref="G735">SalesData!$I$2 - 'RFM Table'!B735</f>
        <v>544</v>
      </c>
      <c r="H735">
        <f t="array" ref="H735">COUNTIF(A:A,A735)</f>
        <v>10</v>
      </c>
      <c r="I735">
        <f t="array" ref="I735">SUMIF(A:A,A735,F:F)</f>
        <v>44305.600000000006</v>
      </c>
      <c r="J735">
        <f t="array" ref="J735">5 - INT(5 * (RANK(G735,G:G, 1) - 1) / COUNT(G:G))</f>
        <v>2</v>
      </c>
      <c r="K735">
        <f t="array" ref="K735">INT(5 * (RANK(H735,H:H, 0) - 1) / COUNT(H:H)) + 1</f>
        <v>2</v>
      </c>
      <c r="L735">
        <f t="array" ref="L735">INT(5 * (RANK(I735,I:I, 0) - 1) / COUNT(I:I)) + 1</f>
        <v>2</v>
      </c>
      <c r="M735" t="str">
        <f t="shared" si="22"/>
        <v>222</v>
      </c>
      <c r="N735" s="6" t="str">
        <f t="shared" si="23"/>
        <v>Lost</v>
      </c>
    </row>
    <row r="736" spans="1:14" x14ac:dyDescent="0.35">
      <c r="A736">
        <v>1195</v>
      </c>
      <c r="B736" s="4">
        <v>45592.375085336993</v>
      </c>
      <c r="C736" t="s">
        <v>13</v>
      </c>
      <c r="D736" t="s">
        <v>22</v>
      </c>
      <c r="E736" t="s">
        <v>24</v>
      </c>
      <c r="F736">
        <v>9808.41</v>
      </c>
      <c r="G736">
        <f t="array" ref="G736">SalesData!$I$2 - 'RFM Table'!B736</f>
        <v>544</v>
      </c>
      <c r="H736">
        <f t="array" ref="H736">COUNTIF(A:A,A736)</f>
        <v>7</v>
      </c>
      <c r="I736">
        <f t="array" ref="I736">SUMIF(A:A,A736,F:F)</f>
        <v>22005.660000000003</v>
      </c>
      <c r="J736">
        <f t="array" ref="J736">5 - INT(5 * (RANK(G736,G:G, 1) - 1) / COUNT(G:G))</f>
        <v>2</v>
      </c>
      <c r="K736">
        <f t="array" ref="K736">INT(5 * (RANK(H736,H:H, 0) - 1) / COUNT(H:H)) + 1</f>
        <v>4</v>
      </c>
      <c r="L736">
        <f t="array" ref="L736">INT(5 * (RANK(I736,I:I, 0) - 1) / COUNT(I:I)) + 1</f>
        <v>4</v>
      </c>
      <c r="M736" t="str">
        <f t="shared" si="22"/>
        <v>244</v>
      </c>
      <c r="N736" s="6" t="str">
        <f t="shared" si="23"/>
        <v>At Risk</v>
      </c>
    </row>
    <row r="737" spans="1:14" x14ac:dyDescent="0.35">
      <c r="A737">
        <v>1337</v>
      </c>
      <c r="B737" s="4">
        <v>45592.375085336993</v>
      </c>
      <c r="C737" t="s">
        <v>8</v>
      </c>
      <c r="D737" t="s">
        <v>19</v>
      </c>
      <c r="E737" t="s">
        <v>23</v>
      </c>
      <c r="F737">
        <v>7651.6</v>
      </c>
      <c r="G737">
        <f t="array" ref="G737">SalesData!$I$2 - 'RFM Table'!B737</f>
        <v>544</v>
      </c>
      <c r="H737">
        <f t="array" ref="H737">COUNTIF(A:A,A737)</f>
        <v>7</v>
      </c>
      <c r="I737">
        <f t="array" ref="I737">SUMIF(A:A,A737,F:F)</f>
        <v>33899.22</v>
      </c>
      <c r="J737">
        <f t="array" ref="J737">5 - INT(5 * (RANK(G737,G:G, 1) - 1) / COUNT(G:G))</f>
        <v>2</v>
      </c>
      <c r="K737">
        <f t="array" ref="K737">INT(5 * (RANK(H737,H:H, 0) - 1) / COUNT(H:H)) + 1</f>
        <v>4</v>
      </c>
      <c r="L737">
        <f t="array" ref="L737">INT(5 * (RANK(I737,I:I, 0) - 1) / COUNT(I:I)) + 1</f>
        <v>3</v>
      </c>
      <c r="M737" t="str">
        <f t="shared" si="22"/>
        <v>243</v>
      </c>
      <c r="N737" s="6" t="str">
        <f t="shared" si="23"/>
        <v>At Risk</v>
      </c>
    </row>
    <row r="738" spans="1:14" x14ac:dyDescent="0.35">
      <c r="A738">
        <v>1277</v>
      </c>
      <c r="B738" s="4">
        <v>45592.375085336993</v>
      </c>
      <c r="C738" t="s">
        <v>15</v>
      </c>
      <c r="D738" t="s">
        <v>18</v>
      </c>
      <c r="E738" t="s">
        <v>23</v>
      </c>
      <c r="F738">
        <v>2401.81</v>
      </c>
      <c r="G738">
        <f t="array" ref="G738">SalesData!$I$2 - 'RFM Table'!B738</f>
        <v>544</v>
      </c>
      <c r="H738">
        <f t="array" ref="H738">COUNTIF(A:A,A738)</f>
        <v>5</v>
      </c>
      <c r="I738">
        <f t="array" ref="I738">SUMIF(A:A,A738,F:F)</f>
        <v>22112.27</v>
      </c>
      <c r="J738">
        <f t="array" ref="J738">5 - INT(5 * (RANK(G738,G:G, 1) - 1) / COUNT(G:G))</f>
        <v>2</v>
      </c>
      <c r="K738">
        <f t="array" ref="K738">INT(5 * (RANK(H738,H:H, 0) - 1) / COUNT(H:H)) + 1</f>
        <v>5</v>
      </c>
      <c r="L738">
        <f t="array" ref="L738">INT(5 * (RANK(I738,I:I, 0) - 1) / COUNT(I:I)) + 1</f>
        <v>4</v>
      </c>
      <c r="M738" t="str">
        <f t="shared" si="22"/>
        <v>254</v>
      </c>
      <c r="N738" s="6" t="str">
        <f t="shared" si="23"/>
        <v>At Risk</v>
      </c>
    </row>
    <row r="739" spans="1:14" x14ac:dyDescent="0.35">
      <c r="A739">
        <v>1159</v>
      </c>
      <c r="B739" s="4">
        <v>45593.375085336993</v>
      </c>
      <c r="C739" t="s">
        <v>14</v>
      </c>
      <c r="D739" t="s">
        <v>19</v>
      </c>
      <c r="E739" t="s">
        <v>23</v>
      </c>
      <c r="F739">
        <v>1250.46</v>
      </c>
      <c r="G739">
        <f t="array" ref="G739">SalesData!$I$2 - 'RFM Table'!B739</f>
        <v>543</v>
      </c>
      <c r="H739">
        <f t="array" ref="H739">COUNTIF(A:A,A739)</f>
        <v>15</v>
      </c>
      <c r="I739">
        <f t="array" ref="I739">SUMIF(A:A,A739,F:F)</f>
        <v>57217.139999999992</v>
      </c>
      <c r="J739">
        <f t="array" ref="J739">5 - INT(5 * (RANK(G739,G:G, 1) - 1) / COUNT(G:G))</f>
        <v>2</v>
      </c>
      <c r="K739">
        <f t="array" ref="K739">INT(5 * (RANK(H739,H:H, 0) - 1) / COUNT(H:H)) + 1</f>
        <v>1</v>
      </c>
      <c r="L739">
        <f t="array" ref="L739">INT(5 * (RANK(I739,I:I, 0) - 1) / COUNT(I:I)) + 1</f>
        <v>1</v>
      </c>
      <c r="M739" t="str">
        <f t="shared" si="22"/>
        <v>211</v>
      </c>
      <c r="N739" s="6" t="str">
        <f t="shared" si="23"/>
        <v>Lost</v>
      </c>
    </row>
    <row r="740" spans="1:14" x14ac:dyDescent="0.35">
      <c r="A740">
        <v>1102</v>
      </c>
      <c r="B740" s="4">
        <v>45593.375085336993</v>
      </c>
      <c r="C740" t="s">
        <v>6</v>
      </c>
      <c r="D740" t="s">
        <v>18</v>
      </c>
      <c r="E740" t="s">
        <v>24</v>
      </c>
      <c r="F740">
        <v>1023.67</v>
      </c>
      <c r="G740">
        <f t="array" ref="G740">SalesData!$I$2 - 'RFM Table'!B740</f>
        <v>543</v>
      </c>
      <c r="H740">
        <f t="array" ref="H740">COUNTIF(A:A,A740)</f>
        <v>7</v>
      </c>
      <c r="I740">
        <f t="array" ref="I740">SUMIF(A:A,A740,F:F)</f>
        <v>29725.939999999995</v>
      </c>
      <c r="J740">
        <f t="array" ref="J740">5 - INT(5 * (RANK(G740,G:G, 1) - 1) / COUNT(G:G))</f>
        <v>2</v>
      </c>
      <c r="K740">
        <f t="array" ref="K740">INT(5 * (RANK(H740,H:H, 0) - 1) / COUNT(H:H)) + 1</f>
        <v>4</v>
      </c>
      <c r="L740">
        <f t="array" ref="L740">INT(5 * (RANK(I740,I:I, 0) - 1) / COUNT(I:I)) + 1</f>
        <v>3</v>
      </c>
      <c r="M740" t="str">
        <f t="shared" si="22"/>
        <v>243</v>
      </c>
      <c r="N740" s="6" t="str">
        <f t="shared" si="23"/>
        <v>At Risk</v>
      </c>
    </row>
    <row r="741" spans="1:14" x14ac:dyDescent="0.35">
      <c r="A741">
        <v>1269</v>
      </c>
      <c r="B741" s="4">
        <v>45593.375085336993</v>
      </c>
      <c r="C741" t="s">
        <v>9</v>
      </c>
      <c r="D741" t="s">
        <v>21</v>
      </c>
      <c r="E741" t="s">
        <v>24</v>
      </c>
      <c r="F741">
        <v>1794.95</v>
      </c>
      <c r="G741">
        <f t="array" ref="G741">SalesData!$I$2 - 'RFM Table'!B741</f>
        <v>543</v>
      </c>
      <c r="H741">
        <f t="array" ref="H741">COUNTIF(A:A,A741)</f>
        <v>6</v>
      </c>
      <c r="I741">
        <f t="array" ref="I741">SUMIF(A:A,A741,F:F)</f>
        <v>25651.410000000003</v>
      </c>
      <c r="J741">
        <f t="array" ref="J741">5 - INT(5 * (RANK(G741,G:G, 1) - 1) / COUNT(G:G))</f>
        <v>2</v>
      </c>
      <c r="K741">
        <f t="array" ref="K741">INT(5 * (RANK(H741,H:H, 0) - 1) / COUNT(H:H)) + 1</f>
        <v>4</v>
      </c>
      <c r="L741">
        <f t="array" ref="L741">INT(5 * (RANK(I741,I:I, 0) - 1) / COUNT(I:I)) + 1</f>
        <v>4</v>
      </c>
      <c r="M741" t="str">
        <f t="shared" si="22"/>
        <v>244</v>
      </c>
      <c r="N741" s="6" t="str">
        <f t="shared" si="23"/>
        <v>At Risk</v>
      </c>
    </row>
    <row r="742" spans="1:14" x14ac:dyDescent="0.35">
      <c r="A742">
        <v>1368</v>
      </c>
      <c r="B742" s="4">
        <v>45593.375085336993</v>
      </c>
      <c r="C742" t="s">
        <v>9</v>
      </c>
      <c r="D742" t="s">
        <v>22</v>
      </c>
      <c r="E742" t="s">
        <v>24</v>
      </c>
      <c r="F742">
        <v>1715.33</v>
      </c>
      <c r="G742">
        <f t="array" ref="G742">SalesData!$I$2 - 'RFM Table'!B742</f>
        <v>543</v>
      </c>
      <c r="H742">
        <f t="array" ref="H742">COUNTIF(A:A,A742)</f>
        <v>8</v>
      </c>
      <c r="I742">
        <f t="array" ref="I742">SUMIF(A:A,A742,F:F)</f>
        <v>26119.000000000004</v>
      </c>
      <c r="J742">
        <f t="array" ref="J742">5 - INT(5 * (RANK(G742,G:G, 1) - 1) / COUNT(G:G))</f>
        <v>2</v>
      </c>
      <c r="K742">
        <f t="array" ref="K742">INT(5 * (RANK(H742,H:H, 0) - 1) / COUNT(H:H)) + 1</f>
        <v>3</v>
      </c>
      <c r="L742">
        <f t="array" ref="L742">INT(5 * (RANK(I742,I:I, 0) - 1) / COUNT(I:I)) + 1</f>
        <v>4</v>
      </c>
      <c r="M742" t="str">
        <f t="shared" si="22"/>
        <v>234</v>
      </c>
      <c r="N742" s="6" t="str">
        <f t="shared" si="23"/>
        <v>At Risk</v>
      </c>
    </row>
    <row r="743" spans="1:14" x14ac:dyDescent="0.35">
      <c r="A743">
        <v>1250</v>
      </c>
      <c r="B743" s="4">
        <v>45593.375085336993</v>
      </c>
      <c r="C743" t="s">
        <v>13</v>
      </c>
      <c r="D743" t="s">
        <v>17</v>
      </c>
      <c r="E743" t="s">
        <v>24</v>
      </c>
      <c r="F743">
        <v>2544.6999999999998</v>
      </c>
      <c r="G743">
        <f t="array" ref="G743">SalesData!$I$2 - 'RFM Table'!B743</f>
        <v>543</v>
      </c>
      <c r="H743">
        <f t="array" ref="H743">COUNTIF(A:A,A743)</f>
        <v>9</v>
      </c>
      <c r="I743">
        <f t="array" ref="I743">SUMIF(A:A,A743,F:F)</f>
        <v>36713.85</v>
      </c>
      <c r="J743">
        <f t="array" ref="J743">5 - INT(5 * (RANK(G743,G:G, 1) - 1) / COUNT(G:G))</f>
        <v>2</v>
      </c>
      <c r="K743">
        <f t="array" ref="K743">INT(5 * (RANK(H743,H:H, 0) - 1) / COUNT(H:H)) + 1</f>
        <v>2</v>
      </c>
      <c r="L743">
        <f t="array" ref="L743">INT(5 * (RANK(I743,I:I, 0) - 1) / COUNT(I:I)) + 1</f>
        <v>3</v>
      </c>
      <c r="M743" t="str">
        <f t="shared" si="22"/>
        <v>223</v>
      </c>
      <c r="N743" s="6" t="str">
        <f t="shared" si="23"/>
        <v>Can't Lose Them</v>
      </c>
    </row>
    <row r="744" spans="1:14" x14ac:dyDescent="0.35">
      <c r="A744">
        <v>1301</v>
      </c>
      <c r="B744" s="4">
        <v>45593.375085336993</v>
      </c>
      <c r="C744" t="s">
        <v>14</v>
      </c>
      <c r="D744" t="s">
        <v>20</v>
      </c>
      <c r="E744" t="s">
        <v>23</v>
      </c>
      <c r="F744">
        <v>1840.76</v>
      </c>
      <c r="G744">
        <f t="array" ref="G744">SalesData!$I$2 - 'RFM Table'!B744</f>
        <v>543</v>
      </c>
      <c r="H744">
        <f t="array" ref="H744">COUNTIF(A:A,A744)</f>
        <v>12</v>
      </c>
      <c r="I744">
        <f t="array" ref="I744">SUMIF(A:A,A744,F:F)</f>
        <v>44897.450000000004</v>
      </c>
      <c r="J744">
        <f t="array" ref="J744">5 - INT(5 * (RANK(G744,G:G, 1) - 1) / COUNT(G:G))</f>
        <v>2</v>
      </c>
      <c r="K744">
        <f t="array" ref="K744">INT(5 * (RANK(H744,H:H, 0) - 1) / COUNT(H:H)) + 1</f>
        <v>1</v>
      </c>
      <c r="L744">
        <f t="array" ref="L744">INT(5 * (RANK(I744,I:I, 0) - 1) / COUNT(I:I)) + 1</f>
        <v>1</v>
      </c>
      <c r="M744" t="str">
        <f t="shared" si="22"/>
        <v>211</v>
      </c>
      <c r="N744" s="6" t="str">
        <f t="shared" si="23"/>
        <v>Lost</v>
      </c>
    </row>
    <row r="745" spans="1:14" x14ac:dyDescent="0.35">
      <c r="A745">
        <v>1305</v>
      </c>
      <c r="B745" s="4">
        <v>45593.375085336993</v>
      </c>
      <c r="C745" t="s">
        <v>12</v>
      </c>
      <c r="D745" t="s">
        <v>21</v>
      </c>
      <c r="E745" t="s">
        <v>25</v>
      </c>
      <c r="F745">
        <v>3918.51</v>
      </c>
      <c r="G745">
        <f t="array" ref="G745">SalesData!$I$2 - 'RFM Table'!B745</f>
        <v>543</v>
      </c>
      <c r="H745">
        <f t="array" ref="H745">COUNTIF(A:A,A745)</f>
        <v>5</v>
      </c>
      <c r="I745">
        <f t="array" ref="I745">SUMIF(A:A,A745,F:F)</f>
        <v>21192.55</v>
      </c>
      <c r="J745">
        <f t="array" ref="J745">5 - INT(5 * (RANK(G745,G:G, 1) - 1) / COUNT(G:G))</f>
        <v>2</v>
      </c>
      <c r="K745">
        <f t="array" ref="K745">INT(5 * (RANK(H745,H:H, 0) - 1) / COUNT(H:H)) + 1</f>
        <v>5</v>
      </c>
      <c r="L745">
        <f t="array" ref="L745">INT(5 * (RANK(I745,I:I, 0) - 1) / COUNT(I:I)) + 1</f>
        <v>5</v>
      </c>
      <c r="M745" t="str">
        <f t="shared" si="22"/>
        <v>255</v>
      </c>
      <c r="N745" s="6" t="str">
        <f t="shared" si="23"/>
        <v>At Risk</v>
      </c>
    </row>
    <row r="746" spans="1:14" x14ac:dyDescent="0.35">
      <c r="A746">
        <v>1083</v>
      </c>
      <c r="B746" s="4">
        <v>45593.375085336993</v>
      </c>
      <c r="C746" t="s">
        <v>11</v>
      </c>
      <c r="D746" t="s">
        <v>20</v>
      </c>
      <c r="E746" t="s">
        <v>25</v>
      </c>
      <c r="F746">
        <v>772.19</v>
      </c>
      <c r="G746">
        <f t="array" ref="G746">SalesData!$I$2 - 'RFM Table'!B746</f>
        <v>543</v>
      </c>
      <c r="H746">
        <f t="array" ref="H746">COUNTIF(A:A,A746)</f>
        <v>10</v>
      </c>
      <c r="I746">
        <f t="array" ref="I746">SUMIF(A:A,A746,F:F)</f>
        <v>27359.329999999998</v>
      </c>
      <c r="J746">
        <f t="array" ref="J746">5 - INT(5 * (RANK(G746,G:G, 1) - 1) / COUNT(G:G))</f>
        <v>2</v>
      </c>
      <c r="K746">
        <f t="array" ref="K746">INT(5 * (RANK(H746,H:H, 0) - 1) / COUNT(H:H)) + 1</f>
        <v>2</v>
      </c>
      <c r="L746">
        <f t="array" ref="L746">INT(5 * (RANK(I746,I:I, 0) - 1) / COUNT(I:I)) + 1</f>
        <v>4</v>
      </c>
      <c r="M746" t="str">
        <f t="shared" si="22"/>
        <v>224</v>
      </c>
      <c r="N746" s="6" t="str">
        <f t="shared" si="23"/>
        <v>Can't Lose Them</v>
      </c>
    </row>
    <row r="747" spans="1:14" x14ac:dyDescent="0.35">
      <c r="A747">
        <v>1005</v>
      </c>
      <c r="B747" s="4">
        <v>45593.375085336993</v>
      </c>
      <c r="C747" t="s">
        <v>15</v>
      </c>
      <c r="D747" t="s">
        <v>17</v>
      </c>
      <c r="E747" t="s">
        <v>25</v>
      </c>
      <c r="F747">
        <v>2634.62</v>
      </c>
      <c r="G747">
        <f t="array" ref="G747">SalesData!$I$2 - 'RFM Table'!B747</f>
        <v>543</v>
      </c>
      <c r="H747">
        <f t="array" ref="H747">COUNTIF(A:A,A747)</f>
        <v>4</v>
      </c>
      <c r="I747">
        <f t="array" ref="I747">SUMIF(A:A,A747,F:F)</f>
        <v>30283.82</v>
      </c>
      <c r="J747">
        <f t="array" ref="J747">5 - INT(5 * (RANK(G747,G:G, 1) - 1) / COUNT(G:G))</f>
        <v>2</v>
      </c>
      <c r="K747">
        <f t="array" ref="K747">INT(5 * (RANK(H747,H:H, 0) - 1) / COUNT(H:H)) + 1</f>
        <v>5</v>
      </c>
      <c r="L747">
        <f t="array" ref="L747">INT(5 * (RANK(I747,I:I, 0) - 1) / COUNT(I:I)) + 1</f>
        <v>3</v>
      </c>
      <c r="M747" t="str">
        <f t="shared" si="22"/>
        <v>253</v>
      </c>
      <c r="N747" s="6" t="str">
        <f t="shared" si="23"/>
        <v>At Risk</v>
      </c>
    </row>
    <row r="748" spans="1:14" x14ac:dyDescent="0.35">
      <c r="A748">
        <v>1065</v>
      </c>
      <c r="B748" s="4">
        <v>45594.375085336993</v>
      </c>
      <c r="C748" t="s">
        <v>6</v>
      </c>
      <c r="D748" t="s">
        <v>21</v>
      </c>
      <c r="E748" t="s">
        <v>23</v>
      </c>
      <c r="F748">
        <v>3620.1</v>
      </c>
      <c r="G748">
        <f t="array" ref="G748">SalesData!$I$2 - 'RFM Table'!B748</f>
        <v>542</v>
      </c>
      <c r="H748">
        <f t="array" ref="H748">COUNTIF(A:A,A748)</f>
        <v>7</v>
      </c>
      <c r="I748">
        <f t="array" ref="I748">SUMIF(A:A,A748,F:F)</f>
        <v>25155.31</v>
      </c>
      <c r="J748">
        <f t="array" ref="J748">5 - INT(5 * (RANK(G748,G:G, 1) - 1) / COUNT(G:G))</f>
        <v>2</v>
      </c>
      <c r="K748">
        <f t="array" ref="K748">INT(5 * (RANK(H748,H:H, 0) - 1) / COUNT(H:H)) + 1</f>
        <v>4</v>
      </c>
      <c r="L748">
        <f t="array" ref="L748">INT(5 * (RANK(I748,I:I, 0) - 1) / COUNT(I:I)) + 1</f>
        <v>4</v>
      </c>
      <c r="M748" t="str">
        <f t="shared" si="22"/>
        <v>244</v>
      </c>
      <c r="N748" s="6" t="str">
        <f t="shared" si="23"/>
        <v>At Risk</v>
      </c>
    </row>
    <row r="749" spans="1:14" x14ac:dyDescent="0.35">
      <c r="A749">
        <v>1131</v>
      </c>
      <c r="B749" s="4">
        <v>45594.375085336993</v>
      </c>
      <c r="C749" t="s">
        <v>12</v>
      </c>
      <c r="D749" t="s">
        <v>22</v>
      </c>
      <c r="E749" t="s">
        <v>25</v>
      </c>
      <c r="F749">
        <v>13009.97</v>
      </c>
      <c r="G749">
        <f t="array" ref="G749">SalesData!$I$2 - 'RFM Table'!B749</f>
        <v>542</v>
      </c>
      <c r="H749">
        <f t="array" ref="H749">COUNTIF(A:A,A749)</f>
        <v>7</v>
      </c>
      <c r="I749">
        <f t="array" ref="I749">SUMIF(A:A,A749,F:F)</f>
        <v>38080.880000000005</v>
      </c>
      <c r="J749">
        <f t="array" ref="J749">5 - INT(5 * (RANK(G749,G:G, 1) - 1) / COUNT(G:G))</f>
        <v>2</v>
      </c>
      <c r="K749">
        <f t="array" ref="K749">INT(5 * (RANK(H749,H:H, 0) - 1) / COUNT(H:H)) + 1</f>
        <v>4</v>
      </c>
      <c r="L749">
        <f t="array" ref="L749">INT(5 * (RANK(I749,I:I, 0) - 1) / COUNT(I:I)) + 1</f>
        <v>2</v>
      </c>
      <c r="M749" t="str">
        <f t="shared" si="22"/>
        <v>242</v>
      </c>
      <c r="N749" s="6" t="str">
        <f t="shared" si="23"/>
        <v>Others</v>
      </c>
    </row>
    <row r="750" spans="1:14" x14ac:dyDescent="0.35">
      <c r="A750">
        <v>1399</v>
      </c>
      <c r="B750" s="4">
        <v>45594.375085336993</v>
      </c>
      <c r="C750" t="s">
        <v>15</v>
      </c>
      <c r="D750" t="s">
        <v>21</v>
      </c>
      <c r="E750" t="s">
        <v>23</v>
      </c>
      <c r="F750">
        <v>1331.23</v>
      </c>
      <c r="G750">
        <f t="array" ref="G750">SalesData!$I$2 - 'RFM Table'!B750</f>
        <v>542</v>
      </c>
      <c r="H750">
        <f t="array" ref="H750">COUNTIF(A:A,A750)</f>
        <v>9</v>
      </c>
      <c r="I750">
        <f t="array" ref="I750">SUMIF(A:A,A750,F:F)</f>
        <v>34808.1</v>
      </c>
      <c r="J750">
        <f t="array" ref="J750">5 - INT(5 * (RANK(G750,G:G, 1) - 1) / COUNT(G:G))</f>
        <v>2</v>
      </c>
      <c r="K750">
        <f t="array" ref="K750">INT(5 * (RANK(H750,H:H, 0) - 1) / COUNT(H:H)) + 1</f>
        <v>2</v>
      </c>
      <c r="L750">
        <f t="array" ref="L750">INT(5 * (RANK(I750,I:I, 0) - 1) / COUNT(I:I)) + 1</f>
        <v>3</v>
      </c>
      <c r="M750" t="str">
        <f t="shared" si="22"/>
        <v>223</v>
      </c>
      <c r="N750" s="6" t="str">
        <f t="shared" si="23"/>
        <v>Can't Lose Them</v>
      </c>
    </row>
    <row r="751" spans="1:14" x14ac:dyDescent="0.35">
      <c r="A751">
        <v>1051</v>
      </c>
      <c r="B751" s="4">
        <v>45595.375085336993</v>
      </c>
      <c r="C751" t="s">
        <v>14</v>
      </c>
      <c r="D751" t="s">
        <v>19</v>
      </c>
      <c r="E751" t="s">
        <v>23</v>
      </c>
      <c r="F751">
        <v>2108.48</v>
      </c>
      <c r="G751">
        <f t="array" ref="G751">SalesData!$I$2 - 'RFM Table'!B751</f>
        <v>541</v>
      </c>
      <c r="H751">
        <f t="array" ref="H751">COUNTIF(A:A,A751)</f>
        <v>6</v>
      </c>
      <c r="I751">
        <f t="array" ref="I751">SUMIF(A:A,A751,F:F)</f>
        <v>12660.78</v>
      </c>
      <c r="J751">
        <f t="array" ref="J751">5 - INT(5 * (RANK(G751,G:G, 1) - 1) / COUNT(G:G))</f>
        <v>2</v>
      </c>
      <c r="K751">
        <f t="array" ref="K751">INT(5 * (RANK(H751,H:H, 0) - 1) / COUNT(H:H)) + 1</f>
        <v>4</v>
      </c>
      <c r="L751">
        <f t="array" ref="L751">INT(5 * (RANK(I751,I:I, 0) - 1) / COUNT(I:I)) + 1</f>
        <v>5</v>
      </c>
      <c r="M751" t="str">
        <f t="shared" si="22"/>
        <v>245</v>
      </c>
      <c r="N751" s="6" t="str">
        <f t="shared" si="23"/>
        <v>At Risk</v>
      </c>
    </row>
    <row r="752" spans="1:14" x14ac:dyDescent="0.35">
      <c r="A752">
        <v>1072</v>
      </c>
      <c r="B752" s="4">
        <v>45595.375085336993</v>
      </c>
      <c r="C752" t="s">
        <v>7</v>
      </c>
      <c r="D752" t="s">
        <v>19</v>
      </c>
      <c r="E752" t="s">
        <v>25</v>
      </c>
      <c r="F752">
        <v>2943.81</v>
      </c>
      <c r="G752">
        <f t="array" ref="G752">SalesData!$I$2 - 'RFM Table'!B752</f>
        <v>541</v>
      </c>
      <c r="H752">
        <f t="array" ref="H752">COUNTIF(A:A,A752)</f>
        <v>8</v>
      </c>
      <c r="I752">
        <f t="array" ref="I752">SUMIF(A:A,A752,F:F)</f>
        <v>30568.039999999997</v>
      </c>
      <c r="J752">
        <f t="array" ref="J752">5 - INT(5 * (RANK(G752,G:G, 1) - 1) / COUNT(G:G))</f>
        <v>2</v>
      </c>
      <c r="K752">
        <f t="array" ref="K752">INT(5 * (RANK(H752,H:H, 0) - 1) / COUNT(H:H)) + 1</f>
        <v>3</v>
      </c>
      <c r="L752">
        <f t="array" ref="L752">INT(5 * (RANK(I752,I:I, 0) - 1) / COUNT(I:I)) + 1</f>
        <v>3</v>
      </c>
      <c r="M752" t="str">
        <f t="shared" si="22"/>
        <v>233</v>
      </c>
      <c r="N752" s="6" t="str">
        <f t="shared" si="23"/>
        <v>At Risk</v>
      </c>
    </row>
    <row r="753" spans="1:14" x14ac:dyDescent="0.35">
      <c r="A753">
        <v>1115</v>
      </c>
      <c r="B753" s="4">
        <v>45595.375085336993</v>
      </c>
      <c r="C753" t="s">
        <v>8</v>
      </c>
      <c r="D753" t="s">
        <v>18</v>
      </c>
      <c r="E753" t="s">
        <v>24</v>
      </c>
      <c r="F753">
        <v>1201.8599999999999</v>
      </c>
      <c r="G753">
        <f t="array" ref="G753">SalesData!$I$2 - 'RFM Table'!B753</f>
        <v>541</v>
      </c>
      <c r="H753">
        <f t="array" ref="H753">COUNTIF(A:A,A753)</f>
        <v>6</v>
      </c>
      <c r="I753">
        <f t="array" ref="I753">SUMIF(A:A,A753,F:F)</f>
        <v>19413.5</v>
      </c>
      <c r="J753">
        <f t="array" ref="J753">5 - INT(5 * (RANK(G753,G:G, 1) - 1) / COUNT(G:G))</f>
        <v>2</v>
      </c>
      <c r="K753">
        <f t="array" ref="K753">INT(5 * (RANK(H753,H:H, 0) - 1) / COUNT(H:H)) + 1</f>
        <v>4</v>
      </c>
      <c r="L753">
        <f t="array" ref="L753">INT(5 * (RANK(I753,I:I, 0) - 1) / COUNT(I:I)) + 1</f>
        <v>5</v>
      </c>
      <c r="M753" t="str">
        <f t="shared" si="22"/>
        <v>245</v>
      </c>
      <c r="N753" s="6" t="str">
        <f t="shared" si="23"/>
        <v>At Risk</v>
      </c>
    </row>
    <row r="754" spans="1:14" x14ac:dyDescent="0.35">
      <c r="A754">
        <v>1290</v>
      </c>
      <c r="B754" s="4">
        <v>45595.375085336993</v>
      </c>
      <c r="C754" t="s">
        <v>10</v>
      </c>
      <c r="D754" t="s">
        <v>19</v>
      </c>
      <c r="E754" t="s">
        <v>24</v>
      </c>
      <c r="F754">
        <v>6052.22</v>
      </c>
      <c r="G754">
        <f t="array" ref="G754">SalesData!$I$2 - 'RFM Table'!B754</f>
        <v>541</v>
      </c>
      <c r="H754">
        <f t="array" ref="H754">COUNTIF(A:A,A754)</f>
        <v>9</v>
      </c>
      <c r="I754">
        <f t="array" ref="I754">SUMIF(A:A,A754,F:F)</f>
        <v>37864.199999999997</v>
      </c>
      <c r="J754">
        <f t="array" ref="J754">5 - INT(5 * (RANK(G754,G:G, 1) - 1) / COUNT(G:G))</f>
        <v>2</v>
      </c>
      <c r="K754">
        <f t="array" ref="K754">INT(5 * (RANK(H754,H:H, 0) - 1) / COUNT(H:H)) + 1</f>
        <v>2</v>
      </c>
      <c r="L754">
        <f t="array" ref="L754">INT(5 * (RANK(I754,I:I, 0) - 1) / COUNT(I:I)) + 1</f>
        <v>2</v>
      </c>
      <c r="M754" t="str">
        <f t="shared" si="22"/>
        <v>222</v>
      </c>
      <c r="N754" s="6" t="str">
        <f t="shared" si="23"/>
        <v>Lost</v>
      </c>
    </row>
    <row r="755" spans="1:14" x14ac:dyDescent="0.35">
      <c r="A755">
        <v>1068</v>
      </c>
      <c r="B755" s="4">
        <v>45595.375085336993</v>
      </c>
      <c r="C755" t="s">
        <v>15</v>
      </c>
      <c r="D755" t="s">
        <v>16</v>
      </c>
      <c r="E755" t="s">
        <v>24</v>
      </c>
      <c r="F755">
        <v>4141.79</v>
      </c>
      <c r="G755">
        <f t="array" ref="G755">SalesData!$I$2 - 'RFM Table'!B755</f>
        <v>541</v>
      </c>
      <c r="H755">
        <f t="array" ref="H755">COUNTIF(A:A,A755)</f>
        <v>10</v>
      </c>
      <c r="I755">
        <f t="array" ref="I755">SUMIF(A:A,A755,F:F)</f>
        <v>47284.22</v>
      </c>
      <c r="J755">
        <f t="array" ref="J755">5 - INT(5 * (RANK(G755,G:G, 1) - 1) / COUNT(G:G))</f>
        <v>2</v>
      </c>
      <c r="K755">
        <f t="array" ref="K755">INT(5 * (RANK(H755,H:H, 0) - 1) / COUNT(H:H)) + 1</f>
        <v>2</v>
      </c>
      <c r="L755">
        <f t="array" ref="L755">INT(5 * (RANK(I755,I:I, 0) - 1) / COUNT(I:I)) + 1</f>
        <v>1</v>
      </c>
      <c r="M755" t="str">
        <f t="shared" si="22"/>
        <v>221</v>
      </c>
      <c r="N755" s="6" t="str">
        <f t="shared" si="23"/>
        <v>Lost</v>
      </c>
    </row>
    <row r="756" spans="1:14" x14ac:dyDescent="0.35">
      <c r="A756">
        <v>1150</v>
      </c>
      <c r="B756" s="4">
        <v>45596.375085336993</v>
      </c>
      <c r="C756" t="s">
        <v>8</v>
      </c>
      <c r="D756" t="s">
        <v>16</v>
      </c>
      <c r="E756" t="s">
        <v>24</v>
      </c>
      <c r="F756">
        <v>4617.8599999999997</v>
      </c>
      <c r="G756">
        <f t="array" ref="G756">SalesData!$I$2 - 'RFM Table'!B756</f>
        <v>540</v>
      </c>
      <c r="H756">
        <f t="array" ref="H756">COUNTIF(A:A,A756)</f>
        <v>10</v>
      </c>
      <c r="I756">
        <f t="array" ref="I756">SUMIF(A:A,A756,F:F)</f>
        <v>34643.039999999994</v>
      </c>
      <c r="J756">
        <f t="array" ref="J756">5 - INT(5 * (RANK(G756,G:G, 1) - 1) / COUNT(G:G))</f>
        <v>2</v>
      </c>
      <c r="K756">
        <f t="array" ref="K756">INT(5 * (RANK(H756,H:H, 0) - 1) / COUNT(H:H)) + 1</f>
        <v>2</v>
      </c>
      <c r="L756">
        <f t="array" ref="L756">INT(5 * (RANK(I756,I:I, 0) - 1) / COUNT(I:I)) + 1</f>
        <v>3</v>
      </c>
      <c r="M756" t="str">
        <f t="shared" si="22"/>
        <v>223</v>
      </c>
      <c r="N756" s="6" t="str">
        <f t="shared" si="23"/>
        <v>Can't Lose Them</v>
      </c>
    </row>
    <row r="757" spans="1:14" x14ac:dyDescent="0.35">
      <c r="A757">
        <v>1280</v>
      </c>
      <c r="B757" s="4">
        <v>45596.375085336993</v>
      </c>
      <c r="C757" t="s">
        <v>7</v>
      </c>
      <c r="D757" t="s">
        <v>16</v>
      </c>
      <c r="E757" t="s">
        <v>24</v>
      </c>
      <c r="F757">
        <v>3306</v>
      </c>
      <c r="G757">
        <f t="array" ref="G757">SalesData!$I$2 - 'RFM Table'!B757</f>
        <v>540</v>
      </c>
      <c r="H757">
        <f t="array" ref="H757">COUNTIF(A:A,A757)</f>
        <v>7</v>
      </c>
      <c r="I757">
        <f t="array" ref="I757">SUMIF(A:A,A757,F:F)</f>
        <v>34546.720000000001</v>
      </c>
      <c r="J757">
        <f t="array" ref="J757">5 - INT(5 * (RANK(G757,G:G, 1) - 1) / COUNT(G:G))</f>
        <v>2</v>
      </c>
      <c r="K757">
        <f t="array" ref="K757">INT(5 * (RANK(H757,H:H, 0) - 1) / COUNT(H:H)) + 1</f>
        <v>4</v>
      </c>
      <c r="L757">
        <f t="array" ref="L757">INT(5 * (RANK(I757,I:I, 0) - 1) / COUNT(I:I)) + 1</f>
        <v>3</v>
      </c>
      <c r="M757" t="str">
        <f t="shared" si="22"/>
        <v>243</v>
      </c>
      <c r="N757" s="6" t="str">
        <f t="shared" si="23"/>
        <v>At Risk</v>
      </c>
    </row>
    <row r="758" spans="1:14" x14ac:dyDescent="0.35">
      <c r="A758">
        <v>1225</v>
      </c>
      <c r="B758" s="4">
        <v>45596.375085336993</v>
      </c>
      <c r="C758" t="s">
        <v>9</v>
      </c>
      <c r="D758" t="s">
        <v>18</v>
      </c>
      <c r="E758" t="s">
        <v>24</v>
      </c>
      <c r="F758">
        <v>4086.92</v>
      </c>
      <c r="G758">
        <f t="array" ref="G758">SalesData!$I$2 - 'RFM Table'!B758</f>
        <v>540</v>
      </c>
      <c r="H758">
        <f t="array" ref="H758">COUNTIF(A:A,A758)</f>
        <v>12</v>
      </c>
      <c r="I758">
        <f t="array" ref="I758">SUMIF(A:A,A758,F:F)</f>
        <v>42930.969999999994</v>
      </c>
      <c r="J758">
        <f t="array" ref="J758">5 - INT(5 * (RANK(G758,G:G, 1) - 1) / COUNT(G:G))</f>
        <v>2</v>
      </c>
      <c r="K758">
        <f t="array" ref="K758">INT(5 * (RANK(H758,H:H, 0) - 1) / COUNT(H:H)) + 1</f>
        <v>1</v>
      </c>
      <c r="L758">
        <f t="array" ref="L758">INT(5 * (RANK(I758,I:I, 0) - 1) / COUNT(I:I)) + 1</f>
        <v>2</v>
      </c>
      <c r="M758" t="str">
        <f t="shared" si="22"/>
        <v>212</v>
      </c>
      <c r="N758" s="6" t="str">
        <f t="shared" si="23"/>
        <v>Lost</v>
      </c>
    </row>
    <row r="759" spans="1:14" x14ac:dyDescent="0.35">
      <c r="A759">
        <v>1380</v>
      </c>
      <c r="B759" s="4">
        <v>45596.375085336993</v>
      </c>
      <c r="C759" t="s">
        <v>13</v>
      </c>
      <c r="D759" t="s">
        <v>22</v>
      </c>
      <c r="E759" t="s">
        <v>23</v>
      </c>
      <c r="F759">
        <v>3006.79</v>
      </c>
      <c r="G759">
        <f t="array" ref="G759">SalesData!$I$2 - 'RFM Table'!B759</f>
        <v>540</v>
      </c>
      <c r="H759">
        <f t="array" ref="H759">COUNTIF(A:A,A759)</f>
        <v>9</v>
      </c>
      <c r="I759">
        <f t="array" ref="I759">SUMIF(A:A,A759,F:F)</f>
        <v>40711.57</v>
      </c>
      <c r="J759">
        <f t="array" ref="J759">5 - INT(5 * (RANK(G759,G:G, 1) - 1) / COUNT(G:G))</f>
        <v>2</v>
      </c>
      <c r="K759">
        <f t="array" ref="K759">INT(5 * (RANK(H759,H:H, 0) - 1) / COUNT(H:H)) + 1</f>
        <v>2</v>
      </c>
      <c r="L759">
        <f t="array" ref="L759">INT(5 * (RANK(I759,I:I, 0) - 1) / COUNT(I:I)) + 1</f>
        <v>2</v>
      </c>
      <c r="M759" t="str">
        <f t="shared" si="22"/>
        <v>222</v>
      </c>
      <c r="N759" s="6" t="str">
        <f t="shared" si="23"/>
        <v>Lost</v>
      </c>
    </row>
    <row r="760" spans="1:14" x14ac:dyDescent="0.35">
      <c r="A760">
        <v>1237</v>
      </c>
      <c r="B760" s="4">
        <v>45596.375085336993</v>
      </c>
      <c r="C760" t="s">
        <v>13</v>
      </c>
      <c r="D760" t="s">
        <v>19</v>
      </c>
      <c r="E760" t="s">
        <v>25</v>
      </c>
      <c r="F760">
        <v>4014.99</v>
      </c>
      <c r="G760">
        <f t="array" ref="G760">SalesData!$I$2 - 'RFM Table'!B760</f>
        <v>540</v>
      </c>
      <c r="H760">
        <f t="array" ref="H760">COUNTIF(A:A,A760)</f>
        <v>6</v>
      </c>
      <c r="I760">
        <f t="array" ref="I760">SUMIF(A:A,A760,F:F)</f>
        <v>33607.29</v>
      </c>
      <c r="J760">
        <f t="array" ref="J760">5 - INT(5 * (RANK(G760,G:G, 1) - 1) / COUNT(G:G))</f>
        <v>2</v>
      </c>
      <c r="K760">
        <f t="array" ref="K760">INT(5 * (RANK(H760,H:H, 0) - 1) / COUNT(H:H)) + 1</f>
        <v>4</v>
      </c>
      <c r="L760">
        <f t="array" ref="L760">INT(5 * (RANK(I760,I:I, 0) - 1) / COUNT(I:I)) + 1</f>
        <v>3</v>
      </c>
      <c r="M760" t="str">
        <f t="shared" si="22"/>
        <v>243</v>
      </c>
      <c r="N760" s="6" t="str">
        <f t="shared" si="23"/>
        <v>At Risk</v>
      </c>
    </row>
    <row r="761" spans="1:14" x14ac:dyDescent="0.35">
      <c r="A761">
        <v>1032</v>
      </c>
      <c r="B761" s="4">
        <v>45596.375085336993</v>
      </c>
      <c r="C761" t="s">
        <v>10</v>
      </c>
      <c r="D761" t="s">
        <v>21</v>
      </c>
      <c r="E761" t="s">
        <v>23</v>
      </c>
      <c r="F761">
        <v>13719.32</v>
      </c>
      <c r="G761">
        <f t="array" ref="G761">SalesData!$I$2 - 'RFM Table'!B761</f>
        <v>540</v>
      </c>
      <c r="H761">
        <f t="array" ref="H761">COUNTIF(A:A,A761)</f>
        <v>4</v>
      </c>
      <c r="I761">
        <f t="array" ref="I761">SUMIF(A:A,A761,F:F)</f>
        <v>24173.510000000002</v>
      </c>
      <c r="J761">
        <f t="array" ref="J761">5 - INT(5 * (RANK(G761,G:G, 1) - 1) / COUNT(G:G))</f>
        <v>2</v>
      </c>
      <c r="K761">
        <f t="array" ref="K761">INT(5 * (RANK(H761,H:H, 0) - 1) / COUNT(H:H)) + 1</f>
        <v>5</v>
      </c>
      <c r="L761">
        <f t="array" ref="L761">INT(5 * (RANK(I761,I:I, 0) - 1) / COUNT(I:I)) + 1</f>
        <v>4</v>
      </c>
      <c r="M761" t="str">
        <f t="shared" si="22"/>
        <v>254</v>
      </c>
      <c r="N761" s="6" t="str">
        <f t="shared" si="23"/>
        <v>At Risk</v>
      </c>
    </row>
    <row r="762" spans="1:14" x14ac:dyDescent="0.35">
      <c r="A762">
        <v>1231</v>
      </c>
      <c r="B762" s="4">
        <v>45597.375085336993</v>
      </c>
      <c r="C762" t="s">
        <v>8</v>
      </c>
      <c r="D762" t="s">
        <v>17</v>
      </c>
      <c r="E762" t="s">
        <v>25</v>
      </c>
      <c r="F762">
        <v>3505.26</v>
      </c>
      <c r="G762">
        <f t="array" ref="G762">SalesData!$I$2 - 'RFM Table'!B762</f>
        <v>539</v>
      </c>
      <c r="H762">
        <f t="array" ref="H762">COUNTIF(A:A,A762)</f>
        <v>6</v>
      </c>
      <c r="I762">
        <f t="array" ref="I762">SUMIF(A:A,A762,F:F)</f>
        <v>19997.589999999997</v>
      </c>
      <c r="J762">
        <f t="array" ref="J762">5 - INT(5 * (RANK(G762,G:G, 1) - 1) / COUNT(G:G))</f>
        <v>2</v>
      </c>
      <c r="K762">
        <f t="array" ref="K762">INT(5 * (RANK(H762,H:H, 0) - 1) / COUNT(H:H)) + 1</f>
        <v>4</v>
      </c>
      <c r="L762">
        <f t="array" ref="L762">INT(5 * (RANK(I762,I:I, 0) - 1) / COUNT(I:I)) + 1</f>
        <v>5</v>
      </c>
      <c r="M762" t="str">
        <f t="shared" si="22"/>
        <v>245</v>
      </c>
      <c r="N762" s="6" t="str">
        <f t="shared" si="23"/>
        <v>At Risk</v>
      </c>
    </row>
    <row r="763" spans="1:14" x14ac:dyDescent="0.35">
      <c r="A763">
        <v>1135</v>
      </c>
      <c r="B763" s="4">
        <v>45597.375085336993</v>
      </c>
      <c r="C763" t="s">
        <v>9</v>
      </c>
      <c r="D763" t="s">
        <v>21</v>
      </c>
      <c r="E763" t="s">
        <v>23</v>
      </c>
      <c r="F763">
        <v>1904.32</v>
      </c>
      <c r="G763">
        <f t="array" ref="G763">SalesData!$I$2 - 'RFM Table'!B763</f>
        <v>539</v>
      </c>
      <c r="H763">
        <f t="array" ref="H763">COUNTIF(A:A,A763)</f>
        <v>10</v>
      </c>
      <c r="I763">
        <f t="array" ref="I763">SUMIF(A:A,A763,F:F)</f>
        <v>31217.780000000002</v>
      </c>
      <c r="J763">
        <f t="array" ref="J763">5 - INT(5 * (RANK(G763,G:G, 1) - 1) / COUNT(G:G))</f>
        <v>2</v>
      </c>
      <c r="K763">
        <f t="array" ref="K763">INT(5 * (RANK(H763,H:H, 0) - 1) / COUNT(H:H)) + 1</f>
        <v>2</v>
      </c>
      <c r="L763">
        <f t="array" ref="L763">INT(5 * (RANK(I763,I:I, 0) - 1) / COUNT(I:I)) + 1</f>
        <v>3</v>
      </c>
      <c r="M763" t="str">
        <f t="shared" si="22"/>
        <v>223</v>
      </c>
      <c r="N763" s="6" t="str">
        <f t="shared" si="23"/>
        <v>Can't Lose Them</v>
      </c>
    </row>
    <row r="764" spans="1:14" x14ac:dyDescent="0.35">
      <c r="A764">
        <v>1145</v>
      </c>
      <c r="B764" s="4">
        <v>45597.375085336993</v>
      </c>
      <c r="C764" t="s">
        <v>7</v>
      </c>
      <c r="D764" t="s">
        <v>21</v>
      </c>
      <c r="E764" t="s">
        <v>23</v>
      </c>
      <c r="F764">
        <v>1881.2</v>
      </c>
      <c r="G764">
        <f t="array" ref="G764">SalesData!$I$2 - 'RFM Table'!B764</f>
        <v>539</v>
      </c>
      <c r="H764">
        <f t="array" ref="H764">COUNTIF(A:A,A764)</f>
        <v>9</v>
      </c>
      <c r="I764">
        <f t="array" ref="I764">SUMIF(A:A,A764,F:F)</f>
        <v>36233.340000000004</v>
      </c>
      <c r="J764">
        <f t="array" ref="J764">5 - INT(5 * (RANK(G764,G:G, 1) - 1) / COUNT(G:G))</f>
        <v>2</v>
      </c>
      <c r="K764">
        <f t="array" ref="K764">INT(5 * (RANK(H764,H:H, 0) - 1) / COUNT(H:H)) + 1</f>
        <v>2</v>
      </c>
      <c r="L764">
        <f t="array" ref="L764">INT(5 * (RANK(I764,I:I, 0) - 1) / COUNT(I:I)) + 1</f>
        <v>3</v>
      </c>
      <c r="M764" t="str">
        <f t="shared" si="22"/>
        <v>223</v>
      </c>
      <c r="N764" s="6" t="str">
        <f t="shared" si="23"/>
        <v>Can't Lose Them</v>
      </c>
    </row>
    <row r="765" spans="1:14" x14ac:dyDescent="0.35">
      <c r="A765">
        <v>1309</v>
      </c>
      <c r="B765" s="4">
        <v>45597.375085336993</v>
      </c>
      <c r="C765" t="s">
        <v>7</v>
      </c>
      <c r="D765" t="s">
        <v>20</v>
      </c>
      <c r="E765" t="s">
        <v>24</v>
      </c>
      <c r="F765">
        <v>554.97</v>
      </c>
      <c r="G765">
        <f t="array" ref="G765">SalesData!$I$2 - 'RFM Table'!B765</f>
        <v>539</v>
      </c>
      <c r="H765">
        <f t="array" ref="H765">COUNTIF(A:A,A765)</f>
        <v>11</v>
      </c>
      <c r="I765">
        <f t="array" ref="I765">SUMIF(A:A,A765,F:F)</f>
        <v>43078.749999999993</v>
      </c>
      <c r="J765">
        <f t="array" ref="J765">5 - INT(5 * (RANK(G765,G:G, 1) - 1) / COUNT(G:G))</f>
        <v>2</v>
      </c>
      <c r="K765">
        <f t="array" ref="K765">INT(5 * (RANK(H765,H:H, 0) - 1) / COUNT(H:H)) + 1</f>
        <v>1</v>
      </c>
      <c r="L765">
        <f t="array" ref="L765">INT(5 * (RANK(I765,I:I, 0) - 1) / COUNT(I:I)) + 1</f>
        <v>2</v>
      </c>
      <c r="M765" t="str">
        <f t="shared" si="22"/>
        <v>212</v>
      </c>
      <c r="N765" s="6" t="str">
        <f t="shared" si="23"/>
        <v>Lost</v>
      </c>
    </row>
    <row r="766" spans="1:14" x14ac:dyDescent="0.35">
      <c r="A766">
        <v>1065</v>
      </c>
      <c r="B766" s="4">
        <v>45597.375085336993</v>
      </c>
      <c r="C766" t="s">
        <v>15</v>
      </c>
      <c r="D766" t="s">
        <v>19</v>
      </c>
      <c r="E766" t="s">
        <v>24</v>
      </c>
      <c r="F766">
        <v>3776.88</v>
      </c>
      <c r="G766">
        <f t="array" ref="G766">SalesData!$I$2 - 'RFM Table'!B766</f>
        <v>539</v>
      </c>
      <c r="H766">
        <f t="array" ref="H766">COUNTIF(A:A,A766)</f>
        <v>7</v>
      </c>
      <c r="I766">
        <f t="array" ref="I766">SUMIF(A:A,A766,F:F)</f>
        <v>25155.31</v>
      </c>
      <c r="J766">
        <f t="array" ref="J766">5 - INT(5 * (RANK(G766,G:G, 1) - 1) / COUNT(G:G))</f>
        <v>2</v>
      </c>
      <c r="K766">
        <f t="array" ref="K766">INT(5 * (RANK(H766,H:H, 0) - 1) / COUNT(H:H)) + 1</f>
        <v>4</v>
      </c>
      <c r="L766">
        <f t="array" ref="L766">INT(5 * (RANK(I766,I:I, 0) - 1) / COUNT(I:I)) + 1</f>
        <v>4</v>
      </c>
      <c r="M766" t="str">
        <f t="shared" si="22"/>
        <v>244</v>
      </c>
      <c r="N766" s="6" t="str">
        <f t="shared" si="23"/>
        <v>At Risk</v>
      </c>
    </row>
    <row r="767" spans="1:14" x14ac:dyDescent="0.35">
      <c r="A767">
        <v>1076</v>
      </c>
      <c r="B767" s="4">
        <v>45597.375085336993</v>
      </c>
      <c r="C767" t="s">
        <v>12</v>
      </c>
      <c r="D767" t="s">
        <v>17</v>
      </c>
      <c r="E767" t="s">
        <v>23</v>
      </c>
      <c r="F767">
        <v>2013.02</v>
      </c>
      <c r="G767">
        <f t="array" ref="G767">SalesData!$I$2 - 'RFM Table'!B767</f>
        <v>539</v>
      </c>
      <c r="H767">
        <f t="array" ref="H767">COUNTIF(A:A,A767)</f>
        <v>5</v>
      </c>
      <c r="I767">
        <f t="array" ref="I767">SUMIF(A:A,A767,F:F)</f>
        <v>19731.25</v>
      </c>
      <c r="J767">
        <f t="array" ref="J767">5 - INT(5 * (RANK(G767,G:G, 1) - 1) / COUNT(G:G))</f>
        <v>2</v>
      </c>
      <c r="K767">
        <f t="array" ref="K767">INT(5 * (RANK(H767,H:H, 0) - 1) / COUNT(H:H)) + 1</f>
        <v>5</v>
      </c>
      <c r="L767">
        <f t="array" ref="L767">INT(5 * (RANK(I767,I:I, 0) - 1) / COUNT(I:I)) + 1</f>
        <v>5</v>
      </c>
      <c r="M767" t="str">
        <f t="shared" si="22"/>
        <v>255</v>
      </c>
      <c r="N767" s="6" t="str">
        <f t="shared" si="23"/>
        <v>At Risk</v>
      </c>
    </row>
    <row r="768" spans="1:14" x14ac:dyDescent="0.35">
      <c r="A768">
        <v>1349</v>
      </c>
      <c r="B768" s="4">
        <v>45598.375085336993</v>
      </c>
      <c r="C768" t="s">
        <v>13</v>
      </c>
      <c r="D768" t="s">
        <v>17</v>
      </c>
      <c r="E768" t="s">
        <v>25</v>
      </c>
      <c r="F768">
        <v>8233.58</v>
      </c>
      <c r="G768">
        <f t="array" ref="G768">SalesData!$I$2 - 'RFM Table'!B768</f>
        <v>538</v>
      </c>
      <c r="H768">
        <f t="array" ref="H768">COUNTIF(A:A,A768)</f>
        <v>8</v>
      </c>
      <c r="I768">
        <f t="array" ref="I768">SUMIF(A:A,A768,F:F)</f>
        <v>24691.75</v>
      </c>
      <c r="J768">
        <f t="array" ref="J768">5 - INT(5 * (RANK(G768,G:G, 1) - 1) / COUNT(G:G))</f>
        <v>2</v>
      </c>
      <c r="K768">
        <f t="array" ref="K768">INT(5 * (RANK(H768,H:H, 0) - 1) / COUNT(H:H)) + 1</f>
        <v>3</v>
      </c>
      <c r="L768">
        <f t="array" ref="L768">INT(5 * (RANK(I768,I:I, 0) - 1) / COUNT(I:I)) + 1</f>
        <v>4</v>
      </c>
      <c r="M768" t="str">
        <f t="shared" si="22"/>
        <v>234</v>
      </c>
      <c r="N768" s="6" t="str">
        <f t="shared" si="23"/>
        <v>At Risk</v>
      </c>
    </row>
    <row r="769" spans="1:14" x14ac:dyDescent="0.35">
      <c r="A769">
        <v>1133</v>
      </c>
      <c r="B769" s="4">
        <v>45598.375085336993</v>
      </c>
      <c r="C769" t="s">
        <v>8</v>
      </c>
      <c r="D769" t="s">
        <v>18</v>
      </c>
      <c r="E769" t="s">
        <v>25</v>
      </c>
      <c r="F769">
        <v>3208.36</v>
      </c>
      <c r="G769">
        <f t="array" ref="G769">SalesData!$I$2 - 'RFM Table'!B769</f>
        <v>538</v>
      </c>
      <c r="H769">
        <f t="array" ref="H769">COUNTIF(A:A,A769)</f>
        <v>8</v>
      </c>
      <c r="I769">
        <f t="array" ref="I769">SUMIF(A:A,A769,F:F)</f>
        <v>34167.589999999997</v>
      </c>
      <c r="J769">
        <f t="array" ref="J769">5 - INT(5 * (RANK(G769,G:G, 1) - 1) / COUNT(G:G))</f>
        <v>2</v>
      </c>
      <c r="K769">
        <f t="array" ref="K769">INT(5 * (RANK(H769,H:H, 0) - 1) / COUNT(H:H)) + 1</f>
        <v>3</v>
      </c>
      <c r="L769">
        <f t="array" ref="L769">INT(5 * (RANK(I769,I:I, 0) - 1) / COUNT(I:I)) + 1</f>
        <v>3</v>
      </c>
      <c r="M769" t="str">
        <f t="shared" si="22"/>
        <v>233</v>
      </c>
      <c r="N769" s="6" t="str">
        <f t="shared" si="23"/>
        <v>At Risk</v>
      </c>
    </row>
    <row r="770" spans="1:14" x14ac:dyDescent="0.35">
      <c r="A770">
        <v>1176</v>
      </c>
      <c r="B770" s="4">
        <v>45598.375085336993</v>
      </c>
      <c r="C770" t="s">
        <v>9</v>
      </c>
      <c r="D770" t="s">
        <v>19</v>
      </c>
      <c r="E770" t="s">
        <v>24</v>
      </c>
      <c r="F770">
        <v>4506.33</v>
      </c>
      <c r="G770">
        <f t="array" ref="G770">SalesData!$I$2 - 'RFM Table'!B770</f>
        <v>538</v>
      </c>
      <c r="H770">
        <f t="array" ref="H770">COUNTIF(A:A,A770)</f>
        <v>9</v>
      </c>
      <c r="I770">
        <f t="array" ref="I770">SUMIF(A:A,A770,F:F)</f>
        <v>30242.800000000003</v>
      </c>
      <c r="J770">
        <f t="array" ref="J770">5 - INT(5 * (RANK(G770,G:G, 1) - 1) / COUNT(G:G))</f>
        <v>2</v>
      </c>
      <c r="K770">
        <f t="array" ref="K770">INT(5 * (RANK(H770,H:H, 0) - 1) / COUNT(H:H)) + 1</f>
        <v>2</v>
      </c>
      <c r="L770">
        <f t="array" ref="L770">INT(5 * (RANK(I770,I:I, 0) - 1) / COUNT(I:I)) + 1</f>
        <v>3</v>
      </c>
      <c r="M770" t="str">
        <f t="shared" si="22"/>
        <v>223</v>
      </c>
      <c r="N770" s="6" t="str">
        <f t="shared" si="23"/>
        <v>Can't Lose Them</v>
      </c>
    </row>
    <row r="771" spans="1:14" x14ac:dyDescent="0.35">
      <c r="A771">
        <v>1390</v>
      </c>
      <c r="B771" s="4">
        <v>45598.375085336993</v>
      </c>
      <c r="C771" t="s">
        <v>10</v>
      </c>
      <c r="D771" t="s">
        <v>16</v>
      </c>
      <c r="E771" t="s">
        <v>24</v>
      </c>
      <c r="F771">
        <v>3072.22</v>
      </c>
      <c r="G771">
        <f t="array" ref="G771">SalesData!$I$2 - 'RFM Table'!B771</f>
        <v>538</v>
      </c>
      <c r="H771">
        <f t="array" ref="H771">COUNTIF(A:A,A771)</f>
        <v>8</v>
      </c>
      <c r="I771">
        <f t="array" ref="I771">SUMIF(A:A,A771,F:F)</f>
        <v>37946.1</v>
      </c>
      <c r="J771">
        <f t="array" ref="J771">5 - INT(5 * (RANK(G771,G:G, 1) - 1) / COUNT(G:G))</f>
        <v>2</v>
      </c>
      <c r="K771">
        <f t="array" ref="K771">INT(5 * (RANK(H771,H:H, 0) - 1) / COUNT(H:H)) + 1</f>
        <v>3</v>
      </c>
      <c r="L771">
        <f t="array" ref="L771">INT(5 * (RANK(I771,I:I, 0) - 1) / COUNT(I:I)) + 1</f>
        <v>2</v>
      </c>
      <c r="M771" t="str">
        <f t="shared" ref="M771:M834" si="24">J771 &amp; K771 &amp; L771</f>
        <v>232</v>
      </c>
      <c r="N771" s="6" t="str">
        <f t="shared" ref="N771:N834" si="25">IF(AND(J771&gt;=4,K771&lt;=2),"New Customers",
IF(AND(J771&lt;=2,K771&gt;=3,L771&gt;=3),"At Risk",
IF(AND(J771&lt;=2,K771&lt;=2,L771&gt;=3),"Can't Lose Them",
IF(AND(J771&lt;=2,K771&lt;=2,L771&lt;=2),"Lost",
"Others"))))</f>
        <v>Others</v>
      </c>
    </row>
    <row r="772" spans="1:14" x14ac:dyDescent="0.35">
      <c r="A772">
        <v>1156</v>
      </c>
      <c r="B772" s="4">
        <v>45598.375085336993</v>
      </c>
      <c r="C772" t="s">
        <v>8</v>
      </c>
      <c r="D772" t="s">
        <v>17</v>
      </c>
      <c r="E772" t="s">
        <v>23</v>
      </c>
      <c r="F772">
        <v>7387.06</v>
      </c>
      <c r="G772">
        <f t="array" ref="G772">SalesData!$I$2 - 'RFM Table'!B772</f>
        <v>538</v>
      </c>
      <c r="H772">
        <f t="array" ref="H772">COUNTIF(A:A,A772)</f>
        <v>8</v>
      </c>
      <c r="I772">
        <f t="array" ref="I772">SUMIF(A:A,A772,F:F)</f>
        <v>43799.990000000005</v>
      </c>
      <c r="J772">
        <f t="array" ref="J772">5 - INT(5 * (RANK(G772,G:G, 1) - 1) / COUNT(G:G))</f>
        <v>2</v>
      </c>
      <c r="K772">
        <f t="array" ref="K772">INT(5 * (RANK(H772,H:H, 0) - 1) / COUNT(H:H)) + 1</f>
        <v>3</v>
      </c>
      <c r="L772">
        <f t="array" ref="L772">INT(5 * (RANK(I772,I:I, 0) - 1) / COUNT(I:I)) + 1</f>
        <v>2</v>
      </c>
      <c r="M772" t="str">
        <f t="shared" si="24"/>
        <v>232</v>
      </c>
      <c r="N772" s="6" t="str">
        <f t="shared" si="25"/>
        <v>Others</v>
      </c>
    </row>
    <row r="773" spans="1:14" x14ac:dyDescent="0.35">
      <c r="A773">
        <v>1395</v>
      </c>
      <c r="B773" s="4">
        <v>45598.375085336993</v>
      </c>
      <c r="C773" t="s">
        <v>12</v>
      </c>
      <c r="D773" t="s">
        <v>19</v>
      </c>
      <c r="E773" t="s">
        <v>23</v>
      </c>
      <c r="F773">
        <v>5677.59</v>
      </c>
      <c r="G773">
        <f t="array" ref="G773">SalesData!$I$2 - 'RFM Table'!B773</f>
        <v>538</v>
      </c>
      <c r="H773">
        <f t="array" ref="H773">COUNTIF(A:A,A773)</f>
        <v>7</v>
      </c>
      <c r="I773">
        <f t="array" ref="I773">SUMIF(A:A,A773,F:F)</f>
        <v>36778.530000000006</v>
      </c>
      <c r="J773">
        <f t="array" ref="J773">5 - INT(5 * (RANK(G773,G:G, 1) - 1) / COUNT(G:G))</f>
        <v>2</v>
      </c>
      <c r="K773">
        <f t="array" ref="K773">INT(5 * (RANK(H773,H:H, 0) - 1) / COUNT(H:H)) + 1</f>
        <v>4</v>
      </c>
      <c r="L773">
        <f t="array" ref="L773">INT(5 * (RANK(I773,I:I, 0) - 1) / COUNT(I:I)) + 1</f>
        <v>3</v>
      </c>
      <c r="M773" t="str">
        <f t="shared" si="24"/>
        <v>243</v>
      </c>
      <c r="N773" s="6" t="str">
        <f t="shared" si="25"/>
        <v>At Risk</v>
      </c>
    </row>
    <row r="774" spans="1:14" x14ac:dyDescent="0.35">
      <c r="A774">
        <v>1080</v>
      </c>
      <c r="B774" s="4">
        <v>45599.375085336993</v>
      </c>
      <c r="C774" t="s">
        <v>7</v>
      </c>
      <c r="D774" t="s">
        <v>20</v>
      </c>
      <c r="E774" t="s">
        <v>23</v>
      </c>
      <c r="F774">
        <v>7869.43</v>
      </c>
      <c r="G774">
        <f t="array" ref="G774">SalesData!$I$2 - 'RFM Table'!B774</f>
        <v>537</v>
      </c>
      <c r="H774">
        <f t="array" ref="H774">COUNTIF(A:A,A774)</f>
        <v>7</v>
      </c>
      <c r="I774">
        <f t="array" ref="I774">SUMIF(A:A,A774,F:F)</f>
        <v>28511.58</v>
      </c>
      <c r="J774">
        <f t="array" ref="J774">5 - INT(5 * (RANK(G774,G:G, 1) - 1) / COUNT(G:G))</f>
        <v>2</v>
      </c>
      <c r="K774">
        <f t="array" ref="K774">INT(5 * (RANK(H774,H:H, 0) - 1) / COUNT(H:H)) + 1</f>
        <v>4</v>
      </c>
      <c r="L774">
        <f t="array" ref="L774">INT(5 * (RANK(I774,I:I, 0) - 1) / COUNT(I:I)) + 1</f>
        <v>4</v>
      </c>
      <c r="M774" t="str">
        <f t="shared" si="24"/>
        <v>244</v>
      </c>
      <c r="N774" s="6" t="str">
        <f t="shared" si="25"/>
        <v>At Risk</v>
      </c>
    </row>
    <row r="775" spans="1:14" x14ac:dyDescent="0.35">
      <c r="A775">
        <v>1153</v>
      </c>
      <c r="B775" s="4">
        <v>45599.375085336993</v>
      </c>
      <c r="C775" t="s">
        <v>14</v>
      </c>
      <c r="D775" t="s">
        <v>16</v>
      </c>
      <c r="E775" t="s">
        <v>23</v>
      </c>
      <c r="F775">
        <v>1905.17</v>
      </c>
      <c r="G775">
        <f t="array" ref="G775">SalesData!$I$2 - 'RFM Table'!B775</f>
        <v>537</v>
      </c>
      <c r="H775">
        <f t="array" ref="H775">COUNTIF(A:A,A775)</f>
        <v>12</v>
      </c>
      <c r="I775">
        <f t="array" ref="I775">SUMIF(A:A,A775,F:F)</f>
        <v>42146.06</v>
      </c>
      <c r="J775">
        <f t="array" ref="J775">5 - INT(5 * (RANK(G775,G:G, 1) - 1) / COUNT(G:G))</f>
        <v>2</v>
      </c>
      <c r="K775">
        <f t="array" ref="K775">INT(5 * (RANK(H775,H:H, 0) - 1) / COUNT(H:H)) + 1</f>
        <v>1</v>
      </c>
      <c r="L775">
        <f t="array" ref="L775">INT(5 * (RANK(I775,I:I, 0) - 1) / COUNT(I:I)) + 1</f>
        <v>2</v>
      </c>
      <c r="M775" t="str">
        <f t="shared" si="24"/>
        <v>212</v>
      </c>
      <c r="N775" s="6" t="str">
        <f t="shared" si="25"/>
        <v>Lost</v>
      </c>
    </row>
    <row r="776" spans="1:14" x14ac:dyDescent="0.35">
      <c r="A776">
        <v>1110</v>
      </c>
      <c r="B776" s="4">
        <v>45599.375085336993</v>
      </c>
      <c r="C776" t="s">
        <v>10</v>
      </c>
      <c r="D776" t="s">
        <v>17</v>
      </c>
      <c r="E776" t="s">
        <v>24</v>
      </c>
      <c r="F776">
        <v>6906.03</v>
      </c>
      <c r="G776">
        <f t="array" ref="G776">SalesData!$I$2 - 'RFM Table'!B776</f>
        <v>537</v>
      </c>
      <c r="H776">
        <f t="array" ref="H776">COUNTIF(A:A,A776)</f>
        <v>13</v>
      </c>
      <c r="I776">
        <f t="array" ref="I776">SUMIF(A:A,A776,F:F)</f>
        <v>72511.88</v>
      </c>
      <c r="J776">
        <f t="array" ref="J776">5 - INT(5 * (RANK(G776,G:G, 1) - 1) / COUNT(G:G))</f>
        <v>2</v>
      </c>
      <c r="K776">
        <f t="array" ref="K776">INT(5 * (RANK(H776,H:H, 0) - 1) / COUNT(H:H)) + 1</f>
        <v>1</v>
      </c>
      <c r="L776">
        <f t="array" ref="L776">INT(5 * (RANK(I776,I:I, 0) - 1) / COUNT(I:I)) + 1</f>
        <v>1</v>
      </c>
      <c r="M776" t="str">
        <f t="shared" si="24"/>
        <v>211</v>
      </c>
      <c r="N776" s="6" t="str">
        <f t="shared" si="25"/>
        <v>Lost</v>
      </c>
    </row>
    <row r="777" spans="1:14" x14ac:dyDescent="0.35">
      <c r="A777">
        <v>1176</v>
      </c>
      <c r="B777" s="4">
        <v>45599.375085336993</v>
      </c>
      <c r="C777" t="s">
        <v>10</v>
      </c>
      <c r="D777" t="s">
        <v>16</v>
      </c>
      <c r="E777" t="s">
        <v>25</v>
      </c>
      <c r="F777">
        <v>1297.0899999999999</v>
      </c>
      <c r="G777">
        <f t="array" ref="G777">SalesData!$I$2 - 'RFM Table'!B777</f>
        <v>537</v>
      </c>
      <c r="H777">
        <f t="array" ref="H777">COUNTIF(A:A,A777)</f>
        <v>9</v>
      </c>
      <c r="I777">
        <f t="array" ref="I777">SUMIF(A:A,A777,F:F)</f>
        <v>30242.800000000003</v>
      </c>
      <c r="J777">
        <f t="array" ref="J777">5 - INT(5 * (RANK(G777,G:G, 1) - 1) / COUNT(G:G))</f>
        <v>2</v>
      </c>
      <c r="K777">
        <f t="array" ref="K777">INT(5 * (RANK(H777,H:H, 0) - 1) / COUNT(H:H)) + 1</f>
        <v>2</v>
      </c>
      <c r="L777">
        <f t="array" ref="L777">INT(5 * (RANK(I777,I:I, 0) - 1) / COUNT(I:I)) + 1</f>
        <v>3</v>
      </c>
      <c r="M777" t="str">
        <f t="shared" si="24"/>
        <v>223</v>
      </c>
      <c r="N777" s="6" t="str">
        <f t="shared" si="25"/>
        <v>Can't Lose Them</v>
      </c>
    </row>
    <row r="778" spans="1:14" x14ac:dyDescent="0.35">
      <c r="A778">
        <v>1226</v>
      </c>
      <c r="B778" s="4">
        <v>45599.375085336993</v>
      </c>
      <c r="C778" t="s">
        <v>15</v>
      </c>
      <c r="D778" t="s">
        <v>20</v>
      </c>
      <c r="E778" t="s">
        <v>23</v>
      </c>
      <c r="F778">
        <v>914.2</v>
      </c>
      <c r="G778">
        <f t="array" ref="G778">SalesData!$I$2 - 'RFM Table'!B778</f>
        <v>537</v>
      </c>
      <c r="H778">
        <f t="array" ref="H778">COUNTIF(A:A,A778)</f>
        <v>13</v>
      </c>
      <c r="I778">
        <f t="array" ref="I778">SUMIF(A:A,A778,F:F)</f>
        <v>49471.75</v>
      </c>
      <c r="J778">
        <f t="array" ref="J778">5 - INT(5 * (RANK(G778,G:G, 1) - 1) / COUNT(G:G))</f>
        <v>2</v>
      </c>
      <c r="K778">
        <f t="array" ref="K778">INT(5 * (RANK(H778,H:H, 0) - 1) / COUNT(H:H)) + 1</f>
        <v>1</v>
      </c>
      <c r="L778">
        <f t="array" ref="L778">INT(5 * (RANK(I778,I:I, 0) - 1) / COUNT(I:I)) + 1</f>
        <v>1</v>
      </c>
      <c r="M778" t="str">
        <f t="shared" si="24"/>
        <v>211</v>
      </c>
      <c r="N778" s="6" t="str">
        <f t="shared" si="25"/>
        <v>Lost</v>
      </c>
    </row>
    <row r="779" spans="1:14" x14ac:dyDescent="0.35">
      <c r="A779">
        <v>1144</v>
      </c>
      <c r="B779" s="4">
        <v>45599.375085336993</v>
      </c>
      <c r="C779" t="s">
        <v>10</v>
      </c>
      <c r="D779" t="s">
        <v>22</v>
      </c>
      <c r="E779" t="s">
        <v>25</v>
      </c>
      <c r="F779">
        <v>6277.5</v>
      </c>
      <c r="G779">
        <f t="array" ref="G779">SalesData!$I$2 - 'RFM Table'!B779</f>
        <v>537</v>
      </c>
      <c r="H779">
        <f t="array" ref="H779">COUNTIF(A:A,A779)</f>
        <v>11</v>
      </c>
      <c r="I779">
        <f t="array" ref="I779">SUMIF(A:A,A779,F:F)</f>
        <v>62038.55</v>
      </c>
      <c r="J779">
        <f t="array" ref="J779">5 - INT(5 * (RANK(G779,G:G, 1) - 1) / COUNT(G:G))</f>
        <v>2</v>
      </c>
      <c r="K779">
        <f t="array" ref="K779">INT(5 * (RANK(H779,H:H, 0) - 1) / COUNT(H:H)) + 1</f>
        <v>1</v>
      </c>
      <c r="L779">
        <f t="array" ref="L779">INT(5 * (RANK(I779,I:I, 0) - 1) / COUNT(I:I)) + 1</f>
        <v>1</v>
      </c>
      <c r="M779" t="str">
        <f t="shared" si="24"/>
        <v>211</v>
      </c>
      <c r="N779" s="6" t="str">
        <f t="shared" si="25"/>
        <v>Lost</v>
      </c>
    </row>
    <row r="780" spans="1:14" x14ac:dyDescent="0.35">
      <c r="A780">
        <v>1007</v>
      </c>
      <c r="B780" s="4">
        <v>45599.375085336993</v>
      </c>
      <c r="C780" t="s">
        <v>15</v>
      </c>
      <c r="D780" t="s">
        <v>21</v>
      </c>
      <c r="E780" t="s">
        <v>25</v>
      </c>
      <c r="F780">
        <v>385.8</v>
      </c>
      <c r="G780">
        <f t="array" ref="G780">SalesData!$I$2 - 'RFM Table'!B780</f>
        <v>537</v>
      </c>
      <c r="H780">
        <f t="array" ref="H780">COUNTIF(A:A,A780)</f>
        <v>9</v>
      </c>
      <c r="I780">
        <f t="array" ref="I780">SUMIF(A:A,A780,F:F)</f>
        <v>47571.369999999995</v>
      </c>
      <c r="J780">
        <f t="array" ref="J780">5 - INT(5 * (RANK(G780,G:G, 1) - 1) / COUNT(G:G))</f>
        <v>2</v>
      </c>
      <c r="K780">
        <f t="array" ref="K780">INT(5 * (RANK(H780,H:H, 0) - 1) / COUNT(H:H)) + 1</f>
        <v>2</v>
      </c>
      <c r="L780">
        <f t="array" ref="L780">INT(5 * (RANK(I780,I:I, 0) - 1) / COUNT(I:I)) + 1</f>
        <v>1</v>
      </c>
      <c r="M780" t="str">
        <f t="shared" si="24"/>
        <v>221</v>
      </c>
      <c r="N780" s="6" t="str">
        <f t="shared" si="25"/>
        <v>Lost</v>
      </c>
    </row>
    <row r="781" spans="1:14" x14ac:dyDescent="0.35">
      <c r="A781">
        <v>1094</v>
      </c>
      <c r="B781" s="4">
        <v>45600.375085336993</v>
      </c>
      <c r="C781" t="s">
        <v>9</v>
      </c>
      <c r="D781" t="s">
        <v>20</v>
      </c>
      <c r="E781" t="s">
        <v>25</v>
      </c>
      <c r="F781">
        <v>864.76</v>
      </c>
      <c r="G781">
        <f t="array" ref="G781">SalesData!$I$2 - 'RFM Table'!B781</f>
        <v>536</v>
      </c>
      <c r="H781">
        <f t="array" ref="H781">COUNTIF(A:A,A781)</f>
        <v>10</v>
      </c>
      <c r="I781">
        <f t="array" ref="I781">SUMIF(A:A,A781,F:F)</f>
        <v>41704.25</v>
      </c>
      <c r="J781">
        <f t="array" ref="J781">5 - INT(5 * (RANK(G781,G:G, 1) - 1) / COUNT(G:G))</f>
        <v>2</v>
      </c>
      <c r="K781">
        <f t="array" ref="K781">INT(5 * (RANK(H781,H:H, 0) - 1) / COUNT(H:H)) + 1</f>
        <v>2</v>
      </c>
      <c r="L781">
        <f t="array" ref="L781">INT(5 * (RANK(I781,I:I, 0) - 1) / COUNT(I:I)) + 1</f>
        <v>2</v>
      </c>
      <c r="M781" t="str">
        <f t="shared" si="24"/>
        <v>222</v>
      </c>
      <c r="N781" s="6" t="str">
        <f t="shared" si="25"/>
        <v>Lost</v>
      </c>
    </row>
    <row r="782" spans="1:14" x14ac:dyDescent="0.35">
      <c r="A782">
        <v>1006</v>
      </c>
      <c r="B782" s="4">
        <v>45600.375085336993</v>
      </c>
      <c r="C782" t="s">
        <v>8</v>
      </c>
      <c r="D782" t="s">
        <v>21</v>
      </c>
      <c r="E782" t="s">
        <v>24</v>
      </c>
      <c r="F782">
        <v>3610.47</v>
      </c>
      <c r="G782">
        <f t="array" ref="G782">SalesData!$I$2 - 'RFM Table'!B782</f>
        <v>536</v>
      </c>
      <c r="H782">
        <f t="array" ref="H782">COUNTIF(A:A,A782)</f>
        <v>9</v>
      </c>
      <c r="I782">
        <f t="array" ref="I782">SUMIF(A:A,A782,F:F)</f>
        <v>44812.989999999991</v>
      </c>
      <c r="J782">
        <f t="array" ref="J782">5 - INT(5 * (RANK(G782,G:G, 1) - 1) / COUNT(G:G))</f>
        <v>2</v>
      </c>
      <c r="K782">
        <f t="array" ref="K782">INT(5 * (RANK(H782,H:H, 0) - 1) / COUNT(H:H)) + 1</f>
        <v>2</v>
      </c>
      <c r="L782">
        <f t="array" ref="L782">INT(5 * (RANK(I782,I:I, 0) - 1) / COUNT(I:I)) + 1</f>
        <v>2</v>
      </c>
      <c r="M782" t="str">
        <f t="shared" si="24"/>
        <v>222</v>
      </c>
      <c r="N782" s="6" t="str">
        <f t="shared" si="25"/>
        <v>Lost</v>
      </c>
    </row>
    <row r="783" spans="1:14" x14ac:dyDescent="0.35">
      <c r="A783">
        <v>1171</v>
      </c>
      <c r="B783" s="4">
        <v>45600.375085336993</v>
      </c>
      <c r="C783" t="s">
        <v>10</v>
      </c>
      <c r="D783" t="s">
        <v>17</v>
      </c>
      <c r="E783" t="s">
        <v>24</v>
      </c>
      <c r="F783">
        <v>2094.5500000000002</v>
      </c>
      <c r="G783">
        <f t="array" ref="G783">SalesData!$I$2 - 'RFM Table'!B783</f>
        <v>536</v>
      </c>
      <c r="H783">
        <f t="array" ref="H783">COUNTIF(A:A,A783)</f>
        <v>9</v>
      </c>
      <c r="I783">
        <f t="array" ref="I783">SUMIF(A:A,A783,F:F)</f>
        <v>40942.560000000005</v>
      </c>
      <c r="J783">
        <f t="array" ref="J783">5 - INT(5 * (RANK(G783,G:G, 1) - 1) / COUNT(G:G))</f>
        <v>2</v>
      </c>
      <c r="K783">
        <f t="array" ref="K783">INT(5 * (RANK(H783,H:H, 0) - 1) / COUNT(H:H)) + 1</f>
        <v>2</v>
      </c>
      <c r="L783">
        <f t="array" ref="L783">INT(5 * (RANK(I783,I:I, 0) - 1) / COUNT(I:I)) + 1</f>
        <v>2</v>
      </c>
      <c r="M783" t="str">
        <f t="shared" si="24"/>
        <v>222</v>
      </c>
      <c r="N783" s="6" t="str">
        <f t="shared" si="25"/>
        <v>Lost</v>
      </c>
    </row>
    <row r="784" spans="1:14" x14ac:dyDescent="0.35">
      <c r="A784">
        <v>1341</v>
      </c>
      <c r="B784" s="4">
        <v>45600.375085336993</v>
      </c>
      <c r="C784" t="s">
        <v>13</v>
      </c>
      <c r="D784" t="s">
        <v>17</v>
      </c>
      <c r="E784" t="s">
        <v>24</v>
      </c>
      <c r="F784">
        <v>3154.06</v>
      </c>
      <c r="G784">
        <f t="array" ref="G784">SalesData!$I$2 - 'RFM Table'!B784</f>
        <v>536</v>
      </c>
      <c r="H784">
        <f t="array" ref="H784">COUNTIF(A:A,A784)</f>
        <v>11</v>
      </c>
      <c r="I784">
        <f t="array" ref="I784">SUMIF(A:A,A784,F:F)</f>
        <v>45526.78</v>
      </c>
      <c r="J784">
        <f t="array" ref="J784">5 - INT(5 * (RANK(G784,G:G, 1) - 1) / COUNT(G:G))</f>
        <v>2</v>
      </c>
      <c r="K784">
        <f t="array" ref="K784">INT(5 * (RANK(H784,H:H, 0) - 1) / COUNT(H:H)) + 1</f>
        <v>1</v>
      </c>
      <c r="L784">
        <f t="array" ref="L784">INT(5 * (RANK(I784,I:I, 0) - 1) / COUNT(I:I)) + 1</f>
        <v>1</v>
      </c>
      <c r="M784" t="str">
        <f t="shared" si="24"/>
        <v>211</v>
      </c>
      <c r="N784" s="6" t="str">
        <f t="shared" si="25"/>
        <v>Lost</v>
      </c>
    </row>
    <row r="785" spans="1:14" x14ac:dyDescent="0.35">
      <c r="A785">
        <v>1191</v>
      </c>
      <c r="B785" s="4">
        <v>45600.375085336993</v>
      </c>
      <c r="C785" t="s">
        <v>9</v>
      </c>
      <c r="D785" t="s">
        <v>21</v>
      </c>
      <c r="E785" t="s">
        <v>24</v>
      </c>
      <c r="F785">
        <v>3344.35</v>
      </c>
      <c r="G785">
        <f t="array" ref="G785">SalesData!$I$2 - 'RFM Table'!B785</f>
        <v>536</v>
      </c>
      <c r="H785">
        <f t="array" ref="H785">COUNTIF(A:A,A785)</f>
        <v>11</v>
      </c>
      <c r="I785">
        <f t="array" ref="I785">SUMIF(A:A,A785,F:F)</f>
        <v>30527.53</v>
      </c>
      <c r="J785">
        <f t="array" ref="J785">5 - INT(5 * (RANK(G785,G:G, 1) - 1) / COUNT(G:G))</f>
        <v>2</v>
      </c>
      <c r="K785">
        <f t="array" ref="K785">INT(5 * (RANK(H785,H:H, 0) - 1) / COUNT(H:H)) + 1</f>
        <v>1</v>
      </c>
      <c r="L785">
        <f t="array" ref="L785">INT(5 * (RANK(I785,I:I, 0) - 1) / COUNT(I:I)) + 1</f>
        <v>3</v>
      </c>
      <c r="M785" t="str">
        <f t="shared" si="24"/>
        <v>213</v>
      </c>
      <c r="N785" s="6" t="str">
        <f t="shared" si="25"/>
        <v>Can't Lose Them</v>
      </c>
    </row>
    <row r="786" spans="1:14" x14ac:dyDescent="0.35">
      <c r="A786">
        <v>1120</v>
      </c>
      <c r="B786" s="4">
        <v>45600.375085336993</v>
      </c>
      <c r="C786" t="s">
        <v>12</v>
      </c>
      <c r="D786" t="s">
        <v>20</v>
      </c>
      <c r="E786" t="s">
        <v>24</v>
      </c>
      <c r="F786">
        <v>752.62</v>
      </c>
      <c r="G786">
        <f t="array" ref="G786">SalesData!$I$2 - 'RFM Table'!B786</f>
        <v>536</v>
      </c>
      <c r="H786">
        <f t="array" ref="H786">COUNTIF(A:A,A786)</f>
        <v>7</v>
      </c>
      <c r="I786">
        <f t="array" ref="I786">SUMIF(A:A,A786,F:F)</f>
        <v>12366.910000000002</v>
      </c>
      <c r="J786">
        <f t="array" ref="J786">5 - INT(5 * (RANK(G786,G:G, 1) - 1) / COUNT(G:G))</f>
        <v>2</v>
      </c>
      <c r="K786">
        <f t="array" ref="K786">INT(5 * (RANK(H786,H:H, 0) - 1) / COUNT(H:H)) + 1</f>
        <v>4</v>
      </c>
      <c r="L786">
        <f t="array" ref="L786">INT(5 * (RANK(I786,I:I, 0) - 1) / COUNT(I:I)) + 1</f>
        <v>5</v>
      </c>
      <c r="M786" t="str">
        <f t="shared" si="24"/>
        <v>245</v>
      </c>
      <c r="N786" s="6" t="str">
        <f t="shared" si="25"/>
        <v>At Risk</v>
      </c>
    </row>
    <row r="787" spans="1:14" x14ac:dyDescent="0.35">
      <c r="A787">
        <v>1266</v>
      </c>
      <c r="B787" s="4">
        <v>45601.375085336993</v>
      </c>
      <c r="C787" t="s">
        <v>12</v>
      </c>
      <c r="D787" t="s">
        <v>22</v>
      </c>
      <c r="E787" t="s">
        <v>24</v>
      </c>
      <c r="F787">
        <v>7578.52</v>
      </c>
      <c r="G787">
        <f t="array" ref="G787">SalesData!$I$2 - 'RFM Table'!B787</f>
        <v>535</v>
      </c>
      <c r="H787">
        <f t="array" ref="H787">COUNTIF(A:A,A787)</f>
        <v>9</v>
      </c>
      <c r="I787">
        <f t="array" ref="I787">SUMIF(A:A,A787,F:F)</f>
        <v>44679.94</v>
      </c>
      <c r="J787">
        <f t="array" ref="J787">5 - INT(5 * (RANK(G787,G:G, 1) - 1) / COUNT(G:G))</f>
        <v>2</v>
      </c>
      <c r="K787">
        <f t="array" ref="K787">INT(5 * (RANK(H787,H:H, 0) - 1) / COUNT(H:H)) + 1</f>
        <v>2</v>
      </c>
      <c r="L787">
        <f t="array" ref="L787">INT(5 * (RANK(I787,I:I, 0) - 1) / COUNT(I:I)) + 1</f>
        <v>2</v>
      </c>
      <c r="M787" t="str">
        <f t="shared" si="24"/>
        <v>222</v>
      </c>
      <c r="N787" s="6" t="str">
        <f t="shared" si="25"/>
        <v>Lost</v>
      </c>
    </row>
    <row r="788" spans="1:14" x14ac:dyDescent="0.35">
      <c r="A788">
        <v>1372</v>
      </c>
      <c r="B788" s="4">
        <v>45601.375085336993</v>
      </c>
      <c r="C788" t="s">
        <v>15</v>
      </c>
      <c r="D788" t="s">
        <v>20</v>
      </c>
      <c r="E788" t="s">
        <v>25</v>
      </c>
      <c r="F788">
        <v>4695.47</v>
      </c>
      <c r="G788">
        <f t="array" ref="G788">SalesData!$I$2 - 'RFM Table'!B788</f>
        <v>535</v>
      </c>
      <c r="H788">
        <f t="array" ref="H788">COUNTIF(A:A,A788)</f>
        <v>9</v>
      </c>
      <c r="I788">
        <f t="array" ref="I788">SUMIF(A:A,A788,F:F)</f>
        <v>32843.11</v>
      </c>
      <c r="J788">
        <f t="array" ref="J788">5 - INT(5 * (RANK(G788,G:G, 1) - 1) / COUNT(G:G))</f>
        <v>2</v>
      </c>
      <c r="K788">
        <f t="array" ref="K788">INT(5 * (RANK(H788,H:H, 0) - 1) / COUNT(H:H)) + 1</f>
        <v>2</v>
      </c>
      <c r="L788">
        <f t="array" ref="L788">INT(5 * (RANK(I788,I:I, 0) - 1) / COUNT(I:I)) + 1</f>
        <v>3</v>
      </c>
      <c r="M788" t="str">
        <f t="shared" si="24"/>
        <v>223</v>
      </c>
      <c r="N788" s="6" t="str">
        <f t="shared" si="25"/>
        <v>Can't Lose Them</v>
      </c>
    </row>
    <row r="789" spans="1:14" x14ac:dyDescent="0.35">
      <c r="A789">
        <v>1300</v>
      </c>
      <c r="B789" s="4">
        <v>45601.375085336993</v>
      </c>
      <c r="C789" t="s">
        <v>11</v>
      </c>
      <c r="D789" t="s">
        <v>19</v>
      </c>
      <c r="E789" t="s">
        <v>24</v>
      </c>
      <c r="F789">
        <v>1993.03</v>
      </c>
      <c r="G789">
        <f t="array" ref="G789">SalesData!$I$2 - 'RFM Table'!B789</f>
        <v>535</v>
      </c>
      <c r="H789">
        <f t="array" ref="H789">COUNTIF(A:A,A789)</f>
        <v>9</v>
      </c>
      <c r="I789">
        <f t="array" ref="I789">SUMIF(A:A,A789,F:F)</f>
        <v>34007.68</v>
      </c>
      <c r="J789">
        <f t="array" ref="J789">5 - INT(5 * (RANK(G789,G:G, 1) - 1) / COUNT(G:G))</f>
        <v>2</v>
      </c>
      <c r="K789">
        <f t="array" ref="K789">INT(5 * (RANK(H789,H:H, 0) - 1) / COUNT(H:H)) + 1</f>
        <v>2</v>
      </c>
      <c r="L789">
        <f t="array" ref="L789">INT(5 * (RANK(I789,I:I, 0) - 1) / COUNT(I:I)) + 1</f>
        <v>3</v>
      </c>
      <c r="M789" t="str">
        <f t="shared" si="24"/>
        <v>223</v>
      </c>
      <c r="N789" s="6" t="str">
        <f t="shared" si="25"/>
        <v>Can't Lose Them</v>
      </c>
    </row>
    <row r="790" spans="1:14" x14ac:dyDescent="0.35">
      <c r="A790">
        <v>1062</v>
      </c>
      <c r="B790" s="4">
        <v>45601.375085336993</v>
      </c>
      <c r="C790" t="s">
        <v>8</v>
      </c>
      <c r="D790" t="s">
        <v>18</v>
      </c>
      <c r="E790" t="s">
        <v>25</v>
      </c>
      <c r="F790">
        <v>4892.6499999999996</v>
      </c>
      <c r="G790">
        <f t="array" ref="G790">SalesData!$I$2 - 'RFM Table'!B790</f>
        <v>535</v>
      </c>
      <c r="H790">
        <f t="array" ref="H790">COUNTIF(A:A,A790)</f>
        <v>11</v>
      </c>
      <c r="I790">
        <f t="array" ref="I790">SUMIF(A:A,A790,F:F)</f>
        <v>59377.640000000014</v>
      </c>
      <c r="J790">
        <f t="array" ref="J790">5 - INT(5 * (RANK(G790,G:G, 1) - 1) / COUNT(G:G))</f>
        <v>2</v>
      </c>
      <c r="K790">
        <f t="array" ref="K790">INT(5 * (RANK(H790,H:H, 0) - 1) / COUNT(H:H)) + 1</f>
        <v>1</v>
      </c>
      <c r="L790">
        <f t="array" ref="L790">INT(5 * (RANK(I790,I:I, 0) - 1) / COUNT(I:I)) + 1</f>
        <v>1</v>
      </c>
      <c r="M790" t="str">
        <f t="shared" si="24"/>
        <v>211</v>
      </c>
      <c r="N790" s="6" t="str">
        <f t="shared" si="25"/>
        <v>Lost</v>
      </c>
    </row>
    <row r="791" spans="1:14" x14ac:dyDescent="0.35">
      <c r="A791">
        <v>1237</v>
      </c>
      <c r="B791" s="4">
        <v>45602.375085336993</v>
      </c>
      <c r="C791" t="s">
        <v>7</v>
      </c>
      <c r="D791" t="s">
        <v>16</v>
      </c>
      <c r="E791" t="s">
        <v>24</v>
      </c>
      <c r="F791">
        <v>6439.28</v>
      </c>
      <c r="G791">
        <f t="array" ref="G791">SalesData!$I$2 - 'RFM Table'!B791</f>
        <v>534</v>
      </c>
      <c r="H791">
        <f t="array" ref="H791">COUNTIF(A:A,A791)</f>
        <v>6</v>
      </c>
      <c r="I791">
        <f t="array" ref="I791">SUMIF(A:A,A791,F:F)</f>
        <v>33607.29</v>
      </c>
      <c r="J791">
        <f t="array" ref="J791">5 - INT(5 * (RANK(G791,G:G, 1) - 1) / COUNT(G:G))</f>
        <v>2</v>
      </c>
      <c r="K791">
        <f t="array" ref="K791">INT(5 * (RANK(H791,H:H, 0) - 1) / COUNT(H:H)) + 1</f>
        <v>4</v>
      </c>
      <c r="L791">
        <f t="array" ref="L791">INT(5 * (RANK(I791,I:I, 0) - 1) / COUNT(I:I)) + 1</f>
        <v>3</v>
      </c>
      <c r="M791" t="str">
        <f t="shared" si="24"/>
        <v>243</v>
      </c>
      <c r="N791" s="6" t="str">
        <f t="shared" si="25"/>
        <v>At Risk</v>
      </c>
    </row>
    <row r="792" spans="1:14" x14ac:dyDescent="0.35">
      <c r="A792">
        <v>1028</v>
      </c>
      <c r="B792" s="4">
        <v>45602.375085336993</v>
      </c>
      <c r="C792" t="s">
        <v>13</v>
      </c>
      <c r="D792" t="s">
        <v>22</v>
      </c>
      <c r="E792" t="s">
        <v>25</v>
      </c>
      <c r="F792">
        <v>1339.8</v>
      </c>
      <c r="G792">
        <f t="array" ref="G792">SalesData!$I$2 - 'RFM Table'!B792</f>
        <v>534</v>
      </c>
      <c r="H792">
        <f t="array" ref="H792">COUNTIF(A:A,A792)</f>
        <v>10</v>
      </c>
      <c r="I792">
        <f t="array" ref="I792">SUMIF(A:A,A792,F:F)</f>
        <v>37984.589999999997</v>
      </c>
      <c r="J792">
        <f t="array" ref="J792">5 - INT(5 * (RANK(G792,G:G, 1) - 1) / COUNT(G:G))</f>
        <v>2</v>
      </c>
      <c r="K792">
        <f t="array" ref="K792">INT(5 * (RANK(H792,H:H, 0) - 1) / COUNT(H:H)) + 1</f>
        <v>2</v>
      </c>
      <c r="L792">
        <f t="array" ref="L792">INT(5 * (RANK(I792,I:I, 0) - 1) / COUNT(I:I)) + 1</f>
        <v>2</v>
      </c>
      <c r="M792" t="str">
        <f t="shared" si="24"/>
        <v>222</v>
      </c>
      <c r="N792" s="6" t="str">
        <f t="shared" si="25"/>
        <v>Lost</v>
      </c>
    </row>
    <row r="793" spans="1:14" x14ac:dyDescent="0.35">
      <c r="A793">
        <v>1295</v>
      </c>
      <c r="B793" s="4">
        <v>45602.375085336993</v>
      </c>
      <c r="C793" t="s">
        <v>8</v>
      </c>
      <c r="D793" t="s">
        <v>22</v>
      </c>
      <c r="E793" t="s">
        <v>25</v>
      </c>
      <c r="F793">
        <v>3106.78</v>
      </c>
      <c r="G793">
        <f t="array" ref="G793">SalesData!$I$2 - 'RFM Table'!B793</f>
        <v>534</v>
      </c>
      <c r="H793">
        <f t="array" ref="H793">COUNTIF(A:A,A793)</f>
        <v>6</v>
      </c>
      <c r="I793">
        <f t="array" ref="I793">SUMIF(A:A,A793,F:F)</f>
        <v>19844.169999999998</v>
      </c>
      <c r="J793">
        <f t="array" ref="J793">5 - INT(5 * (RANK(G793,G:G, 1) - 1) / COUNT(G:G))</f>
        <v>2</v>
      </c>
      <c r="K793">
        <f t="array" ref="K793">INT(5 * (RANK(H793,H:H, 0) - 1) / COUNT(H:H)) + 1</f>
        <v>4</v>
      </c>
      <c r="L793">
        <f t="array" ref="L793">INT(5 * (RANK(I793,I:I, 0) - 1) / COUNT(I:I)) + 1</f>
        <v>5</v>
      </c>
      <c r="M793" t="str">
        <f t="shared" si="24"/>
        <v>245</v>
      </c>
      <c r="N793" s="6" t="str">
        <f t="shared" si="25"/>
        <v>At Risk</v>
      </c>
    </row>
    <row r="794" spans="1:14" x14ac:dyDescent="0.35">
      <c r="A794">
        <v>1270</v>
      </c>
      <c r="B794" s="4">
        <v>45603.375085336993</v>
      </c>
      <c r="C794" t="s">
        <v>7</v>
      </c>
      <c r="D794" t="s">
        <v>16</v>
      </c>
      <c r="E794" t="s">
        <v>23</v>
      </c>
      <c r="F794">
        <v>1346.41</v>
      </c>
      <c r="G794">
        <f t="array" ref="G794">SalesData!$I$2 - 'RFM Table'!B794</f>
        <v>533</v>
      </c>
      <c r="H794">
        <f t="array" ref="H794">COUNTIF(A:A,A794)</f>
        <v>10</v>
      </c>
      <c r="I794">
        <f t="array" ref="I794">SUMIF(A:A,A794,F:F)</f>
        <v>34623.81</v>
      </c>
      <c r="J794">
        <f t="array" ref="J794">5 - INT(5 * (RANK(G794,G:G, 1) - 1) / COUNT(G:G))</f>
        <v>2</v>
      </c>
      <c r="K794">
        <f t="array" ref="K794">INT(5 * (RANK(H794,H:H, 0) - 1) / COUNT(H:H)) + 1</f>
        <v>2</v>
      </c>
      <c r="L794">
        <f t="array" ref="L794">INT(5 * (RANK(I794,I:I, 0) - 1) / COUNT(I:I)) + 1</f>
        <v>3</v>
      </c>
      <c r="M794" t="str">
        <f t="shared" si="24"/>
        <v>223</v>
      </c>
      <c r="N794" s="6" t="str">
        <f t="shared" si="25"/>
        <v>Can't Lose Them</v>
      </c>
    </row>
    <row r="795" spans="1:14" x14ac:dyDescent="0.35">
      <c r="A795">
        <v>1058</v>
      </c>
      <c r="B795" s="4">
        <v>45603.375085336993</v>
      </c>
      <c r="C795" t="s">
        <v>11</v>
      </c>
      <c r="D795" t="s">
        <v>22</v>
      </c>
      <c r="E795" t="s">
        <v>23</v>
      </c>
      <c r="F795">
        <v>5042.59</v>
      </c>
      <c r="G795">
        <f t="array" ref="G795">SalesData!$I$2 - 'RFM Table'!B795</f>
        <v>533</v>
      </c>
      <c r="H795">
        <f t="array" ref="H795">COUNTIF(A:A,A795)</f>
        <v>8</v>
      </c>
      <c r="I795">
        <f t="array" ref="I795">SUMIF(A:A,A795,F:F)</f>
        <v>29892.99</v>
      </c>
      <c r="J795">
        <f t="array" ref="J795">5 - INT(5 * (RANK(G795,G:G, 1) - 1) / COUNT(G:G))</f>
        <v>2</v>
      </c>
      <c r="K795">
        <f t="array" ref="K795">INT(5 * (RANK(H795,H:H, 0) - 1) / COUNT(H:H)) + 1</f>
        <v>3</v>
      </c>
      <c r="L795">
        <f t="array" ref="L795">INT(5 * (RANK(I795,I:I, 0) - 1) / COUNT(I:I)) + 1</f>
        <v>3</v>
      </c>
      <c r="M795" t="str">
        <f t="shared" si="24"/>
        <v>233</v>
      </c>
      <c r="N795" s="6" t="str">
        <f t="shared" si="25"/>
        <v>At Risk</v>
      </c>
    </row>
    <row r="796" spans="1:14" x14ac:dyDescent="0.35">
      <c r="A796">
        <v>1007</v>
      </c>
      <c r="B796" s="4">
        <v>45603.375085336993</v>
      </c>
      <c r="C796" t="s">
        <v>12</v>
      </c>
      <c r="D796" t="s">
        <v>16</v>
      </c>
      <c r="E796" t="s">
        <v>25</v>
      </c>
      <c r="F796">
        <v>5183.55</v>
      </c>
      <c r="G796">
        <f t="array" ref="G796">SalesData!$I$2 - 'RFM Table'!B796</f>
        <v>533</v>
      </c>
      <c r="H796">
        <f t="array" ref="H796">COUNTIF(A:A,A796)</f>
        <v>9</v>
      </c>
      <c r="I796">
        <f t="array" ref="I796">SUMIF(A:A,A796,F:F)</f>
        <v>47571.369999999995</v>
      </c>
      <c r="J796">
        <f t="array" ref="J796">5 - INT(5 * (RANK(G796,G:G, 1) - 1) / COUNT(G:G))</f>
        <v>2</v>
      </c>
      <c r="K796">
        <f t="array" ref="K796">INT(5 * (RANK(H796,H:H, 0) - 1) / COUNT(H:H)) + 1</f>
        <v>2</v>
      </c>
      <c r="L796">
        <f t="array" ref="L796">INT(5 * (RANK(I796,I:I, 0) - 1) / COUNT(I:I)) + 1</f>
        <v>1</v>
      </c>
      <c r="M796" t="str">
        <f t="shared" si="24"/>
        <v>221</v>
      </c>
      <c r="N796" s="6" t="str">
        <f t="shared" si="25"/>
        <v>Lost</v>
      </c>
    </row>
    <row r="797" spans="1:14" x14ac:dyDescent="0.35">
      <c r="A797">
        <v>1142</v>
      </c>
      <c r="B797" s="4">
        <v>45603.375085336993</v>
      </c>
      <c r="C797" t="s">
        <v>14</v>
      </c>
      <c r="D797" t="s">
        <v>22</v>
      </c>
      <c r="E797" t="s">
        <v>24</v>
      </c>
      <c r="F797">
        <v>4554.72</v>
      </c>
      <c r="G797">
        <f t="array" ref="G797">SalesData!$I$2 - 'RFM Table'!B797</f>
        <v>533</v>
      </c>
      <c r="H797">
        <f t="array" ref="H797">COUNTIF(A:A,A797)</f>
        <v>10</v>
      </c>
      <c r="I797">
        <f t="array" ref="I797">SUMIF(A:A,A797,F:F)</f>
        <v>45537.319999999992</v>
      </c>
      <c r="J797">
        <f t="array" ref="J797">5 - INT(5 * (RANK(G797,G:G, 1) - 1) / COUNT(G:G))</f>
        <v>2</v>
      </c>
      <c r="K797">
        <f t="array" ref="K797">INT(5 * (RANK(H797,H:H, 0) - 1) / COUNT(H:H)) + 1</f>
        <v>2</v>
      </c>
      <c r="L797">
        <f t="array" ref="L797">INT(5 * (RANK(I797,I:I, 0) - 1) / COUNT(I:I)) + 1</f>
        <v>1</v>
      </c>
      <c r="M797" t="str">
        <f t="shared" si="24"/>
        <v>221</v>
      </c>
      <c r="N797" s="6" t="str">
        <f t="shared" si="25"/>
        <v>Lost</v>
      </c>
    </row>
    <row r="798" spans="1:14" x14ac:dyDescent="0.35">
      <c r="A798">
        <v>1134</v>
      </c>
      <c r="B798" s="4">
        <v>45604.375085336993</v>
      </c>
      <c r="C798" t="s">
        <v>9</v>
      </c>
      <c r="D798" t="s">
        <v>16</v>
      </c>
      <c r="E798" t="s">
        <v>25</v>
      </c>
      <c r="F798">
        <v>5609.08</v>
      </c>
      <c r="G798">
        <f t="array" ref="G798">SalesData!$I$2 - 'RFM Table'!B798</f>
        <v>532</v>
      </c>
      <c r="H798">
        <f t="array" ref="H798">COUNTIF(A:A,A798)</f>
        <v>4</v>
      </c>
      <c r="I798">
        <f t="array" ref="I798">SUMIF(A:A,A798,F:F)</f>
        <v>11791.11</v>
      </c>
      <c r="J798">
        <f t="array" ref="J798">5 - INT(5 * (RANK(G798,G:G, 1) - 1) / COUNT(G:G))</f>
        <v>2</v>
      </c>
      <c r="K798">
        <f t="array" ref="K798">INT(5 * (RANK(H798,H:H, 0) - 1) / COUNT(H:H)) + 1</f>
        <v>5</v>
      </c>
      <c r="L798">
        <f t="array" ref="L798">INT(5 * (RANK(I798,I:I, 0) - 1) / COUNT(I:I)) + 1</f>
        <v>5</v>
      </c>
      <c r="M798" t="str">
        <f t="shared" si="24"/>
        <v>255</v>
      </c>
      <c r="N798" s="6" t="str">
        <f t="shared" si="25"/>
        <v>At Risk</v>
      </c>
    </row>
    <row r="799" spans="1:14" x14ac:dyDescent="0.35">
      <c r="A799">
        <v>1319</v>
      </c>
      <c r="B799" s="4">
        <v>45604.375085336993</v>
      </c>
      <c r="C799" t="s">
        <v>12</v>
      </c>
      <c r="D799" t="s">
        <v>17</v>
      </c>
      <c r="E799" t="s">
        <v>23</v>
      </c>
      <c r="F799">
        <v>2238.34</v>
      </c>
      <c r="G799">
        <f t="array" ref="G799">SalesData!$I$2 - 'RFM Table'!B799</f>
        <v>532</v>
      </c>
      <c r="H799">
        <f t="array" ref="H799">COUNTIF(A:A,A799)</f>
        <v>10</v>
      </c>
      <c r="I799">
        <f t="array" ref="I799">SUMIF(A:A,A799,F:F)</f>
        <v>39681.960000000006</v>
      </c>
      <c r="J799">
        <f t="array" ref="J799">5 - INT(5 * (RANK(G799,G:G, 1) - 1) / COUNT(G:G))</f>
        <v>2</v>
      </c>
      <c r="K799">
        <f t="array" ref="K799">INT(5 * (RANK(H799,H:H, 0) - 1) / COUNT(H:H)) + 1</f>
        <v>2</v>
      </c>
      <c r="L799">
        <f t="array" ref="L799">INT(5 * (RANK(I799,I:I, 0) - 1) / COUNT(I:I)) + 1</f>
        <v>2</v>
      </c>
      <c r="M799" t="str">
        <f t="shared" si="24"/>
        <v>222</v>
      </c>
      <c r="N799" s="6" t="str">
        <f t="shared" si="25"/>
        <v>Lost</v>
      </c>
    </row>
    <row r="800" spans="1:14" x14ac:dyDescent="0.35">
      <c r="A800">
        <v>1062</v>
      </c>
      <c r="B800" s="4">
        <v>45604.375085336993</v>
      </c>
      <c r="C800" t="s">
        <v>9</v>
      </c>
      <c r="D800" t="s">
        <v>17</v>
      </c>
      <c r="E800" t="s">
        <v>24</v>
      </c>
      <c r="F800">
        <v>15932.29</v>
      </c>
      <c r="G800">
        <f t="array" ref="G800">SalesData!$I$2 - 'RFM Table'!B800</f>
        <v>532</v>
      </c>
      <c r="H800">
        <f t="array" ref="H800">COUNTIF(A:A,A800)</f>
        <v>11</v>
      </c>
      <c r="I800">
        <f t="array" ref="I800">SUMIF(A:A,A800,F:F)</f>
        <v>59377.640000000014</v>
      </c>
      <c r="J800">
        <f t="array" ref="J800">5 - INT(5 * (RANK(G800,G:G, 1) - 1) / COUNT(G:G))</f>
        <v>2</v>
      </c>
      <c r="K800">
        <f t="array" ref="K800">INT(5 * (RANK(H800,H:H, 0) - 1) / COUNT(H:H)) + 1</f>
        <v>1</v>
      </c>
      <c r="L800">
        <f t="array" ref="L800">INT(5 * (RANK(I800,I:I, 0) - 1) / COUNT(I:I)) + 1</f>
        <v>1</v>
      </c>
      <c r="M800" t="str">
        <f t="shared" si="24"/>
        <v>211</v>
      </c>
      <c r="N800" s="6" t="str">
        <f t="shared" si="25"/>
        <v>Lost</v>
      </c>
    </row>
    <row r="801" spans="1:14" x14ac:dyDescent="0.35">
      <c r="A801">
        <v>1161</v>
      </c>
      <c r="B801" s="4">
        <v>45604.375085336993</v>
      </c>
      <c r="C801" t="s">
        <v>13</v>
      </c>
      <c r="D801" t="s">
        <v>16</v>
      </c>
      <c r="E801" t="s">
        <v>23</v>
      </c>
      <c r="F801">
        <v>2546.7600000000002</v>
      </c>
      <c r="G801">
        <f t="array" ref="G801">SalesData!$I$2 - 'RFM Table'!B801</f>
        <v>532</v>
      </c>
      <c r="H801">
        <f t="array" ref="H801">COUNTIF(A:A,A801)</f>
        <v>4</v>
      </c>
      <c r="I801">
        <f t="array" ref="I801">SUMIF(A:A,A801,F:F)</f>
        <v>13595.329999999998</v>
      </c>
      <c r="J801">
        <f t="array" ref="J801">5 - INT(5 * (RANK(G801,G:G, 1) - 1) / COUNT(G:G))</f>
        <v>2</v>
      </c>
      <c r="K801">
        <f t="array" ref="K801">INT(5 * (RANK(H801,H:H, 0) - 1) / COUNT(H:H)) + 1</f>
        <v>5</v>
      </c>
      <c r="L801">
        <f t="array" ref="L801">INT(5 * (RANK(I801,I:I, 0) - 1) / COUNT(I:I)) + 1</f>
        <v>5</v>
      </c>
      <c r="M801" t="str">
        <f t="shared" si="24"/>
        <v>255</v>
      </c>
      <c r="N801" s="6" t="str">
        <f t="shared" si="25"/>
        <v>At Risk</v>
      </c>
    </row>
    <row r="802" spans="1:14" x14ac:dyDescent="0.35">
      <c r="A802">
        <v>1185</v>
      </c>
      <c r="B802" s="4">
        <v>45606.375085336993</v>
      </c>
      <c r="C802" t="s">
        <v>12</v>
      </c>
      <c r="D802" t="s">
        <v>21</v>
      </c>
      <c r="E802" t="s">
        <v>24</v>
      </c>
      <c r="F802">
        <v>3789.01</v>
      </c>
      <c r="G802">
        <f t="array" ref="G802">SalesData!$I$2 - 'RFM Table'!B802</f>
        <v>530</v>
      </c>
      <c r="H802">
        <f t="array" ref="H802">COUNTIF(A:A,A802)</f>
        <v>8</v>
      </c>
      <c r="I802">
        <f t="array" ref="I802">SUMIF(A:A,A802,F:F)</f>
        <v>27805.74</v>
      </c>
      <c r="J802">
        <f t="array" ref="J802">5 - INT(5 * (RANK(G802,G:G, 1) - 1) / COUNT(G:G))</f>
        <v>2</v>
      </c>
      <c r="K802">
        <f t="array" ref="K802">INT(5 * (RANK(H802,H:H, 0) - 1) / COUNT(H:H)) + 1</f>
        <v>3</v>
      </c>
      <c r="L802">
        <f t="array" ref="L802">INT(5 * (RANK(I802,I:I, 0) - 1) / COUNT(I:I)) + 1</f>
        <v>4</v>
      </c>
      <c r="M802" t="str">
        <f t="shared" si="24"/>
        <v>234</v>
      </c>
      <c r="N802" s="6" t="str">
        <f t="shared" si="25"/>
        <v>At Risk</v>
      </c>
    </row>
    <row r="803" spans="1:14" x14ac:dyDescent="0.35">
      <c r="A803">
        <v>1033</v>
      </c>
      <c r="B803" s="4">
        <v>45606.375085336993</v>
      </c>
      <c r="C803" t="s">
        <v>8</v>
      </c>
      <c r="D803" t="s">
        <v>21</v>
      </c>
      <c r="E803" t="s">
        <v>23</v>
      </c>
      <c r="F803">
        <v>894.29</v>
      </c>
      <c r="G803">
        <f t="array" ref="G803">SalesData!$I$2 - 'RFM Table'!B803</f>
        <v>530</v>
      </c>
      <c r="H803">
        <f t="array" ref="H803">COUNTIF(A:A,A803)</f>
        <v>7</v>
      </c>
      <c r="I803">
        <f t="array" ref="I803">SUMIF(A:A,A803,F:F)</f>
        <v>18694.46</v>
      </c>
      <c r="J803">
        <f t="array" ref="J803">5 - INT(5 * (RANK(G803,G:G, 1) - 1) / COUNT(G:G))</f>
        <v>2</v>
      </c>
      <c r="K803">
        <f t="array" ref="K803">INT(5 * (RANK(H803,H:H, 0) - 1) / COUNT(H:H)) + 1</f>
        <v>4</v>
      </c>
      <c r="L803">
        <f t="array" ref="L803">INT(5 * (RANK(I803,I:I, 0) - 1) / COUNT(I:I)) + 1</f>
        <v>5</v>
      </c>
      <c r="M803" t="str">
        <f t="shared" si="24"/>
        <v>245</v>
      </c>
      <c r="N803" s="6" t="str">
        <f t="shared" si="25"/>
        <v>At Risk</v>
      </c>
    </row>
    <row r="804" spans="1:14" x14ac:dyDescent="0.35">
      <c r="A804">
        <v>1383</v>
      </c>
      <c r="B804" s="4">
        <v>45606.375085336993</v>
      </c>
      <c r="C804" t="s">
        <v>9</v>
      </c>
      <c r="D804" t="s">
        <v>17</v>
      </c>
      <c r="E804" t="s">
        <v>25</v>
      </c>
      <c r="F804">
        <v>6245.04</v>
      </c>
      <c r="G804">
        <f t="array" ref="G804">SalesData!$I$2 - 'RFM Table'!B804</f>
        <v>530</v>
      </c>
      <c r="H804">
        <f t="array" ref="H804">COUNTIF(A:A,A804)</f>
        <v>6</v>
      </c>
      <c r="I804">
        <f t="array" ref="I804">SUMIF(A:A,A804,F:F)</f>
        <v>27159.870000000003</v>
      </c>
      <c r="J804">
        <f t="array" ref="J804">5 - INT(5 * (RANK(G804,G:G, 1) - 1) / COUNT(G:G))</f>
        <v>2</v>
      </c>
      <c r="K804">
        <f t="array" ref="K804">INT(5 * (RANK(H804,H:H, 0) - 1) / COUNT(H:H)) + 1</f>
        <v>4</v>
      </c>
      <c r="L804">
        <f t="array" ref="L804">INT(5 * (RANK(I804,I:I, 0) - 1) / COUNT(I:I)) + 1</f>
        <v>4</v>
      </c>
      <c r="M804" t="str">
        <f t="shared" si="24"/>
        <v>244</v>
      </c>
      <c r="N804" s="6" t="str">
        <f t="shared" si="25"/>
        <v>At Risk</v>
      </c>
    </row>
    <row r="805" spans="1:14" x14ac:dyDescent="0.35">
      <c r="A805">
        <v>1041</v>
      </c>
      <c r="B805" s="4">
        <v>45606.375085336993</v>
      </c>
      <c r="C805" t="s">
        <v>12</v>
      </c>
      <c r="D805" t="s">
        <v>18</v>
      </c>
      <c r="E805" t="s">
        <v>23</v>
      </c>
      <c r="F805">
        <v>5321.98</v>
      </c>
      <c r="G805">
        <f t="array" ref="G805">SalesData!$I$2 - 'RFM Table'!B805</f>
        <v>530</v>
      </c>
      <c r="H805">
        <f t="array" ref="H805">COUNTIF(A:A,A805)</f>
        <v>12</v>
      </c>
      <c r="I805">
        <f t="array" ref="I805">SUMIF(A:A,A805,F:F)</f>
        <v>44894.799999999996</v>
      </c>
      <c r="J805">
        <f t="array" ref="J805">5 - INT(5 * (RANK(G805,G:G, 1) - 1) / COUNT(G:G))</f>
        <v>2</v>
      </c>
      <c r="K805">
        <f t="array" ref="K805">INT(5 * (RANK(H805,H:H, 0) - 1) / COUNT(H:H)) + 1</f>
        <v>1</v>
      </c>
      <c r="L805">
        <f t="array" ref="L805">INT(5 * (RANK(I805,I:I, 0) - 1) / COUNT(I:I)) + 1</f>
        <v>1</v>
      </c>
      <c r="M805" t="str">
        <f t="shared" si="24"/>
        <v>211</v>
      </c>
      <c r="N805" s="6" t="str">
        <f t="shared" si="25"/>
        <v>Lost</v>
      </c>
    </row>
    <row r="806" spans="1:14" x14ac:dyDescent="0.35">
      <c r="A806">
        <v>1201</v>
      </c>
      <c r="B806" s="4">
        <v>45606.375085336993</v>
      </c>
      <c r="C806" t="s">
        <v>9</v>
      </c>
      <c r="D806" t="s">
        <v>18</v>
      </c>
      <c r="E806" t="s">
        <v>24</v>
      </c>
      <c r="F806">
        <v>1157.58</v>
      </c>
      <c r="G806">
        <f t="array" ref="G806">SalesData!$I$2 - 'RFM Table'!B806</f>
        <v>530</v>
      </c>
      <c r="H806">
        <f t="array" ref="H806">COUNTIF(A:A,A806)</f>
        <v>10</v>
      </c>
      <c r="I806">
        <f t="array" ref="I806">SUMIF(A:A,A806,F:F)</f>
        <v>30897.65</v>
      </c>
      <c r="J806">
        <f t="array" ref="J806">5 - INT(5 * (RANK(G806,G:G, 1) - 1) / COUNT(G:G))</f>
        <v>2</v>
      </c>
      <c r="K806">
        <f t="array" ref="K806">INT(5 * (RANK(H806,H:H, 0) - 1) / COUNT(H:H)) + 1</f>
        <v>2</v>
      </c>
      <c r="L806">
        <f t="array" ref="L806">INT(5 * (RANK(I806,I:I, 0) - 1) / COUNT(I:I)) + 1</f>
        <v>3</v>
      </c>
      <c r="M806" t="str">
        <f t="shared" si="24"/>
        <v>223</v>
      </c>
      <c r="N806" s="6" t="str">
        <f t="shared" si="25"/>
        <v>Can't Lose Them</v>
      </c>
    </row>
    <row r="807" spans="1:14" x14ac:dyDescent="0.35">
      <c r="A807">
        <v>1288</v>
      </c>
      <c r="B807" s="4">
        <v>45606.375085336993</v>
      </c>
      <c r="C807" t="s">
        <v>6</v>
      </c>
      <c r="D807" t="s">
        <v>22</v>
      </c>
      <c r="E807" t="s">
        <v>25</v>
      </c>
      <c r="F807">
        <v>742.57</v>
      </c>
      <c r="G807">
        <f t="array" ref="G807">SalesData!$I$2 - 'RFM Table'!B807</f>
        <v>530</v>
      </c>
      <c r="H807">
        <f t="array" ref="H807">COUNTIF(A:A,A807)</f>
        <v>13</v>
      </c>
      <c r="I807">
        <f t="array" ref="I807">SUMIF(A:A,A807,F:F)</f>
        <v>40219.18</v>
      </c>
      <c r="J807">
        <f t="array" ref="J807">5 - INT(5 * (RANK(G807,G:G, 1) - 1) / COUNT(G:G))</f>
        <v>2</v>
      </c>
      <c r="K807">
        <f t="array" ref="K807">INT(5 * (RANK(H807,H:H, 0) - 1) / COUNT(H:H)) + 1</f>
        <v>1</v>
      </c>
      <c r="L807">
        <f t="array" ref="L807">INT(5 * (RANK(I807,I:I, 0) - 1) / COUNT(I:I)) + 1</f>
        <v>2</v>
      </c>
      <c r="M807" t="str">
        <f t="shared" si="24"/>
        <v>212</v>
      </c>
      <c r="N807" s="6" t="str">
        <f t="shared" si="25"/>
        <v>Lost</v>
      </c>
    </row>
    <row r="808" spans="1:14" x14ac:dyDescent="0.35">
      <c r="A808">
        <v>1069</v>
      </c>
      <c r="B808" s="4">
        <v>45606.375085336993</v>
      </c>
      <c r="C808" t="s">
        <v>9</v>
      </c>
      <c r="D808" t="s">
        <v>18</v>
      </c>
      <c r="E808" t="s">
        <v>23</v>
      </c>
      <c r="F808">
        <v>3797.13</v>
      </c>
      <c r="G808">
        <f t="array" ref="G808">SalesData!$I$2 - 'RFM Table'!B808</f>
        <v>530</v>
      </c>
      <c r="H808">
        <f t="array" ref="H808">COUNTIF(A:A,A808)</f>
        <v>4</v>
      </c>
      <c r="I808">
        <f t="array" ref="I808">SUMIF(A:A,A808,F:F)</f>
        <v>26120.1</v>
      </c>
      <c r="J808">
        <f t="array" ref="J808">5 - INT(5 * (RANK(G808,G:G, 1) - 1) / COUNT(G:G))</f>
        <v>2</v>
      </c>
      <c r="K808">
        <f t="array" ref="K808">INT(5 * (RANK(H808,H:H, 0) - 1) / COUNT(H:H)) + 1</f>
        <v>5</v>
      </c>
      <c r="L808">
        <f t="array" ref="L808">INT(5 * (RANK(I808,I:I, 0) - 1) / COUNT(I:I)) + 1</f>
        <v>4</v>
      </c>
      <c r="M808" t="str">
        <f t="shared" si="24"/>
        <v>254</v>
      </c>
      <c r="N808" s="6" t="str">
        <f t="shared" si="25"/>
        <v>At Risk</v>
      </c>
    </row>
    <row r="809" spans="1:14" x14ac:dyDescent="0.35">
      <c r="A809">
        <v>1002</v>
      </c>
      <c r="B809" s="4">
        <v>45606.375085336993</v>
      </c>
      <c r="C809" t="s">
        <v>15</v>
      </c>
      <c r="D809" t="s">
        <v>19</v>
      </c>
      <c r="E809" t="s">
        <v>23</v>
      </c>
      <c r="F809">
        <v>2122.46</v>
      </c>
      <c r="G809">
        <f t="array" ref="G809">SalesData!$I$2 - 'RFM Table'!B809</f>
        <v>530</v>
      </c>
      <c r="H809">
        <f t="array" ref="H809">COUNTIF(A:A,A809)</f>
        <v>9</v>
      </c>
      <c r="I809">
        <f t="array" ref="I809">SUMIF(A:A,A809,F:F)</f>
        <v>35145.360000000001</v>
      </c>
      <c r="J809">
        <f t="array" ref="J809">5 - INT(5 * (RANK(G809,G:G, 1) - 1) / COUNT(G:G))</f>
        <v>2</v>
      </c>
      <c r="K809">
        <f t="array" ref="K809">INT(5 * (RANK(H809,H:H, 0) - 1) / COUNT(H:H)) + 1</f>
        <v>2</v>
      </c>
      <c r="L809">
        <f t="array" ref="L809">INT(5 * (RANK(I809,I:I, 0) - 1) / COUNT(I:I)) + 1</f>
        <v>3</v>
      </c>
      <c r="M809" t="str">
        <f t="shared" si="24"/>
        <v>223</v>
      </c>
      <c r="N809" s="6" t="str">
        <f t="shared" si="25"/>
        <v>Can't Lose Them</v>
      </c>
    </row>
    <row r="810" spans="1:14" x14ac:dyDescent="0.35">
      <c r="A810">
        <v>1317</v>
      </c>
      <c r="B810" s="4">
        <v>45607.375085336993</v>
      </c>
      <c r="C810" t="s">
        <v>8</v>
      </c>
      <c r="D810" t="s">
        <v>20</v>
      </c>
      <c r="E810" t="s">
        <v>24</v>
      </c>
      <c r="F810">
        <v>2512.14</v>
      </c>
      <c r="G810">
        <f t="array" ref="G810">SalesData!$I$2 - 'RFM Table'!B810</f>
        <v>529</v>
      </c>
      <c r="H810">
        <f t="array" ref="H810">COUNTIF(A:A,A810)</f>
        <v>12</v>
      </c>
      <c r="I810">
        <f t="array" ref="I810">SUMIF(A:A,A810,F:F)</f>
        <v>43413.4</v>
      </c>
      <c r="J810">
        <f t="array" ref="J810">5 - INT(5 * (RANK(G810,G:G, 1) - 1) / COUNT(G:G))</f>
        <v>2</v>
      </c>
      <c r="K810">
        <f t="array" ref="K810">INT(5 * (RANK(H810,H:H, 0) - 1) / COUNT(H:H)) + 1</f>
        <v>1</v>
      </c>
      <c r="L810">
        <f t="array" ref="L810">INT(5 * (RANK(I810,I:I, 0) - 1) / COUNT(I:I)) + 1</f>
        <v>2</v>
      </c>
      <c r="M810" t="str">
        <f t="shared" si="24"/>
        <v>212</v>
      </c>
      <c r="N810" s="6" t="str">
        <f t="shared" si="25"/>
        <v>Lost</v>
      </c>
    </row>
    <row r="811" spans="1:14" x14ac:dyDescent="0.35">
      <c r="A811">
        <v>1150</v>
      </c>
      <c r="B811" s="4">
        <v>45607.375085336993</v>
      </c>
      <c r="C811" t="s">
        <v>15</v>
      </c>
      <c r="D811" t="s">
        <v>22</v>
      </c>
      <c r="E811" t="s">
        <v>24</v>
      </c>
      <c r="F811">
        <v>2926.64</v>
      </c>
      <c r="G811">
        <f t="array" ref="G811">SalesData!$I$2 - 'RFM Table'!B811</f>
        <v>529</v>
      </c>
      <c r="H811">
        <f t="array" ref="H811">COUNTIF(A:A,A811)</f>
        <v>10</v>
      </c>
      <c r="I811">
        <f t="array" ref="I811">SUMIF(A:A,A811,F:F)</f>
        <v>34643.039999999994</v>
      </c>
      <c r="J811">
        <f t="array" ref="J811">5 - INT(5 * (RANK(G811,G:G, 1) - 1) / COUNT(G:G))</f>
        <v>2</v>
      </c>
      <c r="K811">
        <f t="array" ref="K811">INT(5 * (RANK(H811,H:H, 0) - 1) / COUNT(H:H)) + 1</f>
        <v>2</v>
      </c>
      <c r="L811">
        <f t="array" ref="L811">INT(5 * (RANK(I811,I:I, 0) - 1) / COUNT(I:I)) + 1</f>
        <v>3</v>
      </c>
      <c r="M811" t="str">
        <f t="shared" si="24"/>
        <v>223</v>
      </c>
      <c r="N811" s="6" t="str">
        <f t="shared" si="25"/>
        <v>Can't Lose Them</v>
      </c>
    </row>
    <row r="812" spans="1:14" x14ac:dyDescent="0.35">
      <c r="A812">
        <v>1332</v>
      </c>
      <c r="B812" s="4">
        <v>45607.375085336993</v>
      </c>
      <c r="C812" t="s">
        <v>11</v>
      </c>
      <c r="D812" t="s">
        <v>18</v>
      </c>
      <c r="E812" t="s">
        <v>24</v>
      </c>
      <c r="F812">
        <v>1799.63</v>
      </c>
      <c r="G812">
        <f t="array" ref="G812">SalesData!$I$2 - 'RFM Table'!B812</f>
        <v>529</v>
      </c>
      <c r="H812">
        <f t="array" ref="H812">COUNTIF(A:A,A812)</f>
        <v>4</v>
      </c>
      <c r="I812">
        <f t="array" ref="I812">SUMIF(A:A,A812,F:F)</f>
        <v>11144.500000000002</v>
      </c>
      <c r="J812">
        <f t="array" ref="J812">5 - INT(5 * (RANK(G812,G:G, 1) - 1) / COUNT(G:G))</f>
        <v>2</v>
      </c>
      <c r="K812">
        <f t="array" ref="K812">INT(5 * (RANK(H812,H:H, 0) - 1) / COUNT(H:H)) + 1</f>
        <v>5</v>
      </c>
      <c r="L812">
        <f t="array" ref="L812">INT(5 * (RANK(I812,I:I, 0) - 1) / COUNT(I:I)) + 1</f>
        <v>5</v>
      </c>
      <c r="M812" t="str">
        <f t="shared" si="24"/>
        <v>255</v>
      </c>
      <c r="N812" s="6" t="str">
        <f t="shared" si="25"/>
        <v>At Risk</v>
      </c>
    </row>
    <row r="813" spans="1:14" x14ac:dyDescent="0.35">
      <c r="A813">
        <v>1385</v>
      </c>
      <c r="B813" s="4">
        <v>45607.375085336993</v>
      </c>
      <c r="C813" t="s">
        <v>10</v>
      </c>
      <c r="D813" t="s">
        <v>18</v>
      </c>
      <c r="E813" t="s">
        <v>23</v>
      </c>
      <c r="F813">
        <v>2535.3200000000002</v>
      </c>
      <c r="G813">
        <f t="array" ref="G813">SalesData!$I$2 - 'RFM Table'!B813</f>
        <v>529</v>
      </c>
      <c r="H813">
        <f t="array" ref="H813">COUNTIF(A:A,A813)</f>
        <v>11</v>
      </c>
      <c r="I813">
        <f t="array" ref="I813">SUMIF(A:A,A813,F:F)</f>
        <v>73437.08</v>
      </c>
      <c r="J813">
        <f t="array" ref="J813">5 - INT(5 * (RANK(G813,G:G, 1) - 1) / COUNT(G:G))</f>
        <v>2</v>
      </c>
      <c r="K813">
        <f t="array" ref="K813">INT(5 * (RANK(H813,H:H, 0) - 1) / COUNT(H:H)) + 1</f>
        <v>1</v>
      </c>
      <c r="L813">
        <f t="array" ref="L813">INT(5 * (RANK(I813,I:I, 0) - 1) / COUNT(I:I)) + 1</f>
        <v>1</v>
      </c>
      <c r="M813" t="str">
        <f t="shared" si="24"/>
        <v>211</v>
      </c>
      <c r="N813" s="6" t="str">
        <f t="shared" si="25"/>
        <v>Lost</v>
      </c>
    </row>
    <row r="814" spans="1:14" x14ac:dyDescent="0.35">
      <c r="A814">
        <v>1081</v>
      </c>
      <c r="B814" s="4">
        <v>45607.375085336993</v>
      </c>
      <c r="C814" t="s">
        <v>8</v>
      </c>
      <c r="D814" t="s">
        <v>19</v>
      </c>
      <c r="E814" t="s">
        <v>24</v>
      </c>
      <c r="F814">
        <v>7253.78</v>
      </c>
      <c r="G814">
        <f t="array" ref="G814">SalesData!$I$2 - 'RFM Table'!B814</f>
        <v>529</v>
      </c>
      <c r="H814">
        <f t="array" ref="H814">COUNTIF(A:A,A814)</f>
        <v>8</v>
      </c>
      <c r="I814">
        <f t="array" ref="I814">SUMIF(A:A,A814,F:F)</f>
        <v>29788.7</v>
      </c>
      <c r="J814">
        <f t="array" ref="J814">5 - INT(5 * (RANK(G814,G:G, 1) - 1) / COUNT(G:G))</f>
        <v>2</v>
      </c>
      <c r="K814">
        <f t="array" ref="K814">INT(5 * (RANK(H814,H:H, 0) - 1) / COUNT(H:H)) + 1</f>
        <v>3</v>
      </c>
      <c r="L814">
        <f t="array" ref="L814">INT(5 * (RANK(I814,I:I, 0) - 1) / COUNT(I:I)) + 1</f>
        <v>3</v>
      </c>
      <c r="M814" t="str">
        <f t="shared" si="24"/>
        <v>233</v>
      </c>
      <c r="N814" s="6" t="str">
        <f t="shared" si="25"/>
        <v>At Risk</v>
      </c>
    </row>
    <row r="815" spans="1:14" x14ac:dyDescent="0.35">
      <c r="A815">
        <v>1280</v>
      </c>
      <c r="B815" s="4">
        <v>45608.375085336993</v>
      </c>
      <c r="C815" t="s">
        <v>15</v>
      </c>
      <c r="D815" t="s">
        <v>18</v>
      </c>
      <c r="E815" t="s">
        <v>24</v>
      </c>
      <c r="F815">
        <v>11425.45</v>
      </c>
      <c r="G815">
        <f t="array" ref="G815">SalesData!$I$2 - 'RFM Table'!B815</f>
        <v>528</v>
      </c>
      <c r="H815">
        <f t="array" ref="H815">COUNTIF(A:A,A815)</f>
        <v>7</v>
      </c>
      <c r="I815">
        <f t="array" ref="I815">SUMIF(A:A,A815,F:F)</f>
        <v>34546.720000000001</v>
      </c>
      <c r="J815">
        <f t="array" ref="J815">5 - INT(5 * (RANK(G815,G:G, 1) - 1) / COUNT(G:G))</f>
        <v>2</v>
      </c>
      <c r="K815">
        <f t="array" ref="K815">INT(5 * (RANK(H815,H:H, 0) - 1) / COUNT(H:H)) + 1</f>
        <v>4</v>
      </c>
      <c r="L815">
        <f t="array" ref="L815">INT(5 * (RANK(I815,I:I, 0) - 1) / COUNT(I:I)) + 1</f>
        <v>3</v>
      </c>
      <c r="M815" t="str">
        <f t="shared" si="24"/>
        <v>243</v>
      </c>
      <c r="N815" s="6" t="str">
        <f t="shared" si="25"/>
        <v>At Risk</v>
      </c>
    </row>
    <row r="816" spans="1:14" x14ac:dyDescent="0.35">
      <c r="A816">
        <v>1260</v>
      </c>
      <c r="B816" s="4">
        <v>45608.375085336993</v>
      </c>
      <c r="C816" t="s">
        <v>13</v>
      </c>
      <c r="D816" t="s">
        <v>18</v>
      </c>
      <c r="E816" t="s">
        <v>24</v>
      </c>
      <c r="F816">
        <v>4703.68</v>
      </c>
      <c r="G816">
        <f t="array" ref="G816">SalesData!$I$2 - 'RFM Table'!B816</f>
        <v>528</v>
      </c>
      <c r="H816">
        <f t="array" ref="H816">COUNTIF(A:A,A816)</f>
        <v>10</v>
      </c>
      <c r="I816">
        <f t="array" ref="I816">SUMIF(A:A,A816,F:F)</f>
        <v>67378.48000000001</v>
      </c>
      <c r="J816">
        <f t="array" ref="J816">5 - INT(5 * (RANK(G816,G:G, 1) - 1) / COUNT(G:G))</f>
        <v>2</v>
      </c>
      <c r="K816">
        <f t="array" ref="K816">INT(5 * (RANK(H816,H:H, 0) - 1) / COUNT(H:H)) + 1</f>
        <v>2</v>
      </c>
      <c r="L816">
        <f t="array" ref="L816">INT(5 * (RANK(I816,I:I, 0) - 1) / COUNT(I:I)) + 1</f>
        <v>1</v>
      </c>
      <c r="M816" t="str">
        <f t="shared" si="24"/>
        <v>221</v>
      </c>
      <c r="N816" s="6" t="str">
        <f t="shared" si="25"/>
        <v>Lost</v>
      </c>
    </row>
    <row r="817" spans="1:14" x14ac:dyDescent="0.35">
      <c r="A817">
        <v>1298</v>
      </c>
      <c r="B817" s="4">
        <v>45608.375085336993</v>
      </c>
      <c r="C817" t="s">
        <v>6</v>
      </c>
      <c r="D817" t="s">
        <v>18</v>
      </c>
      <c r="E817" t="s">
        <v>25</v>
      </c>
      <c r="F817">
        <v>4437.08</v>
      </c>
      <c r="G817">
        <f t="array" ref="G817">SalesData!$I$2 - 'RFM Table'!B817</f>
        <v>528</v>
      </c>
      <c r="H817">
        <f t="array" ref="H817">COUNTIF(A:A,A817)</f>
        <v>3</v>
      </c>
      <c r="I817">
        <f t="array" ref="I817">SUMIF(A:A,A817,F:F)</f>
        <v>10896.380000000001</v>
      </c>
      <c r="J817">
        <f t="array" ref="J817">5 - INT(5 * (RANK(G817,G:G, 1) - 1) / COUNT(G:G))</f>
        <v>2</v>
      </c>
      <c r="K817">
        <f t="array" ref="K817">INT(5 * (RANK(H817,H:H, 0) - 1) / COUNT(H:H)) + 1</f>
        <v>5</v>
      </c>
      <c r="L817">
        <f t="array" ref="L817">INT(5 * (RANK(I817,I:I, 0) - 1) / COUNT(I:I)) + 1</f>
        <v>5</v>
      </c>
      <c r="M817" t="str">
        <f t="shared" si="24"/>
        <v>255</v>
      </c>
      <c r="N817" s="6" t="str">
        <f t="shared" si="25"/>
        <v>At Risk</v>
      </c>
    </row>
    <row r="818" spans="1:14" x14ac:dyDescent="0.35">
      <c r="A818">
        <v>1225</v>
      </c>
      <c r="B818" s="4">
        <v>45608.375085336993</v>
      </c>
      <c r="C818" t="s">
        <v>14</v>
      </c>
      <c r="D818" t="s">
        <v>19</v>
      </c>
      <c r="E818" t="s">
        <v>25</v>
      </c>
      <c r="F818">
        <v>4492.7700000000004</v>
      </c>
      <c r="G818">
        <f t="array" ref="G818">SalesData!$I$2 - 'RFM Table'!B818</f>
        <v>528</v>
      </c>
      <c r="H818">
        <f t="array" ref="H818">COUNTIF(A:A,A818)</f>
        <v>12</v>
      </c>
      <c r="I818">
        <f t="array" ref="I818">SUMIF(A:A,A818,F:F)</f>
        <v>42930.969999999994</v>
      </c>
      <c r="J818">
        <f t="array" ref="J818">5 - INT(5 * (RANK(G818,G:G, 1) - 1) / COUNT(G:G))</f>
        <v>2</v>
      </c>
      <c r="K818">
        <f t="array" ref="K818">INT(5 * (RANK(H818,H:H, 0) - 1) / COUNT(H:H)) + 1</f>
        <v>1</v>
      </c>
      <c r="L818">
        <f t="array" ref="L818">INT(5 * (RANK(I818,I:I, 0) - 1) / COUNT(I:I)) + 1</f>
        <v>2</v>
      </c>
      <c r="M818" t="str">
        <f t="shared" si="24"/>
        <v>212</v>
      </c>
      <c r="N818" s="6" t="str">
        <f t="shared" si="25"/>
        <v>Lost</v>
      </c>
    </row>
    <row r="819" spans="1:14" x14ac:dyDescent="0.35">
      <c r="A819">
        <v>1142</v>
      </c>
      <c r="B819" s="4">
        <v>45609.375085336993</v>
      </c>
      <c r="C819" t="s">
        <v>14</v>
      </c>
      <c r="D819" t="s">
        <v>18</v>
      </c>
      <c r="E819" t="s">
        <v>25</v>
      </c>
      <c r="F819">
        <v>2628.67</v>
      </c>
      <c r="G819">
        <f t="array" ref="G819">SalesData!$I$2 - 'RFM Table'!B819</f>
        <v>527</v>
      </c>
      <c r="H819">
        <f t="array" ref="H819">COUNTIF(A:A,A819)</f>
        <v>10</v>
      </c>
      <c r="I819">
        <f t="array" ref="I819">SUMIF(A:A,A819,F:F)</f>
        <v>45537.319999999992</v>
      </c>
      <c r="J819">
        <f t="array" ref="J819">5 - INT(5 * (RANK(G819,G:G, 1) - 1) / COUNT(G:G))</f>
        <v>2</v>
      </c>
      <c r="K819">
        <f t="array" ref="K819">INT(5 * (RANK(H819,H:H, 0) - 1) / COUNT(H:H)) + 1</f>
        <v>2</v>
      </c>
      <c r="L819">
        <f t="array" ref="L819">INT(5 * (RANK(I819,I:I, 0) - 1) / COUNT(I:I)) + 1</f>
        <v>1</v>
      </c>
      <c r="M819" t="str">
        <f t="shared" si="24"/>
        <v>221</v>
      </c>
      <c r="N819" s="6" t="str">
        <f t="shared" si="25"/>
        <v>Lost</v>
      </c>
    </row>
    <row r="820" spans="1:14" x14ac:dyDescent="0.35">
      <c r="A820">
        <v>1220</v>
      </c>
      <c r="B820" s="4">
        <v>45609.375085336993</v>
      </c>
      <c r="C820" t="s">
        <v>10</v>
      </c>
      <c r="D820" t="s">
        <v>19</v>
      </c>
      <c r="E820" t="s">
        <v>25</v>
      </c>
      <c r="F820">
        <v>1773.66</v>
      </c>
      <c r="G820">
        <f t="array" ref="G820">SalesData!$I$2 - 'RFM Table'!B820</f>
        <v>527</v>
      </c>
      <c r="H820">
        <f t="array" ref="H820">COUNTIF(A:A,A820)</f>
        <v>6</v>
      </c>
      <c r="I820">
        <f t="array" ref="I820">SUMIF(A:A,A820,F:F)</f>
        <v>29693.030000000002</v>
      </c>
      <c r="J820">
        <f t="array" ref="J820">5 - INT(5 * (RANK(G820,G:G, 1) - 1) / COUNT(G:G))</f>
        <v>2</v>
      </c>
      <c r="K820">
        <f t="array" ref="K820">INT(5 * (RANK(H820,H:H, 0) - 1) / COUNT(H:H)) + 1</f>
        <v>4</v>
      </c>
      <c r="L820">
        <f t="array" ref="L820">INT(5 * (RANK(I820,I:I, 0) - 1) / COUNT(I:I)) + 1</f>
        <v>3</v>
      </c>
      <c r="M820" t="str">
        <f t="shared" si="24"/>
        <v>243</v>
      </c>
      <c r="N820" s="6" t="str">
        <f t="shared" si="25"/>
        <v>At Risk</v>
      </c>
    </row>
    <row r="821" spans="1:14" x14ac:dyDescent="0.35">
      <c r="A821">
        <v>1011</v>
      </c>
      <c r="B821" s="4">
        <v>45609.375085336993</v>
      </c>
      <c r="C821" t="s">
        <v>15</v>
      </c>
      <c r="D821" t="s">
        <v>19</v>
      </c>
      <c r="E821" t="s">
        <v>25</v>
      </c>
      <c r="F821">
        <v>3815.39</v>
      </c>
      <c r="G821">
        <f t="array" ref="G821">SalesData!$I$2 - 'RFM Table'!B821</f>
        <v>527</v>
      </c>
      <c r="H821">
        <f t="array" ref="H821">COUNTIF(A:A,A821)</f>
        <v>16</v>
      </c>
      <c r="I821">
        <f t="array" ref="I821">SUMIF(A:A,A821,F:F)</f>
        <v>58237.360000000008</v>
      </c>
      <c r="J821">
        <f t="array" ref="J821">5 - INT(5 * (RANK(G821,G:G, 1) - 1) / COUNT(G:G))</f>
        <v>2</v>
      </c>
      <c r="K821">
        <f t="array" ref="K821">INT(5 * (RANK(H821,H:H, 0) - 1) / COUNT(H:H)) + 1</f>
        <v>1</v>
      </c>
      <c r="L821">
        <f t="array" ref="L821">INT(5 * (RANK(I821,I:I, 0) - 1) / COUNT(I:I)) + 1</f>
        <v>1</v>
      </c>
      <c r="M821" t="str">
        <f t="shared" si="24"/>
        <v>211</v>
      </c>
      <c r="N821" s="6" t="str">
        <f t="shared" si="25"/>
        <v>Lost</v>
      </c>
    </row>
    <row r="822" spans="1:14" x14ac:dyDescent="0.35">
      <c r="A822">
        <v>1282</v>
      </c>
      <c r="B822" s="4">
        <v>45609.375085336993</v>
      </c>
      <c r="C822" t="s">
        <v>13</v>
      </c>
      <c r="D822" t="s">
        <v>18</v>
      </c>
      <c r="E822" t="s">
        <v>24</v>
      </c>
      <c r="F822">
        <v>6118.54</v>
      </c>
      <c r="G822">
        <f t="array" ref="G822">SalesData!$I$2 - 'RFM Table'!B822</f>
        <v>527</v>
      </c>
      <c r="H822">
        <f t="array" ref="H822">COUNTIF(A:A,A822)</f>
        <v>7</v>
      </c>
      <c r="I822">
        <f t="array" ref="I822">SUMIF(A:A,A822,F:F)</f>
        <v>37438.960000000006</v>
      </c>
      <c r="J822">
        <f t="array" ref="J822">5 - INT(5 * (RANK(G822,G:G, 1) - 1) / COUNT(G:G))</f>
        <v>2</v>
      </c>
      <c r="K822">
        <f t="array" ref="K822">INT(5 * (RANK(H822,H:H, 0) - 1) / COUNT(H:H)) + 1</f>
        <v>4</v>
      </c>
      <c r="L822">
        <f t="array" ref="L822">INT(5 * (RANK(I822,I:I, 0) - 1) / COUNT(I:I)) + 1</f>
        <v>2</v>
      </c>
      <c r="M822" t="str">
        <f t="shared" si="24"/>
        <v>242</v>
      </c>
      <c r="N822" s="6" t="str">
        <f t="shared" si="25"/>
        <v>Others</v>
      </c>
    </row>
    <row r="823" spans="1:14" x14ac:dyDescent="0.35">
      <c r="A823">
        <v>1092</v>
      </c>
      <c r="B823" s="4">
        <v>45610.375085336993</v>
      </c>
      <c r="C823" t="s">
        <v>7</v>
      </c>
      <c r="D823" t="s">
        <v>17</v>
      </c>
      <c r="E823" t="s">
        <v>25</v>
      </c>
      <c r="F823">
        <v>257.26</v>
      </c>
      <c r="G823">
        <f t="array" ref="G823">SalesData!$I$2 - 'RFM Table'!B823</f>
        <v>526</v>
      </c>
      <c r="H823">
        <f t="array" ref="H823">COUNTIF(A:A,A823)</f>
        <v>6</v>
      </c>
      <c r="I823">
        <f t="array" ref="I823">SUMIF(A:A,A823,F:F)</f>
        <v>21226.689999999995</v>
      </c>
      <c r="J823">
        <f t="array" ref="J823">5 - INT(5 * (RANK(G823,G:G, 1) - 1) / COUNT(G:G))</f>
        <v>2</v>
      </c>
      <c r="K823">
        <f t="array" ref="K823">INT(5 * (RANK(H823,H:H, 0) - 1) / COUNT(H:H)) + 1</f>
        <v>4</v>
      </c>
      <c r="L823">
        <f t="array" ref="L823">INT(5 * (RANK(I823,I:I, 0) - 1) / COUNT(I:I)) + 1</f>
        <v>5</v>
      </c>
      <c r="M823" t="str">
        <f t="shared" si="24"/>
        <v>245</v>
      </c>
      <c r="N823" s="6" t="str">
        <f t="shared" si="25"/>
        <v>At Risk</v>
      </c>
    </row>
    <row r="824" spans="1:14" x14ac:dyDescent="0.35">
      <c r="A824">
        <v>1156</v>
      </c>
      <c r="B824" s="4">
        <v>45610.375085336993</v>
      </c>
      <c r="C824" t="s">
        <v>10</v>
      </c>
      <c r="D824" t="s">
        <v>18</v>
      </c>
      <c r="E824" t="s">
        <v>24</v>
      </c>
      <c r="F824">
        <v>3784.84</v>
      </c>
      <c r="G824">
        <f t="array" ref="G824">SalesData!$I$2 - 'RFM Table'!B824</f>
        <v>526</v>
      </c>
      <c r="H824">
        <f t="array" ref="H824">COUNTIF(A:A,A824)</f>
        <v>8</v>
      </c>
      <c r="I824">
        <f t="array" ref="I824">SUMIF(A:A,A824,F:F)</f>
        <v>43799.990000000005</v>
      </c>
      <c r="J824">
        <f t="array" ref="J824">5 - INT(5 * (RANK(G824,G:G, 1) - 1) / COUNT(G:G))</f>
        <v>2</v>
      </c>
      <c r="K824">
        <f t="array" ref="K824">INT(5 * (RANK(H824,H:H, 0) - 1) / COUNT(H:H)) + 1</f>
        <v>3</v>
      </c>
      <c r="L824">
        <f t="array" ref="L824">INT(5 * (RANK(I824,I:I, 0) - 1) / COUNT(I:I)) + 1</f>
        <v>2</v>
      </c>
      <c r="M824" t="str">
        <f t="shared" si="24"/>
        <v>232</v>
      </c>
      <c r="N824" s="6" t="str">
        <f t="shared" si="25"/>
        <v>Others</v>
      </c>
    </row>
    <row r="825" spans="1:14" x14ac:dyDescent="0.35">
      <c r="A825">
        <v>1320</v>
      </c>
      <c r="B825" s="4">
        <v>45610.375085336993</v>
      </c>
      <c r="C825" t="s">
        <v>6</v>
      </c>
      <c r="D825" t="s">
        <v>17</v>
      </c>
      <c r="E825" t="s">
        <v>25</v>
      </c>
      <c r="F825">
        <v>5249.26</v>
      </c>
      <c r="G825">
        <f t="array" ref="G825">SalesData!$I$2 - 'RFM Table'!B825</f>
        <v>526</v>
      </c>
      <c r="H825">
        <f t="array" ref="H825">COUNTIF(A:A,A825)</f>
        <v>6</v>
      </c>
      <c r="I825">
        <f t="array" ref="I825">SUMIF(A:A,A825,F:F)</f>
        <v>32825.340000000004</v>
      </c>
      <c r="J825">
        <f t="array" ref="J825">5 - INT(5 * (RANK(G825,G:G, 1) - 1) / COUNT(G:G))</f>
        <v>2</v>
      </c>
      <c r="K825">
        <f t="array" ref="K825">INT(5 * (RANK(H825,H:H, 0) - 1) / COUNT(H:H)) + 1</f>
        <v>4</v>
      </c>
      <c r="L825">
        <f t="array" ref="L825">INT(5 * (RANK(I825,I:I, 0) - 1) / COUNT(I:I)) + 1</f>
        <v>3</v>
      </c>
      <c r="M825" t="str">
        <f t="shared" si="24"/>
        <v>243</v>
      </c>
      <c r="N825" s="6" t="str">
        <f t="shared" si="25"/>
        <v>At Risk</v>
      </c>
    </row>
    <row r="826" spans="1:14" x14ac:dyDescent="0.35">
      <c r="A826">
        <v>1136</v>
      </c>
      <c r="B826" s="4">
        <v>45610.375085336993</v>
      </c>
      <c r="C826" t="s">
        <v>15</v>
      </c>
      <c r="D826" t="s">
        <v>21</v>
      </c>
      <c r="E826" t="s">
        <v>25</v>
      </c>
      <c r="F826">
        <v>2176.58</v>
      </c>
      <c r="G826">
        <f t="array" ref="G826">SalesData!$I$2 - 'RFM Table'!B826</f>
        <v>526</v>
      </c>
      <c r="H826">
        <f t="array" ref="H826">COUNTIF(A:A,A826)</f>
        <v>6</v>
      </c>
      <c r="I826">
        <f t="array" ref="I826">SUMIF(A:A,A826,F:F)</f>
        <v>16588.13</v>
      </c>
      <c r="J826">
        <f t="array" ref="J826">5 - INT(5 * (RANK(G826,G:G, 1) - 1) / COUNT(G:G))</f>
        <v>2</v>
      </c>
      <c r="K826">
        <f t="array" ref="K826">INT(5 * (RANK(H826,H:H, 0) - 1) / COUNT(H:H)) + 1</f>
        <v>4</v>
      </c>
      <c r="L826">
        <f t="array" ref="L826">INT(5 * (RANK(I826,I:I, 0) - 1) / COUNT(I:I)) + 1</f>
        <v>5</v>
      </c>
      <c r="M826" t="str">
        <f t="shared" si="24"/>
        <v>245</v>
      </c>
      <c r="N826" s="6" t="str">
        <f t="shared" si="25"/>
        <v>At Risk</v>
      </c>
    </row>
    <row r="827" spans="1:14" x14ac:dyDescent="0.35">
      <c r="A827">
        <v>1028</v>
      </c>
      <c r="B827" s="4">
        <v>45610.375085336993</v>
      </c>
      <c r="C827" t="s">
        <v>13</v>
      </c>
      <c r="D827" t="s">
        <v>19</v>
      </c>
      <c r="E827" t="s">
        <v>25</v>
      </c>
      <c r="F827">
        <v>3279.74</v>
      </c>
      <c r="G827">
        <f t="array" ref="G827">SalesData!$I$2 - 'RFM Table'!B827</f>
        <v>526</v>
      </c>
      <c r="H827">
        <f t="array" ref="H827">COUNTIF(A:A,A827)</f>
        <v>10</v>
      </c>
      <c r="I827">
        <f t="array" ref="I827">SUMIF(A:A,A827,F:F)</f>
        <v>37984.589999999997</v>
      </c>
      <c r="J827">
        <f t="array" ref="J827">5 - INT(5 * (RANK(G827,G:G, 1) - 1) / COUNT(G:G))</f>
        <v>2</v>
      </c>
      <c r="K827">
        <f t="array" ref="K827">INT(5 * (RANK(H827,H:H, 0) - 1) / COUNT(H:H)) + 1</f>
        <v>2</v>
      </c>
      <c r="L827">
        <f t="array" ref="L827">INT(5 * (RANK(I827,I:I, 0) - 1) / COUNT(I:I)) + 1</f>
        <v>2</v>
      </c>
      <c r="M827" t="str">
        <f t="shared" si="24"/>
        <v>222</v>
      </c>
      <c r="N827" s="6" t="str">
        <f t="shared" si="25"/>
        <v>Lost</v>
      </c>
    </row>
    <row r="828" spans="1:14" x14ac:dyDescent="0.35">
      <c r="A828">
        <v>1036</v>
      </c>
      <c r="B828" s="4">
        <v>45611.375085336993</v>
      </c>
      <c r="C828" t="s">
        <v>12</v>
      </c>
      <c r="D828" t="s">
        <v>21</v>
      </c>
      <c r="E828" t="s">
        <v>23</v>
      </c>
      <c r="F828">
        <v>5896.51</v>
      </c>
      <c r="G828">
        <f t="array" ref="G828">SalesData!$I$2 - 'RFM Table'!B828</f>
        <v>525</v>
      </c>
      <c r="H828">
        <f t="array" ref="H828">COUNTIF(A:A,A828)</f>
        <v>6</v>
      </c>
      <c r="I828">
        <f t="array" ref="I828">SUMIF(A:A,A828,F:F)</f>
        <v>18264</v>
      </c>
      <c r="J828">
        <f t="array" ref="J828">5 - INT(5 * (RANK(G828,G:G, 1) - 1) / COUNT(G:G))</f>
        <v>2</v>
      </c>
      <c r="K828">
        <f t="array" ref="K828">INT(5 * (RANK(H828,H:H, 0) - 1) / COUNT(H:H)) + 1</f>
        <v>4</v>
      </c>
      <c r="L828">
        <f t="array" ref="L828">INT(5 * (RANK(I828,I:I, 0) - 1) / COUNT(I:I)) + 1</f>
        <v>5</v>
      </c>
      <c r="M828" t="str">
        <f t="shared" si="24"/>
        <v>245</v>
      </c>
      <c r="N828" s="6" t="str">
        <f t="shared" si="25"/>
        <v>At Risk</v>
      </c>
    </row>
    <row r="829" spans="1:14" x14ac:dyDescent="0.35">
      <c r="A829">
        <v>1397</v>
      </c>
      <c r="B829" s="4">
        <v>45611.375085336993</v>
      </c>
      <c r="C829" t="s">
        <v>15</v>
      </c>
      <c r="D829" t="s">
        <v>19</v>
      </c>
      <c r="E829" t="s">
        <v>25</v>
      </c>
      <c r="F829">
        <v>3425.9</v>
      </c>
      <c r="G829">
        <f t="array" ref="G829">SalesData!$I$2 - 'RFM Table'!B829</f>
        <v>525</v>
      </c>
      <c r="H829">
        <f t="array" ref="H829">COUNTIF(A:A,A829)</f>
        <v>6</v>
      </c>
      <c r="I829">
        <f t="array" ref="I829">SUMIF(A:A,A829,F:F)</f>
        <v>17195.870000000003</v>
      </c>
      <c r="J829">
        <f t="array" ref="J829">5 - INT(5 * (RANK(G829,G:G, 1) - 1) / COUNT(G:G))</f>
        <v>2</v>
      </c>
      <c r="K829">
        <f t="array" ref="K829">INT(5 * (RANK(H829,H:H, 0) - 1) / COUNT(H:H)) + 1</f>
        <v>4</v>
      </c>
      <c r="L829">
        <f t="array" ref="L829">INT(5 * (RANK(I829,I:I, 0) - 1) / COUNT(I:I)) + 1</f>
        <v>5</v>
      </c>
      <c r="M829" t="str">
        <f t="shared" si="24"/>
        <v>245</v>
      </c>
      <c r="N829" s="6" t="str">
        <f t="shared" si="25"/>
        <v>At Risk</v>
      </c>
    </row>
    <row r="830" spans="1:14" x14ac:dyDescent="0.35">
      <c r="A830">
        <v>1339</v>
      </c>
      <c r="B830" s="4">
        <v>45611.375085336993</v>
      </c>
      <c r="C830" t="s">
        <v>9</v>
      </c>
      <c r="D830" t="s">
        <v>17</v>
      </c>
      <c r="E830" t="s">
        <v>25</v>
      </c>
      <c r="F830">
        <v>1316.52</v>
      </c>
      <c r="G830">
        <f t="array" ref="G830">SalesData!$I$2 - 'RFM Table'!B830</f>
        <v>525</v>
      </c>
      <c r="H830">
        <f t="array" ref="H830">COUNTIF(A:A,A830)</f>
        <v>8</v>
      </c>
      <c r="I830">
        <f t="array" ref="I830">SUMIF(A:A,A830,F:F)</f>
        <v>30873.260000000002</v>
      </c>
      <c r="J830">
        <f t="array" ref="J830">5 - INT(5 * (RANK(G830,G:G, 1) - 1) / COUNT(G:G))</f>
        <v>2</v>
      </c>
      <c r="K830">
        <f t="array" ref="K830">INT(5 * (RANK(H830,H:H, 0) - 1) / COUNT(H:H)) + 1</f>
        <v>3</v>
      </c>
      <c r="L830">
        <f t="array" ref="L830">INT(5 * (RANK(I830,I:I, 0) - 1) / COUNT(I:I)) + 1</f>
        <v>3</v>
      </c>
      <c r="M830" t="str">
        <f t="shared" si="24"/>
        <v>233</v>
      </c>
      <c r="N830" s="6" t="str">
        <f t="shared" si="25"/>
        <v>At Risk</v>
      </c>
    </row>
    <row r="831" spans="1:14" x14ac:dyDescent="0.35">
      <c r="A831">
        <v>1266</v>
      </c>
      <c r="B831" s="4">
        <v>45611.375085336993</v>
      </c>
      <c r="C831" t="s">
        <v>8</v>
      </c>
      <c r="D831" t="s">
        <v>17</v>
      </c>
      <c r="E831" t="s">
        <v>23</v>
      </c>
      <c r="F831">
        <v>3628.34</v>
      </c>
      <c r="G831">
        <f t="array" ref="G831">SalesData!$I$2 - 'RFM Table'!B831</f>
        <v>525</v>
      </c>
      <c r="H831">
        <f t="array" ref="H831">COUNTIF(A:A,A831)</f>
        <v>9</v>
      </c>
      <c r="I831">
        <f t="array" ref="I831">SUMIF(A:A,A831,F:F)</f>
        <v>44679.94</v>
      </c>
      <c r="J831">
        <f t="array" ref="J831">5 - INT(5 * (RANK(G831,G:G, 1) - 1) / COUNT(G:G))</f>
        <v>2</v>
      </c>
      <c r="K831">
        <f t="array" ref="K831">INT(5 * (RANK(H831,H:H, 0) - 1) / COUNT(H:H)) + 1</f>
        <v>2</v>
      </c>
      <c r="L831">
        <f t="array" ref="L831">INT(5 * (RANK(I831,I:I, 0) - 1) / COUNT(I:I)) + 1</f>
        <v>2</v>
      </c>
      <c r="M831" t="str">
        <f t="shared" si="24"/>
        <v>222</v>
      </c>
      <c r="N831" s="6" t="str">
        <f t="shared" si="25"/>
        <v>Lost</v>
      </c>
    </row>
    <row r="832" spans="1:14" x14ac:dyDescent="0.35">
      <c r="A832">
        <v>1290</v>
      </c>
      <c r="B832" s="4">
        <v>45611.375085336993</v>
      </c>
      <c r="C832" t="s">
        <v>12</v>
      </c>
      <c r="D832" t="s">
        <v>19</v>
      </c>
      <c r="E832" t="s">
        <v>25</v>
      </c>
      <c r="F832">
        <v>4049.3</v>
      </c>
      <c r="G832">
        <f t="array" ref="G832">SalesData!$I$2 - 'RFM Table'!B832</f>
        <v>525</v>
      </c>
      <c r="H832">
        <f t="array" ref="H832">COUNTIF(A:A,A832)</f>
        <v>9</v>
      </c>
      <c r="I832">
        <f t="array" ref="I832">SUMIF(A:A,A832,F:F)</f>
        <v>37864.199999999997</v>
      </c>
      <c r="J832">
        <f t="array" ref="J832">5 - INT(5 * (RANK(G832,G:G, 1) - 1) / COUNT(G:G))</f>
        <v>2</v>
      </c>
      <c r="K832">
        <f t="array" ref="K832">INT(5 * (RANK(H832,H:H, 0) - 1) / COUNT(H:H)) + 1</f>
        <v>2</v>
      </c>
      <c r="L832">
        <f t="array" ref="L832">INT(5 * (RANK(I832,I:I, 0) - 1) / COUNT(I:I)) + 1</f>
        <v>2</v>
      </c>
      <c r="M832" t="str">
        <f t="shared" si="24"/>
        <v>222</v>
      </c>
      <c r="N832" s="6" t="str">
        <f t="shared" si="25"/>
        <v>Lost</v>
      </c>
    </row>
    <row r="833" spans="1:14" x14ac:dyDescent="0.35">
      <c r="A833">
        <v>1039</v>
      </c>
      <c r="B833" s="4">
        <v>45612.375085336993</v>
      </c>
      <c r="C833" t="s">
        <v>10</v>
      </c>
      <c r="D833" t="s">
        <v>21</v>
      </c>
      <c r="E833" t="s">
        <v>23</v>
      </c>
      <c r="F833">
        <v>739.92</v>
      </c>
      <c r="G833">
        <f t="array" ref="G833">SalesData!$I$2 - 'RFM Table'!B833</f>
        <v>524</v>
      </c>
      <c r="H833">
        <f t="array" ref="H833">COUNTIF(A:A,A833)</f>
        <v>8</v>
      </c>
      <c r="I833">
        <f t="array" ref="I833">SUMIF(A:A,A833,F:F)</f>
        <v>21286.739999999998</v>
      </c>
      <c r="J833">
        <f t="array" ref="J833">5 - INT(5 * (RANK(G833,G:G, 1) - 1) / COUNT(G:G))</f>
        <v>2</v>
      </c>
      <c r="K833">
        <f t="array" ref="K833">INT(5 * (RANK(H833,H:H, 0) - 1) / COUNT(H:H)) + 1</f>
        <v>3</v>
      </c>
      <c r="L833">
        <f t="array" ref="L833">INT(5 * (RANK(I833,I:I, 0) - 1) / COUNT(I:I)) + 1</f>
        <v>5</v>
      </c>
      <c r="M833" t="str">
        <f t="shared" si="24"/>
        <v>235</v>
      </c>
      <c r="N833" s="6" t="str">
        <f t="shared" si="25"/>
        <v>At Risk</v>
      </c>
    </row>
    <row r="834" spans="1:14" x14ac:dyDescent="0.35">
      <c r="A834">
        <v>1164</v>
      </c>
      <c r="B834" s="4">
        <v>45612.375085336993</v>
      </c>
      <c r="C834" t="s">
        <v>12</v>
      </c>
      <c r="D834" t="s">
        <v>18</v>
      </c>
      <c r="E834" t="s">
        <v>23</v>
      </c>
      <c r="F834">
        <v>10769.62</v>
      </c>
      <c r="G834">
        <f t="array" ref="G834">SalesData!$I$2 - 'RFM Table'!B834</f>
        <v>524</v>
      </c>
      <c r="H834">
        <f t="array" ref="H834">COUNTIF(A:A,A834)</f>
        <v>7</v>
      </c>
      <c r="I834">
        <f t="array" ref="I834">SUMIF(A:A,A834,F:F)</f>
        <v>29497.360000000001</v>
      </c>
      <c r="J834">
        <f t="array" ref="J834">5 - INT(5 * (RANK(G834,G:G, 1) - 1) / COUNT(G:G))</f>
        <v>2</v>
      </c>
      <c r="K834">
        <f t="array" ref="K834">INT(5 * (RANK(H834,H:H, 0) - 1) / COUNT(H:H)) + 1</f>
        <v>4</v>
      </c>
      <c r="L834">
        <f t="array" ref="L834">INT(5 * (RANK(I834,I:I, 0) - 1) / COUNT(I:I)) + 1</f>
        <v>3</v>
      </c>
      <c r="M834" t="str">
        <f t="shared" si="24"/>
        <v>243</v>
      </c>
      <c r="N834" s="6" t="str">
        <f t="shared" si="25"/>
        <v>At Risk</v>
      </c>
    </row>
    <row r="835" spans="1:14" x14ac:dyDescent="0.35">
      <c r="A835">
        <v>1187</v>
      </c>
      <c r="B835" s="4">
        <v>45612.375085336993</v>
      </c>
      <c r="C835" t="s">
        <v>14</v>
      </c>
      <c r="D835" t="s">
        <v>16</v>
      </c>
      <c r="E835" t="s">
        <v>25</v>
      </c>
      <c r="F835">
        <v>1977.58</v>
      </c>
      <c r="G835">
        <f t="array" ref="G835">SalesData!$I$2 - 'RFM Table'!B835</f>
        <v>524</v>
      </c>
      <c r="H835">
        <f t="array" ref="H835">COUNTIF(A:A,A835)</f>
        <v>11</v>
      </c>
      <c r="I835">
        <f t="array" ref="I835">SUMIF(A:A,A835,F:F)</f>
        <v>43247.159999999996</v>
      </c>
      <c r="J835">
        <f t="array" ref="J835">5 - INT(5 * (RANK(G835,G:G, 1) - 1) / COUNT(G:G))</f>
        <v>2</v>
      </c>
      <c r="K835">
        <f t="array" ref="K835">INT(5 * (RANK(H835,H:H, 0) - 1) / COUNT(H:H)) + 1</f>
        <v>1</v>
      </c>
      <c r="L835">
        <f t="array" ref="L835">INT(5 * (RANK(I835,I:I, 0) - 1) / COUNT(I:I)) + 1</f>
        <v>2</v>
      </c>
      <c r="M835" t="str">
        <f t="shared" ref="M835:M898" si="26">J835 &amp; K835 &amp; L835</f>
        <v>212</v>
      </c>
      <c r="N835" s="6" t="str">
        <f t="shared" ref="N835:N898" si="27">IF(AND(J835&gt;=4,K835&lt;=2),"New Customers",
IF(AND(J835&lt;=2,K835&gt;=3,L835&gt;=3),"At Risk",
IF(AND(J835&lt;=2,K835&lt;=2,L835&gt;=3),"Can't Lose Them",
IF(AND(J835&lt;=2,K835&lt;=2,L835&lt;=2),"Lost",
"Others"))))</f>
        <v>Lost</v>
      </c>
    </row>
    <row r="836" spans="1:14" x14ac:dyDescent="0.35">
      <c r="A836">
        <v>1358</v>
      </c>
      <c r="B836" s="4">
        <v>45612.375085336993</v>
      </c>
      <c r="C836" t="s">
        <v>15</v>
      </c>
      <c r="D836" t="s">
        <v>18</v>
      </c>
      <c r="E836" t="s">
        <v>23</v>
      </c>
      <c r="F836">
        <v>2061.9899999999998</v>
      </c>
      <c r="G836">
        <f t="array" ref="G836">SalesData!$I$2 - 'RFM Table'!B836</f>
        <v>524</v>
      </c>
      <c r="H836">
        <f t="array" ref="H836">COUNTIF(A:A,A836)</f>
        <v>9</v>
      </c>
      <c r="I836">
        <f t="array" ref="I836">SUMIF(A:A,A836,F:F)</f>
        <v>29151.88</v>
      </c>
      <c r="J836">
        <f t="array" ref="J836">5 - INT(5 * (RANK(G836,G:G, 1) - 1) / COUNT(G:G))</f>
        <v>2</v>
      </c>
      <c r="K836">
        <f t="array" ref="K836">INT(5 * (RANK(H836,H:H, 0) - 1) / COUNT(H:H)) + 1</f>
        <v>2</v>
      </c>
      <c r="L836">
        <f t="array" ref="L836">INT(5 * (RANK(I836,I:I, 0) - 1) / COUNT(I:I)) + 1</f>
        <v>4</v>
      </c>
      <c r="M836" t="str">
        <f t="shared" si="26"/>
        <v>224</v>
      </c>
      <c r="N836" s="6" t="str">
        <f t="shared" si="27"/>
        <v>Can't Lose Them</v>
      </c>
    </row>
    <row r="837" spans="1:14" x14ac:dyDescent="0.35">
      <c r="A837">
        <v>1285</v>
      </c>
      <c r="B837" s="4">
        <v>45612.375085336993</v>
      </c>
      <c r="C837" t="s">
        <v>12</v>
      </c>
      <c r="D837" t="s">
        <v>19</v>
      </c>
      <c r="E837" t="s">
        <v>23</v>
      </c>
      <c r="F837">
        <v>2165.4499999999998</v>
      </c>
      <c r="G837">
        <f t="array" ref="G837">SalesData!$I$2 - 'RFM Table'!B837</f>
        <v>524</v>
      </c>
      <c r="H837">
        <f t="array" ref="H837">COUNTIF(A:A,A837)</f>
        <v>9</v>
      </c>
      <c r="I837">
        <f t="array" ref="I837">SUMIF(A:A,A837,F:F)</f>
        <v>27990.980000000003</v>
      </c>
      <c r="J837">
        <f t="array" ref="J837">5 - INT(5 * (RANK(G837,G:G, 1) - 1) / COUNT(G:G))</f>
        <v>2</v>
      </c>
      <c r="K837">
        <f t="array" ref="K837">INT(5 * (RANK(H837,H:H, 0) - 1) / COUNT(H:H)) + 1</f>
        <v>2</v>
      </c>
      <c r="L837">
        <f t="array" ref="L837">INT(5 * (RANK(I837,I:I, 0) - 1) / COUNT(I:I)) + 1</f>
        <v>4</v>
      </c>
      <c r="M837" t="str">
        <f t="shared" si="26"/>
        <v>224</v>
      </c>
      <c r="N837" s="6" t="str">
        <f t="shared" si="27"/>
        <v>Can't Lose Them</v>
      </c>
    </row>
    <row r="838" spans="1:14" x14ac:dyDescent="0.35">
      <c r="A838">
        <v>1021</v>
      </c>
      <c r="B838" s="4">
        <v>45612.375085336993</v>
      </c>
      <c r="C838" t="s">
        <v>9</v>
      </c>
      <c r="D838" t="s">
        <v>20</v>
      </c>
      <c r="E838" t="s">
        <v>23</v>
      </c>
      <c r="F838">
        <v>1404.58</v>
      </c>
      <c r="G838">
        <f t="array" ref="G838">SalesData!$I$2 - 'RFM Table'!B838</f>
        <v>524</v>
      </c>
      <c r="H838">
        <f t="array" ref="H838">COUNTIF(A:A,A838)</f>
        <v>7</v>
      </c>
      <c r="I838">
        <f t="array" ref="I838">SUMIF(A:A,A838,F:F)</f>
        <v>13087.390000000001</v>
      </c>
      <c r="J838">
        <f t="array" ref="J838">5 - INT(5 * (RANK(G838,G:G, 1) - 1) / COUNT(G:G))</f>
        <v>2</v>
      </c>
      <c r="K838">
        <f t="array" ref="K838">INT(5 * (RANK(H838,H:H, 0) - 1) / COUNT(H:H)) + 1</f>
        <v>4</v>
      </c>
      <c r="L838">
        <f t="array" ref="L838">INT(5 * (RANK(I838,I:I, 0) - 1) / COUNT(I:I)) + 1</f>
        <v>5</v>
      </c>
      <c r="M838" t="str">
        <f t="shared" si="26"/>
        <v>245</v>
      </c>
      <c r="N838" s="6" t="str">
        <f t="shared" si="27"/>
        <v>At Risk</v>
      </c>
    </row>
    <row r="839" spans="1:14" x14ac:dyDescent="0.35">
      <c r="A839">
        <v>1177</v>
      </c>
      <c r="B839" s="4">
        <v>45612.375085336993</v>
      </c>
      <c r="C839" t="s">
        <v>9</v>
      </c>
      <c r="D839" t="s">
        <v>18</v>
      </c>
      <c r="E839" t="s">
        <v>24</v>
      </c>
      <c r="F839">
        <v>1170.99</v>
      </c>
      <c r="G839">
        <f t="array" ref="G839">SalesData!$I$2 - 'RFM Table'!B839</f>
        <v>524</v>
      </c>
      <c r="H839">
        <f t="array" ref="H839">COUNTIF(A:A,A839)</f>
        <v>9</v>
      </c>
      <c r="I839">
        <f t="array" ref="I839">SUMIF(A:A,A839,F:F)</f>
        <v>27857.719999999998</v>
      </c>
      <c r="J839">
        <f t="array" ref="J839">5 - INT(5 * (RANK(G839,G:G, 1) - 1) / COUNT(G:G))</f>
        <v>2</v>
      </c>
      <c r="K839">
        <f t="array" ref="K839">INT(5 * (RANK(H839,H:H, 0) - 1) / COUNT(H:H)) + 1</f>
        <v>2</v>
      </c>
      <c r="L839">
        <f t="array" ref="L839">INT(5 * (RANK(I839,I:I, 0) - 1) / COUNT(I:I)) + 1</f>
        <v>4</v>
      </c>
      <c r="M839" t="str">
        <f t="shared" si="26"/>
        <v>224</v>
      </c>
      <c r="N839" s="6" t="str">
        <f t="shared" si="27"/>
        <v>Can't Lose Them</v>
      </c>
    </row>
    <row r="840" spans="1:14" x14ac:dyDescent="0.35">
      <c r="A840">
        <v>1242</v>
      </c>
      <c r="B840" s="4">
        <v>45612.375085336993</v>
      </c>
      <c r="C840" t="s">
        <v>14</v>
      </c>
      <c r="D840" t="s">
        <v>21</v>
      </c>
      <c r="E840" t="s">
        <v>25</v>
      </c>
      <c r="F840">
        <v>5742.32</v>
      </c>
      <c r="G840">
        <f t="array" ref="G840">SalesData!$I$2 - 'RFM Table'!B840</f>
        <v>524</v>
      </c>
      <c r="H840">
        <f t="array" ref="H840">COUNTIF(A:A,A840)</f>
        <v>8</v>
      </c>
      <c r="I840">
        <f t="array" ref="I840">SUMIF(A:A,A840,F:F)</f>
        <v>26424.119999999995</v>
      </c>
      <c r="J840">
        <f t="array" ref="J840">5 - INT(5 * (RANK(G840,G:G, 1) - 1) / COUNT(G:G))</f>
        <v>2</v>
      </c>
      <c r="K840">
        <f t="array" ref="K840">INT(5 * (RANK(H840,H:H, 0) - 1) / COUNT(H:H)) + 1</f>
        <v>3</v>
      </c>
      <c r="L840">
        <f t="array" ref="L840">INT(5 * (RANK(I840,I:I, 0) - 1) / COUNT(I:I)) + 1</f>
        <v>4</v>
      </c>
      <c r="M840" t="str">
        <f t="shared" si="26"/>
        <v>234</v>
      </c>
      <c r="N840" s="6" t="str">
        <f t="shared" si="27"/>
        <v>At Risk</v>
      </c>
    </row>
    <row r="841" spans="1:14" x14ac:dyDescent="0.35">
      <c r="A841">
        <v>1287</v>
      </c>
      <c r="B841" s="4">
        <v>45613.375085336993</v>
      </c>
      <c r="C841" t="s">
        <v>10</v>
      </c>
      <c r="D841" t="s">
        <v>18</v>
      </c>
      <c r="E841" t="s">
        <v>25</v>
      </c>
      <c r="F841">
        <v>7621.23</v>
      </c>
      <c r="G841">
        <f t="array" ref="G841">SalesData!$I$2 - 'RFM Table'!B841</f>
        <v>523</v>
      </c>
      <c r="H841">
        <f t="array" ref="H841">COUNTIF(A:A,A841)</f>
        <v>16</v>
      </c>
      <c r="I841">
        <f t="array" ref="I841">SUMIF(A:A,A841,F:F)</f>
        <v>64716.249999999985</v>
      </c>
      <c r="J841">
        <f t="array" ref="J841">5 - INT(5 * (RANK(G841,G:G, 1) - 1) / COUNT(G:G))</f>
        <v>2</v>
      </c>
      <c r="K841">
        <f t="array" ref="K841">INT(5 * (RANK(H841,H:H, 0) - 1) / COUNT(H:H)) + 1</f>
        <v>1</v>
      </c>
      <c r="L841">
        <f t="array" ref="L841">INT(5 * (RANK(I841,I:I, 0) - 1) / COUNT(I:I)) + 1</f>
        <v>1</v>
      </c>
      <c r="M841" t="str">
        <f t="shared" si="26"/>
        <v>211</v>
      </c>
      <c r="N841" s="6" t="str">
        <f t="shared" si="27"/>
        <v>Lost</v>
      </c>
    </row>
    <row r="842" spans="1:14" x14ac:dyDescent="0.35">
      <c r="A842">
        <v>1267</v>
      </c>
      <c r="B842" s="4">
        <v>45613.375085336993</v>
      </c>
      <c r="C842" t="s">
        <v>12</v>
      </c>
      <c r="D842" t="s">
        <v>20</v>
      </c>
      <c r="E842" t="s">
        <v>23</v>
      </c>
      <c r="F842">
        <v>11942.57</v>
      </c>
      <c r="G842">
        <f t="array" ref="G842">SalesData!$I$2 - 'RFM Table'!B842</f>
        <v>523</v>
      </c>
      <c r="H842">
        <f t="array" ref="H842">COUNTIF(A:A,A842)</f>
        <v>9</v>
      </c>
      <c r="I842">
        <f t="array" ref="I842">SUMIF(A:A,A842,F:F)</f>
        <v>39538.21</v>
      </c>
      <c r="J842">
        <f t="array" ref="J842">5 - INT(5 * (RANK(G842,G:G, 1) - 1) / COUNT(G:G))</f>
        <v>2</v>
      </c>
      <c r="K842">
        <f t="array" ref="K842">INT(5 * (RANK(H842,H:H, 0) - 1) / COUNT(H:H)) + 1</f>
        <v>2</v>
      </c>
      <c r="L842">
        <f t="array" ref="L842">INT(5 * (RANK(I842,I:I, 0) - 1) / COUNT(I:I)) + 1</f>
        <v>2</v>
      </c>
      <c r="M842" t="str">
        <f t="shared" si="26"/>
        <v>222</v>
      </c>
      <c r="N842" s="6" t="str">
        <f t="shared" si="27"/>
        <v>Lost</v>
      </c>
    </row>
    <row r="843" spans="1:14" x14ac:dyDescent="0.35">
      <c r="A843">
        <v>1055</v>
      </c>
      <c r="B843" s="4">
        <v>45613.375085336993</v>
      </c>
      <c r="C843" t="s">
        <v>11</v>
      </c>
      <c r="D843" t="s">
        <v>22</v>
      </c>
      <c r="E843" t="s">
        <v>25</v>
      </c>
      <c r="F843">
        <v>1882.44</v>
      </c>
      <c r="G843">
        <f t="array" ref="G843">SalesData!$I$2 - 'RFM Table'!B843</f>
        <v>523</v>
      </c>
      <c r="H843">
        <f t="array" ref="H843">COUNTIF(A:A,A843)</f>
        <v>4</v>
      </c>
      <c r="I843">
        <f t="array" ref="I843">SUMIF(A:A,A843,F:F)</f>
        <v>14706.1</v>
      </c>
      <c r="J843">
        <f t="array" ref="J843">5 - INT(5 * (RANK(G843,G:G, 1) - 1) / COUNT(G:G))</f>
        <v>2</v>
      </c>
      <c r="K843">
        <f t="array" ref="K843">INT(5 * (RANK(H843,H:H, 0) - 1) / COUNT(H:H)) + 1</f>
        <v>5</v>
      </c>
      <c r="L843">
        <f t="array" ref="L843">INT(5 * (RANK(I843,I:I, 0) - 1) / COUNT(I:I)) + 1</f>
        <v>5</v>
      </c>
      <c r="M843" t="str">
        <f t="shared" si="26"/>
        <v>255</v>
      </c>
      <c r="N843" s="6" t="str">
        <f t="shared" si="27"/>
        <v>At Risk</v>
      </c>
    </row>
    <row r="844" spans="1:14" x14ac:dyDescent="0.35">
      <c r="A844">
        <v>1381</v>
      </c>
      <c r="B844" s="4">
        <v>45614.375085336993</v>
      </c>
      <c r="C844" t="s">
        <v>7</v>
      </c>
      <c r="D844" t="s">
        <v>22</v>
      </c>
      <c r="E844" t="s">
        <v>25</v>
      </c>
      <c r="F844">
        <v>2272.9899999999998</v>
      </c>
      <c r="G844">
        <f t="array" ref="G844">SalesData!$I$2 - 'RFM Table'!B844</f>
        <v>522</v>
      </c>
      <c r="H844">
        <f t="array" ref="H844">COUNTIF(A:A,A844)</f>
        <v>7</v>
      </c>
      <c r="I844">
        <f t="array" ref="I844">SUMIF(A:A,A844,F:F)</f>
        <v>32953.599999999999</v>
      </c>
      <c r="J844">
        <f t="array" ref="J844">5 - INT(5 * (RANK(G844,G:G, 1) - 1) / COUNT(G:G))</f>
        <v>2</v>
      </c>
      <c r="K844">
        <f t="array" ref="K844">INT(5 * (RANK(H844,H:H, 0) - 1) / COUNT(H:H)) + 1</f>
        <v>4</v>
      </c>
      <c r="L844">
        <f t="array" ref="L844">INT(5 * (RANK(I844,I:I, 0) - 1) / COUNT(I:I)) + 1</f>
        <v>3</v>
      </c>
      <c r="M844" t="str">
        <f t="shared" si="26"/>
        <v>243</v>
      </c>
      <c r="N844" s="6" t="str">
        <f t="shared" si="27"/>
        <v>At Risk</v>
      </c>
    </row>
    <row r="845" spans="1:14" x14ac:dyDescent="0.35">
      <c r="A845">
        <v>1077</v>
      </c>
      <c r="B845" s="4">
        <v>45614.375085336993</v>
      </c>
      <c r="C845" t="s">
        <v>15</v>
      </c>
      <c r="D845" t="s">
        <v>21</v>
      </c>
      <c r="E845" t="s">
        <v>25</v>
      </c>
      <c r="F845">
        <v>7690.7</v>
      </c>
      <c r="G845">
        <f t="array" ref="G845">SalesData!$I$2 - 'RFM Table'!B845</f>
        <v>522</v>
      </c>
      <c r="H845">
        <f t="array" ref="H845">COUNTIF(A:A,A845)</f>
        <v>8</v>
      </c>
      <c r="I845">
        <f t="array" ref="I845">SUMIF(A:A,A845,F:F)</f>
        <v>28309.71</v>
      </c>
      <c r="J845">
        <f t="array" ref="J845">5 - INT(5 * (RANK(G845,G:G, 1) - 1) / COUNT(G:G))</f>
        <v>2</v>
      </c>
      <c r="K845">
        <f t="array" ref="K845">INT(5 * (RANK(H845,H:H, 0) - 1) / COUNT(H:H)) + 1</f>
        <v>3</v>
      </c>
      <c r="L845">
        <f t="array" ref="L845">INT(5 * (RANK(I845,I:I, 0) - 1) / COUNT(I:I)) + 1</f>
        <v>4</v>
      </c>
      <c r="M845" t="str">
        <f t="shared" si="26"/>
        <v>234</v>
      </c>
      <c r="N845" s="6" t="str">
        <f t="shared" si="27"/>
        <v>At Risk</v>
      </c>
    </row>
    <row r="846" spans="1:14" x14ac:dyDescent="0.35">
      <c r="A846">
        <v>1294</v>
      </c>
      <c r="B846" s="4">
        <v>45615.375085336993</v>
      </c>
      <c r="C846" t="s">
        <v>6</v>
      </c>
      <c r="D846" t="s">
        <v>22</v>
      </c>
      <c r="E846" t="s">
        <v>25</v>
      </c>
      <c r="F846">
        <v>4540.47</v>
      </c>
      <c r="G846">
        <f t="array" ref="G846">SalesData!$I$2 - 'RFM Table'!B846</f>
        <v>521</v>
      </c>
      <c r="H846">
        <f t="array" ref="H846">COUNTIF(A:A,A846)</f>
        <v>7</v>
      </c>
      <c r="I846">
        <f t="array" ref="I846">SUMIF(A:A,A846,F:F)</f>
        <v>18314.88</v>
      </c>
      <c r="J846">
        <f t="array" ref="J846">5 - INT(5 * (RANK(G846,G:G, 1) - 1) / COUNT(G:G))</f>
        <v>2</v>
      </c>
      <c r="K846">
        <f t="array" ref="K846">INT(5 * (RANK(H846,H:H, 0) - 1) / COUNT(H:H)) + 1</f>
        <v>4</v>
      </c>
      <c r="L846">
        <f t="array" ref="L846">INT(5 * (RANK(I846,I:I, 0) - 1) / COUNT(I:I)) + 1</f>
        <v>5</v>
      </c>
      <c r="M846" t="str">
        <f t="shared" si="26"/>
        <v>245</v>
      </c>
      <c r="N846" s="6" t="str">
        <f t="shared" si="27"/>
        <v>At Risk</v>
      </c>
    </row>
    <row r="847" spans="1:14" x14ac:dyDescent="0.35">
      <c r="A847">
        <v>1096</v>
      </c>
      <c r="B847" s="4">
        <v>45615.375085336993</v>
      </c>
      <c r="C847" t="s">
        <v>7</v>
      </c>
      <c r="D847" t="s">
        <v>22</v>
      </c>
      <c r="E847" t="s">
        <v>24</v>
      </c>
      <c r="F847">
        <v>2439.38</v>
      </c>
      <c r="G847">
        <f t="array" ref="G847">SalesData!$I$2 - 'RFM Table'!B847</f>
        <v>521</v>
      </c>
      <c r="H847">
        <f t="array" ref="H847">COUNTIF(A:A,A847)</f>
        <v>6</v>
      </c>
      <c r="I847">
        <f t="array" ref="I847">SUMIF(A:A,A847,F:F)</f>
        <v>11900.869999999999</v>
      </c>
      <c r="J847">
        <f t="array" ref="J847">5 - INT(5 * (RANK(G847,G:G, 1) - 1) / COUNT(G:G))</f>
        <v>2</v>
      </c>
      <c r="K847">
        <f t="array" ref="K847">INT(5 * (RANK(H847,H:H, 0) - 1) / COUNT(H:H)) + 1</f>
        <v>4</v>
      </c>
      <c r="L847">
        <f t="array" ref="L847">INT(5 * (RANK(I847,I:I, 0) - 1) / COUNT(I:I)) + 1</f>
        <v>5</v>
      </c>
      <c r="M847" t="str">
        <f t="shared" si="26"/>
        <v>245</v>
      </c>
      <c r="N847" s="6" t="str">
        <f t="shared" si="27"/>
        <v>At Risk</v>
      </c>
    </row>
    <row r="848" spans="1:14" x14ac:dyDescent="0.35">
      <c r="A848">
        <v>1125</v>
      </c>
      <c r="B848" s="4">
        <v>45615.375085336993</v>
      </c>
      <c r="C848" t="s">
        <v>14</v>
      </c>
      <c r="D848" t="s">
        <v>18</v>
      </c>
      <c r="E848" t="s">
        <v>24</v>
      </c>
      <c r="F848">
        <v>6811.5</v>
      </c>
      <c r="G848">
        <f t="array" ref="G848">SalesData!$I$2 - 'RFM Table'!B848</f>
        <v>521</v>
      </c>
      <c r="H848">
        <f t="array" ref="H848">COUNTIF(A:A,A848)</f>
        <v>9</v>
      </c>
      <c r="I848">
        <f t="array" ref="I848">SUMIF(A:A,A848,F:F)</f>
        <v>32520.350000000002</v>
      </c>
      <c r="J848">
        <f t="array" ref="J848">5 - INT(5 * (RANK(G848,G:G, 1) - 1) / COUNT(G:G))</f>
        <v>2</v>
      </c>
      <c r="K848">
        <f t="array" ref="K848">INT(5 * (RANK(H848,H:H, 0) - 1) / COUNT(H:H)) + 1</f>
        <v>2</v>
      </c>
      <c r="L848">
        <f t="array" ref="L848">INT(5 * (RANK(I848,I:I, 0) - 1) / COUNT(I:I)) + 1</f>
        <v>3</v>
      </c>
      <c r="M848" t="str">
        <f t="shared" si="26"/>
        <v>223</v>
      </c>
      <c r="N848" s="6" t="str">
        <f t="shared" si="27"/>
        <v>Can't Lose Them</v>
      </c>
    </row>
    <row r="849" spans="1:14" x14ac:dyDescent="0.35">
      <c r="A849">
        <v>1014</v>
      </c>
      <c r="B849" s="4">
        <v>45615.375085336993</v>
      </c>
      <c r="C849" t="s">
        <v>14</v>
      </c>
      <c r="D849" t="s">
        <v>19</v>
      </c>
      <c r="E849" t="s">
        <v>23</v>
      </c>
      <c r="F849">
        <v>1268.07</v>
      </c>
      <c r="G849">
        <f t="array" ref="G849">SalesData!$I$2 - 'RFM Table'!B849</f>
        <v>521</v>
      </c>
      <c r="H849">
        <f t="array" ref="H849">COUNTIF(A:A,A849)</f>
        <v>8</v>
      </c>
      <c r="I849">
        <f t="array" ref="I849">SUMIF(A:A,A849,F:F)</f>
        <v>27090.329999999998</v>
      </c>
      <c r="J849">
        <f t="array" ref="J849">5 - INT(5 * (RANK(G849,G:G, 1) - 1) / COUNT(G:G))</f>
        <v>2</v>
      </c>
      <c r="K849">
        <f t="array" ref="K849">INT(5 * (RANK(H849,H:H, 0) - 1) / COUNT(H:H)) + 1</f>
        <v>3</v>
      </c>
      <c r="L849">
        <f t="array" ref="L849">INT(5 * (RANK(I849,I:I, 0) - 1) / COUNT(I:I)) + 1</f>
        <v>4</v>
      </c>
      <c r="M849" t="str">
        <f t="shared" si="26"/>
        <v>234</v>
      </c>
      <c r="N849" s="6" t="str">
        <f t="shared" si="27"/>
        <v>At Risk</v>
      </c>
    </row>
    <row r="850" spans="1:14" x14ac:dyDescent="0.35">
      <c r="A850">
        <v>1034</v>
      </c>
      <c r="B850" s="4">
        <v>45615.375085336993</v>
      </c>
      <c r="C850" t="s">
        <v>6</v>
      </c>
      <c r="D850" t="s">
        <v>17</v>
      </c>
      <c r="E850" t="s">
        <v>25</v>
      </c>
      <c r="F850">
        <v>2740.63</v>
      </c>
      <c r="G850">
        <f t="array" ref="G850">SalesData!$I$2 - 'RFM Table'!B850</f>
        <v>521</v>
      </c>
      <c r="H850">
        <f t="array" ref="H850">COUNTIF(A:A,A850)</f>
        <v>8</v>
      </c>
      <c r="I850">
        <f t="array" ref="I850">SUMIF(A:A,A850,F:F)</f>
        <v>22493.960000000003</v>
      </c>
      <c r="J850">
        <f t="array" ref="J850">5 - INT(5 * (RANK(G850,G:G, 1) - 1) / COUNT(G:G))</f>
        <v>2</v>
      </c>
      <c r="K850">
        <f t="array" ref="K850">INT(5 * (RANK(H850,H:H, 0) - 1) / COUNT(H:H)) + 1</f>
        <v>3</v>
      </c>
      <c r="L850">
        <f t="array" ref="L850">INT(5 * (RANK(I850,I:I, 0) - 1) / COUNT(I:I)) + 1</f>
        <v>4</v>
      </c>
      <c r="M850" t="str">
        <f t="shared" si="26"/>
        <v>234</v>
      </c>
      <c r="N850" s="6" t="str">
        <f t="shared" si="27"/>
        <v>At Risk</v>
      </c>
    </row>
    <row r="851" spans="1:14" x14ac:dyDescent="0.35">
      <c r="A851">
        <v>1129</v>
      </c>
      <c r="B851" s="4">
        <v>45615.375085336993</v>
      </c>
      <c r="C851" t="s">
        <v>14</v>
      </c>
      <c r="D851" t="s">
        <v>22</v>
      </c>
      <c r="E851" t="s">
        <v>23</v>
      </c>
      <c r="F851">
        <v>3626.37</v>
      </c>
      <c r="G851">
        <f t="array" ref="G851">SalesData!$I$2 - 'RFM Table'!B851</f>
        <v>521</v>
      </c>
      <c r="H851">
        <f t="array" ref="H851">COUNTIF(A:A,A851)</f>
        <v>14</v>
      </c>
      <c r="I851">
        <f t="array" ref="I851">SUMIF(A:A,A851,F:F)</f>
        <v>53433.220000000008</v>
      </c>
      <c r="J851">
        <f t="array" ref="J851">5 - INT(5 * (RANK(G851,G:G, 1) - 1) / COUNT(G:G))</f>
        <v>2</v>
      </c>
      <c r="K851">
        <f t="array" ref="K851">INT(5 * (RANK(H851,H:H, 0) - 1) / COUNT(H:H)) + 1</f>
        <v>1</v>
      </c>
      <c r="L851">
        <f t="array" ref="L851">INT(5 * (RANK(I851,I:I, 0) - 1) / COUNT(I:I)) + 1</f>
        <v>1</v>
      </c>
      <c r="M851" t="str">
        <f t="shared" si="26"/>
        <v>211</v>
      </c>
      <c r="N851" s="6" t="str">
        <f t="shared" si="27"/>
        <v>Lost</v>
      </c>
    </row>
    <row r="852" spans="1:14" x14ac:dyDescent="0.35">
      <c r="A852">
        <v>1332</v>
      </c>
      <c r="B852" s="4">
        <v>45615.375085336993</v>
      </c>
      <c r="C852" t="s">
        <v>8</v>
      </c>
      <c r="D852" t="s">
        <v>16</v>
      </c>
      <c r="E852" t="s">
        <v>23</v>
      </c>
      <c r="F852">
        <v>2884.81</v>
      </c>
      <c r="G852">
        <f t="array" ref="G852">SalesData!$I$2 - 'RFM Table'!B852</f>
        <v>521</v>
      </c>
      <c r="H852">
        <f t="array" ref="H852">COUNTIF(A:A,A852)</f>
        <v>4</v>
      </c>
      <c r="I852">
        <f t="array" ref="I852">SUMIF(A:A,A852,F:F)</f>
        <v>11144.500000000002</v>
      </c>
      <c r="J852">
        <f t="array" ref="J852">5 - INT(5 * (RANK(G852,G:G, 1) - 1) / COUNT(G:G))</f>
        <v>2</v>
      </c>
      <c r="K852">
        <f t="array" ref="K852">INT(5 * (RANK(H852,H:H, 0) - 1) / COUNT(H:H)) + 1</f>
        <v>5</v>
      </c>
      <c r="L852">
        <f t="array" ref="L852">INT(5 * (RANK(I852,I:I, 0) - 1) / COUNT(I:I)) + 1</f>
        <v>5</v>
      </c>
      <c r="M852" t="str">
        <f t="shared" si="26"/>
        <v>255</v>
      </c>
      <c r="N852" s="6" t="str">
        <f t="shared" si="27"/>
        <v>At Risk</v>
      </c>
    </row>
    <row r="853" spans="1:14" x14ac:dyDescent="0.35">
      <c r="A853">
        <v>1303</v>
      </c>
      <c r="B853" s="4">
        <v>45616.375085336993</v>
      </c>
      <c r="C853" t="s">
        <v>13</v>
      </c>
      <c r="D853" t="s">
        <v>19</v>
      </c>
      <c r="E853" t="s">
        <v>25</v>
      </c>
      <c r="F853">
        <v>1632</v>
      </c>
      <c r="G853">
        <f t="array" ref="G853">SalesData!$I$2 - 'RFM Table'!B853</f>
        <v>520</v>
      </c>
      <c r="H853">
        <f t="array" ref="H853">COUNTIF(A:A,A853)</f>
        <v>9</v>
      </c>
      <c r="I853">
        <f t="array" ref="I853">SUMIF(A:A,A853,F:F)</f>
        <v>27888.809999999998</v>
      </c>
      <c r="J853">
        <f t="array" ref="J853">5 - INT(5 * (RANK(G853,G:G, 1) - 1) / COUNT(G:G))</f>
        <v>2</v>
      </c>
      <c r="K853">
        <f t="array" ref="K853">INT(5 * (RANK(H853,H:H, 0) - 1) / COUNT(H:H)) + 1</f>
        <v>2</v>
      </c>
      <c r="L853">
        <f t="array" ref="L853">INT(5 * (RANK(I853,I:I, 0) - 1) / COUNT(I:I)) + 1</f>
        <v>4</v>
      </c>
      <c r="M853" t="str">
        <f t="shared" si="26"/>
        <v>224</v>
      </c>
      <c r="N853" s="6" t="str">
        <f t="shared" si="27"/>
        <v>Can't Lose Them</v>
      </c>
    </row>
    <row r="854" spans="1:14" x14ac:dyDescent="0.35">
      <c r="A854">
        <v>1374</v>
      </c>
      <c r="B854" s="4">
        <v>45616.375085336993</v>
      </c>
      <c r="C854" t="s">
        <v>8</v>
      </c>
      <c r="D854" t="s">
        <v>16</v>
      </c>
      <c r="E854" t="s">
        <v>25</v>
      </c>
      <c r="F854">
        <v>1422.11</v>
      </c>
      <c r="G854">
        <f t="array" ref="G854">SalesData!$I$2 - 'RFM Table'!B854</f>
        <v>520</v>
      </c>
      <c r="H854">
        <f t="array" ref="H854">COUNTIF(A:A,A854)</f>
        <v>6</v>
      </c>
      <c r="I854">
        <f t="array" ref="I854">SUMIF(A:A,A854,F:F)</f>
        <v>17843.009999999998</v>
      </c>
      <c r="J854">
        <f t="array" ref="J854">5 - INT(5 * (RANK(G854,G:G, 1) - 1) / COUNT(G:G))</f>
        <v>2</v>
      </c>
      <c r="K854">
        <f t="array" ref="K854">INT(5 * (RANK(H854,H:H, 0) - 1) / COUNT(H:H)) + 1</f>
        <v>4</v>
      </c>
      <c r="L854">
        <f t="array" ref="L854">INT(5 * (RANK(I854,I:I, 0) - 1) / COUNT(I:I)) + 1</f>
        <v>5</v>
      </c>
      <c r="M854" t="str">
        <f t="shared" si="26"/>
        <v>245</v>
      </c>
      <c r="N854" s="6" t="str">
        <f t="shared" si="27"/>
        <v>At Risk</v>
      </c>
    </row>
    <row r="855" spans="1:14" x14ac:dyDescent="0.35">
      <c r="A855">
        <v>1159</v>
      </c>
      <c r="B855" s="4">
        <v>45616.375085336993</v>
      </c>
      <c r="C855" t="s">
        <v>15</v>
      </c>
      <c r="D855" t="s">
        <v>17</v>
      </c>
      <c r="E855" t="s">
        <v>25</v>
      </c>
      <c r="F855">
        <v>7412.08</v>
      </c>
      <c r="G855">
        <f t="array" ref="G855">SalesData!$I$2 - 'RFM Table'!B855</f>
        <v>520</v>
      </c>
      <c r="H855">
        <f t="array" ref="H855">COUNTIF(A:A,A855)</f>
        <v>15</v>
      </c>
      <c r="I855">
        <f t="array" ref="I855">SUMIF(A:A,A855,F:F)</f>
        <v>57217.139999999992</v>
      </c>
      <c r="J855">
        <f t="array" ref="J855">5 - INT(5 * (RANK(G855,G:G, 1) - 1) / COUNT(G:G))</f>
        <v>2</v>
      </c>
      <c r="K855">
        <f t="array" ref="K855">INT(5 * (RANK(H855,H:H, 0) - 1) / COUNT(H:H)) + 1</f>
        <v>1</v>
      </c>
      <c r="L855">
        <f t="array" ref="L855">INT(5 * (RANK(I855,I:I, 0) - 1) / COUNT(I:I)) + 1</f>
        <v>1</v>
      </c>
      <c r="M855" t="str">
        <f t="shared" si="26"/>
        <v>211</v>
      </c>
      <c r="N855" s="6" t="str">
        <f t="shared" si="27"/>
        <v>Lost</v>
      </c>
    </row>
    <row r="856" spans="1:14" x14ac:dyDescent="0.35">
      <c r="A856">
        <v>1247</v>
      </c>
      <c r="B856" s="4">
        <v>45616.375085336993</v>
      </c>
      <c r="C856" t="s">
        <v>7</v>
      </c>
      <c r="D856" t="s">
        <v>17</v>
      </c>
      <c r="E856" t="s">
        <v>23</v>
      </c>
      <c r="F856">
        <v>1022.58</v>
      </c>
      <c r="G856">
        <f t="array" ref="G856">SalesData!$I$2 - 'RFM Table'!B856</f>
        <v>520</v>
      </c>
      <c r="H856">
        <f t="array" ref="H856">COUNTIF(A:A,A856)</f>
        <v>1</v>
      </c>
      <c r="I856">
        <f t="array" ref="I856">SUMIF(A:A,A856,F:F)</f>
        <v>1022.58</v>
      </c>
      <c r="J856">
        <f t="array" ref="J856">5 - INT(5 * (RANK(G856,G:G, 1) - 1) / COUNT(G:G))</f>
        <v>2</v>
      </c>
      <c r="K856">
        <f t="array" ref="K856">INT(5 * (RANK(H856,H:H, 0) - 1) / COUNT(H:H)) + 1</f>
        <v>5</v>
      </c>
      <c r="L856">
        <f t="array" ref="L856">INT(5 * (RANK(I856,I:I, 0) - 1) / COUNT(I:I)) + 1</f>
        <v>5</v>
      </c>
      <c r="M856" t="str">
        <f t="shared" si="26"/>
        <v>255</v>
      </c>
      <c r="N856" s="6" t="str">
        <f t="shared" si="27"/>
        <v>At Risk</v>
      </c>
    </row>
    <row r="857" spans="1:14" x14ac:dyDescent="0.35">
      <c r="A857">
        <v>1303</v>
      </c>
      <c r="B857" s="4">
        <v>45616.375085336993</v>
      </c>
      <c r="C857" t="s">
        <v>7</v>
      </c>
      <c r="D857" t="s">
        <v>18</v>
      </c>
      <c r="E857" t="s">
        <v>24</v>
      </c>
      <c r="F857">
        <v>6156.72</v>
      </c>
      <c r="G857">
        <f t="array" ref="G857">SalesData!$I$2 - 'RFM Table'!B857</f>
        <v>520</v>
      </c>
      <c r="H857">
        <f t="array" ref="H857">COUNTIF(A:A,A857)</f>
        <v>9</v>
      </c>
      <c r="I857">
        <f t="array" ref="I857">SUMIF(A:A,A857,F:F)</f>
        <v>27888.809999999998</v>
      </c>
      <c r="J857">
        <f t="array" ref="J857">5 - INT(5 * (RANK(G857,G:G, 1) - 1) / COUNT(G:G))</f>
        <v>2</v>
      </c>
      <c r="K857">
        <f t="array" ref="K857">INT(5 * (RANK(H857,H:H, 0) - 1) / COUNT(H:H)) + 1</f>
        <v>2</v>
      </c>
      <c r="L857">
        <f t="array" ref="L857">INT(5 * (RANK(I857,I:I, 0) - 1) / COUNT(I:I)) + 1</f>
        <v>4</v>
      </c>
      <c r="M857" t="str">
        <f t="shared" si="26"/>
        <v>224</v>
      </c>
      <c r="N857" s="6" t="str">
        <f t="shared" si="27"/>
        <v>Can't Lose Them</v>
      </c>
    </row>
    <row r="858" spans="1:14" x14ac:dyDescent="0.35">
      <c r="A858">
        <v>1330</v>
      </c>
      <c r="B858" s="4">
        <v>45616.375085336993</v>
      </c>
      <c r="C858" t="s">
        <v>8</v>
      </c>
      <c r="D858" t="s">
        <v>16</v>
      </c>
      <c r="E858" t="s">
        <v>24</v>
      </c>
      <c r="F858">
        <v>678.86</v>
      </c>
      <c r="G858">
        <f t="array" ref="G858">SalesData!$I$2 - 'RFM Table'!B858</f>
        <v>520</v>
      </c>
      <c r="H858">
        <f t="array" ref="H858">COUNTIF(A:A,A858)</f>
        <v>6</v>
      </c>
      <c r="I858">
        <f t="array" ref="I858">SUMIF(A:A,A858,F:F)</f>
        <v>16595.620000000003</v>
      </c>
      <c r="J858">
        <f t="array" ref="J858">5 - INT(5 * (RANK(G858,G:G, 1) - 1) / COUNT(G:G))</f>
        <v>2</v>
      </c>
      <c r="K858">
        <f t="array" ref="K858">INT(5 * (RANK(H858,H:H, 0) - 1) / COUNT(H:H)) + 1</f>
        <v>4</v>
      </c>
      <c r="L858">
        <f t="array" ref="L858">INT(5 * (RANK(I858,I:I, 0) - 1) / COUNT(I:I)) + 1</f>
        <v>5</v>
      </c>
      <c r="M858" t="str">
        <f t="shared" si="26"/>
        <v>245</v>
      </c>
      <c r="N858" s="6" t="str">
        <f t="shared" si="27"/>
        <v>At Risk</v>
      </c>
    </row>
    <row r="859" spans="1:14" x14ac:dyDescent="0.35">
      <c r="A859">
        <v>1228</v>
      </c>
      <c r="B859" s="4">
        <v>45617.375085336993</v>
      </c>
      <c r="C859" t="s">
        <v>15</v>
      </c>
      <c r="D859" t="s">
        <v>20</v>
      </c>
      <c r="E859" t="s">
        <v>25</v>
      </c>
      <c r="F859">
        <v>7981.94</v>
      </c>
      <c r="G859">
        <f t="array" ref="G859">SalesData!$I$2 - 'RFM Table'!B859</f>
        <v>519</v>
      </c>
      <c r="H859">
        <f t="array" ref="H859">COUNTIF(A:A,A859)</f>
        <v>13</v>
      </c>
      <c r="I859">
        <f t="array" ref="I859">SUMIF(A:A,A859,F:F)</f>
        <v>47658.630000000005</v>
      </c>
      <c r="J859">
        <f t="array" ref="J859">5 - INT(5 * (RANK(G859,G:G, 1) - 1) / COUNT(G:G))</f>
        <v>2</v>
      </c>
      <c r="K859">
        <f t="array" ref="K859">INT(5 * (RANK(H859,H:H, 0) - 1) / COUNT(H:H)) + 1</f>
        <v>1</v>
      </c>
      <c r="L859">
        <f t="array" ref="L859">INT(5 * (RANK(I859,I:I, 0) - 1) / COUNT(I:I)) + 1</f>
        <v>1</v>
      </c>
      <c r="M859" t="str">
        <f t="shared" si="26"/>
        <v>211</v>
      </c>
      <c r="N859" s="6" t="str">
        <f t="shared" si="27"/>
        <v>Lost</v>
      </c>
    </row>
    <row r="860" spans="1:14" x14ac:dyDescent="0.35">
      <c r="A860">
        <v>1376</v>
      </c>
      <c r="B860" s="4">
        <v>45617.375085336993</v>
      </c>
      <c r="C860" t="s">
        <v>12</v>
      </c>
      <c r="D860" t="s">
        <v>18</v>
      </c>
      <c r="E860" t="s">
        <v>25</v>
      </c>
      <c r="F860">
        <v>6194.19</v>
      </c>
      <c r="G860">
        <f t="array" ref="G860">SalesData!$I$2 - 'RFM Table'!B860</f>
        <v>519</v>
      </c>
      <c r="H860">
        <f t="array" ref="H860">COUNTIF(A:A,A860)</f>
        <v>6</v>
      </c>
      <c r="I860">
        <f t="array" ref="I860">SUMIF(A:A,A860,F:F)</f>
        <v>21816.019999999997</v>
      </c>
      <c r="J860">
        <f t="array" ref="J860">5 - INT(5 * (RANK(G860,G:G, 1) - 1) / COUNT(G:G))</f>
        <v>2</v>
      </c>
      <c r="K860">
        <f t="array" ref="K860">INT(5 * (RANK(H860,H:H, 0) - 1) / COUNT(H:H)) + 1</f>
        <v>4</v>
      </c>
      <c r="L860">
        <f t="array" ref="L860">INT(5 * (RANK(I860,I:I, 0) - 1) / COUNT(I:I)) + 1</f>
        <v>4</v>
      </c>
      <c r="M860" t="str">
        <f t="shared" si="26"/>
        <v>244</v>
      </c>
      <c r="N860" s="6" t="str">
        <f t="shared" si="27"/>
        <v>At Risk</v>
      </c>
    </row>
    <row r="861" spans="1:14" x14ac:dyDescent="0.35">
      <c r="A861">
        <v>1305</v>
      </c>
      <c r="B861" s="4">
        <v>45617.375085336993</v>
      </c>
      <c r="C861" t="s">
        <v>7</v>
      </c>
      <c r="D861" t="s">
        <v>20</v>
      </c>
      <c r="E861" t="s">
        <v>23</v>
      </c>
      <c r="F861">
        <v>3976.72</v>
      </c>
      <c r="G861">
        <f t="array" ref="G861">SalesData!$I$2 - 'RFM Table'!B861</f>
        <v>519</v>
      </c>
      <c r="H861">
        <f t="array" ref="H861">COUNTIF(A:A,A861)</f>
        <v>5</v>
      </c>
      <c r="I861">
        <f t="array" ref="I861">SUMIF(A:A,A861,F:F)</f>
        <v>21192.55</v>
      </c>
      <c r="J861">
        <f t="array" ref="J861">5 - INT(5 * (RANK(G861,G:G, 1) - 1) / COUNT(G:G))</f>
        <v>2</v>
      </c>
      <c r="K861">
        <f t="array" ref="K861">INT(5 * (RANK(H861,H:H, 0) - 1) / COUNT(H:H)) + 1</f>
        <v>5</v>
      </c>
      <c r="L861">
        <f t="array" ref="L861">INT(5 * (RANK(I861,I:I, 0) - 1) / COUNT(I:I)) + 1</f>
        <v>5</v>
      </c>
      <c r="M861" t="str">
        <f t="shared" si="26"/>
        <v>255</v>
      </c>
      <c r="N861" s="6" t="str">
        <f t="shared" si="27"/>
        <v>At Risk</v>
      </c>
    </row>
    <row r="862" spans="1:14" x14ac:dyDescent="0.35">
      <c r="A862">
        <v>1199</v>
      </c>
      <c r="B862" s="4">
        <v>45617.375085336993</v>
      </c>
      <c r="C862" t="s">
        <v>11</v>
      </c>
      <c r="D862" t="s">
        <v>21</v>
      </c>
      <c r="E862" t="s">
        <v>23</v>
      </c>
      <c r="F862">
        <v>3470.15</v>
      </c>
      <c r="G862">
        <f t="array" ref="G862">SalesData!$I$2 - 'RFM Table'!B862</f>
        <v>519</v>
      </c>
      <c r="H862">
        <f t="array" ref="H862">COUNTIF(A:A,A862)</f>
        <v>5</v>
      </c>
      <c r="I862">
        <f t="array" ref="I862">SUMIF(A:A,A862,F:F)</f>
        <v>17477.019999999997</v>
      </c>
      <c r="J862">
        <f t="array" ref="J862">5 - INT(5 * (RANK(G862,G:G, 1) - 1) / COUNT(G:G))</f>
        <v>2</v>
      </c>
      <c r="K862">
        <f t="array" ref="K862">INT(5 * (RANK(H862,H:H, 0) - 1) / COUNT(H:H)) + 1</f>
        <v>5</v>
      </c>
      <c r="L862">
        <f t="array" ref="L862">INT(5 * (RANK(I862,I:I, 0) - 1) / COUNT(I:I)) + 1</f>
        <v>5</v>
      </c>
      <c r="M862" t="str">
        <f t="shared" si="26"/>
        <v>255</v>
      </c>
      <c r="N862" s="6" t="str">
        <f t="shared" si="27"/>
        <v>At Risk</v>
      </c>
    </row>
    <row r="863" spans="1:14" x14ac:dyDescent="0.35">
      <c r="A863">
        <v>1111</v>
      </c>
      <c r="B863" s="4">
        <v>45618.375085336993</v>
      </c>
      <c r="C863" t="s">
        <v>9</v>
      </c>
      <c r="D863" t="s">
        <v>17</v>
      </c>
      <c r="E863" t="s">
        <v>25</v>
      </c>
      <c r="F863">
        <v>7336.48</v>
      </c>
      <c r="G863">
        <f t="array" ref="G863">SalesData!$I$2 - 'RFM Table'!B863</f>
        <v>518</v>
      </c>
      <c r="H863">
        <f t="array" ref="H863">COUNTIF(A:A,A863)</f>
        <v>7</v>
      </c>
      <c r="I863">
        <f t="array" ref="I863">SUMIF(A:A,A863,F:F)</f>
        <v>17082.88</v>
      </c>
      <c r="J863">
        <f t="array" ref="J863">5 - INT(5 * (RANK(G863,G:G, 1) - 1) / COUNT(G:G))</f>
        <v>2</v>
      </c>
      <c r="K863">
        <f t="array" ref="K863">INT(5 * (RANK(H863,H:H, 0) - 1) / COUNT(H:H)) + 1</f>
        <v>4</v>
      </c>
      <c r="L863">
        <f t="array" ref="L863">INT(5 * (RANK(I863,I:I, 0) - 1) / COUNT(I:I)) + 1</f>
        <v>5</v>
      </c>
      <c r="M863" t="str">
        <f t="shared" si="26"/>
        <v>245</v>
      </c>
      <c r="N863" s="6" t="str">
        <f t="shared" si="27"/>
        <v>At Risk</v>
      </c>
    </row>
    <row r="864" spans="1:14" x14ac:dyDescent="0.35">
      <c r="A864">
        <v>1258</v>
      </c>
      <c r="B864" s="4">
        <v>45618.375085336993</v>
      </c>
      <c r="C864" t="s">
        <v>9</v>
      </c>
      <c r="D864" t="s">
        <v>19</v>
      </c>
      <c r="E864" t="s">
        <v>24</v>
      </c>
      <c r="F864">
        <v>519.32000000000005</v>
      </c>
      <c r="G864">
        <f t="array" ref="G864">SalesData!$I$2 - 'RFM Table'!B864</f>
        <v>518</v>
      </c>
      <c r="H864">
        <f t="array" ref="H864">COUNTIF(A:A,A864)</f>
        <v>8</v>
      </c>
      <c r="I864">
        <f t="array" ref="I864">SUMIF(A:A,A864,F:F)</f>
        <v>28559.850000000002</v>
      </c>
      <c r="J864">
        <f t="array" ref="J864">5 - INT(5 * (RANK(G864,G:G, 1) - 1) / COUNT(G:G))</f>
        <v>2</v>
      </c>
      <c r="K864">
        <f t="array" ref="K864">INT(5 * (RANK(H864,H:H, 0) - 1) / COUNT(H:H)) + 1</f>
        <v>3</v>
      </c>
      <c r="L864">
        <f t="array" ref="L864">INT(5 * (RANK(I864,I:I, 0) - 1) / COUNT(I:I)) + 1</f>
        <v>4</v>
      </c>
      <c r="M864" t="str">
        <f t="shared" si="26"/>
        <v>234</v>
      </c>
      <c r="N864" s="6" t="str">
        <f t="shared" si="27"/>
        <v>At Risk</v>
      </c>
    </row>
    <row r="865" spans="1:14" x14ac:dyDescent="0.35">
      <c r="A865">
        <v>1058</v>
      </c>
      <c r="B865" s="4">
        <v>45618.375085336993</v>
      </c>
      <c r="C865" t="s">
        <v>15</v>
      </c>
      <c r="D865" t="s">
        <v>21</v>
      </c>
      <c r="E865" t="s">
        <v>25</v>
      </c>
      <c r="F865">
        <v>7424.7</v>
      </c>
      <c r="G865">
        <f t="array" ref="G865">SalesData!$I$2 - 'RFM Table'!B865</f>
        <v>518</v>
      </c>
      <c r="H865">
        <f t="array" ref="H865">COUNTIF(A:A,A865)</f>
        <v>8</v>
      </c>
      <c r="I865">
        <f t="array" ref="I865">SUMIF(A:A,A865,F:F)</f>
        <v>29892.99</v>
      </c>
      <c r="J865">
        <f t="array" ref="J865">5 - INT(5 * (RANK(G865,G:G, 1) - 1) / COUNT(G:G))</f>
        <v>2</v>
      </c>
      <c r="K865">
        <f t="array" ref="K865">INT(5 * (RANK(H865,H:H, 0) - 1) / COUNT(H:H)) + 1</f>
        <v>3</v>
      </c>
      <c r="L865">
        <f t="array" ref="L865">INT(5 * (RANK(I865,I:I, 0) - 1) / COUNT(I:I)) + 1</f>
        <v>3</v>
      </c>
      <c r="M865" t="str">
        <f t="shared" si="26"/>
        <v>233</v>
      </c>
      <c r="N865" s="6" t="str">
        <f t="shared" si="27"/>
        <v>At Risk</v>
      </c>
    </row>
    <row r="866" spans="1:14" x14ac:dyDescent="0.35">
      <c r="A866">
        <v>1098</v>
      </c>
      <c r="B866" s="4">
        <v>45618.375085336993</v>
      </c>
      <c r="C866" t="s">
        <v>13</v>
      </c>
      <c r="D866" t="s">
        <v>16</v>
      </c>
      <c r="E866" t="s">
        <v>25</v>
      </c>
      <c r="F866">
        <v>2466.12</v>
      </c>
      <c r="G866">
        <f t="array" ref="G866">SalesData!$I$2 - 'RFM Table'!B866</f>
        <v>518</v>
      </c>
      <c r="H866">
        <f t="array" ref="H866">COUNTIF(A:A,A866)</f>
        <v>12</v>
      </c>
      <c r="I866">
        <f t="array" ref="I866">SUMIF(A:A,A866,F:F)</f>
        <v>36909.899999999994</v>
      </c>
      <c r="J866">
        <f t="array" ref="J866">5 - INT(5 * (RANK(G866,G:G, 1) - 1) / COUNT(G:G))</f>
        <v>2</v>
      </c>
      <c r="K866">
        <f t="array" ref="K866">INT(5 * (RANK(H866,H:H, 0) - 1) / COUNT(H:H)) + 1</f>
        <v>1</v>
      </c>
      <c r="L866">
        <f t="array" ref="L866">INT(5 * (RANK(I866,I:I, 0) - 1) / COUNT(I:I)) + 1</f>
        <v>2</v>
      </c>
      <c r="M866" t="str">
        <f t="shared" si="26"/>
        <v>212</v>
      </c>
      <c r="N866" s="6" t="str">
        <f t="shared" si="27"/>
        <v>Lost</v>
      </c>
    </row>
    <row r="867" spans="1:14" x14ac:dyDescent="0.35">
      <c r="A867">
        <v>1287</v>
      </c>
      <c r="B867" s="4">
        <v>45619.375085336993</v>
      </c>
      <c r="C867" t="s">
        <v>15</v>
      </c>
      <c r="D867" t="s">
        <v>16</v>
      </c>
      <c r="E867" t="s">
        <v>23</v>
      </c>
      <c r="F867">
        <v>534.17999999999995</v>
      </c>
      <c r="G867">
        <f t="array" ref="G867">SalesData!$I$2 - 'RFM Table'!B867</f>
        <v>517</v>
      </c>
      <c r="H867">
        <f t="array" ref="H867">COUNTIF(A:A,A867)</f>
        <v>16</v>
      </c>
      <c r="I867">
        <f t="array" ref="I867">SUMIF(A:A,A867,F:F)</f>
        <v>64716.249999999985</v>
      </c>
      <c r="J867">
        <f t="array" ref="J867">5 - INT(5 * (RANK(G867,G:G, 1) - 1) / COUNT(G:G))</f>
        <v>2</v>
      </c>
      <c r="K867">
        <f t="array" ref="K867">INT(5 * (RANK(H867,H:H, 0) - 1) / COUNT(H:H)) + 1</f>
        <v>1</v>
      </c>
      <c r="L867">
        <f t="array" ref="L867">INT(5 * (RANK(I867,I:I, 0) - 1) / COUNT(I:I)) + 1</f>
        <v>1</v>
      </c>
      <c r="M867" t="str">
        <f t="shared" si="26"/>
        <v>211</v>
      </c>
      <c r="N867" s="6" t="str">
        <f t="shared" si="27"/>
        <v>Lost</v>
      </c>
    </row>
    <row r="868" spans="1:14" x14ac:dyDescent="0.35">
      <c r="A868">
        <v>1194</v>
      </c>
      <c r="B868" s="4">
        <v>45619.375085336993</v>
      </c>
      <c r="C868" t="s">
        <v>15</v>
      </c>
      <c r="D868" t="s">
        <v>22</v>
      </c>
      <c r="E868" t="s">
        <v>23</v>
      </c>
      <c r="F868">
        <v>8717.9699999999993</v>
      </c>
      <c r="G868">
        <f t="array" ref="G868">SalesData!$I$2 - 'RFM Table'!B868</f>
        <v>517</v>
      </c>
      <c r="H868">
        <f t="array" ref="H868">COUNTIF(A:A,A868)</f>
        <v>7</v>
      </c>
      <c r="I868">
        <f t="array" ref="I868">SUMIF(A:A,A868,F:F)</f>
        <v>37031.050000000003</v>
      </c>
      <c r="J868">
        <f t="array" ref="J868">5 - INT(5 * (RANK(G868,G:G, 1) - 1) / COUNT(G:G))</f>
        <v>2</v>
      </c>
      <c r="K868">
        <f t="array" ref="K868">INT(5 * (RANK(H868,H:H, 0) - 1) / COUNT(H:H)) + 1</f>
        <v>4</v>
      </c>
      <c r="L868">
        <f t="array" ref="L868">INT(5 * (RANK(I868,I:I, 0) - 1) / COUNT(I:I)) + 1</f>
        <v>2</v>
      </c>
      <c r="M868" t="str">
        <f t="shared" si="26"/>
        <v>242</v>
      </c>
      <c r="N868" s="6" t="str">
        <f t="shared" si="27"/>
        <v>Others</v>
      </c>
    </row>
    <row r="869" spans="1:14" x14ac:dyDescent="0.35">
      <c r="A869">
        <v>1120</v>
      </c>
      <c r="B869" s="4">
        <v>45619.375085336993</v>
      </c>
      <c r="C869" t="s">
        <v>6</v>
      </c>
      <c r="D869" t="s">
        <v>22</v>
      </c>
      <c r="E869" t="s">
        <v>24</v>
      </c>
      <c r="F869">
        <v>1523.82</v>
      </c>
      <c r="G869">
        <f t="array" ref="G869">SalesData!$I$2 - 'RFM Table'!B869</f>
        <v>517</v>
      </c>
      <c r="H869">
        <f t="array" ref="H869">COUNTIF(A:A,A869)</f>
        <v>7</v>
      </c>
      <c r="I869">
        <f t="array" ref="I869">SUMIF(A:A,A869,F:F)</f>
        <v>12366.910000000002</v>
      </c>
      <c r="J869">
        <f t="array" ref="J869">5 - INT(5 * (RANK(G869,G:G, 1) - 1) / COUNT(G:G))</f>
        <v>2</v>
      </c>
      <c r="K869">
        <f t="array" ref="K869">INT(5 * (RANK(H869,H:H, 0) - 1) / COUNT(H:H)) + 1</f>
        <v>4</v>
      </c>
      <c r="L869">
        <f t="array" ref="L869">INT(5 * (RANK(I869,I:I, 0) - 1) / COUNT(I:I)) + 1</f>
        <v>5</v>
      </c>
      <c r="M869" t="str">
        <f t="shared" si="26"/>
        <v>245</v>
      </c>
      <c r="N869" s="6" t="str">
        <f t="shared" si="27"/>
        <v>At Risk</v>
      </c>
    </row>
    <row r="870" spans="1:14" x14ac:dyDescent="0.35">
      <c r="A870">
        <v>1251</v>
      </c>
      <c r="B870" s="4">
        <v>45619.375085336993</v>
      </c>
      <c r="C870" t="s">
        <v>7</v>
      </c>
      <c r="D870" t="s">
        <v>17</v>
      </c>
      <c r="E870" t="s">
        <v>24</v>
      </c>
      <c r="F870">
        <v>2990.37</v>
      </c>
      <c r="G870">
        <f t="array" ref="G870">SalesData!$I$2 - 'RFM Table'!B870</f>
        <v>517</v>
      </c>
      <c r="H870">
        <f t="array" ref="H870">COUNTIF(A:A,A870)</f>
        <v>9</v>
      </c>
      <c r="I870">
        <f t="array" ref="I870">SUMIF(A:A,A870,F:F)</f>
        <v>39183.29</v>
      </c>
      <c r="J870">
        <f t="array" ref="J870">5 - INT(5 * (RANK(G870,G:G, 1) - 1) / COUNT(G:G))</f>
        <v>2</v>
      </c>
      <c r="K870">
        <f t="array" ref="K870">INT(5 * (RANK(H870,H:H, 0) - 1) / COUNT(H:H)) + 1</f>
        <v>2</v>
      </c>
      <c r="L870">
        <f t="array" ref="L870">INT(5 * (RANK(I870,I:I, 0) - 1) / COUNT(I:I)) + 1</f>
        <v>2</v>
      </c>
      <c r="M870" t="str">
        <f t="shared" si="26"/>
        <v>222</v>
      </c>
      <c r="N870" s="6" t="str">
        <f t="shared" si="27"/>
        <v>Lost</v>
      </c>
    </row>
    <row r="871" spans="1:14" x14ac:dyDescent="0.35">
      <c r="A871">
        <v>1177</v>
      </c>
      <c r="B871" s="4">
        <v>45619.375085336993</v>
      </c>
      <c r="C871" t="s">
        <v>12</v>
      </c>
      <c r="D871" t="s">
        <v>19</v>
      </c>
      <c r="E871" t="s">
        <v>25</v>
      </c>
      <c r="F871">
        <v>3139.82</v>
      </c>
      <c r="G871">
        <f t="array" ref="G871">SalesData!$I$2 - 'RFM Table'!B871</f>
        <v>517</v>
      </c>
      <c r="H871">
        <f t="array" ref="H871">COUNTIF(A:A,A871)</f>
        <v>9</v>
      </c>
      <c r="I871">
        <f t="array" ref="I871">SUMIF(A:A,A871,F:F)</f>
        <v>27857.719999999998</v>
      </c>
      <c r="J871">
        <f t="array" ref="J871">5 - INT(5 * (RANK(G871,G:G, 1) - 1) / COUNT(G:G))</f>
        <v>2</v>
      </c>
      <c r="K871">
        <f t="array" ref="K871">INT(5 * (RANK(H871,H:H, 0) - 1) / COUNT(H:H)) + 1</f>
        <v>2</v>
      </c>
      <c r="L871">
        <f t="array" ref="L871">INT(5 * (RANK(I871,I:I, 0) - 1) / COUNT(I:I)) + 1</f>
        <v>4</v>
      </c>
      <c r="M871" t="str">
        <f t="shared" si="26"/>
        <v>224</v>
      </c>
      <c r="N871" s="6" t="str">
        <f t="shared" si="27"/>
        <v>Can't Lose Them</v>
      </c>
    </row>
    <row r="872" spans="1:14" x14ac:dyDescent="0.35">
      <c r="A872">
        <v>1228</v>
      </c>
      <c r="B872" s="4">
        <v>45619.375085336993</v>
      </c>
      <c r="C872" t="s">
        <v>8</v>
      </c>
      <c r="D872" t="s">
        <v>17</v>
      </c>
      <c r="E872" t="s">
        <v>23</v>
      </c>
      <c r="F872">
        <v>754.86</v>
      </c>
      <c r="G872">
        <f t="array" ref="G872">SalesData!$I$2 - 'RFM Table'!B872</f>
        <v>517</v>
      </c>
      <c r="H872">
        <f t="array" ref="H872">COUNTIF(A:A,A872)</f>
        <v>13</v>
      </c>
      <c r="I872">
        <f t="array" ref="I872">SUMIF(A:A,A872,F:F)</f>
        <v>47658.630000000005</v>
      </c>
      <c r="J872">
        <f t="array" ref="J872">5 - INT(5 * (RANK(G872,G:G, 1) - 1) / COUNT(G:G))</f>
        <v>2</v>
      </c>
      <c r="K872">
        <f t="array" ref="K872">INT(5 * (RANK(H872,H:H, 0) - 1) / COUNT(H:H)) + 1</f>
        <v>1</v>
      </c>
      <c r="L872">
        <f t="array" ref="L872">INT(5 * (RANK(I872,I:I, 0) - 1) / COUNT(I:I)) + 1</f>
        <v>1</v>
      </c>
      <c r="M872" t="str">
        <f t="shared" si="26"/>
        <v>211</v>
      </c>
      <c r="N872" s="6" t="str">
        <f t="shared" si="27"/>
        <v>Lost</v>
      </c>
    </row>
    <row r="873" spans="1:14" x14ac:dyDescent="0.35">
      <c r="A873">
        <v>1171</v>
      </c>
      <c r="B873" s="4">
        <v>45620.375085336993</v>
      </c>
      <c r="C873" t="s">
        <v>10</v>
      </c>
      <c r="D873" t="s">
        <v>18</v>
      </c>
      <c r="E873" t="s">
        <v>23</v>
      </c>
      <c r="F873">
        <v>4566.4399999999996</v>
      </c>
      <c r="G873">
        <f t="array" ref="G873">SalesData!$I$2 - 'RFM Table'!B873</f>
        <v>516</v>
      </c>
      <c r="H873">
        <f t="array" ref="H873">COUNTIF(A:A,A873)</f>
        <v>9</v>
      </c>
      <c r="I873">
        <f t="array" ref="I873">SUMIF(A:A,A873,F:F)</f>
        <v>40942.560000000005</v>
      </c>
      <c r="J873">
        <f t="array" ref="J873">5 - INT(5 * (RANK(G873,G:G, 1) - 1) / COUNT(G:G))</f>
        <v>2</v>
      </c>
      <c r="K873">
        <f t="array" ref="K873">INT(5 * (RANK(H873,H:H, 0) - 1) / COUNT(H:H)) + 1</f>
        <v>2</v>
      </c>
      <c r="L873">
        <f t="array" ref="L873">INT(5 * (RANK(I873,I:I, 0) - 1) / COUNT(I:I)) + 1</f>
        <v>2</v>
      </c>
      <c r="M873" t="str">
        <f t="shared" si="26"/>
        <v>222</v>
      </c>
      <c r="N873" s="6" t="str">
        <f t="shared" si="27"/>
        <v>Lost</v>
      </c>
    </row>
    <row r="874" spans="1:14" x14ac:dyDescent="0.35">
      <c r="A874">
        <v>1241</v>
      </c>
      <c r="B874" s="4">
        <v>45620.375085336993</v>
      </c>
      <c r="C874" t="s">
        <v>14</v>
      </c>
      <c r="D874" t="s">
        <v>16</v>
      </c>
      <c r="E874" t="s">
        <v>24</v>
      </c>
      <c r="F874">
        <v>5009.4799999999996</v>
      </c>
      <c r="G874">
        <f t="array" ref="G874">SalesData!$I$2 - 'RFM Table'!B874</f>
        <v>516</v>
      </c>
      <c r="H874">
        <f t="array" ref="H874">COUNTIF(A:A,A874)</f>
        <v>10</v>
      </c>
      <c r="I874">
        <f t="array" ref="I874">SUMIF(A:A,A874,F:F)</f>
        <v>38069.94</v>
      </c>
      <c r="J874">
        <f t="array" ref="J874">5 - INT(5 * (RANK(G874,G:G, 1) - 1) / COUNT(G:G))</f>
        <v>2</v>
      </c>
      <c r="K874">
        <f t="array" ref="K874">INT(5 * (RANK(H874,H:H, 0) - 1) / COUNT(H:H)) + 1</f>
        <v>2</v>
      </c>
      <c r="L874">
        <f t="array" ref="L874">INT(5 * (RANK(I874,I:I, 0) - 1) / COUNT(I:I)) + 1</f>
        <v>2</v>
      </c>
      <c r="M874" t="str">
        <f t="shared" si="26"/>
        <v>222</v>
      </c>
      <c r="N874" s="6" t="str">
        <f t="shared" si="27"/>
        <v>Lost</v>
      </c>
    </row>
    <row r="875" spans="1:14" x14ac:dyDescent="0.35">
      <c r="A875">
        <v>1246</v>
      </c>
      <c r="B875" s="4">
        <v>45620.375085336993</v>
      </c>
      <c r="C875" t="s">
        <v>6</v>
      </c>
      <c r="D875" t="s">
        <v>22</v>
      </c>
      <c r="E875" t="s">
        <v>23</v>
      </c>
      <c r="F875">
        <v>7422.04</v>
      </c>
      <c r="G875">
        <f t="array" ref="G875">SalesData!$I$2 - 'RFM Table'!B875</f>
        <v>516</v>
      </c>
      <c r="H875">
        <f t="array" ref="H875">COUNTIF(A:A,A875)</f>
        <v>9</v>
      </c>
      <c r="I875">
        <f t="array" ref="I875">SUMIF(A:A,A875,F:F)</f>
        <v>38767.17</v>
      </c>
      <c r="J875">
        <f t="array" ref="J875">5 - INT(5 * (RANK(G875,G:G, 1) - 1) / COUNT(G:G))</f>
        <v>2</v>
      </c>
      <c r="K875">
        <f t="array" ref="K875">INT(5 * (RANK(H875,H:H, 0) - 1) / COUNT(H:H)) + 1</f>
        <v>2</v>
      </c>
      <c r="L875">
        <f t="array" ref="L875">INT(5 * (RANK(I875,I:I, 0) - 1) / COUNT(I:I)) + 1</f>
        <v>2</v>
      </c>
      <c r="M875" t="str">
        <f t="shared" si="26"/>
        <v>222</v>
      </c>
      <c r="N875" s="6" t="str">
        <f t="shared" si="27"/>
        <v>Lost</v>
      </c>
    </row>
    <row r="876" spans="1:14" x14ac:dyDescent="0.35">
      <c r="A876">
        <v>1228</v>
      </c>
      <c r="B876" s="4">
        <v>45620.375085336993</v>
      </c>
      <c r="C876" t="s">
        <v>11</v>
      </c>
      <c r="D876" t="s">
        <v>16</v>
      </c>
      <c r="E876" t="s">
        <v>25</v>
      </c>
      <c r="F876">
        <v>1206.4100000000001</v>
      </c>
      <c r="G876">
        <f t="array" ref="G876">SalesData!$I$2 - 'RFM Table'!B876</f>
        <v>516</v>
      </c>
      <c r="H876">
        <f t="array" ref="H876">COUNTIF(A:A,A876)</f>
        <v>13</v>
      </c>
      <c r="I876">
        <f t="array" ref="I876">SUMIF(A:A,A876,F:F)</f>
        <v>47658.630000000005</v>
      </c>
      <c r="J876">
        <f t="array" ref="J876">5 - INT(5 * (RANK(G876,G:G, 1) - 1) / COUNT(G:G))</f>
        <v>2</v>
      </c>
      <c r="K876">
        <f t="array" ref="K876">INT(5 * (RANK(H876,H:H, 0) - 1) / COUNT(H:H)) + 1</f>
        <v>1</v>
      </c>
      <c r="L876">
        <f t="array" ref="L876">INT(5 * (RANK(I876,I:I, 0) - 1) / COUNT(I:I)) + 1</f>
        <v>1</v>
      </c>
      <c r="M876" t="str">
        <f t="shared" si="26"/>
        <v>211</v>
      </c>
      <c r="N876" s="6" t="str">
        <f t="shared" si="27"/>
        <v>Lost</v>
      </c>
    </row>
    <row r="877" spans="1:14" x14ac:dyDescent="0.35">
      <c r="A877">
        <v>1236</v>
      </c>
      <c r="B877" s="4">
        <v>45621.375085336993</v>
      </c>
      <c r="C877" t="s">
        <v>10</v>
      </c>
      <c r="D877" t="s">
        <v>16</v>
      </c>
      <c r="E877" t="s">
        <v>23</v>
      </c>
      <c r="F877">
        <v>1791.33</v>
      </c>
      <c r="G877">
        <f t="array" ref="G877">SalesData!$I$2 - 'RFM Table'!B877</f>
        <v>515</v>
      </c>
      <c r="H877">
        <f t="array" ref="H877">COUNTIF(A:A,A877)</f>
        <v>10</v>
      </c>
      <c r="I877">
        <f t="array" ref="I877">SUMIF(A:A,A877,F:F)</f>
        <v>40760.559999999998</v>
      </c>
      <c r="J877">
        <f t="array" ref="J877">5 - INT(5 * (RANK(G877,G:G, 1) - 1) / COUNT(G:G))</f>
        <v>2</v>
      </c>
      <c r="K877">
        <f t="array" ref="K877">INT(5 * (RANK(H877,H:H, 0) - 1) / COUNT(H:H)) + 1</f>
        <v>2</v>
      </c>
      <c r="L877">
        <f t="array" ref="L877">INT(5 * (RANK(I877,I:I, 0) - 1) / COUNT(I:I)) + 1</f>
        <v>2</v>
      </c>
      <c r="M877" t="str">
        <f t="shared" si="26"/>
        <v>222</v>
      </c>
      <c r="N877" s="6" t="str">
        <f t="shared" si="27"/>
        <v>Lost</v>
      </c>
    </row>
    <row r="878" spans="1:14" x14ac:dyDescent="0.35">
      <c r="A878">
        <v>1144</v>
      </c>
      <c r="B878" s="4">
        <v>45621.375085336993</v>
      </c>
      <c r="C878" t="s">
        <v>7</v>
      </c>
      <c r="D878" t="s">
        <v>22</v>
      </c>
      <c r="E878" t="s">
        <v>25</v>
      </c>
      <c r="F878">
        <v>9306.23</v>
      </c>
      <c r="G878">
        <f t="array" ref="G878">SalesData!$I$2 - 'RFM Table'!B878</f>
        <v>515</v>
      </c>
      <c r="H878">
        <f t="array" ref="H878">COUNTIF(A:A,A878)</f>
        <v>11</v>
      </c>
      <c r="I878">
        <f t="array" ref="I878">SUMIF(A:A,A878,F:F)</f>
        <v>62038.55</v>
      </c>
      <c r="J878">
        <f t="array" ref="J878">5 - INT(5 * (RANK(G878,G:G, 1) - 1) / COUNT(G:G))</f>
        <v>2</v>
      </c>
      <c r="K878">
        <f t="array" ref="K878">INT(5 * (RANK(H878,H:H, 0) - 1) / COUNT(H:H)) + 1</f>
        <v>1</v>
      </c>
      <c r="L878">
        <f t="array" ref="L878">INT(5 * (RANK(I878,I:I, 0) - 1) / COUNT(I:I)) + 1</f>
        <v>1</v>
      </c>
      <c r="M878" t="str">
        <f t="shared" si="26"/>
        <v>211</v>
      </c>
      <c r="N878" s="6" t="str">
        <f t="shared" si="27"/>
        <v>Lost</v>
      </c>
    </row>
    <row r="879" spans="1:14" x14ac:dyDescent="0.35">
      <c r="A879">
        <v>1115</v>
      </c>
      <c r="B879" s="4">
        <v>45622.375085336993</v>
      </c>
      <c r="C879" t="s">
        <v>6</v>
      </c>
      <c r="D879" t="s">
        <v>17</v>
      </c>
      <c r="E879" t="s">
        <v>24</v>
      </c>
      <c r="F879">
        <v>3742.49</v>
      </c>
      <c r="G879">
        <f t="array" ref="G879">SalesData!$I$2 - 'RFM Table'!B879</f>
        <v>514</v>
      </c>
      <c r="H879">
        <f t="array" ref="H879">COUNTIF(A:A,A879)</f>
        <v>6</v>
      </c>
      <c r="I879">
        <f t="array" ref="I879">SUMIF(A:A,A879,F:F)</f>
        <v>19413.5</v>
      </c>
      <c r="J879">
        <f t="array" ref="J879">5 - INT(5 * (RANK(G879,G:G, 1) - 1) / COUNT(G:G))</f>
        <v>2</v>
      </c>
      <c r="K879">
        <f t="array" ref="K879">INT(5 * (RANK(H879,H:H, 0) - 1) / COUNT(H:H)) + 1</f>
        <v>4</v>
      </c>
      <c r="L879">
        <f t="array" ref="L879">INT(5 * (RANK(I879,I:I, 0) - 1) / COUNT(I:I)) + 1</f>
        <v>5</v>
      </c>
      <c r="M879" t="str">
        <f t="shared" si="26"/>
        <v>245</v>
      </c>
      <c r="N879" s="6" t="str">
        <f t="shared" si="27"/>
        <v>At Risk</v>
      </c>
    </row>
    <row r="880" spans="1:14" x14ac:dyDescent="0.35">
      <c r="A880">
        <v>1287</v>
      </c>
      <c r="B880" s="4">
        <v>45622.375085336993</v>
      </c>
      <c r="C880" t="s">
        <v>15</v>
      </c>
      <c r="D880" t="s">
        <v>18</v>
      </c>
      <c r="E880" t="s">
        <v>23</v>
      </c>
      <c r="F880">
        <v>6038.03</v>
      </c>
      <c r="G880">
        <f t="array" ref="G880">SalesData!$I$2 - 'RFM Table'!B880</f>
        <v>514</v>
      </c>
      <c r="H880">
        <f t="array" ref="H880">COUNTIF(A:A,A880)</f>
        <v>16</v>
      </c>
      <c r="I880">
        <f t="array" ref="I880">SUMIF(A:A,A880,F:F)</f>
        <v>64716.249999999985</v>
      </c>
      <c r="J880">
        <f t="array" ref="J880">5 - INT(5 * (RANK(G880,G:G, 1) - 1) / COUNT(G:G))</f>
        <v>2</v>
      </c>
      <c r="K880">
        <f t="array" ref="K880">INT(5 * (RANK(H880,H:H, 0) - 1) / COUNT(H:H)) + 1</f>
        <v>1</v>
      </c>
      <c r="L880">
        <f t="array" ref="L880">INT(5 * (RANK(I880,I:I, 0) - 1) / COUNT(I:I)) + 1</f>
        <v>1</v>
      </c>
      <c r="M880" t="str">
        <f t="shared" si="26"/>
        <v>211</v>
      </c>
      <c r="N880" s="6" t="str">
        <f t="shared" si="27"/>
        <v>Lost</v>
      </c>
    </row>
    <row r="881" spans="1:14" x14ac:dyDescent="0.35">
      <c r="A881">
        <v>1272</v>
      </c>
      <c r="B881" s="4">
        <v>45623.375085336993</v>
      </c>
      <c r="C881" t="s">
        <v>13</v>
      </c>
      <c r="D881" t="s">
        <v>16</v>
      </c>
      <c r="E881" t="s">
        <v>23</v>
      </c>
      <c r="F881">
        <v>7783.95</v>
      </c>
      <c r="G881">
        <f t="array" ref="G881">SalesData!$I$2 - 'RFM Table'!B881</f>
        <v>513</v>
      </c>
      <c r="H881">
        <f t="array" ref="H881">COUNTIF(A:A,A881)</f>
        <v>10</v>
      </c>
      <c r="I881">
        <f t="array" ref="I881">SUMIF(A:A,A881,F:F)</f>
        <v>54972.43</v>
      </c>
      <c r="J881">
        <f t="array" ref="J881">5 - INT(5 * (RANK(G881,G:G, 1) - 1) / COUNT(G:G))</f>
        <v>2</v>
      </c>
      <c r="K881">
        <f t="array" ref="K881">INT(5 * (RANK(H881,H:H, 0) - 1) / COUNT(H:H)) + 1</f>
        <v>2</v>
      </c>
      <c r="L881">
        <f t="array" ref="L881">INT(5 * (RANK(I881,I:I, 0) - 1) / COUNT(I:I)) + 1</f>
        <v>1</v>
      </c>
      <c r="M881" t="str">
        <f t="shared" si="26"/>
        <v>221</v>
      </c>
      <c r="N881" s="6" t="str">
        <f t="shared" si="27"/>
        <v>Lost</v>
      </c>
    </row>
    <row r="882" spans="1:14" x14ac:dyDescent="0.35">
      <c r="A882">
        <v>1310</v>
      </c>
      <c r="B882" s="4">
        <v>45623.375085336993</v>
      </c>
      <c r="C882" t="s">
        <v>12</v>
      </c>
      <c r="D882" t="s">
        <v>18</v>
      </c>
      <c r="E882" t="s">
        <v>23</v>
      </c>
      <c r="F882">
        <v>1675.96</v>
      </c>
      <c r="G882">
        <f t="array" ref="G882">SalesData!$I$2 - 'RFM Table'!B882</f>
        <v>513</v>
      </c>
      <c r="H882">
        <f t="array" ref="H882">COUNTIF(A:A,A882)</f>
        <v>9</v>
      </c>
      <c r="I882">
        <f t="array" ref="I882">SUMIF(A:A,A882,F:F)</f>
        <v>45883.96</v>
      </c>
      <c r="J882">
        <f t="array" ref="J882">5 - INT(5 * (RANK(G882,G:G, 1) - 1) / COUNT(G:G))</f>
        <v>2</v>
      </c>
      <c r="K882">
        <f t="array" ref="K882">INT(5 * (RANK(H882,H:H, 0) - 1) / COUNT(H:H)) + 1</f>
        <v>2</v>
      </c>
      <c r="L882">
        <f t="array" ref="L882">INT(5 * (RANK(I882,I:I, 0) - 1) / COUNT(I:I)) + 1</f>
        <v>1</v>
      </c>
      <c r="M882" t="str">
        <f t="shared" si="26"/>
        <v>221</v>
      </c>
      <c r="N882" s="6" t="str">
        <f t="shared" si="27"/>
        <v>Lost</v>
      </c>
    </row>
    <row r="883" spans="1:14" x14ac:dyDescent="0.35">
      <c r="A883">
        <v>1055</v>
      </c>
      <c r="B883" s="4">
        <v>45623.375085336993</v>
      </c>
      <c r="C883" t="s">
        <v>12</v>
      </c>
      <c r="D883" t="s">
        <v>22</v>
      </c>
      <c r="E883" t="s">
        <v>24</v>
      </c>
      <c r="F883">
        <v>675.76</v>
      </c>
      <c r="G883">
        <f t="array" ref="G883">SalesData!$I$2 - 'RFM Table'!B883</f>
        <v>513</v>
      </c>
      <c r="H883">
        <f t="array" ref="H883">COUNTIF(A:A,A883)</f>
        <v>4</v>
      </c>
      <c r="I883">
        <f t="array" ref="I883">SUMIF(A:A,A883,F:F)</f>
        <v>14706.1</v>
      </c>
      <c r="J883">
        <f t="array" ref="J883">5 - INT(5 * (RANK(G883,G:G, 1) - 1) / COUNT(G:G))</f>
        <v>2</v>
      </c>
      <c r="K883">
        <f t="array" ref="K883">INT(5 * (RANK(H883,H:H, 0) - 1) / COUNT(H:H)) + 1</f>
        <v>5</v>
      </c>
      <c r="L883">
        <f t="array" ref="L883">INT(5 * (RANK(I883,I:I, 0) - 1) / COUNT(I:I)) + 1</f>
        <v>5</v>
      </c>
      <c r="M883" t="str">
        <f t="shared" si="26"/>
        <v>255</v>
      </c>
      <c r="N883" s="6" t="str">
        <f t="shared" si="27"/>
        <v>At Risk</v>
      </c>
    </row>
    <row r="884" spans="1:14" x14ac:dyDescent="0.35">
      <c r="A884">
        <v>1380</v>
      </c>
      <c r="B884" s="4">
        <v>45623.375085336993</v>
      </c>
      <c r="C884" t="s">
        <v>11</v>
      </c>
      <c r="D884" t="s">
        <v>16</v>
      </c>
      <c r="E884" t="s">
        <v>23</v>
      </c>
      <c r="F884">
        <v>1074.49</v>
      </c>
      <c r="G884">
        <f t="array" ref="G884">SalesData!$I$2 - 'RFM Table'!B884</f>
        <v>513</v>
      </c>
      <c r="H884">
        <f t="array" ref="H884">COUNTIF(A:A,A884)</f>
        <v>9</v>
      </c>
      <c r="I884">
        <f t="array" ref="I884">SUMIF(A:A,A884,F:F)</f>
        <v>40711.57</v>
      </c>
      <c r="J884">
        <f t="array" ref="J884">5 - INT(5 * (RANK(G884,G:G, 1) - 1) / COUNT(G:G))</f>
        <v>2</v>
      </c>
      <c r="K884">
        <f t="array" ref="K884">INT(5 * (RANK(H884,H:H, 0) - 1) / COUNT(H:H)) + 1</f>
        <v>2</v>
      </c>
      <c r="L884">
        <f t="array" ref="L884">INT(5 * (RANK(I884,I:I, 0) - 1) / COUNT(I:I)) + 1</f>
        <v>2</v>
      </c>
      <c r="M884" t="str">
        <f t="shared" si="26"/>
        <v>222</v>
      </c>
      <c r="N884" s="6" t="str">
        <f t="shared" si="27"/>
        <v>Lost</v>
      </c>
    </row>
    <row r="885" spans="1:14" x14ac:dyDescent="0.35">
      <c r="A885">
        <v>1109</v>
      </c>
      <c r="B885" s="4">
        <v>45623.375085336993</v>
      </c>
      <c r="C885" t="s">
        <v>8</v>
      </c>
      <c r="D885" t="s">
        <v>16</v>
      </c>
      <c r="E885" t="s">
        <v>24</v>
      </c>
      <c r="F885">
        <v>2265.7399999999998</v>
      </c>
      <c r="G885">
        <f t="array" ref="G885">SalesData!$I$2 - 'RFM Table'!B885</f>
        <v>513</v>
      </c>
      <c r="H885">
        <f t="array" ref="H885">COUNTIF(A:A,A885)</f>
        <v>3</v>
      </c>
      <c r="I885">
        <f t="array" ref="I885">SUMIF(A:A,A885,F:F)</f>
        <v>8165.32</v>
      </c>
      <c r="J885">
        <f t="array" ref="J885">5 - INT(5 * (RANK(G885,G:G, 1) - 1) / COUNT(G:G))</f>
        <v>2</v>
      </c>
      <c r="K885">
        <f t="array" ref="K885">INT(5 * (RANK(H885,H:H, 0) - 1) / COUNT(H:H)) + 1</f>
        <v>5</v>
      </c>
      <c r="L885">
        <f t="array" ref="L885">INT(5 * (RANK(I885,I:I, 0) - 1) / COUNT(I:I)) + 1</f>
        <v>5</v>
      </c>
      <c r="M885" t="str">
        <f t="shared" si="26"/>
        <v>255</v>
      </c>
      <c r="N885" s="6" t="str">
        <f t="shared" si="27"/>
        <v>At Risk</v>
      </c>
    </row>
    <row r="886" spans="1:14" x14ac:dyDescent="0.35">
      <c r="A886">
        <v>1160</v>
      </c>
      <c r="B886" s="4">
        <v>45623.375085336993</v>
      </c>
      <c r="C886" t="s">
        <v>8</v>
      </c>
      <c r="D886" t="s">
        <v>19</v>
      </c>
      <c r="E886" t="s">
        <v>24</v>
      </c>
      <c r="F886">
        <v>3640.8</v>
      </c>
      <c r="G886">
        <f t="array" ref="G886">SalesData!$I$2 - 'RFM Table'!B886</f>
        <v>513</v>
      </c>
      <c r="H886">
        <f t="array" ref="H886">COUNTIF(A:A,A886)</f>
        <v>13</v>
      </c>
      <c r="I886">
        <f t="array" ref="I886">SUMIF(A:A,A886,F:F)</f>
        <v>56128.799999999996</v>
      </c>
      <c r="J886">
        <f t="array" ref="J886">5 - INT(5 * (RANK(G886,G:G, 1) - 1) / COUNT(G:G))</f>
        <v>2</v>
      </c>
      <c r="K886">
        <f t="array" ref="K886">INT(5 * (RANK(H886,H:H, 0) - 1) / COUNT(H:H)) + 1</f>
        <v>1</v>
      </c>
      <c r="L886">
        <f t="array" ref="L886">INT(5 * (RANK(I886,I:I, 0) - 1) / COUNT(I:I)) + 1</f>
        <v>1</v>
      </c>
      <c r="M886" t="str">
        <f t="shared" si="26"/>
        <v>211</v>
      </c>
      <c r="N886" s="6" t="str">
        <f t="shared" si="27"/>
        <v>Lost</v>
      </c>
    </row>
    <row r="887" spans="1:14" x14ac:dyDescent="0.35">
      <c r="A887">
        <v>1334</v>
      </c>
      <c r="B887" s="4">
        <v>45624.375085336993</v>
      </c>
      <c r="C887" t="s">
        <v>9</v>
      </c>
      <c r="D887" t="s">
        <v>20</v>
      </c>
      <c r="E887" t="s">
        <v>24</v>
      </c>
      <c r="F887">
        <v>1410.09</v>
      </c>
      <c r="G887">
        <f t="array" ref="G887">SalesData!$I$2 - 'RFM Table'!B887</f>
        <v>512</v>
      </c>
      <c r="H887">
        <f t="array" ref="H887">COUNTIF(A:A,A887)</f>
        <v>7</v>
      </c>
      <c r="I887">
        <f t="array" ref="I887">SUMIF(A:A,A887,F:F)</f>
        <v>17825.52</v>
      </c>
      <c r="J887">
        <f t="array" ref="J887">5 - INT(5 * (RANK(G887,G:G, 1) - 1) / COUNT(G:G))</f>
        <v>2</v>
      </c>
      <c r="K887">
        <f t="array" ref="K887">INT(5 * (RANK(H887,H:H, 0) - 1) / COUNT(H:H)) + 1</f>
        <v>4</v>
      </c>
      <c r="L887">
        <f t="array" ref="L887">INT(5 * (RANK(I887,I:I, 0) - 1) / COUNT(I:I)) + 1</f>
        <v>5</v>
      </c>
      <c r="M887" t="str">
        <f t="shared" si="26"/>
        <v>245</v>
      </c>
      <c r="N887" s="6" t="str">
        <f t="shared" si="27"/>
        <v>At Risk</v>
      </c>
    </row>
    <row r="888" spans="1:14" x14ac:dyDescent="0.35">
      <c r="A888">
        <v>1303</v>
      </c>
      <c r="B888" s="4">
        <v>45624.375085336993</v>
      </c>
      <c r="C888" t="s">
        <v>11</v>
      </c>
      <c r="D888" t="s">
        <v>21</v>
      </c>
      <c r="E888" t="s">
        <v>24</v>
      </c>
      <c r="F888">
        <v>3919.55</v>
      </c>
      <c r="G888">
        <f t="array" ref="G888">SalesData!$I$2 - 'RFM Table'!B888</f>
        <v>512</v>
      </c>
      <c r="H888">
        <f t="array" ref="H888">COUNTIF(A:A,A888)</f>
        <v>9</v>
      </c>
      <c r="I888">
        <f t="array" ref="I888">SUMIF(A:A,A888,F:F)</f>
        <v>27888.809999999998</v>
      </c>
      <c r="J888">
        <f t="array" ref="J888">5 - INT(5 * (RANK(G888,G:G, 1) - 1) / COUNT(G:G))</f>
        <v>2</v>
      </c>
      <c r="K888">
        <f t="array" ref="K888">INT(5 * (RANK(H888,H:H, 0) - 1) / COUNT(H:H)) + 1</f>
        <v>2</v>
      </c>
      <c r="L888">
        <f t="array" ref="L888">INT(5 * (RANK(I888,I:I, 0) - 1) / COUNT(I:I)) + 1</f>
        <v>4</v>
      </c>
      <c r="M888" t="str">
        <f t="shared" si="26"/>
        <v>224</v>
      </c>
      <c r="N888" s="6" t="str">
        <f t="shared" si="27"/>
        <v>Can't Lose Them</v>
      </c>
    </row>
    <row r="889" spans="1:14" x14ac:dyDescent="0.35">
      <c r="A889">
        <v>1241</v>
      </c>
      <c r="B889" s="4">
        <v>45625.375085336993</v>
      </c>
      <c r="C889" t="s">
        <v>6</v>
      </c>
      <c r="D889" t="s">
        <v>20</v>
      </c>
      <c r="E889" t="s">
        <v>23</v>
      </c>
      <c r="F889">
        <v>7056.82</v>
      </c>
      <c r="G889">
        <f t="array" ref="G889">SalesData!$I$2 - 'RFM Table'!B889</f>
        <v>511</v>
      </c>
      <c r="H889">
        <f t="array" ref="H889">COUNTIF(A:A,A889)</f>
        <v>10</v>
      </c>
      <c r="I889">
        <f t="array" ref="I889">SUMIF(A:A,A889,F:F)</f>
        <v>38069.94</v>
      </c>
      <c r="J889">
        <f t="array" ref="J889">5 - INT(5 * (RANK(G889,G:G, 1) - 1) / COUNT(G:G))</f>
        <v>2</v>
      </c>
      <c r="K889">
        <f t="array" ref="K889">INT(5 * (RANK(H889,H:H, 0) - 1) / COUNT(H:H)) + 1</f>
        <v>2</v>
      </c>
      <c r="L889">
        <f t="array" ref="L889">INT(5 * (RANK(I889,I:I, 0) - 1) / COUNT(I:I)) + 1</f>
        <v>2</v>
      </c>
      <c r="M889" t="str">
        <f t="shared" si="26"/>
        <v>222</v>
      </c>
      <c r="N889" s="6" t="str">
        <f t="shared" si="27"/>
        <v>Lost</v>
      </c>
    </row>
    <row r="890" spans="1:14" x14ac:dyDescent="0.35">
      <c r="A890">
        <v>1293</v>
      </c>
      <c r="B890" s="4">
        <v>45625.375085336993</v>
      </c>
      <c r="C890" t="s">
        <v>8</v>
      </c>
      <c r="D890" t="s">
        <v>19</v>
      </c>
      <c r="E890" t="s">
        <v>23</v>
      </c>
      <c r="F890">
        <v>1825.44</v>
      </c>
      <c r="G890">
        <f t="array" ref="G890">SalesData!$I$2 - 'RFM Table'!B890</f>
        <v>511</v>
      </c>
      <c r="H890">
        <f t="array" ref="H890">COUNTIF(A:A,A890)</f>
        <v>7</v>
      </c>
      <c r="I890">
        <f t="array" ref="I890">SUMIF(A:A,A890,F:F)</f>
        <v>27438.3</v>
      </c>
      <c r="J890">
        <f t="array" ref="J890">5 - INT(5 * (RANK(G890,G:G, 1) - 1) / COUNT(G:G))</f>
        <v>2</v>
      </c>
      <c r="K890">
        <f t="array" ref="K890">INT(5 * (RANK(H890,H:H, 0) - 1) / COUNT(H:H)) + 1</f>
        <v>4</v>
      </c>
      <c r="L890">
        <f t="array" ref="L890">INT(5 * (RANK(I890,I:I, 0) - 1) / COUNT(I:I)) + 1</f>
        <v>4</v>
      </c>
      <c r="M890" t="str">
        <f t="shared" si="26"/>
        <v>244</v>
      </c>
      <c r="N890" s="6" t="str">
        <f t="shared" si="27"/>
        <v>At Risk</v>
      </c>
    </row>
    <row r="891" spans="1:14" x14ac:dyDescent="0.35">
      <c r="A891">
        <v>1337</v>
      </c>
      <c r="B891" s="4">
        <v>45625.375085336993</v>
      </c>
      <c r="C891" t="s">
        <v>10</v>
      </c>
      <c r="D891" t="s">
        <v>16</v>
      </c>
      <c r="E891" t="s">
        <v>24</v>
      </c>
      <c r="F891">
        <v>3621.46</v>
      </c>
      <c r="G891">
        <f t="array" ref="G891">SalesData!$I$2 - 'RFM Table'!B891</f>
        <v>511</v>
      </c>
      <c r="H891">
        <f t="array" ref="H891">COUNTIF(A:A,A891)</f>
        <v>7</v>
      </c>
      <c r="I891">
        <f t="array" ref="I891">SUMIF(A:A,A891,F:F)</f>
        <v>33899.22</v>
      </c>
      <c r="J891">
        <f t="array" ref="J891">5 - INT(5 * (RANK(G891,G:G, 1) - 1) / COUNT(G:G))</f>
        <v>2</v>
      </c>
      <c r="K891">
        <f t="array" ref="K891">INT(5 * (RANK(H891,H:H, 0) - 1) / COUNT(H:H)) + 1</f>
        <v>4</v>
      </c>
      <c r="L891">
        <f t="array" ref="L891">INT(5 * (RANK(I891,I:I, 0) - 1) / COUNT(I:I)) + 1</f>
        <v>3</v>
      </c>
      <c r="M891" t="str">
        <f t="shared" si="26"/>
        <v>243</v>
      </c>
      <c r="N891" s="6" t="str">
        <f t="shared" si="27"/>
        <v>At Risk</v>
      </c>
    </row>
    <row r="892" spans="1:14" x14ac:dyDescent="0.35">
      <c r="A892">
        <v>1052</v>
      </c>
      <c r="B892" s="4">
        <v>45625.375085336993</v>
      </c>
      <c r="C892" t="s">
        <v>8</v>
      </c>
      <c r="D892" t="s">
        <v>16</v>
      </c>
      <c r="E892" t="s">
        <v>24</v>
      </c>
      <c r="F892">
        <v>3029.78</v>
      </c>
      <c r="G892">
        <f t="array" ref="G892">SalesData!$I$2 - 'RFM Table'!B892</f>
        <v>511</v>
      </c>
      <c r="H892">
        <f t="array" ref="H892">COUNTIF(A:A,A892)</f>
        <v>9</v>
      </c>
      <c r="I892">
        <f t="array" ref="I892">SUMIF(A:A,A892,F:F)</f>
        <v>35283.15</v>
      </c>
      <c r="J892">
        <f t="array" ref="J892">5 - INT(5 * (RANK(G892,G:G, 1) - 1) / COUNT(G:G))</f>
        <v>2</v>
      </c>
      <c r="K892">
        <f t="array" ref="K892">INT(5 * (RANK(H892,H:H, 0) - 1) / COUNT(H:H)) + 1</f>
        <v>2</v>
      </c>
      <c r="L892">
        <f t="array" ref="L892">INT(5 * (RANK(I892,I:I, 0) - 1) / COUNT(I:I)) + 1</f>
        <v>3</v>
      </c>
      <c r="M892" t="str">
        <f t="shared" si="26"/>
        <v>223</v>
      </c>
      <c r="N892" s="6" t="str">
        <f t="shared" si="27"/>
        <v>Can't Lose Them</v>
      </c>
    </row>
    <row r="893" spans="1:14" x14ac:dyDescent="0.35">
      <c r="A893">
        <v>1050</v>
      </c>
      <c r="B893" s="4">
        <v>45625.375085336993</v>
      </c>
      <c r="C893" t="s">
        <v>12</v>
      </c>
      <c r="D893" t="s">
        <v>16</v>
      </c>
      <c r="E893" t="s">
        <v>25</v>
      </c>
      <c r="F893">
        <v>8096.75</v>
      </c>
      <c r="G893">
        <f t="array" ref="G893">SalesData!$I$2 - 'RFM Table'!B893</f>
        <v>511</v>
      </c>
      <c r="H893">
        <f t="array" ref="H893">COUNTIF(A:A,A893)</f>
        <v>10</v>
      </c>
      <c r="I893">
        <f t="array" ref="I893">SUMIF(A:A,A893,F:F)</f>
        <v>32732.979999999996</v>
      </c>
      <c r="J893">
        <f t="array" ref="J893">5 - INT(5 * (RANK(G893,G:G, 1) - 1) / COUNT(G:G))</f>
        <v>2</v>
      </c>
      <c r="K893">
        <f t="array" ref="K893">INT(5 * (RANK(H893,H:H, 0) - 1) / COUNT(H:H)) + 1</f>
        <v>2</v>
      </c>
      <c r="L893">
        <f t="array" ref="L893">INT(5 * (RANK(I893,I:I, 0) - 1) / COUNT(I:I)) + 1</f>
        <v>3</v>
      </c>
      <c r="M893" t="str">
        <f t="shared" si="26"/>
        <v>223</v>
      </c>
      <c r="N893" s="6" t="str">
        <f t="shared" si="27"/>
        <v>Can't Lose Them</v>
      </c>
    </row>
    <row r="894" spans="1:14" x14ac:dyDescent="0.35">
      <c r="A894">
        <v>1185</v>
      </c>
      <c r="B894" s="4">
        <v>45626.375085336993</v>
      </c>
      <c r="C894" t="s">
        <v>8</v>
      </c>
      <c r="D894" t="s">
        <v>18</v>
      </c>
      <c r="E894" t="s">
        <v>25</v>
      </c>
      <c r="F894">
        <v>385.78</v>
      </c>
      <c r="G894">
        <f t="array" ref="G894">SalesData!$I$2 - 'RFM Table'!B894</f>
        <v>510</v>
      </c>
      <c r="H894">
        <f t="array" ref="H894">COUNTIF(A:A,A894)</f>
        <v>8</v>
      </c>
      <c r="I894">
        <f t="array" ref="I894">SUMIF(A:A,A894,F:F)</f>
        <v>27805.74</v>
      </c>
      <c r="J894">
        <f t="array" ref="J894">5 - INT(5 * (RANK(G894,G:G, 1) - 1) / COUNT(G:G))</f>
        <v>2</v>
      </c>
      <c r="K894">
        <f t="array" ref="K894">INT(5 * (RANK(H894,H:H, 0) - 1) / COUNT(H:H)) + 1</f>
        <v>3</v>
      </c>
      <c r="L894">
        <f t="array" ref="L894">INT(5 * (RANK(I894,I:I, 0) - 1) / COUNT(I:I)) + 1</f>
        <v>4</v>
      </c>
      <c r="M894" t="str">
        <f t="shared" si="26"/>
        <v>234</v>
      </c>
      <c r="N894" s="6" t="str">
        <f t="shared" si="27"/>
        <v>At Risk</v>
      </c>
    </row>
    <row r="895" spans="1:14" x14ac:dyDescent="0.35">
      <c r="A895">
        <v>1157</v>
      </c>
      <c r="B895" s="4">
        <v>45626.375085336993</v>
      </c>
      <c r="C895" t="s">
        <v>14</v>
      </c>
      <c r="D895" t="s">
        <v>18</v>
      </c>
      <c r="E895" t="s">
        <v>25</v>
      </c>
      <c r="F895">
        <v>2691.03</v>
      </c>
      <c r="G895">
        <f t="array" ref="G895">SalesData!$I$2 - 'RFM Table'!B895</f>
        <v>510</v>
      </c>
      <c r="H895">
        <f t="array" ref="H895">COUNTIF(A:A,A895)</f>
        <v>11</v>
      </c>
      <c r="I895">
        <f t="array" ref="I895">SUMIF(A:A,A895,F:F)</f>
        <v>45651.77</v>
      </c>
      <c r="J895">
        <f t="array" ref="J895">5 - INT(5 * (RANK(G895,G:G, 1) - 1) / COUNT(G:G))</f>
        <v>2</v>
      </c>
      <c r="K895">
        <f t="array" ref="K895">INT(5 * (RANK(H895,H:H, 0) - 1) / COUNT(H:H)) + 1</f>
        <v>1</v>
      </c>
      <c r="L895">
        <f t="array" ref="L895">INT(5 * (RANK(I895,I:I, 0) - 1) / COUNT(I:I)) + 1</f>
        <v>1</v>
      </c>
      <c r="M895" t="str">
        <f t="shared" si="26"/>
        <v>211</v>
      </c>
      <c r="N895" s="6" t="str">
        <f t="shared" si="27"/>
        <v>Lost</v>
      </c>
    </row>
    <row r="896" spans="1:14" x14ac:dyDescent="0.35">
      <c r="A896">
        <v>1221</v>
      </c>
      <c r="B896" s="4">
        <v>45626.375085336993</v>
      </c>
      <c r="C896" t="s">
        <v>8</v>
      </c>
      <c r="D896" t="s">
        <v>20</v>
      </c>
      <c r="E896" t="s">
        <v>23</v>
      </c>
      <c r="F896">
        <v>9673.9500000000007</v>
      </c>
      <c r="G896">
        <f t="array" ref="G896">SalesData!$I$2 - 'RFM Table'!B896</f>
        <v>510</v>
      </c>
      <c r="H896">
        <f t="array" ref="H896">COUNTIF(A:A,A896)</f>
        <v>8</v>
      </c>
      <c r="I896">
        <f t="array" ref="I896">SUMIF(A:A,A896,F:F)</f>
        <v>38894.44</v>
      </c>
      <c r="J896">
        <f t="array" ref="J896">5 - INT(5 * (RANK(G896,G:G, 1) - 1) / COUNT(G:G))</f>
        <v>2</v>
      </c>
      <c r="K896">
        <f t="array" ref="K896">INT(5 * (RANK(H896,H:H, 0) - 1) / COUNT(H:H)) + 1</f>
        <v>3</v>
      </c>
      <c r="L896">
        <f t="array" ref="L896">INT(5 * (RANK(I896,I:I, 0) - 1) / COUNT(I:I)) + 1</f>
        <v>2</v>
      </c>
      <c r="M896" t="str">
        <f t="shared" si="26"/>
        <v>232</v>
      </c>
      <c r="N896" s="6" t="str">
        <f t="shared" si="27"/>
        <v>Others</v>
      </c>
    </row>
    <row r="897" spans="1:14" x14ac:dyDescent="0.35">
      <c r="A897">
        <v>1207</v>
      </c>
      <c r="B897" s="4">
        <v>45627.375085336993</v>
      </c>
      <c r="C897" t="s">
        <v>15</v>
      </c>
      <c r="D897" t="s">
        <v>21</v>
      </c>
      <c r="E897" t="s">
        <v>23</v>
      </c>
      <c r="F897">
        <v>1696.78</v>
      </c>
      <c r="G897">
        <f t="array" ref="G897">SalesData!$I$2 - 'RFM Table'!B897</f>
        <v>509</v>
      </c>
      <c r="H897">
        <f t="array" ref="H897">COUNTIF(A:A,A897)</f>
        <v>7</v>
      </c>
      <c r="I897">
        <f t="array" ref="I897">SUMIF(A:A,A897,F:F)</f>
        <v>24204.07</v>
      </c>
      <c r="J897">
        <f t="array" ref="J897">5 - INT(5 * (RANK(G897,G:G, 1) - 1) / COUNT(G:G))</f>
        <v>2</v>
      </c>
      <c r="K897">
        <f t="array" ref="K897">INT(5 * (RANK(H897,H:H, 0) - 1) / COUNT(H:H)) + 1</f>
        <v>4</v>
      </c>
      <c r="L897">
        <f t="array" ref="L897">INT(5 * (RANK(I897,I:I, 0) - 1) / COUNT(I:I)) + 1</f>
        <v>4</v>
      </c>
      <c r="M897" t="str">
        <f t="shared" si="26"/>
        <v>244</v>
      </c>
      <c r="N897" s="6" t="str">
        <f t="shared" si="27"/>
        <v>At Risk</v>
      </c>
    </row>
    <row r="898" spans="1:14" x14ac:dyDescent="0.35">
      <c r="A898">
        <v>1175</v>
      </c>
      <c r="B898" s="4">
        <v>45627.375085336993</v>
      </c>
      <c r="C898" t="s">
        <v>15</v>
      </c>
      <c r="D898" t="s">
        <v>20</v>
      </c>
      <c r="E898" t="s">
        <v>23</v>
      </c>
      <c r="F898">
        <v>1227.7</v>
      </c>
      <c r="G898">
        <f t="array" ref="G898">SalesData!$I$2 - 'RFM Table'!B898</f>
        <v>509</v>
      </c>
      <c r="H898">
        <f t="array" ref="H898">COUNTIF(A:A,A898)</f>
        <v>6</v>
      </c>
      <c r="I898">
        <f t="array" ref="I898">SUMIF(A:A,A898,F:F)</f>
        <v>26179.75</v>
      </c>
      <c r="J898">
        <f t="array" ref="J898">5 - INT(5 * (RANK(G898,G:G, 1) - 1) / COUNT(G:G))</f>
        <v>2</v>
      </c>
      <c r="K898">
        <f t="array" ref="K898">INT(5 * (RANK(H898,H:H, 0) - 1) / COUNT(H:H)) + 1</f>
        <v>4</v>
      </c>
      <c r="L898">
        <f t="array" ref="L898">INT(5 * (RANK(I898,I:I, 0) - 1) / COUNT(I:I)) + 1</f>
        <v>4</v>
      </c>
      <c r="M898" t="str">
        <f t="shared" si="26"/>
        <v>244</v>
      </c>
      <c r="N898" s="6" t="str">
        <f t="shared" si="27"/>
        <v>At Risk</v>
      </c>
    </row>
    <row r="899" spans="1:14" x14ac:dyDescent="0.35">
      <c r="A899">
        <v>1311</v>
      </c>
      <c r="B899" s="4">
        <v>45627.375085336993</v>
      </c>
      <c r="C899" t="s">
        <v>6</v>
      </c>
      <c r="D899" t="s">
        <v>16</v>
      </c>
      <c r="E899" t="s">
        <v>25</v>
      </c>
      <c r="F899">
        <v>7059.31</v>
      </c>
      <c r="G899">
        <f t="array" ref="G899">SalesData!$I$2 - 'RFM Table'!B899</f>
        <v>509</v>
      </c>
      <c r="H899">
        <f t="array" ref="H899">COUNTIF(A:A,A899)</f>
        <v>8</v>
      </c>
      <c r="I899">
        <f t="array" ref="I899">SUMIF(A:A,A899,F:F)</f>
        <v>37668.22</v>
      </c>
      <c r="J899">
        <f t="array" ref="J899">5 - INT(5 * (RANK(G899,G:G, 1) - 1) / COUNT(G:G))</f>
        <v>2</v>
      </c>
      <c r="K899">
        <f t="array" ref="K899">INT(5 * (RANK(H899,H:H, 0) - 1) / COUNT(H:H)) + 1</f>
        <v>3</v>
      </c>
      <c r="L899">
        <f t="array" ref="L899">INT(5 * (RANK(I899,I:I, 0) - 1) / COUNT(I:I)) + 1</f>
        <v>2</v>
      </c>
      <c r="M899" t="str">
        <f t="shared" ref="M899:M962" si="28">J899 &amp; K899 &amp; L899</f>
        <v>232</v>
      </c>
      <c r="N899" s="6" t="str">
        <f t="shared" ref="N899:N962" si="29">IF(AND(J899&gt;=4,K899&lt;=2),"New Customers",
IF(AND(J899&lt;=2,K899&gt;=3,L899&gt;=3),"At Risk",
IF(AND(J899&lt;=2,K899&lt;=2,L899&gt;=3),"Can't Lose Them",
IF(AND(J899&lt;=2,K899&lt;=2,L899&lt;=2),"Lost",
"Others"))))</f>
        <v>Others</v>
      </c>
    </row>
    <row r="900" spans="1:14" x14ac:dyDescent="0.35">
      <c r="A900">
        <v>1150</v>
      </c>
      <c r="B900" s="4">
        <v>45628.375085336993</v>
      </c>
      <c r="C900" t="s">
        <v>14</v>
      </c>
      <c r="D900" t="s">
        <v>18</v>
      </c>
      <c r="E900" t="s">
        <v>25</v>
      </c>
      <c r="F900">
        <v>5517.94</v>
      </c>
      <c r="G900">
        <f t="array" ref="G900">SalesData!$I$2 - 'RFM Table'!B900</f>
        <v>508</v>
      </c>
      <c r="H900">
        <f t="array" ref="H900">COUNTIF(A:A,A900)</f>
        <v>10</v>
      </c>
      <c r="I900">
        <f t="array" ref="I900">SUMIF(A:A,A900,F:F)</f>
        <v>34643.039999999994</v>
      </c>
      <c r="J900">
        <f t="array" ref="J900">5 - INT(5 * (RANK(G900,G:G, 1) - 1) / COUNT(G:G))</f>
        <v>2</v>
      </c>
      <c r="K900">
        <f t="array" ref="K900">INT(5 * (RANK(H900,H:H, 0) - 1) / COUNT(H:H)) + 1</f>
        <v>2</v>
      </c>
      <c r="L900">
        <f t="array" ref="L900">INT(5 * (RANK(I900,I:I, 0) - 1) / COUNT(I:I)) + 1</f>
        <v>3</v>
      </c>
      <c r="M900" t="str">
        <f t="shared" si="28"/>
        <v>223</v>
      </c>
      <c r="N900" s="6" t="str">
        <f t="shared" si="29"/>
        <v>Can't Lose Them</v>
      </c>
    </row>
    <row r="901" spans="1:14" x14ac:dyDescent="0.35">
      <c r="A901">
        <v>1230</v>
      </c>
      <c r="B901" s="4">
        <v>45628.375085336993</v>
      </c>
      <c r="C901" t="s">
        <v>11</v>
      </c>
      <c r="D901" t="s">
        <v>17</v>
      </c>
      <c r="E901" t="s">
        <v>24</v>
      </c>
      <c r="F901">
        <v>998.18</v>
      </c>
      <c r="G901">
        <f t="array" ref="G901">SalesData!$I$2 - 'RFM Table'!B901</f>
        <v>508</v>
      </c>
      <c r="H901">
        <f t="array" ref="H901">COUNTIF(A:A,A901)</f>
        <v>11</v>
      </c>
      <c r="I901">
        <f t="array" ref="I901">SUMIF(A:A,A901,F:F)</f>
        <v>29238.53</v>
      </c>
      <c r="J901">
        <f t="array" ref="J901">5 - INT(5 * (RANK(G901,G:G, 1) - 1) / COUNT(G:G))</f>
        <v>2</v>
      </c>
      <c r="K901">
        <f t="array" ref="K901">INT(5 * (RANK(H901,H:H, 0) - 1) / COUNT(H:H)) + 1</f>
        <v>1</v>
      </c>
      <c r="L901">
        <f t="array" ref="L901">INT(5 * (RANK(I901,I:I, 0) - 1) / COUNT(I:I)) + 1</f>
        <v>4</v>
      </c>
      <c r="M901" t="str">
        <f t="shared" si="28"/>
        <v>214</v>
      </c>
      <c r="N901" s="6" t="str">
        <f t="shared" si="29"/>
        <v>Can't Lose Them</v>
      </c>
    </row>
    <row r="902" spans="1:14" x14ac:dyDescent="0.35">
      <c r="A902">
        <v>1068</v>
      </c>
      <c r="B902" s="4">
        <v>45628.375085336993</v>
      </c>
      <c r="C902" t="s">
        <v>14</v>
      </c>
      <c r="D902" t="s">
        <v>21</v>
      </c>
      <c r="E902" t="s">
        <v>24</v>
      </c>
      <c r="F902">
        <v>1304.8599999999999</v>
      </c>
      <c r="G902">
        <f t="array" ref="G902">SalesData!$I$2 - 'RFM Table'!B902</f>
        <v>508</v>
      </c>
      <c r="H902">
        <f t="array" ref="H902">COUNTIF(A:A,A902)</f>
        <v>10</v>
      </c>
      <c r="I902">
        <f t="array" ref="I902">SUMIF(A:A,A902,F:F)</f>
        <v>47284.22</v>
      </c>
      <c r="J902">
        <f t="array" ref="J902">5 - INT(5 * (RANK(G902,G:G, 1) - 1) / COUNT(G:G))</f>
        <v>2</v>
      </c>
      <c r="K902">
        <f t="array" ref="K902">INT(5 * (RANK(H902,H:H, 0) - 1) / COUNT(H:H)) + 1</f>
        <v>2</v>
      </c>
      <c r="L902">
        <f t="array" ref="L902">INT(5 * (RANK(I902,I:I, 0) - 1) / COUNT(I:I)) + 1</f>
        <v>1</v>
      </c>
      <c r="M902" t="str">
        <f t="shared" si="28"/>
        <v>221</v>
      </c>
      <c r="N902" s="6" t="str">
        <f t="shared" si="29"/>
        <v>Lost</v>
      </c>
    </row>
    <row r="903" spans="1:14" x14ac:dyDescent="0.35">
      <c r="A903">
        <v>1038</v>
      </c>
      <c r="B903" s="4">
        <v>45628.375085336993</v>
      </c>
      <c r="C903" t="s">
        <v>7</v>
      </c>
      <c r="D903" t="s">
        <v>16</v>
      </c>
      <c r="E903" t="s">
        <v>25</v>
      </c>
      <c r="F903">
        <v>4459.17</v>
      </c>
      <c r="G903">
        <f t="array" ref="G903">SalesData!$I$2 - 'RFM Table'!B903</f>
        <v>508</v>
      </c>
      <c r="H903">
        <f t="array" ref="H903">COUNTIF(A:A,A903)</f>
        <v>16</v>
      </c>
      <c r="I903">
        <f t="array" ref="I903">SUMIF(A:A,A903,F:F)</f>
        <v>76962.720000000001</v>
      </c>
      <c r="J903">
        <f t="array" ref="J903">5 - INT(5 * (RANK(G903,G:G, 1) - 1) / COUNT(G:G))</f>
        <v>2</v>
      </c>
      <c r="K903">
        <f t="array" ref="K903">INT(5 * (RANK(H903,H:H, 0) - 1) / COUNT(H:H)) + 1</f>
        <v>1</v>
      </c>
      <c r="L903">
        <f t="array" ref="L903">INT(5 * (RANK(I903,I:I, 0) - 1) / COUNT(I:I)) + 1</f>
        <v>1</v>
      </c>
      <c r="M903" t="str">
        <f t="shared" si="28"/>
        <v>211</v>
      </c>
      <c r="N903" s="6" t="str">
        <f t="shared" si="29"/>
        <v>Lost</v>
      </c>
    </row>
    <row r="904" spans="1:14" x14ac:dyDescent="0.35">
      <c r="A904">
        <v>1227</v>
      </c>
      <c r="B904" s="4">
        <v>45629.375085336993</v>
      </c>
      <c r="C904" t="s">
        <v>12</v>
      </c>
      <c r="D904" t="s">
        <v>17</v>
      </c>
      <c r="E904" t="s">
        <v>25</v>
      </c>
      <c r="F904">
        <v>13304.08</v>
      </c>
      <c r="G904">
        <f t="array" ref="G904">SalesData!$I$2 - 'RFM Table'!B904</f>
        <v>507</v>
      </c>
      <c r="H904">
        <f t="array" ref="H904">COUNTIF(A:A,A904)</f>
        <v>7</v>
      </c>
      <c r="I904">
        <f t="array" ref="I904">SUMIF(A:A,A904,F:F)</f>
        <v>39486.589999999997</v>
      </c>
      <c r="J904">
        <f t="array" ref="J904">5 - INT(5 * (RANK(G904,G:G, 1) - 1) / COUNT(G:G))</f>
        <v>2</v>
      </c>
      <c r="K904">
        <f t="array" ref="K904">INT(5 * (RANK(H904,H:H, 0) - 1) / COUNT(H:H)) + 1</f>
        <v>4</v>
      </c>
      <c r="L904">
        <f t="array" ref="L904">INT(5 * (RANK(I904,I:I, 0) - 1) / COUNT(I:I)) + 1</f>
        <v>2</v>
      </c>
      <c r="M904" t="str">
        <f t="shared" si="28"/>
        <v>242</v>
      </c>
      <c r="N904" s="6" t="str">
        <f t="shared" si="29"/>
        <v>Others</v>
      </c>
    </row>
    <row r="905" spans="1:14" x14ac:dyDescent="0.35">
      <c r="A905">
        <v>1107</v>
      </c>
      <c r="B905" s="4">
        <v>45629.375085336993</v>
      </c>
      <c r="C905" t="s">
        <v>11</v>
      </c>
      <c r="D905" t="s">
        <v>21</v>
      </c>
      <c r="E905" t="s">
        <v>24</v>
      </c>
      <c r="F905">
        <v>3726.17</v>
      </c>
      <c r="G905">
        <f t="array" ref="G905">SalesData!$I$2 - 'RFM Table'!B905</f>
        <v>507</v>
      </c>
      <c r="H905">
        <f t="array" ref="H905">COUNTIF(A:A,A905)</f>
        <v>9</v>
      </c>
      <c r="I905">
        <f t="array" ref="I905">SUMIF(A:A,A905,F:F)</f>
        <v>56095.37999999999</v>
      </c>
      <c r="J905">
        <f t="array" ref="J905">5 - INT(5 * (RANK(G905,G:G, 1) - 1) / COUNT(G:G))</f>
        <v>2</v>
      </c>
      <c r="K905">
        <f t="array" ref="K905">INT(5 * (RANK(H905,H:H, 0) - 1) / COUNT(H:H)) + 1</f>
        <v>2</v>
      </c>
      <c r="L905">
        <f t="array" ref="L905">INT(5 * (RANK(I905,I:I, 0) - 1) / COUNT(I:I)) + 1</f>
        <v>1</v>
      </c>
      <c r="M905" t="str">
        <f t="shared" si="28"/>
        <v>221</v>
      </c>
      <c r="N905" s="6" t="str">
        <f t="shared" si="29"/>
        <v>Lost</v>
      </c>
    </row>
    <row r="906" spans="1:14" x14ac:dyDescent="0.35">
      <c r="A906">
        <v>1019</v>
      </c>
      <c r="B906" s="4">
        <v>45630.375085336993</v>
      </c>
      <c r="C906" t="s">
        <v>6</v>
      </c>
      <c r="D906" t="s">
        <v>20</v>
      </c>
      <c r="E906" t="s">
        <v>24</v>
      </c>
      <c r="F906">
        <v>5583.04</v>
      </c>
      <c r="G906">
        <f t="array" ref="G906">SalesData!$I$2 - 'RFM Table'!B906</f>
        <v>506</v>
      </c>
      <c r="H906">
        <f t="array" ref="H906">COUNTIF(A:A,A906)</f>
        <v>11</v>
      </c>
      <c r="I906">
        <f t="array" ref="I906">SUMIF(A:A,A906,F:F)</f>
        <v>37863.899999999994</v>
      </c>
      <c r="J906">
        <f t="array" ref="J906">5 - INT(5 * (RANK(G906,G:G, 1) - 1) / COUNT(G:G))</f>
        <v>2</v>
      </c>
      <c r="K906">
        <f t="array" ref="K906">INT(5 * (RANK(H906,H:H, 0) - 1) / COUNT(H:H)) + 1</f>
        <v>1</v>
      </c>
      <c r="L906">
        <f t="array" ref="L906">INT(5 * (RANK(I906,I:I, 0) - 1) / COUNT(I:I)) + 1</f>
        <v>2</v>
      </c>
      <c r="M906" t="str">
        <f t="shared" si="28"/>
        <v>212</v>
      </c>
      <c r="N906" s="6" t="str">
        <f t="shared" si="29"/>
        <v>Lost</v>
      </c>
    </row>
    <row r="907" spans="1:14" x14ac:dyDescent="0.35">
      <c r="A907">
        <v>1355</v>
      </c>
      <c r="B907" s="4">
        <v>45630.375085336993</v>
      </c>
      <c r="C907" t="s">
        <v>15</v>
      </c>
      <c r="D907" t="s">
        <v>22</v>
      </c>
      <c r="E907" t="s">
        <v>25</v>
      </c>
      <c r="F907">
        <v>4308.3900000000003</v>
      </c>
      <c r="G907">
        <f t="array" ref="G907">SalesData!$I$2 - 'RFM Table'!B907</f>
        <v>506</v>
      </c>
      <c r="H907">
        <f t="array" ref="H907">COUNTIF(A:A,A907)</f>
        <v>6</v>
      </c>
      <c r="I907">
        <f t="array" ref="I907">SUMIF(A:A,A907,F:F)</f>
        <v>21250.21</v>
      </c>
      <c r="J907">
        <f t="array" ref="J907">5 - INT(5 * (RANK(G907,G:G, 1) - 1) / COUNT(G:G))</f>
        <v>2</v>
      </c>
      <c r="K907">
        <f t="array" ref="K907">INT(5 * (RANK(H907,H:H, 0) - 1) / COUNT(H:H)) + 1</f>
        <v>4</v>
      </c>
      <c r="L907">
        <f t="array" ref="L907">INT(5 * (RANK(I907,I:I, 0) - 1) / COUNT(I:I)) + 1</f>
        <v>5</v>
      </c>
      <c r="M907" t="str">
        <f t="shared" si="28"/>
        <v>245</v>
      </c>
      <c r="N907" s="6" t="str">
        <f t="shared" si="29"/>
        <v>At Risk</v>
      </c>
    </row>
    <row r="908" spans="1:14" x14ac:dyDescent="0.35">
      <c r="A908">
        <v>1319</v>
      </c>
      <c r="B908" s="4">
        <v>45630.375085336993</v>
      </c>
      <c r="C908" t="s">
        <v>14</v>
      </c>
      <c r="D908" t="s">
        <v>20</v>
      </c>
      <c r="E908" t="s">
        <v>25</v>
      </c>
      <c r="F908">
        <v>3421.4</v>
      </c>
      <c r="G908">
        <f t="array" ref="G908">SalesData!$I$2 - 'RFM Table'!B908</f>
        <v>506</v>
      </c>
      <c r="H908">
        <f t="array" ref="H908">COUNTIF(A:A,A908)</f>
        <v>10</v>
      </c>
      <c r="I908">
        <f t="array" ref="I908">SUMIF(A:A,A908,F:F)</f>
        <v>39681.960000000006</v>
      </c>
      <c r="J908">
        <f t="array" ref="J908">5 - INT(5 * (RANK(G908,G:G, 1) - 1) / COUNT(G:G))</f>
        <v>2</v>
      </c>
      <c r="K908">
        <f t="array" ref="K908">INT(5 * (RANK(H908,H:H, 0) - 1) / COUNT(H:H)) + 1</f>
        <v>2</v>
      </c>
      <c r="L908">
        <f t="array" ref="L908">INT(5 * (RANK(I908,I:I, 0) - 1) / COUNT(I:I)) + 1</f>
        <v>2</v>
      </c>
      <c r="M908" t="str">
        <f t="shared" si="28"/>
        <v>222</v>
      </c>
      <c r="N908" s="6" t="str">
        <f t="shared" si="29"/>
        <v>Lost</v>
      </c>
    </row>
    <row r="909" spans="1:14" x14ac:dyDescent="0.35">
      <c r="A909">
        <v>1303</v>
      </c>
      <c r="B909" s="4">
        <v>45631.375085336993</v>
      </c>
      <c r="C909" t="s">
        <v>12</v>
      </c>
      <c r="D909" t="s">
        <v>18</v>
      </c>
      <c r="E909" t="s">
        <v>24</v>
      </c>
      <c r="F909">
        <v>5299.43</v>
      </c>
      <c r="G909">
        <f t="array" ref="G909">SalesData!$I$2 - 'RFM Table'!B909</f>
        <v>505</v>
      </c>
      <c r="H909">
        <f t="array" ref="H909">COUNTIF(A:A,A909)</f>
        <v>9</v>
      </c>
      <c r="I909">
        <f t="array" ref="I909">SUMIF(A:A,A909,F:F)</f>
        <v>27888.809999999998</v>
      </c>
      <c r="J909">
        <f t="array" ref="J909">5 - INT(5 * (RANK(G909,G:G, 1) - 1) / COUNT(G:G))</f>
        <v>2</v>
      </c>
      <c r="K909">
        <f t="array" ref="K909">INT(5 * (RANK(H909,H:H, 0) - 1) / COUNT(H:H)) + 1</f>
        <v>2</v>
      </c>
      <c r="L909">
        <f t="array" ref="L909">INT(5 * (RANK(I909,I:I, 0) - 1) / COUNT(I:I)) + 1</f>
        <v>4</v>
      </c>
      <c r="M909" t="str">
        <f t="shared" si="28"/>
        <v>224</v>
      </c>
      <c r="N909" s="6" t="str">
        <f t="shared" si="29"/>
        <v>Can't Lose Them</v>
      </c>
    </row>
    <row r="910" spans="1:14" x14ac:dyDescent="0.35">
      <c r="A910">
        <v>1129</v>
      </c>
      <c r="B910" s="4">
        <v>45631.375085336993</v>
      </c>
      <c r="C910" t="s">
        <v>6</v>
      </c>
      <c r="D910" t="s">
        <v>18</v>
      </c>
      <c r="E910" t="s">
        <v>25</v>
      </c>
      <c r="F910">
        <v>2662.28</v>
      </c>
      <c r="G910">
        <f t="array" ref="G910">SalesData!$I$2 - 'RFM Table'!B910</f>
        <v>505</v>
      </c>
      <c r="H910">
        <f t="array" ref="H910">COUNTIF(A:A,A910)</f>
        <v>14</v>
      </c>
      <c r="I910">
        <f t="array" ref="I910">SUMIF(A:A,A910,F:F)</f>
        <v>53433.220000000008</v>
      </c>
      <c r="J910">
        <f t="array" ref="J910">5 - INT(5 * (RANK(G910,G:G, 1) - 1) / COUNT(G:G))</f>
        <v>2</v>
      </c>
      <c r="K910">
        <f t="array" ref="K910">INT(5 * (RANK(H910,H:H, 0) - 1) / COUNT(H:H)) + 1</f>
        <v>1</v>
      </c>
      <c r="L910">
        <f t="array" ref="L910">INT(5 * (RANK(I910,I:I, 0) - 1) / COUNT(I:I)) + 1</f>
        <v>1</v>
      </c>
      <c r="M910" t="str">
        <f t="shared" si="28"/>
        <v>211</v>
      </c>
      <c r="N910" s="6" t="str">
        <f t="shared" si="29"/>
        <v>Lost</v>
      </c>
    </row>
    <row r="911" spans="1:14" x14ac:dyDescent="0.35">
      <c r="A911">
        <v>1088</v>
      </c>
      <c r="B911" s="4">
        <v>45631.375085336993</v>
      </c>
      <c r="C911" t="s">
        <v>10</v>
      </c>
      <c r="D911" t="s">
        <v>22</v>
      </c>
      <c r="E911" t="s">
        <v>24</v>
      </c>
      <c r="F911">
        <v>2729.97</v>
      </c>
      <c r="G911">
        <f t="array" ref="G911">SalesData!$I$2 - 'RFM Table'!B911</f>
        <v>505</v>
      </c>
      <c r="H911">
        <f t="array" ref="H911">COUNTIF(A:A,A911)</f>
        <v>8</v>
      </c>
      <c r="I911">
        <f t="array" ref="I911">SUMIF(A:A,A911,F:F)</f>
        <v>40213.310000000005</v>
      </c>
      <c r="J911">
        <f t="array" ref="J911">5 - INT(5 * (RANK(G911,G:G, 1) - 1) / COUNT(G:G))</f>
        <v>2</v>
      </c>
      <c r="K911">
        <f t="array" ref="K911">INT(5 * (RANK(H911,H:H, 0) - 1) / COUNT(H:H)) + 1</f>
        <v>3</v>
      </c>
      <c r="L911">
        <f t="array" ref="L911">INT(5 * (RANK(I911,I:I, 0) - 1) / COUNT(I:I)) + 1</f>
        <v>2</v>
      </c>
      <c r="M911" t="str">
        <f t="shared" si="28"/>
        <v>232</v>
      </c>
      <c r="N911" s="6" t="str">
        <f t="shared" si="29"/>
        <v>Others</v>
      </c>
    </row>
    <row r="912" spans="1:14" x14ac:dyDescent="0.35">
      <c r="A912">
        <v>1037</v>
      </c>
      <c r="B912" s="4">
        <v>45632.375085336993</v>
      </c>
      <c r="C912" t="s">
        <v>14</v>
      </c>
      <c r="D912" t="s">
        <v>17</v>
      </c>
      <c r="E912" t="s">
        <v>24</v>
      </c>
      <c r="F912">
        <v>7225.53</v>
      </c>
      <c r="G912">
        <f t="array" ref="G912">SalesData!$I$2 - 'RFM Table'!B912</f>
        <v>504</v>
      </c>
      <c r="H912">
        <f t="array" ref="H912">COUNTIF(A:A,A912)</f>
        <v>9</v>
      </c>
      <c r="I912">
        <f t="array" ref="I912">SUMIF(A:A,A912,F:F)</f>
        <v>42109.760000000002</v>
      </c>
      <c r="J912">
        <f t="array" ref="J912">5 - INT(5 * (RANK(G912,G:G, 1) - 1) / COUNT(G:G))</f>
        <v>2</v>
      </c>
      <c r="K912">
        <f t="array" ref="K912">INT(5 * (RANK(H912,H:H, 0) - 1) / COUNT(H:H)) + 1</f>
        <v>2</v>
      </c>
      <c r="L912">
        <f t="array" ref="L912">INT(5 * (RANK(I912,I:I, 0) - 1) / COUNT(I:I)) + 1</f>
        <v>2</v>
      </c>
      <c r="M912" t="str">
        <f t="shared" si="28"/>
        <v>222</v>
      </c>
      <c r="N912" s="6" t="str">
        <f t="shared" si="29"/>
        <v>Lost</v>
      </c>
    </row>
    <row r="913" spans="1:14" x14ac:dyDescent="0.35">
      <c r="A913">
        <v>1038</v>
      </c>
      <c r="B913" s="4">
        <v>45632.375085336993</v>
      </c>
      <c r="C913" t="s">
        <v>7</v>
      </c>
      <c r="D913" t="s">
        <v>19</v>
      </c>
      <c r="E913" t="s">
        <v>25</v>
      </c>
      <c r="F913">
        <v>8456.2900000000009</v>
      </c>
      <c r="G913">
        <f t="array" ref="G913">SalesData!$I$2 - 'RFM Table'!B913</f>
        <v>504</v>
      </c>
      <c r="H913">
        <f t="array" ref="H913">COUNTIF(A:A,A913)</f>
        <v>16</v>
      </c>
      <c r="I913">
        <f t="array" ref="I913">SUMIF(A:A,A913,F:F)</f>
        <v>76962.720000000001</v>
      </c>
      <c r="J913">
        <f t="array" ref="J913">5 - INT(5 * (RANK(G913,G:G, 1) - 1) / COUNT(G:G))</f>
        <v>2</v>
      </c>
      <c r="K913">
        <f t="array" ref="K913">INT(5 * (RANK(H913,H:H, 0) - 1) / COUNT(H:H)) + 1</f>
        <v>1</v>
      </c>
      <c r="L913">
        <f t="array" ref="L913">INT(5 * (RANK(I913,I:I, 0) - 1) / COUNT(I:I)) + 1</f>
        <v>1</v>
      </c>
      <c r="M913" t="str">
        <f t="shared" si="28"/>
        <v>211</v>
      </c>
      <c r="N913" s="6" t="str">
        <f t="shared" si="29"/>
        <v>Lost</v>
      </c>
    </row>
    <row r="914" spans="1:14" x14ac:dyDescent="0.35">
      <c r="A914">
        <v>1386</v>
      </c>
      <c r="B914" s="4">
        <v>45632.375085336993</v>
      </c>
      <c r="C914" t="s">
        <v>11</v>
      </c>
      <c r="D914" t="s">
        <v>16</v>
      </c>
      <c r="E914" t="s">
        <v>25</v>
      </c>
      <c r="F914">
        <v>965.17</v>
      </c>
      <c r="G914">
        <f t="array" ref="G914">SalesData!$I$2 - 'RFM Table'!B914</f>
        <v>504</v>
      </c>
      <c r="H914">
        <f t="array" ref="H914">COUNTIF(A:A,A914)</f>
        <v>8</v>
      </c>
      <c r="I914">
        <f t="array" ref="I914">SUMIF(A:A,A914,F:F)</f>
        <v>32019.260000000006</v>
      </c>
      <c r="J914">
        <f t="array" ref="J914">5 - INT(5 * (RANK(G914,G:G, 1) - 1) / COUNT(G:G))</f>
        <v>2</v>
      </c>
      <c r="K914">
        <f t="array" ref="K914">INT(5 * (RANK(H914,H:H, 0) - 1) / COUNT(H:H)) + 1</f>
        <v>3</v>
      </c>
      <c r="L914">
        <f t="array" ref="L914">INT(5 * (RANK(I914,I:I, 0) - 1) / COUNT(I:I)) + 1</f>
        <v>3</v>
      </c>
      <c r="M914" t="str">
        <f t="shared" si="28"/>
        <v>233</v>
      </c>
      <c r="N914" s="6" t="str">
        <f t="shared" si="29"/>
        <v>At Risk</v>
      </c>
    </row>
    <row r="915" spans="1:14" x14ac:dyDescent="0.35">
      <c r="A915">
        <v>1153</v>
      </c>
      <c r="B915" s="4">
        <v>45632.375085336993</v>
      </c>
      <c r="C915" t="s">
        <v>12</v>
      </c>
      <c r="D915" t="s">
        <v>22</v>
      </c>
      <c r="E915" t="s">
        <v>25</v>
      </c>
      <c r="F915">
        <v>6279.67</v>
      </c>
      <c r="G915">
        <f t="array" ref="G915">SalesData!$I$2 - 'RFM Table'!B915</f>
        <v>504</v>
      </c>
      <c r="H915">
        <f t="array" ref="H915">COUNTIF(A:A,A915)</f>
        <v>12</v>
      </c>
      <c r="I915">
        <f t="array" ref="I915">SUMIF(A:A,A915,F:F)</f>
        <v>42146.06</v>
      </c>
      <c r="J915">
        <f t="array" ref="J915">5 - INT(5 * (RANK(G915,G:G, 1) - 1) / COUNT(G:G))</f>
        <v>2</v>
      </c>
      <c r="K915">
        <f t="array" ref="K915">INT(5 * (RANK(H915,H:H, 0) - 1) / COUNT(H:H)) + 1</f>
        <v>1</v>
      </c>
      <c r="L915">
        <f t="array" ref="L915">INT(5 * (RANK(I915,I:I, 0) - 1) / COUNT(I:I)) + 1</f>
        <v>2</v>
      </c>
      <c r="M915" t="str">
        <f t="shared" si="28"/>
        <v>212</v>
      </c>
      <c r="N915" s="6" t="str">
        <f t="shared" si="29"/>
        <v>Lost</v>
      </c>
    </row>
    <row r="916" spans="1:14" x14ac:dyDescent="0.35">
      <c r="A916">
        <v>1262</v>
      </c>
      <c r="B916" s="4">
        <v>45632.375085336993</v>
      </c>
      <c r="C916" t="s">
        <v>13</v>
      </c>
      <c r="D916" t="s">
        <v>19</v>
      </c>
      <c r="E916" t="s">
        <v>24</v>
      </c>
      <c r="F916">
        <v>3677.45</v>
      </c>
      <c r="G916">
        <f t="array" ref="G916">SalesData!$I$2 - 'RFM Table'!B916</f>
        <v>504</v>
      </c>
      <c r="H916">
        <f t="array" ref="H916">COUNTIF(A:A,A916)</f>
        <v>6</v>
      </c>
      <c r="I916">
        <f t="array" ref="I916">SUMIF(A:A,A916,F:F)</f>
        <v>15936.029999999999</v>
      </c>
      <c r="J916">
        <f t="array" ref="J916">5 - INT(5 * (RANK(G916,G:G, 1) - 1) / COUNT(G:G))</f>
        <v>2</v>
      </c>
      <c r="K916">
        <f t="array" ref="K916">INT(5 * (RANK(H916,H:H, 0) - 1) / COUNT(H:H)) + 1</f>
        <v>4</v>
      </c>
      <c r="L916">
        <f t="array" ref="L916">INT(5 * (RANK(I916,I:I, 0) - 1) / COUNT(I:I)) + 1</f>
        <v>5</v>
      </c>
      <c r="M916" t="str">
        <f t="shared" si="28"/>
        <v>245</v>
      </c>
      <c r="N916" s="6" t="str">
        <f t="shared" si="29"/>
        <v>At Risk</v>
      </c>
    </row>
    <row r="917" spans="1:14" x14ac:dyDescent="0.35">
      <c r="A917">
        <v>1232</v>
      </c>
      <c r="B917" s="4">
        <v>45632.375085336993</v>
      </c>
      <c r="C917" t="s">
        <v>13</v>
      </c>
      <c r="D917" t="s">
        <v>22</v>
      </c>
      <c r="E917" t="s">
        <v>23</v>
      </c>
      <c r="F917">
        <v>1562.03</v>
      </c>
      <c r="G917">
        <f t="array" ref="G917">SalesData!$I$2 - 'RFM Table'!B917</f>
        <v>504</v>
      </c>
      <c r="H917">
        <f t="array" ref="H917">COUNTIF(A:A,A917)</f>
        <v>13</v>
      </c>
      <c r="I917">
        <f t="array" ref="I917">SUMIF(A:A,A917,F:F)</f>
        <v>40298.450000000004</v>
      </c>
      <c r="J917">
        <f t="array" ref="J917">5 - INT(5 * (RANK(G917,G:G, 1) - 1) / COUNT(G:G))</f>
        <v>2</v>
      </c>
      <c r="K917">
        <f t="array" ref="K917">INT(5 * (RANK(H917,H:H, 0) - 1) / COUNT(H:H)) + 1</f>
        <v>1</v>
      </c>
      <c r="L917">
        <f t="array" ref="L917">INT(5 * (RANK(I917,I:I, 0) - 1) / COUNT(I:I)) + 1</f>
        <v>2</v>
      </c>
      <c r="M917" t="str">
        <f t="shared" si="28"/>
        <v>212</v>
      </c>
      <c r="N917" s="6" t="str">
        <f t="shared" si="29"/>
        <v>Lost</v>
      </c>
    </row>
    <row r="918" spans="1:14" x14ac:dyDescent="0.35">
      <c r="A918">
        <v>1225</v>
      </c>
      <c r="B918" s="4">
        <v>45632.375085336993</v>
      </c>
      <c r="C918" t="s">
        <v>11</v>
      </c>
      <c r="D918" t="s">
        <v>17</v>
      </c>
      <c r="E918" t="s">
        <v>24</v>
      </c>
      <c r="F918">
        <v>790.41</v>
      </c>
      <c r="G918">
        <f t="array" ref="G918">SalesData!$I$2 - 'RFM Table'!B918</f>
        <v>504</v>
      </c>
      <c r="H918">
        <f t="array" ref="H918">COUNTIF(A:A,A918)</f>
        <v>12</v>
      </c>
      <c r="I918">
        <f t="array" ref="I918">SUMIF(A:A,A918,F:F)</f>
        <v>42930.969999999994</v>
      </c>
      <c r="J918">
        <f t="array" ref="J918">5 - INT(5 * (RANK(G918,G:G, 1) - 1) / COUNT(G:G))</f>
        <v>2</v>
      </c>
      <c r="K918">
        <f t="array" ref="K918">INT(5 * (RANK(H918,H:H, 0) - 1) / COUNT(H:H)) + 1</f>
        <v>1</v>
      </c>
      <c r="L918">
        <f t="array" ref="L918">INT(5 * (RANK(I918,I:I, 0) - 1) / COUNT(I:I)) + 1</f>
        <v>2</v>
      </c>
      <c r="M918" t="str">
        <f t="shared" si="28"/>
        <v>212</v>
      </c>
      <c r="N918" s="6" t="str">
        <f t="shared" si="29"/>
        <v>Lost</v>
      </c>
    </row>
    <row r="919" spans="1:14" x14ac:dyDescent="0.35">
      <c r="A919">
        <v>1064</v>
      </c>
      <c r="B919" s="4">
        <v>45633.375085336993</v>
      </c>
      <c r="C919" t="s">
        <v>13</v>
      </c>
      <c r="D919" t="s">
        <v>18</v>
      </c>
      <c r="E919" t="s">
        <v>25</v>
      </c>
      <c r="F919">
        <v>1968.59</v>
      </c>
      <c r="G919">
        <f t="array" ref="G919">SalesData!$I$2 - 'RFM Table'!B919</f>
        <v>503</v>
      </c>
      <c r="H919">
        <f t="array" ref="H919">COUNTIF(A:A,A919)</f>
        <v>6</v>
      </c>
      <c r="I919">
        <f t="array" ref="I919">SUMIF(A:A,A919,F:F)</f>
        <v>30683.43</v>
      </c>
      <c r="J919">
        <f t="array" ref="J919">5 - INT(5 * (RANK(G919,G:G, 1) - 1) / COUNT(G:G))</f>
        <v>2</v>
      </c>
      <c r="K919">
        <f t="array" ref="K919">INT(5 * (RANK(H919,H:H, 0) - 1) / COUNT(H:H)) + 1</f>
        <v>4</v>
      </c>
      <c r="L919">
        <f t="array" ref="L919">INT(5 * (RANK(I919,I:I, 0) - 1) / COUNT(I:I)) + 1</f>
        <v>3</v>
      </c>
      <c r="M919" t="str">
        <f t="shared" si="28"/>
        <v>243</v>
      </c>
      <c r="N919" s="6" t="str">
        <f t="shared" si="29"/>
        <v>At Risk</v>
      </c>
    </row>
    <row r="920" spans="1:14" x14ac:dyDescent="0.35">
      <c r="A920">
        <v>1087</v>
      </c>
      <c r="B920" s="4">
        <v>45633.375085336993</v>
      </c>
      <c r="C920" t="s">
        <v>12</v>
      </c>
      <c r="D920" t="s">
        <v>21</v>
      </c>
      <c r="E920" t="s">
        <v>25</v>
      </c>
      <c r="F920">
        <v>4295.3100000000004</v>
      </c>
      <c r="G920">
        <f t="array" ref="G920">SalesData!$I$2 - 'RFM Table'!B920</f>
        <v>503</v>
      </c>
      <c r="H920">
        <f t="array" ref="H920">COUNTIF(A:A,A920)</f>
        <v>4</v>
      </c>
      <c r="I920">
        <f t="array" ref="I920">SUMIF(A:A,A920,F:F)</f>
        <v>19178.5</v>
      </c>
      <c r="J920">
        <f t="array" ref="J920">5 - INT(5 * (RANK(G920,G:G, 1) - 1) / COUNT(G:G))</f>
        <v>2</v>
      </c>
      <c r="K920">
        <f t="array" ref="K920">INT(5 * (RANK(H920,H:H, 0) - 1) / COUNT(H:H)) + 1</f>
        <v>5</v>
      </c>
      <c r="L920">
        <f t="array" ref="L920">INT(5 * (RANK(I920,I:I, 0) - 1) / COUNT(I:I)) + 1</f>
        <v>5</v>
      </c>
      <c r="M920" t="str">
        <f t="shared" si="28"/>
        <v>255</v>
      </c>
      <c r="N920" s="6" t="str">
        <f t="shared" si="29"/>
        <v>At Risk</v>
      </c>
    </row>
    <row r="921" spans="1:14" x14ac:dyDescent="0.35">
      <c r="A921">
        <v>1141</v>
      </c>
      <c r="B921" s="4">
        <v>45633.375085336993</v>
      </c>
      <c r="C921" t="s">
        <v>10</v>
      </c>
      <c r="D921" t="s">
        <v>19</v>
      </c>
      <c r="E921" t="s">
        <v>24</v>
      </c>
      <c r="F921">
        <v>5087.13</v>
      </c>
      <c r="G921">
        <f t="array" ref="G921">SalesData!$I$2 - 'RFM Table'!B921</f>
        <v>503</v>
      </c>
      <c r="H921">
        <f t="array" ref="H921">COUNTIF(A:A,A921)</f>
        <v>5</v>
      </c>
      <c r="I921">
        <f t="array" ref="I921">SUMIF(A:A,A921,F:F)</f>
        <v>18049.21</v>
      </c>
      <c r="J921">
        <f t="array" ref="J921">5 - INT(5 * (RANK(G921,G:G, 1) - 1) / COUNT(G:G))</f>
        <v>2</v>
      </c>
      <c r="K921">
        <f t="array" ref="K921">INT(5 * (RANK(H921,H:H, 0) - 1) / COUNT(H:H)) + 1</f>
        <v>5</v>
      </c>
      <c r="L921">
        <f t="array" ref="L921">INT(5 * (RANK(I921,I:I, 0) - 1) / COUNT(I:I)) + 1</f>
        <v>5</v>
      </c>
      <c r="M921" t="str">
        <f t="shared" si="28"/>
        <v>255</v>
      </c>
      <c r="N921" s="6" t="str">
        <f t="shared" si="29"/>
        <v>At Risk</v>
      </c>
    </row>
    <row r="922" spans="1:14" x14ac:dyDescent="0.35">
      <c r="A922">
        <v>1208</v>
      </c>
      <c r="B922" s="4">
        <v>45633.375085336993</v>
      </c>
      <c r="C922" t="s">
        <v>13</v>
      </c>
      <c r="D922" t="s">
        <v>19</v>
      </c>
      <c r="E922" t="s">
        <v>25</v>
      </c>
      <c r="F922">
        <v>5242.17</v>
      </c>
      <c r="G922">
        <f t="array" ref="G922">SalesData!$I$2 - 'RFM Table'!B922</f>
        <v>503</v>
      </c>
      <c r="H922">
        <f t="array" ref="H922">COUNTIF(A:A,A922)</f>
        <v>5</v>
      </c>
      <c r="I922">
        <f t="array" ref="I922">SUMIF(A:A,A922,F:F)</f>
        <v>25493.58</v>
      </c>
      <c r="J922">
        <f t="array" ref="J922">5 - INT(5 * (RANK(G922,G:G, 1) - 1) / COUNT(G:G))</f>
        <v>2</v>
      </c>
      <c r="K922">
        <f t="array" ref="K922">INT(5 * (RANK(H922,H:H, 0) - 1) / COUNT(H:H)) + 1</f>
        <v>5</v>
      </c>
      <c r="L922">
        <f t="array" ref="L922">INT(5 * (RANK(I922,I:I, 0) - 1) / COUNT(I:I)) + 1</f>
        <v>4</v>
      </c>
      <c r="M922" t="str">
        <f t="shared" si="28"/>
        <v>254</v>
      </c>
      <c r="N922" s="6" t="str">
        <f t="shared" si="29"/>
        <v>At Risk</v>
      </c>
    </row>
    <row r="923" spans="1:14" x14ac:dyDescent="0.35">
      <c r="A923">
        <v>1356</v>
      </c>
      <c r="B923" s="4">
        <v>45633.375085336993</v>
      </c>
      <c r="C923" t="s">
        <v>10</v>
      </c>
      <c r="D923" t="s">
        <v>20</v>
      </c>
      <c r="E923" t="s">
        <v>24</v>
      </c>
      <c r="F923">
        <v>3516.13</v>
      </c>
      <c r="G923">
        <f t="array" ref="G923">SalesData!$I$2 - 'RFM Table'!B923</f>
        <v>503</v>
      </c>
      <c r="H923">
        <f t="array" ref="H923">COUNTIF(A:A,A923)</f>
        <v>5</v>
      </c>
      <c r="I923">
        <f t="array" ref="I923">SUMIF(A:A,A923,F:F)</f>
        <v>19401.64</v>
      </c>
      <c r="J923">
        <f t="array" ref="J923">5 - INT(5 * (RANK(G923,G:G, 1) - 1) / COUNT(G:G))</f>
        <v>2</v>
      </c>
      <c r="K923">
        <f t="array" ref="K923">INT(5 * (RANK(H923,H:H, 0) - 1) / COUNT(H:H)) + 1</f>
        <v>5</v>
      </c>
      <c r="L923">
        <f t="array" ref="L923">INT(5 * (RANK(I923,I:I, 0) - 1) / COUNT(I:I)) + 1</f>
        <v>5</v>
      </c>
      <c r="M923" t="str">
        <f t="shared" si="28"/>
        <v>255</v>
      </c>
      <c r="N923" s="6" t="str">
        <f t="shared" si="29"/>
        <v>At Risk</v>
      </c>
    </row>
    <row r="924" spans="1:14" x14ac:dyDescent="0.35">
      <c r="A924">
        <v>1219</v>
      </c>
      <c r="B924" s="4">
        <v>45634.375085336993</v>
      </c>
      <c r="C924" t="s">
        <v>8</v>
      </c>
      <c r="D924" t="s">
        <v>16</v>
      </c>
      <c r="E924" t="s">
        <v>24</v>
      </c>
      <c r="F924">
        <v>11051.73</v>
      </c>
      <c r="G924">
        <f t="array" ref="G924">SalesData!$I$2 - 'RFM Table'!B924</f>
        <v>502</v>
      </c>
      <c r="H924">
        <f t="array" ref="H924">COUNTIF(A:A,A924)</f>
        <v>11</v>
      </c>
      <c r="I924">
        <f t="array" ref="I924">SUMIF(A:A,A924,F:F)</f>
        <v>38976.650000000009</v>
      </c>
      <c r="J924">
        <f t="array" ref="J924">5 - INT(5 * (RANK(G924,G:G, 1) - 1) / COUNT(G:G))</f>
        <v>2</v>
      </c>
      <c r="K924">
        <f t="array" ref="K924">INT(5 * (RANK(H924,H:H, 0) - 1) / COUNT(H:H)) + 1</f>
        <v>1</v>
      </c>
      <c r="L924">
        <f t="array" ref="L924">INT(5 * (RANK(I924,I:I, 0) - 1) / COUNT(I:I)) + 1</f>
        <v>2</v>
      </c>
      <c r="M924" t="str">
        <f t="shared" si="28"/>
        <v>212</v>
      </c>
      <c r="N924" s="6" t="str">
        <f t="shared" si="29"/>
        <v>Lost</v>
      </c>
    </row>
    <row r="925" spans="1:14" x14ac:dyDescent="0.35">
      <c r="A925">
        <v>1042</v>
      </c>
      <c r="B925" s="4">
        <v>45634.375085336993</v>
      </c>
      <c r="C925" t="s">
        <v>11</v>
      </c>
      <c r="D925" t="s">
        <v>20</v>
      </c>
      <c r="E925" t="s">
        <v>25</v>
      </c>
      <c r="F925">
        <v>4355.17</v>
      </c>
      <c r="G925">
        <f t="array" ref="G925">SalesData!$I$2 - 'RFM Table'!B925</f>
        <v>502</v>
      </c>
      <c r="H925">
        <f t="array" ref="H925">COUNTIF(A:A,A925)</f>
        <v>5</v>
      </c>
      <c r="I925">
        <f t="array" ref="I925">SUMIF(A:A,A925,F:F)</f>
        <v>18557.84</v>
      </c>
      <c r="J925">
        <f t="array" ref="J925">5 - INT(5 * (RANK(G925,G:G, 1) - 1) / COUNT(G:G))</f>
        <v>2</v>
      </c>
      <c r="K925">
        <f t="array" ref="K925">INT(5 * (RANK(H925,H:H, 0) - 1) / COUNT(H:H)) + 1</f>
        <v>5</v>
      </c>
      <c r="L925">
        <f t="array" ref="L925">INT(5 * (RANK(I925,I:I, 0) - 1) / COUNT(I:I)) + 1</f>
        <v>5</v>
      </c>
      <c r="M925" t="str">
        <f t="shared" si="28"/>
        <v>255</v>
      </c>
      <c r="N925" s="6" t="str">
        <f t="shared" si="29"/>
        <v>At Risk</v>
      </c>
    </row>
    <row r="926" spans="1:14" x14ac:dyDescent="0.35">
      <c r="A926">
        <v>1321</v>
      </c>
      <c r="B926" s="4">
        <v>45635.375085336993</v>
      </c>
      <c r="C926" t="s">
        <v>10</v>
      </c>
      <c r="D926" t="s">
        <v>18</v>
      </c>
      <c r="E926" t="s">
        <v>24</v>
      </c>
      <c r="F926">
        <v>1792.37</v>
      </c>
      <c r="G926">
        <f t="array" ref="G926">SalesData!$I$2 - 'RFM Table'!B926</f>
        <v>501</v>
      </c>
      <c r="H926">
        <f t="array" ref="H926">COUNTIF(A:A,A926)</f>
        <v>3</v>
      </c>
      <c r="I926">
        <f t="array" ref="I926">SUMIF(A:A,A926,F:F)</f>
        <v>5573.4400000000005</v>
      </c>
      <c r="J926">
        <f t="array" ref="J926">5 - INT(5 * (RANK(G926,G:G, 1) - 1) / COUNT(G:G))</f>
        <v>2</v>
      </c>
      <c r="K926">
        <f t="array" ref="K926">INT(5 * (RANK(H926,H:H, 0) - 1) / COUNT(H:H)) + 1</f>
        <v>5</v>
      </c>
      <c r="L926">
        <f t="array" ref="L926">INT(5 * (RANK(I926,I:I, 0) - 1) / COUNT(I:I)) + 1</f>
        <v>5</v>
      </c>
      <c r="M926" t="str">
        <f t="shared" si="28"/>
        <v>255</v>
      </c>
      <c r="N926" s="6" t="str">
        <f t="shared" si="29"/>
        <v>At Risk</v>
      </c>
    </row>
    <row r="927" spans="1:14" x14ac:dyDescent="0.35">
      <c r="A927">
        <v>1136</v>
      </c>
      <c r="B927" s="4">
        <v>45635.375085336993</v>
      </c>
      <c r="C927" t="s">
        <v>8</v>
      </c>
      <c r="D927" t="s">
        <v>22</v>
      </c>
      <c r="E927" t="s">
        <v>24</v>
      </c>
      <c r="F927">
        <v>3754.69</v>
      </c>
      <c r="G927">
        <f t="array" ref="G927">SalesData!$I$2 - 'RFM Table'!B927</f>
        <v>501</v>
      </c>
      <c r="H927">
        <f t="array" ref="H927">COUNTIF(A:A,A927)</f>
        <v>6</v>
      </c>
      <c r="I927">
        <f t="array" ref="I927">SUMIF(A:A,A927,F:F)</f>
        <v>16588.13</v>
      </c>
      <c r="J927">
        <f t="array" ref="J927">5 - INT(5 * (RANK(G927,G:G, 1) - 1) / COUNT(G:G))</f>
        <v>2</v>
      </c>
      <c r="K927">
        <f t="array" ref="K927">INT(5 * (RANK(H927,H:H, 0) - 1) / COUNT(H:H)) + 1</f>
        <v>4</v>
      </c>
      <c r="L927">
        <f t="array" ref="L927">INT(5 * (RANK(I927,I:I, 0) - 1) / COUNT(I:I)) + 1</f>
        <v>5</v>
      </c>
      <c r="M927" t="str">
        <f t="shared" si="28"/>
        <v>245</v>
      </c>
      <c r="N927" s="6" t="str">
        <f t="shared" si="29"/>
        <v>At Risk</v>
      </c>
    </row>
    <row r="928" spans="1:14" x14ac:dyDescent="0.35">
      <c r="A928">
        <v>1059</v>
      </c>
      <c r="B928" s="4">
        <v>45635.375085336993</v>
      </c>
      <c r="C928" t="s">
        <v>12</v>
      </c>
      <c r="D928" t="s">
        <v>17</v>
      </c>
      <c r="E928" t="s">
        <v>24</v>
      </c>
      <c r="F928">
        <v>707.3</v>
      </c>
      <c r="G928">
        <f t="array" ref="G928">SalesData!$I$2 - 'RFM Table'!B928</f>
        <v>501</v>
      </c>
      <c r="H928">
        <f t="array" ref="H928">COUNTIF(A:A,A928)</f>
        <v>8</v>
      </c>
      <c r="I928">
        <f t="array" ref="I928">SUMIF(A:A,A928,F:F)</f>
        <v>38016.57</v>
      </c>
      <c r="J928">
        <f t="array" ref="J928">5 - INT(5 * (RANK(G928,G:G, 1) - 1) / COUNT(G:G))</f>
        <v>2</v>
      </c>
      <c r="K928">
        <f t="array" ref="K928">INT(5 * (RANK(H928,H:H, 0) - 1) / COUNT(H:H)) + 1</f>
        <v>3</v>
      </c>
      <c r="L928">
        <f t="array" ref="L928">INT(5 * (RANK(I928,I:I, 0) - 1) / COUNT(I:I)) + 1</f>
        <v>2</v>
      </c>
      <c r="M928" t="str">
        <f t="shared" si="28"/>
        <v>232</v>
      </c>
      <c r="N928" s="6" t="str">
        <f t="shared" si="29"/>
        <v>Others</v>
      </c>
    </row>
    <row r="929" spans="1:14" x14ac:dyDescent="0.35">
      <c r="A929">
        <v>1311</v>
      </c>
      <c r="B929" s="4">
        <v>45635.375085336993</v>
      </c>
      <c r="C929" t="s">
        <v>8</v>
      </c>
      <c r="D929" t="s">
        <v>19</v>
      </c>
      <c r="E929" t="s">
        <v>25</v>
      </c>
      <c r="F929">
        <v>3257.06</v>
      </c>
      <c r="G929">
        <f t="array" ref="G929">SalesData!$I$2 - 'RFM Table'!B929</f>
        <v>501</v>
      </c>
      <c r="H929">
        <f t="array" ref="H929">COUNTIF(A:A,A929)</f>
        <v>8</v>
      </c>
      <c r="I929">
        <f t="array" ref="I929">SUMIF(A:A,A929,F:F)</f>
        <v>37668.22</v>
      </c>
      <c r="J929">
        <f t="array" ref="J929">5 - INT(5 * (RANK(G929,G:G, 1) - 1) / COUNT(G:G))</f>
        <v>2</v>
      </c>
      <c r="K929">
        <f t="array" ref="K929">INT(5 * (RANK(H929,H:H, 0) - 1) / COUNT(H:H)) + 1</f>
        <v>3</v>
      </c>
      <c r="L929">
        <f t="array" ref="L929">INT(5 * (RANK(I929,I:I, 0) - 1) / COUNT(I:I)) + 1</f>
        <v>2</v>
      </c>
      <c r="M929" t="str">
        <f t="shared" si="28"/>
        <v>232</v>
      </c>
      <c r="N929" s="6" t="str">
        <f t="shared" si="29"/>
        <v>Others</v>
      </c>
    </row>
    <row r="930" spans="1:14" x14ac:dyDescent="0.35">
      <c r="A930">
        <v>1284</v>
      </c>
      <c r="B930" s="4">
        <v>45636.375085336993</v>
      </c>
      <c r="C930" t="s">
        <v>10</v>
      </c>
      <c r="D930" t="s">
        <v>22</v>
      </c>
      <c r="E930" t="s">
        <v>25</v>
      </c>
      <c r="F930">
        <v>1399.73</v>
      </c>
      <c r="G930">
        <f t="array" ref="G930">SalesData!$I$2 - 'RFM Table'!B930</f>
        <v>500</v>
      </c>
      <c r="H930">
        <f t="array" ref="H930">COUNTIF(A:A,A930)</f>
        <v>12</v>
      </c>
      <c r="I930">
        <f t="array" ref="I930">SUMIF(A:A,A930,F:F)</f>
        <v>49930.359999999993</v>
      </c>
      <c r="J930">
        <f t="array" ref="J930">5 - INT(5 * (RANK(G930,G:G, 1) - 1) / COUNT(G:G))</f>
        <v>2</v>
      </c>
      <c r="K930">
        <f t="array" ref="K930">INT(5 * (RANK(H930,H:H, 0) - 1) / COUNT(H:H)) + 1</f>
        <v>1</v>
      </c>
      <c r="L930">
        <f t="array" ref="L930">INT(5 * (RANK(I930,I:I, 0) - 1) / COUNT(I:I)) + 1</f>
        <v>1</v>
      </c>
      <c r="M930" t="str">
        <f t="shared" si="28"/>
        <v>211</v>
      </c>
      <c r="N930" s="6" t="str">
        <f t="shared" si="29"/>
        <v>Lost</v>
      </c>
    </row>
    <row r="931" spans="1:14" x14ac:dyDescent="0.35">
      <c r="A931">
        <v>1364</v>
      </c>
      <c r="B931" s="4">
        <v>45637.375085336993</v>
      </c>
      <c r="C931" t="s">
        <v>13</v>
      </c>
      <c r="D931" t="s">
        <v>21</v>
      </c>
      <c r="E931" t="s">
        <v>24</v>
      </c>
      <c r="F931">
        <v>1052.31</v>
      </c>
      <c r="G931">
        <f t="array" ref="G931">SalesData!$I$2 - 'RFM Table'!B931</f>
        <v>499</v>
      </c>
      <c r="H931">
        <f t="array" ref="H931">COUNTIF(A:A,A931)</f>
        <v>11</v>
      </c>
      <c r="I931">
        <f t="array" ref="I931">SUMIF(A:A,A931,F:F)</f>
        <v>39674.43</v>
      </c>
      <c r="J931">
        <f t="array" ref="J931">5 - INT(5 * (RANK(G931,G:G, 1) - 1) / COUNT(G:G))</f>
        <v>2</v>
      </c>
      <c r="K931">
        <f t="array" ref="K931">INT(5 * (RANK(H931,H:H, 0) - 1) / COUNT(H:H)) + 1</f>
        <v>1</v>
      </c>
      <c r="L931">
        <f t="array" ref="L931">INT(5 * (RANK(I931,I:I, 0) - 1) / COUNT(I:I)) + 1</f>
        <v>2</v>
      </c>
      <c r="M931" t="str">
        <f t="shared" si="28"/>
        <v>212</v>
      </c>
      <c r="N931" s="6" t="str">
        <f t="shared" si="29"/>
        <v>Lost</v>
      </c>
    </row>
    <row r="932" spans="1:14" x14ac:dyDescent="0.35">
      <c r="A932">
        <v>1071</v>
      </c>
      <c r="B932" s="4">
        <v>45637.375085336993</v>
      </c>
      <c r="C932" t="s">
        <v>8</v>
      </c>
      <c r="D932" t="s">
        <v>19</v>
      </c>
      <c r="E932" t="s">
        <v>23</v>
      </c>
      <c r="F932">
        <v>3757.85</v>
      </c>
      <c r="G932">
        <f t="array" ref="G932">SalesData!$I$2 - 'RFM Table'!B932</f>
        <v>499</v>
      </c>
      <c r="H932">
        <f t="array" ref="H932">COUNTIF(A:A,A932)</f>
        <v>8</v>
      </c>
      <c r="I932">
        <f t="array" ref="I932">SUMIF(A:A,A932,F:F)</f>
        <v>28879.600000000002</v>
      </c>
      <c r="J932">
        <f t="array" ref="J932">5 - INT(5 * (RANK(G932,G:G, 1) - 1) / COUNT(G:G))</f>
        <v>2</v>
      </c>
      <c r="K932">
        <f t="array" ref="K932">INT(5 * (RANK(H932,H:H, 0) - 1) / COUNT(H:H)) + 1</f>
        <v>3</v>
      </c>
      <c r="L932">
        <f t="array" ref="L932">INT(5 * (RANK(I932,I:I, 0) - 1) / COUNT(I:I)) + 1</f>
        <v>4</v>
      </c>
      <c r="M932" t="str">
        <f t="shared" si="28"/>
        <v>234</v>
      </c>
      <c r="N932" s="6" t="str">
        <f t="shared" si="29"/>
        <v>At Risk</v>
      </c>
    </row>
    <row r="933" spans="1:14" x14ac:dyDescent="0.35">
      <c r="A933">
        <v>1322</v>
      </c>
      <c r="B933" s="4">
        <v>45637.375085336993</v>
      </c>
      <c r="C933" t="s">
        <v>15</v>
      </c>
      <c r="D933" t="s">
        <v>19</v>
      </c>
      <c r="E933" t="s">
        <v>24</v>
      </c>
      <c r="F933">
        <v>1389.92</v>
      </c>
      <c r="G933">
        <f t="array" ref="G933">SalesData!$I$2 - 'RFM Table'!B933</f>
        <v>499</v>
      </c>
      <c r="H933">
        <f t="array" ref="H933">COUNTIF(A:A,A933)</f>
        <v>8</v>
      </c>
      <c r="I933">
        <f t="array" ref="I933">SUMIF(A:A,A933,F:F)</f>
        <v>30924.840000000004</v>
      </c>
      <c r="J933">
        <f t="array" ref="J933">5 - INT(5 * (RANK(G933,G:G, 1) - 1) / COUNT(G:G))</f>
        <v>2</v>
      </c>
      <c r="K933">
        <f t="array" ref="K933">INT(5 * (RANK(H933,H:H, 0) - 1) / COUNT(H:H)) + 1</f>
        <v>3</v>
      </c>
      <c r="L933">
        <f t="array" ref="L933">INT(5 * (RANK(I933,I:I, 0) - 1) / COUNT(I:I)) + 1</f>
        <v>3</v>
      </c>
      <c r="M933" t="str">
        <f t="shared" si="28"/>
        <v>233</v>
      </c>
      <c r="N933" s="6" t="str">
        <f t="shared" si="29"/>
        <v>At Risk</v>
      </c>
    </row>
    <row r="934" spans="1:14" x14ac:dyDescent="0.35">
      <c r="A934">
        <v>1367</v>
      </c>
      <c r="B934" s="4">
        <v>45638.375085336993</v>
      </c>
      <c r="C934" t="s">
        <v>8</v>
      </c>
      <c r="D934" t="s">
        <v>17</v>
      </c>
      <c r="E934" t="s">
        <v>23</v>
      </c>
      <c r="F934">
        <v>2147.6999999999998</v>
      </c>
      <c r="G934">
        <f t="array" ref="G934">SalesData!$I$2 - 'RFM Table'!B934</f>
        <v>498</v>
      </c>
      <c r="H934">
        <f t="array" ref="H934">COUNTIF(A:A,A934)</f>
        <v>2</v>
      </c>
      <c r="I934">
        <f t="array" ref="I934">SUMIF(A:A,A934,F:F)</f>
        <v>8438.130000000001</v>
      </c>
      <c r="J934">
        <f t="array" ref="J934">5 - INT(5 * (RANK(G934,G:G, 1) - 1) / COUNT(G:G))</f>
        <v>2</v>
      </c>
      <c r="K934">
        <f t="array" ref="K934">INT(5 * (RANK(H934,H:H, 0) - 1) / COUNT(H:H)) + 1</f>
        <v>5</v>
      </c>
      <c r="L934">
        <f t="array" ref="L934">INT(5 * (RANK(I934,I:I, 0) - 1) / COUNT(I:I)) + 1</f>
        <v>5</v>
      </c>
      <c r="M934" t="str">
        <f t="shared" si="28"/>
        <v>255</v>
      </c>
      <c r="N934" s="6" t="str">
        <f t="shared" si="29"/>
        <v>At Risk</v>
      </c>
    </row>
    <row r="935" spans="1:14" x14ac:dyDescent="0.35">
      <c r="A935">
        <v>1068</v>
      </c>
      <c r="B935" s="4">
        <v>45638.375085336993</v>
      </c>
      <c r="C935" t="s">
        <v>9</v>
      </c>
      <c r="D935" t="s">
        <v>19</v>
      </c>
      <c r="E935" t="s">
        <v>25</v>
      </c>
      <c r="F935">
        <v>4411.46</v>
      </c>
      <c r="G935">
        <f t="array" ref="G935">SalesData!$I$2 - 'RFM Table'!B935</f>
        <v>498</v>
      </c>
      <c r="H935">
        <f t="array" ref="H935">COUNTIF(A:A,A935)</f>
        <v>10</v>
      </c>
      <c r="I935">
        <f t="array" ref="I935">SUMIF(A:A,A935,F:F)</f>
        <v>47284.22</v>
      </c>
      <c r="J935">
        <f t="array" ref="J935">5 - INT(5 * (RANK(G935,G:G, 1) - 1) / COUNT(G:G))</f>
        <v>2</v>
      </c>
      <c r="K935">
        <f t="array" ref="K935">INT(5 * (RANK(H935,H:H, 0) - 1) / COUNT(H:H)) + 1</f>
        <v>2</v>
      </c>
      <c r="L935">
        <f t="array" ref="L935">INT(5 * (RANK(I935,I:I, 0) - 1) / COUNT(I:I)) + 1</f>
        <v>1</v>
      </c>
      <c r="M935" t="str">
        <f t="shared" si="28"/>
        <v>221</v>
      </c>
      <c r="N935" s="6" t="str">
        <f t="shared" si="29"/>
        <v>Lost</v>
      </c>
    </row>
    <row r="936" spans="1:14" x14ac:dyDescent="0.35">
      <c r="A936">
        <v>1136</v>
      </c>
      <c r="B936" s="4">
        <v>45638.375085336993</v>
      </c>
      <c r="C936" t="s">
        <v>7</v>
      </c>
      <c r="D936" t="s">
        <v>20</v>
      </c>
      <c r="E936" t="s">
        <v>25</v>
      </c>
      <c r="F936">
        <v>2027.41</v>
      </c>
      <c r="G936">
        <f t="array" ref="G936">SalesData!$I$2 - 'RFM Table'!B936</f>
        <v>498</v>
      </c>
      <c r="H936">
        <f t="array" ref="H936">COUNTIF(A:A,A936)</f>
        <v>6</v>
      </c>
      <c r="I936">
        <f t="array" ref="I936">SUMIF(A:A,A936,F:F)</f>
        <v>16588.13</v>
      </c>
      <c r="J936">
        <f t="array" ref="J936">5 - INT(5 * (RANK(G936,G:G, 1) - 1) / COUNT(G:G))</f>
        <v>2</v>
      </c>
      <c r="K936">
        <f t="array" ref="K936">INT(5 * (RANK(H936,H:H, 0) - 1) / COUNT(H:H)) + 1</f>
        <v>4</v>
      </c>
      <c r="L936">
        <f t="array" ref="L936">INT(5 * (RANK(I936,I:I, 0) - 1) / COUNT(I:I)) + 1</f>
        <v>5</v>
      </c>
      <c r="M936" t="str">
        <f t="shared" si="28"/>
        <v>245</v>
      </c>
      <c r="N936" s="6" t="str">
        <f t="shared" si="29"/>
        <v>At Risk</v>
      </c>
    </row>
    <row r="937" spans="1:14" x14ac:dyDescent="0.35">
      <c r="A937">
        <v>1183</v>
      </c>
      <c r="B937" s="4">
        <v>45638.375085336993</v>
      </c>
      <c r="C937" t="s">
        <v>14</v>
      </c>
      <c r="D937" t="s">
        <v>16</v>
      </c>
      <c r="E937" t="s">
        <v>24</v>
      </c>
      <c r="F937">
        <v>5222.54</v>
      </c>
      <c r="G937">
        <f t="array" ref="G937">SalesData!$I$2 - 'RFM Table'!B937</f>
        <v>498</v>
      </c>
      <c r="H937">
        <f t="array" ref="H937">COUNTIF(A:A,A937)</f>
        <v>6</v>
      </c>
      <c r="I937">
        <f t="array" ref="I937">SUMIF(A:A,A937,F:F)</f>
        <v>27493.600000000002</v>
      </c>
      <c r="J937">
        <f t="array" ref="J937">5 - INT(5 * (RANK(G937,G:G, 1) - 1) / COUNT(G:G))</f>
        <v>2</v>
      </c>
      <c r="K937">
        <f t="array" ref="K937">INT(5 * (RANK(H937,H:H, 0) - 1) / COUNT(H:H)) + 1</f>
        <v>4</v>
      </c>
      <c r="L937">
        <f t="array" ref="L937">INT(5 * (RANK(I937,I:I, 0) - 1) / COUNT(I:I)) + 1</f>
        <v>4</v>
      </c>
      <c r="M937" t="str">
        <f t="shared" si="28"/>
        <v>244</v>
      </c>
      <c r="N937" s="6" t="str">
        <f t="shared" si="29"/>
        <v>At Risk</v>
      </c>
    </row>
    <row r="938" spans="1:14" x14ac:dyDescent="0.35">
      <c r="A938">
        <v>1163</v>
      </c>
      <c r="B938" s="4">
        <v>45638.375085336993</v>
      </c>
      <c r="C938" t="s">
        <v>12</v>
      </c>
      <c r="D938" t="s">
        <v>19</v>
      </c>
      <c r="E938" t="s">
        <v>24</v>
      </c>
      <c r="F938">
        <v>6101.69</v>
      </c>
      <c r="G938">
        <f t="array" ref="G938">SalesData!$I$2 - 'RFM Table'!B938</f>
        <v>498</v>
      </c>
      <c r="H938">
        <f t="array" ref="H938">COUNTIF(A:A,A938)</f>
        <v>11</v>
      </c>
      <c r="I938">
        <f t="array" ref="I938">SUMIF(A:A,A938,F:F)</f>
        <v>43753.86</v>
      </c>
      <c r="J938">
        <f t="array" ref="J938">5 - INT(5 * (RANK(G938,G:G, 1) - 1) / COUNT(G:G))</f>
        <v>2</v>
      </c>
      <c r="K938">
        <f t="array" ref="K938">INT(5 * (RANK(H938,H:H, 0) - 1) / COUNT(H:H)) + 1</f>
        <v>1</v>
      </c>
      <c r="L938">
        <f t="array" ref="L938">INT(5 * (RANK(I938,I:I, 0) - 1) / COUNT(I:I)) + 1</f>
        <v>2</v>
      </c>
      <c r="M938" t="str">
        <f t="shared" si="28"/>
        <v>212</v>
      </c>
      <c r="N938" s="6" t="str">
        <f t="shared" si="29"/>
        <v>Lost</v>
      </c>
    </row>
    <row r="939" spans="1:14" x14ac:dyDescent="0.35">
      <c r="A939">
        <v>1059</v>
      </c>
      <c r="B939" s="4">
        <v>45639.375085336993</v>
      </c>
      <c r="C939" t="s">
        <v>9</v>
      </c>
      <c r="D939" t="s">
        <v>21</v>
      </c>
      <c r="E939" t="s">
        <v>23</v>
      </c>
      <c r="F939">
        <v>8057.56</v>
      </c>
      <c r="G939">
        <f t="array" ref="G939">SalesData!$I$2 - 'RFM Table'!B939</f>
        <v>497</v>
      </c>
      <c r="H939">
        <f t="array" ref="H939">COUNTIF(A:A,A939)</f>
        <v>8</v>
      </c>
      <c r="I939">
        <f t="array" ref="I939">SUMIF(A:A,A939,F:F)</f>
        <v>38016.57</v>
      </c>
      <c r="J939">
        <f t="array" ref="J939">5 - INT(5 * (RANK(G939,G:G, 1) - 1) / COUNT(G:G))</f>
        <v>2</v>
      </c>
      <c r="K939">
        <f t="array" ref="K939">INT(5 * (RANK(H939,H:H, 0) - 1) / COUNT(H:H)) + 1</f>
        <v>3</v>
      </c>
      <c r="L939">
        <f t="array" ref="L939">INT(5 * (RANK(I939,I:I, 0) - 1) / COUNT(I:I)) + 1</f>
        <v>2</v>
      </c>
      <c r="M939" t="str">
        <f t="shared" si="28"/>
        <v>232</v>
      </c>
      <c r="N939" s="6" t="str">
        <f t="shared" si="29"/>
        <v>Others</v>
      </c>
    </row>
    <row r="940" spans="1:14" x14ac:dyDescent="0.35">
      <c r="A940">
        <v>1121</v>
      </c>
      <c r="B940" s="4">
        <v>45639.375085336993</v>
      </c>
      <c r="C940" t="s">
        <v>7</v>
      </c>
      <c r="D940" t="s">
        <v>16</v>
      </c>
      <c r="E940" t="s">
        <v>23</v>
      </c>
      <c r="F940">
        <v>1228.21</v>
      </c>
      <c r="G940">
        <f t="array" ref="G940">SalesData!$I$2 - 'RFM Table'!B940</f>
        <v>497</v>
      </c>
      <c r="H940">
        <f t="array" ref="H940">COUNTIF(A:A,A940)</f>
        <v>10</v>
      </c>
      <c r="I940">
        <f t="array" ref="I940">SUMIF(A:A,A940,F:F)</f>
        <v>28216.130000000005</v>
      </c>
      <c r="J940">
        <f t="array" ref="J940">5 - INT(5 * (RANK(G940,G:G, 1) - 1) / COUNT(G:G))</f>
        <v>2</v>
      </c>
      <c r="K940">
        <f t="array" ref="K940">INT(5 * (RANK(H940,H:H, 0) - 1) / COUNT(H:H)) + 1</f>
        <v>2</v>
      </c>
      <c r="L940">
        <f t="array" ref="L940">INT(5 * (RANK(I940,I:I, 0) - 1) / COUNT(I:I)) + 1</f>
        <v>4</v>
      </c>
      <c r="M940" t="str">
        <f t="shared" si="28"/>
        <v>224</v>
      </c>
      <c r="N940" s="6" t="str">
        <f t="shared" si="29"/>
        <v>Can't Lose Them</v>
      </c>
    </row>
    <row r="941" spans="1:14" x14ac:dyDescent="0.35">
      <c r="A941">
        <v>1284</v>
      </c>
      <c r="B941" s="4">
        <v>45639.375085336993</v>
      </c>
      <c r="C941" t="s">
        <v>12</v>
      </c>
      <c r="D941" t="s">
        <v>19</v>
      </c>
      <c r="E941" t="s">
        <v>25</v>
      </c>
      <c r="F941">
        <v>2474.96</v>
      </c>
      <c r="G941">
        <f t="array" ref="G941">SalesData!$I$2 - 'RFM Table'!B941</f>
        <v>497</v>
      </c>
      <c r="H941">
        <f t="array" ref="H941">COUNTIF(A:A,A941)</f>
        <v>12</v>
      </c>
      <c r="I941">
        <f t="array" ref="I941">SUMIF(A:A,A941,F:F)</f>
        <v>49930.359999999993</v>
      </c>
      <c r="J941">
        <f t="array" ref="J941">5 - INT(5 * (RANK(G941,G:G, 1) - 1) / COUNT(G:G))</f>
        <v>2</v>
      </c>
      <c r="K941">
        <f t="array" ref="K941">INT(5 * (RANK(H941,H:H, 0) - 1) / COUNT(H:H)) + 1</f>
        <v>1</v>
      </c>
      <c r="L941">
        <f t="array" ref="L941">INT(5 * (RANK(I941,I:I, 0) - 1) / COUNT(I:I)) + 1</f>
        <v>1</v>
      </c>
      <c r="M941" t="str">
        <f t="shared" si="28"/>
        <v>211</v>
      </c>
      <c r="N941" s="6" t="str">
        <f t="shared" si="29"/>
        <v>Lost</v>
      </c>
    </row>
    <row r="942" spans="1:14" x14ac:dyDescent="0.35">
      <c r="A942">
        <v>1191</v>
      </c>
      <c r="B942" s="4">
        <v>45640.375085336993</v>
      </c>
      <c r="C942" t="s">
        <v>14</v>
      </c>
      <c r="D942" t="s">
        <v>21</v>
      </c>
      <c r="E942" t="s">
        <v>25</v>
      </c>
      <c r="F942">
        <v>1527.05</v>
      </c>
      <c r="G942">
        <f t="array" ref="G942">SalesData!$I$2 - 'RFM Table'!B942</f>
        <v>496</v>
      </c>
      <c r="H942">
        <f t="array" ref="H942">COUNTIF(A:A,A942)</f>
        <v>11</v>
      </c>
      <c r="I942">
        <f t="array" ref="I942">SUMIF(A:A,A942,F:F)</f>
        <v>30527.53</v>
      </c>
      <c r="J942">
        <f t="array" ref="J942">5 - INT(5 * (RANK(G942,G:G, 1) - 1) / COUNT(G:G))</f>
        <v>2</v>
      </c>
      <c r="K942">
        <f t="array" ref="K942">INT(5 * (RANK(H942,H:H, 0) - 1) / COUNT(H:H)) + 1</f>
        <v>1</v>
      </c>
      <c r="L942">
        <f t="array" ref="L942">INT(5 * (RANK(I942,I:I, 0) - 1) / COUNT(I:I)) + 1</f>
        <v>3</v>
      </c>
      <c r="M942" t="str">
        <f t="shared" si="28"/>
        <v>213</v>
      </c>
      <c r="N942" s="6" t="str">
        <f t="shared" si="29"/>
        <v>Can't Lose Them</v>
      </c>
    </row>
    <row r="943" spans="1:14" x14ac:dyDescent="0.35">
      <c r="A943">
        <v>1343</v>
      </c>
      <c r="B943" s="4">
        <v>45640.375085336993</v>
      </c>
      <c r="C943" t="s">
        <v>11</v>
      </c>
      <c r="D943" t="s">
        <v>19</v>
      </c>
      <c r="E943" t="s">
        <v>23</v>
      </c>
      <c r="F943">
        <v>5197.47</v>
      </c>
      <c r="G943">
        <f t="array" ref="G943">SalesData!$I$2 - 'RFM Table'!B943</f>
        <v>496</v>
      </c>
      <c r="H943">
        <f t="array" ref="H943">COUNTIF(A:A,A943)</f>
        <v>9</v>
      </c>
      <c r="I943">
        <f t="array" ref="I943">SUMIF(A:A,A943,F:F)</f>
        <v>40117.730000000003</v>
      </c>
      <c r="J943">
        <f t="array" ref="J943">5 - INT(5 * (RANK(G943,G:G, 1) - 1) / COUNT(G:G))</f>
        <v>2</v>
      </c>
      <c r="K943">
        <f t="array" ref="K943">INT(5 * (RANK(H943,H:H, 0) - 1) / COUNT(H:H)) + 1</f>
        <v>2</v>
      </c>
      <c r="L943">
        <f t="array" ref="L943">INT(5 * (RANK(I943,I:I, 0) - 1) / COUNT(I:I)) + 1</f>
        <v>2</v>
      </c>
      <c r="M943" t="str">
        <f t="shared" si="28"/>
        <v>222</v>
      </c>
      <c r="N943" s="6" t="str">
        <f t="shared" si="29"/>
        <v>Lost</v>
      </c>
    </row>
    <row r="944" spans="1:14" x14ac:dyDescent="0.35">
      <c r="A944">
        <v>1319</v>
      </c>
      <c r="B944" s="4">
        <v>45640.375085336993</v>
      </c>
      <c r="C944" t="s">
        <v>12</v>
      </c>
      <c r="D944" t="s">
        <v>21</v>
      </c>
      <c r="E944" t="s">
        <v>25</v>
      </c>
      <c r="F944">
        <v>2688</v>
      </c>
      <c r="G944">
        <f t="array" ref="G944">SalesData!$I$2 - 'RFM Table'!B944</f>
        <v>496</v>
      </c>
      <c r="H944">
        <f t="array" ref="H944">COUNTIF(A:A,A944)</f>
        <v>10</v>
      </c>
      <c r="I944">
        <f t="array" ref="I944">SUMIF(A:A,A944,F:F)</f>
        <v>39681.960000000006</v>
      </c>
      <c r="J944">
        <f t="array" ref="J944">5 - INT(5 * (RANK(G944,G:G, 1) - 1) / COUNT(G:G))</f>
        <v>2</v>
      </c>
      <c r="K944">
        <f t="array" ref="K944">INT(5 * (RANK(H944,H:H, 0) - 1) / COUNT(H:H)) + 1</f>
        <v>2</v>
      </c>
      <c r="L944">
        <f t="array" ref="L944">INT(5 * (RANK(I944,I:I, 0) - 1) / COUNT(I:I)) + 1</f>
        <v>2</v>
      </c>
      <c r="M944" t="str">
        <f t="shared" si="28"/>
        <v>222</v>
      </c>
      <c r="N944" s="6" t="str">
        <f t="shared" si="29"/>
        <v>Lost</v>
      </c>
    </row>
    <row r="945" spans="1:14" x14ac:dyDescent="0.35">
      <c r="A945">
        <v>1385</v>
      </c>
      <c r="B945" s="4">
        <v>45640.375085336993</v>
      </c>
      <c r="C945" t="s">
        <v>12</v>
      </c>
      <c r="D945" t="s">
        <v>21</v>
      </c>
      <c r="E945" t="s">
        <v>23</v>
      </c>
      <c r="F945">
        <v>3807.56</v>
      </c>
      <c r="G945">
        <f t="array" ref="G945">SalesData!$I$2 - 'RFM Table'!B945</f>
        <v>496</v>
      </c>
      <c r="H945">
        <f t="array" ref="H945">COUNTIF(A:A,A945)</f>
        <v>11</v>
      </c>
      <c r="I945">
        <f t="array" ref="I945">SUMIF(A:A,A945,F:F)</f>
        <v>73437.08</v>
      </c>
      <c r="J945">
        <f t="array" ref="J945">5 - INT(5 * (RANK(G945,G:G, 1) - 1) / COUNT(G:G))</f>
        <v>2</v>
      </c>
      <c r="K945">
        <f t="array" ref="K945">INT(5 * (RANK(H945,H:H, 0) - 1) / COUNT(H:H)) + 1</f>
        <v>1</v>
      </c>
      <c r="L945">
        <f t="array" ref="L945">INT(5 * (RANK(I945,I:I, 0) - 1) / COUNT(I:I)) + 1</f>
        <v>1</v>
      </c>
      <c r="M945" t="str">
        <f t="shared" si="28"/>
        <v>211</v>
      </c>
      <c r="N945" s="6" t="str">
        <f t="shared" si="29"/>
        <v>Lost</v>
      </c>
    </row>
    <row r="946" spans="1:14" x14ac:dyDescent="0.35">
      <c r="A946">
        <v>1085</v>
      </c>
      <c r="B946" s="4">
        <v>45640.375085336993</v>
      </c>
      <c r="C946" t="s">
        <v>9</v>
      </c>
      <c r="D946" t="s">
        <v>19</v>
      </c>
      <c r="E946" t="s">
        <v>25</v>
      </c>
      <c r="F946">
        <v>398.99</v>
      </c>
      <c r="G946">
        <f t="array" ref="G946">SalesData!$I$2 - 'RFM Table'!B946</f>
        <v>496</v>
      </c>
      <c r="H946">
        <f t="array" ref="H946">COUNTIF(A:A,A946)</f>
        <v>10</v>
      </c>
      <c r="I946">
        <f t="array" ref="I946">SUMIF(A:A,A946,F:F)</f>
        <v>50122.659999999996</v>
      </c>
      <c r="J946">
        <f t="array" ref="J946">5 - INT(5 * (RANK(G946,G:G, 1) - 1) / COUNT(G:G))</f>
        <v>2</v>
      </c>
      <c r="K946">
        <f t="array" ref="K946">INT(5 * (RANK(H946,H:H, 0) - 1) / COUNT(H:H)) + 1</f>
        <v>2</v>
      </c>
      <c r="L946">
        <f t="array" ref="L946">INT(5 * (RANK(I946,I:I, 0) - 1) / COUNT(I:I)) + 1</f>
        <v>1</v>
      </c>
      <c r="M946" t="str">
        <f t="shared" si="28"/>
        <v>221</v>
      </c>
      <c r="N946" s="6" t="str">
        <f t="shared" si="29"/>
        <v>Lost</v>
      </c>
    </row>
    <row r="947" spans="1:14" x14ac:dyDescent="0.35">
      <c r="A947">
        <v>1370</v>
      </c>
      <c r="B947" s="4">
        <v>45640.375085336993</v>
      </c>
      <c r="C947" t="s">
        <v>6</v>
      </c>
      <c r="D947" t="s">
        <v>19</v>
      </c>
      <c r="E947" t="s">
        <v>25</v>
      </c>
      <c r="F947">
        <v>5598.18</v>
      </c>
      <c r="G947">
        <f t="array" ref="G947">SalesData!$I$2 - 'RFM Table'!B947</f>
        <v>496</v>
      </c>
      <c r="H947">
        <f t="array" ref="H947">COUNTIF(A:A,A947)</f>
        <v>12</v>
      </c>
      <c r="I947">
        <f t="array" ref="I947">SUMIF(A:A,A947,F:F)</f>
        <v>46195.360000000001</v>
      </c>
      <c r="J947">
        <f t="array" ref="J947">5 - INT(5 * (RANK(G947,G:G, 1) - 1) / COUNT(G:G))</f>
        <v>2</v>
      </c>
      <c r="K947">
        <f t="array" ref="K947">INT(5 * (RANK(H947,H:H, 0) - 1) / COUNT(H:H)) + 1</f>
        <v>1</v>
      </c>
      <c r="L947">
        <f t="array" ref="L947">INT(5 * (RANK(I947,I:I, 0) - 1) / COUNT(I:I)) + 1</f>
        <v>1</v>
      </c>
      <c r="M947" t="str">
        <f t="shared" si="28"/>
        <v>211</v>
      </c>
      <c r="N947" s="6" t="str">
        <f t="shared" si="29"/>
        <v>Lost</v>
      </c>
    </row>
    <row r="948" spans="1:14" x14ac:dyDescent="0.35">
      <c r="A948">
        <v>1204</v>
      </c>
      <c r="B948" s="4">
        <v>45640.375085336993</v>
      </c>
      <c r="C948" t="s">
        <v>10</v>
      </c>
      <c r="D948" t="s">
        <v>17</v>
      </c>
      <c r="E948" t="s">
        <v>23</v>
      </c>
      <c r="F948">
        <v>3352.2</v>
      </c>
      <c r="G948">
        <f t="array" ref="G948">SalesData!$I$2 - 'RFM Table'!B948</f>
        <v>496</v>
      </c>
      <c r="H948">
        <f t="array" ref="H948">COUNTIF(A:A,A948)</f>
        <v>3</v>
      </c>
      <c r="I948">
        <f t="array" ref="I948">SUMIF(A:A,A948,F:F)</f>
        <v>7274.86</v>
      </c>
      <c r="J948">
        <f t="array" ref="J948">5 - INT(5 * (RANK(G948,G:G, 1) - 1) / COUNT(G:G))</f>
        <v>2</v>
      </c>
      <c r="K948">
        <f t="array" ref="K948">INT(5 * (RANK(H948,H:H, 0) - 1) / COUNT(H:H)) + 1</f>
        <v>5</v>
      </c>
      <c r="L948">
        <f t="array" ref="L948">INT(5 * (RANK(I948,I:I, 0) - 1) / COUNT(I:I)) + 1</f>
        <v>5</v>
      </c>
      <c r="M948" t="str">
        <f t="shared" si="28"/>
        <v>255</v>
      </c>
      <c r="N948" s="6" t="str">
        <f t="shared" si="29"/>
        <v>At Risk</v>
      </c>
    </row>
    <row r="949" spans="1:14" x14ac:dyDescent="0.35">
      <c r="A949">
        <v>1272</v>
      </c>
      <c r="B949" s="4">
        <v>45641.375085336993</v>
      </c>
      <c r="C949" t="s">
        <v>11</v>
      </c>
      <c r="D949" t="s">
        <v>20</v>
      </c>
      <c r="E949" t="s">
        <v>23</v>
      </c>
      <c r="F949">
        <v>3968.97</v>
      </c>
      <c r="G949">
        <f t="array" ref="G949">SalesData!$I$2 - 'RFM Table'!B949</f>
        <v>495</v>
      </c>
      <c r="H949">
        <f t="array" ref="H949">COUNTIF(A:A,A949)</f>
        <v>10</v>
      </c>
      <c r="I949">
        <f t="array" ref="I949">SUMIF(A:A,A949,F:F)</f>
        <v>54972.43</v>
      </c>
      <c r="J949">
        <f t="array" ref="J949">5 - INT(5 * (RANK(G949,G:G, 1) - 1) / COUNT(G:G))</f>
        <v>2</v>
      </c>
      <c r="K949">
        <f t="array" ref="K949">INT(5 * (RANK(H949,H:H, 0) - 1) / COUNT(H:H)) + 1</f>
        <v>2</v>
      </c>
      <c r="L949">
        <f t="array" ref="L949">INT(5 * (RANK(I949,I:I, 0) - 1) / COUNT(I:I)) + 1</f>
        <v>1</v>
      </c>
      <c r="M949" t="str">
        <f t="shared" si="28"/>
        <v>221</v>
      </c>
      <c r="N949" s="6" t="str">
        <f t="shared" si="29"/>
        <v>Lost</v>
      </c>
    </row>
    <row r="950" spans="1:14" x14ac:dyDescent="0.35">
      <c r="A950">
        <v>1217</v>
      </c>
      <c r="B950" s="4">
        <v>45641.375085336993</v>
      </c>
      <c r="C950" t="s">
        <v>9</v>
      </c>
      <c r="D950" t="s">
        <v>21</v>
      </c>
      <c r="E950" t="s">
        <v>24</v>
      </c>
      <c r="F950">
        <v>2486.9299999999998</v>
      </c>
      <c r="G950">
        <f t="array" ref="G950">SalesData!$I$2 - 'RFM Table'!B950</f>
        <v>495</v>
      </c>
      <c r="H950">
        <f t="array" ref="H950">COUNTIF(A:A,A950)</f>
        <v>9</v>
      </c>
      <c r="I950">
        <f t="array" ref="I950">SUMIF(A:A,A950,F:F)</f>
        <v>33349.999999999993</v>
      </c>
      <c r="J950">
        <f t="array" ref="J950">5 - INT(5 * (RANK(G950,G:G, 1) - 1) / COUNT(G:G))</f>
        <v>2</v>
      </c>
      <c r="K950">
        <f t="array" ref="K950">INT(5 * (RANK(H950,H:H, 0) - 1) / COUNT(H:H)) + 1</f>
        <v>2</v>
      </c>
      <c r="L950">
        <f t="array" ref="L950">INT(5 * (RANK(I950,I:I, 0) - 1) / COUNT(I:I)) + 1</f>
        <v>3</v>
      </c>
      <c r="M950" t="str">
        <f t="shared" si="28"/>
        <v>223</v>
      </c>
      <c r="N950" s="6" t="str">
        <f t="shared" si="29"/>
        <v>Can't Lose Them</v>
      </c>
    </row>
    <row r="951" spans="1:14" x14ac:dyDescent="0.35">
      <c r="A951">
        <v>1317</v>
      </c>
      <c r="B951" s="4">
        <v>45642.375085336993</v>
      </c>
      <c r="C951" t="s">
        <v>9</v>
      </c>
      <c r="D951" t="s">
        <v>16</v>
      </c>
      <c r="E951" t="s">
        <v>25</v>
      </c>
      <c r="F951">
        <v>7000.92</v>
      </c>
      <c r="G951">
        <f t="array" ref="G951">SalesData!$I$2 - 'RFM Table'!B951</f>
        <v>494</v>
      </c>
      <c r="H951">
        <f t="array" ref="H951">COUNTIF(A:A,A951)</f>
        <v>12</v>
      </c>
      <c r="I951">
        <f t="array" ref="I951">SUMIF(A:A,A951,F:F)</f>
        <v>43413.4</v>
      </c>
      <c r="J951">
        <f t="array" ref="J951">5 - INT(5 * (RANK(G951,G:G, 1) - 1) / COUNT(G:G))</f>
        <v>2</v>
      </c>
      <c r="K951">
        <f t="array" ref="K951">INT(5 * (RANK(H951,H:H, 0) - 1) / COUNT(H:H)) + 1</f>
        <v>1</v>
      </c>
      <c r="L951">
        <f t="array" ref="L951">INT(5 * (RANK(I951,I:I, 0) - 1) / COUNT(I:I)) + 1</f>
        <v>2</v>
      </c>
      <c r="M951" t="str">
        <f t="shared" si="28"/>
        <v>212</v>
      </c>
      <c r="N951" s="6" t="str">
        <f t="shared" si="29"/>
        <v>Lost</v>
      </c>
    </row>
    <row r="952" spans="1:14" x14ac:dyDescent="0.35">
      <c r="A952">
        <v>1323</v>
      </c>
      <c r="B952" s="4">
        <v>45642.375085336993</v>
      </c>
      <c r="C952" t="s">
        <v>13</v>
      </c>
      <c r="D952" t="s">
        <v>18</v>
      </c>
      <c r="E952" t="s">
        <v>25</v>
      </c>
      <c r="F952">
        <v>13218.86</v>
      </c>
      <c r="G952">
        <f t="array" ref="G952">SalesData!$I$2 - 'RFM Table'!B952</f>
        <v>494</v>
      </c>
      <c r="H952">
        <f t="array" ref="H952">COUNTIF(A:A,A952)</f>
        <v>9</v>
      </c>
      <c r="I952">
        <f t="array" ref="I952">SUMIF(A:A,A952,F:F)</f>
        <v>39366.480000000003</v>
      </c>
      <c r="J952">
        <f t="array" ref="J952">5 - INT(5 * (RANK(G952,G:G, 1) - 1) / COUNT(G:G))</f>
        <v>2</v>
      </c>
      <c r="K952">
        <f t="array" ref="K952">INT(5 * (RANK(H952,H:H, 0) - 1) / COUNT(H:H)) + 1</f>
        <v>2</v>
      </c>
      <c r="L952">
        <f t="array" ref="L952">INT(5 * (RANK(I952,I:I, 0) - 1) / COUNT(I:I)) + 1</f>
        <v>2</v>
      </c>
      <c r="M952" t="str">
        <f t="shared" si="28"/>
        <v>222</v>
      </c>
      <c r="N952" s="6" t="str">
        <f t="shared" si="29"/>
        <v>Lost</v>
      </c>
    </row>
    <row r="953" spans="1:14" x14ac:dyDescent="0.35">
      <c r="A953">
        <v>1309</v>
      </c>
      <c r="B953" s="4">
        <v>45642.375085336993</v>
      </c>
      <c r="C953" t="s">
        <v>12</v>
      </c>
      <c r="D953" t="s">
        <v>16</v>
      </c>
      <c r="E953" t="s">
        <v>24</v>
      </c>
      <c r="F953">
        <v>4859.99</v>
      </c>
      <c r="G953">
        <f t="array" ref="G953">SalesData!$I$2 - 'RFM Table'!B953</f>
        <v>494</v>
      </c>
      <c r="H953">
        <f t="array" ref="H953">COUNTIF(A:A,A953)</f>
        <v>11</v>
      </c>
      <c r="I953">
        <f t="array" ref="I953">SUMIF(A:A,A953,F:F)</f>
        <v>43078.749999999993</v>
      </c>
      <c r="J953">
        <f t="array" ref="J953">5 - INT(5 * (RANK(G953,G:G, 1) - 1) / COUNT(G:G))</f>
        <v>2</v>
      </c>
      <c r="K953">
        <f t="array" ref="K953">INT(5 * (RANK(H953,H:H, 0) - 1) / COUNT(H:H)) + 1</f>
        <v>1</v>
      </c>
      <c r="L953">
        <f t="array" ref="L953">INT(5 * (RANK(I953,I:I, 0) - 1) / COUNT(I:I)) + 1</f>
        <v>2</v>
      </c>
      <c r="M953" t="str">
        <f t="shared" si="28"/>
        <v>212</v>
      </c>
      <c r="N953" s="6" t="str">
        <f t="shared" si="29"/>
        <v>Lost</v>
      </c>
    </row>
    <row r="954" spans="1:14" x14ac:dyDescent="0.35">
      <c r="A954">
        <v>1253</v>
      </c>
      <c r="B954" s="4">
        <v>45642.375085336993</v>
      </c>
      <c r="C954" t="s">
        <v>12</v>
      </c>
      <c r="D954" t="s">
        <v>20</v>
      </c>
      <c r="E954" t="s">
        <v>25</v>
      </c>
      <c r="F954">
        <v>4940.2</v>
      </c>
      <c r="G954">
        <f t="array" ref="G954">SalesData!$I$2 - 'RFM Table'!B954</f>
        <v>494</v>
      </c>
      <c r="H954">
        <f t="array" ref="H954">COUNTIF(A:A,A954)</f>
        <v>7</v>
      </c>
      <c r="I954">
        <f t="array" ref="I954">SUMIF(A:A,A954,F:F)</f>
        <v>47955.99</v>
      </c>
      <c r="J954">
        <f t="array" ref="J954">5 - INT(5 * (RANK(G954,G:G, 1) - 1) / COUNT(G:G))</f>
        <v>2</v>
      </c>
      <c r="K954">
        <f t="array" ref="K954">INT(5 * (RANK(H954,H:H, 0) - 1) / COUNT(H:H)) + 1</f>
        <v>4</v>
      </c>
      <c r="L954">
        <f t="array" ref="L954">INT(5 * (RANK(I954,I:I, 0) - 1) / COUNT(I:I)) + 1</f>
        <v>1</v>
      </c>
      <c r="M954" t="str">
        <f t="shared" si="28"/>
        <v>241</v>
      </c>
      <c r="N954" s="6" t="str">
        <f t="shared" si="29"/>
        <v>Others</v>
      </c>
    </row>
    <row r="955" spans="1:14" x14ac:dyDescent="0.35">
      <c r="A955">
        <v>1359</v>
      </c>
      <c r="B955" s="4">
        <v>45642.375085336993</v>
      </c>
      <c r="C955" t="s">
        <v>12</v>
      </c>
      <c r="D955" t="s">
        <v>20</v>
      </c>
      <c r="E955" t="s">
        <v>24</v>
      </c>
      <c r="F955">
        <v>3730.44</v>
      </c>
      <c r="G955">
        <f t="array" ref="G955">SalesData!$I$2 - 'RFM Table'!B955</f>
        <v>494</v>
      </c>
      <c r="H955">
        <f t="array" ref="H955">COUNTIF(A:A,A955)</f>
        <v>13</v>
      </c>
      <c r="I955">
        <f t="array" ref="I955">SUMIF(A:A,A955,F:F)</f>
        <v>40402.14</v>
      </c>
      <c r="J955">
        <f t="array" ref="J955">5 - INT(5 * (RANK(G955,G:G, 1) - 1) / COUNT(G:G))</f>
        <v>2</v>
      </c>
      <c r="K955">
        <f t="array" ref="K955">INT(5 * (RANK(H955,H:H, 0) - 1) / COUNT(H:H)) + 1</f>
        <v>1</v>
      </c>
      <c r="L955">
        <f t="array" ref="L955">INT(5 * (RANK(I955,I:I, 0) - 1) / COUNT(I:I)) + 1</f>
        <v>2</v>
      </c>
      <c r="M955" t="str">
        <f t="shared" si="28"/>
        <v>212</v>
      </c>
      <c r="N955" s="6" t="str">
        <f t="shared" si="29"/>
        <v>Lost</v>
      </c>
    </row>
    <row r="956" spans="1:14" x14ac:dyDescent="0.35">
      <c r="A956">
        <v>1231</v>
      </c>
      <c r="B956" s="4">
        <v>45642.375085336993</v>
      </c>
      <c r="C956" t="s">
        <v>12</v>
      </c>
      <c r="D956" t="s">
        <v>20</v>
      </c>
      <c r="E956" t="s">
        <v>24</v>
      </c>
      <c r="F956">
        <v>3987.39</v>
      </c>
      <c r="G956">
        <f t="array" ref="G956">SalesData!$I$2 - 'RFM Table'!B956</f>
        <v>494</v>
      </c>
      <c r="H956">
        <f t="array" ref="H956">COUNTIF(A:A,A956)</f>
        <v>6</v>
      </c>
      <c r="I956">
        <f t="array" ref="I956">SUMIF(A:A,A956,F:F)</f>
        <v>19997.589999999997</v>
      </c>
      <c r="J956">
        <f t="array" ref="J956">5 - INT(5 * (RANK(G956,G:G, 1) - 1) / COUNT(G:G))</f>
        <v>2</v>
      </c>
      <c r="K956">
        <f t="array" ref="K956">INT(5 * (RANK(H956,H:H, 0) - 1) / COUNT(H:H)) + 1</f>
        <v>4</v>
      </c>
      <c r="L956">
        <f t="array" ref="L956">INT(5 * (RANK(I956,I:I, 0) - 1) / COUNT(I:I)) + 1</f>
        <v>5</v>
      </c>
      <c r="M956" t="str">
        <f t="shared" si="28"/>
        <v>245</v>
      </c>
      <c r="N956" s="6" t="str">
        <f t="shared" si="29"/>
        <v>At Risk</v>
      </c>
    </row>
    <row r="957" spans="1:14" x14ac:dyDescent="0.35">
      <c r="A957">
        <v>1163</v>
      </c>
      <c r="B957" s="4">
        <v>45642.375085336993</v>
      </c>
      <c r="C957" t="s">
        <v>13</v>
      </c>
      <c r="D957" t="s">
        <v>22</v>
      </c>
      <c r="E957" t="s">
        <v>23</v>
      </c>
      <c r="F957">
        <v>5881.66</v>
      </c>
      <c r="G957">
        <f t="array" ref="G957">SalesData!$I$2 - 'RFM Table'!B957</f>
        <v>494</v>
      </c>
      <c r="H957">
        <f t="array" ref="H957">COUNTIF(A:A,A957)</f>
        <v>11</v>
      </c>
      <c r="I957">
        <f t="array" ref="I957">SUMIF(A:A,A957,F:F)</f>
        <v>43753.86</v>
      </c>
      <c r="J957">
        <f t="array" ref="J957">5 - INT(5 * (RANK(G957,G:G, 1) - 1) / COUNT(G:G))</f>
        <v>2</v>
      </c>
      <c r="K957">
        <f t="array" ref="K957">INT(5 * (RANK(H957,H:H, 0) - 1) / COUNT(H:H)) + 1</f>
        <v>1</v>
      </c>
      <c r="L957">
        <f t="array" ref="L957">INT(5 * (RANK(I957,I:I, 0) - 1) / COUNT(I:I)) + 1</f>
        <v>2</v>
      </c>
      <c r="M957" t="str">
        <f t="shared" si="28"/>
        <v>212</v>
      </c>
      <c r="N957" s="6" t="str">
        <f t="shared" si="29"/>
        <v>Lost</v>
      </c>
    </row>
    <row r="958" spans="1:14" x14ac:dyDescent="0.35">
      <c r="A958">
        <v>1274</v>
      </c>
      <c r="B958" s="4">
        <v>45642.375085336993</v>
      </c>
      <c r="C958" t="s">
        <v>10</v>
      </c>
      <c r="D958" t="s">
        <v>16</v>
      </c>
      <c r="E958" t="s">
        <v>23</v>
      </c>
      <c r="F958">
        <v>9640.73</v>
      </c>
      <c r="G958">
        <f t="array" ref="G958">SalesData!$I$2 - 'RFM Table'!B958</f>
        <v>494</v>
      </c>
      <c r="H958">
        <f t="array" ref="H958">COUNTIF(A:A,A958)</f>
        <v>5</v>
      </c>
      <c r="I958">
        <f t="array" ref="I958">SUMIF(A:A,A958,F:F)</f>
        <v>19562.71</v>
      </c>
      <c r="J958">
        <f t="array" ref="J958">5 - INT(5 * (RANK(G958,G:G, 1) - 1) / COUNT(G:G))</f>
        <v>2</v>
      </c>
      <c r="K958">
        <f t="array" ref="K958">INT(5 * (RANK(H958,H:H, 0) - 1) / COUNT(H:H)) + 1</f>
        <v>5</v>
      </c>
      <c r="L958">
        <f t="array" ref="L958">INT(5 * (RANK(I958,I:I, 0) - 1) / COUNT(I:I)) + 1</f>
        <v>5</v>
      </c>
      <c r="M958" t="str">
        <f t="shared" si="28"/>
        <v>255</v>
      </c>
      <c r="N958" s="6" t="str">
        <f t="shared" si="29"/>
        <v>At Risk</v>
      </c>
    </row>
    <row r="959" spans="1:14" x14ac:dyDescent="0.35">
      <c r="A959">
        <v>1048</v>
      </c>
      <c r="B959" s="4">
        <v>45643.375085336993</v>
      </c>
      <c r="C959" t="s">
        <v>15</v>
      </c>
      <c r="D959" t="s">
        <v>22</v>
      </c>
      <c r="E959" t="s">
        <v>24</v>
      </c>
      <c r="F959">
        <v>2676.32</v>
      </c>
      <c r="G959">
        <f t="array" ref="G959">SalesData!$I$2 - 'RFM Table'!B959</f>
        <v>493</v>
      </c>
      <c r="H959">
        <f t="array" ref="H959">COUNTIF(A:A,A959)</f>
        <v>9</v>
      </c>
      <c r="I959">
        <f t="array" ref="I959">SUMIF(A:A,A959,F:F)</f>
        <v>34800.239999999998</v>
      </c>
      <c r="J959">
        <f t="array" ref="J959">5 - INT(5 * (RANK(G959,G:G, 1) - 1) / COUNT(G:G))</f>
        <v>2</v>
      </c>
      <c r="K959">
        <f t="array" ref="K959">INT(5 * (RANK(H959,H:H, 0) - 1) / COUNT(H:H)) + 1</f>
        <v>2</v>
      </c>
      <c r="L959">
        <f t="array" ref="L959">INT(5 * (RANK(I959,I:I, 0) - 1) / COUNT(I:I)) + 1</f>
        <v>3</v>
      </c>
      <c r="M959" t="str">
        <f t="shared" si="28"/>
        <v>223</v>
      </c>
      <c r="N959" s="6" t="str">
        <f t="shared" si="29"/>
        <v>Can't Lose Them</v>
      </c>
    </row>
    <row r="960" spans="1:14" x14ac:dyDescent="0.35">
      <c r="A960">
        <v>1101</v>
      </c>
      <c r="B960" s="4">
        <v>45643.375085336993</v>
      </c>
      <c r="C960" t="s">
        <v>14</v>
      </c>
      <c r="D960" t="s">
        <v>17</v>
      </c>
      <c r="E960" t="s">
        <v>25</v>
      </c>
      <c r="F960">
        <v>2596.81</v>
      </c>
      <c r="G960">
        <f t="array" ref="G960">SalesData!$I$2 - 'RFM Table'!B960</f>
        <v>493</v>
      </c>
      <c r="H960">
        <f t="array" ref="H960">COUNTIF(A:A,A960)</f>
        <v>7</v>
      </c>
      <c r="I960">
        <f t="array" ref="I960">SUMIF(A:A,A960,F:F)</f>
        <v>27512.969999999998</v>
      </c>
      <c r="J960">
        <f t="array" ref="J960">5 - INT(5 * (RANK(G960,G:G, 1) - 1) / COUNT(G:G))</f>
        <v>2</v>
      </c>
      <c r="K960">
        <f t="array" ref="K960">INT(5 * (RANK(H960,H:H, 0) - 1) / COUNT(H:H)) + 1</f>
        <v>4</v>
      </c>
      <c r="L960">
        <f t="array" ref="L960">INT(5 * (RANK(I960,I:I, 0) - 1) / COUNT(I:I)) + 1</f>
        <v>4</v>
      </c>
      <c r="M960" t="str">
        <f t="shared" si="28"/>
        <v>244</v>
      </c>
      <c r="N960" s="6" t="str">
        <f t="shared" si="29"/>
        <v>At Risk</v>
      </c>
    </row>
    <row r="961" spans="1:14" x14ac:dyDescent="0.35">
      <c r="A961">
        <v>1384</v>
      </c>
      <c r="B961" s="4">
        <v>45643.375085336993</v>
      </c>
      <c r="C961" t="s">
        <v>10</v>
      </c>
      <c r="D961" t="s">
        <v>17</v>
      </c>
      <c r="E961" t="s">
        <v>25</v>
      </c>
      <c r="F961">
        <v>1490.78</v>
      </c>
      <c r="G961">
        <f t="array" ref="G961">SalesData!$I$2 - 'RFM Table'!B961</f>
        <v>493</v>
      </c>
      <c r="H961">
        <f t="array" ref="H961">COUNTIF(A:A,A961)</f>
        <v>9</v>
      </c>
      <c r="I961">
        <f t="array" ref="I961">SUMIF(A:A,A961,F:F)</f>
        <v>39434.269999999997</v>
      </c>
      <c r="J961">
        <f t="array" ref="J961">5 - INT(5 * (RANK(G961,G:G, 1) - 1) / COUNT(G:G))</f>
        <v>2</v>
      </c>
      <c r="K961">
        <f t="array" ref="K961">INT(5 * (RANK(H961,H:H, 0) - 1) / COUNT(H:H)) + 1</f>
        <v>2</v>
      </c>
      <c r="L961">
        <f t="array" ref="L961">INT(5 * (RANK(I961,I:I, 0) - 1) / COUNT(I:I)) + 1</f>
        <v>2</v>
      </c>
      <c r="M961" t="str">
        <f t="shared" si="28"/>
        <v>222</v>
      </c>
      <c r="N961" s="6" t="str">
        <f t="shared" si="29"/>
        <v>Lost</v>
      </c>
    </row>
    <row r="962" spans="1:14" x14ac:dyDescent="0.35">
      <c r="A962">
        <v>1011</v>
      </c>
      <c r="B962" s="4">
        <v>45644.375085336993</v>
      </c>
      <c r="C962" t="s">
        <v>13</v>
      </c>
      <c r="D962" t="s">
        <v>22</v>
      </c>
      <c r="E962" t="s">
        <v>25</v>
      </c>
      <c r="F962">
        <v>4048.75</v>
      </c>
      <c r="G962">
        <f t="array" ref="G962">SalesData!$I$2 - 'RFM Table'!B962</f>
        <v>492</v>
      </c>
      <c r="H962">
        <f t="array" ref="H962">COUNTIF(A:A,A962)</f>
        <v>16</v>
      </c>
      <c r="I962">
        <f t="array" ref="I962">SUMIF(A:A,A962,F:F)</f>
        <v>58237.360000000008</v>
      </c>
      <c r="J962">
        <f t="array" ref="J962">5 - INT(5 * (RANK(G962,G:G, 1) - 1) / COUNT(G:G))</f>
        <v>2</v>
      </c>
      <c r="K962">
        <f t="array" ref="K962">INT(5 * (RANK(H962,H:H, 0) - 1) / COUNT(H:H)) + 1</f>
        <v>1</v>
      </c>
      <c r="L962">
        <f t="array" ref="L962">INT(5 * (RANK(I962,I:I, 0) - 1) / COUNT(I:I)) + 1</f>
        <v>1</v>
      </c>
      <c r="M962" t="str">
        <f t="shared" si="28"/>
        <v>211</v>
      </c>
      <c r="N962" s="6" t="str">
        <f t="shared" si="29"/>
        <v>Lost</v>
      </c>
    </row>
    <row r="963" spans="1:14" x14ac:dyDescent="0.35">
      <c r="A963">
        <v>1259</v>
      </c>
      <c r="B963" s="4">
        <v>45644.375085336993</v>
      </c>
      <c r="C963" t="s">
        <v>14</v>
      </c>
      <c r="D963" t="s">
        <v>22</v>
      </c>
      <c r="E963" t="s">
        <v>23</v>
      </c>
      <c r="F963">
        <v>3864.77</v>
      </c>
      <c r="G963">
        <f t="array" ref="G963">SalesData!$I$2 - 'RFM Table'!B963</f>
        <v>492</v>
      </c>
      <c r="H963">
        <f t="array" ref="H963">COUNTIF(A:A,A963)</f>
        <v>6</v>
      </c>
      <c r="I963">
        <f t="array" ref="I963">SUMIF(A:A,A963,F:F)</f>
        <v>21369.009999999995</v>
      </c>
      <c r="J963">
        <f t="array" ref="J963">5 - INT(5 * (RANK(G963,G:G, 1) - 1) / COUNT(G:G))</f>
        <v>2</v>
      </c>
      <c r="K963">
        <f t="array" ref="K963">INT(5 * (RANK(H963,H:H, 0) - 1) / COUNT(H:H)) + 1</f>
        <v>4</v>
      </c>
      <c r="L963">
        <f t="array" ref="L963">INT(5 * (RANK(I963,I:I, 0) - 1) / COUNT(I:I)) + 1</f>
        <v>5</v>
      </c>
      <c r="M963" t="str">
        <f t="shared" ref="M963:M1026" si="30">J963 &amp; K963 &amp; L963</f>
        <v>245</v>
      </c>
      <c r="N963" s="6" t="str">
        <f t="shared" ref="N963:N1026" si="31">IF(AND(J963&gt;=4,K963&lt;=2),"New Customers",
IF(AND(J963&lt;=2,K963&gt;=3,L963&gt;=3),"At Risk",
IF(AND(J963&lt;=2,K963&lt;=2,L963&gt;=3),"Can't Lose Them",
IF(AND(J963&lt;=2,K963&lt;=2,L963&lt;=2),"Lost",
"Others"))))</f>
        <v>At Risk</v>
      </c>
    </row>
    <row r="964" spans="1:14" x14ac:dyDescent="0.35">
      <c r="A964">
        <v>1375</v>
      </c>
      <c r="B964" s="4">
        <v>45644.375085336993</v>
      </c>
      <c r="C964" t="s">
        <v>6</v>
      </c>
      <c r="D964" t="s">
        <v>22</v>
      </c>
      <c r="E964" t="s">
        <v>23</v>
      </c>
      <c r="F964">
        <v>5289.78</v>
      </c>
      <c r="G964">
        <f t="array" ref="G964">SalesData!$I$2 - 'RFM Table'!B964</f>
        <v>492</v>
      </c>
      <c r="H964">
        <f t="array" ref="H964">COUNTIF(A:A,A964)</f>
        <v>9</v>
      </c>
      <c r="I964">
        <f t="array" ref="I964">SUMIF(A:A,A964,F:F)</f>
        <v>37215.54</v>
      </c>
      <c r="J964">
        <f t="array" ref="J964">5 - INT(5 * (RANK(G964,G:G, 1) - 1) / COUNT(G:G))</f>
        <v>2</v>
      </c>
      <c r="K964">
        <f t="array" ref="K964">INT(5 * (RANK(H964,H:H, 0) - 1) / COUNT(H:H)) + 1</f>
        <v>2</v>
      </c>
      <c r="L964">
        <f t="array" ref="L964">INT(5 * (RANK(I964,I:I, 0) - 1) / COUNT(I:I)) + 1</f>
        <v>2</v>
      </c>
      <c r="M964" t="str">
        <f t="shared" si="30"/>
        <v>222</v>
      </c>
      <c r="N964" s="6" t="str">
        <f t="shared" si="31"/>
        <v>Lost</v>
      </c>
    </row>
    <row r="965" spans="1:14" x14ac:dyDescent="0.35">
      <c r="A965">
        <v>1382</v>
      </c>
      <c r="B965" s="4">
        <v>45644.375085336993</v>
      </c>
      <c r="C965" t="s">
        <v>6</v>
      </c>
      <c r="D965" t="s">
        <v>17</v>
      </c>
      <c r="E965" t="s">
        <v>25</v>
      </c>
      <c r="F965">
        <v>1461.76</v>
      </c>
      <c r="G965">
        <f t="array" ref="G965">SalesData!$I$2 - 'RFM Table'!B965</f>
        <v>492</v>
      </c>
      <c r="H965">
        <f t="array" ref="H965">COUNTIF(A:A,A965)</f>
        <v>3</v>
      </c>
      <c r="I965">
        <f t="array" ref="I965">SUMIF(A:A,A965,F:F)</f>
        <v>6049.44</v>
      </c>
      <c r="J965">
        <f t="array" ref="J965">5 - INT(5 * (RANK(G965,G:G, 1) - 1) / COUNT(G:G))</f>
        <v>2</v>
      </c>
      <c r="K965">
        <f t="array" ref="K965">INT(5 * (RANK(H965,H:H, 0) - 1) / COUNT(H:H)) + 1</f>
        <v>5</v>
      </c>
      <c r="L965">
        <f t="array" ref="L965">INT(5 * (RANK(I965,I:I, 0) - 1) / COUNT(I:I)) + 1</f>
        <v>5</v>
      </c>
      <c r="M965" t="str">
        <f t="shared" si="30"/>
        <v>255</v>
      </c>
      <c r="N965" s="6" t="str">
        <f t="shared" si="31"/>
        <v>At Risk</v>
      </c>
    </row>
    <row r="966" spans="1:14" x14ac:dyDescent="0.35">
      <c r="A966">
        <v>1030</v>
      </c>
      <c r="B966" s="4">
        <v>45644.375085336993</v>
      </c>
      <c r="C966" t="s">
        <v>15</v>
      </c>
      <c r="D966" t="s">
        <v>20</v>
      </c>
      <c r="E966" t="s">
        <v>23</v>
      </c>
      <c r="F966">
        <v>6015.21</v>
      </c>
      <c r="G966">
        <f t="array" ref="G966">SalesData!$I$2 - 'RFM Table'!B966</f>
        <v>492</v>
      </c>
      <c r="H966">
        <f t="array" ref="H966">COUNTIF(A:A,A966)</f>
        <v>3</v>
      </c>
      <c r="I966">
        <f t="array" ref="I966">SUMIF(A:A,A966,F:F)</f>
        <v>11089.06</v>
      </c>
      <c r="J966">
        <f t="array" ref="J966">5 - INT(5 * (RANK(G966,G:G, 1) - 1) / COUNT(G:G))</f>
        <v>2</v>
      </c>
      <c r="K966">
        <f t="array" ref="K966">INT(5 * (RANK(H966,H:H, 0) - 1) / COUNT(H:H)) + 1</f>
        <v>5</v>
      </c>
      <c r="L966">
        <f t="array" ref="L966">INT(5 * (RANK(I966,I:I, 0) - 1) / COUNT(I:I)) + 1</f>
        <v>5</v>
      </c>
      <c r="M966" t="str">
        <f t="shared" si="30"/>
        <v>255</v>
      </c>
      <c r="N966" s="6" t="str">
        <f t="shared" si="31"/>
        <v>At Risk</v>
      </c>
    </row>
    <row r="967" spans="1:14" x14ac:dyDescent="0.35">
      <c r="A967">
        <v>1387</v>
      </c>
      <c r="B967" s="4">
        <v>45644.375085336993</v>
      </c>
      <c r="C967" t="s">
        <v>13</v>
      </c>
      <c r="D967" t="s">
        <v>22</v>
      </c>
      <c r="E967" t="s">
        <v>25</v>
      </c>
      <c r="F967">
        <v>3277.08</v>
      </c>
      <c r="G967">
        <f t="array" ref="G967">SalesData!$I$2 - 'RFM Table'!B967</f>
        <v>492</v>
      </c>
      <c r="H967">
        <f t="array" ref="H967">COUNTIF(A:A,A967)</f>
        <v>8</v>
      </c>
      <c r="I967">
        <f t="array" ref="I967">SUMIF(A:A,A967,F:F)</f>
        <v>30848.15</v>
      </c>
      <c r="J967">
        <f t="array" ref="J967">5 - INT(5 * (RANK(G967,G:G, 1) - 1) / COUNT(G:G))</f>
        <v>2</v>
      </c>
      <c r="K967">
        <f t="array" ref="K967">INT(5 * (RANK(H967,H:H, 0) - 1) / COUNT(H:H)) + 1</f>
        <v>3</v>
      </c>
      <c r="L967">
        <f t="array" ref="L967">INT(5 * (RANK(I967,I:I, 0) - 1) / COUNT(I:I)) + 1</f>
        <v>3</v>
      </c>
      <c r="M967" t="str">
        <f t="shared" si="30"/>
        <v>233</v>
      </c>
      <c r="N967" s="6" t="str">
        <f t="shared" si="31"/>
        <v>At Risk</v>
      </c>
    </row>
    <row r="968" spans="1:14" x14ac:dyDescent="0.35">
      <c r="A968">
        <v>1006</v>
      </c>
      <c r="B968" s="4">
        <v>45644.375085336993</v>
      </c>
      <c r="C968" t="s">
        <v>11</v>
      </c>
      <c r="D968" t="s">
        <v>19</v>
      </c>
      <c r="E968" t="s">
        <v>24</v>
      </c>
      <c r="F968">
        <v>6102.35</v>
      </c>
      <c r="G968">
        <f t="array" ref="G968">SalesData!$I$2 - 'RFM Table'!B968</f>
        <v>492</v>
      </c>
      <c r="H968">
        <f t="array" ref="H968">COUNTIF(A:A,A968)</f>
        <v>9</v>
      </c>
      <c r="I968">
        <f t="array" ref="I968">SUMIF(A:A,A968,F:F)</f>
        <v>44812.989999999991</v>
      </c>
      <c r="J968">
        <f t="array" ref="J968">5 - INT(5 * (RANK(G968,G:G, 1) - 1) / COUNT(G:G))</f>
        <v>2</v>
      </c>
      <c r="K968">
        <f t="array" ref="K968">INT(5 * (RANK(H968,H:H, 0) - 1) / COUNT(H:H)) + 1</f>
        <v>2</v>
      </c>
      <c r="L968">
        <f t="array" ref="L968">INT(5 * (RANK(I968,I:I, 0) - 1) / COUNT(I:I)) + 1</f>
        <v>2</v>
      </c>
      <c r="M968" t="str">
        <f t="shared" si="30"/>
        <v>222</v>
      </c>
      <c r="N968" s="6" t="str">
        <f t="shared" si="31"/>
        <v>Lost</v>
      </c>
    </row>
    <row r="969" spans="1:14" x14ac:dyDescent="0.35">
      <c r="A969">
        <v>1256</v>
      </c>
      <c r="B969" s="4">
        <v>45645.375085336993</v>
      </c>
      <c r="C969" t="s">
        <v>15</v>
      </c>
      <c r="D969" t="s">
        <v>16</v>
      </c>
      <c r="E969" t="s">
        <v>24</v>
      </c>
      <c r="F969">
        <v>2434.0100000000002</v>
      </c>
      <c r="G969">
        <f t="array" ref="G969">SalesData!$I$2 - 'RFM Table'!B969</f>
        <v>491</v>
      </c>
      <c r="H969">
        <f t="array" ref="H969">COUNTIF(A:A,A969)</f>
        <v>8</v>
      </c>
      <c r="I969">
        <f t="array" ref="I969">SUMIF(A:A,A969,F:F)</f>
        <v>29767.75</v>
      </c>
      <c r="J969">
        <f t="array" ref="J969">5 - INT(5 * (RANK(G969,G:G, 1) - 1) / COUNT(G:G))</f>
        <v>2</v>
      </c>
      <c r="K969">
        <f t="array" ref="K969">INT(5 * (RANK(H969,H:H, 0) - 1) / COUNT(H:H)) + 1</f>
        <v>3</v>
      </c>
      <c r="L969">
        <f t="array" ref="L969">INT(5 * (RANK(I969,I:I, 0) - 1) / COUNT(I:I)) + 1</f>
        <v>3</v>
      </c>
      <c r="M969" t="str">
        <f t="shared" si="30"/>
        <v>233</v>
      </c>
      <c r="N969" s="6" t="str">
        <f t="shared" si="31"/>
        <v>At Risk</v>
      </c>
    </row>
    <row r="970" spans="1:14" x14ac:dyDescent="0.35">
      <c r="A970">
        <v>1308</v>
      </c>
      <c r="B970" s="4">
        <v>45645.375085336993</v>
      </c>
      <c r="C970" t="s">
        <v>9</v>
      </c>
      <c r="D970" t="s">
        <v>18</v>
      </c>
      <c r="E970" t="s">
        <v>25</v>
      </c>
      <c r="F970">
        <v>720.34</v>
      </c>
      <c r="G970">
        <f t="array" ref="G970">SalesData!$I$2 - 'RFM Table'!B970</f>
        <v>491</v>
      </c>
      <c r="H970">
        <f t="array" ref="H970">COUNTIF(A:A,A970)</f>
        <v>6</v>
      </c>
      <c r="I970">
        <f t="array" ref="I970">SUMIF(A:A,A970,F:F)</f>
        <v>16743.59</v>
      </c>
      <c r="J970">
        <f t="array" ref="J970">5 - INT(5 * (RANK(G970,G:G, 1) - 1) / COUNT(G:G))</f>
        <v>2</v>
      </c>
      <c r="K970">
        <f t="array" ref="K970">INT(5 * (RANK(H970,H:H, 0) - 1) / COUNT(H:H)) + 1</f>
        <v>4</v>
      </c>
      <c r="L970">
        <f t="array" ref="L970">INT(5 * (RANK(I970,I:I, 0) - 1) / COUNT(I:I)) + 1</f>
        <v>5</v>
      </c>
      <c r="M970" t="str">
        <f t="shared" si="30"/>
        <v>245</v>
      </c>
      <c r="N970" s="6" t="str">
        <f t="shared" si="31"/>
        <v>At Risk</v>
      </c>
    </row>
    <row r="971" spans="1:14" x14ac:dyDescent="0.35">
      <c r="A971">
        <v>1232</v>
      </c>
      <c r="B971" s="4">
        <v>45646.375085336993</v>
      </c>
      <c r="C971" t="s">
        <v>8</v>
      </c>
      <c r="D971" t="s">
        <v>20</v>
      </c>
      <c r="E971" t="s">
        <v>23</v>
      </c>
      <c r="F971">
        <v>11256.17</v>
      </c>
      <c r="G971">
        <f t="array" ref="G971">SalesData!$I$2 - 'RFM Table'!B971</f>
        <v>490</v>
      </c>
      <c r="H971">
        <f t="array" ref="H971">COUNTIF(A:A,A971)</f>
        <v>13</v>
      </c>
      <c r="I971">
        <f t="array" ref="I971">SUMIF(A:A,A971,F:F)</f>
        <v>40298.450000000004</v>
      </c>
      <c r="J971">
        <f t="array" ref="J971">5 - INT(5 * (RANK(G971,G:G, 1) - 1) / COUNT(G:G))</f>
        <v>2</v>
      </c>
      <c r="K971">
        <f t="array" ref="K971">INT(5 * (RANK(H971,H:H, 0) - 1) / COUNT(H:H)) + 1</f>
        <v>1</v>
      </c>
      <c r="L971">
        <f t="array" ref="L971">INT(5 * (RANK(I971,I:I, 0) - 1) / COUNT(I:I)) + 1</f>
        <v>2</v>
      </c>
      <c r="M971" t="str">
        <f t="shared" si="30"/>
        <v>212</v>
      </c>
      <c r="N971" s="6" t="str">
        <f t="shared" si="31"/>
        <v>Lost</v>
      </c>
    </row>
    <row r="972" spans="1:14" x14ac:dyDescent="0.35">
      <c r="A972">
        <v>1333</v>
      </c>
      <c r="B972" s="4">
        <v>45646.375085336993</v>
      </c>
      <c r="C972" t="s">
        <v>13</v>
      </c>
      <c r="D972" t="s">
        <v>16</v>
      </c>
      <c r="E972" t="s">
        <v>24</v>
      </c>
      <c r="F972">
        <v>3045.13</v>
      </c>
      <c r="G972">
        <f t="array" ref="G972">SalesData!$I$2 - 'RFM Table'!B972</f>
        <v>490</v>
      </c>
      <c r="H972">
        <f t="array" ref="H972">COUNTIF(A:A,A972)</f>
        <v>6</v>
      </c>
      <c r="I972">
        <f t="array" ref="I972">SUMIF(A:A,A972,F:F)</f>
        <v>12410.619999999999</v>
      </c>
      <c r="J972">
        <f t="array" ref="J972">5 - INT(5 * (RANK(G972,G:G, 1) - 1) / COUNT(G:G))</f>
        <v>2</v>
      </c>
      <c r="K972">
        <f t="array" ref="K972">INT(5 * (RANK(H972,H:H, 0) - 1) / COUNT(H:H)) + 1</f>
        <v>4</v>
      </c>
      <c r="L972">
        <f t="array" ref="L972">INT(5 * (RANK(I972,I:I, 0) - 1) / COUNT(I:I)) + 1</f>
        <v>5</v>
      </c>
      <c r="M972" t="str">
        <f t="shared" si="30"/>
        <v>245</v>
      </c>
      <c r="N972" s="6" t="str">
        <f t="shared" si="31"/>
        <v>At Risk</v>
      </c>
    </row>
    <row r="973" spans="1:14" x14ac:dyDescent="0.35">
      <c r="A973">
        <v>1287</v>
      </c>
      <c r="B973" s="4">
        <v>45647.375085336993</v>
      </c>
      <c r="C973" t="s">
        <v>11</v>
      </c>
      <c r="D973" t="s">
        <v>17</v>
      </c>
      <c r="E973" t="s">
        <v>25</v>
      </c>
      <c r="F973">
        <v>1283.67</v>
      </c>
      <c r="G973">
        <f t="array" ref="G973">SalesData!$I$2 - 'RFM Table'!B973</f>
        <v>489</v>
      </c>
      <c r="H973">
        <f t="array" ref="H973">COUNTIF(A:A,A973)</f>
        <v>16</v>
      </c>
      <c r="I973">
        <f t="array" ref="I973">SUMIF(A:A,A973,F:F)</f>
        <v>64716.249999999985</v>
      </c>
      <c r="J973">
        <f t="array" ref="J973">5 - INT(5 * (RANK(G973,G:G, 1) - 1) / COUNT(G:G))</f>
        <v>2</v>
      </c>
      <c r="K973">
        <f t="array" ref="K973">INT(5 * (RANK(H973,H:H, 0) - 1) / COUNT(H:H)) + 1</f>
        <v>1</v>
      </c>
      <c r="L973">
        <f t="array" ref="L973">INT(5 * (RANK(I973,I:I, 0) - 1) / COUNT(I:I)) + 1</f>
        <v>1</v>
      </c>
      <c r="M973" t="str">
        <f t="shared" si="30"/>
        <v>211</v>
      </c>
      <c r="N973" s="6" t="str">
        <f t="shared" si="31"/>
        <v>Lost</v>
      </c>
    </row>
    <row r="974" spans="1:14" x14ac:dyDescent="0.35">
      <c r="A974">
        <v>1089</v>
      </c>
      <c r="B974" s="4">
        <v>45647.375085336993</v>
      </c>
      <c r="C974" t="s">
        <v>12</v>
      </c>
      <c r="D974" t="s">
        <v>17</v>
      </c>
      <c r="E974" t="s">
        <v>24</v>
      </c>
      <c r="F974">
        <v>3026.25</v>
      </c>
      <c r="G974">
        <f t="array" ref="G974">SalesData!$I$2 - 'RFM Table'!B974</f>
        <v>489</v>
      </c>
      <c r="H974">
        <f t="array" ref="H974">COUNTIF(A:A,A974)</f>
        <v>10</v>
      </c>
      <c r="I974">
        <f t="array" ref="I974">SUMIF(A:A,A974,F:F)</f>
        <v>36855.5</v>
      </c>
      <c r="J974">
        <f t="array" ref="J974">5 - INT(5 * (RANK(G974,G:G, 1) - 1) / COUNT(G:G))</f>
        <v>2</v>
      </c>
      <c r="K974">
        <f t="array" ref="K974">INT(5 * (RANK(H974,H:H, 0) - 1) / COUNT(H:H)) + 1</f>
        <v>2</v>
      </c>
      <c r="L974">
        <f t="array" ref="L974">INT(5 * (RANK(I974,I:I, 0) - 1) / COUNT(I:I)) + 1</f>
        <v>2</v>
      </c>
      <c r="M974" t="str">
        <f t="shared" si="30"/>
        <v>222</v>
      </c>
      <c r="N974" s="6" t="str">
        <f t="shared" si="31"/>
        <v>Lost</v>
      </c>
    </row>
    <row r="975" spans="1:14" x14ac:dyDescent="0.35">
      <c r="A975">
        <v>1129</v>
      </c>
      <c r="B975" s="4">
        <v>45647.375085336993</v>
      </c>
      <c r="C975" t="s">
        <v>11</v>
      </c>
      <c r="D975" t="s">
        <v>22</v>
      </c>
      <c r="E975" t="s">
        <v>23</v>
      </c>
      <c r="F975">
        <v>3122.17</v>
      </c>
      <c r="G975">
        <f t="array" ref="G975">SalesData!$I$2 - 'RFM Table'!B975</f>
        <v>489</v>
      </c>
      <c r="H975">
        <f t="array" ref="H975">COUNTIF(A:A,A975)</f>
        <v>14</v>
      </c>
      <c r="I975">
        <f t="array" ref="I975">SUMIF(A:A,A975,F:F)</f>
        <v>53433.220000000008</v>
      </c>
      <c r="J975">
        <f t="array" ref="J975">5 - INT(5 * (RANK(G975,G:G, 1) - 1) / COUNT(G:G))</f>
        <v>2</v>
      </c>
      <c r="K975">
        <f t="array" ref="K975">INT(5 * (RANK(H975,H:H, 0) - 1) / COUNT(H:H)) + 1</f>
        <v>1</v>
      </c>
      <c r="L975">
        <f t="array" ref="L975">INT(5 * (RANK(I975,I:I, 0) - 1) / COUNT(I:I)) + 1</f>
        <v>1</v>
      </c>
      <c r="M975" t="str">
        <f t="shared" si="30"/>
        <v>211</v>
      </c>
      <c r="N975" s="6" t="str">
        <f t="shared" si="31"/>
        <v>Lost</v>
      </c>
    </row>
    <row r="976" spans="1:14" x14ac:dyDescent="0.35">
      <c r="A976">
        <v>1330</v>
      </c>
      <c r="B976" s="4">
        <v>45648.375085336993</v>
      </c>
      <c r="C976" t="s">
        <v>11</v>
      </c>
      <c r="D976" t="s">
        <v>21</v>
      </c>
      <c r="E976" t="s">
        <v>25</v>
      </c>
      <c r="F976">
        <v>1632.95</v>
      </c>
      <c r="G976">
        <f t="array" ref="G976">SalesData!$I$2 - 'RFM Table'!B976</f>
        <v>488</v>
      </c>
      <c r="H976">
        <f t="array" ref="H976">COUNTIF(A:A,A976)</f>
        <v>6</v>
      </c>
      <c r="I976">
        <f t="array" ref="I976">SUMIF(A:A,A976,F:F)</f>
        <v>16595.620000000003</v>
      </c>
      <c r="J976">
        <f t="array" ref="J976">5 - INT(5 * (RANK(G976,G:G, 1) - 1) / COUNT(G:G))</f>
        <v>2</v>
      </c>
      <c r="K976">
        <f t="array" ref="K976">INT(5 * (RANK(H976,H:H, 0) - 1) / COUNT(H:H)) + 1</f>
        <v>4</v>
      </c>
      <c r="L976">
        <f t="array" ref="L976">INT(5 * (RANK(I976,I:I, 0) - 1) / COUNT(I:I)) + 1</f>
        <v>5</v>
      </c>
      <c r="M976" t="str">
        <f t="shared" si="30"/>
        <v>245</v>
      </c>
      <c r="N976" s="6" t="str">
        <f t="shared" si="31"/>
        <v>At Risk</v>
      </c>
    </row>
    <row r="977" spans="1:14" x14ac:dyDescent="0.35">
      <c r="A977">
        <v>1049</v>
      </c>
      <c r="B977" s="4">
        <v>45649.375085336993</v>
      </c>
      <c r="C977" t="s">
        <v>12</v>
      </c>
      <c r="D977" t="s">
        <v>17</v>
      </c>
      <c r="E977" t="s">
        <v>25</v>
      </c>
      <c r="F977">
        <v>8078.08</v>
      </c>
      <c r="G977">
        <f t="array" ref="G977">SalesData!$I$2 - 'RFM Table'!B977</f>
        <v>487</v>
      </c>
      <c r="H977">
        <f t="array" ref="H977">COUNTIF(A:A,A977)</f>
        <v>6</v>
      </c>
      <c r="I977">
        <f t="array" ref="I977">SUMIF(A:A,A977,F:F)</f>
        <v>21995.52</v>
      </c>
      <c r="J977">
        <f t="array" ref="J977">5 - INT(5 * (RANK(G977,G:G, 1) - 1) / COUNT(G:G))</f>
        <v>2</v>
      </c>
      <c r="K977">
        <f t="array" ref="K977">INT(5 * (RANK(H977,H:H, 0) - 1) / COUNT(H:H)) + 1</f>
        <v>4</v>
      </c>
      <c r="L977">
        <f t="array" ref="L977">INT(5 * (RANK(I977,I:I, 0) - 1) / COUNT(I:I)) + 1</f>
        <v>4</v>
      </c>
      <c r="M977" t="str">
        <f t="shared" si="30"/>
        <v>244</v>
      </c>
      <c r="N977" s="6" t="str">
        <f t="shared" si="31"/>
        <v>At Risk</v>
      </c>
    </row>
    <row r="978" spans="1:14" x14ac:dyDescent="0.35">
      <c r="A978">
        <v>1253</v>
      </c>
      <c r="B978" s="4">
        <v>45650.375085336993</v>
      </c>
      <c r="C978" t="s">
        <v>12</v>
      </c>
      <c r="D978" t="s">
        <v>19</v>
      </c>
      <c r="E978" t="s">
        <v>24</v>
      </c>
      <c r="F978">
        <v>5265.08</v>
      </c>
      <c r="G978">
        <f t="array" ref="G978">SalesData!$I$2 - 'RFM Table'!B978</f>
        <v>486</v>
      </c>
      <c r="H978">
        <f t="array" ref="H978">COUNTIF(A:A,A978)</f>
        <v>7</v>
      </c>
      <c r="I978">
        <f t="array" ref="I978">SUMIF(A:A,A978,F:F)</f>
        <v>47955.99</v>
      </c>
      <c r="J978">
        <f t="array" ref="J978">5 - INT(5 * (RANK(G978,G:G, 1) - 1) / COUNT(G:G))</f>
        <v>2</v>
      </c>
      <c r="K978">
        <f t="array" ref="K978">INT(5 * (RANK(H978,H:H, 0) - 1) / COUNT(H:H)) + 1</f>
        <v>4</v>
      </c>
      <c r="L978">
        <f t="array" ref="L978">INT(5 * (RANK(I978,I:I, 0) - 1) / COUNT(I:I)) + 1</f>
        <v>1</v>
      </c>
      <c r="M978" t="str">
        <f t="shared" si="30"/>
        <v>241</v>
      </c>
      <c r="N978" s="6" t="str">
        <f t="shared" si="31"/>
        <v>Others</v>
      </c>
    </row>
    <row r="979" spans="1:14" x14ac:dyDescent="0.35">
      <c r="A979">
        <v>1164</v>
      </c>
      <c r="B979" s="4">
        <v>45650.375085336993</v>
      </c>
      <c r="C979" t="s">
        <v>8</v>
      </c>
      <c r="D979" t="s">
        <v>17</v>
      </c>
      <c r="E979" t="s">
        <v>24</v>
      </c>
      <c r="F979">
        <v>641.62</v>
      </c>
      <c r="G979">
        <f t="array" ref="G979">SalesData!$I$2 - 'RFM Table'!B979</f>
        <v>486</v>
      </c>
      <c r="H979">
        <f t="array" ref="H979">COUNTIF(A:A,A979)</f>
        <v>7</v>
      </c>
      <c r="I979">
        <f t="array" ref="I979">SUMIF(A:A,A979,F:F)</f>
        <v>29497.360000000001</v>
      </c>
      <c r="J979">
        <f t="array" ref="J979">5 - INT(5 * (RANK(G979,G:G, 1) - 1) / COUNT(G:G))</f>
        <v>2</v>
      </c>
      <c r="K979">
        <f t="array" ref="K979">INT(5 * (RANK(H979,H:H, 0) - 1) / COUNT(H:H)) + 1</f>
        <v>4</v>
      </c>
      <c r="L979">
        <f t="array" ref="L979">INT(5 * (RANK(I979,I:I, 0) - 1) / COUNT(I:I)) + 1</f>
        <v>3</v>
      </c>
      <c r="M979" t="str">
        <f t="shared" si="30"/>
        <v>243</v>
      </c>
      <c r="N979" s="6" t="str">
        <f t="shared" si="31"/>
        <v>At Risk</v>
      </c>
    </row>
    <row r="980" spans="1:14" x14ac:dyDescent="0.35">
      <c r="A980">
        <v>1003</v>
      </c>
      <c r="B980" s="4">
        <v>45650.375085336993</v>
      </c>
      <c r="C980" t="s">
        <v>11</v>
      </c>
      <c r="D980" t="s">
        <v>16</v>
      </c>
      <c r="E980" t="s">
        <v>23</v>
      </c>
      <c r="F980">
        <v>4873.67</v>
      </c>
      <c r="G980">
        <f t="array" ref="G980">SalesData!$I$2 - 'RFM Table'!B980</f>
        <v>486</v>
      </c>
      <c r="H980">
        <f t="array" ref="H980">COUNTIF(A:A,A980)</f>
        <v>9</v>
      </c>
      <c r="I980">
        <f t="array" ref="I980">SUMIF(A:A,A980,F:F)</f>
        <v>48978.57</v>
      </c>
      <c r="J980">
        <f t="array" ref="J980">5 - INT(5 * (RANK(G980,G:G, 1) - 1) / COUNT(G:G))</f>
        <v>2</v>
      </c>
      <c r="K980">
        <f t="array" ref="K980">INT(5 * (RANK(H980,H:H, 0) - 1) / COUNT(H:H)) + 1</f>
        <v>2</v>
      </c>
      <c r="L980">
        <f t="array" ref="L980">INT(5 * (RANK(I980,I:I, 0) - 1) / COUNT(I:I)) + 1</f>
        <v>1</v>
      </c>
      <c r="M980" t="str">
        <f t="shared" si="30"/>
        <v>221</v>
      </c>
      <c r="N980" s="6" t="str">
        <f t="shared" si="31"/>
        <v>Lost</v>
      </c>
    </row>
    <row r="981" spans="1:14" x14ac:dyDescent="0.35">
      <c r="A981">
        <v>1133</v>
      </c>
      <c r="B981" s="4">
        <v>45650.375085336993</v>
      </c>
      <c r="C981" t="s">
        <v>14</v>
      </c>
      <c r="D981" t="s">
        <v>20</v>
      </c>
      <c r="E981" t="s">
        <v>23</v>
      </c>
      <c r="F981">
        <v>1519.1</v>
      </c>
      <c r="G981">
        <f t="array" ref="G981">SalesData!$I$2 - 'RFM Table'!B981</f>
        <v>486</v>
      </c>
      <c r="H981">
        <f t="array" ref="H981">COUNTIF(A:A,A981)</f>
        <v>8</v>
      </c>
      <c r="I981">
        <f t="array" ref="I981">SUMIF(A:A,A981,F:F)</f>
        <v>34167.589999999997</v>
      </c>
      <c r="J981">
        <f t="array" ref="J981">5 - INT(5 * (RANK(G981,G:G, 1) - 1) / COUNT(G:G))</f>
        <v>2</v>
      </c>
      <c r="K981">
        <f t="array" ref="K981">INT(5 * (RANK(H981,H:H, 0) - 1) / COUNT(H:H)) + 1</f>
        <v>3</v>
      </c>
      <c r="L981">
        <f t="array" ref="L981">INT(5 * (RANK(I981,I:I, 0) - 1) / COUNT(I:I)) + 1</f>
        <v>3</v>
      </c>
      <c r="M981" t="str">
        <f t="shared" si="30"/>
        <v>233</v>
      </c>
      <c r="N981" s="6" t="str">
        <f t="shared" si="31"/>
        <v>At Risk</v>
      </c>
    </row>
    <row r="982" spans="1:14" x14ac:dyDescent="0.35">
      <c r="A982">
        <v>1226</v>
      </c>
      <c r="B982" s="4">
        <v>45650.375085336993</v>
      </c>
      <c r="C982" t="s">
        <v>11</v>
      </c>
      <c r="D982" t="s">
        <v>20</v>
      </c>
      <c r="E982" t="s">
        <v>23</v>
      </c>
      <c r="F982">
        <v>4247.1000000000004</v>
      </c>
      <c r="G982">
        <f t="array" ref="G982">SalesData!$I$2 - 'RFM Table'!B982</f>
        <v>486</v>
      </c>
      <c r="H982">
        <f t="array" ref="H982">COUNTIF(A:A,A982)</f>
        <v>13</v>
      </c>
      <c r="I982">
        <f t="array" ref="I982">SUMIF(A:A,A982,F:F)</f>
        <v>49471.75</v>
      </c>
      <c r="J982">
        <f t="array" ref="J982">5 - INT(5 * (RANK(G982,G:G, 1) - 1) / COUNT(G:G))</f>
        <v>2</v>
      </c>
      <c r="K982">
        <f t="array" ref="K982">INT(5 * (RANK(H982,H:H, 0) - 1) / COUNT(H:H)) + 1</f>
        <v>1</v>
      </c>
      <c r="L982">
        <f t="array" ref="L982">INT(5 * (RANK(I982,I:I, 0) - 1) / COUNT(I:I)) + 1</f>
        <v>1</v>
      </c>
      <c r="M982" t="str">
        <f t="shared" si="30"/>
        <v>211</v>
      </c>
      <c r="N982" s="6" t="str">
        <f t="shared" si="31"/>
        <v>Lost</v>
      </c>
    </row>
    <row r="983" spans="1:14" x14ac:dyDescent="0.35">
      <c r="A983">
        <v>1307</v>
      </c>
      <c r="B983" s="4">
        <v>45650.375085336993</v>
      </c>
      <c r="C983" t="s">
        <v>15</v>
      </c>
      <c r="D983" t="s">
        <v>17</v>
      </c>
      <c r="E983" t="s">
        <v>23</v>
      </c>
      <c r="F983">
        <v>3312.71</v>
      </c>
      <c r="G983">
        <f t="array" ref="G983">SalesData!$I$2 - 'RFM Table'!B983</f>
        <v>486</v>
      </c>
      <c r="H983">
        <f t="array" ref="H983">COUNTIF(A:A,A983)</f>
        <v>7</v>
      </c>
      <c r="I983">
        <f t="array" ref="I983">SUMIF(A:A,A983,F:F)</f>
        <v>33514.49</v>
      </c>
      <c r="J983">
        <f t="array" ref="J983">5 - INT(5 * (RANK(G983,G:G, 1) - 1) / COUNT(G:G))</f>
        <v>2</v>
      </c>
      <c r="K983">
        <f t="array" ref="K983">INT(5 * (RANK(H983,H:H, 0) - 1) / COUNT(H:H)) + 1</f>
        <v>4</v>
      </c>
      <c r="L983">
        <f t="array" ref="L983">INT(5 * (RANK(I983,I:I, 0) - 1) / COUNT(I:I)) + 1</f>
        <v>3</v>
      </c>
      <c r="M983" t="str">
        <f t="shared" si="30"/>
        <v>243</v>
      </c>
      <c r="N983" s="6" t="str">
        <f t="shared" si="31"/>
        <v>At Risk</v>
      </c>
    </row>
    <row r="984" spans="1:14" x14ac:dyDescent="0.35">
      <c r="A984">
        <v>1189</v>
      </c>
      <c r="B984" s="4">
        <v>45651.375085336993</v>
      </c>
      <c r="C984" t="s">
        <v>6</v>
      </c>
      <c r="D984" t="s">
        <v>19</v>
      </c>
      <c r="E984" t="s">
        <v>23</v>
      </c>
      <c r="F984">
        <v>3414.28</v>
      </c>
      <c r="G984">
        <f t="array" ref="G984">SalesData!$I$2 - 'RFM Table'!B984</f>
        <v>485</v>
      </c>
      <c r="H984">
        <f t="array" ref="H984">COUNTIF(A:A,A984)</f>
        <v>10</v>
      </c>
      <c r="I984">
        <f t="array" ref="I984">SUMIF(A:A,A984,F:F)</f>
        <v>29994.030000000002</v>
      </c>
      <c r="J984">
        <f t="array" ref="J984">5 - INT(5 * (RANK(G984,G:G, 1) - 1) / COUNT(G:G))</f>
        <v>2</v>
      </c>
      <c r="K984">
        <f t="array" ref="K984">INT(5 * (RANK(H984,H:H, 0) - 1) / COUNT(H:H)) + 1</f>
        <v>2</v>
      </c>
      <c r="L984">
        <f t="array" ref="L984">INT(5 * (RANK(I984,I:I, 0) - 1) / COUNT(I:I)) + 1</f>
        <v>3</v>
      </c>
      <c r="M984" t="str">
        <f t="shared" si="30"/>
        <v>223</v>
      </c>
      <c r="N984" s="6" t="str">
        <f t="shared" si="31"/>
        <v>Can't Lose Them</v>
      </c>
    </row>
    <row r="985" spans="1:14" x14ac:dyDescent="0.35">
      <c r="A985">
        <v>1011</v>
      </c>
      <c r="B985" s="4">
        <v>45651.375085336993</v>
      </c>
      <c r="C985" t="s">
        <v>13</v>
      </c>
      <c r="D985" t="s">
        <v>20</v>
      </c>
      <c r="E985" t="s">
        <v>23</v>
      </c>
      <c r="F985">
        <v>4276.88</v>
      </c>
      <c r="G985">
        <f t="array" ref="G985">SalesData!$I$2 - 'RFM Table'!B985</f>
        <v>485</v>
      </c>
      <c r="H985">
        <f t="array" ref="H985">COUNTIF(A:A,A985)</f>
        <v>16</v>
      </c>
      <c r="I985">
        <f t="array" ref="I985">SUMIF(A:A,A985,F:F)</f>
        <v>58237.360000000008</v>
      </c>
      <c r="J985">
        <f t="array" ref="J985">5 - INT(5 * (RANK(G985,G:G, 1) - 1) / COUNT(G:G))</f>
        <v>2</v>
      </c>
      <c r="K985">
        <f t="array" ref="K985">INT(5 * (RANK(H985,H:H, 0) - 1) / COUNT(H:H)) + 1</f>
        <v>1</v>
      </c>
      <c r="L985">
        <f t="array" ref="L985">INT(5 * (RANK(I985,I:I, 0) - 1) / COUNT(I:I)) + 1</f>
        <v>1</v>
      </c>
      <c r="M985" t="str">
        <f t="shared" si="30"/>
        <v>211</v>
      </c>
      <c r="N985" s="6" t="str">
        <f t="shared" si="31"/>
        <v>Lost</v>
      </c>
    </row>
    <row r="986" spans="1:14" x14ac:dyDescent="0.35">
      <c r="A986">
        <v>1127</v>
      </c>
      <c r="B986" s="4">
        <v>45652.375085336993</v>
      </c>
      <c r="C986" t="s">
        <v>15</v>
      </c>
      <c r="D986" t="s">
        <v>17</v>
      </c>
      <c r="E986" t="s">
        <v>24</v>
      </c>
      <c r="F986">
        <v>1940.59</v>
      </c>
      <c r="G986">
        <f t="array" ref="G986">SalesData!$I$2 - 'RFM Table'!B986</f>
        <v>484</v>
      </c>
      <c r="H986">
        <f t="array" ref="H986">COUNTIF(A:A,A986)</f>
        <v>9</v>
      </c>
      <c r="I986">
        <f t="array" ref="I986">SUMIF(A:A,A986,F:F)</f>
        <v>30288.86</v>
      </c>
      <c r="J986">
        <f t="array" ref="J986">5 - INT(5 * (RANK(G986,G:G, 1) - 1) / COUNT(G:G))</f>
        <v>2</v>
      </c>
      <c r="K986">
        <f t="array" ref="K986">INT(5 * (RANK(H986,H:H, 0) - 1) / COUNT(H:H)) + 1</f>
        <v>2</v>
      </c>
      <c r="L986">
        <f t="array" ref="L986">INT(5 * (RANK(I986,I:I, 0) - 1) / COUNT(I:I)) + 1</f>
        <v>3</v>
      </c>
      <c r="M986" t="str">
        <f t="shared" si="30"/>
        <v>223</v>
      </c>
      <c r="N986" s="6" t="str">
        <f t="shared" si="31"/>
        <v>Can't Lose Them</v>
      </c>
    </row>
    <row r="987" spans="1:14" x14ac:dyDescent="0.35">
      <c r="A987">
        <v>1359</v>
      </c>
      <c r="B987" s="4">
        <v>45652.375085336993</v>
      </c>
      <c r="C987" t="s">
        <v>13</v>
      </c>
      <c r="D987" t="s">
        <v>17</v>
      </c>
      <c r="E987" t="s">
        <v>25</v>
      </c>
      <c r="F987">
        <v>4549.16</v>
      </c>
      <c r="G987">
        <f t="array" ref="G987">SalesData!$I$2 - 'RFM Table'!B987</f>
        <v>484</v>
      </c>
      <c r="H987">
        <f t="array" ref="H987">COUNTIF(A:A,A987)</f>
        <v>13</v>
      </c>
      <c r="I987">
        <f t="array" ref="I987">SUMIF(A:A,A987,F:F)</f>
        <v>40402.14</v>
      </c>
      <c r="J987">
        <f t="array" ref="J987">5 - INT(5 * (RANK(G987,G:G, 1) - 1) / COUNT(G:G))</f>
        <v>2</v>
      </c>
      <c r="K987">
        <f t="array" ref="K987">INT(5 * (RANK(H987,H:H, 0) - 1) / COUNT(H:H)) + 1</f>
        <v>1</v>
      </c>
      <c r="L987">
        <f t="array" ref="L987">INT(5 * (RANK(I987,I:I, 0) - 1) / COUNT(I:I)) + 1</f>
        <v>2</v>
      </c>
      <c r="M987" t="str">
        <f t="shared" si="30"/>
        <v>212</v>
      </c>
      <c r="N987" s="6" t="str">
        <f t="shared" si="31"/>
        <v>Lost</v>
      </c>
    </row>
    <row r="988" spans="1:14" x14ac:dyDescent="0.35">
      <c r="A988">
        <v>1312</v>
      </c>
      <c r="B988" s="4">
        <v>45652.375085336993</v>
      </c>
      <c r="C988" t="s">
        <v>10</v>
      </c>
      <c r="D988" t="s">
        <v>21</v>
      </c>
      <c r="E988" t="s">
        <v>24</v>
      </c>
      <c r="F988">
        <v>5577.82</v>
      </c>
      <c r="G988">
        <f t="array" ref="G988">SalesData!$I$2 - 'RFM Table'!B988</f>
        <v>484</v>
      </c>
      <c r="H988">
        <f t="array" ref="H988">COUNTIF(A:A,A988)</f>
        <v>8</v>
      </c>
      <c r="I988">
        <f t="array" ref="I988">SUMIF(A:A,A988,F:F)</f>
        <v>31330.839999999997</v>
      </c>
      <c r="J988">
        <f t="array" ref="J988">5 - INT(5 * (RANK(G988,G:G, 1) - 1) / COUNT(G:G))</f>
        <v>2</v>
      </c>
      <c r="K988">
        <f t="array" ref="K988">INT(5 * (RANK(H988,H:H, 0) - 1) / COUNT(H:H)) + 1</f>
        <v>3</v>
      </c>
      <c r="L988">
        <f t="array" ref="L988">INT(5 * (RANK(I988,I:I, 0) - 1) / COUNT(I:I)) + 1</f>
        <v>3</v>
      </c>
      <c r="M988" t="str">
        <f t="shared" si="30"/>
        <v>233</v>
      </c>
      <c r="N988" s="6" t="str">
        <f t="shared" si="31"/>
        <v>At Risk</v>
      </c>
    </row>
    <row r="989" spans="1:14" x14ac:dyDescent="0.35">
      <c r="A989">
        <v>1076</v>
      </c>
      <c r="B989" s="4">
        <v>45652.375085336993</v>
      </c>
      <c r="C989" t="s">
        <v>12</v>
      </c>
      <c r="D989" t="s">
        <v>17</v>
      </c>
      <c r="E989" t="s">
        <v>24</v>
      </c>
      <c r="F989">
        <v>4797.13</v>
      </c>
      <c r="G989">
        <f t="array" ref="G989">SalesData!$I$2 - 'RFM Table'!B989</f>
        <v>484</v>
      </c>
      <c r="H989">
        <f t="array" ref="H989">COUNTIF(A:A,A989)</f>
        <v>5</v>
      </c>
      <c r="I989">
        <f t="array" ref="I989">SUMIF(A:A,A989,F:F)</f>
        <v>19731.25</v>
      </c>
      <c r="J989">
        <f t="array" ref="J989">5 - INT(5 * (RANK(G989,G:G, 1) - 1) / COUNT(G:G))</f>
        <v>2</v>
      </c>
      <c r="K989">
        <f t="array" ref="K989">INT(5 * (RANK(H989,H:H, 0) - 1) / COUNT(H:H)) + 1</f>
        <v>5</v>
      </c>
      <c r="L989">
        <f t="array" ref="L989">INT(5 * (RANK(I989,I:I, 0) - 1) / COUNT(I:I)) + 1</f>
        <v>5</v>
      </c>
      <c r="M989" t="str">
        <f t="shared" si="30"/>
        <v>255</v>
      </c>
      <c r="N989" s="6" t="str">
        <f t="shared" si="31"/>
        <v>At Risk</v>
      </c>
    </row>
    <row r="990" spans="1:14" x14ac:dyDescent="0.35">
      <c r="A990">
        <v>1019</v>
      </c>
      <c r="B990" s="4">
        <v>45652.375085336993</v>
      </c>
      <c r="C990" t="s">
        <v>13</v>
      </c>
      <c r="D990" t="s">
        <v>22</v>
      </c>
      <c r="E990" t="s">
        <v>25</v>
      </c>
      <c r="F990">
        <v>989.86</v>
      </c>
      <c r="G990">
        <f t="array" ref="G990">SalesData!$I$2 - 'RFM Table'!B990</f>
        <v>484</v>
      </c>
      <c r="H990">
        <f t="array" ref="H990">COUNTIF(A:A,A990)</f>
        <v>11</v>
      </c>
      <c r="I990">
        <f t="array" ref="I990">SUMIF(A:A,A990,F:F)</f>
        <v>37863.899999999994</v>
      </c>
      <c r="J990">
        <f t="array" ref="J990">5 - INT(5 * (RANK(G990,G:G, 1) - 1) / COUNT(G:G))</f>
        <v>2</v>
      </c>
      <c r="K990">
        <f t="array" ref="K990">INT(5 * (RANK(H990,H:H, 0) - 1) / COUNT(H:H)) + 1</f>
        <v>1</v>
      </c>
      <c r="L990">
        <f t="array" ref="L990">INT(5 * (RANK(I990,I:I, 0) - 1) / COUNT(I:I)) + 1</f>
        <v>2</v>
      </c>
      <c r="M990" t="str">
        <f t="shared" si="30"/>
        <v>212</v>
      </c>
      <c r="N990" s="6" t="str">
        <f t="shared" si="31"/>
        <v>Lost</v>
      </c>
    </row>
    <row r="991" spans="1:14" x14ac:dyDescent="0.35">
      <c r="A991">
        <v>1026</v>
      </c>
      <c r="B991" s="4">
        <v>45652.375085336993</v>
      </c>
      <c r="C991" t="s">
        <v>11</v>
      </c>
      <c r="D991" t="s">
        <v>20</v>
      </c>
      <c r="E991" t="s">
        <v>24</v>
      </c>
      <c r="F991">
        <v>7779.86</v>
      </c>
      <c r="G991">
        <f t="array" ref="G991">SalesData!$I$2 - 'RFM Table'!B991</f>
        <v>484</v>
      </c>
      <c r="H991">
        <f t="array" ref="H991">COUNTIF(A:A,A991)</f>
        <v>7</v>
      </c>
      <c r="I991">
        <f t="array" ref="I991">SUMIF(A:A,A991,F:F)</f>
        <v>24873.88</v>
      </c>
      <c r="J991">
        <f t="array" ref="J991">5 - INT(5 * (RANK(G991,G:G, 1) - 1) / COUNT(G:G))</f>
        <v>2</v>
      </c>
      <c r="K991">
        <f t="array" ref="K991">INT(5 * (RANK(H991,H:H, 0) - 1) / COUNT(H:H)) + 1</f>
        <v>4</v>
      </c>
      <c r="L991">
        <f t="array" ref="L991">INT(5 * (RANK(I991,I:I, 0) - 1) / COUNT(I:I)) + 1</f>
        <v>4</v>
      </c>
      <c r="M991" t="str">
        <f t="shared" si="30"/>
        <v>244</v>
      </c>
      <c r="N991" s="6" t="str">
        <f t="shared" si="31"/>
        <v>At Risk</v>
      </c>
    </row>
    <row r="992" spans="1:14" x14ac:dyDescent="0.35">
      <c r="A992">
        <v>1338</v>
      </c>
      <c r="B992" s="4">
        <v>45652.375085336993</v>
      </c>
      <c r="C992" t="s">
        <v>12</v>
      </c>
      <c r="D992" t="s">
        <v>18</v>
      </c>
      <c r="E992" t="s">
        <v>25</v>
      </c>
      <c r="F992">
        <v>6503.76</v>
      </c>
      <c r="G992">
        <f t="array" ref="G992">SalesData!$I$2 - 'RFM Table'!B992</f>
        <v>484</v>
      </c>
      <c r="H992">
        <f t="array" ref="H992">COUNTIF(A:A,A992)</f>
        <v>5</v>
      </c>
      <c r="I992">
        <f t="array" ref="I992">SUMIF(A:A,A992,F:F)</f>
        <v>21171.439999999999</v>
      </c>
      <c r="J992">
        <f t="array" ref="J992">5 - INT(5 * (RANK(G992,G:G, 1) - 1) / COUNT(G:G))</f>
        <v>2</v>
      </c>
      <c r="K992">
        <f t="array" ref="K992">INT(5 * (RANK(H992,H:H, 0) - 1) / COUNT(H:H)) + 1</f>
        <v>5</v>
      </c>
      <c r="L992">
        <f t="array" ref="L992">INT(5 * (RANK(I992,I:I, 0) - 1) / COUNT(I:I)) + 1</f>
        <v>5</v>
      </c>
      <c r="M992" t="str">
        <f t="shared" si="30"/>
        <v>255</v>
      </c>
      <c r="N992" s="6" t="str">
        <f t="shared" si="31"/>
        <v>At Risk</v>
      </c>
    </row>
    <row r="993" spans="1:14" x14ac:dyDescent="0.35">
      <c r="A993">
        <v>1195</v>
      </c>
      <c r="B993" s="4">
        <v>45652.375085336993</v>
      </c>
      <c r="C993" t="s">
        <v>7</v>
      </c>
      <c r="D993" t="s">
        <v>21</v>
      </c>
      <c r="E993" t="s">
        <v>24</v>
      </c>
      <c r="F993">
        <v>3338.16</v>
      </c>
      <c r="G993">
        <f t="array" ref="G993">SalesData!$I$2 - 'RFM Table'!B993</f>
        <v>484</v>
      </c>
      <c r="H993">
        <f t="array" ref="H993">COUNTIF(A:A,A993)</f>
        <v>7</v>
      </c>
      <c r="I993">
        <f t="array" ref="I993">SUMIF(A:A,A993,F:F)</f>
        <v>22005.660000000003</v>
      </c>
      <c r="J993">
        <f t="array" ref="J993">5 - INT(5 * (RANK(G993,G:G, 1) - 1) / COUNT(G:G))</f>
        <v>2</v>
      </c>
      <c r="K993">
        <f t="array" ref="K993">INT(5 * (RANK(H993,H:H, 0) - 1) / COUNT(H:H)) + 1</f>
        <v>4</v>
      </c>
      <c r="L993">
        <f t="array" ref="L993">INT(5 * (RANK(I993,I:I, 0) - 1) / COUNT(I:I)) + 1</f>
        <v>4</v>
      </c>
      <c r="M993" t="str">
        <f t="shared" si="30"/>
        <v>244</v>
      </c>
      <c r="N993" s="6" t="str">
        <f t="shared" si="31"/>
        <v>At Risk</v>
      </c>
    </row>
    <row r="994" spans="1:14" x14ac:dyDescent="0.35">
      <c r="A994">
        <v>1290</v>
      </c>
      <c r="B994" s="4">
        <v>45652.375085336993</v>
      </c>
      <c r="C994" t="s">
        <v>10</v>
      </c>
      <c r="D994" t="s">
        <v>19</v>
      </c>
      <c r="E994" t="s">
        <v>25</v>
      </c>
      <c r="F994">
        <v>5731.09</v>
      </c>
      <c r="G994">
        <f t="array" ref="G994">SalesData!$I$2 - 'RFM Table'!B994</f>
        <v>484</v>
      </c>
      <c r="H994">
        <f t="array" ref="H994">COUNTIF(A:A,A994)</f>
        <v>9</v>
      </c>
      <c r="I994">
        <f t="array" ref="I994">SUMIF(A:A,A994,F:F)</f>
        <v>37864.199999999997</v>
      </c>
      <c r="J994">
        <f t="array" ref="J994">5 - INT(5 * (RANK(G994,G:G, 1) - 1) / COUNT(G:G))</f>
        <v>2</v>
      </c>
      <c r="K994">
        <f t="array" ref="K994">INT(5 * (RANK(H994,H:H, 0) - 1) / COUNT(H:H)) + 1</f>
        <v>2</v>
      </c>
      <c r="L994">
        <f t="array" ref="L994">INT(5 * (RANK(I994,I:I, 0) - 1) / COUNT(I:I)) + 1</f>
        <v>2</v>
      </c>
      <c r="M994" t="str">
        <f t="shared" si="30"/>
        <v>222</v>
      </c>
      <c r="N994" s="6" t="str">
        <f t="shared" si="31"/>
        <v>Lost</v>
      </c>
    </row>
    <row r="995" spans="1:14" x14ac:dyDescent="0.35">
      <c r="A995">
        <v>1161</v>
      </c>
      <c r="B995" s="4">
        <v>45653.375085336993</v>
      </c>
      <c r="C995" t="s">
        <v>13</v>
      </c>
      <c r="D995" t="s">
        <v>19</v>
      </c>
      <c r="E995" t="s">
        <v>25</v>
      </c>
      <c r="F995">
        <v>715.9</v>
      </c>
      <c r="G995">
        <f t="array" ref="G995">SalesData!$I$2 - 'RFM Table'!B995</f>
        <v>483</v>
      </c>
      <c r="H995">
        <f t="array" ref="H995">COUNTIF(A:A,A995)</f>
        <v>4</v>
      </c>
      <c r="I995">
        <f t="array" ref="I995">SUMIF(A:A,A995,F:F)</f>
        <v>13595.329999999998</v>
      </c>
      <c r="J995">
        <f t="array" ref="J995">5 - INT(5 * (RANK(G995,G:G, 1) - 1) / COUNT(G:G))</f>
        <v>2</v>
      </c>
      <c r="K995">
        <f t="array" ref="K995">INT(5 * (RANK(H995,H:H, 0) - 1) / COUNT(H:H)) + 1</f>
        <v>5</v>
      </c>
      <c r="L995">
        <f t="array" ref="L995">INT(5 * (RANK(I995,I:I, 0) - 1) / COUNT(I:I)) + 1</f>
        <v>5</v>
      </c>
      <c r="M995" t="str">
        <f t="shared" si="30"/>
        <v>255</v>
      </c>
      <c r="N995" s="6" t="str">
        <f t="shared" si="31"/>
        <v>At Risk</v>
      </c>
    </row>
    <row r="996" spans="1:14" x14ac:dyDescent="0.35">
      <c r="A996">
        <v>1062</v>
      </c>
      <c r="B996" s="4">
        <v>45653.375085336993</v>
      </c>
      <c r="C996" t="s">
        <v>10</v>
      </c>
      <c r="D996" t="s">
        <v>19</v>
      </c>
      <c r="E996" t="s">
        <v>24</v>
      </c>
      <c r="F996">
        <v>8565.9500000000007</v>
      </c>
      <c r="G996">
        <f t="array" ref="G996">SalesData!$I$2 - 'RFM Table'!B996</f>
        <v>483</v>
      </c>
      <c r="H996">
        <f t="array" ref="H996">COUNTIF(A:A,A996)</f>
        <v>11</v>
      </c>
      <c r="I996">
        <f t="array" ref="I996">SUMIF(A:A,A996,F:F)</f>
        <v>59377.640000000014</v>
      </c>
      <c r="J996">
        <f t="array" ref="J996">5 - INT(5 * (RANK(G996,G:G, 1) - 1) / COUNT(G:G))</f>
        <v>2</v>
      </c>
      <c r="K996">
        <f t="array" ref="K996">INT(5 * (RANK(H996,H:H, 0) - 1) / COUNT(H:H)) + 1</f>
        <v>1</v>
      </c>
      <c r="L996">
        <f t="array" ref="L996">INT(5 * (RANK(I996,I:I, 0) - 1) / COUNT(I:I)) + 1</f>
        <v>1</v>
      </c>
      <c r="M996" t="str">
        <f t="shared" si="30"/>
        <v>211</v>
      </c>
      <c r="N996" s="6" t="str">
        <f t="shared" si="31"/>
        <v>Lost</v>
      </c>
    </row>
    <row r="997" spans="1:14" x14ac:dyDescent="0.35">
      <c r="A997">
        <v>1288</v>
      </c>
      <c r="B997" s="4">
        <v>45653.375085336993</v>
      </c>
      <c r="C997" t="s">
        <v>11</v>
      </c>
      <c r="D997" t="s">
        <v>16</v>
      </c>
      <c r="E997" t="s">
        <v>24</v>
      </c>
      <c r="F997">
        <v>1677.47</v>
      </c>
      <c r="G997">
        <f t="array" ref="G997">SalesData!$I$2 - 'RFM Table'!B997</f>
        <v>483</v>
      </c>
      <c r="H997">
        <f t="array" ref="H997">COUNTIF(A:A,A997)</f>
        <v>13</v>
      </c>
      <c r="I997">
        <f t="array" ref="I997">SUMIF(A:A,A997,F:F)</f>
        <v>40219.18</v>
      </c>
      <c r="J997">
        <f t="array" ref="J997">5 - INT(5 * (RANK(G997,G:G, 1) - 1) / COUNT(G:G))</f>
        <v>2</v>
      </c>
      <c r="K997">
        <f t="array" ref="K997">INT(5 * (RANK(H997,H:H, 0) - 1) / COUNT(H:H)) + 1</f>
        <v>1</v>
      </c>
      <c r="L997">
        <f t="array" ref="L997">INT(5 * (RANK(I997,I:I, 0) - 1) / COUNT(I:I)) + 1</f>
        <v>2</v>
      </c>
      <c r="M997" t="str">
        <f t="shared" si="30"/>
        <v>212</v>
      </c>
      <c r="N997" s="6" t="str">
        <f t="shared" si="31"/>
        <v>Lost</v>
      </c>
    </row>
    <row r="998" spans="1:14" x14ac:dyDescent="0.35">
      <c r="A998">
        <v>1152</v>
      </c>
      <c r="B998" s="4">
        <v>45653.375085336993</v>
      </c>
      <c r="C998" t="s">
        <v>13</v>
      </c>
      <c r="D998" t="s">
        <v>16</v>
      </c>
      <c r="E998" t="s">
        <v>25</v>
      </c>
      <c r="F998">
        <v>7945.62</v>
      </c>
      <c r="G998">
        <f t="array" ref="G998">SalesData!$I$2 - 'RFM Table'!B998</f>
        <v>483</v>
      </c>
      <c r="H998">
        <f t="array" ref="H998">COUNTIF(A:A,A998)</f>
        <v>9</v>
      </c>
      <c r="I998">
        <f t="array" ref="I998">SUMIF(A:A,A998,F:F)</f>
        <v>34982.139999999992</v>
      </c>
      <c r="J998">
        <f t="array" ref="J998">5 - INT(5 * (RANK(G998,G:G, 1) - 1) / COUNT(G:G))</f>
        <v>2</v>
      </c>
      <c r="K998">
        <f t="array" ref="K998">INT(5 * (RANK(H998,H:H, 0) - 1) / COUNT(H:H)) + 1</f>
        <v>2</v>
      </c>
      <c r="L998">
        <f t="array" ref="L998">INT(5 * (RANK(I998,I:I, 0) - 1) / COUNT(I:I)) + 1</f>
        <v>3</v>
      </c>
      <c r="M998" t="str">
        <f t="shared" si="30"/>
        <v>223</v>
      </c>
      <c r="N998" s="6" t="str">
        <f t="shared" si="31"/>
        <v>Can't Lose Them</v>
      </c>
    </row>
    <row r="999" spans="1:14" x14ac:dyDescent="0.35">
      <c r="A999">
        <v>1310</v>
      </c>
      <c r="B999" s="4">
        <v>45653.375085336993</v>
      </c>
      <c r="C999" t="s">
        <v>11</v>
      </c>
      <c r="D999" t="s">
        <v>18</v>
      </c>
      <c r="E999" t="s">
        <v>24</v>
      </c>
      <c r="F999">
        <v>3226.8</v>
      </c>
      <c r="G999">
        <f t="array" ref="G999">SalesData!$I$2 - 'RFM Table'!B999</f>
        <v>483</v>
      </c>
      <c r="H999">
        <f t="array" ref="H999">COUNTIF(A:A,A999)</f>
        <v>9</v>
      </c>
      <c r="I999">
        <f t="array" ref="I999">SUMIF(A:A,A999,F:F)</f>
        <v>45883.96</v>
      </c>
      <c r="J999">
        <f t="array" ref="J999">5 - INT(5 * (RANK(G999,G:G, 1) - 1) / COUNT(G:G))</f>
        <v>2</v>
      </c>
      <c r="K999">
        <f t="array" ref="K999">INT(5 * (RANK(H999,H:H, 0) - 1) / COUNT(H:H)) + 1</f>
        <v>2</v>
      </c>
      <c r="L999">
        <f t="array" ref="L999">INT(5 * (RANK(I999,I:I, 0) - 1) / COUNT(I:I)) + 1</f>
        <v>1</v>
      </c>
      <c r="M999" t="str">
        <f t="shared" si="30"/>
        <v>221</v>
      </c>
      <c r="N999" s="6" t="str">
        <f t="shared" si="31"/>
        <v>Lost</v>
      </c>
    </row>
    <row r="1000" spans="1:14" x14ac:dyDescent="0.35">
      <c r="A1000">
        <v>1077</v>
      </c>
      <c r="B1000" s="4">
        <v>45653.375085336993</v>
      </c>
      <c r="C1000" t="s">
        <v>12</v>
      </c>
      <c r="D1000" t="s">
        <v>18</v>
      </c>
      <c r="E1000" t="s">
        <v>24</v>
      </c>
      <c r="F1000">
        <v>4992.54</v>
      </c>
      <c r="G1000">
        <f t="array" ref="G1000">SalesData!$I$2 - 'RFM Table'!B1000</f>
        <v>483</v>
      </c>
      <c r="H1000">
        <f t="array" ref="H1000">COUNTIF(A:A,A1000)</f>
        <v>8</v>
      </c>
      <c r="I1000">
        <f t="array" ref="I1000">SUMIF(A:A,A1000,F:F)</f>
        <v>28309.71</v>
      </c>
      <c r="J1000">
        <f t="array" ref="J1000">5 - INT(5 * (RANK(G1000,G:G, 1) - 1) / COUNT(G:G))</f>
        <v>2</v>
      </c>
      <c r="K1000">
        <f t="array" ref="K1000">INT(5 * (RANK(H1000,H:H, 0) - 1) / COUNT(H:H)) + 1</f>
        <v>3</v>
      </c>
      <c r="L1000">
        <f t="array" ref="L1000">INT(5 * (RANK(I1000,I:I, 0) - 1) / COUNT(I:I)) + 1</f>
        <v>4</v>
      </c>
      <c r="M1000" t="str">
        <f t="shared" si="30"/>
        <v>234</v>
      </c>
      <c r="N1000" s="6" t="str">
        <f t="shared" si="31"/>
        <v>At Risk</v>
      </c>
    </row>
    <row r="1001" spans="1:14" x14ac:dyDescent="0.35">
      <c r="A1001">
        <v>1132</v>
      </c>
      <c r="B1001" s="4">
        <v>45654.375085336993</v>
      </c>
      <c r="C1001" t="s">
        <v>6</v>
      </c>
      <c r="D1001" t="s">
        <v>18</v>
      </c>
      <c r="E1001" t="s">
        <v>24</v>
      </c>
      <c r="F1001">
        <v>5769.52</v>
      </c>
      <c r="G1001">
        <f t="array" ref="G1001">SalesData!$I$2 - 'RFM Table'!B1001</f>
        <v>482</v>
      </c>
      <c r="H1001">
        <f t="array" ref="H1001">COUNTIF(A:A,A1001)</f>
        <v>11</v>
      </c>
      <c r="I1001">
        <f t="array" ref="I1001">SUMIF(A:A,A1001,F:F)</f>
        <v>52771.959999999992</v>
      </c>
      <c r="J1001">
        <f t="array" ref="J1001">5 - INT(5 * (RANK(G1001,G:G, 1) - 1) / COUNT(G:G))</f>
        <v>2</v>
      </c>
      <c r="K1001">
        <f t="array" ref="K1001">INT(5 * (RANK(H1001,H:H, 0) - 1) / COUNT(H:H)) + 1</f>
        <v>1</v>
      </c>
      <c r="L1001">
        <f t="array" ref="L1001">INT(5 * (RANK(I1001,I:I, 0) - 1) / COUNT(I:I)) + 1</f>
        <v>1</v>
      </c>
      <c r="M1001" t="str">
        <f t="shared" si="30"/>
        <v>211</v>
      </c>
      <c r="N1001" s="6" t="str">
        <f t="shared" si="31"/>
        <v>Lost</v>
      </c>
    </row>
    <row r="1002" spans="1:14" x14ac:dyDescent="0.35">
      <c r="A1002">
        <v>1279</v>
      </c>
      <c r="B1002" s="4">
        <v>45655.375085336993</v>
      </c>
      <c r="C1002" t="s">
        <v>8</v>
      </c>
      <c r="D1002" t="s">
        <v>19</v>
      </c>
      <c r="E1002" t="s">
        <v>25</v>
      </c>
      <c r="F1002">
        <v>1018.46</v>
      </c>
      <c r="G1002">
        <f t="array" ref="G1002">SalesData!$I$2 - 'RFM Table'!B1002</f>
        <v>481</v>
      </c>
      <c r="H1002">
        <f t="array" ref="H1002">COUNTIF(A:A,A1002)</f>
        <v>8</v>
      </c>
      <c r="I1002">
        <f t="array" ref="I1002">SUMIF(A:A,A1002,F:F)</f>
        <v>28833.759999999998</v>
      </c>
      <c r="J1002">
        <f t="array" ref="J1002">5 - INT(5 * (RANK(G1002,G:G, 1) - 1) / COUNT(G:G))</f>
        <v>2</v>
      </c>
      <c r="K1002">
        <f t="array" ref="K1002">INT(5 * (RANK(H1002,H:H, 0) - 1) / COUNT(H:H)) + 1</f>
        <v>3</v>
      </c>
      <c r="L1002">
        <f t="array" ref="L1002">INT(5 * (RANK(I1002,I:I, 0) - 1) / COUNT(I:I)) + 1</f>
        <v>4</v>
      </c>
      <c r="M1002" t="str">
        <f t="shared" si="30"/>
        <v>234</v>
      </c>
      <c r="N1002" s="6" t="str">
        <f t="shared" si="31"/>
        <v>At Risk</v>
      </c>
    </row>
    <row r="1003" spans="1:14" x14ac:dyDescent="0.35">
      <c r="A1003">
        <v>1101</v>
      </c>
      <c r="B1003" s="4">
        <v>45655.375085336993</v>
      </c>
      <c r="C1003" t="s">
        <v>14</v>
      </c>
      <c r="D1003" t="s">
        <v>16</v>
      </c>
      <c r="E1003" t="s">
        <v>23</v>
      </c>
      <c r="F1003">
        <v>3330.36</v>
      </c>
      <c r="G1003">
        <f t="array" ref="G1003">SalesData!$I$2 - 'RFM Table'!B1003</f>
        <v>481</v>
      </c>
      <c r="H1003">
        <f t="array" ref="H1003">COUNTIF(A:A,A1003)</f>
        <v>7</v>
      </c>
      <c r="I1003">
        <f t="array" ref="I1003">SUMIF(A:A,A1003,F:F)</f>
        <v>27512.969999999998</v>
      </c>
      <c r="J1003">
        <f t="array" ref="J1003">5 - INT(5 * (RANK(G1003,G:G, 1) - 1) / COUNT(G:G))</f>
        <v>2</v>
      </c>
      <c r="K1003">
        <f t="array" ref="K1003">INT(5 * (RANK(H1003,H:H, 0) - 1) / COUNT(H:H)) + 1</f>
        <v>4</v>
      </c>
      <c r="L1003">
        <f t="array" ref="L1003">INT(5 * (RANK(I1003,I:I, 0) - 1) / COUNT(I:I)) + 1</f>
        <v>4</v>
      </c>
      <c r="M1003" t="str">
        <f t="shared" si="30"/>
        <v>244</v>
      </c>
      <c r="N1003" s="6" t="str">
        <f t="shared" si="31"/>
        <v>At Risk</v>
      </c>
    </row>
    <row r="1004" spans="1:14" x14ac:dyDescent="0.35">
      <c r="A1004">
        <v>1343</v>
      </c>
      <c r="B1004" s="4">
        <v>45655.375085336993</v>
      </c>
      <c r="C1004" t="s">
        <v>15</v>
      </c>
      <c r="D1004" t="s">
        <v>20</v>
      </c>
      <c r="E1004" t="s">
        <v>23</v>
      </c>
      <c r="F1004">
        <v>1384.75</v>
      </c>
      <c r="G1004">
        <f t="array" ref="G1004">SalesData!$I$2 - 'RFM Table'!B1004</f>
        <v>481</v>
      </c>
      <c r="H1004">
        <f t="array" ref="H1004">COUNTIF(A:A,A1004)</f>
        <v>9</v>
      </c>
      <c r="I1004">
        <f t="array" ref="I1004">SUMIF(A:A,A1004,F:F)</f>
        <v>40117.730000000003</v>
      </c>
      <c r="J1004">
        <f t="array" ref="J1004">5 - INT(5 * (RANK(G1004,G:G, 1) - 1) / COUNT(G:G))</f>
        <v>2</v>
      </c>
      <c r="K1004">
        <f t="array" ref="K1004">INT(5 * (RANK(H1004,H:H, 0) - 1) / COUNT(H:H)) + 1</f>
        <v>2</v>
      </c>
      <c r="L1004">
        <f t="array" ref="L1004">INT(5 * (RANK(I1004,I:I, 0) - 1) / COUNT(I:I)) + 1</f>
        <v>2</v>
      </c>
      <c r="M1004" t="str">
        <f t="shared" si="30"/>
        <v>222</v>
      </c>
      <c r="N1004" s="6" t="str">
        <f t="shared" si="31"/>
        <v>Lost</v>
      </c>
    </row>
    <row r="1005" spans="1:14" x14ac:dyDescent="0.35">
      <c r="A1005">
        <v>1165</v>
      </c>
      <c r="B1005" s="4">
        <v>45655.375085336993</v>
      </c>
      <c r="C1005" t="s">
        <v>6</v>
      </c>
      <c r="D1005" t="s">
        <v>22</v>
      </c>
      <c r="E1005" t="s">
        <v>25</v>
      </c>
      <c r="F1005">
        <v>1533.78</v>
      </c>
      <c r="G1005">
        <f t="array" ref="G1005">SalesData!$I$2 - 'RFM Table'!B1005</f>
        <v>481</v>
      </c>
      <c r="H1005">
        <f t="array" ref="H1005">COUNTIF(A:A,A1005)</f>
        <v>6</v>
      </c>
      <c r="I1005">
        <f t="array" ref="I1005">SUMIF(A:A,A1005,F:F)</f>
        <v>25394.229999999996</v>
      </c>
      <c r="J1005">
        <f t="array" ref="J1005">5 - INT(5 * (RANK(G1005,G:G, 1) - 1) / COUNT(G:G))</f>
        <v>2</v>
      </c>
      <c r="K1005">
        <f t="array" ref="K1005">INT(5 * (RANK(H1005,H:H, 0) - 1) / COUNT(H:H)) + 1</f>
        <v>4</v>
      </c>
      <c r="L1005">
        <f t="array" ref="L1005">INT(5 * (RANK(I1005,I:I, 0) - 1) / COUNT(I:I)) + 1</f>
        <v>4</v>
      </c>
      <c r="M1005" t="str">
        <f t="shared" si="30"/>
        <v>244</v>
      </c>
      <c r="N1005" s="6" t="str">
        <f t="shared" si="31"/>
        <v>At Risk</v>
      </c>
    </row>
    <row r="1006" spans="1:14" x14ac:dyDescent="0.35">
      <c r="A1006">
        <v>1278</v>
      </c>
      <c r="B1006" s="4">
        <v>45655.375085336993</v>
      </c>
      <c r="C1006" t="s">
        <v>11</v>
      </c>
      <c r="D1006" t="s">
        <v>19</v>
      </c>
      <c r="E1006" t="s">
        <v>24</v>
      </c>
      <c r="F1006">
        <v>6088.51</v>
      </c>
      <c r="G1006">
        <f t="array" ref="G1006">SalesData!$I$2 - 'RFM Table'!B1006</f>
        <v>481</v>
      </c>
      <c r="H1006">
        <f t="array" ref="H1006">COUNTIF(A:A,A1006)</f>
        <v>4</v>
      </c>
      <c r="I1006">
        <f t="array" ref="I1006">SUMIF(A:A,A1006,F:F)</f>
        <v>12855.77</v>
      </c>
      <c r="J1006">
        <f t="array" ref="J1006">5 - INT(5 * (RANK(G1006,G:G, 1) - 1) / COUNT(G:G))</f>
        <v>2</v>
      </c>
      <c r="K1006">
        <f t="array" ref="K1006">INT(5 * (RANK(H1006,H:H, 0) - 1) / COUNT(H:H)) + 1</f>
        <v>5</v>
      </c>
      <c r="L1006">
        <f t="array" ref="L1006">INT(5 * (RANK(I1006,I:I, 0) - 1) / COUNT(I:I)) + 1</f>
        <v>5</v>
      </c>
      <c r="M1006" t="str">
        <f t="shared" si="30"/>
        <v>255</v>
      </c>
      <c r="N1006" s="6" t="str">
        <f t="shared" si="31"/>
        <v>At Risk</v>
      </c>
    </row>
    <row r="1007" spans="1:14" x14ac:dyDescent="0.35">
      <c r="A1007">
        <v>1174</v>
      </c>
      <c r="B1007" s="4">
        <v>45656.375085336993</v>
      </c>
      <c r="C1007" t="s">
        <v>9</v>
      </c>
      <c r="D1007" t="s">
        <v>20</v>
      </c>
      <c r="E1007" t="s">
        <v>25</v>
      </c>
      <c r="F1007">
        <v>3569.86</v>
      </c>
      <c r="G1007">
        <f t="array" ref="G1007">SalesData!$I$2 - 'RFM Table'!B1007</f>
        <v>480</v>
      </c>
      <c r="H1007">
        <f t="array" ref="H1007">COUNTIF(A:A,A1007)</f>
        <v>7</v>
      </c>
      <c r="I1007">
        <f t="array" ref="I1007">SUMIF(A:A,A1007,F:F)</f>
        <v>28777.9</v>
      </c>
      <c r="J1007">
        <f t="array" ref="J1007">5 - INT(5 * (RANK(G1007,G:G, 1) - 1) / COUNT(G:G))</f>
        <v>2</v>
      </c>
      <c r="K1007">
        <f t="array" ref="K1007">INT(5 * (RANK(H1007,H:H, 0) - 1) / COUNT(H:H)) + 1</f>
        <v>4</v>
      </c>
      <c r="L1007">
        <f t="array" ref="L1007">INT(5 * (RANK(I1007,I:I, 0) - 1) / COUNT(I:I)) + 1</f>
        <v>4</v>
      </c>
      <c r="M1007" t="str">
        <f t="shared" si="30"/>
        <v>244</v>
      </c>
      <c r="N1007" s="6" t="str">
        <f t="shared" si="31"/>
        <v>At Risk</v>
      </c>
    </row>
    <row r="1008" spans="1:14" x14ac:dyDescent="0.35">
      <c r="A1008">
        <v>1110</v>
      </c>
      <c r="B1008" s="4">
        <v>45656.375085336993</v>
      </c>
      <c r="C1008" t="s">
        <v>11</v>
      </c>
      <c r="D1008" t="s">
        <v>22</v>
      </c>
      <c r="E1008" t="s">
        <v>23</v>
      </c>
      <c r="F1008">
        <v>6269.78</v>
      </c>
      <c r="G1008">
        <f t="array" ref="G1008">SalesData!$I$2 - 'RFM Table'!B1008</f>
        <v>480</v>
      </c>
      <c r="H1008">
        <f t="array" ref="H1008">COUNTIF(A:A,A1008)</f>
        <v>13</v>
      </c>
      <c r="I1008">
        <f t="array" ref="I1008">SUMIF(A:A,A1008,F:F)</f>
        <v>72511.88</v>
      </c>
      <c r="J1008">
        <f t="array" ref="J1008">5 - INT(5 * (RANK(G1008,G:G, 1) - 1) / COUNT(G:G))</f>
        <v>2</v>
      </c>
      <c r="K1008">
        <f t="array" ref="K1008">INT(5 * (RANK(H1008,H:H, 0) - 1) / COUNT(H:H)) + 1</f>
        <v>1</v>
      </c>
      <c r="L1008">
        <f t="array" ref="L1008">INT(5 * (RANK(I1008,I:I, 0) - 1) / COUNT(I:I)) + 1</f>
        <v>1</v>
      </c>
      <c r="M1008" t="str">
        <f t="shared" si="30"/>
        <v>211</v>
      </c>
      <c r="N1008" s="6" t="str">
        <f t="shared" si="31"/>
        <v>Lost</v>
      </c>
    </row>
    <row r="1009" spans="1:14" x14ac:dyDescent="0.35">
      <c r="A1009">
        <v>1316</v>
      </c>
      <c r="B1009" s="4">
        <v>45656.375085336993</v>
      </c>
      <c r="C1009" t="s">
        <v>12</v>
      </c>
      <c r="D1009" t="s">
        <v>21</v>
      </c>
      <c r="E1009" t="s">
        <v>25</v>
      </c>
      <c r="F1009">
        <v>5514.57</v>
      </c>
      <c r="G1009">
        <f t="array" ref="G1009">SalesData!$I$2 - 'RFM Table'!B1009</f>
        <v>480</v>
      </c>
      <c r="H1009">
        <f t="array" ref="H1009">COUNTIF(A:A,A1009)</f>
        <v>5</v>
      </c>
      <c r="I1009">
        <f t="array" ref="I1009">SUMIF(A:A,A1009,F:F)</f>
        <v>20246.7</v>
      </c>
      <c r="J1009">
        <f t="array" ref="J1009">5 - INT(5 * (RANK(G1009,G:G, 1) - 1) / COUNT(G:G))</f>
        <v>2</v>
      </c>
      <c r="K1009">
        <f t="array" ref="K1009">INT(5 * (RANK(H1009,H:H, 0) - 1) / COUNT(H:H)) + 1</f>
        <v>5</v>
      </c>
      <c r="L1009">
        <f t="array" ref="L1009">INT(5 * (RANK(I1009,I:I, 0) - 1) / COUNT(I:I)) + 1</f>
        <v>5</v>
      </c>
      <c r="M1009" t="str">
        <f t="shared" si="30"/>
        <v>255</v>
      </c>
      <c r="N1009" s="6" t="str">
        <f t="shared" si="31"/>
        <v>At Risk</v>
      </c>
    </row>
    <row r="1010" spans="1:14" x14ac:dyDescent="0.35">
      <c r="A1010">
        <v>1215</v>
      </c>
      <c r="B1010" s="4">
        <v>45657.375085336993</v>
      </c>
      <c r="C1010" t="s">
        <v>13</v>
      </c>
      <c r="D1010" t="s">
        <v>19</v>
      </c>
      <c r="E1010" t="s">
        <v>25</v>
      </c>
      <c r="F1010">
        <v>494.94</v>
      </c>
      <c r="G1010">
        <f t="array" ref="G1010">SalesData!$I$2 - 'RFM Table'!B1010</f>
        <v>479</v>
      </c>
      <c r="H1010">
        <f t="array" ref="H1010">COUNTIF(A:A,A1010)</f>
        <v>9</v>
      </c>
      <c r="I1010">
        <f t="array" ref="I1010">SUMIF(A:A,A1010,F:F)</f>
        <v>26752.640000000003</v>
      </c>
      <c r="J1010">
        <f t="array" ref="J1010">5 - INT(5 * (RANK(G1010,G:G, 1) - 1) / COUNT(G:G))</f>
        <v>2</v>
      </c>
      <c r="K1010">
        <f t="array" ref="K1010">INT(5 * (RANK(H1010,H:H, 0) - 1) / COUNT(H:H)) + 1</f>
        <v>2</v>
      </c>
      <c r="L1010">
        <f t="array" ref="L1010">INT(5 * (RANK(I1010,I:I, 0) - 1) / COUNT(I:I)) + 1</f>
        <v>4</v>
      </c>
      <c r="M1010" t="str">
        <f t="shared" si="30"/>
        <v>224</v>
      </c>
      <c r="N1010" s="6" t="str">
        <f t="shared" si="31"/>
        <v>Can't Lose Them</v>
      </c>
    </row>
    <row r="1011" spans="1:14" x14ac:dyDescent="0.35">
      <c r="A1011">
        <v>1380</v>
      </c>
      <c r="B1011" s="4">
        <v>45657.375085336993</v>
      </c>
      <c r="C1011" t="s">
        <v>6</v>
      </c>
      <c r="D1011" t="s">
        <v>17</v>
      </c>
      <c r="E1011" t="s">
        <v>25</v>
      </c>
      <c r="F1011">
        <v>5130.17</v>
      </c>
      <c r="G1011">
        <f t="array" ref="G1011">SalesData!$I$2 - 'RFM Table'!B1011</f>
        <v>479</v>
      </c>
      <c r="H1011">
        <f t="array" ref="H1011">COUNTIF(A:A,A1011)</f>
        <v>9</v>
      </c>
      <c r="I1011">
        <f t="array" ref="I1011">SUMIF(A:A,A1011,F:F)</f>
        <v>40711.57</v>
      </c>
      <c r="J1011">
        <f t="array" ref="J1011">5 - INT(5 * (RANK(G1011,G:G, 1) - 1) / COUNT(G:G))</f>
        <v>2</v>
      </c>
      <c r="K1011">
        <f t="array" ref="K1011">INT(5 * (RANK(H1011,H:H, 0) - 1) / COUNT(H:H)) + 1</f>
        <v>2</v>
      </c>
      <c r="L1011">
        <f t="array" ref="L1011">INT(5 * (RANK(I1011,I:I, 0) - 1) / COUNT(I:I)) + 1</f>
        <v>2</v>
      </c>
      <c r="M1011" t="str">
        <f t="shared" si="30"/>
        <v>222</v>
      </c>
      <c r="N1011" s="6" t="str">
        <f t="shared" si="31"/>
        <v>Lost</v>
      </c>
    </row>
    <row r="1012" spans="1:14" x14ac:dyDescent="0.35">
      <c r="A1012">
        <v>1281</v>
      </c>
      <c r="B1012" s="4">
        <v>45657.375085336993</v>
      </c>
      <c r="C1012" t="s">
        <v>14</v>
      </c>
      <c r="D1012" t="s">
        <v>21</v>
      </c>
      <c r="E1012" t="s">
        <v>23</v>
      </c>
      <c r="F1012">
        <v>4651.29</v>
      </c>
      <c r="G1012">
        <f t="array" ref="G1012">SalesData!$I$2 - 'RFM Table'!B1012</f>
        <v>479</v>
      </c>
      <c r="H1012">
        <f t="array" ref="H1012">COUNTIF(A:A,A1012)</f>
        <v>10</v>
      </c>
      <c r="I1012">
        <f t="array" ref="I1012">SUMIF(A:A,A1012,F:F)</f>
        <v>49420.710000000006</v>
      </c>
      <c r="J1012">
        <f t="array" ref="J1012">5 - INT(5 * (RANK(G1012,G:G, 1) - 1) / COUNT(G:G))</f>
        <v>2</v>
      </c>
      <c r="K1012">
        <f t="array" ref="K1012">INT(5 * (RANK(H1012,H:H, 0) - 1) / COUNT(H:H)) + 1</f>
        <v>2</v>
      </c>
      <c r="L1012">
        <f t="array" ref="L1012">INT(5 * (RANK(I1012,I:I, 0) - 1) / COUNT(I:I)) + 1</f>
        <v>1</v>
      </c>
      <c r="M1012" t="str">
        <f t="shared" si="30"/>
        <v>221</v>
      </c>
      <c r="N1012" s="6" t="str">
        <f t="shared" si="31"/>
        <v>Lost</v>
      </c>
    </row>
    <row r="1013" spans="1:14" x14ac:dyDescent="0.35">
      <c r="A1013">
        <v>1149</v>
      </c>
      <c r="B1013" s="4">
        <v>45657.375085336993</v>
      </c>
      <c r="C1013" t="s">
        <v>6</v>
      </c>
      <c r="D1013" t="s">
        <v>17</v>
      </c>
      <c r="E1013" t="s">
        <v>25</v>
      </c>
      <c r="F1013">
        <v>3094.98</v>
      </c>
      <c r="G1013">
        <f t="array" ref="G1013">SalesData!$I$2 - 'RFM Table'!B1013</f>
        <v>479</v>
      </c>
      <c r="H1013">
        <f t="array" ref="H1013">COUNTIF(A:A,A1013)</f>
        <v>8</v>
      </c>
      <c r="I1013">
        <f t="array" ref="I1013">SUMIF(A:A,A1013,F:F)</f>
        <v>22978.19</v>
      </c>
      <c r="J1013">
        <f t="array" ref="J1013">5 - INT(5 * (RANK(G1013,G:G, 1) - 1) / COUNT(G:G))</f>
        <v>2</v>
      </c>
      <c r="K1013">
        <f t="array" ref="K1013">INT(5 * (RANK(H1013,H:H, 0) - 1) / COUNT(H:H)) + 1</f>
        <v>3</v>
      </c>
      <c r="L1013">
        <f t="array" ref="L1013">INT(5 * (RANK(I1013,I:I, 0) - 1) / COUNT(I:I)) + 1</f>
        <v>4</v>
      </c>
      <c r="M1013" t="str">
        <f t="shared" si="30"/>
        <v>234</v>
      </c>
      <c r="N1013" s="6" t="str">
        <f t="shared" si="31"/>
        <v>At Risk</v>
      </c>
    </row>
    <row r="1014" spans="1:14" x14ac:dyDescent="0.35">
      <c r="A1014">
        <v>1235</v>
      </c>
      <c r="B1014" s="4">
        <v>45658.375085336993</v>
      </c>
      <c r="C1014" t="s">
        <v>13</v>
      </c>
      <c r="D1014" t="s">
        <v>21</v>
      </c>
      <c r="E1014" t="s">
        <v>25</v>
      </c>
      <c r="F1014">
        <v>4436.8100000000004</v>
      </c>
      <c r="G1014">
        <f t="array" ref="G1014">SalesData!$I$2 - 'RFM Table'!B1014</f>
        <v>478</v>
      </c>
      <c r="H1014">
        <f t="array" ref="H1014">COUNTIF(A:A,A1014)</f>
        <v>9</v>
      </c>
      <c r="I1014">
        <f t="array" ref="I1014">SUMIF(A:A,A1014,F:F)</f>
        <v>30846.7</v>
      </c>
      <c r="J1014">
        <f t="array" ref="J1014">5 - INT(5 * (RANK(G1014,G:G, 1) - 1) / COUNT(G:G))</f>
        <v>2</v>
      </c>
      <c r="K1014">
        <f t="array" ref="K1014">INT(5 * (RANK(H1014,H:H, 0) - 1) / COUNT(H:H)) + 1</f>
        <v>2</v>
      </c>
      <c r="L1014">
        <f t="array" ref="L1014">INT(5 * (RANK(I1014,I:I, 0) - 1) / COUNT(I:I)) + 1</f>
        <v>3</v>
      </c>
      <c r="M1014" t="str">
        <f t="shared" si="30"/>
        <v>223</v>
      </c>
      <c r="N1014" s="6" t="str">
        <f t="shared" si="31"/>
        <v>Can't Lose Them</v>
      </c>
    </row>
    <row r="1015" spans="1:14" x14ac:dyDescent="0.35">
      <c r="A1015">
        <v>1381</v>
      </c>
      <c r="B1015" s="4">
        <v>45658.375085336993</v>
      </c>
      <c r="C1015" t="s">
        <v>6</v>
      </c>
      <c r="D1015" t="s">
        <v>21</v>
      </c>
      <c r="E1015" t="s">
        <v>24</v>
      </c>
      <c r="F1015">
        <v>4598.88</v>
      </c>
      <c r="G1015">
        <f t="array" ref="G1015">SalesData!$I$2 - 'RFM Table'!B1015</f>
        <v>478</v>
      </c>
      <c r="H1015">
        <f t="array" ref="H1015">COUNTIF(A:A,A1015)</f>
        <v>7</v>
      </c>
      <c r="I1015">
        <f t="array" ref="I1015">SUMIF(A:A,A1015,F:F)</f>
        <v>32953.599999999999</v>
      </c>
      <c r="J1015">
        <f t="array" ref="J1015">5 - INT(5 * (RANK(G1015,G:G, 1) - 1) / COUNT(G:G))</f>
        <v>2</v>
      </c>
      <c r="K1015">
        <f t="array" ref="K1015">INT(5 * (RANK(H1015,H:H, 0) - 1) / COUNT(H:H)) + 1</f>
        <v>4</v>
      </c>
      <c r="L1015">
        <f t="array" ref="L1015">INT(5 * (RANK(I1015,I:I, 0) - 1) / COUNT(I:I)) + 1</f>
        <v>3</v>
      </c>
      <c r="M1015" t="str">
        <f t="shared" si="30"/>
        <v>243</v>
      </c>
      <c r="N1015" s="6" t="str">
        <f t="shared" si="31"/>
        <v>At Risk</v>
      </c>
    </row>
    <row r="1016" spans="1:14" x14ac:dyDescent="0.35">
      <c r="A1016">
        <v>1287</v>
      </c>
      <c r="B1016" s="4">
        <v>45659.375085336993</v>
      </c>
      <c r="C1016" t="s">
        <v>13</v>
      </c>
      <c r="D1016" t="s">
        <v>22</v>
      </c>
      <c r="E1016" t="s">
        <v>25</v>
      </c>
      <c r="F1016">
        <v>6628.2</v>
      </c>
      <c r="G1016">
        <f t="array" ref="G1016">SalesData!$I$2 - 'RFM Table'!B1016</f>
        <v>477</v>
      </c>
      <c r="H1016">
        <f t="array" ref="H1016">COUNTIF(A:A,A1016)</f>
        <v>16</v>
      </c>
      <c r="I1016">
        <f t="array" ref="I1016">SUMIF(A:A,A1016,F:F)</f>
        <v>64716.249999999985</v>
      </c>
      <c r="J1016">
        <f t="array" ref="J1016">5 - INT(5 * (RANK(G1016,G:G, 1) - 1) / COUNT(G:G))</f>
        <v>2</v>
      </c>
      <c r="K1016">
        <f t="array" ref="K1016">INT(5 * (RANK(H1016,H:H, 0) - 1) / COUNT(H:H)) + 1</f>
        <v>1</v>
      </c>
      <c r="L1016">
        <f t="array" ref="L1016">INT(5 * (RANK(I1016,I:I, 0) - 1) / COUNT(I:I)) + 1</f>
        <v>1</v>
      </c>
      <c r="M1016" t="str">
        <f t="shared" si="30"/>
        <v>211</v>
      </c>
      <c r="N1016" s="6" t="str">
        <f t="shared" si="31"/>
        <v>Lost</v>
      </c>
    </row>
    <row r="1017" spans="1:14" x14ac:dyDescent="0.35">
      <c r="A1017">
        <v>1314</v>
      </c>
      <c r="B1017" s="4">
        <v>45659.375085336993</v>
      </c>
      <c r="C1017" t="s">
        <v>6</v>
      </c>
      <c r="D1017" t="s">
        <v>18</v>
      </c>
      <c r="E1017" t="s">
        <v>25</v>
      </c>
      <c r="F1017">
        <v>2719.02</v>
      </c>
      <c r="G1017">
        <f t="array" ref="G1017">SalesData!$I$2 - 'RFM Table'!B1017</f>
        <v>477</v>
      </c>
      <c r="H1017">
        <f t="array" ref="H1017">COUNTIF(A:A,A1017)</f>
        <v>5</v>
      </c>
      <c r="I1017">
        <f t="array" ref="I1017">SUMIF(A:A,A1017,F:F)</f>
        <v>24865.420000000002</v>
      </c>
      <c r="J1017">
        <f t="array" ref="J1017">5 - INT(5 * (RANK(G1017,G:G, 1) - 1) / COUNT(G:G))</f>
        <v>2</v>
      </c>
      <c r="K1017">
        <f t="array" ref="K1017">INT(5 * (RANK(H1017,H:H, 0) - 1) / COUNT(H:H)) + 1</f>
        <v>5</v>
      </c>
      <c r="L1017">
        <f t="array" ref="L1017">INT(5 * (RANK(I1017,I:I, 0) - 1) / COUNT(I:I)) + 1</f>
        <v>4</v>
      </c>
      <c r="M1017" t="str">
        <f t="shared" si="30"/>
        <v>254</v>
      </c>
      <c r="N1017" s="6" t="str">
        <f t="shared" si="31"/>
        <v>At Risk</v>
      </c>
    </row>
    <row r="1018" spans="1:14" x14ac:dyDescent="0.35">
      <c r="A1018">
        <v>1264</v>
      </c>
      <c r="B1018" s="4">
        <v>45659.375085336993</v>
      </c>
      <c r="C1018" t="s">
        <v>11</v>
      </c>
      <c r="D1018" t="s">
        <v>18</v>
      </c>
      <c r="E1018" t="s">
        <v>25</v>
      </c>
      <c r="F1018">
        <v>8628.0400000000009</v>
      </c>
      <c r="G1018">
        <f t="array" ref="G1018">SalesData!$I$2 - 'RFM Table'!B1018</f>
        <v>477</v>
      </c>
      <c r="H1018">
        <f t="array" ref="H1018">COUNTIF(A:A,A1018)</f>
        <v>4</v>
      </c>
      <c r="I1018">
        <f t="array" ref="I1018">SUMIF(A:A,A1018,F:F)</f>
        <v>16880.16</v>
      </c>
      <c r="J1018">
        <f t="array" ref="J1018">5 - INT(5 * (RANK(G1018,G:G, 1) - 1) / COUNT(G:G))</f>
        <v>2</v>
      </c>
      <c r="K1018">
        <f t="array" ref="K1018">INT(5 * (RANK(H1018,H:H, 0) - 1) / COUNT(H:H)) + 1</f>
        <v>5</v>
      </c>
      <c r="L1018">
        <f t="array" ref="L1018">INT(5 * (RANK(I1018,I:I, 0) - 1) / COUNT(I:I)) + 1</f>
        <v>5</v>
      </c>
      <c r="M1018" t="str">
        <f t="shared" si="30"/>
        <v>255</v>
      </c>
      <c r="N1018" s="6" t="str">
        <f t="shared" si="31"/>
        <v>At Risk</v>
      </c>
    </row>
    <row r="1019" spans="1:14" x14ac:dyDescent="0.35">
      <c r="A1019">
        <v>1196</v>
      </c>
      <c r="B1019" s="4">
        <v>45659.375085336993</v>
      </c>
      <c r="C1019" t="s">
        <v>11</v>
      </c>
      <c r="D1019" t="s">
        <v>18</v>
      </c>
      <c r="E1019" t="s">
        <v>25</v>
      </c>
      <c r="F1019">
        <v>7953.45</v>
      </c>
      <c r="G1019">
        <f t="array" ref="G1019">SalesData!$I$2 - 'RFM Table'!B1019</f>
        <v>477</v>
      </c>
      <c r="H1019">
        <f t="array" ref="H1019">COUNTIF(A:A,A1019)</f>
        <v>3</v>
      </c>
      <c r="I1019">
        <f t="array" ref="I1019">SUMIF(A:A,A1019,F:F)</f>
        <v>17686.849999999999</v>
      </c>
      <c r="J1019">
        <f t="array" ref="J1019">5 - INT(5 * (RANK(G1019,G:G, 1) - 1) / COUNT(G:G))</f>
        <v>2</v>
      </c>
      <c r="K1019">
        <f t="array" ref="K1019">INT(5 * (RANK(H1019,H:H, 0) - 1) / COUNT(H:H)) + 1</f>
        <v>5</v>
      </c>
      <c r="L1019">
        <f t="array" ref="L1019">INT(5 * (RANK(I1019,I:I, 0) - 1) / COUNT(I:I)) + 1</f>
        <v>5</v>
      </c>
      <c r="M1019" t="str">
        <f t="shared" si="30"/>
        <v>255</v>
      </c>
      <c r="N1019" s="6" t="str">
        <f t="shared" si="31"/>
        <v>At Risk</v>
      </c>
    </row>
    <row r="1020" spans="1:14" x14ac:dyDescent="0.35">
      <c r="A1020">
        <v>1131</v>
      </c>
      <c r="B1020" s="4">
        <v>45660.375085336993</v>
      </c>
      <c r="C1020" t="s">
        <v>12</v>
      </c>
      <c r="D1020" t="s">
        <v>22</v>
      </c>
      <c r="E1020" t="s">
        <v>23</v>
      </c>
      <c r="F1020">
        <v>1894.72</v>
      </c>
      <c r="G1020">
        <f t="array" ref="G1020">SalesData!$I$2 - 'RFM Table'!B1020</f>
        <v>476</v>
      </c>
      <c r="H1020">
        <f t="array" ref="H1020">COUNTIF(A:A,A1020)</f>
        <v>7</v>
      </c>
      <c r="I1020">
        <f t="array" ref="I1020">SUMIF(A:A,A1020,F:F)</f>
        <v>38080.880000000005</v>
      </c>
      <c r="J1020">
        <f t="array" ref="J1020">5 - INT(5 * (RANK(G1020,G:G, 1) - 1) / COUNT(G:G))</f>
        <v>2</v>
      </c>
      <c r="K1020">
        <f t="array" ref="K1020">INT(5 * (RANK(H1020,H:H, 0) - 1) / COUNT(H:H)) + 1</f>
        <v>4</v>
      </c>
      <c r="L1020">
        <f t="array" ref="L1020">INT(5 * (RANK(I1020,I:I, 0) - 1) / COUNT(I:I)) + 1</f>
        <v>2</v>
      </c>
      <c r="M1020" t="str">
        <f t="shared" si="30"/>
        <v>242</v>
      </c>
      <c r="N1020" s="6" t="str">
        <f t="shared" si="31"/>
        <v>Others</v>
      </c>
    </row>
    <row r="1021" spans="1:14" x14ac:dyDescent="0.35">
      <c r="A1021">
        <v>1105</v>
      </c>
      <c r="B1021" s="4">
        <v>45660.375085336993</v>
      </c>
      <c r="C1021" t="s">
        <v>11</v>
      </c>
      <c r="D1021" t="s">
        <v>18</v>
      </c>
      <c r="E1021" t="s">
        <v>23</v>
      </c>
      <c r="F1021">
        <v>2473.7800000000002</v>
      </c>
      <c r="G1021">
        <f t="array" ref="G1021">SalesData!$I$2 - 'RFM Table'!B1021</f>
        <v>476</v>
      </c>
      <c r="H1021">
        <f t="array" ref="H1021">COUNTIF(A:A,A1021)</f>
        <v>7</v>
      </c>
      <c r="I1021">
        <f t="array" ref="I1021">SUMIF(A:A,A1021,F:F)</f>
        <v>24539.160000000003</v>
      </c>
      <c r="J1021">
        <f t="array" ref="J1021">5 - INT(5 * (RANK(G1021,G:G, 1) - 1) / COUNT(G:G))</f>
        <v>2</v>
      </c>
      <c r="K1021">
        <f t="array" ref="K1021">INT(5 * (RANK(H1021,H:H, 0) - 1) / COUNT(H:H)) + 1</f>
        <v>4</v>
      </c>
      <c r="L1021">
        <f t="array" ref="L1021">INT(5 * (RANK(I1021,I:I, 0) - 1) / COUNT(I:I)) + 1</f>
        <v>4</v>
      </c>
      <c r="M1021" t="str">
        <f t="shared" si="30"/>
        <v>244</v>
      </c>
      <c r="N1021" s="6" t="str">
        <f t="shared" si="31"/>
        <v>At Risk</v>
      </c>
    </row>
    <row r="1022" spans="1:14" x14ac:dyDescent="0.35">
      <c r="A1022">
        <v>1312</v>
      </c>
      <c r="B1022" s="4">
        <v>45660.375085336993</v>
      </c>
      <c r="C1022" t="s">
        <v>12</v>
      </c>
      <c r="D1022" t="s">
        <v>21</v>
      </c>
      <c r="E1022" t="s">
        <v>25</v>
      </c>
      <c r="F1022">
        <v>3684.99</v>
      </c>
      <c r="G1022">
        <f t="array" ref="G1022">SalesData!$I$2 - 'RFM Table'!B1022</f>
        <v>476</v>
      </c>
      <c r="H1022">
        <f t="array" ref="H1022">COUNTIF(A:A,A1022)</f>
        <v>8</v>
      </c>
      <c r="I1022">
        <f t="array" ref="I1022">SUMIF(A:A,A1022,F:F)</f>
        <v>31330.839999999997</v>
      </c>
      <c r="J1022">
        <f t="array" ref="J1022">5 - INT(5 * (RANK(G1022,G:G, 1) - 1) / COUNT(G:G))</f>
        <v>2</v>
      </c>
      <c r="K1022">
        <f t="array" ref="K1022">INT(5 * (RANK(H1022,H:H, 0) - 1) / COUNT(H:H)) + 1</f>
        <v>3</v>
      </c>
      <c r="L1022">
        <f t="array" ref="L1022">INT(5 * (RANK(I1022,I:I, 0) - 1) / COUNT(I:I)) + 1</f>
        <v>3</v>
      </c>
      <c r="M1022" t="str">
        <f t="shared" si="30"/>
        <v>233</v>
      </c>
      <c r="N1022" s="6" t="str">
        <f t="shared" si="31"/>
        <v>At Risk</v>
      </c>
    </row>
    <row r="1023" spans="1:14" x14ac:dyDescent="0.35">
      <c r="A1023">
        <v>1369</v>
      </c>
      <c r="B1023" s="4">
        <v>45661.375085336993</v>
      </c>
      <c r="C1023" t="s">
        <v>8</v>
      </c>
      <c r="D1023" t="s">
        <v>17</v>
      </c>
      <c r="E1023" t="s">
        <v>24</v>
      </c>
      <c r="F1023">
        <v>6088.06</v>
      </c>
      <c r="G1023">
        <f t="array" ref="G1023">SalesData!$I$2 - 'RFM Table'!B1023</f>
        <v>475</v>
      </c>
      <c r="H1023">
        <f t="array" ref="H1023">COUNTIF(A:A,A1023)</f>
        <v>6</v>
      </c>
      <c r="I1023">
        <f t="array" ref="I1023">SUMIF(A:A,A1023,F:F)</f>
        <v>32030.929999999997</v>
      </c>
      <c r="J1023">
        <f t="array" ref="J1023">5 - INT(5 * (RANK(G1023,G:G, 1) - 1) / COUNT(G:G))</f>
        <v>2</v>
      </c>
      <c r="K1023">
        <f t="array" ref="K1023">INT(5 * (RANK(H1023,H:H, 0) - 1) / COUNT(H:H)) + 1</f>
        <v>4</v>
      </c>
      <c r="L1023">
        <f t="array" ref="L1023">INT(5 * (RANK(I1023,I:I, 0) - 1) / COUNT(I:I)) + 1</f>
        <v>3</v>
      </c>
      <c r="M1023" t="str">
        <f t="shared" si="30"/>
        <v>243</v>
      </c>
      <c r="N1023" s="6" t="str">
        <f t="shared" si="31"/>
        <v>At Risk</v>
      </c>
    </row>
    <row r="1024" spans="1:14" x14ac:dyDescent="0.35">
      <c r="A1024">
        <v>1071</v>
      </c>
      <c r="B1024" s="4">
        <v>45661.375085336993</v>
      </c>
      <c r="C1024" t="s">
        <v>9</v>
      </c>
      <c r="D1024" t="s">
        <v>19</v>
      </c>
      <c r="E1024" t="s">
        <v>25</v>
      </c>
      <c r="F1024">
        <v>1047.77</v>
      </c>
      <c r="G1024">
        <f t="array" ref="G1024">SalesData!$I$2 - 'RFM Table'!B1024</f>
        <v>475</v>
      </c>
      <c r="H1024">
        <f t="array" ref="H1024">COUNTIF(A:A,A1024)</f>
        <v>8</v>
      </c>
      <c r="I1024">
        <f t="array" ref="I1024">SUMIF(A:A,A1024,F:F)</f>
        <v>28879.600000000002</v>
      </c>
      <c r="J1024">
        <f t="array" ref="J1024">5 - INT(5 * (RANK(G1024,G:G, 1) - 1) / COUNT(G:G))</f>
        <v>2</v>
      </c>
      <c r="K1024">
        <f t="array" ref="K1024">INT(5 * (RANK(H1024,H:H, 0) - 1) / COUNT(H:H)) + 1</f>
        <v>3</v>
      </c>
      <c r="L1024">
        <f t="array" ref="L1024">INT(5 * (RANK(I1024,I:I, 0) - 1) / COUNT(I:I)) + 1</f>
        <v>4</v>
      </c>
      <c r="M1024" t="str">
        <f t="shared" si="30"/>
        <v>234</v>
      </c>
      <c r="N1024" s="6" t="str">
        <f t="shared" si="31"/>
        <v>At Risk</v>
      </c>
    </row>
    <row r="1025" spans="1:14" x14ac:dyDescent="0.35">
      <c r="A1025">
        <v>1225</v>
      </c>
      <c r="B1025" s="4">
        <v>45661.375085336993</v>
      </c>
      <c r="C1025" t="s">
        <v>12</v>
      </c>
      <c r="D1025" t="s">
        <v>20</v>
      </c>
      <c r="E1025" t="s">
        <v>24</v>
      </c>
      <c r="F1025">
        <v>3022.4</v>
      </c>
      <c r="G1025">
        <f t="array" ref="G1025">SalesData!$I$2 - 'RFM Table'!B1025</f>
        <v>475</v>
      </c>
      <c r="H1025">
        <f t="array" ref="H1025">COUNTIF(A:A,A1025)</f>
        <v>12</v>
      </c>
      <c r="I1025">
        <f t="array" ref="I1025">SUMIF(A:A,A1025,F:F)</f>
        <v>42930.969999999994</v>
      </c>
      <c r="J1025">
        <f t="array" ref="J1025">5 - INT(5 * (RANK(G1025,G:G, 1) - 1) / COUNT(G:G))</f>
        <v>2</v>
      </c>
      <c r="K1025">
        <f t="array" ref="K1025">INT(5 * (RANK(H1025,H:H, 0) - 1) / COUNT(H:H)) + 1</f>
        <v>1</v>
      </c>
      <c r="L1025">
        <f t="array" ref="L1025">INT(5 * (RANK(I1025,I:I, 0) - 1) / COUNT(I:I)) + 1</f>
        <v>2</v>
      </c>
      <c r="M1025" t="str">
        <f t="shared" si="30"/>
        <v>212</v>
      </c>
      <c r="N1025" s="6" t="str">
        <f t="shared" si="31"/>
        <v>Lost</v>
      </c>
    </row>
    <row r="1026" spans="1:14" x14ac:dyDescent="0.35">
      <c r="A1026">
        <v>1328</v>
      </c>
      <c r="B1026" s="4">
        <v>45661.375085336993</v>
      </c>
      <c r="C1026" t="s">
        <v>10</v>
      </c>
      <c r="D1026" t="s">
        <v>17</v>
      </c>
      <c r="E1026" t="s">
        <v>23</v>
      </c>
      <c r="F1026">
        <v>3122.12</v>
      </c>
      <c r="G1026">
        <f t="array" ref="G1026">SalesData!$I$2 - 'RFM Table'!B1026</f>
        <v>475</v>
      </c>
      <c r="H1026">
        <f t="array" ref="H1026">COUNTIF(A:A,A1026)</f>
        <v>5</v>
      </c>
      <c r="I1026">
        <f t="array" ref="I1026">SUMIF(A:A,A1026,F:F)</f>
        <v>21621.77</v>
      </c>
      <c r="J1026">
        <f t="array" ref="J1026">5 - INT(5 * (RANK(G1026,G:G, 1) - 1) / COUNT(G:G))</f>
        <v>2</v>
      </c>
      <c r="K1026">
        <f t="array" ref="K1026">INT(5 * (RANK(H1026,H:H, 0) - 1) / COUNT(H:H)) + 1</f>
        <v>5</v>
      </c>
      <c r="L1026">
        <f t="array" ref="L1026">INT(5 * (RANK(I1026,I:I, 0) - 1) / COUNT(I:I)) + 1</f>
        <v>5</v>
      </c>
      <c r="M1026" t="str">
        <f t="shared" si="30"/>
        <v>255</v>
      </c>
      <c r="N1026" s="6" t="str">
        <f t="shared" si="31"/>
        <v>At Risk</v>
      </c>
    </row>
    <row r="1027" spans="1:14" x14ac:dyDescent="0.35">
      <c r="A1027">
        <v>1250</v>
      </c>
      <c r="B1027" s="4">
        <v>45661.375085336993</v>
      </c>
      <c r="C1027" t="s">
        <v>15</v>
      </c>
      <c r="D1027" t="s">
        <v>18</v>
      </c>
      <c r="E1027" t="s">
        <v>24</v>
      </c>
      <c r="F1027">
        <v>6090.06</v>
      </c>
      <c r="G1027">
        <f t="array" ref="G1027">SalesData!$I$2 - 'RFM Table'!B1027</f>
        <v>475</v>
      </c>
      <c r="H1027">
        <f t="array" ref="H1027">COUNTIF(A:A,A1027)</f>
        <v>9</v>
      </c>
      <c r="I1027">
        <f t="array" ref="I1027">SUMIF(A:A,A1027,F:F)</f>
        <v>36713.85</v>
      </c>
      <c r="J1027">
        <f t="array" ref="J1027">5 - INT(5 * (RANK(G1027,G:G, 1) - 1) / COUNT(G:G))</f>
        <v>2</v>
      </c>
      <c r="K1027">
        <f t="array" ref="K1027">INT(5 * (RANK(H1027,H:H, 0) - 1) / COUNT(H:H)) + 1</f>
        <v>2</v>
      </c>
      <c r="L1027">
        <f t="array" ref="L1027">INT(5 * (RANK(I1027,I:I, 0) - 1) / COUNT(I:I)) + 1</f>
        <v>3</v>
      </c>
      <c r="M1027" t="str">
        <f t="shared" ref="M1027:M1090" si="32">J1027 &amp; K1027 &amp; L1027</f>
        <v>223</v>
      </c>
      <c r="N1027" s="6" t="str">
        <f t="shared" ref="N1027:N1090" si="33">IF(AND(J1027&gt;=4,K1027&lt;=2),"New Customers",
IF(AND(J1027&lt;=2,K1027&gt;=3,L1027&gt;=3),"At Risk",
IF(AND(J1027&lt;=2,K1027&lt;=2,L1027&gt;=3),"Can't Lose Them",
IF(AND(J1027&lt;=2,K1027&lt;=2,L1027&lt;=2),"Lost",
"Others"))))</f>
        <v>Can't Lose Them</v>
      </c>
    </row>
    <row r="1028" spans="1:14" x14ac:dyDescent="0.35">
      <c r="A1028">
        <v>1094</v>
      </c>
      <c r="B1028" s="4">
        <v>45662.375085336993</v>
      </c>
      <c r="C1028" t="s">
        <v>7</v>
      </c>
      <c r="D1028" t="s">
        <v>20</v>
      </c>
      <c r="E1028" t="s">
        <v>24</v>
      </c>
      <c r="F1028">
        <v>2023.36</v>
      </c>
      <c r="G1028">
        <f t="array" ref="G1028">SalesData!$I$2 - 'RFM Table'!B1028</f>
        <v>474</v>
      </c>
      <c r="H1028">
        <f t="array" ref="H1028">COUNTIF(A:A,A1028)</f>
        <v>10</v>
      </c>
      <c r="I1028">
        <f t="array" ref="I1028">SUMIF(A:A,A1028,F:F)</f>
        <v>41704.25</v>
      </c>
      <c r="J1028">
        <f t="array" ref="J1028">5 - INT(5 * (RANK(G1028,G:G, 1) - 1) / COUNT(G:G))</f>
        <v>2</v>
      </c>
      <c r="K1028">
        <f t="array" ref="K1028">INT(5 * (RANK(H1028,H:H, 0) - 1) / COUNT(H:H)) + 1</f>
        <v>2</v>
      </c>
      <c r="L1028">
        <f t="array" ref="L1028">INT(5 * (RANK(I1028,I:I, 0) - 1) / COUNT(I:I)) + 1</f>
        <v>2</v>
      </c>
      <c r="M1028" t="str">
        <f t="shared" si="32"/>
        <v>222</v>
      </c>
      <c r="N1028" s="6" t="str">
        <f t="shared" si="33"/>
        <v>Lost</v>
      </c>
    </row>
    <row r="1029" spans="1:14" x14ac:dyDescent="0.35">
      <c r="A1029">
        <v>1360</v>
      </c>
      <c r="B1029" s="4">
        <v>45663.375085336993</v>
      </c>
      <c r="C1029" t="s">
        <v>7</v>
      </c>
      <c r="D1029" t="s">
        <v>22</v>
      </c>
      <c r="E1029" t="s">
        <v>23</v>
      </c>
      <c r="F1029">
        <v>3070.44</v>
      </c>
      <c r="G1029">
        <f t="array" ref="G1029">SalesData!$I$2 - 'RFM Table'!B1029</f>
        <v>473</v>
      </c>
      <c r="H1029">
        <f t="array" ref="H1029">COUNTIF(A:A,A1029)</f>
        <v>8</v>
      </c>
      <c r="I1029">
        <f t="array" ref="I1029">SUMIF(A:A,A1029,F:F)</f>
        <v>31675.43</v>
      </c>
      <c r="J1029">
        <f t="array" ref="J1029">5 - INT(5 * (RANK(G1029,G:G, 1) - 1) / COUNT(G:G))</f>
        <v>2</v>
      </c>
      <c r="K1029">
        <f t="array" ref="K1029">INT(5 * (RANK(H1029,H:H, 0) - 1) / COUNT(H:H)) + 1</f>
        <v>3</v>
      </c>
      <c r="L1029">
        <f t="array" ref="L1029">INT(5 * (RANK(I1029,I:I, 0) - 1) / COUNT(I:I)) + 1</f>
        <v>3</v>
      </c>
      <c r="M1029" t="str">
        <f t="shared" si="32"/>
        <v>233</v>
      </c>
      <c r="N1029" s="6" t="str">
        <f t="shared" si="33"/>
        <v>At Risk</v>
      </c>
    </row>
    <row r="1030" spans="1:14" x14ac:dyDescent="0.35">
      <c r="A1030">
        <v>1248</v>
      </c>
      <c r="B1030" s="4">
        <v>45663.375085336993</v>
      </c>
      <c r="C1030" t="s">
        <v>14</v>
      </c>
      <c r="D1030" t="s">
        <v>18</v>
      </c>
      <c r="E1030" t="s">
        <v>25</v>
      </c>
      <c r="F1030">
        <v>3344.96</v>
      </c>
      <c r="G1030">
        <f t="array" ref="G1030">SalesData!$I$2 - 'RFM Table'!B1030</f>
        <v>473</v>
      </c>
      <c r="H1030">
        <f t="array" ref="H1030">COUNTIF(A:A,A1030)</f>
        <v>7</v>
      </c>
      <c r="I1030">
        <f t="array" ref="I1030">SUMIF(A:A,A1030,F:F)</f>
        <v>27796.990000000005</v>
      </c>
      <c r="J1030">
        <f t="array" ref="J1030">5 - INT(5 * (RANK(G1030,G:G, 1) - 1) / COUNT(G:G))</f>
        <v>2</v>
      </c>
      <c r="K1030">
        <f t="array" ref="K1030">INT(5 * (RANK(H1030,H:H, 0) - 1) / COUNT(H:H)) + 1</f>
        <v>4</v>
      </c>
      <c r="L1030">
        <f t="array" ref="L1030">INT(5 * (RANK(I1030,I:I, 0) - 1) / COUNT(I:I)) + 1</f>
        <v>4</v>
      </c>
      <c r="M1030" t="str">
        <f t="shared" si="32"/>
        <v>244</v>
      </c>
      <c r="N1030" s="6" t="str">
        <f t="shared" si="33"/>
        <v>At Risk</v>
      </c>
    </row>
    <row r="1031" spans="1:14" x14ac:dyDescent="0.35">
      <c r="A1031">
        <v>1038</v>
      </c>
      <c r="B1031" s="4">
        <v>45663.375085336993</v>
      </c>
      <c r="C1031" t="s">
        <v>13</v>
      </c>
      <c r="D1031" t="s">
        <v>18</v>
      </c>
      <c r="E1031" t="s">
        <v>23</v>
      </c>
      <c r="F1031">
        <v>4450.3599999999997</v>
      </c>
      <c r="G1031">
        <f t="array" ref="G1031">SalesData!$I$2 - 'RFM Table'!B1031</f>
        <v>473</v>
      </c>
      <c r="H1031">
        <f t="array" ref="H1031">COUNTIF(A:A,A1031)</f>
        <v>16</v>
      </c>
      <c r="I1031">
        <f t="array" ref="I1031">SUMIF(A:A,A1031,F:F)</f>
        <v>76962.720000000001</v>
      </c>
      <c r="J1031">
        <f t="array" ref="J1031">5 - INT(5 * (RANK(G1031,G:G, 1) - 1) / COUNT(G:G))</f>
        <v>2</v>
      </c>
      <c r="K1031">
        <f t="array" ref="K1031">INT(5 * (RANK(H1031,H:H, 0) - 1) / COUNT(H:H)) + 1</f>
        <v>1</v>
      </c>
      <c r="L1031">
        <f t="array" ref="L1031">INT(5 * (RANK(I1031,I:I, 0) - 1) / COUNT(I:I)) + 1</f>
        <v>1</v>
      </c>
      <c r="M1031" t="str">
        <f t="shared" si="32"/>
        <v>211</v>
      </c>
      <c r="N1031" s="6" t="str">
        <f t="shared" si="33"/>
        <v>Lost</v>
      </c>
    </row>
    <row r="1032" spans="1:14" x14ac:dyDescent="0.35">
      <c r="A1032">
        <v>1272</v>
      </c>
      <c r="B1032" s="4">
        <v>45663.375085336993</v>
      </c>
      <c r="C1032" t="s">
        <v>10</v>
      </c>
      <c r="D1032" t="s">
        <v>19</v>
      </c>
      <c r="E1032" t="s">
        <v>24</v>
      </c>
      <c r="F1032">
        <v>4878.29</v>
      </c>
      <c r="G1032">
        <f t="array" ref="G1032">SalesData!$I$2 - 'RFM Table'!B1032</f>
        <v>473</v>
      </c>
      <c r="H1032">
        <f t="array" ref="H1032">COUNTIF(A:A,A1032)</f>
        <v>10</v>
      </c>
      <c r="I1032">
        <f t="array" ref="I1032">SUMIF(A:A,A1032,F:F)</f>
        <v>54972.43</v>
      </c>
      <c r="J1032">
        <f t="array" ref="J1032">5 - INT(5 * (RANK(G1032,G:G, 1) - 1) / COUNT(G:G))</f>
        <v>2</v>
      </c>
      <c r="K1032">
        <f t="array" ref="K1032">INT(5 * (RANK(H1032,H:H, 0) - 1) / COUNT(H:H)) + 1</f>
        <v>2</v>
      </c>
      <c r="L1032">
        <f t="array" ref="L1032">INT(5 * (RANK(I1032,I:I, 0) - 1) / COUNT(I:I)) + 1</f>
        <v>1</v>
      </c>
      <c r="M1032" t="str">
        <f t="shared" si="32"/>
        <v>221</v>
      </c>
      <c r="N1032" s="6" t="str">
        <f t="shared" si="33"/>
        <v>Lost</v>
      </c>
    </row>
    <row r="1033" spans="1:14" x14ac:dyDescent="0.35">
      <c r="A1033">
        <v>1323</v>
      </c>
      <c r="B1033" s="4">
        <v>45664.375085336993</v>
      </c>
      <c r="C1033" t="s">
        <v>9</v>
      </c>
      <c r="D1033" t="s">
        <v>22</v>
      </c>
      <c r="E1033" t="s">
        <v>23</v>
      </c>
      <c r="F1033">
        <v>1743.01</v>
      </c>
      <c r="G1033">
        <f t="array" ref="G1033">SalesData!$I$2 - 'RFM Table'!B1033</f>
        <v>472</v>
      </c>
      <c r="H1033">
        <f t="array" ref="H1033">COUNTIF(A:A,A1033)</f>
        <v>9</v>
      </c>
      <c r="I1033">
        <f t="array" ref="I1033">SUMIF(A:A,A1033,F:F)</f>
        <v>39366.480000000003</v>
      </c>
      <c r="J1033">
        <f t="array" ref="J1033">5 - INT(5 * (RANK(G1033,G:G, 1) - 1) / COUNT(G:G))</f>
        <v>2</v>
      </c>
      <c r="K1033">
        <f t="array" ref="K1033">INT(5 * (RANK(H1033,H:H, 0) - 1) / COUNT(H:H)) + 1</f>
        <v>2</v>
      </c>
      <c r="L1033">
        <f t="array" ref="L1033">INT(5 * (RANK(I1033,I:I, 0) - 1) / COUNT(I:I)) + 1</f>
        <v>2</v>
      </c>
      <c r="M1033" t="str">
        <f t="shared" si="32"/>
        <v>222</v>
      </c>
      <c r="N1033" s="6" t="str">
        <f t="shared" si="33"/>
        <v>Lost</v>
      </c>
    </row>
    <row r="1034" spans="1:14" x14ac:dyDescent="0.35">
      <c r="A1034">
        <v>1291</v>
      </c>
      <c r="B1034" s="4">
        <v>45665.375085336993</v>
      </c>
      <c r="C1034" t="s">
        <v>9</v>
      </c>
      <c r="D1034" t="s">
        <v>21</v>
      </c>
      <c r="E1034" t="s">
        <v>25</v>
      </c>
      <c r="F1034">
        <v>3901.12</v>
      </c>
      <c r="G1034">
        <f t="array" ref="G1034">SalesData!$I$2 - 'RFM Table'!B1034</f>
        <v>471</v>
      </c>
      <c r="H1034">
        <f t="array" ref="H1034">COUNTIF(A:A,A1034)</f>
        <v>7</v>
      </c>
      <c r="I1034">
        <f t="array" ref="I1034">SUMIF(A:A,A1034,F:F)</f>
        <v>33778.21</v>
      </c>
      <c r="J1034">
        <f t="array" ref="J1034">5 - INT(5 * (RANK(G1034,G:G, 1) - 1) / COUNT(G:G))</f>
        <v>2</v>
      </c>
      <c r="K1034">
        <f t="array" ref="K1034">INT(5 * (RANK(H1034,H:H, 0) - 1) / COUNT(H:H)) + 1</f>
        <v>4</v>
      </c>
      <c r="L1034">
        <f t="array" ref="L1034">INT(5 * (RANK(I1034,I:I, 0) - 1) / COUNT(I:I)) + 1</f>
        <v>3</v>
      </c>
      <c r="M1034" t="str">
        <f t="shared" si="32"/>
        <v>243</v>
      </c>
      <c r="N1034" s="6" t="str">
        <f t="shared" si="33"/>
        <v>At Risk</v>
      </c>
    </row>
    <row r="1035" spans="1:14" x14ac:dyDescent="0.35">
      <c r="A1035">
        <v>1053</v>
      </c>
      <c r="B1035" s="4">
        <v>45665.375085336993</v>
      </c>
      <c r="C1035" t="s">
        <v>9</v>
      </c>
      <c r="D1035" t="s">
        <v>20</v>
      </c>
      <c r="E1035" t="s">
        <v>25</v>
      </c>
      <c r="F1035">
        <v>4230.5600000000004</v>
      </c>
      <c r="G1035">
        <f t="array" ref="G1035">SalesData!$I$2 - 'RFM Table'!B1035</f>
        <v>471</v>
      </c>
      <c r="H1035">
        <f t="array" ref="H1035">COUNTIF(A:A,A1035)</f>
        <v>10</v>
      </c>
      <c r="I1035">
        <f t="array" ref="I1035">SUMIF(A:A,A1035,F:F)</f>
        <v>44572.97</v>
      </c>
      <c r="J1035">
        <f t="array" ref="J1035">5 - INT(5 * (RANK(G1035,G:G, 1) - 1) / COUNT(G:G))</f>
        <v>2</v>
      </c>
      <c r="K1035">
        <f t="array" ref="K1035">INT(5 * (RANK(H1035,H:H, 0) - 1) / COUNT(H:H)) + 1</f>
        <v>2</v>
      </c>
      <c r="L1035">
        <f t="array" ref="L1035">INT(5 * (RANK(I1035,I:I, 0) - 1) / COUNT(I:I)) + 1</f>
        <v>2</v>
      </c>
      <c r="M1035" t="str">
        <f t="shared" si="32"/>
        <v>222</v>
      </c>
      <c r="N1035" s="6" t="str">
        <f t="shared" si="33"/>
        <v>Lost</v>
      </c>
    </row>
    <row r="1036" spans="1:14" x14ac:dyDescent="0.35">
      <c r="A1036">
        <v>1305</v>
      </c>
      <c r="B1036" s="4">
        <v>45665.375085336993</v>
      </c>
      <c r="C1036" t="s">
        <v>7</v>
      </c>
      <c r="D1036" t="s">
        <v>16</v>
      </c>
      <c r="E1036" t="s">
        <v>25</v>
      </c>
      <c r="F1036">
        <v>5360.43</v>
      </c>
      <c r="G1036">
        <f t="array" ref="G1036">SalesData!$I$2 - 'RFM Table'!B1036</f>
        <v>471</v>
      </c>
      <c r="H1036">
        <f t="array" ref="H1036">COUNTIF(A:A,A1036)</f>
        <v>5</v>
      </c>
      <c r="I1036">
        <f t="array" ref="I1036">SUMIF(A:A,A1036,F:F)</f>
        <v>21192.55</v>
      </c>
      <c r="J1036">
        <f t="array" ref="J1036">5 - INT(5 * (RANK(G1036,G:G, 1) - 1) / COUNT(G:G))</f>
        <v>2</v>
      </c>
      <c r="K1036">
        <f t="array" ref="K1036">INT(5 * (RANK(H1036,H:H, 0) - 1) / COUNT(H:H)) + 1</f>
        <v>5</v>
      </c>
      <c r="L1036">
        <f t="array" ref="L1036">INT(5 * (RANK(I1036,I:I, 0) - 1) / COUNT(I:I)) + 1</f>
        <v>5</v>
      </c>
      <c r="M1036" t="str">
        <f t="shared" si="32"/>
        <v>255</v>
      </c>
      <c r="N1036" s="6" t="str">
        <f t="shared" si="33"/>
        <v>At Risk</v>
      </c>
    </row>
    <row r="1037" spans="1:14" x14ac:dyDescent="0.35">
      <c r="A1037">
        <v>1239</v>
      </c>
      <c r="B1037" s="4">
        <v>45665.375085336993</v>
      </c>
      <c r="C1037" t="s">
        <v>14</v>
      </c>
      <c r="D1037" t="s">
        <v>22</v>
      </c>
      <c r="E1037" t="s">
        <v>23</v>
      </c>
      <c r="F1037">
        <v>7042.52</v>
      </c>
      <c r="G1037">
        <f t="array" ref="G1037">SalesData!$I$2 - 'RFM Table'!B1037</f>
        <v>471</v>
      </c>
      <c r="H1037">
        <f t="array" ref="H1037">COUNTIF(A:A,A1037)</f>
        <v>4</v>
      </c>
      <c r="I1037">
        <f t="array" ref="I1037">SUMIF(A:A,A1037,F:F)</f>
        <v>47975.93</v>
      </c>
      <c r="J1037">
        <f t="array" ref="J1037">5 - INT(5 * (RANK(G1037,G:G, 1) - 1) / COUNT(G:G))</f>
        <v>2</v>
      </c>
      <c r="K1037">
        <f t="array" ref="K1037">INT(5 * (RANK(H1037,H:H, 0) - 1) / COUNT(H:H)) + 1</f>
        <v>5</v>
      </c>
      <c r="L1037">
        <f t="array" ref="L1037">INT(5 * (RANK(I1037,I:I, 0) - 1) / COUNT(I:I)) + 1</f>
        <v>1</v>
      </c>
      <c r="M1037" t="str">
        <f t="shared" si="32"/>
        <v>251</v>
      </c>
      <c r="N1037" s="6" t="str">
        <f t="shared" si="33"/>
        <v>Others</v>
      </c>
    </row>
    <row r="1038" spans="1:14" x14ac:dyDescent="0.35">
      <c r="A1038">
        <v>1189</v>
      </c>
      <c r="B1038" s="4">
        <v>45665.375085336993</v>
      </c>
      <c r="C1038" t="s">
        <v>13</v>
      </c>
      <c r="D1038" t="s">
        <v>18</v>
      </c>
      <c r="E1038" t="s">
        <v>23</v>
      </c>
      <c r="F1038">
        <v>1273.2</v>
      </c>
      <c r="G1038">
        <f t="array" ref="G1038">SalesData!$I$2 - 'RFM Table'!B1038</f>
        <v>471</v>
      </c>
      <c r="H1038">
        <f t="array" ref="H1038">COUNTIF(A:A,A1038)</f>
        <v>10</v>
      </c>
      <c r="I1038">
        <f t="array" ref="I1038">SUMIF(A:A,A1038,F:F)</f>
        <v>29994.030000000002</v>
      </c>
      <c r="J1038">
        <f t="array" ref="J1038">5 - INT(5 * (RANK(G1038,G:G, 1) - 1) / COUNT(G:G))</f>
        <v>2</v>
      </c>
      <c r="K1038">
        <f t="array" ref="K1038">INT(5 * (RANK(H1038,H:H, 0) - 1) / COUNT(H:H)) + 1</f>
        <v>2</v>
      </c>
      <c r="L1038">
        <f t="array" ref="L1038">INT(5 * (RANK(I1038,I:I, 0) - 1) / COUNT(I:I)) + 1</f>
        <v>3</v>
      </c>
      <c r="M1038" t="str">
        <f t="shared" si="32"/>
        <v>223</v>
      </c>
      <c r="N1038" s="6" t="str">
        <f t="shared" si="33"/>
        <v>Can't Lose Them</v>
      </c>
    </row>
    <row r="1039" spans="1:14" x14ac:dyDescent="0.35">
      <c r="A1039">
        <v>1154</v>
      </c>
      <c r="B1039" s="4">
        <v>45665.375085336993</v>
      </c>
      <c r="C1039" t="s">
        <v>7</v>
      </c>
      <c r="D1039" t="s">
        <v>18</v>
      </c>
      <c r="E1039" t="s">
        <v>23</v>
      </c>
      <c r="F1039">
        <v>3460.77</v>
      </c>
      <c r="G1039">
        <f t="array" ref="G1039">SalesData!$I$2 - 'RFM Table'!B1039</f>
        <v>471</v>
      </c>
      <c r="H1039">
        <f t="array" ref="H1039">COUNTIF(A:A,A1039)</f>
        <v>5</v>
      </c>
      <c r="I1039">
        <f t="array" ref="I1039">SUMIF(A:A,A1039,F:F)</f>
        <v>20686.43</v>
      </c>
      <c r="J1039">
        <f t="array" ref="J1039">5 - INT(5 * (RANK(G1039,G:G, 1) - 1) / COUNT(G:G))</f>
        <v>2</v>
      </c>
      <c r="K1039">
        <f t="array" ref="K1039">INT(5 * (RANK(H1039,H:H, 0) - 1) / COUNT(H:H)) + 1</f>
        <v>5</v>
      </c>
      <c r="L1039">
        <f t="array" ref="L1039">INT(5 * (RANK(I1039,I:I, 0) - 1) / COUNT(I:I)) + 1</f>
        <v>5</v>
      </c>
      <c r="M1039" t="str">
        <f t="shared" si="32"/>
        <v>255</v>
      </c>
      <c r="N1039" s="6" t="str">
        <f t="shared" si="33"/>
        <v>At Risk</v>
      </c>
    </row>
    <row r="1040" spans="1:14" x14ac:dyDescent="0.35">
      <c r="A1040">
        <v>1331</v>
      </c>
      <c r="B1040" s="4">
        <v>45665.375085336993</v>
      </c>
      <c r="C1040" t="s">
        <v>15</v>
      </c>
      <c r="D1040" t="s">
        <v>18</v>
      </c>
      <c r="E1040" t="s">
        <v>24</v>
      </c>
      <c r="F1040">
        <v>2605.12</v>
      </c>
      <c r="G1040">
        <f t="array" ref="G1040">SalesData!$I$2 - 'RFM Table'!B1040</f>
        <v>471</v>
      </c>
      <c r="H1040">
        <f t="array" ref="H1040">COUNTIF(A:A,A1040)</f>
        <v>4</v>
      </c>
      <c r="I1040">
        <f t="array" ref="I1040">SUMIF(A:A,A1040,F:F)</f>
        <v>21830.14</v>
      </c>
      <c r="J1040">
        <f t="array" ref="J1040">5 - INT(5 * (RANK(G1040,G:G, 1) - 1) / COUNT(G:G))</f>
        <v>2</v>
      </c>
      <c r="K1040">
        <f t="array" ref="K1040">INT(5 * (RANK(H1040,H:H, 0) - 1) / COUNT(H:H)) + 1</f>
        <v>5</v>
      </c>
      <c r="L1040">
        <f t="array" ref="L1040">INT(5 * (RANK(I1040,I:I, 0) - 1) / COUNT(I:I)) + 1</f>
        <v>4</v>
      </c>
      <c r="M1040" t="str">
        <f t="shared" si="32"/>
        <v>254</v>
      </c>
      <c r="N1040" s="6" t="str">
        <f t="shared" si="33"/>
        <v>At Risk</v>
      </c>
    </row>
    <row r="1041" spans="1:14" x14ac:dyDescent="0.35">
      <c r="A1041">
        <v>1147</v>
      </c>
      <c r="B1041" s="4">
        <v>45665.375085336993</v>
      </c>
      <c r="C1041" t="s">
        <v>9</v>
      </c>
      <c r="D1041" t="s">
        <v>21</v>
      </c>
      <c r="E1041" t="s">
        <v>24</v>
      </c>
      <c r="F1041">
        <v>609.95000000000005</v>
      </c>
      <c r="G1041">
        <f t="array" ref="G1041">SalesData!$I$2 - 'RFM Table'!B1041</f>
        <v>471</v>
      </c>
      <c r="H1041">
        <f t="array" ref="H1041">COUNTIF(A:A,A1041)</f>
        <v>9</v>
      </c>
      <c r="I1041">
        <f t="array" ref="I1041">SUMIF(A:A,A1041,F:F)</f>
        <v>31221.600000000002</v>
      </c>
      <c r="J1041">
        <f t="array" ref="J1041">5 - INT(5 * (RANK(G1041,G:G, 1) - 1) / COUNT(G:G))</f>
        <v>2</v>
      </c>
      <c r="K1041">
        <f t="array" ref="K1041">INT(5 * (RANK(H1041,H:H, 0) - 1) / COUNT(H:H)) + 1</f>
        <v>2</v>
      </c>
      <c r="L1041">
        <f t="array" ref="L1041">INT(5 * (RANK(I1041,I:I, 0) - 1) / COUNT(I:I)) + 1</f>
        <v>3</v>
      </c>
      <c r="M1041" t="str">
        <f t="shared" si="32"/>
        <v>223</v>
      </c>
      <c r="N1041" s="6" t="str">
        <f t="shared" si="33"/>
        <v>Can't Lose Them</v>
      </c>
    </row>
    <row r="1042" spans="1:14" x14ac:dyDescent="0.35">
      <c r="A1042">
        <v>1359</v>
      </c>
      <c r="B1042" s="4">
        <v>45666.375085336993</v>
      </c>
      <c r="C1042" t="s">
        <v>15</v>
      </c>
      <c r="D1042" t="s">
        <v>18</v>
      </c>
      <c r="E1042" t="s">
        <v>23</v>
      </c>
      <c r="F1042">
        <v>3433.97</v>
      </c>
      <c r="G1042">
        <f t="array" ref="G1042">SalesData!$I$2 - 'RFM Table'!B1042</f>
        <v>470</v>
      </c>
      <c r="H1042">
        <f t="array" ref="H1042">COUNTIF(A:A,A1042)</f>
        <v>13</v>
      </c>
      <c r="I1042">
        <f t="array" ref="I1042">SUMIF(A:A,A1042,F:F)</f>
        <v>40402.14</v>
      </c>
      <c r="J1042">
        <f t="array" ref="J1042">5 - INT(5 * (RANK(G1042,G:G, 1) - 1) / COUNT(G:G))</f>
        <v>2</v>
      </c>
      <c r="K1042">
        <f t="array" ref="K1042">INT(5 * (RANK(H1042,H:H, 0) - 1) / COUNT(H:H)) + 1</f>
        <v>1</v>
      </c>
      <c r="L1042">
        <f t="array" ref="L1042">INT(5 * (RANK(I1042,I:I, 0) - 1) / COUNT(I:I)) + 1</f>
        <v>2</v>
      </c>
      <c r="M1042" t="str">
        <f t="shared" si="32"/>
        <v>212</v>
      </c>
      <c r="N1042" s="6" t="str">
        <f t="shared" si="33"/>
        <v>Lost</v>
      </c>
    </row>
    <row r="1043" spans="1:14" x14ac:dyDescent="0.35">
      <c r="A1043">
        <v>1355</v>
      </c>
      <c r="B1043" s="4">
        <v>45666.375085336993</v>
      </c>
      <c r="C1043" t="s">
        <v>15</v>
      </c>
      <c r="D1043" t="s">
        <v>18</v>
      </c>
      <c r="E1043" t="s">
        <v>25</v>
      </c>
      <c r="F1043">
        <v>2849.38</v>
      </c>
      <c r="G1043">
        <f t="array" ref="G1043">SalesData!$I$2 - 'RFM Table'!B1043</f>
        <v>470</v>
      </c>
      <c r="H1043">
        <f t="array" ref="H1043">COUNTIF(A:A,A1043)</f>
        <v>6</v>
      </c>
      <c r="I1043">
        <f t="array" ref="I1043">SUMIF(A:A,A1043,F:F)</f>
        <v>21250.21</v>
      </c>
      <c r="J1043">
        <f t="array" ref="J1043">5 - INT(5 * (RANK(G1043,G:G, 1) - 1) / COUNT(G:G))</f>
        <v>2</v>
      </c>
      <c r="K1043">
        <f t="array" ref="K1043">INT(5 * (RANK(H1043,H:H, 0) - 1) / COUNT(H:H)) + 1</f>
        <v>4</v>
      </c>
      <c r="L1043">
        <f t="array" ref="L1043">INT(5 * (RANK(I1043,I:I, 0) - 1) / COUNT(I:I)) + 1</f>
        <v>5</v>
      </c>
      <c r="M1043" t="str">
        <f t="shared" si="32"/>
        <v>245</v>
      </c>
      <c r="N1043" s="6" t="str">
        <f t="shared" si="33"/>
        <v>At Risk</v>
      </c>
    </row>
    <row r="1044" spans="1:14" x14ac:dyDescent="0.35">
      <c r="A1044">
        <v>1184</v>
      </c>
      <c r="B1044" s="4">
        <v>45667.375085336993</v>
      </c>
      <c r="C1044" t="s">
        <v>9</v>
      </c>
      <c r="D1044" t="s">
        <v>20</v>
      </c>
      <c r="E1044" t="s">
        <v>23</v>
      </c>
      <c r="F1044">
        <v>2819.78</v>
      </c>
      <c r="G1044">
        <f t="array" ref="G1044">SalesData!$I$2 - 'RFM Table'!B1044</f>
        <v>469</v>
      </c>
      <c r="H1044">
        <f t="array" ref="H1044">COUNTIF(A:A,A1044)</f>
        <v>3</v>
      </c>
      <c r="I1044">
        <f t="array" ref="I1044">SUMIF(A:A,A1044,F:F)</f>
        <v>10924.82</v>
      </c>
      <c r="J1044">
        <f t="array" ref="J1044">5 - INT(5 * (RANK(G1044,G:G, 1) - 1) / COUNT(G:G))</f>
        <v>2</v>
      </c>
      <c r="K1044">
        <f t="array" ref="K1044">INT(5 * (RANK(H1044,H:H, 0) - 1) / COUNT(H:H)) + 1</f>
        <v>5</v>
      </c>
      <c r="L1044">
        <f t="array" ref="L1044">INT(5 * (RANK(I1044,I:I, 0) - 1) / COUNT(I:I)) + 1</f>
        <v>5</v>
      </c>
      <c r="M1044" t="str">
        <f t="shared" si="32"/>
        <v>255</v>
      </c>
      <c r="N1044" s="6" t="str">
        <f t="shared" si="33"/>
        <v>At Risk</v>
      </c>
    </row>
    <row r="1045" spans="1:14" x14ac:dyDescent="0.35">
      <c r="A1045">
        <v>1004</v>
      </c>
      <c r="B1045" s="4">
        <v>45667.375085336993</v>
      </c>
      <c r="C1045" t="s">
        <v>10</v>
      </c>
      <c r="D1045" t="s">
        <v>19</v>
      </c>
      <c r="E1045" t="s">
        <v>25</v>
      </c>
      <c r="F1045">
        <v>3397.96</v>
      </c>
      <c r="G1045">
        <f t="array" ref="G1045">SalesData!$I$2 - 'RFM Table'!B1045</f>
        <v>469</v>
      </c>
      <c r="H1045">
        <f t="array" ref="H1045">COUNTIF(A:A,A1045)</f>
        <v>12</v>
      </c>
      <c r="I1045">
        <f t="array" ref="I1045">SUMIF(A:A,A1045,F:F)</f>
        <v>34222.5</v>
      </c>
      <c r="J1045">
        <f t="array" ref="J1045">5 - INT(5 * (RANK(G1045,G:G, 1) - 1) / COUNT(G:G))</f>
        <v>2</v>
      </c>
      <c r="K1045">
        <f t="array" ref="K1045">INT(5 * (RANK(H1045,H:H, 0) - 1) / COUNT(H:H)) + 1</f>
        <v>1</v>
      </c>
      <c r="L1045">
        <f t="array" ref="L1045">INT(5 * (RANK(I1045,I:I, 0) - 1) / COUNT(I:I)) + 1</f>
        <v>3</v>
      </c>
      <c r="M1045" t="str">
        <f t="shared" si="32"/>
        <v>213</v>
      </c>
      <c r="N1045" s="6" t="str">
        <f t="shared" si="33"/>
        <v>Can't Lose Them</v>
      </c>
    </row>
    <row r="1046" spans="1:14" x14ac:dyDescent="0.35">
      <c r="A1046">
        <v>1245</v>
      </c>
      <c r="B1046" s="4">
        <v>45667.375085336993</v>
      </c>
      <c r="C1046" t="s">
        <v>8</v>
      </c>
      <c r="D1046" t="s">
        <v>18</v>
      </c>
      <c r="E1046" t="s">
        <v>25</v>
      </c>
      <c r="F1046">
        <v>1189.96</v>
      </c>
      <c r="G1046">
        <f t="array" ref="G1046">SalesData!$I$2 - 'RFM Table'!B1046</f>
        <v>469</v>
      </c>
      <c r="H1046">
        <f t="array" ref="H1046">COUNTIF(A:A,A1046)</f>
        <v>6</v>
      </c>
      <c r="I1046">
        <f t="array" ref="I1046">SUMIF(A:A,A1046,F:F)</f>
        <v>17570.61</v>
      </c>
      <c r="J1046">
        <f t="array" ref="J1046">5 - INT(5 * (RANK(G1046,G:G, 1) - 1) / COUNT(G:G))</f>
        <v>2</v>
      </c>
      <c r="K1046">
        <f t="array" ref="K1046">INT(5 * (RANK(H1046,H:H, 0) - 1) / COUNT(H:H)) + 1</f>
        <v>4</v>
      </c>
      <c r="L1046">
        <f t="array" ref="L1046">INT(5 * (RANK(I1046,I:I, 0) - 1) / COUNT(I:I)) + 1</f>
        <v>5</v>
      </c>
      <c r="M1046" t="str">
        <f t="shared" si="32"/>
        <v>245</v>
      </c>
      <c r="N1046" s="6" t="str">
        <f t="shared" si="33"/>
        <v>At Risk</v>
      </c>
    </row>
    <row r="1047" spans="1:14" x14ac:dyDescent="0.35">
      <c r="A1047">
        <v>1126</v>
      </c>
      <c r="B1047" s="4">
        <v>45667.375085336993</v>
      </c>
      <c r="C1047" t="s">
        <v>11</v>
      </c>
      <c r="D1047" t="s">
        <v>18</v>
      </c>
      <c r="E1047" t="s">
        <v>23</v>
      </c>
      <c r="F1047">
        <v>1960.75</v>
      </c>
      <c r="G1047">
        <f t="array" ref="G1047">SalesData!$I$2 - 'RFM Table'!B1047</f>
        <v>469</v>
      </c>
      <c r="H1047">
        <f t="array" ref="H1047">COUNTIF(A:A,A1047)</f>
        <v>5</v>
      </c>
      <c r="I1047">
        <f t="array" ref="I1047">SUMIF(A:A,A1047,F:F)</f>
        <v>16350.6</v>
      </c>
      <c r="J1047">
        <f t="array" ref="J1047">5 - INT(5 * (RANK(G1047,G:G, 1) - 1) / COUNT(G:G))</f>
        <v>2</v>
      </c>
      <c r="K1047">
        <f t="array" ref="K1047">INT(5 * (RANK(H1047,H:H, 0) - 1) / COUNT(H:H)) + 1</f>
        <v>5</v>
      </c>
      <c r="L1047">
        <f t="array" ref="L1047">INT(5 * (RANK(I1047,I:I, 0) - 1) / COUNT(I:I)) + 1</f>
        <v>5</v>
      </c>
      <c r="M1047" t="str">
        <f t="shared" si="32"/>
        <v>255</v>
      </c>
      <c r="N1047" s="6" t="str">
        <f t="shared" si="33"/>
        <v>At Risk</v>
      </c>
    </row>
    <row r="1048" spans="1:14" x14ac:dyDescent="0.35">
      <c r="A1048">
        <v>1345</v>
      </c>
      <c r="B1048" s="4">
        <v>45667.375085336993</v>
      </c>
      <c r="C1048" t="s">
        <v>15</v>
      </c>
      <c r="D1048" t="s">
        <v>18</v>
      </c>
      <c r="E1048" t="s">
        <v>25</v>
      </c>
      <c r="F1048">
        <v>4594.5</v>
      </c>
      <c r="G1048">
        <f t="array" ref="G1048">SalesData!$I$2 - 'RFM Table'!B1048</f>
        <v>469</v>
      </c>
      <c r="H1048">
        <f t="array" ref="H1048">COUNTIF(A:A,A1048)</f>
        <v>9</v>
      </c>
      <c r="I1048">
        <f t="array" ref="I1048">SUMIF(A:A,A1048,F:F)</f>
        <v>35330.950000000004</v>
      </c>
      <c r="J1048">
        <f t="array" ref="J1048">5 - INT(5 * (RANK(G1048,G:G, 1) - 1) / COUNT(G:G))</f>
        <v>2</v>
      </c>
      <c r="K1048">
        <f t="array" ref="K1048">INT(5 * (RANK(H1048,H:H, 0) - 1) / COUNT(H:H)) + 1</f>
        <v>2</v>
      </c>
      <c r="L1048">
        <f t="array" ref="L1048">INT(5 * (RANK(I1048,I:I, 0) - 1) / COUNT(I:I)) + 1</f>
        <v>3</v>
      </c>
      <c r="M1048" t="str">
        <f t="shared" si="32"/>
        <v>223</v>
      </c>
      <c r="N1048" s="6" t="str">
        <f t="shared" si="33"/>
        <v>Can't Lose Them</v>
      </c>
    </row>
    <row r="1049" spans="1:14" x14ac:dyDescent="0.35">
      <c r="A1049">
        <v>1171</v>
      </c>
      <c r="B1049" s="4">
        <v>45667.375085336993</v>
      </c>
      <c r="C1049" t="s">
        <v>15</v>
      </c>
      <c r="D1049" t="s">
        <v>20</v>
      </c>
      <c r="E1049" t="s">
        <v>25</v>
      </c>
      <c r="F1049">
        <v>3654.33</v>
      </c>
      <c r="G1049">
        <f t="array" ref="G1049">SalesData!$I$2 - 'RFM Table'!B1049</f>
        <v>469</v>
      </c>
      <c r="H1049">
        <f t="array" ref="H1049">COUNTIF(A:A,A1049)</f>
        <v>9</v>
      </c>
      <c r="I1049">
        <f t="array" ref="I1049">SUMIF(A:A,A1049,F:F)</f>
        <v>40942.560000000005</v>
      </c>
      <c r="J1049">
        <f t="array" ref="J1049">5 - INT(5 * (RANK(G1049,G:G, 1) - 1) / COUNT(G:G))</f>
        <v>2</v>
      </c>
      <c r="K1049">
        <f t="array" ref="K1049">INT(5 * (RANK(H1049,H:H, 0) - 1) / COUNT(H:H)) + 1</f>
        <v>2</v>
      </c>
      <c r="L1049">
        <f t="array" ref="L1049">INT(5 * (RANK(I1049,I:I, 0) - 1) / COUNT(I:I)) + 1</f>
        <v>2</v>
      </c>
      <c r="M1049" t="str">
        <f t="shared" si="32"/>
        <v>222</v>
      </c>
      <c r="N1049" s="6" t="str">
        <f t="shared" si="33"/>
        <v>Lost</v>
      </c>
    </row>
    <row r="1050" spans="1:14" x14ac:dyDescent="0.35">
      <c r="A1050">
        <v>1227</v>
      </c>
      <c r="B1050" s="4">
        <v>45668.375085336993</v>
      </c>
      <c r="C1050" t="s">
        <v>9</v>
      </c>
      <c r="D1050" t="s">
        <v>22</v>
      </c>
      <c r="E1050" t="s">
        <v>23</v>
      </c>
      <c r="F1050">
        <v>4422.93</v>
      </c>
      <c r="G1050">
        <f t="array" ref="G1050">SalesData!$I$2 - 'RFM Table'!B1050</f>
        <v>468</v>
      </c>
      <c r="H1050">
        <f t="array" ref="H1050">COUNTIF(A:A,A1050)</f>
        <v>7</v>
      </c>
      <c r="I1050">
        <f t="array" ref="I1050">SUMIF(A:A,A1050,F:F)</f>
        <v>39486.589999999997</v>
      </c>
      <c r="J1050">
        <f t="array" ref="J1050">5 - INT(5 * (RANK(G1050,G:G, 1) - 1) / COUNT(G:G))</f>
        <v>2</v>
      </c>
      <c r="K1050">
        <f t="array" ref="K1050">INT(5 * (RANK(H1050,H:H, 0) - 1) / COUNT(H:H)) + 1</f>
        <v>4</v>
      </c>
      <c r="L1050">
        <f t="array" ref="L1050">INT(5 * (RANK(I1050,I:I, 0) - 1) / COUNT(I:I)) + 1</f>
        <v>2</v>
      </c>
      <c r="M1050" t="str">
        <f t="shared" si="32"/>
        <v>242</v>
      </c>
      <c r="N1050" s="6" t="str">
        <f t="shared" si="33"/>
        <v>Others</v>
      </c>
    </row>
    <row r="1051" spans="1:14" x14ac:dyDescent="0.35">
      <c r="A1051">
        <v>1148</v>
      </c>
      <c r="B1051" s="4">
        <v>45668.375085336993</v>
      </c>
      <c r="C1051" t="s">
        <v>15</v>
      </c>
      <c r="D1051" t="s">
        <v>21</v>
      </c>
      <c r="E1051" t="s">
        <v>24</v>
      </c>
      <c r="F1051">
        <v>2974.61</v>
      </c>
      <c r="G1051">
        <f t="array" ref="G1051">SalesData!$I$2 - 'RFM Table'!B1051</f>
        <v>468</v>
      </c>
      <c r="H1051">
        <f t="array" ref="H1051">COUNTIF(A:A,A1051)</f>
        <v>12</v>
      </c>
      <c r="I1051">
        <f t="array" ref="I1051">SUMIF(A:A,A1051,F:F)</f>
        <v>83986.299999999988</v>
      </c>
      <c r="J1051">
        <f t="array" ref="J1051">5 - INT(5 * (RANK(G1051,G:G, 1) - 1) / COUNT(G:G))</f>
        <v>2</v>
      </c>
      <c r="K1051">
        <f t="array" ref="K1051">INT(5 * (RANK(H1051,H:H, 0) - 1) / COUNT(H:H)) + 1</f>
        <v>1</v>
      </c>
      <c r="L1051">
        <f t="array" ref="L1051">INT(5 * (RANK(I1051,I:I, 0) - 1) / COUNT(I:I)) + 1</f>
        <v>1</v>
      </c>
      <c r="M1051" t="str">
        <f t="shared" si="32"/>
        <v>211</v>
      </c>
      <c r="N1051" s="6" t="str">
        <f t="shared" si="33"/>
        <v>Lost</v>
      </c>
    </row>
    <row r="1052" spans="1:14" x14ac:dyDescent="0.35">
      <c r="A1052">
        <v>1183</v>
      </c>
      <c r="B1052" s="4">
        <v>45669.375085336993</v>
      </c>
      <c r="C1052" t="s">
        <v>13</v>
      </c>
      <c r="D1052" t="s">
        <v>21</v>
      </c>
      <c r="E1052" t="s">
        <v>25</v>
      </c>
      <c r="F1052">
        <v>1352.61</v>
      </c>
      <c r="G1052">
        <f t="array" ref="G1052">SalesData!$I$2 - 'RFM Table'!B1052</f>
        <v>467</v>
      </c>
      <c r="H1052">
        <f t="array" ref="H1052">COUNTIF(A:A,A1052)</f>
        <v>6</v>
      </c>
      <c r="I1052">
        <f t="array" ref="I1052">SUMIF(A:A,A1052,F:F)</f>
        <v>27493.600000000002</v>
      </c>
      <c r="J1052">
        <f t="array" ref="J1052">5 - INT(5 * (RANK(G1052,G:G, 1) - 1) / COUNT(G:G))</f>
        <v>2</v>
      </c>
      <c r="K1052">
        <f t="array" ref="K1052">INT(5 * (RANK(H1052,H:H, 0) - 1) / COUNT(H:H)) + 1</f>
        <v>4</v>
      </c>
      <c r="L1052">
        <f t="array" ref="L1052">INT(5 * (RANK(I1052,I:I, 0) - 1) / COUNT(I:I)) + 1</f>
        <v>4</v>
      </c>
      <c r="M1052" t="str">
        <f t="shared" si="32"/>
        <v>244</v>
      </c>
      <c r="N1052" s="6" t="str">
        <f t="shared" si="33"/>
        <v>At Risk</v>
      </c>
    </row>
    <row r="1053" spans="1:14" x14ac:dyDescent="0.35">
      <c r="A1053">
        <v>1058</v>
      </c>
      <c r="B1053" s="4">
        <v>45669.375085336993</v>
      </c>
      <c r="C1053" t="s">
        <v>15</v>
      </c>
      <c r="D1053" t="s">
        <v>17</v>
      </c>
      <c r="E1053" t="s">
        <v>24</v>
      </c>
      <c r="F1053">
        <v>1845.43</v>
      </c>
      <c r="G1053">
        <f t="array" ref="G1053">SalesData!$I$2 - 'RFM Table'!B1053</f>
        <v>467</v>
      </c>
      <c r="H1053">
        <f t="array" ref="H1053">COUNTIF(A:A,A1053)</f>
        <v>8</v>
      </c>
      <c r="I1053">
        <f t="array" ref="I1053">SUMIF(A:A,A1053,F:F)</f>
        <v>29892.99</v>
      </c>
      <c r="J1053">
        <f t="array" ref="J1053">5 - INT(5 * (RANK(G1053,G:G, 1) - 1) / COUNT(G:G))</f>
        <v>2</v>
      </c>
      <c r="K1053">
        <f t="array" ref="K1053">INT(5 * (RANK(H1053,H:H, 0) - 1) / COUNT(H:H)) + 1</f>
        <v>3</v>
      </c>
      <c r="L1053">
        <f t="array" ref="L1053">INT(5 * (RANK(I1053,I:I, 0) - 1) / COUNT(I:I)) + 1</f>
        <v>3</v>
      </c>
      <c r="M1053" t="str">
        <f t="shared" si="32"/>
        <v>233</v>
      </c>
      <c r="N1053" s="6" t="str">
        <f t="shared" si="33"/>
        <v>At Risk</v>
      </c>
    </row>
    <row r="1054" spans="1:14" x14ac:dyDescent="0.35">
      <c r="A1054">
        <v>1258</v>
      </c>
      <c r="B1054" s="4">
        <v>45669.375085336993</v>
      </c>
      <c r="C1054" t="s">
        <v>11</v>
      </c>
      <c r="D1054" t="s">
        <v>20</v>
      </c>
      <c r="E1054" t="s">
        <v>24</v>
      </c>
      <c r="F1054">
        <v>1506.41</v>
      </c>
      <c r="G1054">
        <f t="array" ref="G1054">SalesData!$I$2 - 'RFM Table'!B1054</f>
        <v>467</v>
      </c>
      <c r="H1054">
        <f t="array" ref="H1054">COUNTIF(A:A,A1054)</f>
        <v>8</v>
      </c>
      <c r="I1054">
        <f t="array" ref="I1054">SUMIF(A:A,A1054,F:F)</f>
        <v>28559.850000000002</v>
      </c>
      <c r="J1054">
        <f t="array" ref="J1054">5 - INT(5 * (RANK(G1054,G:G, 1) - 1) / COUNT(G:G))</f>
        <v>2</v>
      </c>
      <c r="K1054">
        <f t="array" ref="K1054">INT(5 * (RANK(H1054,H:H, 0) - 1) / COUNT(H:H)) + 1</f>
        <v>3</v>
      </c>
      <c r="L1054">
        <f t="array" ref="L1054">INT(5 * (RANK(I1054,I:I, 0) - 1) / COUNT(I:I)) + 1</f>
        <v>4</v>
      </c>
      <c r="M1054" t="str">
        <f t="shared" si="32"/>
        <v>234</v>
      </c>
      <c r="N1054" s="6" t="str">
        <f t="shared" si="33"/>
        <v>At Risk</v>
      </c>
    </row>
    <row r="1055" spans="1:14" x14ac:dyDescent="0.35">
      <c r="A1055">
        <v>1109</v>
      </c>
      <c r="B1055" s="4">
        <v>45670.375085336993</v>
      </c>
      <c r="C1055" t="s">
        <v>7</v>
      </c>
      <c r="D1055" t="s">
        <v>21</v>
      </c>
      <c r="E1055" t="s">
        <v>25</v>
      </c>
      <c r="F1055">
        <v>4577.8900000000003</v>
      </c>
      <c r="G1055">
        <f t="array" ref="G1055">SalesData!$I$2 - 'RFM Table'!B1055</f>
        <v>466</v>
      </c>
      <c r="H1055">
        <f t="array" ref="H1055">COUNTIF(A:A,A1055)</f>
        <v>3</v>
      </c>
      <c r="I1055">
        <f t="array" ref="I1055">SUMIF(A:A,A1055,F:F)</f>
        <v>8165.32</v>
      </c>
      <c r="J1055">
        <f t="array" ref="J1055">5 - INT(5 * (RANK(G1055,G:G, 1) - 1) / COUNT(G:G))</f>
        <v>2</v>
      </c>
      <c r="K1055">
        <f t="array" ref="K1055">INT(5 * (RANK(H1055,H:H, 0) - 1) / COUNT(H:H)) + 1</f>
        <v>5</v>
      </c>
      <c r="L1055">
        <f t="array" ref="L1055">INT(5 * (RANK(I1055,I:I, 0) - 1) / COUNT(I:I)) + 1</f>
        <v>5</v>
      </c>
      <c r="M1055" t="str">
        <f t="shared" si="32"/>
        <v>255</v>
      </c>
      <c r="N1055" s="6" t="str">
        <f t="shared" si="33"/>
        <v>At Risk</v>
      </c>
    </row>
    <row r="1056" spans="1:14" x14ac:dyDescent="0.35">
      <c r="A1056">
        <v>1201</v>
      </c>
      <c r="B1056" s="4">
        <v>45670.375085336993</v>
      </c>
      <c r="C1056" t="s">
        <v>11</v>
      </c>
      <c r="D1056" t="s">
        <v>18</v>
      </c>
      <c r="E1056" t="s">
        <v>25</v>
      </c>
      <c r="F1056">
        <v>4503.59</v>
      </c>
      <c r="G1056">
        <f t="array" ref="G1056">SalesData!$I$2 - 'RFM Table'!B1056</f>
        <v>466</v>
      </c>
      <c r="H1056">
        <f t="array" ref="H1056">COUNTIF(A:A,A1056)</f>
        <v>10</v>
      </c>
      <c r="I1056">
        <f t="array" ref="I1056">SUMIF(A:A,A1056,F:F)</f>
        <v>30897.65</v>
      </c>
      <c r="J1056">
        <f t="array" ref="J1056">5 - INT(5 * (RANK(G1056,G:G, 1) - 1) / COUNT(G:G))</f>
        <v>2</v>
      </c>
      <c r="K1056">
        <f t="array" ref="K1056">INT(5 * (RANK(H1056,H:H, 0) - 1) / COUNT(H:H)) + 1</f>
        <v>2</v>
      </c>
      <c r="L1056">
        <f t="array" ref="L1056">INT(5 * (RANK(I1056,I:I, 0) - 1) / COUNT(I:I)) + 1</f>
        <v>3</v>
      </c>
      <c r="M1056" t="str">
        <f t="shared" si="32"/>
        <v>223</v>
      </c>
      <c r="N1056" s="6" t="str">
        <f t="shared" si="33"/>
        <v>Can't Lose Them</v>
      </c>
    </row>
    <row r="1057" spans="1:14" x14ac:dyDescent="0.35">
      <c r="A1057">
        <v>1126</v>
      </c>
      <c r="B1057" s="4">
        <v>45670.375085336993</v>
      </c>
      <c r="C1057" t="s">
        <v>12</v>
      </c>
      <c r="D1057" t="s">
        <v>18</v>
      </c>
      <c r="E1057" t="s">
        <v>23</v>
      </c>
      <c r="F1057">
        <v>4611.7700000000004</v>
      </c>
      <c r="G1057">
        <f t="array" ref="G1057">SalesData!$I$2 - 'RFM Table'!B1057</f>
        <v>466</v>
      </c>
      <c r="H1057">
        <f t="array" ref="H1057">COUNTIF(A:A,A1057)</f>
        <v>5</v>
      </c>
      <c r="I1057">
        <f t="array" ref="I1057">SUMIF(A:A,A1057,F:F)</f>
        <v>16350.6</v>
      </c>
      <c r="J1057">
        <f t="array" ref="J1057">5 - INT(5 * (RANK(G1057,G:G, 1) - 1) / COUNT(G:G))</f>
        <v>2</v>
      </c>
      <c r="K1057">
        <f t="array" ref="K1057">INT(5 * (RANK(H1057,H:H, 0) - 1) / COUNT(H:H)) + 1</f>
        <v>5</v>
      </c>
      <c r="L1057">
        <f t="array" ref="L1057">INT(5 * (RANK(I1057,I:I, 0) - 1) / COUNT(I:I)) + 1</f>
        <v>5</v>
      </c>
      <c r="M1057" t="str">
        <f t="shared" si="32"/>
        <v>255</v>
      </c>
      <c r="N1057" s="6" t="str">
        <f t="shared" si="33"/>
        <v>At Risk</v>
      </c>
    </row>
    <row r="1058" spans="1:14" x14ac:dyDescent="0.35">
      <c r="A1058">
        <v>1258</v>
      </c>
      <c r="B1058" s="4">
        <v>45670.375085336993</v>
      </c>
      <c r="C1058" t="s">
        <v>10</v>
      </c>
      <c r="D1058" t="s">
        <v>20</v>
      </c>
      <c r="E1058" t="s">
        <v>25</v>
      </c>
      <c r="F1058">
        <v>3933.23</v>
      </c>
      <c r="G1058">
        <f t="array" ref="G1058">SalesData!$I$2 - 'RFM Table'!B1058</f>
        <v>466</v>
      </c>
      <c r="H1058">
        <f t="array" ref="H1058">COUNTIF(A:A,A1058)</f>
        <v>8</v>
      </c>
      <c r="I1058">
        <f t="array" ref="I1058">SUMIF(A:A,A1058,F:F)</f>
        <v>28559.850000000002</v>
      </c>
      <c r="J1058">
        <f t="array" ref="J1058">5 - INT(5 * (RANK(G1058,G:G, 1) - 1) / COUNT(G:G))</f>
        <v>2</v>
      </c>
      <c r="K1058">
        <f t="array" ref="K1058">INT(5 * (RANK(H1058,H:H, 0) - 1) / COUNT(H:H)) + 1</f>
        <v>3</v>
      </c>
      <c r="L1058">
        <f t="array" ref="L1058">INT(5 * (RANK(I1058,I:I, 0) - 1) / COUNT(I:I)) + 1</f>
        <v>4</v>
      </c>
      <c r="M1058" t="str">
        <f t="shared" si="32"/>
        <v>234</v>
      </c>
      <c r="N1058" s="6" t="str">
        <f t="shared" si="33"/>
        <v>At Risk</v>
      </c>
    </row>
    <row r="1059" spans="1:14" x14ac:dyDescent="0.35">
      <c r="A1059">
        <v>1137</v>
      </c>
      <c r="B1059" s="4">
        <v>45670.375085336993</v>
      </c>
      <c r="C1059" t="s">
        <v>7</v>
      </c>
      <c r="D1059" t="s">
        <v>21</v>
      </c>
      <c r="E1059" t="s">
        <v>25</v>
      </c>
      <c r="F1059">
        <v>8026.79</v>
      </c>
      <c r="G1059">
        <f t="array" ref="G1059">SalesData!$I$2 - 'RFM Table'!B1059</f>
        <v>466</v>
      </c>
      <c r="H1059">
        <f t="array" ref="H1059">COUNTIF(A:A,A1059)</f>
        <v>5</v>
      </c>
      <c r="I1059">
        <f t="array" ref="I1059">SUMIF(A:A,A1059,F:F)</f>
        <v>18024.71</v>
      </c>
      <c r="J1059">
        <f t="array" ref="J1059">5 - INT(5 * (RANK(G1059,G:G, 1) - 1) / COUNT(G:G))</f>
        <v>2</v>
      </c>
      <c r="K1059">
        <f t="array" ref="K1059">INT(5 * (RANK(H1059,H:H, 0) - 1) / COUNT(H:H)) + 1</f>
        <v>5</v>
      </c>
      <c r="L1059">
        <f t="array" ref="L1059">INT(5 * (RANK(I1059,I:I, 0) - 1) / COUNT(I:I)) + 1</f>
        <v>5</v>
      </c>
      <c r="M1059" t="str">
        <f t="shared" si="32"/>
        <v>255</v>
      </c>
      <c r="N1059" s="6" t="str">
        <f t="shared" si="33"/>
        <v>At Risk</v>
      </c>
    </row>
    <row r="1060" spans="1:14" x14ac:dyDescent="0.35">
      <c r="A1060">
        <v>1111</v>
      </c>
      <c r="B1060" s="4">
        <v>45670.375085336993</v>
      </c>
      <c r="C1060" t="s">
        <v>13</v>
      </c>
      <c r="D1060" t="s">
        <v>16</v>
      </c>
      <c r="E1060" t="s">
        <v>23</v>
      </c>
      <c r="F1060">
        <v>1471.81</v>
      </c>
      <c r="G1060">
        <f t="array" ref="G1060">SalesData!$I$2 - 'RFM Table'!B1060</f>
        <v>466</v>
      </c>
      <c r="H1060">
        <f t="array" ref="H1060">COUNTIF(A:A,A1060)</f>
        <v>7</v>
      </c>
      <c r="I1060">
        <f t="array" ref="I1060">SUMIF(A:A,A1060,F:F)</f>
        <v>17082.88</v>
      </c>
      <c r="J1060">
        <f t="array" ref="J1060">5 - INT(5 * (RANK(G1060,G:G, 1) - 1) / COUNT(G:G))</f>
        <v>2</v>
      </c>
      <c r="K1060">
        <f t="array" ref="K1060">INT(5 * (RANK(H1060,H:H, 0) - 1) / COUNT(H:H)) + 1</f>
        <v>4</v>
      </c>
      <c r="L1060">
        <f t="array" ref="L1060">INT(5 * (RANK(I1060,I:I, 0) - 1) / COUNT(I:I)) + 1</f>
        <v>5</v>
      </c>
      <c r="M1060" t="str">
        <f t="shared" si="32"/>
        <v>245</v>
      </c>
      <c r="N1060" s="6" t="str">
        <f t="shared" si="33"/>
        <v>At Risk</v>
      </c>
    </row>
    <row r="1061" spans="1:14" x14ac:dyDescent="0.35">
      <c r="A1061">
        <v>1024</v>
      </c>
      <c r="B1061" s="4">
        <v>45671.375085336993</v>
      </c>
      <c r="C1061" t="s">
        <v>11</v>
      </c>
      <c r="D1061" t="s">
        <v>22</v>
      </c>
      <c r="E1061" t="s">
        <v>23</v>
      </c>
      <c r="F1061">
        <v>2894.9</v>
      </c>
      <c r="G1061">
        <f t="array" ref="G1061">SalesData!$I$2 - 'RFM Table'!B1061</f>
        <v>465</v>
      </c>
      <c r="H1061">
        <f t="array" ref="H1061">COUNTIF(A:A,A1061)</f>
        <v>12</v>
      </c>
      <c r="I1061">
        <f t="array" ref="I1061">SUMIF(A:A,A1061,F:F)</f>
        <v>48008.159999999996</v>
      </c>
      <c r="J1061">
        <f t="array" ref="J1061">5 - INT(5 * (RANK(G1061,G:G, 1) - 1) / COUNT(G:G))</f>
        <v>2</v>
      </c>
      <c r="K1061">
        <f t="array" ref="K1061">INT(5 * (RANK(H1061,H:H, 0) - 1) / COUNT(H:H)) + 1</f>
        <v>1</v>
      </c>
      <c r="L1061">
        <f t="array" ref="L1061">INT(5 * (RANK(I1061,I:I, 0) - 1) / COUNT(I:I)) + 1</f>
        <v>1</v>
      </c>
      <c r="M1061" t="str">
        <f t="shared" si="32"/>
        <v>211</v>
      </c>
      <c r="N1061" s="6" t="str">
        <f t="shared" si="33"/>
        <v>Lost</v>
      </c>
    </row>
    <row r="1062" spans="1:14" x14ac:dyDescent="0.35">
      <c r="A1062">
        <v>1241</v>
      </c>
      <c r="B1062" s="4">
        <v>45671.375085336993</v>
      </c>
      <c r="C1062" t="s">
        <v>8</v>
      </c>
      <c r="D1062" t="s">
        <v>21</v>
      </c>
      <c r="E1062" t="s">
        <v>23</v>
      </c>
      <c r="F1062">
        <v>2493.69</v>
      </c>
      <c r="G1062">
        <f t="array" ref="G1062">SalesData!$I$2 - 'RFM Table'!B1062</f>
        <v>465</v>
      </c>
      <c r="H1062">
        <f t="array" ref="H1062">COUNTIF(A:A,A1062)</f>
        <v>10</v>
      </c>
      <c r="I1062">
        <f t="array" ref="I1062">SUMIF(A:A,A1062,F:F)</f>
        <v>38069.94</v>
      </c>
      <c r="J1062">
        <f t="array" ref="J1062">5 - INT(5 * (RANK(G1062,G:G, 1) - 1) / COUNT(G:G))</f>
        <v>2</v>
      </c>
      <c r="K1062">
        <f t="array" ref="K1062">INT(5 * (RANK(H1062,H:H, 0) - 1) / COUNT(H:H)) + 1</f>
        <v>2</v>
      </c>
      <c r="L1062">
        <f t="array" ref="L1062">INT(5 * (RANK(I1062,I:I, 0) - 1) / COUNT(I:I)) + 1</f>
        <v>2</v>
      </c>
      <c r="M1062" t="str">
        <f t="shared" si="32"/>
        <v>222</v>
      </c>
      <c r="N1062" s="6" t="str">
        <f t="shared" si="33"/>
        <v>Lost</v>
      </c>
    </row>
    <row r="1063" spans="1:14" x14ac:dyDescent="0.35">
      <c r="A1063">
        <v>1209</v>
      </c>
      <c r="B1063" s="4">
        <v>45671.375085336993</v>
      </c>
      <c r="C1063" t="s">
        <v>6</v>
      </c>
      <c r="D1063" t="s">
        <v>20</v>
      </c>
      <c r="E1063" t="s">
        <v>23</v>
      </c>
      <c r="F1063">
        <v>2780.55</v>
      </c>
      <c r="G1063">
        <f t="array" ref="G1063">SalesData!$I$2 - 'RFM Table'!B1063</f>
        <v>465</v>
      </c>
      <c r="H1063">
        <f t="array" ref="H1063">COUNTIF(A:A,A1063)</f>
        <v>4</v>
      </c>
      <c r="I1063">
        <f t="array" ref="I1063">SUMIF(A:A,A1063,F:F)</f>
        <v>7399.6200000000008</v>
      </c>
      <c r="J1063">
        <f t="array" ref="J1063">5 - INT(5 * (RANK(G1063,G:G, 1) - 1) / COUNT(G:G))</f>
        <v>2</v>
      </c>
      <c r="K1063">
        <f t="array" ref="K1063">INT(5 * (RANK(H1063,H:H, 0) - 1) / COUNT(H:H)) + 1</f>
        <v>5</v>
      </c>
      <c r="L1063">
        <f t="array" ref="L1063">INT(5 * (RANK(I1063,I:I, 0) - 1) / COUNT(I:I)) + 1</f>
        <v>5</v>
      </c>
      <c r="M1063" t="str">
        <f t="shared" si="32"/>
        <v>255</v>
      </c>
      <c r="N1063" s="6" t="str">
        <f t="shared" si="33"/>
        <v>At Risk</v>
      </c>
    </row>
    <row r="1064" spans="1:14" x14ac:dyDescent="0.35">
      <c r="A1064">
        <v>1323</v>
      </c>
      <c r="B1064" s="4">
        <v>45671.375085336993</v>
      </c>
      <c r="C1064" t="s">
        <v>13</v>
      </c>
      <c r="D1064" t="s">
        <v>22</v>
      </c>
      <c r="E1064" t="s">
        <v>23</v>
      </c>
      <c r="F1064">
        <v>6451.87</v>
      </c>
      <c r="G1064">
        <f t="array" ref="G1064">SalesData!$I$2 - 'RFM Table'!B1064</f>
        <v>465</v>
      </c>
      <c r="H1064">
        <f t="array" ref="H1064">COUNTIF(A:A,A1064)</f>
        <v>9</v>
      </c>
      <c r="I1064">
        <f t="array" ref="I1064">SUMIF(A:A,A1064,F:F)</f>
        <v>39366.480000000003</v>
      </c>
      <c r="J1064">
        <f t="array" ref="J1064">5 - INT(5 * (RANK(G1064,G:G, 1) - 1) / COUNT(G:G))</f>
        <v>2</v>
      </c>
      <c r="K1064">
        <f t="array" ref="K1064">INT(5 * (RANK(H1064,H:H, 0) - 1) / COUNT(H:H)) + 1</f>
        <v>2</v>
      </c>
      <c r="L1064">
        <f t="array" ref="L1064">INT(5 * (RANK(I1064,I:I, 0) - 1) / COUNT(I:I)) + 1</f>
        <v>2</v>
      </c>
      <c r="M1064" t="str">
        <f t="shared" si="32"/>
        <v>222</v>
      </c>
      <c r="N1064" s="6" t="str">
        <f t="shared" si="33"/>
        <v>Lost</v>
      </c>
    </row>
    <row r="1065" spans="1:14" x14ac:dyDescent="0.35">
      <c r="A1065">
        <v>1053</v>
      </c>
      <c r="B1065" s="4">
        <v>45672.375085336993</v>
      </c>
      <c r="C1065" t="s">
        <v>9</v>
      </c>
      <c r="D1065" t="s">
        <v>18</v>
      </c>
      <c r="E1065" t="s">
        <v>23</v>
      </c>
      <c r="F1065">
        <v>3592.73</v>
      </c>
      <c r="G1065">
        <f t="array" ref="G1065">SalesData!$I$2 - 'RFM Table'!B1065</f>
        <v>464</v>
      </c>
      <c r="H1065">
        <f t="array" ref="H1065">COUNTIF(A:A,A1065)</f>
        <v>10</v>
      </c>
      <c r="I1065">
        <f t="array" ref="I1065">SUMIF(A:A,A1065,F:F)</f>
        <v>44572.97</v>
      </c>
      <c r="J1065">
        <f t="array" ref="J1065">5 - INT(5 * (RANK(G1065,G:G, 1) - 1) / COUNT(G:G))</f>
        <v>2</v>
      </c>
      <c r="K1065">
        <f t="array" ref="K1065">INT(5 * (RANK(H1065,H:H, 0) - 1) / COUNT(H:H)) + 1</f>
        <v>2</v>
      </c>
      <c r="L1065">
        <f t="array" ref="L1065">INT(5 * (RANK(I1065,I:I, 0) - 1) / COUNT(I:I)) + 1</f>
        <v>2</v>
      </c>
      <c r="M1065" t="str">
        <f t="shared" si="32"/>
        <v>222</v>
      </c>
      <c r="N1065" s="6" t="str">
        <f t="shared" si="33"/>
        <v>Lost</v>
      </c>
    </row>
    <row r="1066" spans="1:14" x14ac:dyDescent="0.35">
      <c r="A1066">
        <v>1089</v>
      </c>
      <c r="B1066" s="4">
        <v>45672.375085336993</v>
      </c>
      <c r="C1066" t="s">
        <v>10</v>
      </c>
      <c r="D1066" t="s">
        <v>20</v>
      </c>
      <c r="E1066" t="s">
        <v>24</v>
      </c>
      <c r="F1066">
        <v>5079.91</v>
      </c>
      <c r="G1066">
        <f t="array" ref="G1066">SalesData!$I$2 - 'RFM Table'!B1066</f>
        <v>464</v>
      </c>
      <c r="H1066">
        <f t="array" ref="H1066">COUNTIF(A:A,A1066)</f>
        <v>10</v>
      </c>
      <c r="I1066">
        <f t="array" ref="I1066">SUMIF(A:A,A1066,F:F)</f>
        <v>36855.5</v>
      </c>
      <c r="J1066">
        <f t="array" ref="J1066">5 - INT(5 * (RANK(G1066,G:G, 1) - 1) / COUNT(G:G))</f>
        <v>2</v>
      </c>
      <c r="K1066">
        <f t="array" ref="K1066">INT(5 * (RANK(H1066,H:H, 0) - 1) / COUNT(H:H)) + 1</f>
        <v>2</v>
      </c>
      <c r="L1066">
        <f t="array" ref="L1066">INT(5 * (RANK(I1066,I:I, 0) - 1) / COUNT(I:I)) + 1</f>
        <v>2</v>
      </c>
      <c r="M1066" t="str">
        <f t="shared" si="32"/>
        <v>222</v>
      </c>
      <c r="N1066" s="6" t="str">
        <f t="shared" si="33"/>
        <v>Lost</v>
      </c>
    </row>
    <row r="1067" spans="1:14" x14ac:dyDescent="0.35">
      <c r="A1067">
        <v>1315</v>
      </c>
      <c r="B1067" s="4">
        <v>45672.375085336993</v>
      </c>
      <c r="C1067" t="s">
        <v>15</v>
      </c>
      <c r="D1067" t="s">
        <v>16</v>
      </c>
      <c r="E1067" t="s">
        <v>23</v>
      </c>
      <c r="F1067">
        <v>4372.47</v>
      </c>
      <c r="G1067">
        <f t="array" ref="G1067">SalesData!$I$2 - 'RFM Table'!B1067</f>
        <v>464</v>
      </c>
      <c r="H1067">
        <f t="array" ref="H1067">COUNTIF(A:A,A1067)</f>
        <v>12</v>
      </c>
      <c r="I1067">
        <f t="array" ref="I1067">SUMIF(A:A,A1067,F:F)</f>
        <v>42776.80999999999</v>
      </c>
      <c r="J1067">
        <f t="array" ref="J1067">5 - INT(5 * (RANK(G1067,G:G, 1) - 1) / COUNT(G:G))</f>
        <v>2</v>
      </c>
      <c r="K1067">
        <f t="array" ref="K1067">INT(5 * (RANK(H1067,H:H, 0) - 1) / COUNT(H:H)) + 1</f>
        <v>1</v>
      </c>
      <c r="L1067">
        <f t="array" ref="L1067">INT(5 * (RANK(I1067,I:I, 0) - 1) / COUNT(I:I)) + 1</f>
        <v>2</v>
      </c>
      <c r="M1067" t="str">
        <f t="shared" si="32"/>
        <v>212</v>
      </c>
      <c r="N1067" s="6" t="str">
        <f t="shared" si="33"/>
        <v>Lost</v>
      </c>
    </row>
    <row r="1068" spans="1:14" x14ac:dyDescent="0.35">
      <c r="A1068">
        <v>1307</v>
      </c>
      <c r="B1068" s="4">
        <v>45673.375085336993</v>
      </c>
      <c r="C1068" t="s">
        <v>14</v>
      </c>
      <c r="D1068" t="s">
        <v>16</v>
      </c>
      <c r="E1068" t="s">
        <v>25</v>
      </c>
      <c r="F1068">
        <v>5562.98</v>
      </c>
      <c r="G1068">
        <f t="array" ref="G1068">SalesData!$I$2 - 'RFM Table'!B1068</f>
        <v>463</v>
      </c>
      <c r="H1068">
        <f t="array" ref="H1068">COUNTIF(A:A,A1068)</f>
        <v>7</v>
      </c>
      <c r="I1068">
        <f t="array" ref="I1068">SUMIF(A:A,A1068,F:F)</f>
        <v>33514.49</v>
      </c>
      <c r="J1068">
        <f t="array" ref="J1068">5 - INT(5 * (RANK(G1068,G:G, 1) - 1) / COUNT(G:G))</f>
        <v>2</v>
      </c>
      <c r="K1068">
        <f t="array" ref="K1068">INT(5 * (RANK(H1068,H:H, 0) - 1) / COUNT(H:H)) + 1</f>
        <v>4</v>
      </c>
      <c r="L1068">
        <f t="array" ref="L1068">INT(5 * (RANK(I1068,I:I, 0) - 1) / COUNT(I:I)) + 1</f>
        <v>3</v>
      </c>
      <c r="M1068" t="str">
        <f t="shared" si="32"/>
        <v>243</v>
      </c>
      <c r="N1068" s="6" t="str">
        <f t="shared" si="33"/>
        <v>At Risk</v>
      </c>
    </row>
    <row r="1069" spans="1:14" x14ac:dyDescent="0.35">
      <c r="A1069">
        <v>1159</v>
      </c>
      <c r="B1069" s="4">
        <v>45673.375085336993</v>
      </c>
      <c r="C1069" t="s">
        <v>10</v>
      </c>
      <c r="D1069" t="s">
        <v>21</v>
      </c>
      <c r="E1069" t="s">
        <v>24</v>
      </c>
      <c r="F1069">
        <v>6171.15</v>
      </c>
      <c r="G1069">
        <f t="array" ref="G1069">SalesData!$I$2 - 'RFM Table'!B1069</f>
        <v>463</v>
      </c>
      <c r="H1069">
        <f t="array" ref="H1069">COUNTIF(A:A,A1069)</f>
        <v>15</v>
      </c>
      <c r="I1069">
        <f t="array" ref="I1069">SUMIF(A:A,A1069,F:F)</f>
        <v>57217.139999999992</v>
      </c>
      <c r="J1069">
        <f t="array" ref="J1069">5 - INT(5 * (RANK(G1069,G:G, 1) - 1) / COUNT(G:G))</f>
        <v>2</v>
      </c>
      <c r="K1069">
        <f t="array" ref="K1069">INT(5 * (RANK(H1069,H:H, 0) - 1) / COUNT(H:H)) + 1</f>
        <v>1</v>
      </c>
      <c r="L1069">
        <f t="array" ref="L1069">INT(5 * (RANK(I1069,I:I, 0) - 1) / COUNT(I:I)) + 1</f>
        <v>1</v>
      </c>
      <c r="M1069" t="str">
        <f t="shared" si="32"/>
        <v>211</v>
      </c>
      <c r="N1069" s="6" t="str">
        <f t="shared" si="33"/>
        <v>Lost</v>
      </c>
    </row>
    <row r="1070" spans="1:14" x14ac:dyDescent="0.35">
      <c r="A1070">
        <v>1146</v>
      </c>
      <c r="B1070" s="4">
        <v>45673.375085336993</v>
      </c>
      <c r="C1070" t="s">
        <v>13</v>
      </c>
      <c r="D1070" t="s">
        <v>20</v>
      </c>
      <c r="E1070" t="s">
        <v>25</v>
      </c>
      <c r="F1070">
        <v>9617.76</v>
      </c>
      <c r="G1070">
        <f t="array" ref="G1070">SalesData!$I$2 - 'RFM Table'!B1070</f>
        <v>463</v>
      </c>
      <c r="H1070">
        <f t="array" ref="H1070">COUNTIF(A:A,A1070)</f>
        <v>11</v>
      </c>
      <c r="I1070">
        <f t="array" ref="I1070">SUMIF(A:A,A1070,F:F)</f>
        <v>43110.84</v>
      </c>
      <c r="J1070">
        <f t="array" ref="J1070">5 - INT(5 * (RANK(G1070,G:G, 1) - 1) / COUNT(G:G))</f>
        <v>2</v>
      </c>
      <c r="K1070">
        <f t="array" ref="K1070">INT(5 * (RANK(H1070,H:H, 0) - 1) / COUNT(H:H)) + 1</f>
        <v>1</v>
      </c>
      <c r="L1070">
        <f t="array" ref="L1070">INT(5 * (RANK(I1070,I:I, 0) - 1) / COUNT(I:I)) + 1</f>
        <v>2</v>
      </c>
      <c r="M1070" t="str">
        <f t="shared" si="32"/>
        <v>212</v>
      </c>
      <c r="N1070" s="6" t="str">
        <f t="shared" si="33"/>
        <v>Lost</v>
      </c>
    </row>
    <row r="1071" spans="1:14" x14ac:dyDescent="0.35">
      <c r="A1071">
        <v>1393</v>
      </c>
      <c r="B1071" s="4">
        <v>45673.375085336993</v>
      </c>
      <c r="C1071" t="s">
        <v>8</v>
      </c>
      <c r="D1071" t="s">
        <v>21</v>
      </c>
      <c r="E1071" t="s">
        <v>24</v>
      </c>
      <c r="F1071">
        <v>2786.9</v>
      </c>
      <c r="G1071">
        <f t="array" ref="G1071">SalesData!$I$2 - 'RFM Table'!B1071</f>
        <v>463</v>
      </c>
      <c r="H1071">
        <f t="array" ref="H1071">COUNTIF(A:A,A1071)</f>
        <v>7</v>
      </c>
      <c r="I1071">
        <f t="array" ref="I1071">SUMIF(A:A,A1071,F:F)</f>
        <v>28804.870000000003</v>
      </c>
      <c r="J1071">
        <f t="array" ref="J1071">5 - INT(5 * (RANK(G1071,G:G, 1) - 1) / COUNT(G:G))</f>
        <v>2</v>
      </c>
      <c r="K1071">
        <f t="array" ref="K1071">INT(5 * (RANK(H1071,H:H, 0) - 1) / COUNT(H:H)) + 1</f>
        <v>4</v>
      </c>
      <c r="L1071">
        <f t="array" ref="L1071">INT(5 * (RANK(I1071,I:I, 0) - 1) / COUNT(I:I)) + 1</f>
        <v>4</v>
      </c>
      <c r="M1071" t="str">
        <f t="shared" si="32"/>
        <v>244</v>
      </c>
      <c r="N1071" s="6" t="str">
        <f t="shared" si="33"/>
        <v>At Risk</v>
      </c>
    </row>
    <row r="1072" spans="1:14" x14ac:dyDescent="0.35">
      <c r="A1072">
        <v>1141</v>
      </c>
      <c r="B1072" s="4">
        <v>45673.375085336993</v>
      </c>
      <c r="C1072" t="s">
        <v>7</v>
      </c>
      <c r="D1072" t="s">
        <v>22</v>
      </c>
      <c r="E1072" t="s">
        <v>25</v>
      </c>
      <c r="F1072">
        <v>686.24</v>
      </c>
      <c r="G1072">
        <f t="array" ref="G1072">SalesData!$I$2 - 'RFM Table'!B1072</f>
        <v>463</v>
      </c>
      <c r="H1072">
        <f t="array" ref="H1072">COUNTIF(A:A,A1072)</f>
        <v>5</v>
      </c>
      <c r="I1072">
        <f t="array" ref="I1072">SUMIF(A:A,A1072,F:F)</f>
        <v>18049.21</v>
      </c>
      <c r="J1072">
        <f t="array" ref="J1072">5 - INT(5 * (RANK(G1072,G:G, 1) - 1) / COUNT(G:G))</f>
        <v>2</v>
      </c>
      <c r="K1072">
        <f t="array" ref="K1072">INT(5 * (RANK(H1072,H:H, 0) - 1) / COUNT(H:H)) + 1</f>
        <v>5</v>
      </c>
      <c r="L1072">
        <f t="array" ref="L1072">INT(5 * (RANK(I1072,I:I, 0) - 1) / COUNT(I:I)) + 1</f>
        <v>5</v>
      </c>
      <c r="M1072" t="str">
        <f t="shared" si="32"/>
        <v>255</v>
      </c>
      <c r="N1072" s="6" t="str">
        <f t="shared" si="33"/>
        <v>At Risk</v>
      </c>
    </row>
    <row r="1073" spans="1:14" x14ac:dyDescent="0.35">
      <c r="A1073">
        <v>1262</v>
      </c>
      <c r="B1073" s="4">
        <v>45673.375085336993</v>
      </c>
      <c r="C1073" t="s">
        <v>9</v>
      </c>
      <c r="D1073" t="s">
        <v>19</v>
      </c>
      <c r="E1073" t="s">
        <v>25</v>
      </c>
      <c r="F1073">
        <v>2907.7</v>
      </c>
      <c r="G1073">
        <f t="array" ref="G1073">SalesData!$I$2 - 'RFM Table'!B1073</f>
        <v>463</v>
      </c>
      <c r="H1073">
        <f t="array" ref="H1073">COUNTIF(A:A,A1073)</f>
        <v>6</v>
      </c>
      <c r="I1073">
        <f t="array" ref="I1073">SUMIF(A:A,A1073,F:F)</f>
        <v>15936.029999999999</v>
      </c>
      <c r="J1073">
        <f t="array" ref="J1073">5 - INT(5 * (RANK(G1073,G:G, 1) - 1) / COUNT(G:G))</f>
        <v>2</v>
      </c>
      <c r="K1073">
        <f t="array" ref="K1073">INT(5 * (RANK(H1073,H:H, 0) - 1) / COUNT(H:H)) + 1</f>
        <v>4</v>
      </c>
      <c r="L1073">
        <f t="array" ref="L1073">INT(5 * (RANK(I1073,I:I, 0) - 1) / COUNT(I:I)) + 1</f>
        <v>5</v>
      </c>
      <c r="M1073" t="str">
        <f t="shared" si="32"/>
        <v>245</v>
      </c>
      <c r="N1073" s="6" t="str">
        <f t="shared" si="33"/>
        <v>At Risk</v>
      </c>
    </row>
    <row r="1074" spans="1:14" x14ac:dyDescent="0.35">
      <c r="A1074">
        <v>1100</v>
      </c>
      <c r="B1074" s="4">
        <v>45673.375085336993</v>
      </c>
      <c r="C1074" t="s">
        <v>13</v>
      </c>
      <c r="D1074" t="s">
        <v>19</v>
      </c>
      <c r="E1074" t="s">
        <v>24</v>
      </c>
      <c r="F1074">
        <v>874.32</v>
      </c>
      <c r="G1074">
        <f t="array" ref="G1074">SalesData!$I$2 - 'RFM Table'!B1074</f>
        <v>463</v>
      </c>
      <c r="H1074">
        <f t="array" ref="H1074">COUNTIF(A:A,A1074)</f>
        <v>12</v>
      </c>
      <c r="I1074">
        <f t="array" ref="I1074">SUMIF(A:A,A1074,F:F)</f>
        <v>54905.279999999992</v>
      </c>
      <c r="J1074">
        <f t="array" ref="J1074">5 - INT(5 * (RANK(G1074,G:G, 1) - 1) / COUNT(G:G))</f>
        <v>2</v>
      </c>
      <c r="K1074">
        <f t="array" ref="K1074">INT(5 * (RANK(H1074,H:H, 0) - 1) / COUNT(H:H)) + 1</f>
        <v>1</v>
      </c>
      <c r="L1074">
        <f t="array" ref="L1074">INT(5 * (RANK(I1074,I:I, 0) - 1) / COUNT(I:I)) + 1</f>
        <v>1</v>
      </c>
      <c r="M1074" t="str">
        <f t="shared" si="32"/>
        <v>211</v>
      </c>
      <c r="N1074" s="6" t="str">
        <f t="shared" si="33"/>
        <v>Lost</v>
      </c>
    </row>
    <row r="1075" spans="1:14" x14ac:dyDescent="0.35">
      <c r="A1075">
        <v>1129</v>
      </c>
      <c r="B1075" s="4">
        <v>45674.375085336993</v>
      </c>
      <c r="C1075" t="s">
        <v>10</v>
      </c>
      <c r="D1075" t="s">
        <v>18</v>
      </c>
      <c r="E1075" t="s">
        <v>23</v>
      </c>
      <c r="F1075">
        <v>7820.26</v>
      </c>
      <c r="G1075">
        <f t="array" ref="G1075">SalesData!$I$2 - 'RFM Table'!B1075</f>
        <v>462</v>
      </c>
      <c r="H1075">
        <f t="array" ref="H1075">COUNTIF(A:A,A1075)</f>
        <v>14</v>
      </c>
      <c r="I1075">
        <f t="array" ref="I1075">SUMIF(A:A,A1075,F:F)</f>
        <v>53433.220000000008</v>
      </c>
      <c r="J1075">
        <f t="array" ref="J1075">5 - INT(5 * (RANK(G1075,G:G, 1) - 1) / COUNT(G:G))</f>
        <v>2</v>
      </c>
      <c r="K1075">
        <f t="array" ref="K1075">INT(5 * (RANK(H1075,H:H, 0) - 1) / COUNT(H:H)) + 1</f>
        <v>1</v>
      </c>
      <c r="L1075">
        <f t="array" ref="L1075">INT(5 * (RANK(I1075,I:I, 0) - 1) / COUNT(I:I)) + 1</f>
        <v>1</v>
      </c>
      <c r="M1075" t="str">
        <f t="shared" si="32"/>
        <v>211</v>
      </c>
      <c r="N1075" s="6" t="str">
        <f t="shared" si="33"/>
        <v>Lost</v>
      </c>
    </row>
    <row r="1076" spans="1:14" x14ac:dyDescent="0.35">
      <c r="A1076">
        <v>1358</v>
      </c>
      <c r="B1076" s="4">
        <v>45674.375085336993</v>
      </c>
      <c r="C1076" t="s">
        <v>10</v>
      </c>
      <c r="D1076" t="s">
        <v>22</v>
      </c>
      <c r="E1076" t="s">
        <v>25</v>
      </c>
      <c r="F1076">
        <v>4392.25</v>
      </c>
      <c r="G1076">
        <f t="array" ref="G1076">SalesData!$I$2 - 'RFM Table'!B1076</f>
        <v>462</v>
      </c>
      <c r="H1076">
        <f t="array" ref="H1076">COUNTIF(A:A,A1076)</f>
        <v>9</v>
      </c>
      <c r="I1076">
        <f t="array" ref="I1076">SUMIF(A:A,A1076,F:F)</f>
        <v>29151.88</v>
      </c>
      <c r="J1076">
        <f t="array" ref="J1076">5 - INT(5 * (RANK(G1076,G:G, 1) - 1) / COUNT(G:G))</f>
        <v>2</v>
      </c>
      <c r="K1076">
        <f t="array" ref="K1076">INT(5 * (RANK(H1076,H:H, 0) - 1) / COUNT(H:H)) + 1</f>
        <v>2</v>
      </c>
      <c r="L1076">
        <f t="array" ref="L1076">INT(5 * (RANK(I1076,I:I, 0) - 1) / COUNT(I:I)) + 1</f>
        <v>4</v>
      </c>
      <c r="M1076" t="str">
        <f t="shared" si="32"/>
        <v>224</v>
      </c>
      <c r="N1076" s="6" t="str">
        <f t="shared" si="33"/>
        <v>Can't Lose Them</v>
      </c>
    </row>
    <row r="1077" spans="1:14" x14ac:dyDescent="0.35">
      <c r="A1077">
        <v>1345</v>
      </c>
      <c r="B1077" s="4">
        <v>45674.375085336993</v>
      </c>
      <c r="C1077" t="s">
        <v>6</v>
      </c>
      <c r="D1077" t="s">
        <v>16</v>
      </c>
      <c r="E1077" t="s">
        <v>23</v>
      </c>
      <c r="F1077">
        <v>4313.76</v>
      </c>
      <c r="G1077">
        <f t="array" ref="G1077">SalesData!$I$2 - 'RFM Table'!B1077</f>
        <v>462</v>
      </c>
      <c r="H1077">
        <f t="array" ref="H1077">COUNTIF(A:A,A1077)</f>
        <v>9</v>
      </c>
      <c r="I1077">
        <f t="array" ref="I1077">SUMIF(A:A,A1077,F:F)</f>
        <v>35330.950000000004</v>
      </c>
      <c r="J1077">
        <f t="array" ref="J1077">5 - INT(5 * (RANK(G1077,G:G, 1) - 1) / COUNT(G:G))</f>
        <v>2</v>
      </c>
      <c r="K1077">
        <f t="array" ref="K1077">INT(5 * (RANK(H1077,H:H, 0) - 1) / COUNT(H:H)) + 1</f>
        <v>2</v>
      </c>
      <c r="L1077">
        <f t="array" ref="L1077">INT(5 * (RANK(I1077,I:I, 0) - 1) / COUNT(I:I)) + 1</f>
        <v>3</v>
      </c>
      <c r="M1077" t="str">
        <f t="shared" si="32"/>
        <v>223</v>
      </c>
      <c r="N1077" s="6" t="str">
        <f t="shared" si="33"/>
        <v>Can't Lose Them</v>
      </c>
    </row>
    <row r="1078" spans="1:14" x14ac:dyDescent="0.35">
      <c r="A1078">
        <v>1003</v>
      </c>
      <c r="B1078" s="4">
        <v>45674.375085336993</v>
      </c>
      <c r="C1078" t="s">
        <v>9</v>
      </c>
      <c r="D1078" t="s">
        <v>16</v>
      </c>
      <c r="E1078" t="s">
        <v>23</v>
      </c>
      <c r="F1078">
        <v>4629.1400000000003</v>
      </c>
      <c r="G1078">
        <f t="array" ref="G1078">SalesData!$I$2 - 'RFM Table'!B1078</f>
        <v>462</v>
      </c>
      <c r="H1078">
        <f t="array" ref="H1078">COUNTIF(A:A,A1078)</f>
        <v>9</v>
      </c>
      <c r="I1078">
        <f t="array" ref="I1078">SUMIF(A:A,A1078,F:F)</f>
        <v>48978.57</v>
      </c>
      <c r="J1078">
        <f t="array" ref="J1078">5 - INT(5 * (RANK(G1078,G:G, 1) - 1) / COUNT(G:G))</f>
        <v>2</v>
      </c>
      <c r="K1078">
        <f t="array" ref="K1078">INT(5 * (RANK(H1078,H:H, 0) - 1) / COUNT(H:H)) + 1</f>
        <v>2</v>
      </c>
      <c r="L1078">
        <f t="array" ref="L1078">INT(5 * (RANK(I1078,I:I, 0) - 1) / COUNT(I:I)) + 1</f>
        <v>1</v>
      </c>
      <c r="M1078" t="str">
        <f t="shared" si="32"/>
        <v>221</v>
      </c>
      <c r="N1078" s="6" t="str">
        <f t="shared" si="33"/>
        <v>Lost</v>
      </c>
    </row>
    <row r="1079" spans="1:14" x14ac:dyDescent="0.35">
      <c r="A1079">
        <v>1358</v>
      </c>
      <c r="B1079" s="4">
        <v>45674.375085336993</v>
      </c>
      <c r="C1079" t="s">
        <v>7</v>
      </c>
      <c r="D1079" t="s">
        <v>16</v>
      </c>
      <c r="E1079" t="s">
        <v>24</v>
      </c>
      <c r="F1079">
        <v>3663.42</v>
      </c>
      <c r="G1079">
        <f t="array" ref="G1079">SalesData!$I$2 - 'RFM Table'!B1079</f>
        <v>462</v>
      </c>
      <c r="H1079">
        <f t="array" ref="H1079">COUNTIF(A:A,A1079)</f>
        <v>9</v>
      </c>
      <c r="I1079">
        <f t="array" ref="I1079">SUMIF(A:A,A1079,F:F)</f>
        <v>29151.88</v>
      </c>
      <c r="J1079">
        <f t="array" ref="J1079">5 - INT(5 * (RANK(G1079,G:G, 1) - 1) / COUNT(G:G))</f>
        <v>2</v>
      </c>
      <c r="K1079">
        <f t="array" ref="K1079">INT(5 * (RANK(H1079,H:H, 0) - 1) / COUNT(H:H)) + 1</f>
        <v>2</v>
      </c>
      <c r="L1079">
        <f t="array" ref="L1079">INT(5 * (RANK(I1079,I:I, 0) - 1) / COUNT(I:I)) + 1</f>
        <v>4</v>
      </c>
      <c r="M1079" t="str">
        <f t="shared" si="32"/>
        <v>224</v>
      </c>
      <c r="N1079" s="6" t="str">
        <f t="shared" si="33"/>
        <v>Can't Lose Them</v>
      </c>
    </row>
    <row r="1080" spans="1:14" x14ac:dyDescent="0.35">
      <c r="A1080">
        <v>1007</v>
      </c>
      <c r="B1080" s="4">
        <v>45675.375085336993</v>
      </c>
      <c r="C1080" t="s">
        <v>9</v>
      </c>
      <c r="D1080" t="s">
        <v>17</v>
      </c>
      <c r="E1080" t="s">
        <v>23</v>
      </c>
      <c r="F1080">
        <v>5810.42</v>
      </c>
      <c r="G1080">
        <f t="array" ref="G1080">SalesData!$I$2 - 'RFM Table'!B1080</f>
        <v>461</v>
      </c>
      <c r="H1080">
        <f t="array" ref="H1080">COUNTIF(A:A,A1080)</f>
        <v>9</v>
      </c>
      <c r="I1080">
        <f t="array" ref="I1080">SUMIF(A:A,A1080,F:F)</f>
        <v>47571.369999999995</v>
      </c>
      <c r="J1080">
        <f t="array" ref="J1080">5 - INT(5 * (RANK(G1080,G:G, 1) - 1) / COUNT(G:G))</f>
        <v>2</v>
      </c>
      <c r="K1080">
        <f t="array" ref="K1080">INT(5 * (RANK(H1080,H:H, 0) - 1) / COUNT(H:H)) + 1</f>
        <v>2</v>
      </c>
      <c r="L1080">
        <f t="array" ref="L1080">INT(5 * (RANK(I1080,I:I, 0) - 1) / COUNT(I:I)) + 1</f>
        <v>1</v>
      </c>
      <c r="M1080" t="str">
        <f t="shared" si="32"/>
        <v>221</v>
      </c>
      <c r="N1080" s="6" t="str">
        <f t="shared" si="33"/>
        <v>Lost</v>
      </c>
    </row>
    <row r="1081" spans="1:14" x14ac:dyDescent="0.35">
      <c r="A1081">
        <v>1086</v>
      </c>
      <c r="B1081" s="4">
        <v>45675.375085336993</v>
      </c>
      <c r="C1081" t="s">
        <v>13</v>
      </c>
      <c r="D1081" t="s">
        <v>21</v>
      </c>
      <c r="E1081" t="s">
        <v>23</v>
      </c>
      <c r="F1081">
        <v>2160.6999999999998</v>
      </c>
      <c r="G1081">
        <f t="array" ref="G1081">SalesData!$I$2 - 'RFM Table'!B1081</f>
        <v>461</v>
      </c>
      <c r="H1081">
        <f t="array" ref="H1081">COUNTIF(A:A,A1081)</f>
        <v>6</v>
      </c>
      <c r="I1081">
        <f t="array" ref="I1081">SUMIF(A:A,A1081,F:F)</f>
        <v>18163.55</v>
      </c>
      <c r="J1081">
        <f t="array" ref="J1081">5 - INT(5 * (RANK(G1081,G:G, 1) - 1) / COUNT(G:G))</f>
        <v>2</v>
      </c>
      <c r="K1081">
        <f t="array" ref="K1081">INT(5 * (RANK(H1081,H:H, 0) - 1) / COUNT(H:H)) + 1</f>
        <v>4</v>
      </c>
      <c r="L1081">
        <f t="array" ref="L1081">INT(5 * (RANK(I1081,I:I, 0) - 1) / COUNT(I:I)) + 1</f>
        <v>5</v>
      </c>
      <c r="M1081" t="str">
        <f t="shared" si="32"/>
        <v>245</v>
      </c>
      <c r="N1081" s="6" t="str">
        <f t="shared" si="33"/>
        <v>At Risk</v>
      </c>
    </row>
    <row r="1082" spans="1:14" x14ac:dyDescent="0.35">
      <c r="A1082">
        <v>1279</v>
      </c>
      <c r="B1082" s="4">
        <v>45675.375085336993</v>
      </c>
      <c r="C1082" t="s">
        <v>7</v>
      </c>
      <c r="D1082" t="s">
        <v>20</v>
      </c>
      <c r="E1082" t="s">
        <v>25</v>
      </c>
      <c r="F1082">
        <v>2387.89</v>
      </c>
      <c r="G1082">
        <f t="array" ref="G1082">SalesData!$I$2 - 'RFM Table'!B1082</f>
        <v>461</v>
      </c>
      <c r="H1082">
        <f t="array" ref="H1082">COUNTIF(A:A,A1082)</f>
        <v>8</v>
      </c>
      <c r="I1082">
        <f t="array" ref="I1082">SUMIF(A:A,A1082,F:F)</f>
        <v>28833.759999999998</v>
      </c>
      <c r="J1082">
        <f t="array" ref="J1082">5 - INT(5 * (RANK(G1082,G:G, 1) - 1) / COUNT(G:G))</f>
        <v>2</v>
      </c>
      <c r="K1082">
        <f t="array" ref="K1082">INT(5 * (RANK(H1082,H:H, 0) - 1) / COUNT(H:H)) + 1</f>
        <v>3</v>
      </c>
      <c r="L1082">
        <f t="array" ref="L1082">INT(5 * (RANK(I1082,I:I, 0) - 1) / COUNT(I:I)) + 1</f>
        <v>4</v>
      </c>
      <c r="M1082" t="str">
        <f t="shared" si="32"/>
        <v>234</v>
      </c>
      <c r="N1082" s="6" t="str">
        <f t="shared" si="33"/>
        <v>At Risk</v>
      </c>
    </row>
    <row r="1083" spans="1:14" x14ac:dyDescent="0.35">
      <c r="A1083">
        <v>1363</v>
      </c>
      <c r="B1083" s="4">
        <v>45675.375085336993</v>
      </c>
      <c r="C1083" t="s">
        <v>6</v>
      </c>
      <c r="D1083" t="s">
        <v>18</v>
      </c>
      <c r="E1083" t="s">
        <v>23</v>
      </c>
      <c r="F1083">
        <v>3425.83</v>
      </c>
      <c r="G1083">
        <f t="array" ref="G1083">SalesData!$I$2 - 'RFM Table'!B1083</f>
        <v>461</v>
      </c>
      <c r="H1083">
        <f t="array" ref="H1083">COUNTIF(A:A,A1083)</f>
        <v>9</v>
      </c>
      <c r="I1083">
        <f t="array" ref="I1083">SUMIF(A:A,A1083,F:F)</f>
        <v>33344.57</v>
      </c>
      <c r="J1083">
        <f t="array" ref="J1083">5 - INT(5 * (RANK(G1083,G:G, 1) - 1) / COUNT(G:G))</f>
        <v>2</v>
      </c>
      <c r="K1083">
        <f t="array" ref="K1083">INT(5 * (RANK(H1083,H:H, 0) - 1) / COUNT(H:H)) + 1</f>
        <v>2</v>
      </c>
      <c r="L1083">
        <f t="array" ref="L1083">INT(5 * (RANK(I1083,I:I, 0) - 1) / COUNT(I:I)) + 1</f>
        <v>3</v>
      </c>
      <c r="M1083" t="str">
        <f t="shared" si="32"/>
        <v>223</v>
      </c>
      <c r="N1083" s="6" t="str">
        <f t="shared" si="33"/>
        <v>Can't Lose Them</v>
      </c>
    </row>
    <row r="1084" spans="1:14" x14ac:dyDescent="0.35">
      <c r="A1084">
        <v>1348</v>
      </c>
      <c r="B1084" s="4">
        <v>45675.375085336993</v>
      </c>
      <c r="C1084" t="s">
        <v>15</v>
      </c>
      <c r="D1084" t="s">
        <v>18</v>
      </c>
      <c r="E1084" t="s">
        <v>24</v>
      </c>
      <c r="F1084">
        <v>4533.59</v>
      </c>
      <c r="G1084">
        <f t="array" ref="G1084">SalesData!$I$2 - 'RFM Table'!B1084</f>
        <v>461</v>
      </c>
      <c r="H1084">
        <f t="array" ref="H1084">COUNTIF(A:A,A1084)</f>
        <v>12</v>
      </c>
      <c r="I1084">
        <f t="array" ref="I1084">SUMIF(A:A,A1084,F:F)</f>
        <v>27185.14</v>
      </c>
      <c r="J1084">
        <f t="array" ref="J1084">5 - INT(5 * (RANK(G1084,G:G, 1) - 1) / COUNT(G:G))</f>
        <v>2</v>
      </c>
      <c r="K1084">
        <f t="array" ref="K1084">INT(5 * (RANK(H1084,H:H, 0) - 1) / COUNT(H:H)) + 1</f>
        <v>1</v>
      </c>
      <c r="L1084">
        <f t="array" ref="L1084">INT(5 * (RANK(I1084,I:I, 0) - 1) / COUNT(I:I)) + 1</f>
        <v>4</v>
      </c>
      <c r="M1084" t="str">
        <f t="shared" si="32"/>
        <v>214</v>
      </c>
      <c r="N1084" s="6" t="str">
        <f t="shared" si="33"/>
        <v>Can't Lose Them</v>
      </c>
    </row>
    <row r="1085" spans="1:14" x14ac:dyDescent="0.35">
      <c r="A1085">
        <v>1375</v>
      </c>
      <c r="B1085" s="4">
        <v>45676.375085336993</v>
      </c>
      <c r="C1085" t="s">
        <v>9</v>
      </c>
      <c r="D1085" t="s">
        <v>17</v>
      </c>
      <c r="E1085" t="s">
        <v>24</v>
      </c>
      <c r="F1085">
        <v>1384.55</v>
      </c>
      <c r="G1085">
        <f t="array" ref="G1085">SalesData!$I$2 - 'RFM Table'!B1085</f>
        <v>460</v>
      </c>
      <c r="H1085">
        <f t="array" ref="H1085">COUNTIF(A:A,A1085)</f>
        <v>9</v>
      </c>
      <c r="I1085">
        <f t="array" ref="I1085">SUMIF(A:A,A1085,F:F)</f>
        <v>37215.54</v>
      </c>
      <c r="J1085">
        <f t="array" ref="J1085">5 - INT(5 * (RANK(G1085,G:G, 1) - 1) / COUNT(G:G))</f>
        <v>2</v>
      </c>
      <c r="K1085">
        <f t="array" ref="K1085">INT(5 * (RANK(H1085,H:H, 0) - 1) / COUNT(H:H)) + 1</f>
        <v>2</v>
      </c>
      <c r="L1085">
        <f t="array" ref="L1085">INT(5 * (RANK(I1085,I:I, 0) - 1) / COUNT(I:I)) + 1</f>
        <v>2</v>
      </c>
      <c r="M1085" t="str">
        <f t="shared" si="32"/>
        <v>222</v>
      </c>
      <c r="N1085" s="6" t="str">
        <f t="shared" si="33"/>
        <v>Lost</v>
      </c>
    </row>
    <row r="1086" spans="1:14" x14ac:dyDescent="0.35">
      <c r="A1086">
        <v>1315</v>
      </c>
      <c r="B1086" s="4">
        <v>45676.375085336993</v>
      </c>
      <c r="C1086" t="s">
        <v>10</v>
      </c>
      <c r="D1086" t="s">
        <v>21</v>
      </c>
      <c r="E1086" t="s">
        <v>23</v>
      </c>
      <c r="F1086">
        <v>2813.05</v>
      </c>
      <c r="G1086">
        <f t="array" ref="G1086">SalesData!$I$2 - 'RFM Table'!B1086</f>
        <v>460</v>
      </c>
      <c r="H1086">
        <f t="array" ref="H1086">COUNTIF(A:A,A1086)</f>
        <v>12</v>
      </c>
      <c r="I1086">
        <f t="array" ref="I1086">SUMIF(A:A,A1086,F:F)</f>
        <v>42776.80999999999</v>
      </c>
      <c r="J1086">
        <f t="array" ref="J1086">5 - INT(5 * (RANK(G1086,G:G, 1) - 1) / COUNT(G:G))</f>
        <v>2</v>
      </c>
      <c r="K1086">
        <f t="array" ref="K1086">INT(5 * (RANK(H1086,H:H, 0) - 1) / COUNT(H:H)) + 1</f>
        <v>1</v>
      </c>
      <c r="L1086">
        <f t="array" ref="L1086">INT(5 * (RANK(I1086,I:I, 0) - 1) / COUNT(I:I)) + 1</f>
        <v>2</v>
      </c>
      <c r="M1086" t="str">
        <f t="shared" si="32"/>
        <v>212</v>
      </c>
      <c r="N1086" s="6" t="str">
        <f t="shared" si="33"/>
        <v>Lost</v>
      </c>
    </row>
    <row r="1087" spans="1:14" x14ac:dyDescent="0.35">
      <c r="A1087">
        <v>1230</v>
      </c>
      <c r="B1087" s="4">
        <v>45676.375085336993</v>
      </c>
      <c r="C1087" t="s">
        <v>8</v>
      </c>
      <c r="D1087" t="s">
        <v>19</v>
      </c>
      <c r="E1087" t="s">
        <v>23</v>
      </c>
      <c r="F1087">
        <v>940.75</v>
      </c>
      <c r="G1087">
        <f t="array" ref="G1087">SalesData!$I$2 - 'RFM Table'!B1087</f>
        <v>460</v>
      </c>
      <c r="H1087">
        <f t="array" ref="H1087">COUNTIF(A:A,A1087)</f>
        <v>11</v>
      </c>
      <c r="I1087">
        <f t="array" ref="I1087">SUMIF(A:A,A1087,F:F)</f>
        <v>29238.53</v>
      </c>
      <c r="J1087">
        <f t="array" ref="J1087">5 - INT(5 * (RANK(G1087,G:G, 1) - 1) / COUNT(G:G))</f>
        <v>2</v>
      </c>
      <c r="K1087">
        <f t="array" ref="K1087">INT(5 * (RANK(H1087,H:H, 0) - 1) / COUNT(H:H)) + 1</f>
        <v>1</v>
      </c>
      <c r="L1087">
        <f t="array" ref="L1087">INT(5 * (RANK(I1087,I:I, 0) - 1) / COUNT(I:I)) + 1</f>
        <v>4</v>
      </c>
      <c r="M1087" t="str">
        <f t="shared" si="32"/>
        <v>214</v>
      </c>
      <c r="N1087" s="6" t="str">
        <f t="shared" si="33"/>
        <v>Can't Lose Them</v>
      </c>
    </row>
    <row r="1088" spans="1:14" x14ac:dyDescent="0.35">
      <c r="A1088">
        <v>1174</v>
      </c>
      <c r="B1088" s="4">
        <v>45676.375085336993</v>
      </c>
      <c r="C1088" t="s">
        <v>13</v>
      </c>
      <c r="D1088" t="s">
        <v>19</v>
      </c>
      <c r="E1088" t="s">
        <v>25</v>
      </c>
      <c r="F1088">
        <v>3047.63</v>
      </c>
      <c r="G1088">
        <f t="array" ref="G1088">SalesData!$I$2 - 'RFM Table'!B1088</f>
        <v>460</v>
      </c>
      <c r="H1088">
        <f t="array" ref="H1088">COUNTIF(A:A,A1088)</f>
        <v>7</v>
      </c>
      <c r="I1088">
        <f t="array" ref="I1088">SUMIF(A:A,A1088,F:F)</f>
        <v>28777.9</v>
      </c>
      <c r="J1088">
        <f t="array" ref="J1088">5 - INT(5 * (RANK(G1088,G:G, 1) - 1) / COUNT(G:G))</f>
        <v>2</v>
      </c>
      <c r="K1088">
        <f t="array" ref="K1088">INT(5 * (RANK(H1088,H:H, 0) - 1) / COUNT(H:H)) + 1</f>
        <v>4</v>
      </c>
      <c r="L1088">
        <f t="array" ref="L1088">INT(5 * (RANK(I1088,I:I, 0) - 1) / COUNT(I:I)) + 1</f>
        <v>4</v>
      </c>
      <c r="M1088" t="str">
        <f t="shared" si="32"/>
        <v>244</v>
      </c>
      <c r="N1088" s="6" t="str">
        <f t="shared" si="33"/>
        <v>At Risk</v>
      </c>
    </row>
    <row r="1089" spans="1:14" x14ac:dyDescent="0.35">
      <c r="A1089">
        <v>1009</v>
      </c>
      <c r="B1089" s="4">
        <v>45677.375085336993</v>
      </c>
      <c r="C1089" t="s">
        <v>9</v>
      </c>
      <c r="D1089" t="s">
        <v>18</v>
      </c>
      <c r="E1089" t="s">
        <v>25</v>
      </c>
      <c r="F1089">
        <v>605.85</v>
      </c>
      <c r="G1089">
        <f t="array" ref="G1089">SalesData!$I$2 - 'RFM Table'!B1089</f>
        <v>459</v>
      </c>
      <c r="H1089">
        <f t="array" ref="H1089">COUNTIF(A:A,A1089)</f>
        <v>9</v>
      </c>
      <c r="I1089">
        <f t="array" ref="I1089">SUMIF(A:A,A1089,F:F)</f>
        <v>30047.29</v>
      </c>
      <c r="J1089">
        <f t="array" ref="J1089">5 - INT(5 * (RANK(G1089,G:G, 1) - 1) / COUNT(G:G))</f>
        <v>2</v>
      </c>
      <c r="K1089">
        <f t="array" ref="K1089">INT(5 * (RANK(H1089,H:H, 0) - 1) / COUNT(H:H)) + 1</f>
        <v>2</v>
      </c>
      <c r="L1089">
        <f t="array" ref="L1089">INT(5 * (RANK(I1089,I:I, 0) - 1) / COUNT(I:I)) + 1</f>
        <v>3</v>
      </c>
      <c r="M1089" t="str">
        <f t="shared" si="32"/>
        <v>223</v>
      </c>
      <c r="N1089" s="6" t="str">
        <f t="shared" si="33"/>
        <v>Can't Lose Them</v>
      </c>
    </row>
    <row r="1090" spans="1:14" x14ac:dyDescent="0.35">
      <c r="A1090">
        <v>1168</v>
      </c>
      <c r="B1090" s="4">
        <v>45677.375085336993</v>
      </c>
      <c r="C1090" t="s">
        <v>13</v>
      </c>
      <c r="D1090" t="s">
        <v>21</v>
      </c>
      <c r="E1090" t="s">
        <v>25</v>
      </c>
      <c r="F1090">
        <v>1019.3</v>
      </c>
      <c r="G1090">
        <f t="array" ref="G1090">SalesData!$I$2 - 'RFM Table'!B1090</f>
        <v>459</v>
      </c>
      <c r="H1090">
        <f t="array" ref="H1090">COUNTIF(A:A,A1090)</f>
        <v>4</v>
      </c>
      <c r="I1090">
        <f t="array" ref="I1090">SUMIF(A:A,A1090,F:F)</f>
        <v>6987.52</v>
      </c>
      <c r="J1090">
        <f t="array" ref="J1090">5 - INT(5 * (RANK(G1090,G:G, 1) - 1) / COUNT(G:G))</f>
        <v>2</v>
      </c>
      <c r="K1090">
        <f t="array" ref="K1090">INT(5 * (RANK(H1090,H:H, 0) - 1) / COUNT(H:H)) + 1</f>
        <v>5</v>
      </c>
      <c r="L1090">
        <f t="array" ref="L1090">INT(5 * (RANK(I1090,I:I, 0) - 1) / COUNT(I:I)) + 1</f>
        <v>5</v>
      </c>
      <c r="M1090" t="str">
        <f t="shared" si="32"/>
        <v>255</v>
      </c>
      <c r="N1090" s="6" t="str">
        <f t="shared" si="33"/>
        <v>At Risk</v>
      </c>
    </row>
    <row r="1091" spans="1:14" x14ac:dyDescent="0.35">
      <c r="A1091">
        <v>1284</v>
      </c>
      <c r="B1091" s="4">
        <v>45677.375085336993</v>
      </c>
      <c r="C1091" t="s">
        <v>11</v>
      </c>
      <c r="D1091" t="s">
        <v>22</v>
      </c>
      <c r="E1091" t="s">
        <v>25</v>
      </c>
      <c r="F1091">
        <v>1795.53</v>
      </c>
      <c r="G1091">
        <f t="array" ref="G1091">SalesData!$I$2 - 'RFM Table'!B1091</f>
        <v>459</v>
      </c>
      <c r="H1091">
        <f t="array" ref="H1091">COUNTIF(A:A,A1091)</f>
        <v>12</v>
      </c>
      <c r="I1091">
        <f t="array" ref="I1091">SUMIF(A:A,A1091,F:F)</f>
        <v>49930.359999999993</v>
      </c>
      <c r="J1091">
        <f t="array" ref="J1091">5 - INT(5 * (RANK(G1091,G:G, 1) - 1) / COUNT(G:G))</f>
        <v>2</v>
      </c>
      <c r="K1091">
        <f t="array" ref="K1091">INT(5 * (RANK(H1091,H:H, 0) - 1) / COUNT(H:H)) + 1</f>
        <v>1</v>
      </c>
      <c r="L1091">
        <f t="array" ref="L1091">INT(5 * (RANK(I1091,I:I, 0) - 1) / COUNT(I:I)) + 1</f>
        <v>1</v>
      </c>
      <c r="M1091" t="str">
        <f t="shared" ref="M1091:M1154" si="34">J1091 &amp; K1091 &amp; L1091</f>
        <v>211</v>
      </c>
      <c r="N1091" s="6" t="str">
        <f t="shared" ref="N1091:N1154" si="35">IF(AND(J1091&gt;=4,K1091&lt;=2),"New Customers",
IF(AND(J1091&lt;=2,K1091&gt;=3,L1091&gt;=3),"At Risk",
IF(AND(J1091&lt;=2,K1091&lt;=2,L1091&gt;=3),"Can't Lose Them",
IF(AND(J1091&lt;=2,K1091&lt;=2,L1091&lt;=2),"Lost",
"Others"))))</f>
        <v>Lost</v>
      </c>
    </row>
    <row r="1092" spans="1:14" x14ac:dyDescent="0.35">
      <c r="A1092">
        <v>1227</v>
      </c>
      <c r="B1092" s="4">
        <v>45677.375085336993</v>
      </c>
      <c r="C1092" t="s">
        <v>7</v>
      </c>
      <c r="D1092" t="s">
        <v>21</v>
      </c>
      <c r="E1092" t="s">
        <v>24</v>
      </c>
      <c r="F1092">
        <v>2194.44</v>
      </c>
      <c r="G1092">
        <f t="array" ref="G1092">SalesData!$I$2 - 'RFM Table'!B1092</f>
        <v>459</v>
      </c>
      <c r="H1092">
        <f t="array" ref="H1092">COUNTIF(A:A,A1092)</f>
        <v>7</v>
      </c>
      <c r="I1092">
        <f t="array" ref="I1092">SUMIF(A:A,A1092,F:F)</f>
        <v>39486.589999999997</v>
      </c>
      <c r="J1092">
        <f t="array" ref="J1092">5 - INT(5 * (RANK(G1092,G:G, 1) - 1) / COUNT(G:G))</f>
        <v>2</v>
      </c>
      <c r="K1092">
        <f t="array" ref="K1092">INT(5 * (RANK(H1092,H:H, 0) - 1) / COUNT(H:H)) + 1</f>
        <v>4</v>
      </c>
      <c r="L1092">
        <f t="array" ref="L1092">INT(5 * (RANK(I1092,I:I, 0) - 1) / COUNT(I:I)) + 1</f>
        <v>2</v>
      </c>
      <c r="M1092" t="str">
        <f t="shared" si="34"/>
        <v>242</v>
      </c>
      <c r="N1092" s="6" t="str">
        <f t="shared" si="35"/>
        <v>Others</v>
      </c>
    </row>
    <row r="1093" spans="1:14" x14ac:dyDescent="0.35">
      <c r="A1093">
        <v>1315</v>
      </c>
      <c r="B1093" s="4">
        <v>45678.375085336993</v>
      </c>
      <c r="C1093" t="s">
        <v>10</v>
      </c>
      <c r="D1093" t="s">
        <v>22</v>
      </c>
      <c r="E1093" t="s">
        <v>24</v>
      </c>
      <c r="F1093">
        <v>8203.99</v>
      </c>
      <c r="G1093">
        <f t="array" ref="G1093">SalesData!$I$2 - 'RFM Table'!B1093</f>
        <v>458</v>
      </c>
      <c r="H1093">
        <f t="array" ref="H1093">COUNTIF(A:A,A1093)</f>
        <v>12</v>
      </c>
      <c r="I1093">
        <f t="array" ref="I1093">SUMIF(A:A,A1093,F:F)</f>
        <v>42776.80999999999</v>
      </c>
      <c r="J1093">
        <f t="array" ref="J1093">5 - INT(5 * (RANK(G1093,G:G, 1) - 1) / COUNT(G:G))</f>
        <v>2</v>
      </c>
      <c r="K1093">
        <f t="array" ref="K1093">INT(5 * (RANK(H1093,H:H, 0) - 1) / COUNT(H:H)) + 1</f>
        <v>1</v>
      </c>
      <c r="L1093">
        <f t="array" ref="L1093">INT(5 * (RANK(I1093,I:I, 0) - 1) / COUNT(I:I)) + 1</f>
        <v>2</v>
      </c>
      <c r="M1093" t="str">
        <f t="shared" si="34"/>
        <v>212</v>
      </c>
      <c r="N1093" s="6" t="str">
        <f t="shared" si="35"/>
        <v>Lost</v>
      </c>
    </row>
    <row r="1094" spans="1:14" x14ac:dyDescent="0.35">
      <c r="A1094">
        <v>1373</v>
      </c>
      <c r="B1094" s="4">
        <v>45678.375085336993</v>
      </c>
      <c r="C1094" t="s">
        <v>6</v>
      </c>
      <c r="D1094" t="s">
        <v>16</v>
      </c>
      <c r="E1094" t="s">
        <v>23</v>
      </c>
      <c r="F1094">
        <v>5208.3999999999996</v>
      </c>
      <c r="G1094">
        <f t="array" ref="G1094">SalesData!$I$2 - 'RFM Table'!B1094</f>
        <v>458</v>
      </c>
      <c r="H1094">
        <f t="array" ref="H1094">COUNTIF(A:A,A1094)</f>
        <v>11</v>
      </c>
      <c r="I1094">
        <f t="array" ref="I1094">SUMIF(A:A,A1094,F:F)</f>
        <v>46795.570000000007</v>
      </c>
      <c r="J1094">
        <f t="array" ref="J1094">5 - INT(5 * (RANK(G1094,G:G, 1) - 1) / COUNT(G:G))</f>
        <v>2</v>
      </c>
      <c r="K1094">
        <f t="array" ref="K1094">INT(5 * (RANK(H1094,H:H, 0) - 1) / COUNT(H:H)) + 1</f>
        <v>1</v>
      </c>
      <c r="L1094">
        <f t="array" ref="L1094">INT(5 * (RANK(I1094,I:I, 0) - 1) / COUNT(I:I)) + 1</f>
        <v>1</v>
      </c>
      <c r="M1094" t="str">
        <f t="shared" si="34"/>
        <v>211</v>
      </c>
      <c r="N1094" s="6" t="str">
        <f t="shared" si="35"/>
        <v>Lost</v>
      </c>
    </row>
    <row r="1095" spans="1:14" x14ac:dyDescent="0.35">
      <c r="A1095">
        <v>1279</v>
      </c>
      <c r="B1095" s="4">
        <v>45678.375085336993</v>
      </c>
      <c r="C1095" t="s">
        <v>7</v>
      </c>
      <c r="D1095" t="s">
        <v>21</v>
      </c>
      <c r="E1095" t="s">
        <v>23</v>
      </c>
      <c r="F1095">
        <v>3563.71</v>
      </c>
      <c r="G1095">
        <f t="array" ref="G1095">SalesData!$I$2 - 'RFM Table'!B1095</f>
        <v>458</v>
      </c>
      <c r="H1095">
        <f t="array" ref="H1095">COUNTIF(A:A,A1095)</f>
        <v>8</v>
      </c>
      <c r="I1095">
        <f t="array" ref="I1095">SUMIF(A:A,A1095,F:F)</f>
        <v>28833.759999999998</v>
      </c>
      <c r="J1095">
        <f t="array" ref="J1095">5 - INT(5 * (RANK(G1095,G:G, 1) - 1) / COUNT(G:G))</f>
        <v>2</v>
      </c>
      <c r="K1095">
        <f t="array" ref="K1095">INT(5 * (RANK(H1095,H:H, 0) - 1) / COUNT(H:H)) + 1</f>
        <v>3</v>
      </c>
      <c r="L1095">
        <f t="array" ref="L1095">INT(5 * (RANK(I1095,I:I, 0) - 1) / COUNT(I:I)) + 1</f>
        <v>4</v>
      </c>
      <c r="M1095" t="str">
        <f t="shared" si="34"/>
        <v>234</v>
      </c>
      <c r="N1095" s="6" t="str">
        <f t="shared" si="35"/>
        <v>At Risk</v>
      </c>
    </row>
    <row r="1096" spans="1:14" x14ac:dyDescent="0.35">
      <c r="A1096">
        <v>1171</v>
      </c>
      <c r="B1096" s="4">
        <v>45678.375085336993</v>
      </c>
      <c r="C1096" t="s">
        <v>15</v>
      </c>
      <c r="D1096" t="s">
        <v>20</v>
      </c>
      <c r="E1096" t="s">
        <v>23</v>
      </c>
      <c r="F1096">
        <v>8208.19</v>
      </c>
      <c r="G1096">
        <f t="array" ref="G1096">SalesData!$I$2 - 'RFM Table'!B1096</f>
        <v>458</v>
      </c>
      <c r="H1096">
        <f t="array" ref="H1096">COUNTIF(A:A,A1096)</f>
        <v>9</v>
      </c>
      <c r="I1096">
        <f t="array" ref="I1096">SUMIF(A:A,A1096,F:F)</f>
        <v>40942.560000000005</v>
      </c>
      <c r="J1096">
        <f t="array" ref="J1096">5 - INT(5 * (RANK(G1096,G:G, 1) - 1) / COUNT(G:G))</f>
        <v>2</v>
      </c>
      <c r="K1096">
        <f t="array" ref="K1096">INT(5 * (RANK(H1096,H:H, 0) - 1) / COUNT(H:H)) + 1</f>
        <v>2</v>
      </c>
      <c r="L1096">
        <f t="array" ref="L1096">INT(5 * (RANK(I1096,I:I, 0) - 1) / COUNT(I:I)) + 1</f>
        <v>2</v>
      </c>
      <c r="M1096" t="str">
        <f t="shared" si="34"/>
        <v>222</v>
      </c>
      <c r="N1096" s="6" t="str">
        <f t="shared" si="35"/>
        <v>Lost</v>
      </c>
    </row>
    <row r="1097" spans="1:14" x14ac:dyDescent="0.35">
      <c r="A1097">
        <v>1147</v>
      </c>
      <c r="B1097" s="4">
        <v>45678.375085336993</v>
      </c>
      <c r="C1097" t="s">
        <v>13</v>
      </c>
      <c r="D1097" t="s">
        <v>17</v>
      </c>
      <c r="E1097" t="s">
        <v>24</v>
      </c>
      <c r="F1097">
        <v>3867.03</v>
      </c>
      <c r="G1097">
        <f t="array" ref="G1097">SalesData!$I$2 - 'RFM Table'!B1097</f>
        <v>458</v>
      </c>
      <c r="H1097">
        <f t="array" ref="H1097">COUNTIF(A:A,A1097)</f>
        <v>9</v>
      </c>
      <c r="I1097">
        <f t="array" ref="I1097">SUMIF(A:A,A1097,F:F)</f>
        <v>31221.600000000002</v>
      </c>
      <c r="J1097">
        <f t="array" ref="J1097">5 - INT(5 * (RANK(G1097,G:G, 1) - 1) / COUNT(G:G))</f>
        <v>2</v>
      </c>
      <c r="K1097">
        <f t="array" ref="K1097">INT(5 * (RANK(H1097,H:H, 0) - 1) / COUNT(H:H)) + 1</f>
        <v>2</v>
      </c>
      <c r="L1097">
        <f t="array" ref="L1097">INT(5 * (RANK(I1097,I:I, 0) - 1) / COUNT(I:I)) + 1</f>
        <v>3</v>
      </c>
      <c r="M1097" t="str">
        <f t="shared" si="34"/>
        <v>223</v>
      </c>
      <c r="N1097" s="6" t="str">
        <f t="shared" si="35"/>
        <v>Can't Lose Them</v>
      </c>
    </row>
    <row r="1098" spans="1:14" x14ac:dyDescent="0.35">
      <c r="A1098">
        <v>1337</v>
      </c>
      <c r="B1098" s="4">
        <v>45678.375085336993</v>
      </c>
      <c r="C1098" t="s">
        <v>6</v>
      </c>
      <c r="D1098" t="s">
        <v>21</v>
      </c>
      <c r="E1098" t="s">
        <v>24</v>
      </c>
      <c r="F1098">
        <v>3357.21</v>
      </c>
      <c r="G1098">
        <f t="array" ref="G1098">SalesData!$I$2 - 'RFM Table'!B1098</f>
        <v>458</v>
      </c>
      <c r="H1098">
        <f t="array" ref="H1098">COUNTIF(A:A,A1098)</f>
        <v>7</v>
      </c>
      <c r="I1098">
        <f t="array" ref="I1098">SUMIF(A:A,A1098,F:F)</f>
        <v>33899.22</v>
      </c>
      <c r="J1098">
        <f t="array" ref="J1098">5 - INT(5 * (RANK(G1098,G:G, 1) - 1) / COUNT(G:G))</f>
        <v>2</v>
      </c>
      <c r="K1098">
        <f t="array" ref="K1098">INT(5 * (RANK(H1098,H:H, 0) - 1) / COUNT(H:H)) + 1</f>
        <v>4</v>
      </c>
      <c r="L1098">
        <f t="array" ref="L1098">INT(5 * (RANK(I1098,I:I, 0) - 1) / COUNT(I:I)) + 1</f>
        <v>3</v>
      </c>
      <c r="M1098" t="str">
        <f t="shared" si="34"/>
        <v>243</v>
      </c>
      <c r="N1098" s="6" t="str">
        <f t="shared" si="35"/>
        <v>At Risk</v>
      </c>
    </row>
    <row r="1099" spans="1:14" x14ac:dyDescent="0.35">
      <c r="A1099">
        <v>1110</v>
      </c>
      <c r="B1099" s="4">
        <v>45679.375085336993</v>
      </c>
      <c r="C1099" t="s">
        <v>7</v>
      </c>
      <c r="D1099" t="s">
        <v>18</v>
      </c>
      <c r="E1099" t="s">
        <v>25</v>
      </c>
      <c r="F1099">
        <v>5447.51</v>
      </c>
      <c r="G1099">
        <f t="array" ref="G1099">SalesData!$I$2 - 'RFM Table'!B1099</f>
        <v>457</v>
      </c>
      <c r="H1099">
        <f t="array" ref="H1099">COUNTIF(A:A,A1099)</f>
        <v>13</v>
      </c>
      <c r="I1099">
        <f t="array" ref="I1099">SUMIF(A:A,A1099,F:F)</f>
        <v>72511.88</v>
      </c>
      <c r="J1099">
        <f t="array" ref="J1099">5 - INT(5 * (RANK(G1099,G:G, 1) - 1) / COUNT(G:G))</f>
        <v>2</v>
      </c>
      <c r="K1099">
        <f t="array" ref="K1099">INT(5 * (RANK(H1099,H:H, 0) - 1) / COUNT(H:H)) + 1</f>
        <v>1</v>
      </c>
      <c r="L1099">
        <f t="array" ref="L1099">INT(5 * (RANK(I1099,I:I, 0) - 1) / COUNT(I:I)) + 1</f>
        <v>1</v>
      </c>
      <c r="M1099" t="str">
        <f t="shared" si="34"/>
        <v>211</v>
      </c>
      <c r="N1099" s="6" t="str">
        <f t="shared" si="35"/>
        <v>Lost</v>
      </c>
    </row>
    <row r="1100" spans="1:14" x14ac:dyDescent="0.35">
      <c r="A1100">
        <v>1172</v>
      </c>
      <c r="B1100" s="4">
        <v>45679.375085336993</v>
      </c>
      <c r="C1100" t="s">
        <v>15</v>
      </c>
      <c r="D1100" t="s">
        <v>18</v>
      </c>
      <c r="E1100" t="s">
        <v>24</v>
      </c>
      <c r="F1100">
        <v>4541.47</v>
      </c>
      <c r="G1100">
        <f t="array" ref="G1100">SalesData!$I$2 - 'RFM Table'!B1100</f>
        <v>457</v>
      </c>
      <c r="H1100">
        <f t="array" ref="H1100">COUNTIF(A:A,A1100)</f>
        <v>13</v>
      </c>
      <c r="I1100">
        <f t="array" ref="I1100">SUMIF(A:A,A1100,F:F)</f>
        <v>64175.24</v>
      </c>
      <c r="J1100">
        <f t="array" ref="J1100">5 - INT(5 * (RANK(G1100,G:G, 1) - 1) / COUNT(G:G))</f>
        <v>2</v>
      </c>
      <c r="K1100">
        <f t="array" ref="K1100">INT(5 * (RANK(H1100,H:H, 0) - 1) / COUNT(H:H)) + 1</f>
        <v>1</v>
      </c>
      <c r="L1100">
        <f t="array" ref="L1100">INT(5 * (RANK(I1100,I:I, 0) - 1) / COUNT(I:I)) + 1</f>
        <v>1</v>
      </c>
      <c r="M1100" t="str">
        <f t="shared" si="34"/>
        <v>211</v>
      </c>
      <c r="N1100" s="6" t="str">
        <f t="shared" si="35"/>
        <v>Lost</v>
      </c>
    </row>
    <row r="1101" spans="1:14" x14ac:dyDescent="0.35">
      <c r="A1101">
        <v>1293</v>
      </c>
      <c r="B1101" s="4">
        <v>45679.375085336993</v>
      </c>
      <c r="C1101" t="s">
        <v>6</v>
      </c>
      <c r="D1101" t="s">
        <v>20</v>
      </c>
      <c r="E1101" t="s">
        <v>24</v>
      </c>
      <c r="F1101">
        <v>3399.06</v>
      </c>
      <c r="G1101">
        <f t="array" ref="G1101">SalesData!$I$2 - 'RFM Table'!B1101</f>
        <v>457</v>
      </c>
      <c r="H1101">
        <f t="array" ref="H1101">COUNTIF(A:A,A1101)</f>
        <v>7</v>
      </c>
      <c r="I1101">
        <f t="array" ref="I1101">SUMIF(A:A,A1101,F:F)</f>
        <v>27438.3</v>
      </c>
      <c r="J1101">
        <f t="array" ref="J1101">5 - INT(5 * (RANK(G1101,G:G, 1) - 1) / COUNT(G:G))</f>
        <v>2</v>
      </c>
      <c r="K1101">
        <f t="array" ref="K1101">INT(5 * (RANK(H1101,H:H, 0) - 1) / COUNT(H:H)) + 1</f>
        <v>4</v>
      </c>
      <c r="L1101">
        <f t="array" ref="L1101">INT(5 * (RANK(I1101,I:I, 0) - 1) / COUNT(I:I)) + 1</f>
        <v>4</v>
      </c>
      <c r="M1101" t="str">
        <f t="shared" si="34"/>
        <v>244</v>
      </c>
      <c r="N1101" s="6" t="str">
        <f t="shared" si="35"/>
        <v>At Risk</v>
      </c>
    </row>
    <row r="1102" spans="1:14" x14ac:dyDescent="0.35">
      <c r="A1102">
        <v>1252</v>
      </c>
      <c r="B1102" s="4">
        <v>45680.375085336993</v>
      </c>
      <c r="C1102" t="s">
        <v>15</v>
      </c>
      <c r="D1102" t="s">
        <v>22</v>
      </c>
      <c r="E1102" t="s">
        <v>23</v>
      </c>
      <c r="F1102">
        <v>3227.05</v>
      </c>
      <c r="G1102">
        <f t="array" ref="G1102">SalesData!$I$2 - 'RFM Table'!B1102</f>
        <v>456</v>
      </c>
      <c r="H1102">
        <f t="array" ref="H1102">COUNTIF(A:A,A1102)</f>
        <v>8</v>
      </c>
      <c r="I1102">
        <f t="array" ref="I1102">SUMIF(A:A,A1102,F:F)</f>
        <v>29088.159999999996</v>
      </c>
      <c r="J1102">
        <f t="array" ref="J1102">5 - INT(5 * (RANK(G1102,G:G, 1) - 1) / COUNT(G:G))</f>
        <v>2</v>
      </c>
      <c r="K1102">
        <f t="array" ref="K1102">INT(5 * (RANK(H1102,H:H, 0) - 1) / COUNT(H:H)) + 1</f>
        <v>3</v>
      </c>
      <c r="L1102">
        <f t="array" ref="L1102">INT(5 * (RANK(I1102,I:I, 0) - 1) / COUNT(I:I)) + 1</f>
        <v>4</v>
      </c>
      <c r="M1102" t="str">
        <f t="shared" si="34"/>
        <v>234</v>
      </c>
      <c r="N1102" s="6" t="str">
        <f t="shared" si="35"/>
        <v>At Risk</v>
      </c>
    </row>
    <row r="1103" spans="1:14" x14ac:dyDescent="0.35">
      <c r="A1103">
        <v>1329</v>
      </c>
      <c r="B1103" s="4">
        <v>45680.375085336993</v>
      </c>
      <c r="C1103" t="s">
        <v>13</v>
      </c>
      <c r="D1103" t="s">
        <v>16</v>
      </c>
      <c r="E1103" t="s">
        <v>24</v>
      </c>
      <c r="F1103">
        <v>5454.69</v>
      </c>
      <c r="G1103">
        <f t="array" ref="G1103">SalesData!$I$2 - 'RFM Table'!B1103</f>
        <v>456</v>
      </c>
      <c r="H1103">
        <f t="array" ref="H1103">COUNTIF(A:A,A1103)</f>
        <v>9</v>
      </c>
      <c r="I1103">
        <f t="array" ref="I1103">SUMIF(A:A,A1103,F:F)</f>
        <v>27881.53</v>
      </c>
      <c r="J1103">
        <f t="array" ref="J1103">5 - INT(5 * (RANK(G1103,G:G, 1) - 1) / COUNT(G:G))</f>
        <v>2</v>
      </c>
      <c r="K1103">
        <f t="array" ref="K1103">INT(5 * (RANK(H1103,H:H, 0) - 1) / COUNT(H:H)) + 1</f>
        <v>2</v>
      </c>
      <c r="L1103">
        <f t="array" ref="L1103">INT(5 * (RANK(I1103,I:I, 0) - 1) / COUNT(I:I)) + 1</f>
        <v>4</v>
      </c>
      <c r="M1103" t="str">
        <f t="shared" si="34"/>
        <v>224</v>
      </c>
      <c r="N1103" s="6" t="str">
        <f t="shared" si="35"/>
        <v>Can't Lose Them</v>
      </c>
    </row>
    <row r="1104" spans="1:14" x14ac:dyDescent="0.35">
      <c r="A1104">
        <v>1156</v>
      </c>
      <c r="B1104" s="4">
        <v>45681.375085336993</v>
      </c>
      <c r="C1104" t="s">
        <v>7</v>
      </c>
      <c r="D1104" t="s">
        <v>20</v>
      </c>
      <c r="E1104" t="s">
        <v>25</v>
      </c>
      <c r="F1104">
        <v>6119.95</v>
      </c>
      <c r="G1104">
        <f t="array" ref="G1104">SalesData!$I$2 - 'RFM Table'!B1104</f>
        <v>455</v>
      </c>
      <c r="H1104">
        <f t="array" ref="H1104">COUNTIF(A:A,A1104)</f>
        <v>8</v>
      </c>
      <c r="I1104">
        <f t="array" ref="I1104">SUMIF(A:A,A1104,F:F)</f>
        <v>43799.990000000005</v>
      </c>
      <c r="J1104">
        <f t="array" ref="J1104">5 - INT(5 * (RANK(G1104,G:G, 1) - 1) / COUNT(G:G))</f>
        <v>2</v>
      </c>
      <c r="K1104">
        <f t="array" ref="K1104">INT(5 * (RANK(H1104,H:H, 0) - 1) / COUNT(H:H)) + 1</f>
        <v>3</v>
      </c>
      <c r="L1104">
        <f t="array" ref="L1104">INT(5 * (RANK(I1104,I:I, 0) - 1) / COUNT(I:I)) + 1</f>
        <v>2</v>
      </c>
      <c r="M1104" t="str">
        <f t="shared" si="34"/>
        <v>232</v>
      </c>
      <c r="N1104" s="6" t="str">
        <f t="shared" si="35"/>
        <v>Others</v>
      </c>
    </row>
    <row r="1105" spans="1:14" x14ac:dyDescent="0.35">
      <c r="A1105">
        <v>1333</v>
      </c>
      <c r="B1105" s="4">
        <v>45681.375085336993</v>
      </c>
      <c r="C1105" t="s">
        <v>13</v>
      </c>
      <c r="D1105" t="s">
        <v>19</v>
      </c>
      <c r="E1105" t="s">
        <v>24</v>
      </c>
      <c r="F1105">
        <v>2205.1799999999998</v>
      </c>
      <c r="G1105">
        <f t="array" ref="G1105">SalesData!$I$2 - 'RFM Table'!B1105</f>
        <v>455</v>
      </c>
      <c r="H1105">
        <f t="array" ref="H1105">COUNTIF(A:A,A1105)</f>
        <v>6</v>
      </c>
      <c r="I1105">
        <f t="array" ref="I1105">SUMIF(A:A,A1105,F:F)</f>
        <v>12410.619999999999</v>
      </c>
      <c r="J1105">
        <f t="array" ref="J1105">5 - INT(5 * (RANK(G1105,G:G, 1) - 1) / COUNT(G:G))</f>
        <v>2</v>
      </c>
      <c r="K1105">
        <f t="array" ref="K1105">INT(5 * (RANK(H1105,H:H, 0) - 1) / COUNT(H:H)) + 1</f>
        <v>4</v>
      </c>
      <c r="L1105">
        <f t="array" ref="L1105">INT(5 * (RANK(I1105,I:I, 0) - 1) / COUNT(I:I)) + 1</f>
        <v>5</v>
      </c>
      <c r="M1105" t="str">
        <f t="shared" si="34"/>
        <v>245</v>
      </c>
      <c r="N1105" s="6" t="str">
        <f t="shared" si="35"/>
        <v>At Risk</v>
      </c>
    </row>
    <row r="1106" spans="1:14" x14ac:dyDescent="0.35">
      <c r="A1106">
        <v>1083</v>
      </c>
      <c r="B1106" s="4">
        <v>45681.375085336993</v>
      </c>
      <c r="C1106" t="s">
        <v>15</v>
      </c>
      <c r="D1106" t="s">
        <v>17</v>
      </c>
      <c r="E1106" t="s">
        <v>24</v>
      </c>
      <c r="F1106">
        <v>3209.45</v>
      </c>
      <c r="G1106">
        <f t="array" ref="G1106">SalesData!$I$2 - 'RFM Table'!B1106</f>
        <v>455</v>
      </c>
      <c r="H1106">
        <f t="array" ref="H1106">COUNTIF(A:A,A1106)</f>
        <v>10</v>
      </c>
      <c r="I1106">
        <f t="array" ref="I1106">SUMIF(A:A,A1106,F:F)</f>
        <v>27359.329999999998</v>
      </c>
      <c r="J1106">
        <f t="array" ref="J1106">5 - INT(5 * (RANK(G1106,G:G, 1) - 1) / COUNT(G:G))</f>
        <v>2</v>
      </c>
      <c r="K1106">
        <f t="array" ref="K1106">INT(5 * (RANK(H1106,H:H, 0) - 1) / COUNT(H:H)) + 1</f>
        <v>2</v>
      </c>
      <c r="L1106">
        <f t="array" ref="L1106">INT(5 * (RANK(I1106,I:I, 0) - 1) / COUNT(I:I)) + 1</f>
        <v>4</v>
      </c>
      <c r="M1106" t="str">
        <f t="shared" si="34"/>
        <v>224</v>
      </c>
      <c r="N1106" s="6" t="str">
        <f t="shared" si="35"/>
        <v>Can't Lose Them</v>
      </c>
    </row>
    <row r="1107" spans="1:14" x14ac:dyDescent="0.35">
      <c r="A1107">
        <v>1150</v>
      </c>
      <c r="B1107" s="4">
        <v>45681.375085336993</v>
      </c>
      <c r="C1107" t="s">
        <v>11</v>
      </c>
      <c r="D1107" t="s">
        <v>21</v>
      </c>
      <c r="E1107" t="s">
        <v>24</v>
      </c>
      <c r="F1107">
        <v>1650.12</v>
      </c>
      <c r="G1107">
        <f t="array" ref="G1107">SalesData!$I$2 - 'RFM Table'!B1107</f>
        <v>455</v>
      </c>
      <c r="H1107">
        <f t="array" ref="H1107">COUNTIF(A:A,A1107)</f>
        <v>10</v>
      </c>
      <c r="I1107">
        <f t="array" ref="I1107">SUMIF(A:A,A1107,F:F)</f>
        <v>34643.039999999994</v>
      </c>
      <c r="J1107">
        <f t="array" ref="J1107">5 - INT(5 * (RANK(G1107,G:G, 1) - 1) / COUNT(G:G))</f>
        <v>2</v>
      </c>
      <c r="K1107">
        <f t="array" ref="K1107">INT(5 * (RANK(H1107,H:H, 0) - 1) / COUNT(H:H)) + 1</f>
        <v>2</v>
      </c>
      <c r="L1107">
        <f t="array" ref="L1107">INT(5 * (RANK(I1107,I:I, 0) - 1) / COUNT(I:I)) + 1</f>
        <v>3</v>
      </c>
      <c r="M1107" t="str">
        <f t="shared" si="34"/>
        <v>223</v>
      </c>
      <c r="N1107" s="6" t="str">
        <f t="shared" si="35"/>
        <v>Can't Lose Them</v>
      </c>
    </row>
    <row r="1108" spans="1:14" x14ac:dyDescent="0.35">
      <c r="A1108">
        <v>1206</v>
      </c>
      <c r="B1108" s="4">
        <v>45681.375085336993</v>
      </c>
      <c r="C1108" t="s">
        <v>13</v>
      </c>
      <c r="D1108" t="s">
        <v>16</v>
      </c>
      <c r="E1108" t="s">
        <v>25</v>
      </c>
      <c r="F1108">
        <v>3417.58</v>
      </c>
      <c r="G1108">
        <f t="array" ref="G1108">SalesData!$I$2 - 'RFM Table'!B1108</f>
        <v>455</v>
      </c>
      <c r="H1108">
        <f t="array" ref="H1108">COUNTIF(A:A,A1108)</f>
        <v>5</v>
      </c>
      <c r="I1108">
        <f t="array" ref="I1108">SUMIF(A:A,A1108,F:F)</f>
        <v>18720.68</v>
      </c>
      <c r="J1108">
        <f t="array" ref="J1108">5 - INT(5 * (RANK(G1108,G:G, 1) - 1) / COUNT(G:G))</f>
        <v>2</v>
      </c>
      <c r="K1108">
        <f t="array" ref="K1108">INT(5 * (RANK(H1108,H:H, 0) - 1) / COUNT(H:H)) + 1</f>
        <v>5</v>
      </c>
      <c r="L1108">
        <f t="array" ref="L1108">INT(5 * (RANK(I1108,I:I, 0) - 1) / COUNT(I:I)) + 1</f>
        <v>5</v>
      </c>
      <c r="M1108" t="str">
        <f t="shared" si="34"/>
        <v>255</v>
      </c>
      <c r="N1108" s="6" t="str">
        <f t="shared" si="35"/>
        <v>At Risk</v>
      </c>
    </row>
    <row r="1109" spans="1:14" x14ac:dyDescent="0.35">
      <c r="A1109">
        <v>1050</v>
      </c>
      <c r="B1109" s="4">
        <v>45681.375085336993</v>
      </c>
      <c r="C1109" t="s">
        <v>13</v>
      </c>
      <c r="D1109" t="s">
        <v>18</v>
      </c>
      <c r="E1109" t="s">
        <v>24</v>
      </c>
      <c r="F1109">
        <v>3714.98</v>
      </c>
      <c r="G1109">
        <f t="array" ref="G1109">SalesData!$I$2 - 'RFM Table'!B1109</f>
        <v>455</v>
      </c>
      <c r="H1109">
        <f t="array" ref="H1109">COUNTIF(A:A,A1109)</f>
        <v>10</v>
      </c>
      <c r="I1109">
        <f t="array" ref="I1109">SUMIF(A:A,A1109,F:F)</f>
        <v>32732.979999999996</v>
      </c>
      <c r="J1109">
        <f t="array" ref="J1109">5 - INT(5 * (RANK(G1109,G:G, 1) - 1) / COUNT(G:G))</f>
        <v>2</v>
      </c>
      <c r="K1109">
        <f t="array" ref="K1109">INT(5 * (RANK(H1109,H:H, 0) - 1) / COUNT(H:H)) + 1</f>
        <v>2</v>
      </c>
      <c r="L1109">
        <f t="array" ref="L1109">INT(5 * (RANK(I1109,I:I, 0) - 1) / COUNT(I:I)) + 1</f>
        <v>3</v>
      </c>
      <c r="M1109" t="str">
        <f t="shared" si="34"/>
        <v>223</v>
      </c>
      <c r="N1109" s="6" t="str">
        <f t="shared" si="35"/>
        <v>Can't Lose Them</v>
      </c>
    </row>
    <row r="1110" spans="1:14" x14ac:dyDescent="0.35">
      <c r="A1110">
        <v>1103</v>
      </c>
      <c r="B1110" s="4">
        <v>45682.375085336993</v>
      </c>
      <c r="C1110" t="s">
        <v>14</v>
      </c>
      <c r="D1110" t="s">
        <v>20</v>
      </c>
      <c r="E1110" t="s">
        <v>25</v>
      </c>
      <c r="F1110">
        <v>1002.49</v>
      </c>
      <c r="G1110">
        <f t="array" ref="G1110">SalesData!$I$2 - 'RFM Table'!B1110</f>
        <v>454</v>
      </c>
      <c r="H1110">
        <f t="array" ref="H1110">COUNTIF(A:A,A1110)</f>
        <v>10</v>
      </c>
      <c r="I1110">
        <f t="array" ref="I1110">SUMIF(A:A,A1110,F:F)</f>
        <v>44305.600000000006</v>
      </c>
      <c r="J1110">
        <f t="array" ref="J1110">5 - INT(5 * (RANK(G1110,G:G, 1) - 1) / COUNT(G:G))</f>
        <v>2</v>
      </c>
      <c r="K1110">
        <f t="array" ref="K1110">INT(5 * (RANK(H1110,H:H, 0) - 1) / COUNT(H:H)) + 1</f>
        <v>2</v>
      </c>
      <c r="L1110">
        <f t="array" ref="L1110">INT(5 * (RANK(I1110,I:I, 0) - 1) / COUNT(I:I)) + 1</f>
        <v>2</v>
      </c>
      <c r="M1110" t="str">
        <f t="shared" si="34"/>
        <v>222</v>
      </c>
      <c r="N1110" s="6" t="str">
        <f t="shared" si="35"/>
        <v>Lost</v>
      </c>
    </row>
    <row r="1111" spans="1:14" x14ac:dyDescent="0.35">
      <c r="A1111">
        <v>1286</v>
      </c>
      <c r="B1111" s="4">
        <v>45682.375085336993</v>
      </c>
      <c r="C1111" t="s">
        <v>13</v>
      </c>
      <c r="D1111" t="s">
        <v>20</v>
      </c>
      <c r="E1111" t="s">
        <v>24</v>
      </c>
      <c r="F1111">
        <v>9397.5499999999993</v>
      </c>
      <c r="G1111">
        <f t="array" ref="G1111">SalesData!$I$2 - 'RFM Table'!B1111</f>
        <v>454</v>
      </c>
      <c r="H1111">
        <f t="array" ref="H1111">COUNTIF(A:A,A1111)</f>
        <v>6</v>
      </c>
      <c r="I1111">
        <f t="array" ref="I1111">SUMIF(A:A,A1111,F:F)</f>
        <v>40190.459999999992</v>
      </c>
      <c r="J1111">
        <f t="array" ref="J1111">5 - INT(5 * (RANK(G1111,G:G, 1) - 1) / COUNT(G:G))</f>
        <v>2</v>
      </c>
      <c r="K1111">
        <f t="array" ref="K1111">INT(5 * (RANK(H1111,H:H, 0) - 1) / COUNT(H:H)) + 1</f>
        <v>4</v>
      </c>
      <c r="L1111">
        <f t="array" ref="L1111">INT(5 * (RANK(I1111,I:I, 0) - 1) / COUNT(I:I)) + 1</f>
        <v>2</v>
      </c>
      <c r="M1111" t="str">
        <f t="shared" si="34"/>
        <v>242</v>
      </c>
      <c r="N1111" s="6" t="str">
        <f t="shared" si="35"/>
        <v>Others</v>
      </c>
    </row>
    <row r="1112" spans="1:14" x14ac:dyDescent="0.35">
      <c r="A1112">
        <v>1189</v>
      </c>
      <c r="B1112" s="4">
        <v>45682.375085336993</v>
      </c>
      <c r="C1112" t="s">
        <v>10</v>
      </c>
      <c r="D1112" t="s">
        <v>16</v>
      </c>
      <c r="E1112" t="s">
        <v>25</v>
      </c>
      <c r="F1112">
        <v>5024.68</v>
      </c>
      <c r="G1112">
        <f t="array" ref="G1112">SalesData!$I$2 - 'RFM Table'!B1112</f>
        <v>454</v>
      </c>
      <c r="H1112">
        <f t="array" ref="H1112">COUNTIF(A:A,A1112)</f>
        <v>10</v>
      </c>
      <c r="I1112">
        <f t="array" ref="I1112">SUMIF(A:A,A1112,F:F)</f>
        <v>29994.030000000002</v>
      </c>
      <c r="J1112">
        <f t="array" ref="J1112">5 - INT(5 * (RANK(G1112,G:G, 1) - 1) / COUNT(G:G))</f>
        <v>2</v>
      </c>
      <c r="K1112">
        <f t="array" ref="K1112">INT(5 * (RANK(H1112,H:H, 0) - 1) / COUNT(H:H)) + 1</f>
        <v>2</v>
      </c>
      <c r="L1112">
        <f t="array" ref="L1112">INT(5 * (RANK(I1112,I:I, 0) - 1) / COUNT(I:I)) + 1</f>
        <v>3</v>
      </c>
      <c r="M1112" t="str">
        <f t="shared" si="34"/>
        <v>223</v>
      </c>
      <c r="N1112" s="6" t="str">
        <f t="shared" si="35"/>
        <v>Can't Lose Them</v>
      </c>
    </row>
    <row r="1113" spans="1:14" x14ac:dyDescent="0.35">
      <c r="A1113">
        <v>1368</v>
      </c>
      <c r="B1113" s="4">
        <v>45682.375085336993</v>
      </c>
      <c r="C1113" t="s">
        <v>9</v>
      </c>
      <c r="D1113" t="s">
        <v>22</v>
      </c>
      <c r="E1113" t="s">
        <v>24</v>
      </c>
      <c r="F1113">
        <v>966.42</v>
      </c>
      <c r="G1113">
        <f t="array" ref="G1113">SalesData!$I$2 - 'RFM Table'!B1113</f>
        <v>454</v>
      </c>
      <c r="H1113">
        <f t="array" ref="H1113">COUNTIF(A:A,A1113)</f>
        <v>8</v>
      </c>
      <c r="I1113">
        <f t="array" ref="I1113">SUMIF(A:A,A1113,F:F)</f>
        <v>26119.000000000004</v>
      </c>
      <c r="J1113">
        <f t="array" ref="J1113">5 - INT(5 * (RANK(G1113,G:G, 1) - 1) / COUNT(G:G))</f>
        <v>2</v>
      </c>
      <c r="K1113">
        <f t="array" ref="K1113">INT(5 * (RANK(H1113,H:H, 0) - 1) / COUNT(H:H)) + 1</f>
        <v>3</v>
      </c>
      <c r="L1113">
        <f t="array" ref="L1113">INT(5 * (RANK(I1113,I:I, 0) - 1) / COUNT(I:I)) + 1</f>
        <v>4</v>
      </c>
      <c r="M1113" t="str">
        <f t="shared" si="34"/>
        <v>234</v>
      </c>
      <c r="N1113" s="6" t="str">
        <f t="shared" si="35"/>
        <v>At Risk</v>
      </c>
    </row>
    <row r="1114" spans="1:14" x14ac:dyDescent="0.35">
      <c r="A1114">
        <v>1314</v>
      </c>
      <c r="B1114" s="4">
        <v>45682.375085336993</v>
      </c>
      <c r="C1114" t="s">
        <v>9</v>
      </c>
      <c r="D1114" t="s">
        <v>19</v>
      </c>
      <c r="E1114" t="s">
        <v>24</v>
      </c>
      <c r="F1114">
        <v>3211.68</v>
      </c>
      <c r="G1114">
        <f t="array" ref="G1114">SalesData!$I$2 - 'RFM Table'!B1114</f>
        <v>454</v>
      </c>
      <c r="H1114">
        <f t="array" ref="H1114">COUNTIF(A:A,A1114)</f>
        <v>5</v>
      </c>
      <c r="I1114">
        <f t="array" ref="I1114">SUMIF(A:A,A1114,F:F)</f>
        <v>24865.420000000002</v>
      </c>
      <c r="J1114">
        <f t="array" ref="J1114">5 - INT(5 * (RANK(G1114,G:G, 1) - 1) / COUNT(G:G))</f>
        <v>2</v>
      </c>
      <c r="K1114">
        <f t="array" ref="K1114">INT(5 * (RANK(H1114,H:H, 0) - 1) / COUNT(H:H)) + 1</f>
        <v>5</v>
      </c>
      <c r="L1114">
        <f t="array" ref="L1114">INT(5 * (RANK(I1114,I:I, 0) - 1) / COUNT(I:I)) + 1</f>
        <v>4</v>
      </c>
      <c r="M1114" t="str">
        <f t="shared" si="34"/>
        <v>254</v>
      </c>
      <c r="N1114" s="6" t="str">
        <f t="shared" si="35"/>
        <v>At Risk</v>
      </c>
    </row>
    <row r="1115" spans="1:14" x14ac:dyDescent="0.35">
      <c r="A1115">
        <v>1055</v>
      </c>
      <c r="B1115" s="4">
        <v>45682.375085336993</v>
      </c>
      <c r="C1115" t="s">
        <v>7</v>
      </c>
      <c r="D1115" t="s">
        <v>22</v>
      </c>
      <c r="E1115" t="s">
        <v>24</v>
      </c>
      <c r="F1115">
        <v>5360.77</v>
      </c>
      <c r="G1115">
        <f t="array" ref="G1115">SalesData!$I$2 - 'RFM Table'!B1115</f>
        <v>454</v>
      </c>
      <c r="H1115">
        <f t="array" ref="H1115">COUNTIF(A:A,A1115)</f>
        <v>4</v>
      </c>
      <c r="I1115">
        <f t="array" ref="I1115">SUMIF(A:A,A1115,F:F)</f>
        <v>14706.1</v>
      </c>
      <c r="J1115">
        <f t="array" ref="J1115">5 - INT(5 * (RANK(G1115,G:G, 1) - 1) / COUNT(G:G))</f>
        <v>2</v>
      </c>
      <c r="K1115">
        <f t="array" ref="K1115">INT(5 * (RANK(H1115,H:H, 0) - 1) / COUNT(H:H)) + 1</f>
        <v>5</v>
      </c>
      <c r="L1115">
        <f t="array" ref="L1115">INT(5 * (RANK(I1115,I:I, 0) - 1) / COUNT(I:I)) + 1</f>
        <v>5</v>
      </c>
      <c r="M1115" t="str">
        <f t="shared" si="34"/>
        <v>255</v>
      </c>
      <c r="N1115" s="6" t="str">
        <f t="shared" si="35"/>
        <v>At Risk</v>
      </c>
    </row>
    <row r="1116" spans="1:14" x14ac:dyDescent="0.35">
      <c r="A1116">
        <v>1053</v>
      </c>
      <c r="B1116" s="4">
        <v>45682.375085336993</v>
      </c>
      <c r="C1116" t="s">
        <v>14</v>
      </c>
      <c r="D1116" t="s">
        <v>22</v>
      </c>
      <c r="E1116" t="s">
        <v>24</v>
      </c>
      <c r="F1116">
        <v>7223.49</v>
      </c>
      <c r="G1116">
        <f t="array" ref="G1116">SalesData!$I$2 - 'RFM Table'!B1116</f>
        <v>454</v>
      </c>
      <c r="H1116">
        <f t="array" ref="H1116">COUNTIF(A:A,A1116)</f>
        <v>10</v>
      </c>
      <c r="I1116">
        <f t="array" ref="I1116">SUMIF(A:A,A1116,F:F)</f>
        <v>44572.97</v>
      </c>
      <c r="J1116">
        <f t="array" ref="J1116">5 - INT(5 * (RANK(G1116,G:G, 1) - 1) / COUNT(G:G))</f>
        <v>2</v>
      </c>
      <c r="K1116">
        <f t="array" ref="K1116">INT(5 * (RANK(H1116,H:H, 0) - 1) / COUNT(H:H)) + 1</f>
        <v>2</v>
      </c>
      <c r="L1116">
        <f t="array" ref="L1116">INT(5 * (RANK(I1116,I:I, 0) - 1) / COUNT(I:I)) + 1</f>
        <v>2</v>
      </c>
      <c r="M1116" t="str">
        <f t="shared" si="34"/>
        <v>222</v>
      </c>
      <c r="N1116" s="6" t="str">
        <f t="shared" si="35"/>
        <v>Lost</v>
      </c>
    </row>
    <row r="1117" spans="1:14" x14ac:dyDescent="0.35">
      <c r="A1117">
        <v>1375</v>
      </c>
      <c r="B1117" s="4">
        <v>45683.375085336993</v>
      </c>
      <c r="C1117" t="s">
        <v>9</v>
      </c>
      <c r="D1117" t="s">
        <v>16</v>
      </c>
      <c r="E1117" t="s">
        <v>23</v>
      </c>
      <c r="F1117">
        <v>5152.74</v>
      </c>
      <c r="G1117">
        <f t="array" ref="G1117">SalesData!$I$2 - 'RFM Table'!B1117</f>
        <v>453</v>
      </c>
      <c r="H1117">
        <f t="array" ref="H1117">COUNTIF(A:A,A1117)</f>
        <v>9</v>
      </c>
      <c r="I1117">
        <f t="array" ref="I1117">SUMIF(A:A,A1117,F:F)</f>
        <v>37215.54</v>
      </c>
      <c r="J1117">
        <f t="array" ref="J1117">5 - INT(5 * (RANK(G1117,G:G, 1) - 1) / COUNT(G:G))</f>
        <v>2</v>
      </c>
      <c r="K1117">
        <f t="array" ref="K1117">INT(5 * (RANK(H1117,H:H, 0) - 1) / COUNT(H:H)) + 1</f>
        <v>2</v>
      </c>
      <c r="L1117">
        <f t="array" ref="L1117">INT(5 * (RANK(I1117,I:I, 0) - 1) / COUNT(I:I)) + 1</f>
        <v>2</v>
      </c>
      <c r="M1117" t="str">
        <f t="shared" si="34"/>
        <v>222</v>
      </c>
      <c r="N1117" s="6" t="str">
        <f t="shared" si="35"/>
        <v>Lost</v>
      </c>
    </row>
    <row r="1118" spans="1:14" x14ac:dyDescent="0.35">
      <c r="A1118">
        <v>1062</v>
      </c>
      <c r="B1118" s="4">
        <v>45683.375085336993</v>
      </c>
      <c r="C1118" t="s">
        <v>9</v>
      </c>
      <c r="D1118" t="s">
        <v>20</v>
      </c>
      <c r="E1118" t="s">
        <v>24</v>
      </c>
      <c r="F1118">
        <v>3235.69</v>
      </c>
      <c r="G1118">
        <f t="array" ref="G1118">SalesData!$I$2 - 'RFM Table'!B1118</f>
        <v>453</v>
      </c>
      <c r="H1118">
        <f t="array" ref="H1118">COUNTIF(A:A,A1118)</f>
        <v>11</v>
      </c>
      <c r="I1118">
        <f t="array" ref="I1118">SUMIF(A:A,A1118,F:F)</f>
        <v>59377.640000000014</v>
      </c>
      <c r="J1118">
        <f t="array" ref="J1118">5 - INT(5 * (RANK(G1118,G:G, 1) - 1) / COUNT(G:G))</f>
        <v>2</v>
      </c>
      <c r="K1118">
        <f t="array" ref="K1118">INT(5 * (RANK(H1118,H:H, 0) - 1) / COUNT(H:H)) + 1</f>
        <v>1</v>
      </c>
      <c r="L1118">
        <f t="array" ref="L1118">INT(5 * (RANK(I1118,I:I, 0) - 1) / COUNT(I:I)) + 1</f>
        <v>1</v>
      </c>
      <c r="M1118" t="str">
        <f t="shared" si="34"/>
        <v>211</v>
      </c>
      <c r="N1118" s="6" t="str">
        <f t="shared" si="35"/>
        <v>Lost</v>
      </c>
    </row>
    <row r="1119" spans="1:14" x14ac:dyDescent="0.35">
      <c r="A1119">
        <v>1111</v>
      </c>
      <c r="B1119" s="4">
        <v>45683.375085336993</v>
      </c>
      <c r="C1119" t="s">
        <v>12</v>
      </c>
      <c r="D1119" t="s">
        <v>16</v>
      </c>
      <c r="E1119" t="s">
        <v>24</v>
      </c>
      <c r="F1119">
        <v>372.29</v>
      </c>
      <c r="G1119">
        <f t="array" ref="G1119">SalesData!$I$2 - 'RFM Table'!B1119</f>
        <v>453</v>
      </c>
      <c r="H1119">
        <f t="array" ref="H1119">COUNTIF(A:A,A1119)</f>
        <v>7</v>
      </c>
      <c r="I1119">
        <f t="array" ref="I1119">SUMIF(A:A,A1119,F:F)</f>
        <v>17082.88</v>
      </c>
      <c r="J1119">
        <f t="array" ref="J1119">5 - INT(5 * (RANK(G1119,G:G, 1) - 1) / COUNT(G:G))</f>
        <v>2</v>
      </c>
      <c r="K1119">
        <f t="array" ref="K1119">INT(5 * (RANK(H1119,H:H, 0) - 1) / COUNT(H:H)) + 1</f>
        <v>4</v>
      </c>
      <c r="L1119">
        <f t="array" ref="L1119">INT(5 * (RANK(I1119,I:I, 0) - 1) / COUNT(I:I)) + 1</f>
        <v>5</v>
      </c>
      <c r="M1119" t="str">
        <f t="shared" si="34"/>
        <v>245</v>
      </c>
      <c r="N1119" s="6" t="str">
        <f t="shared" si="35"/>
        <v>At Risk</v>
      </c>
    </row>
    <row r="1120" spans="1:14" x14ac:dyDescent="0.35">
      <c r="A1120">
        <v>1348</v>
      </c>
      <c r="B1120" s="4">
        <v>45683.375085336993</v>
      </c>
      <c r="C1120" t="s">
        <v>13</v>
      </c>
      <c r="D1120" t="s">
        <v>19</v>
      </c>
      <c r="E1120" t="s">
        <v>25</v>
      </c>
      <c r="F1120">
        <v>1409.26</v>
      </c>
      <c r="G1120">
        <f t="array" ref="G1120">SalesData!$I$2 - 'RFM Table'!B1120</f>
        <v>453</v>
      </c>
      <c r="H1120">
        <f t="array" ref="H1120">COUNTIF(A:A,A1120)</f>
        <v>12</v>
      </c>
      <c r="I1120">
        <f t="array" ref="I1120">SUMIF(A:A,A1120,F:F)</f>
        <v>27185.14</v>
      </c>
      <c r="J1120">
        <f t="array" ref="J1120">5 - INT(5 * (RANK(G1120,G:G, 1) - 1) / COUNT(G:G))</f>
        <v>2</v>
      </c>
      <c r="K1120">
        <f t="array" ref="K1120">INT(5 * (RANK(H1120,H:H, 0) - 1) / COUNT(H:H)) + 1</f>
        <v>1</v>
      </c>
      <c r="L1120">
        <f t="array" ref="L1120">INT(5 * (RANK(I1120,I:I, 0) - 1) / COUNT(I:I)) + 1</f>
        <v>4</v>
      </c>
      <c r="M1120" t="str">
        <f t="shared" si="34"/>
        <v>214</v>
      </c>
      <c r="N1120" s="6" t="str">
        <f t="shared" si="35"/>
        <v>Can't Lose Them</v>
      </c>
    </row>
    <row r="1121" spans="1:14" x14ac:dyDescent="0.35">
      <c r="A1121">
        <v>1345</v>
      </c>
      <c r="B1121" s="4">
        <v>45683.375085336993</v>
      </c>
      <c r="C1121" t="s">
        <v>7</v>
      </c>
      <c r="D1121" t="s">
        <v>18</v>
      </c>
      <c r="E1121" t="s">
        <v>24</v>
      </c>
      <c r="F1121">
        <v>1382.92</v>
      </c>
      <c r="G1121">
        <f t="array" ref="G1121">SalesData!$I$2 - 'RFM Table'!B1121</f>
        <v>453</v>
      </c>
      <c r="H1121">
        <f t="array" ref="H1121">COUNTIF(A:A,A1121)</f>
        <v>9</v>
      </c>
      <c r="I1121">
        <f t="array" ref="I1121">SUMIF(A:A,A1121,F:F)</f>
        <v>35330.950000000004</v>
      </c>
      <c r="J1121">
        <f t="array" ref="J1121">5 - INT(5 * (RANK(G1121,G:G, 1) - 1) / COUNT(G:G))</f>
        <v>2</v>
      </c>
      <c r="K1121">
        <f t="array" ref="K1121">INT(5 * (RANK(H1121,H:H, 0) - 1) / COUNT(H:H)) + 1</f>
        <v>2</v>
      </c>
      <c r="L1121">
        <f t="array" ref="L1121">INT(5 * (RANK(I1121,I:I, 0) - 1) / COUNT(I:I)) + 1</f>
        <v>3</v>
      </c>
      <c r="M1121" t="str">
        <f t="shared" si="34"/>
        <v>223</v>
      </c>
      <c r="N1121" s="6" t="str">
        <f t="shared" si="35"/>
        <v>Can't Lose Them</v>
      </c>
    </row>
    <row r="1122" spans="1:14" x14ac:dyDescent="0.35">
      <c r="A1122">
        <v>1348</v>
      </c>
      <c r="B1122" s="4">
        <v>45684.375085336993</v>
      </c>
      <c r="C1122" t="s">
        <v>14</v>
      </c>
      <c r="D1122" t="s">
        <v>19</v>
      </c>
      <c r="E1122" t="s">
        <v>25</v>
      </c>
      <c r="F1122">
        <v>987.89</v>
      </c>
      <c r="G1122">
        <f t="array" ref="G1122">SalesData!$I$2 - 'RFM Table'!B1122</f>
        <v>452</v>
      </c>
      <c r="H1122">
        <f t="array" ref="H1122">COUNTIF(A:A,A1122)</f>
        <v>12</v>
      </c>
      <c r="I1122">
        <f t="array" ref="I1122">SUMIF(A:A,A1122,F:F)</f>
        <v>27185.14</v>
      </c>
      <c r="J1122">
        <f t="array" ref="J1122">5 - INT(5 * (RANK(G1122,G:G, 1) - 1) / COUNT(G:G))</f>
        <v>2</v>
      </c>
      <c r="K1122">
        <f t="array" ref="K1122">INT(5 * (RANK(H1122,H:H, 0) - 1) / COUNT(H:H)) + 1</f>
        <v>1</v>
      </c>
      <c r="L1122">
        <f t="array" ref="L1122">INT(5 * (RANK(I1122,I:I, 0) - 1) / COUNT(I:I)) + 1</f>
        <v>4</v>
      </c>
      <c r="M1122" t="str">
        <f t="shared" si="34"/>
        <v>214</v>
      </c>
      <c r="N1122" s="6" t="str">
        <f t="shared" si="35"/>
        <v>Can't Lose Them</v>
      </c>
    </row>
    <row r="1123" spans="1:14" x14ac:dyDescent="0.35">
      <c r="A1123">
        <v>1086</v>
      </c>
      <c r="B1123" s="4">
        <v>45684.375085336993</v>
      </c>
      <c r="C1123" t="s">
        <v>10</v>
      </c>
      <c r="D1123" t="s">
        <v>18</v>
      </c>
      <c r="E1123" t="s">
        <v>24</v>
      </c>
      <c r="F1123">
        <v>2795.69</v>
      </c>
      <c r="G1123">
        <f t="array" ref="G1123">SalesData!$I$2 - 'RFM Table'!B1123</f>
        <v>452</v>
      </c>
      <c r="H1123">
        <f t="array" ref="H1123">COUNTIF(A:A,A1123)</f>
        <v>6</v>
      </c>
      <c r="I1123">
        <f t="array" ref="I1123">SUMIF(A:A,A1123,F:F)</f>
        <v>18163.55</v>
      </c>
      <c r="J1123">
        <f t="array" ref="J1123">5 - INT(5 * (RANK(G1123,G:G, 1) - 1) / COUNT(G:G))</f>
        <v>2</v>
      </c>
      <c r="K1123">
        <f t="array" ref="K1123">INT(5 * (RANK(H1123,H:H, 0) - 1) / COUNT(H:H)) + 1</f>
        <v>4</v>
      </c>
      <c r="L1123">
        <f t="array" ref="L1123">INT(5 * (RANK(I1123,I:I, 0) - 1) / COUNT(I:I)) + 1</f>
        <v>5</v>
      </c>
      <c r="M1123" t="str">
        <f t="shared" si="34"/>
        <v>245</v>
      </c>
      <c r="N1123" s="6" t="str">
        <f t="shared" si="35"/>
        <v>At Risk</v>
      </c>
    </row>
    <row r="1124" spans="1:14" x14ac:dyDescent="0.35">
      <c r="A1124">
        <v>1046</v>
      </c>
      <c r="B1124" s="4">
        <v>45684.375085336993</v>
      </c>
      <c r="C1124" t="s">
        <v>15</v>
      </c>
      <c r="D1124" t="s">
        <v>16</v>
      </c>
      <c r="E1124" t="s">
        <v>23</v>
      </c>
      <c r="F1124">
        <v>6077.68</v>
      </c>
      <c r="G1124">
        <f t="array" ref="G1124">SalesData!$I$2 - 'RFM Table'!B1124</f>
        <v>452</v>
      </c>
      <c r="H1124">
        <f t="array" ref="H1124">COUNTIF(A:A,A1124)</f>
        <v>9</v>
      </c>
      <c r="I1124">
        <f t="array" ref="I1124">SUMIF(A:A,A1124,F:F)</f>
        <v>26580.030000000002</v>
      </c>
      <c r="J1124">
        <f t="array" ref="J1124">5 - INT(5 * (RANK(G1124,G:G, 1) - 1) / COUNT(G:G))</f>
        <v>2</v>
      </c>
      <c r="K1124">
        <f t="array" ref="K1124">INT(5 * (RANK(H1124,H:H, 0) - 1) / COUNT(H:H)) + 1</f>
        <v>2</v>
      </c>
      <c r="L1124">
        <f t="array" ref="L1124">INT(5 * (RANK(I1124,I:I, 0) - 1) / COUNT(I:I)) + 1</f>
        <v>4</v>
      </c>
      <c r="M1124" t="str">
        <f t="shared" si="34"/>
        <v>224</v>
      </c>
      <c r="N1124" s="6" t="str">
        <f t="shared" si="35"/>
        <v>Can't Lose Them</v>
      </c>
    </row>
    <row r="1125" spans="1:14" x14ac:dyDescent="0.35">
      <c r="A1125">
        <v>1189</v>
      </c>
      <c r="B1125" s="4">
        <v>45684.375085336993</v>
      </c>
      <c r="C1125" t="s">
        <v>12</v>
      </c>
      <c r="D1125" t="s">
        <v>20</v>
      </c>
      <c r="E1125" t="s">
        <v>23</v>
      </c>
      <c r="F1125">
        <v>1225.78</v>
      </c>
      <c r="G1125">
        <f t="array" ref="G1125">SalesData!$I$2 - 'RFM Table'!B1125</f>
        <v>452</v>
      </c>
      <c r="H1125">
        <f t="array" ref="H1125">COUNTIF(A:A,A1125)</f>
        <v>10</v>
      </c>
      <c r="I1125">
        <f t="array" ref="I1125">SUMIF(A:A,A1125,F:F)</f>
        <v>29994.030000000002</v>
      </c>
      <c r="J1125">
        <f t="array" ref="J1125">5 - INT(5 * (RANK(G1125,G:G, 1) - 1) / COUNT(G:G))</f>
        <v>2</v>
      </c>
      <c r="K1125">
        <f t="array" ref="K1125">INT(5 * (RANK(H1125,H:H, 0) - 1) / COUNT(H:H)) + 1</f>
        <v>2</v>
      </c>
      <c r="L1125">
        <f t="array" ref="L1125">INT(5 * (RANK(I1125,I:I, 0) - 1) / COUNT(I:I)) + 1</f>
        <v>3</v>
      </c>
      <c r="M1125" t="str">
        <f t="shared" si="34"/>
        <v>223</v>
      </c>
      <c r="N1125" s="6" t="str">
        <f t="shared" si="35"/>
        <v>Can't Lose Them</v>
      </c>
    </row>
    <row r="1126" spans="1:14" x14ac:dyDescent="0.35">
      <c r="A1126">
        <v>1172</v>
      </c>
      <c r="B1126" s="4">
        <v>45685.375085336993</v>
      </c>
      <c r="C1126" t="s">
        <v>9</v>
      </c>
      <c r="D1126" t="s">
        <v>22</v>
      </c>
      <c r="E1126" t="s">
        <v>24</v>
      </c>
      <c r="F1126">
        <v>1353.97</v>
      </c>
      <c r="G1126">
        <f t="array" ref="G1126">SalesData!$I$2 - 'RFM Table'!B1126</f>
        <v>451</v>
      </c>
      <c r="H1126">
        <f t="array" ref="H1126">COUNTIF(A:A,A1126)</f>
        <v>13</v>
      </c>
      <c r="I1126">
        <f t="array" ref="I1126">SUMIF(A:A,A1126,F:F)</f>
        <v>64175.24</v>
      </c>
      <c r="J1126">
        <f t="array" ref="J1126">5 - INT(5 * (RANK(G1126,G:G, 1) - 1) / COUNT(G:G))</f>
        <v>2</v>
      </c>
      <c r="K1126">
        <f t="array" ref="K1126">INT(5 * (RANK(H1126,H:H, 0) - 1) / COUNT(H:H)) + 1</f>
        <v>1</v>
      </c>
      <c r="L1126">
        <f t="array" ref="L1126">INT(5 * (RANK(I1126,I:I, 0) - 1) / COUNT(I:I)) + 1</f>
        <v>1</v>
      </c>
      <c r="M1126" t="str">
        <f t="shared" si="34"/>
        <v>211</v>
      </c>
      <c r="N1126" s="6" t="str">
        <f t="shared" si="35"/>
        <v>Lost</v>
      </c>
    </row>
    <row r="1127" spans="1:14" x14ac:dyDescent="0.35">
      <c r="A1127">
        <v>1221</v>
      </c>
      <c r="B1127" s="4">
        <v>45685.375085336993</v>
      </c>
      <c r="C1127" t="s">
        <v>14</v>
      </c>
      <c r="D1127" t="s">
        <v>16</v>
      </c>
      <c r="E1127" t="s">
        <v>24</v>
      </c>
      <c r="F1127">
        <v>2690.39</v>
      </c>
      <c r="G1127">
        <f t="array" ref="G1127">SalesData!$I$2 - 'RFM Table'!B1127</f>
        <v>451</v>
      </c>
      <c r="H1127">
        <f t="array" ref="H1127">COUNTIF(A:A,A1127)</f>
        <v>8</v>
      </c>
      <c r="I1127">
        <f t="array" ref="I1127">SUMIF(A:A,A1127,F:F)</f>
        <v>38894.44</v>
      </c>
      <c r="J1127">
        <f t="array" ref="J1127">5 - INT(5 * (RANK(G1127,G:G, 1) - 1) / COUNT(G:G))</f>
        <v>2</v>
      </c>
      <c r="K1127">
        <f t="array" ref="K1127">INT(5 * (RANK(H1127,H:H, 0) - 1) / COUNT(H:H)) + 1</f>
        <v>3</v>
      </c>
      <c r="L1127">
        <f t="array" ref="L1127">INT(5 * (RANK(I1127,I:I, 0) - 1) / COUNT(I:I)) + 1</f>
        <v>2</v>
      </c>
      <c r="M1127" t="str">
        <f t="shared" si="34"/>
        <v>232</v>
      </c>
      <c r="N1127" s="6" t="str">
        <f t="shared" si="35"/>
        <v>Others</v>
      </c>
    </row>
    <row r="1128" spans="1:14" x14ac:dyDescent="0.35">
      <c r="A1128">
        <v>1381</v>
      </c>
      <c r="B1128" s="4">
        <v>45686.375085336993</v>
      </c>
      <c r="C1128" t="s">
        <v>8</v>
      </c>
      <c r="D1128" t="s">
        <v>20</v>
      </c>
      <c r="E1128" t="s">
        <v>23</v>
      </c>
      <c r="F1128">
        <v>3151.22</v>
      </c>
      <c r="G1128">
        <f t="array" ref="G1128">SalesData!$I$2 - 'RFM Table'!B1128</f>
        <v>450</v>
      </c>
      <c r="H1128">
        <f t="array" ref="H1128">COUNTIF(A:A,A1128)</f>
        <v>7</v>
      </c>
      <c r="I1128">
        <f t="array" ref="I1128">SUMIF(A:A,A1128,F:F)</f>
        <v>32953.599999999999</v>
      </c>
      <c r="J1128">
        <f t="array" ref="J1128">5 - INT(5 * (RANK(G1128,G:G, 1) - 1) / COUNT(G:G))</f>
        <v>2</v>
      </c>
      <c r="K1128">
        <f t="array" ref="K1128">INT(5 * (RANK(H1128,H:H, 0) - 1) / COUNT(H:H)) + 1</f>
        <v>4</v>
      </c>
      <c r="L1128">
        <f t="array" ref="L1128">INT(5 * (RANK(I1128,I:I, 0) - 1) / COUNT(I:I)) + 1</f>
        <v>3</v>
      </c>
      <c r="M1128" t="str">
        <f t="shared" si="34"/>
        <v>243</v>
      </c>
      <c r="N1128" s="6" t="str">
        <f t="shared" si="35"/>
        <v>At Risk</v>
      </c>
    </row>
    <row r="1129" spans="1:14" x14ac:dyDescent="0.35">
      <c r="A1129">
        <v>1036</v>
      </c>
      <c r="B1129" s="4">
        <v>45686.375085336993</v>
      </c>
      <c r="C1129" t="s">
        <v>15</v>
      </c>
      <c r="D1129" t="s">
        <v>16</v>
      </c>
      <c r="E1129" t="s">
        <v>23</v>
      </c>
      <c r="F1129">
        <v>1548.29</v>
      </c>
      <c r="G1129">
        <f t="array" ref="G1129">SalesData!$I$2 - 'RFM Table'!B1129</f>
        <v>450</v>
      </c>
      <c r="H1129">
        <f t="array" ref="H1129">COUNTIF(A:A,A1129)</f>
        <v>6</v>
      </c>
      <c r="I1129">
        <f t="array" ref="I1129">SUMIF(A:A,A1129,F:F)</f>
        <v>18264</v>
      </c>
      <c r="J1129">
        <f t="array" ref="J1129">5 - INT(5 * (RANK(G1129,G:G, 1) - 1) / COUNT(G:G))</f>
        <v>2</v>
      </c>
      <c r="K1129">
        <f t="array" ref="K1129">INT(5 * (RANK(H1129,H:H, 0) - 1) / COUNT(H:H)) + 1</f>
        <v>4</v>
      </c>
      <c r="L1129">
        <f t="array" ref="L1129">INT(5 * (RANK(I1129,I:I, 0) - 1) / COUNT(I:I)) + 1</f>
        <v>5</v>
      </c>
      <c r="M1129" t="str">
        <f t="shared" si="34"/>
        <v>245</v>
      </c>
      <c r="N1129" s="6" t="str">
        <f t="shared" si="35"/>
        <v>At Risk</v>
      </c>
    </row>
    <row r="1130" spans="1:14" x14ac:dyDescent="0.35">
      <c r="A1130">
        <v>1029</v>
      </c>
      <c r="B1130" s="4">
        <v>45686.375085336993</v>
      </c>
      <c r="C1130" t="s">
        <v>15</v>
      </c>
      <c r="D1130" t="s">
        <v>18</v>
      </c>
      <c r="E1130" t="s">
        <v>23</v>
      </c>
      <c r="F1130">
        <v>1215.55</v>
      </c>
      <c r="G1130">
        <f t="array" ref="G1130">SalesData!$I$2 - 'RFM Table'!B1130</f>
        <v>450</v>
      </c>
      <c r="H1130">
        <f t="array" ref="H1130">COUNTIF(A:A,A1130)</f>
        <v>3</v>
      </c>
      <c r="I1130">
        <f t="array" ref="I1130">SUMIF(A:A,A1130,F:F)</f>
        <v>12121.1</v>
      </c>
      <c r="J1130">
        <f t="array" ref="J1130">5 - INT(5 * (RANK(G1130,G:G, 1) - 1) / COUNT(G:G))</f>
        <v>2</v>
      </c>
      <c r="K1130">
        <f t="array" ref="K1130">INT(5 * (RANK(H1130,H:H, 0) - 1) / COUNT(H:H)) + 1</f>
        <v>5</v>
      </c>
      <c r="L1130">
        <f t="array" ref="L1130">INT(5 * (RANK(I1130,I:I, 0) - 1) / COUNT(I:I)) + 1</f>
        <v>5</v>
      </c>
      <c r="M1130" t="str">
        <f t="shared" si="34"/>
        <v>255</v>
      </c>
      <c r="N1130" s="6" t="str">
        <f t="shared" si="35"/>
        <v>At Risk</v>
      </c>
    </row>
    <row r="1131" spans="1:14" x14ac:dyDescent="0.35">
      <c r="A1131">
        <v>1052</v>
      </c>
      <c r="B1131" s="4">
        <v>45686.375085336993</v>
      </c>
      <c r="C1131" t="s">
        <v>10</v>
      </c>
      <c r="D1131" t="s">
        <v>16</v>
      </c>
      <c r="E1131" t="s">
        <v>25</v>
      </c>
      <c r="F1131">
        <v>539.66</v>
      </c>
      <c r="G1131">
        <f t="array" ref="G1131">SalesData!$I$2 - 'RFM Table'!B1131</f>
        <v>450</v>
      </c>
      <c r="H1131">
        <f t="array" ref="H1131">COUNTIF(A:A,A1131)</f>
        <v>9</v>
      </c>
      <c r="I1131">
        <f t="array" ref="I1131">SUMIF(A:A,A1131,F:F)</f>
        <v>35283.15</v>
      </c>
      <c r="J1131">
        <f t="array" ref="J1131">5 - INT(5 * (RANK(G1131,G:G, 1) - 1) / COUNT(G:G))</f>
        <v>2</v>
      </c>
      <c r="K1131">
        <f t="array" ref="K1131">INT(5 * (RANK(H1131,H:H, 0) - 1) / COUNT(H:H)) + 1</f>
        <v>2</v>
      </c>
      <c r="L1131">
        <f t="array" ref="L1131">INT(5 * (RANK(I1131,I:I, 0) - 1) / COUNT(I:I)) + 1</f>
        <v>3</v>
      </c>
      <c r="M1131" t="str">
        <f t="shared" si="34"/>
        <v>223</v>
      </c>
      <c r="N1131" s="6" t="str">
        <f t="shared" si="35"/>
        <v>Can't Lose Them</v>
      </c>
    </row>
    <row r="1132" spans="1:14" x14ac:dyDescent="0.35">
      <c r="A1132">
        <v>1176</v>
      </c>
      <c r="B1132" s="4">
        <v>45687.375085336993</v>
      </c>
      <c r="C1132" t="s">
        <v>11</v>
      </c>
      <c r="D1132" t="s">
        <v>16</v>
      </c>
      <c r="E1132" t="s">
        <v>23</v>
      </c>
      <c r="F1132">
        <v>6600.27</v>
      </c>
      <c r="G1132">
        <f t="array" ref="G1132">SalesData!$I$2 - 'RFM Table'!B1132</f>
        <v>449</v>
      </c>
      <c r="H1132">
        <f t="array" ref="H1132">COUNTIF(A:A,A1132)</f>
        <v>9</v>
      </c>
      <c r="I1132">
        <f t="array" ref="I1132">SUMIF(A:A,A1132,F:F)</f>
        <v>30242.800000000003</v>
      </c>
      <c r="J1132">
        <f t="array" ref="J1132">5 - INT(5 * (RANK(G1132,G:G, 1) - 1) / COUNT(G:G))</f>
        <v>2</v>
      </c>
      <c r="K1132">
        <f t="array" ref="K1132">INT(5 * (RANK(H1132,H:H, 0) - 1) / COUNT(H:H)) + 1</f>
        <v>2</v>
      </c>
      <c r="L1132">
        <f t="array" ref="L1132">INT(5 * (RANK(I1132,I:I, 0) - 1) / COUNT(I:I)) + 1</f>
        <v>3</v>
      </c>
      <c r="M1132" t="str">
        <f t="shared" si="34"/>
        <v>223</v>
      </c>
      <c r="N1132" s="6" t="str">
        <f t="shared" si="35"/>
        <v>Can't Lose Them</v>
      </c>
    </row>
    <row r="1133" spans="1:14" x14ac:dyDescent="0.35">
      <c r="A1133">
        <v>1141</v>
      </c>
      <c r="B1133" s="4">
        <v>45687.375085336993</v>
      </c>
      <c r="C1133" t="s">
        <v>11</v>
      </c>
      <c r="D1133" t="s">
        <v>17</v>
      </c>
      <c r="E1133" t="s">
        <v>24</v>
      </c>
      <c r="F1133">
        <v>2125.09</v>
      </c>
      <c r="G1133">
        <f t="array" ref="G1133">SalesData!$I$2 - 'RFM Table'!B1133</f>
        <v>449</v>
      </c>
      <c r="H1133">
        <f t="array" ref="H1133">COUNTIF(A:A,A1133)</f>
        <v>5</v>
      </c>
      <c r="I1133">
        <f t="array" ref="I1133">SUMIF(A:A,A1133,F:F)</f>
        <v>18049.21</v>
      </c>
      <c r="J1133">
        <f t="array" ref="J1133">5 - INT(5 * (RANK(G1133,G:G, 1) - 1) / COUNT(G:G))</f>
        <v>2</v>
      </c>
      <c r="K1133">
        <f t="array" ref="K1133">INT(5 * (RANK(H1133,H:H, 0) - 1) / COUNT(H:H)) + 1</f>
        <v>5</v>
      </c>
      <c r="L1133">
        <f t="array" ref="L1133">INT(5 * (RANK(I1133,I:I, 0) - 1) / COUNT(I:I)) + 1</f>
        <v>5</v>
      </c>
      <c r="M1133" t="str">
        <f t="shared" si="34"/>
        <v>255</v>
      </c>
      <c r="N1133" s="6" t="str">
        <f t="shared" si="35"/>
        <v>At Risk</v>
      </c>
    </row>
    <row r="1134" spans="1:14" x14ac:dyDescent="0.35">
      <c r="A1134">
        <v>1025</v>
      </c>
      <c r="B1134" s="4">
        <v>45687.375085336993</v>
      </c>
      <c r="C1134" t="s">
        <v>10</v>
      </c>
      <c r="D1134" t="s">
        <v>18</v>
      </c>
      <c r="E1134" t="s">
        <v>23</v>
      </c>
      <c r="F1134">
        <v>1444.64</v>
      </c>
      <c r="G1134">
        <f t="array" ref="G1134">SalesData!$I$2 - 'RFM Table'!B1134</f>
        <v>449</v>
      </c>
      <c r="H1134">
        <f t="array" ref="H1134">COUNTIF(A:A,A1134)</f>
        <v>7</v>
      </c>
      <c r="I1134">
        <f t="array" ref="I1134">SUMIF(A:A,A1134,F:F)</f>
        <v>16120.029999999999</v>
      </c>
      <c r="J1134">
        <f t="array" ref="J1134">5 - INT(5 * (RANK(G1134,G:G, 1) - 1) / COUNT(G:G))</f>
        <v>2</v>
      </c>
      <c r="K1134">
        <f t="array" ref="K1134">INT(5 * (RANK(H1134,H:H, 0) - 1) / COUNT(H:H)) + 1</f>
        <v>4</v>
      </c>
      <c r="L1134">
        <f t="array" ref="L1134">INT(5 * (RANK(I1134,I:I, 0) - 1) / COUNT(I:I)) + 1</f>
        <v>5</v>
      </c>
      <c r="M1134" t="str">
        <f t="shared" si="34"/>
        <v>245</v>
      </c>
      <c r="N1134" s="6" t="str">
        <f t="shared" si="35"/>
        <v>At Risk</v>
      </c>
    </row>
    <row r="1135" spans="1:14" x14ac:dyDescent="0.35">
      <c r="A1135">
        <v>1117</v>
      </c>
      <c r="B1135" s="4">
        <v>45687.375085336993</v>
      </c>
      <c r="C1135" t="s">
        <v>11</v>
      </c>
      <c r="D1135" t="s">
        <v>16</v>
      </c>
      <c r="E1135" t="s">
        <v>25</v>
      </c>
      <c r="F1135">
        <v>8128.72</v>
      </c>
      <c r="G1135">
        <f t="array" ref="G1135">SalesData!$I$2 - 'RFM Table'!B1135</f>
        <v>449</v>
      </c>
      <c r="H1135">
        <f t="array" ref="H1135">COUNTIF(A:A,A1135)</f>
        <v>10</v>
      </c>
      <c r="I1135">
        <f t="array" ref="I1135">SUMIF(A:A,A1135,F:F)</f>
        <v>47973.33</v>
      </c>
      <c r="J1135">
        <f t="array" ref="J1135">5 - INT(5 * (RANK(G1135,G:G, 1) - 1) / COUNT(G:G))</f>
        <v>2</v>
      </c>
      <c r="K1135">
        <f t="array" ref="K1135">INT(5 * (RANK(H1135,H:H, 0) - 1) / COUNT(H:H)) + 1</f>
        <v>2</v>
      </c>
      <c r="L1135">
        <f t="array" ref="L1135">INT(5 * (RANK(I1135,I:I, 0) - 1) / COUNT(I:I)) + 1</f>
        <v>1</v>
      </c>
      <c r="M1135" t="str">
        <f t="shared" si="34"/>
        <v>221</v>
      </c>
      <c r="N1135" s="6" t="str">
        <f t="shared" si="35"/>
        <v>Lost</v>
      </c>
    </row>
    <row r="1136" spans="1:14" x14ac:dyDescent="0.35">
      <c r="A1136">
        <v>1017</v>
      </c>
      <c r="B1136" s="4">
        <v>45688.375085336993</v>
      </c>
      <c r="C1136" t="s">
        <v>14</v>
      </c>
      <c r="D1136" t="s">
        <v>18</v>
      </c>
      <c r="E1136" t="s">
        <v>23</v>
      </c>
      <c r="F1136">
        <v>1804.08</v>
      </c>
      <c r="G1136">
        <f t="array" ref="G1136">SalesData!$I$2 - 'RFM Table'!B1136</f>
        <v>448</v>
      </c>
      <c r="H1136">
        <f t="array" ref="H1136">COUNTIF(A:A,A1136)</f>
        <v>4</v>
      </c>
      <c r="I1136">
        <f t="array" ref="I1136">SUMIF(A:A,A1136,F:F)</f>
        <v>13232.439999999999</v>
      </c>
      <c r="J1136">
        <f t="array" ref="J1136">5 - INT(5 * (RANK(G1136,G:G, 1) - 1) / COUNT(G:G))</f>
        <v>2</v>
      </c>
      <c r="K1136">
        <f t="array" ref="K1136">INT(5 * (RANK(H1136,H:H, 0) - 1) / COUNT(H:H)) + 1</f>
        <v>5</v>
      </c>
      <c r="L1136">
        <f t="array" ref="L1136">INT(5 * (RANK(I1136,I:I, 0) - 1) / COUNT(I:I)) + 1</f>
        <v>5</v>
      </c>
      <c r="M1136" t="str">
        <f t="shared" si="34"/>
        <v>255</v>
      </c>
      <c r="N1136" s="6" t="str">
        <f t="shared" si="35"/>
        <v>At Risk</v>
      </c>
    </row>
    <row r="1137" spans="1:14" x14ac:dyDescent="0.35">
      <c r="A1137">
        <v>1151</v>
      </c>
      <c r="B1137" s="4">
        <v>45688.375085336993</v>
      </c>
      <c r="C1137" t="s">
        <v>13</v>
      </c>
      <c r="D1137" t="s">
        <v>18</v>
      </c>
      <c r="E1137" t="s">
        <v>23</v>
      </c>
      <c r="F1137">
        <v>4662.78</v>
      </c>
      <c r="G1137">
        <f t="array" ref="G1137">SalesData!$I$2 - 'RFM Table'!B1137</f>
        <v>448</v>
      </c>
      <c r="H1137">
        <f t="array" ref="H1137">COUNTIF(A:A,A1137)</f>
        <v>13</v>
      </c>
      <c r="I1137">
        <f t="array" ref="I1137">SUMIF(A:A,A1137,F:F)</f>
        <v>49208.94</v>
      </c>
      <c r="J1137">
        <f t="array" ref="J1137">5 - INT(5 * (RANK(G1137,G:G, 1) - 1) / COUNT(G:G))</f>
        <v>2</v>
      </c>
      <c r="K1137">
        <f t="array" ref="K1137">INT(5 * (RANK(H1137,H:H, 0) - 1) / COUNT(H:H)) + 1</f>
        <v>1</v>
      </c>
      <c r="L1137">
        <f t="array" ref="L1137">INT(5 * (RANK(I1137,I:I, 0) - 1) / COUNT(I:I)) + 1</f>
        <v>1</v>
      </c>
      <c r="M1137" t="str">
        <f t="shared" si="34"/>
        <v>211</v>
      </c>
      <c r="N1137" s="6" t="str">
        <f t="shared" si="35"/>
        <v>Lost</v>
      </c>
    </row>
    <row r="1138" spans="1:14" x14ac:dyDescent="0.35">
      <c r="A1138">
        <v>1202</v>
      </c>
      <c r="B1138" s="4">
        <v>45688.375085336993</v>
      </c>
      <c r="C1138" t="s">
        <v>11</v>
      </c>
      <c r="D1138" t="s">
        <v>20</v>
      </c>
      <c r="E1138" t="s">
        <v>23</v>
      </c>
      <c r="F1138">
        <v>1683.24</v>
      </c>
      <c r="G1138">
        <f t="array" ref="G1138">SalesData!$I$2 - 'RFM Table'!B1138</f>
        <v>448</v>
      </c>
      <c r="H1138">
        <f t="array" ref="H1138">COUNTIF(A:A,A1138)</f>
        <v>6</v>
      </c>
      <c r="I1138">
        <f t="array" ref="I1138">SUMIF(A:A,A1138,F:F)</f>
        <v>14707.359999999999</v>
      </c>
      <c r="J1138">
        <f t="array" ref="J1138">5 - INT(5 * (RANK(G1138,G:G, 1) - 1) / COUNT(G:G))</f>
        <v>2</v>
      </c>
      <c r="K1138">
        <f t="array" ref="K1138">INT(5 * (RANK(H1138,H:H, 0) - 1) / COUNT(H:H)) + 1</f>
        <v>4</v>
      </c>
      <c r="L1138">
        <f t="array" ref="L1138">INT(5 * (RANK(I1138,I:I, 0) - 1) / COUNT(I:I)) + 1</f>
        <v>5</v>
      </c>
      <c r="M1138" t="str">
        <f t="shared" si="34"/>
        <v>245</v>
      </c>
      <c r="N1138" s="6" t="str">
        <f t="shared" si="35"/>
        <v>At Risk</v>
      </c>
    </row>
    <row r="1139" spans="1:14" x14ac:dyDescent="0.35">
      <c r="A1139">
        <v>1165</v>
      </c>
      <c r="B1139" s="4">
        <v>45688.375085336993</v>
      </c>
      <c r="C1139" t="s">
        <v>8</v>
      </c>
      <c r="D1139" t="s">
        <v>18</v>
      </c>
      <c r="E1139" t="s">
        <v>25</v>
      </c>
      <c r="F1139">
        <v>4790.99</v>
      </c>
      <c r="G1139">
        <f t="array" ref="G1139">SalesData!$I$2 - 'RFM Table'!B1139</f>
        <v>448</v>
      </c>
      <c r="H1139">
        <f t="array" ref="H1139">COUNTIF(A:A,A1139)</f>
        <v>6</v>
      </c>
      <c r="I1139">
        <f t="array" ref="I1139">SUMIF(A:A,A1139,F:F)</f>
        <v>25394.229999999996</v>
      </c>
      <c r="J1139">
        <f t="array" ref="J1139">5 - INT(5 * (RANK(G1139,G:G, 1) - 1) / COUNT(G:G))</f>
        <v>2</v>
      </c>
      <c r="K1139">
        <f t="array" ref="K1139">INT(5 * (RANK(H1139,H:H, 0) - 1) / COUNT(H:H)) + 1</f>
        <v>4</v>
      </c>
      <c r="L1139">
        <f t="array" ref="L1139">INT(5 * (RANK(I1139,I:I, 0) - 1) / COUNT(I:I)) + 1</f>
        <v>4</v>
      </c>
      <c r="M1139" t="str">
        <f t="shared" si="34"/>
        <v>244</v>
      </c>
      <c r="N1139" s="6" t="str">
        <f t="shared" si="35"/>
        <v>At Risk</v>
      </c>
    </row>
    <row r="1140" spans="1:14" x14ac:dyDescent="0.35">
      <c r="A1140">
        <v>1348</v>
      </c>
      <c r="B1140" s="4">
        <v>45688.375085336993</v>
      </c>
      <c r="C1140" t="s">
        <v>13</v>
      </c>
      <c r="D1140" t="s">
        <v>20</v>
      </c>
      <c r="E1140" t="s">
        <v>23</v>
      </c>
      <c r="F1140">
        <v>1718.72</v>
      </c>
      <c r="G1140">
        <f t="array" ref="G1140">SalesData!$I$2 - 'RFM Table'!B1140</f>
        <v>448</v>
      </c>
      <c r="H1140">
        <f t="array" ref="H1140">COUNTIF(A:A,A1140)</f>
        <v>12</v>
      </c>
      <c r="I1140">
        <f t="array" ref="I1140">SUMIF(A:A,A1140,F:F)</f>
        <v>27185.14</v>
      </c>
      <c r="J1140">
        <f t="array" ref="J1140">5 - INT(5 * (RANK(G1140,G:G, 1) - 1) / COUNT(G:G))</f>
        <v>2</v>
      </c>
      <c r="K1140">
        <f t="array" ref="K1140">INT(5 * (RANK(H1140,H:H, 0) - 1) / COUNT(H:H)) + 1</f>
        <v>1</v>
      </c>
      <c r="L1140">
        <f t="array" ref="L1140">INT(5 * (RANK(I1140,I:I, 0) - 1) / COUNT(I:I)) + 1</f>
        <v>4</v>
      </c>
      <c r="M1140" t="str">
        <f t="shared" si="34"/>
        <v>214</v>
      </c>
      <c r="N1140" s="6" t="str">
        <f t="shared" si="35"/>
        <v>Can't Lose Them</v>
      </c>
    </row>
    <row r="1141" spans="1:14" x14ac:dyDescent="0.35">
      <c r="A1141">
        <v>1395</v>
      </c>
      <c r="B1141" s="4">
        <v>45688.375085336993</v>
      </c>
      <c r="C1141" t="s">
        <v>9</v>
      </c>
      <c r="D1141" t="s">
        <v>18</v>
      </c>
      <c r="E1141" t="s">
        <v>25</v>
      </c>
      <c r="F1141">
        <v>11239.49</v>
      </c>
      <c r="G1141">
        <f t="array" ref="G1141">SalesData!$I$2 - 'RFM Table'!B1141</f>
        <v>448</v>
      </c>
      <c r="H1141">
        <f t="array" ref="H1141">COUNTIF(A:A,A1141)</f>
        <v>7</v>
      </c>
      <c r="I1141">
        <f t="array" ref="I1141">SUMIF(A:A,A1141,F:F)</f>
        <v>36778.530000000006</v>
      </c>
      <c r="J1141">
        <f t="array" ref="J1141">5 - INT(5 * (RANK(G1141,G:G, 1) - 1) / COUNT(G:G))</f>
        <v>2</v>
      </c>
      <c r="K1141">
        <f t="array" ref="K1141">INT(5 * (RANK(H1141,H:H, 0) - 1) / COUNT(H:H)) + 1</f>
        <v>4</v>
      </c>
      <c r="L1141">
        <f t="array" ref="L1141">INT(5 * (RANK(I1141,I:I, 0) - 1) / COUNT(I:I)) + 1</f>
        <v>3</v>
      </c>
      <c r="M1141" t="str">
        <f t="shared" si="34"/>
        <v>243</v>
      </c>
      <c r="N1141" s="6" t="str">
        <f t="shared" si="35"/>
        <v>At Risk</v>
      </c>
    </row>
    <row r="1142" spans="1:14" x14ac:dyDescent="0.35">
      <c r="A1142">
        <v>1068</v>
      </c>
      <c r="B1142" s="4">
        <v>45688.375085336993</v>
      </c>
      <c r="C1142" t="s">
        <v>6</v>
      </c>
      <c r="D1142" t="s">
        <v>21</v>
      </c>
      <c r="E1142" t="s">
        <v>24</v>
      </c>
      <c r="F1142">
        <v>8791.42</v>
      </c>
      <c r="G1142">
        <f t="array" ref="G1142">SalesData!$I$2 - 'RFM Table'!B1142</f>
        <v>448</v>
      </c>
      <c r="H1142">
        <f t="array" ref="H1142">COUNTIF(A:A,A1142)</f>
        <v>10</v>
      </c>
      <c r="I1142">
        <f t="array" ref="I1142">SUMIF(A:A,A1142,F:F)</f>
        <v>47284.22</v>
      </c>
      <c r="J1142">
        <f t="array" ref="J1142">5 - INT(5 * (RANK(G1142,G:G, 1) - 1) / COUNT(G:G))</f>
        <v>2</v>
      </c>
      <c r="K1142">
        <f t="array" ref="K1142">INT(5 * (RANK(H1142,H:H, 0) - 1) / COUNT(H:H)) + 1</f>
        <v>2</v>
      </c>
      <c r="L1142">
        <f t="array" ref="L1142">INT(5 * (RANK(I1142,I:I, 0) - 1) / COUNT(I:I)) + 1</f>
        <v>1</v>
      </c>
      <c r="M1142" t="str">
        <f t="shared" si="34"/>
        <v>221</v>
      </c>
      <c r="N1142" s="6" t="str">
        <f t="shared" si="35"/>
        <v>Lost</v>
      </c>
    </row>
    <row r="1143" spans="1:14" x14ac:dyDescent="0.35">
      <c r="A1143">
        <v>1167</v>
      </c>
      <c r="B1143" s="4">
        <v>45688.375085336993</v>
      </c>
      <c r="C1143" t="s">
        <v>14</v>
      </c>
      <c r="D1143" t="s">
        <v>21</v>
      </c>
      <c r="E1143" t="s">
        <v>23</v>
      </c>
      <c r="F1143">
        <v>1551.48</v>
      </c>
      <c r="G1143">
        <f t="array" ref="G1143">SalesData!$I$2 - 'RFM Table'!B1143</f>
        <v>448</v>
      </c>
      <c r="H1143">
        <f t="array" ref="H1143">COUNTIF(A:A,A1143)</f>
        <v>5</v>
      </c>
      <c r="I1143">
        <f t="array" ref="I1143">SUMIF(A:A,A1143,F:F)</f>
        <v>19417.830000000002</v>
      </c>
      <c r="J1143">
        <f t="array" ref="J1143">5 - INT(5 * (RANK(G1143,G:G, 1) - 1) / COUNT(G:G))</f>
        <v>2</v>
      </c>
      <c r="K1143">
        <f t="array" ref="K1143">INT(5 * (RANK(H1143,H:H, 0) - 1) / COUNT(H:H)) + 1</f>
        <v>5</v>
      </c>
      <c r="L1143">
        <f t="array" ref="L1143">INT(5 * (RANK(I1143,I:I, 0) - 1) / COUNT(I:I)) + 1</f>
        <v>5</v>
      </c>
      <c r="M1143" t="str">
        <f t="shared" si="34"/>
        <v>255</v>
      </c>
      <c r="N1143" s="6" t="str">
        <f t="shared" si="35"/>
        <v>At Risk</v>
      </c>
    </row>
    <row r="1144" spans="1:14" x14ac:dyDescent="0.35">
      <c r="A1144">
        <v>1285</v>
      </c>
      <c r="B1144" s="4">
        <v>45688.375085336993</v>
      </c>
      <c r="C1144" t="s">
        <v>9</v>
      </c>
      <c r="D1144" t="s">
        <v>18</v>
      </c>
      <c r="E1144" t="s">
        <v>25</v>
      </c>
      <c r="F1144">
        <v>713.67</v>
      </c>
      <c r="G1144">
        <f t="array" ref="G1144">SalesData!$I$2 - 'RFM Table'!B1144</f>
        <v>448</v>
      </c>
      <c r="H1144">
        <f t="array" ref="H1144">COUNTIF(A:A,A1144)</f>
        <v>9</v>
      </c>
      <c r="I1144">
        <f t="array" ref="I1144">SUMIF(A:A,A1144,F:F)</f>
        <v>27990.980000000003</v>
      </c>
      <c r="J1144">
        <f t="array" ref="J1144">5 - INT(5 * (RANK(G1144,G:G, 1) - 1) / COUNT(G:G))</f>
        <v>2</v>
      </c>
      <c r="K1144">
        <f t="array" ref="K1144">INT(5 * (RANK(H1144,H:H, 0) - 1) / COUNT(H:H)) + 1</f>
        <v>2</v>
      </c>
      <c r="L1144">
        <f t="array" ref="L1144">INT(5 * (RANK(I1144,I:I, 0) - 1) / COUNT(I:I)) + 1</f>
        <v>4</v>
      </c>
      <c r="M1144" t="str">
        <f t="shared" si="34"/>
        <v>224</v>
      </c>
      <c r="N1144" s="6" t="str">
        <f t="shared" si="35"/>
        <v>Can't Lose Them</v>
      </c>
    </row>
    <row r="1145" spans="1:14" x14ac:dyDescent="0.35">
      <c r="A1145">
        <v>1081</v>
      </c>
      <c r="B1145" s="4">
        <v>45689.375085336993</v>
      </c>
      <c r="C1145" t="s">
        <v>8</v>
      </c>
      <c r="D1145" t="s">
        <v>18</v>
      </c>
      <c r="E1145" t="s">
        <v>23</v>
      </c>
      <c r="F1145">
        <v>3558.31</v>
      </c>
      <c r="G1145">
        <f t="array" ref="G1145">SalesData!$I$2 - 'RFM Table'!B1145</f>
        <v>447</v>
      </c>
      <c r="H1145">
        <f t="array" ref="H1145">COUNTIF(A:A,A1145)</f>
        <v>8</v>
      </c>
      <c r="I1145">
        <f t="array" ref="I1145">SUMIF(A:A,A1145,F:F)</f>
        <v>29788.7</v>
      </c>
      <c r="J1145">
        <f t="array" ref="J1145">5 - INT(5 * (RANK(G1145,G:G, 1) - 1) / COUNT(G:G))</f>
        <v>2</v>
      </c>
      <c r="K1145">
        <f t="array" ref="K1145">INT(5 * (RANK(H1145,H:H, 0) - 1) / COUNT(H:H)) + 1</f>
        <v>3</v>
      </c>
      <c r="L1145">
        <f t="array" ref="L1145">INT(5 * (RANK(I1145,I:I, 0) - 1) / COUNT(I:I)) + 1</f>
        <v>3</v>
      </c>
      <c r="M1145" t="str">
        <f t="shared" si="34"/>
        <v>233</v>
      </c>
      <c r="N1145" s="6" t="str">
        <f t="shared" si="35"/>
        <v>At Risk</v>
      </c>
    </row>
    <row r="1146" spans="1:14" x14ac:dyDescent="0.35">
      <c r="A1146">
        <v>1146</v>
      </c>
      <c r="B1146" s="4">
        <v>45689.375085336993</v>
      </c>
      <c r="C1146" t="s">
        <v>11</v>
      </c>
      <c r="D1146" t="s">
        <v>16</v>
      </c>
      <c r="E1146" t="s">
        <v>23</v>
      </c>
      <c r="F1146">
        <v>502.7</v>
      </c>
      <c r="G1146">
        <f t="array" ref="G1146">SalesData!$I$2 - 'RFM Table'!B1146</f>
        <v>447</v>
      </c>
      <c r="H1146">
        <f t="array" ref="H1146">COUNTIF(A:A,A1146)</f>
        <v>11</v>
      </c>
      <c r="I1146">
        <f t="array" ref="I1146">SUMIF(A:A,A1146,F:F)</f>
        <v>43110.84</v>
      </c>
      <c r="J1146">
        <f t="array" ref="J1146">5 - INT(5 * (RANK(G1146,G:G, 1) - 1) / COUNT(G:G))</f>
        <v>2</v>
      </c>
      <c r="K1146">
        <f t="array" ref="K1146">INT(5 * (RANK(H1146,H:H, 0) - 1) / COUNT(H:H)) + 1</f>
        <v>1</v>
      </c>
      <c r="L1146">
        <f t="array" ref="L1146">INT(5 * (RANK(I1146,I:I, 0) - 1) / COUNT(I:I)) + 1</f>
        <v>2</v>
      </c>
      <c r="M1146" t="str">
        <f t="shared" si="34"/>
        <v>212</v>
      </c>
      <c r="N1146" s="6" t="str">
        <f t="shared" si="35"/>
        <v>Lost</v>
      </c>
    </row>
    <row r="1147" spans="1:14" x14ac:dyDescent="0.35">
      <c r="A1147">
        <v>1255</v>
      </c>
      <c r="B1147" s="4">
        <v>45689.375085336993</v>
      </c>
      <c r="C1147" t="s">
        <v>12</v>
      </c>
      <c r="D1147" t="s">
        <v>19</v>
      </c>
      <c r="E1147" t="s">
        <v>25</v>
      </c>
      <c r="F1147">
        <v>14168.34</v>
      </c>
      <c r="G1147">
        <f t="array" ref="G1147">SalesData!$I$2 - 'RFM Table'!B1147</f>
        <v>447</v>
      </c>
      <c r="H1147">
        <f t="array" ref="H1147">COUNTIF(A:A,A1147)</f>
        <v>8</v>
      </c>
      <c r="I1147">
        <f t="array" ref="I1147">SUMIF(A:A,A1147,F:F)</f>
        <v>33838.019999999997</v>
      </c>
      <c r="J1147">
        <f t="array" ref="J1147">5 - INT(5 * (RANK(G1147,G:G, 1) - 1) / COUNT(G:G))</f>
        <v>2</v>
      </c>
      <c r="K1147">
        <f t="array" ref="K1147">INT(5 * (RANK(H1147,H:H, 0) - 1) / COUNT(H:H)) + 1</f>
        <v>3</v>
      </c>
      <c r="L1147">
        <f t="array" ref="L1147">INT(5 * (RANK(I1147,I:I, 0) - 1) / COUNT(I:I)) + 1</f>
        <v>3</v>
      </c>
      <c r="M1147" t="str">
        <f t="shared" si="34"/>
        <v>233</v>
      </c>
      <c r="N1147" s="6" t="str">
        <f t="shared" si="35"/>
        <v>At Risk</v>
      </c>
    </row>
    <row r="1148" spans="1:14" x14ac:dyDescent="0.35">
      <c r="A1148">
        <v>1250</v>
      </c>
      <c r="B1148" s="4">
        <v>45689.375085336993</v>
      </c>
      <c r="C1148" t="s">
        <v>14</v>
      </c>
      <c r="D1148" t="s">
        <v>20</v>
      </c>
      <c r="E1148" t="s">
        <v>25</v>
      </c>
      <c r="F1148">
        <v>2525.17</v>
      </c>
      <c r="G1148">
        <f t="array" ref="G1148">SalesData!$I$2 - 'RFM Table'!B1148</f>
        <v>447</v>
      </c>
      <c r="H1148">
        <f t="array" ref="H1148">COUNTIF(A:A,A1148)</f>
        <v>9</v>
      </c>
      <c r="I1148">
        <f t="array" ref="I1148">SUMIF(A:A,A1148,F:F)</f>
        <v>36713.85</v>
      </c>
      <c r="J1148">
        <f t="array" ref="J1148">5 - INT(5 * (RANK(G1148,G:G, 1) - 1) / COUNT(G:G))</f>
        <v>2</v>
      </c>
      <c r="K1148">
        <f t="array" ref="K1148">INT(5 * (RANK(H1148,H:H, 0) - 1) / COUNT(H:H)) + 1</f>
        <v>2</v>
      </c>
      <c r="L1148">
        <f t="array" ref="L1148">INT(5 * (RANK(I1148,I:I, 0) - 1) / COUNT(I:I)) + 1</f>
        <v>3</v>
      </c>
      <c r="M1148" t="str">
        <f t="shared" si="34"/>
        <v>223</v>
      </c>
      <c r="N1148" s="6" t="str">
        <f t="shared" si="35"/>
        <v>Can't Lose Them</v>
      </c>
    </row>
    <row r="1149" spans="1:14" x14ac:dyDescent="0.35">
      <c r="A1149">
        <v>1018</v>
      </c>
      <c r="B1149" s="4">
        <v>45690.375085336993</v>
      </c>
      <c r="C1149" t="s">
        <v>12</v>
      </c>
      <c r="D1149" t="s">
        <v>18</v>
      </c>
      <c r="E1149" t="s">
        <v>23</v>
      </c>
      <c r="F1149">
        <v>2175.58</v>
      </c>
      <c r="G1149">
        <f t="array" ref="G1149">SalesData!$I$2 - 'RFM Table'!B1149</f>
        <v>446</v>
      </c>
      <c r="H1149">
        <f t="array" ref="H1149">COUNTIF(A:A,A1149)</f>
        <v>7</v>
      </c>
      <c r="I1149">
        <f t="array" ref="I1149">SUMIF(A:A,A1149,F:F)</f>
        <v>25356.28</v>
      </c>
      <c r="J1149">
        <f t="array" ref="J1149">5 - INT(5 * (RANK(G1149,G:G, 1) - 1) / COUNT(G:G))</f>
        <v>2</v>
      </c>
      <c r="K1149">
        <f t="array" ref="K1149">INT(5 * (RANK(H1149,H:H, 0) - 1) / COUNT(H:H)) + 1</f>
        <v>4</v>
      </c>
      <c r="L1149">
        <f t="array" ref="L1149">INT(5 * (RANK(I1149,I:I, 0) - 1) / COUNT(I:I)) + 1</f>
        <v>4</v>
      </c>
      <c r="M1149" t="str">
        <f t="shared" si="34"/>
        <v>244</v>
      </c>
      <c r="N1149" s="6" t="str">
        <f t="shared" si="35"/>
        <v>At Risk</v>
      </c>
    </row>
    <row r="1150" spans="1:14" x14ac:dyDescent="0.35">
      <c r="A1150">
        <v>1248</v>
      </c>
      <c r="B1150" s="4">
        <v>45690.375085336993</v>
      </c>
      <c r="C1150" t="s">
        <v>15</v>
      </c>
      <c r="D1150" t="s">
        <v>16</v>
      </c>
      <c r="E1150" t="s">
        <v>25</v>
      </c>
      <c r="F1150">
        <v>4479.8100000000004</v>
      </c>
      <c r="G1150">
        <f t="array" ref="G1150">SalesData!$I$2 - 'RFM Table'!B1150</f>
        <v>446</v>
      </c>
      <c r="H1150">
        <f t="array" ref="H1150">COUNTIF(A:A,A1150)</f>
        <v>7</v>
      </c>
      <c r="I1150">
        <f t="array" ref="I1150">SUMIF(A:A,A1150,F:F)</f>
        <v>27796.990000000005</v>
      </c>
      <c r="J1150">
        <f t="array" ref="J1150">5 - INT(5 * (RANK(G1150,G:G, 1) - 1) / COUNT(G:G))</f>
        <v>2</v>
      </c>
      <c r="K1150">
        <f t="array" ref="K1150">INT(5 * (RANK(H1150,H:H, 0) - 1) / COUNT(H:H)) + 1</f>
        <v>4</v>
      </c>
      <c r="L1150">
        <f t="array" ref="L1150">INT(5 * (RANK(I1150,I:I, 0) - 1) / COUNT(I:I)) + 1</f>
        <v>4</v>
      </c>
      <c r="M1150" t="str">
        <f t="shared" si="34"/>
        <v>244</v>
      </c>
      <c r="N1150" s="6" t="str">
        <f t="shared" si="35"/>
        <v>At Risk</v>
      </c>
    </row>
    <row r="1151" spans="1:14" x14ac:dyDescent="0.35">
      <c r="A1151">
        <v>1150</v>
      </c>
      <c r="B1151" s="4">
        <v>45691.375085336993</v>
      </c>
      <c r="C1151" t="s">
        <v>12</v>
      </c>
      <c r="D1151" t="s">
        <v>17</v>
      </c>
      <c r="E1151" t="s">
        <v>25</v>
      </c>
      <c r="F1151">
        <v>5793.12</v>
      </c>
      <c r="G1151">
        <f t="array" ref="G1151">SalesData!$I$2 - 'RFM Table'!B1151</f>
        <v>445</v>
      </c>
      <c r="H1151">
        <f t="array" ref="H1151">COUNTIF(A:A,A1151)</f>
        <v>10</v>
      </c>
      <c r="I1151">
        <f t="array" ref="I1151">SUMIF(A:A,A1151,F:F)</f>
        <v>34643.039999999994</v>
      </c>
      <c r="J1151">
        <f t="array" ref="J1151">5 - INT(5 * (RANK(G1151,G:G, 1) - 1) / COUNT(G:G))</f>
        <v>2</v>
      </c>
      <c r="K1151">
        <f t="array" ref="K1151">INT(5 * (RANK(H1151,H:H, 0) - 1) / COUNT(H:H)) + 1</f>
        <v>2</v>
      </c>
      <c r="L1151">
        <f t="array" ref="L1151">INT(5 * (RANK(I1151,I:I, 0) - 1) / COUNT(I:I)) + 1</f>
        <v>3</v>
      </c>
      <c r="M1151" t="str">
        <f t="shared" si="34"/>
        <v>223</v>
      </c>
      <c r="N1151" s="6" t="str">
        <f t="shared" si="35"/>
        <v>Can't Lose Them</v>
      </c>
    </row>
    <row r="1152" spans="1:14" x14ac:dyDescent="0.35">
      <c r="A1152">
        <v>1310</v>
      </c>
      <c r="B1152" s="4">
        <v>45691.375085336993</v>
      </c>
      <c r="C1152" t="s">
        <v>12</v>
      </c>
      <c r="D1152" t="s">
        <v>16</v>
      </c>
      <c r="E1152" t="s">
        <v>23</v>
      </c>
      <c r="F1152">
        <v>5354.19</v>
      </c>
      <c r="G1152">
        <f t="array" ref="G1152">SalesData!$I$2 - 'RFM Table'!B1152</f>
        <v>445</v>
      </c>
      <c r="H1152">
        <f t="array" ref="H1152">COUNTIF(A:A,A1152)</f>
        <v>9</v>
      </c>
      <c r="I1152">
        <f t="array" ref="I1152">SUMIF(A:A,A1152,F:F)</f>
        <v>45883.96</v>
      </c>
      <c r="J1152">
        <f t="array" ref="J1152">5 - INT(5 * (RANK(G1152,G:G, 1) - 1) / COUNT(G:G))</f>
        <v>2</v>
      </c>
      <c r="K1152">
        <f t="array" ref="K1152">INT(5 * (RANK(H1152,H:H, 0) - 1) / COUNT(H:H)) + 1</f>
        <v>2</v>
      </c>
      <c r="L1152">
        <f t="array" ref="L1152">INT(5 * (RANK(I1152,I:I, 0) - 1) / COUNT(I:I)) + 1</f>
        <v>1</v>
      </c>
      <c r="M1152" t="str">
        <f t="shared" si="34"/>
        <v>221</v>
      </c>
      <c r="N1152" s="6" t="str">
        <f t="shared" si="35"/>
        <v>Lost</v>
      </c>
    </row>
    <row r="1153" spans="1:14" x14ac:dyDescent="0.35">
      <c r="A1153">
        <v>1169</v>
      </c>
      <c r="B1153" s="4">
        <v>45691.375085336993</v>
      </c>
      <c r="C1153" t="s">
        <v>11</v>
      </c>
      <c r="D1153" t="s">
        <v>16</v>
      </c>
      <c r="E1153" t="s">
        <v>23</v>
      </c>
      <c r="F1153">
        <v>3766.21</v>
      </c>
      <c r="G1153">
        <f t="array" ref="G1153">SalesData!$I$2 - 'RFM Table'!B1153</f>
        <v>445</v>
      </c>
      <c r="H1153">
        <f t="array" ref="H1153">COUNTIF(A:A,A1153)</f>
        <v>10</v>
      </c>
      <c r="I1153">
        <f t="array" ref="I1153">SUMIF(A:A,A1153,F:F)</f>
        <v>45640.06</v>
      </c>
      <c r="J1153">
        <f t="array" ref="J1153">5 - INT(5 * (RANK(G1153,G:G, 1) - 1) / COUNT(G:G))</f>
        <v>2</v>
      </c>
      <c r="K1153">
        <f t="array" ref="K1153">INT(5 * (RANK(H1153,H:H, 0) - 1) / COUNT(H:H)) + 1</f>
        <v>2</v>
      </c>
      <c r="L1153">
        <f t="array" ref="L1153">INT(5 * (RANK(I1153,I:I, 0) - 1) / COUNT(I:I)) + 1</f>
        <v>1</v>
      </c>
      <c r="M1153" t="str">
        <f t="shared" si="34"/>
        <v>221</v>
      </c>
      <c r="N1153" s="6" t="str">
        <f t="shared" si="35"/>
        <v>Lost</v>
      </c>
    </row>
    <row r="1154" spans="1:14" x14ac:dyDescent="0.35">
      <c r="A1154">
        <v>1350</v>
      </c>
      <c r="B1154" s="4">
        <v>45692.375085336993</v>
      </c>
      <c r="C1154" t="s">
        <v>11</v>
      </c>
      <c r="D1154" t="s">
        <v>18</v>
      </c>
      <c r="E1154" t="s">
        <v>24</v>
      </c>
      <c r="F1154">
        <v>5511.13</v>
      </c>
      <c r="G1154">
        <f t="array" ref="G1154">SalesData!$I$2 - 'RFM Table'!B1154</f>
        <v>444</v>
      </c>
      <c r="H1154">
        <f t="array" ref="H1154">COUNTIF(A:A,A1154)</f>
        <v>4</v>
      </c>
      <c r="I1154">
        <f t="array" ref="I1154">SUMIF(A:A,A1154,F:F)</f>
        <v>18485.12</v>
      </c>
      <c r="J1154">
        <f t="array" ref="J1154">5 - INT(5 * (RANK(G1154,G:G, 1) - 1) / COUNT(G:G))</f>
        <v>2</v>
      </c>
      <c r="K1154">
        <f t="array" ref="K1154">INT(5 * (RANK(H1154,H:H, 0) - 1) / COUNT(H:H)) + 1</f>
        <v>5</v>
      </c>
      <c r="L1154">
        <f t="array" ref="L1154">INT(5 * (RANK(I1154,I:I, 0) - 1) / COUNT(I:I)) + 1</f>
        <v>5</v>
      </c>
      <c r="M1154" t="str">
        <f t="shared" si="34"/>
        <v>255</v>
      </c>
      <c r="N1154" s="6" t="str">
        <f t="shared" si="35"/>
        <v>At Risk</v>
      </c>
    </row>
    <row r="1155" spans="1:14" x14ac:dyDescent="0.35">
      <c r="A1155">
        <v>1232</v>
      </c>
      <c r="B1155" s="4">
        <v>45692.375085336993</v>
      </c>
      <c r="C1155" t="s">
        <v>6</v>
      </c>
      <c r="D1155" t="s">
        <v>17</v>
      </c>
      <c r="E1155" t="s">
        <v>23</v>
      </c>
      <c r="F1155">
        <v>4947.3999999999996</v>
      </c>
      <c r="G1155">
        <f t="array" ref="G1155">SalesData!$I$2 - 'RFM Table'!B1155</f>
        <v>444</v>
      </c>
      <c r="H1155">
        <f t="array" ref="H1155">COUNTIF(A:A,A1155)</f>
        <v>13</v>
      </c>
      <c r="I1155">
        <f t="array" ref="I1155">SUMIF(A:A,A1155,F:F)</f>
        <v>40298.450000000004</v>
      </c>
      <c r="J1155">
        <f t="array" ref="J1155">5 - INT(5 * (RANK(G1155,G:G, 1) - 1) / COUNT(G:G))</f>
        <v>2</v>
      </c>
      <c r="K1155">
        <f t="array" ref="K1155">INT(5 * (RANK(H1155,H:H, 0) - 1) / COUNT(H:H)) + 1</f>
        <v>1</v>
      </c>
      <c r="L1155">
        <f t="array" ref="L1155">INT(5 * (RANK(I1155,I:I, 0) - 1) / COUNT(I:I)) + 1</f>
        <v>2</v>
      </c>
      <c r="M1155" t="str">
        <f t="shared" ref="M1155:M1218" si="36">J1155 &amp; K1155 &amp; L1155</f>
        <v>212</v>
      </c>
      <c r="N1155" s="6" t="str">
        <f t="shared" ref="N1155:N1218" si="37">IF(AND(J1155&gt;=4,K1155&lt;=2),"New Customers",
IF(AND(J1155&lt;=2,K1155&gt;=3,L1155&gt;=3),"At Risk",
IF(AND(J1155&lt;=2,K1155&lt;=2,L1155&gt;=3),"Can't Lose Them",
IF(AND(J1155&lt;=2,K1155&lt;=2,L1155&lt;=2),"Lost",
"Others"))))</f>
        <v>Lost</v>
      </c>
    </row>
    <row r="1156" spans="1:14" x14ac:dyDescent="0.35">
      <c r="A1156">
        <v>1064</v>
      </c>
      <c r="B1156" s="4">
        <v>45692.375085336993</v>
      </c>
      <c r="C1156" t="s">
        <v>10</v>
      </c>
      <c r="D1156" t="s">
        <v>18</v>
      </c>
      <c r="E1156" t="s">
        <v>23</v>
      </c>
      <c r="F1156">
        <v>6904.18</v>
      </c>
      <c r="G1156">
        <f t="array" ref="G1156">SalesData!$I$2 - 'RFM Table'!B1156</f>
        <v>444</v>
      </c>
      <c r="H1156">
        <f t="array" ref="H1156">COUNTIF(A:A,A1156)</f>
        <v>6</v>
      </c>
      <c r="I1156">
        <f t="array" ref="I1156">SUMIF(A:A,A1156,F:F)</f>
        <v>30683.43</v>
      </c>
      <c r="J1156">
        <f t="array" ref="J1156">5 - INT(5 * (RANK(G1156,G:G, 1) - 1) / COUNT(G:G))</f>
        <v>2</v>
      </c>
      <c r="K1156">
        <f t="array" ref="K1156">INT(5 * (RANK(H1156,H:H, 0) - 1) / COUNT(H:H)) + 1</f>
        <v>4</v>
      </c>
      <c r="L1156">
        <f t="array" ref="L1156">INT(5 * (RANK(I1156,I:I, 0) - 1) / COUNT(I:I)) + 1</f>
        <v>3</v>
      </c>
      <c r="M1156" t="str">
        <f t="shared" si="36"/>
        <v>243</v>
      </c>
      <c r="N1156" s="6" t="str">
        <f t="shared" si="37"/>
        <v>At Risk</v>
      </c>
    </row>
    <row r="1157" spans="1:14" x14ac:dyDescent="0.35">
      <c r="A1157">
        <v>1399</v>
      </c>
      <c r="B1157" s="4">
        <v>45692.375085336993</v>
      </c>
      <c r="C1157" t="s">
        <v>9</v>
      </c>
      <c r="D1157" t="s">
        <v>17</v>
      </c>
      <c r="E1157" t="s">
        <v>23</v>
      </c>
      <c r="F1157">
        <v>4891.6899999999996</v>
      </c>
      <c r="G1157">
        <f t="array" ref="G1157">SalesData!$I$2 - 'RFM Table'!B1157</f>
        <v>444</v>
      </c>
      <c r="H1157">
        <f t="array" ref="H1157">COUNTIF(A:A,A1157)</f>
        <v>9</v>
      </c>
      <c r="I1157">
        <f t="array" ref="I1157">SUMIF(A:A,A1157,F:F)</f>
        <v>34808.1</v>
      </c>
      <c r="J1157">
        <f t="array" ref="J1157">5 - INT(5 * (RANK(G1157,G:G, 1) - 1) / COUNT(G:G))</f>
        <v>2</v>
      </c>
      <c r="K1157">
        <f t="array" ref="K1157">INT(5 * (RANK(H1157,H:H, 0) - 1) / COUNT(H:H)) + 1</f>
        <v>2</v>
      </c>
      <c r="L1157">
        <f t="array" ref="L1157">INT(5 * (RANK(I1157,I:I, 0) - 1) / COUNT(I:I)) + 1</f>
        <v>3</v>
      </c>
      <c r="M1157" t="str">
        <f t="shared" si="36"/>
        <v>223</v>
      </c>
      <c r="N1157" s="6" t="str">
        <f t="shared" si="37"/>
        <v>Can't Lose Them</v>
      </c>
    </row>
    <row r="1158" spans="1:14" x14ac:dyDescent="0.35">
      <c r="A1158">
        <v>1257</v>
      </c>
      <c r="B1158" s="4">
        <v>45693.375085336993</v>
      </c>
      <c r="C1158" t="s">
        <v>7</v>
      </c>
      <c r="D1158" t="s">
        <v>20</v>
      </c>
      <c r="E1158" t="s">
        <v>23</v>
      </c>
      <c r="F1158">
        <v>811.49</v>
      </c>
      <c r="G1158">
        <f t="array" ref="G1158">SalesData!$I$2 - 'RFM Table'!B1158</f>
        <v>443</v>
      </c>
      <c r="H1158">
        <f t="array" ref="H1158">COUNTIF(A:A,A1158)</f>
        <v>8</v>
      </c>
      <c r="I1158">
        <f t="array" ref="I1158">SUMIF(A:A,A1158,F:F)</f>
        <v>17550.599999999999</v>
      </c>
      <c r="J1158">
        <f t="array" ref="J1158">5 - INT(5 * (RANK(G1158,G:G, 1) - 1) / COUNT(G:G))</f>
        <v>2</v>
      </c>
      <c r="K1158">
        <f t="array" ref="K1158">INT(5 * (RANK(H1158,H:H, 0) - 1) / COUNT(H:H)) + 1</f>
        <v>3</v>
      </c>
      <c r="L1158">
        <f t="array" ref="L1158">INT(5 * (RANK(I1158,I:I, 0) - 1) / COUNT(I:I)) + 1</f>
        <v>5</v>
      </c>
      <c r="M1158" t="str">
        <f t="shared" si="36"/>
        <v>235</v>
      </c>
      <c r="N1158" s="6" t="str">
        <f t="shared" si="37"/>
        <v>At Risk</v>
      </c>
    </row>
    <row r="1159" spans="1:14" x14ac:dyDescent="0.35">
      <c r="A1159">
        <v>1353</v>
      </c>
      <c r="B1159" s="4">
        <v>45693.375085336993</v>
      </c>
      <c r="C1159" t="s">
        <v>9</v>
      </c>
      <c r="D1159" t="s">
        <v>17</v>
      </c>
      <c r="E1159" t="s">
        <v>24</v>
      </c>
      <c r="F1159">
        <v>1790.97</v>
      </c>
      <c r="G1159">
        <f t="array" ref="G1159">SalesData!$I$2 - 'RFM Table'!B1159</f>
        <v>443</v>
      </c>
      <c r="H1159">
        <f t="array" ref="H1159">COUNTIF(A:A,A1159)</f>
        <v>7</v>
      </c>
      <c r="I1159">
        <f t="array" ref="I1159">SUMIF(A:A,A1159,F:F)</f>
        <v>29446.02</v>
      </c>
      <c r="J1159">
        <f t="array" ref="J1159">5 - INT(5 * (RANK(G1159,G:G, 1) - 1) / COUNT(G:G))</f>
        <v>2</v>
      </c>
      <c r="K1159">
        <f t="array" ref="K1159">INT(5 * (RANK(H1159,H:H, 0) - 1) / COUNT(H:H)) + 1</f>
        <v>4</v>
      </c>
      <c r="L1159">
        <f t="array" ref="L1159">INT(5 * (RANK(I1159,I:I, 0) - 1) / COUNT(I:I)) + 1</f>
        <v>4</v>
      </c>
      <c r="M1159" t="str">
        <f t="shared" si="36"/>
        <v>244</v>
      </c>
      <c r="N1159" s="6" t="str">
        <f t="shared" si="37"/>
        <v>At Risk</v>
      </c>
    </row>
    <row r="1160" spans="1:14" x14ac:dyDescent="0.35">
      <c r="A1160">
        <v>1343</v>
      </c>
      <c r="B1160" s="4">
        <v>45693.375085336993</v>
      </c>
      <c r="C1160" t="s">
        <v>6</v>
      </c>
      <c r="D1160" t="s">
        <v>17</v>
      </c>
      <c r="E1160" t="s">
        <v>25</v>
      </c>
      <c r="F1160">
        <v>1172.08</v>
      </c>
      <c r="G1160">
        <f t="array" ref="G1160">SalesData!$I$2 - 'RFM Table'!B1160</f>
        <v>443</v>
      </c>
      <c r="H1160">
        <f t="array" ref="H1160">COUNTIF(A:A,A1160)</f>
        <v>9</v>
      </c>
      <c r="I1160">
        <f t="array" ref="I1160">SUMIF(A:A,A1160,F:F)</f>
        <v>40117.730000000003</v>
      </c>
      <c r="J1160">
        <f t="array" ref="J1160">5 - INT(5 * (RANK(G1160,G:G, 1) - 1) / COUNT(G:G))</f>
        <v>2</v>
      </c>
      <c r="K1160">
        <f t="array" ref="K1160">INT(5 * (RANK(H1160,H:H, 0) - 1) / COUNT(H:H)) + 1</f>
        <v>2</v>
      </c>
      <c r="L1160">
        <f t="array" ref="L1160">INT(5 * (RANK(I1160,I:I, 0) - 1) / COUNT(I:I)) + 1</f>
        <v>2</v>
      </c>
      <c r="M1160" t="str">
        <f t="shared" si="36"/>
        <v>222</v>
      </c>
      <c r="N1160" s="6" t="str">
        <f t="shared" si="37"/>
        <v>Lost</v>
      </c>
    </row>
    <row r="1161" spans="1:14" x14ac:dyDescent="0.35">
      <c r="A1161">
        <v>1027</v>
      </c>
      <c r="B1161" s="4">
        <v>45693.375085336993</v>
      </c>
      <c r="C1161" t="s">
        <v>12</v>
      </c>
      <c r="D1161" t="s">
        <v>20</v>
      </c>
      <c r="E1161" t="s">
        <v>24</v>
      </c>
      <c r="F1161">
        <v>2935.98</v>
      </c>
      <c r="G1161">
        <f t="array" ref="G1161">SalesData!$I$2 - 'RFM Table'!B1161</f>
        <v>443</v>
      </c>
      <c r="H1161">
        <f t="array" ref="H1161">COUNTIF(A:A,A1161)</f>
        <v>7</v>
      </c>
      <c r="I1161">
        <f t="array" ref="I1161">SUMIF(A:A,A1161,F:F)</f>
        <v>31771.820000000003</v>
      </c>
      <c r="J1161">
        <f t="array" ref="J1161">5 - INT(5 * (RANK(G1161,G:G, 1) - 1) / COUNT(G:G))</f>
        <v>2</v>
      </c>
      <c r="K1161">
        <f t="array" ref="K1161">INT(5 * (RANK(H1161,H:H, 0) - 1) / COUNT(H:H)) + 1</f>
        <v>4</v>
      </c>
      <c r="L1161">
        <f t="array" ref="L1161">INT(5 * (RANK(I1161,I:I, 0) - 1) / COUNT(I:I)) + 1</f>
        <v>3</v>
      </c>
      <c r="M1161" t="str">
        <f t="shared" si="36"/>
        <v>243</v>
      </c>
      <c r="N1161" s="6" t="str">
        <f t="shared" si="37"/>
        <v>At Risk</v>
      </c>
    </row>
    <row r="1162" spans="1:14" x14ac:dyDescent="0.35">
      <c r="A1162">
        <v>1210</v>
      </c>
      <c r="B1162" s="4">
        <v>45693.375085336993</v>
      </c>
      <c r="C1162" t="s">
        <v>10</v>
      </c>
      <c r="D1162" t="s">
        <v>21</v>
      </c>
      <c r="E1162" t="s">
        <v>23</v>
      </c>
      <c r="F1162">
        <v>2661.8</v>
      </c>
      <c r="G1162">
        <f t="array" ref="G1162">SalesData!$I$2 - 'RFM Table'!B1162</f>
        <v>443</v>
      </c>
      <c r="H1162">
        <f t="array" ref="H1162">COUNTIF(A:A,A1162)</f>
        <v>4</v>
      </c>
      <c r="I1162">
        <f t="array" ref="I1162">SUMIF(A:A,A1162,F:F)</f>
        <v>9551.7100000000009</v>
      </c>
      <c r="J1162">
        <f t="array" ref="J1162">5 - INT(5 * (RANK(G1162,G:G, 1) - 1) / COUNT(G:G))</f>
        <v>2</v>
      </c>
      <c r="K1162">
        <f t="array" ref="K1162">INT(5 * (RANK(H1162,H:H, 0) - 1) / COUNT(H:H)) + 1</f>
        <v>5</v>
      </c>
      <c r="L1162">
        <f t="array" ref="L1162">INT(5 * (RANK(I1162,I:I, 0) - 1) / COUNT(I:I)) + 1</f>
        <v>5</v>
      </c>
      <c r="M1162" t="str">
        <f t="shared" si="36"/>
        <v>255</v>
      </c>
      <c r="N1162" s="6" t="str">
        <f t="shared" si="37"/>
        <v>At Risk</v>
      </c>
    </row>
    <row r="1163" spans="1:14" x14ac:dyDescent="0.35">
      <c r="A1163">
        <v>1209</v>
      </c>
      <c r="B1163" s="4">
        <v>45694.375085336993</v>
      </c>
      <c r="C1163" t="s">
        <v>15</v>
      </c>
      <c r="D1163" t="s">
        <v>21</v>
      </c>
      <c r="E1163" t="s">
        <v>24</v>
      </c>
      <c r="F1163">
        <v>2301.0700000000002</v>
      </c>
      <c r="G1163">
        <f t="array" ref="G1163">SalesData!$I$2 - 'RFM Table'!B1163</f>
        <v>442</v>
      </c>
      <c r="H1163">
        <f t="array" ref="H1163">COUNTIF(A:A,A1163)</f>
        <v>4</v>
      </c>
      <c r="I1163">
        <f t="array" ref="I1163">SUMIF(A:A,A1163,F:F)</f>
        <v>7399.6200000000008</v>
      </c>
      <c r="J1163">
        <f t="array" ref="J1163">5 - INT(5 * (RANK(G1163,G:G, 1) - 1) / COUNT(G:G))</f>
        <v>2</v>
      </c>
      <c r="K1163">
        <f t="array" ref="K1163">INT(5 * (RANK(H1163,H:H, 0) - 1) / COUNT(H:H)) + 1</f>
        <v>5</v>
      </c>
      <c r="L1163">
        <f t="array" ref="L1163">INT(5 * (RANK(I1163,I:I, 0) - 1) / COUNT(I:I)) + 1</f>
        <v>5</v>
      </c>
      <c r="M1163" t="str">
        <f t="shared" si="36"/>
        <v>255</v>
      </c>
      <c r="N1163" s="6" t="str">
        <f t="shared" si="37"/>
        <v>At Risk</v>
      </c>
    </row>
    <row r="1164" spans="1:14" x14ac:dyDescent="0.35">
      <c r="A1164">
        <v>1014</v>
      </c>
      <c r="B1164" s="4">
        <v>45694.375085336993</v>
      </c>
      <c r="C1164" t="s">
        <v>14</v>
      </c>
      <c r="D1164" t="s">
        <v>21</v>
      </c>
      <c r="E1164" t="s">
        <v>25</v>
      </c>
      <c r="F1164">
        <v>7126.07</v>
      </c>
      <c r="G1164">
        <f t="array" ref="G1164">SalesData!$I$2 - 'RFM Table'!B1164</f>
        <v>442</v>
      </c>
      <c r="H1164">
        <f t="array" ref="H1164">COUNTIF(A:A,A1164)</f>
        <v>8</v>
      </c>
      <c r="I1164">
        <f t="array" ref="I1164">SUMIF(A:A,A1164,F:F)</f>
        <v>27090.329999999998</v>
      </c>
      <c r="J1164">
        <f t="array" ref="J1164">5 - INT(5 * (RANK(G1164,G:G, 1) - 1) / COUNT(G:G))</f>
        <v>2</v>
      </c>
      <c r="K1164">
        <f t="array" ref="K1164">INT(5 * (RANK(H1164,H:H, 0) - 1) / COUNT(H:H)) + 1</f>
        <v>3</v>
      </c>
      <c r="L1164">
        <f t="array" ref="L1164">INT(5 * (RANK(I1164,I:I, 0) - 1) / COUNT(I:I)) + 1</f>
        <v>4</v>
      </c>
      <c r="M1164" t="str">
        <f t="shared" si="36"/>
        <v>234</v>
      </c>
      <c r="N1164" s="6" t="str">
        <f t="shared" si="37"/>
        <v>At Risk</v>
      </c>
    </row>
    <row r="1165" spans="1:14" x14ac:dyDescent="0.35">
      <c r="A1165">
        <v>1162</v>
      </c>
      <c r="B1165" s="4">
        <v>45694.375085336993</v>
      </c>
      <c r="C1165" t="s">
        <v>7</v>
      </c>
      <c r="D1165" t="s">
        <v>22</v>
      </c>
      <c r="E1165" t="s">
        <v>24</v>
      </c>
      <c r="F1165">
        <v>4000.76</v>
      </c>
      <c r="G1165">
        <f t="array" ref="G1165">SalesData!$I$2 - 'RFM Table'!B1165</f>
        <v>442</v>
      </c>
      <c r="H1165">
        <f t="array" ref="H1165">COUNTIF(A:A,A1165)</f>
        <v>8</v>
      </c>
      <c r="I1165">
        <f t="array" ref="I1165">SUMIF(A:A,A1165,F:F)</f>
        <v>43723.900000000009</v>
      </c>
      <c r="J1165">
        <f t="array" ref="J1165">5 - INT(5 * (RANK(G1165,G:G, 1) - 1) / COUNT(G:G))</f>
        <v>2</v>
      </c>
      <c r="K1165">
        <f t="array" ref="K1165">INT(5 * (RANK(H1165,H:H, 0) - 1) / COUNT(H:H)) + 1</f>
        <v>3</v>
      </c>
      <c r="L1165">
        <f t="array" ref="L1165">INT(5 * (RANK(I1165,I:I, 0) - 1) / COUNT(I:I)) + 1</f>
        <v>2</v>
      </c>
      <c r="M1165" t="str">
        <f t="shared" si="36"/>
        <v>232</v>
      </c>
      <c r="N1165" s="6" t="str">
        <f t="shared" si="37"/>
        <v>Others</v>
      </c>
    </row>
    <row r="1166" spans="1:14" x14ac:dyDescent="0.35">
      <c r="A1166">
        <v>1359</v>
      </c>
      <c r="B1166" s="4">
        <v>45694.375085336993</v>
      </c>
      <c r="C1166" t="s">
        <v>11</v>
      </c>
      <c r="D1166" t="s">
        <v>22</v>
      </c>
      <c r="E1166" t="s">
        <v>24</v>
      </c>
      <c r="F1166">
        <v>712.03</v>
      </c>
      <c r="G1166">
        <f t="array" ref="G1166">SalesData!$I$2 - 'RFM Table'!B1166</f>
        <v>442</v>
      </c>
      <c r="H1166">
        <f t="array" ref="H1166">COUNTIF(A:A,A1166)</f>
        <v>13</v>
      </c>
      <c r="I1166">
        <f t="array" ref="I1166">SUMIF(A:A,A1166,F:F)</f>
        <v>40402.14</v>
      </c>
      <c r="J1166">
        <f t="array" ref="J1166">5 - INT(5 * (RANK(G1166,G:G, 1) - 1) / COUNT(G:G))</f>
        <v>2</v>
      </c>
      <c r="K1166">
        <f t="array" ref="K1166">INT(5 * (RANK(H1166,H:H, 0) - 1) / COUNT(H:H)) + 1</f>
        <v>1</v>
      </c>
      <c r="L1166">
        <f t="array" ref="L1166">INT(5 * (RANK(I1166,I:I, 0) - 1) / COUNT(I:I)) + 1</f>
        <v>2</v>
      </c>
      <c r="M1166" t="str">
        <f t="shared" si="36"/>
        <v>212</v>
      </c>
      <c r="N1166" s="6" t="str">
        <f t="shared" si="37"/>
        <v>Lost</v>
      </c>
    </row>
    <row r="1167" spans="1:14" x14ac:dyDescent="0.35">
      <c r="A1167">
        <v>1103</v>
      </c>
      <c r="B1167" s="4">
        <v>45694.375085336993</v>
      </c>
      <c r="C1167" t="s">
        <v>14</v>
      </c>
      <c r="D1167" t="s">
        <v>16</v>
      </c>
      <c r="E1167" t="s">
        <v>23</v>
      </c>
      <c r="F1167">
        <v>3389.81</v>
      </c>
      <c r="G1167">
        <f t="array" ref="G1167">SalesData!$I$2 - 'RFM Table'!B1167</f>
        <v>442</v>
      </c>
      <c r="H1167">
        <f t="array" ref="H1167">COUNTIF(A:A,A1167)</f>
        <v>10</v>
      </c>
      <c r="I1167">
        <f t="array" ref="I1167">SUMIF(A:A,A1167,F:F)</f>
        <v>44305.600000000006</v>
      </c>
      <c r="J1167">
        <f t="array" ref="J1167">5 - INT(5 * (RANK(G1167,G:G, 1) - 1) / COUNT(G:G))</f>
        <v>2</v>
      </c>
      <c r="K1167">
        <f t="array" ref="K1167">INT(5 * (RANK(H1167,H:H, 0) - 1) / COUNT(H:H)) + 1</f>
        <v>2</v>
      </c>
      <c r="L1167">
        <f t="array" ref="L1167">INT(5 * (RANK(I1167,I:I, 0) - 1) / COUNT(I:I)) + 1</f>
        <v>2</v>
      </c>
      <c r="M1167" t="str">
        <f t="shared" si="36"/>
        <v>222</v>
      </c>
      <c r="N1167" s="6" t="str">
        <f t="shared" si="37"/>
        <v>Lost</v>
      </c>
    </row>
    <row r="1168" spans="1:14" x14ac:dyDescent="0.35">
      <c r="A1168">
        <v>1004</v>
      </c>
      <c r="B1168" s="4">
        <v>45695.375085336993</v>
      </c>
      <c r="C1168" t="s">
        <v>12</v>
      </c>
      <c r="D1168" t="s">
        <v>18</v>
      </c>
      <c r="E1168" t="s">
        <v>25</v>
      </c>
      <c r="F1168">
        <v>1100.49</v>
      </c>
      <c r="G1168">
        <f t="array" ref="G1168">SalesData!$I$2 - 'RFM Table'!B1168</f>
        <v>441</v>
      </c>
      <c r="H1168">
        <f t="array" ref="H1168">COUNTIF(A:A,A1168)</f>
        <v>12</v>
      </c>
      <c r="I1168">
        <f t="array" ref="I1168">SUMIF(A:A,A1168,F:F)</f>
        <v>34222.5</v>
      </c>
      <c r="J1168">
        <f t="array" ref="J1168">5 - INT(5 * (RANK(G1168,G:G, 1) - 1) / COUNT(G:G))</f>
        <v>2</v>
      </c>
      <c r="K1168">
        <f t="array" ref="K1168">INT(5 * (RANK(H1168,H:H, 0) - 1) / COUNT(H:H)) + 1</f>
        <v>1</v>
      </c>
      <c r="L1168">
        <f t="array" ref="L1168">INT(5 * (RANK(I1168,I:I, 0) - 1) / COUNT(I:I)) + 1</f>
        <v>3</v>
      </c>
      <c r="M1168" t="str">
        <f t="shared" si="36"/>
        <v>213</v>
      </c>
      <c r="N1168" s="6" t="str">
        <f t="shared" si="37"/>
        <v>Can't Lose Them</v>
      </c>
    </row>
    <row r="1169" spans="1:14" x14ac:dyDescent="0.35">
      <c r="A1169">
        <v>1111</v>
      </c>
      <c r="B1169" s="4">
        <v>45695.375085336993</v>
      </c>
      <c r="C1169" t="s">
        <v>7</v>
      </c>
      <c r="D1169" t="s">
        <v>20</v>
      </c>
      <c r="E1169" t="s">
        <v>24</v>
      </c>
      <c r="F1169">
        <v>482.67</v>
      </c>
      <c r="G1169">
        <f t="array" ref="G1169">SalesData!$I$2 - 'RFM Table'!B1169</f>
        <v>441</v>
      </c>
      <c r="H1169">
        <f t="array" ref="H1169">COUNTIF(A:A,A1169)</f>
        <v>7</v>
      </c>
      <c r="I1169">
        <f t="array" ref="I1169">SUMIF(A:A,A1169,F:F)</f>
        <v>17082.88</v>
      </c>
      <c r="J1169">
        <f t="array" ref="J1169">5 - INT(5 * (RANK(G1169,G:G, 1) - 1) / COUNT(G:G))</f>
        <v>2</v>
      </c>
      <c r="K1169">
        <f t="array" ref="K1169">INT(5 * (RANK(H1169,H:H, 0) - 1) / COUNT(H:H)) + 1</f>
        <v>4</v>
      </c>
      <c r="L1169">
        <f t="array" ref="L1169">INT(5 * (RANK(I1169,I:I, 0) - 1) / COUNT(I:I)) + 1</f>
        <v>5</v>
      </c>
      <c r="M1169" t="str">
        <f t="shared" si="36"/>
        <v>245</v>
      </c>
      <c r="N1169" s="6" t="str">
        <f t="shared" si="37"/>
        <v>At Risk</v>
      </c>
    </row>
    <row r="1170" spans="1:14" x14ac:dyDescent="0.35">
      <c r="A1170">
        <v>1051</v>
      </c>
      <c r="B1170" s="4">
        <v>45695.375085336993</v>
      </c>
      <c r="C1170" t="s">
        <v>12</v>
      </c>
      <c r="D1170" t="s">
        <v>16</v>
      </c>
      <c r="E1170" t="s">
        <v>25</v>
      </c>
      <c r="F1170">
        <v>1383.89</v>
      </c>
      <c r="G1170">
        <f t="array" ref="G1170">SalesData!$I$2 - 'RFM Table'!B1170</f>
        <v>441</v>
      </c>
      <c r="H1170">
        <f t="array" ref="H1170">COUNTIF(A:A,A1170)</f>
        <v>6</v>
      </c>
      <c r="I1170">
        <f t="array" ref="I1170">SUMIF(A:A,A1170,F:F)</f>
        <v>12660.78</v>
      </c>
      <c r="J1170">
        <f t="array" ref="J1170">5 - INT(5 * (RANK(G1170,G:G, 1) - 1) / COUNT(G:G))</f>
        <v>2</v>
      </c>
      <c r="K1170">
        <f t="array" ref="K1170">INT(5 * (RANK(H1170,H:H, 0) - 1) / COUNT(H:H)) + 1</f>
        <v>4</v>
      </c>
      <c r="L1170">
        <f t="array" ref="L1170">INT(5 * (RANK(I1170,I:I, 0) - 1) / COUNT(I:I)) + 1</f>
        <v>5</v>
      </c>
      <c r="M1170" t="str">
        <f t="shared" si="36"/>
        <v>245</v>
      </c>
      <c r="N1170" s="6" t="str">
        <f t="shared" si="37"/>
        <v>At Risk</v>
      </c>
    </row>
    <row r="1171" spans="1:14" x14ac:dyDescent="0.35">
      <c r="A1171">
        <v>1165</v>
      </c>
      <c r="B1171" s="4">
        <v>45695.375085336993</v>
      </c>
      <c r="C1171" t="s">
        <v>14</v>
      </c>
      <c r="D1171" t="s">
        <v>20</v>
      </c>
      <c r="E1171" t="s">
        <v>24</v>
      </c>
      <c r="F1171">
        <v>8947.8799999999992</v>
      </c>
      <c r="G1171">
        <f t="array" ref="G1171">SalesData!$I$2 - 'RFM Table'!B1171</f>
        <v>441</v>
      </c>
      <c r="H1171">
        <f t="array" ref="H1171">COUNTIF(A:A,A1171)</f>
        <v>6</v>
      </c>
      <c r="I1171">
        <f t="array" ref="I1171">SUMIF(A:A,A1171,F:F)</f>
        <v>25394.229999999996</v>
      </c>
      <c r="J1171">
        <f t="array" ref="J1171">5 - INT(5 * (RANK(G1171,G:G, 1) - 1) / COUNT(G:G))</f>
        <v>2</v>
      </c>
      <c r="K1171">
        <f t="array" ref="K1171">INT(5 * (RANK(H1171,H:H, 0) - 1) / COUNT(H:H)) + 1</f>
        <v>4</v>
      </c>
      <c r="L1171">
        <f t="array" ref="L1171">INT(5 * (RANK(I1171,I:I, 0) - 1) / COUNT(I:I)) + 1</f>
        <v>4</v>
      </c>
      <c r="M1171" t="str">
        <f t="shared" si="36"/>
        <v>244</v>
      </c>
      <c r="N1171" s="6" t="str">
        <f t="shared" si="37"/>
        <v>At Risk</v>
      </c>
    </row>
    <row r="1172" spans="1:14" x14ac:dyDescent="0.35">
      <c r="A1172">
        <v>1130</v>
      </c>
      <c r="B1172" s="4">
        <v>45695.375085336993</v>
      </c>
      <c r="C1172" t="s">
        <v>11</v>
      </c>
      <c r="D1172" t="s">
        <v>19</v>
      </c>
      <c r="E1172" t="s">
        <v>23</v>
      </c>
      <c r="F1172">
        <v>4820.6000000000004</v>
      </c>
      <c r="G1172">
        <f t="array" ref="G1172">SalesData!$I$2 - 'RFM Table'!B1172</f>
        <v>441</v>
      </c>
      <c r="H1172">
        <f t="array" ref="H1172">COUNTIF(A:A,A1172)</f>
        <v>9</v>
      </c>
      <c r="I1172">
        <f t="array" ref="I1172">SUMIF(A:A,A1172,F:F)</f>
        <v>36963.729999999996</v>
      </c>
      <c r="J1172">
        <f t="array" ref="J1172">5 - INT(5 * (RANK(G1172,G:G, 1) - 1) / COUNT(G:G))</f>
        <v>2</v>
      </c>
      <c r="K1172">
        <f t="array" ref="K1172">INT(5 * (RANK(H1172,H:H, 0) - 1) / COUNT(H:H)) + 1</f>
        <v>2</v>
      </c>
      <c r="L1172">
        <f t="array" ref="L1172">INT(5 * (RANK(I1172,I:I, 0) - 1) / COUNT(I:I)) + 1</f>
        <v>2</v>
      </c>
      <c r="M1172" t="str">
        <f t="shared" si="36"/>
        <v>222</v>
      </c>
      <c r="N1172" s="6" t="str">
        <f t="shared" si="37"/>
        <v>Lost</v>
      </c>
    </row>
    <row r="1173" spans="1:14" x14ac:dyDescent="0.35">
      <c r="A1173">
        <v>1088</v>
      </c>
      <c r="B1173" s="4">
        <v>45696.375085336993</v>
      </c>
      <c r="C1173" t="s">
        <v>6</v>
      </c>
      <c r="D1173" t="s">
        <v>18</v>
      </c>
      <c r="E1173" t="s">
        <v>24</v>
      </c>
      <c r="F1173">
        <v>3249.64</v>
      </c>
      <c r="G1173">
        <f t="array" ref="G1173">SalesData!$I$2 - 'RFM Table'!B1173</f>
        <v>440</v>
      </c>
      <c r="H1173">
        <f t="array" ref="H1173">COUNTIF(A:A,A1173)</f>
        <v>8</v>
      </c>
      <c r="I1173">
        <f t="array" ref="I1173">SUMIF(A:A,A1173,F:F)</f>
        <v>40213.310000000005</v>
      </c>
      <c r="J1173">
        <f t="array" ref="J1173">5 - INT(5 * (RANK(G1173,G:G, 1) - 1) / COUNT(G:G))</f>
        <v>2</v>
      </c>
      <c r="K1173">
        <f t="array" ref="K1173">INT(5 * (RANK(H1173,H:H, 0) - 1) / COUNT(H:H)) + 1</f>
        <v>3</v>
      </c>
      <c r="L1173">
        <f t="array" ref="L1173">INT(5 * (RANK(I1173,I:I, 0) - 1) / COUNT(I:I)) + 1</f>
        <v>2</v>
      </c>
      <c r="M1173" t="str">
        <f t="shared" si="36"/>
        <v>232</v>
      </c>
      <c r="N1173" s="6" t="str">
        <f t="shared" si="37"/>
        <v>Others</v>
      </c>
    </row>
    <row r="1174" spans="1:14" x14ac:dyDescent="0.35">
      <c r="A1174">
        <v>1398</v>
      </c>
      <c r="B1174" s="4">
        <v>45696.375085336993</v>
      </c>
      <c r="C1174" t="s">
        <v>13</v>
      </c>
      <c r="D1174" t="s">
        <v>17</v>
      </c>
      <c r="E1174" t="s">
        <v>23</v>
      </c>
      <c r="F1174">
        <v>2157.54</v>
      </c>
      <c r="G1174">
        <f t="array" ref="G1174">SalesData!$I$2 - 'RFM Table'!B1174</f>
        <v>440</v>
      </c>
      <c r="H1174">
        <f t="array" ref="H1174">COUNTIF(A:A,A1174)</f>
        <v>7</v>
      </c>
      <c r="I1174">
        <f t="array" ref="I1174">SUMIF(A:A,A1174,F:F)</f>
        <v>28040.249999999996</v>
      </c>
      <c r="J1174">
        <f t="array" ref="J1174">5 - INT(5 * (RANK(G1174,G:G, 1) - 1) / COUNT(G:G))</f>
        <v>2</v>
      </c>
      <c r="K1174">
        <f t="array" ref="K1174">INT(5 * (RANK(H1174,H:H, 0) - 1) / COUNT(H:H)) + 1</f>
        <v>4</v>
      </c>
      <c r="L1174">
        <f t="array" ref="L1174">INT(5 * (RANK(I1174,I:I, 0) - 1) / COUNT(I:I)) + 1</f>
        <v>4</v>
      </c>
      <c r="M1174" t="str">
        <f t="shared" si="36"/>
        <v>244</v>
      </c>
      <c r="N1174" s="6" t="str">
        <f t="shared" si="37"/>
        <v>At Risk</v>
      </c>
    </row>
    <row r="1175" spans="1:14" x14ac:dyDescent="0.35">
      <c r="A1175">
        <v>1077</v>
      </c>
      <c r="B1175" s="4">
        <v>45697.375085336993</v>
      </c>
      <c r="C1175" t="s">
        <v>11</v>
      </c>
      <c r="D1175" t="s">
        <v>18</v>
      </c>
      <c r="E1175" t="s">
        <v>24</v>
      </c>
      <c r="F1175">
        <v>3012.8</v>
      </c>
      <c r="G1175">
        <f t="array" ref="G1175">SalesData!$I$2 - 'RFM Table'!B1175</f>
        <v>439</v>
      </c>
      <c r="H1175">
        <f t="array" ref="H1175">COUNTIF(A:A,A1175)</f>
        <v>8</v>
      </c>
      <c r="I1175">
        <f t="array" ref="I1175">SUMIF(A:A,A1175,F:F)</f>
        <v>28309.71</v>
      </c>
      <c r="J1175">
        <f t="array" ref="J1175">5 - INT(5 * (RANK(G1175,G:G, 1) - 1) / COUNT(G:G))</f>
        <v>2</v>
      </c>
      <c r="K1175">
        <f t="array" ref="K1175">INT(5 * (RANK(H1175,H:H, 0) - 1) / COUNT(H:H)) + 1</f>
        <v>3</v>
      </c>
      <c r="L1175">
        <f t="array" ref="L1175">INT(5 * (RANK(I1175,I:I, 0) - 1) / COUNT(I:I)) + 1</f>
        <v>4</v>
      </c>
      <c r="M1175" t="str">
        <f t="shared" si="36"/>
        <v>234</v>
      </c>
      <c r="N1175" s="6" t="str">
        <f t="shared" si="37"/>
        <v>At Risk</v>
      </c>
    </row>
    <row r="1176" spans="1:14" x14ac:dyDescent="0.35">
      <c r="A1176">
        <v>1386</v>
      </c>
      <c r="B1176" s="4">
        <v>45697.375085336993</v>
      </c>
      <c r="C1176" t="s">
        <v>9</v>
      </c>
      <c r="D1176" t="s">
        <v>17</v>
      </c>
      <c r="E1176" t="s">
        <v>24</v>
      </c>
      <c r="F1176">
        <v>2239.02</v>
      </c>
      <c r="G1176">
        <f t="array" ref="G1176">SalesData!$I$2 - 'RFM Table'!B1176</f>
        <v>439</v>
      </c>
      <c r="H1176">
        <f t="array" ref="H1176">COUNTIF(A:A,A1176)</f>
        <v>8</v>
      </c>
      <c r="I1176">
        <f t="array" ref="I1176">SUMIF(A:A,A1176,F:F)</f>
        <v>32019.260000000006</v>
      </c>
      <c r="J1176">
        <f t="array" ref="J1176">5 - INT(5 * (RANK(G1176,G:G, 1) - 1) / COUNT(G:G))</f>
        <v>2</v>
      </c>
      <c r="K1176">
        <f t="array" ref="K1176">INT(5 * (RANK(H1176,H:H, 0) - 1) / COUNT(H:H)) + 1</f>
        <v>3</v>
      </c>
      <c r="L1176">
        <f t="array" ref="L1176">INT(5 * (RANK(I1176,I:I, 0) - 1) / COUNT(I:I)) + 1</f>
        <v>3</v>
      </c>
      <c r="M1176" t="str">
        <f t="shared" si="36"/>
        <v>233</v>
      </c>
      <c r="N1176" s="6" t="str">
        <f t="shared" si="37"/>
        <v>At Risk</v>
      </c>
    </row>
    <row r="1177" spans="1:14" x14ac:dyDescent="0.35">
      <c r="A1177">
        <v>1049</v>
      </c>
      <c r="B1177" s="4">
        <v>45698.375085336993</v>
      </c>
      <c r="C1177" t="s">
        <v>9</v>
      </c>
      <c r="D1177" t="s">
        <v>22</v>
      </c>
      <c r="E1177" t="s">
        <v>23</v>
      </c>
      <c r="F1177">
        <v>1262.6500000000001</v>
      </c>
      <c r="G1177">
        <f t="array" ref="G1177">SalesData!$I$2 - 'RFM Table'!B1177</f>
        <v>438</v>
      </c>
      <c r="H1177">
        <f t="array" ref="H1177">COUNTIF(A:A,A1177)</f>
        <v>6</v>
      </c>
      <c r="I1177">
        <f t="array" ref="I1177">SUMIF(A:A,A1177,F:F)</f>
        <v>21995.52</v>
      </c>
      <c r="J1177">
        <f t="array" ref="J1177">5 - INT(5 * (RANK(G1177,G:G, 1) - 1) / COUNT(G:G))</f>
        <v>2</v>
      </c>
      <c r="K1177">
        <f t="array" ref="K1177">INT(5 * (RANK(H1177,H:H, 0) - 1) / COUNT(H:H)) + 1</f>
        <v>4</v>
      </c>
      <c r="L1177">
        <f t="array" ref="L1177">INT(5 * (RANK(I1177,I:I, 0) - 1) / COUNT(I:I)) + 1</f>
        <v>4</v>
      </c>
      <c r="M1177" t="str">
        <f t="shared" si="36"/>
        <v>244</v>
      </c>
      <c r="N1177" s="6" t="str">
        <f t="shared" si="37"/>
        <v>At Risk</v>
      </c>
    </row>
    <row r="1178" spans="1:14" x14ac:dyDescent="0.35">
      <c r="A1178">
        <v>1229</v>
      </c>
      <c r="B1178" s="4">
        <v>45698.375085336993</v>
      </c>
      <c r="C1178" t="s">
        <v>9</v>
      </c>
      <c r="D1178" t="s">
        <v>18</v>
      </c>
      <c r="E1178" t="s">
        <v>23</v>
      </c>
      <c r="F1178">
        <v>6253.7</v>
      </c>
      <c r="G1178">
        <f t="array" ref="G1178">SalesData!$I$2 - 'RFM Table'!B1178</f>
        <v>438</v>
      </c>
      <c r="H1178">
        <f t="array" ref="H1178">COUNTIF(A:A,A1178)</f>
        <v>5</v>
      </c>
      <c r="I1178">
        <f t="array" ref="I1178">SUMIF(A:A,A1178,F:F)</f>
        <v>23857.670000000002</v>
      </c>
      <c r="J1178">
        <f t="array" ref="J1178">5 - INT(5 * (RANK(G1178,G:G, 1) - 1) / COUNT(G:G))</f>
        <v>2</v>
      </c>
      <c r="K1178">
        <f t="array" ref="K1178">INT(5 * (RANK(H1178,H:H, 0) - 1) / COUNT(H:H)) + 1</f>
        <v>5</v>
      </c>
      <c r="L1178">
        <f t="array" ref="L1178">INT(5 * (RANK(I1178,I:I, 0) - 1) / COUNT(I:I)) + 1</f>
        <v>4</v>
      </c>
      <c r="M1178" t="str">
        <f t="shared" si="36"/>
        <v>254</v>
      </c>
      <c r="N1178" s="6" t="str">
        <f t="shared" si="37"/>
        <v>At Risk</v>
      </c>
    </row>
    <row r="1179" spans="1:14" x14ac:dyDescent="0.35">
      <c r="A1179">
        <v>1238</v>
      </c>
      <c r="B1179" s="4">
        <v>45698.375085336993</v>
      </c>
      <c r="C1179" t="s">
        <v>13</v>
      </c>
      <c r="D1179" t="s">
        <v>19</v>
      </c>
      <c r="E1179" t="s">
        <v>24</v>
      </c>
      <c r="F1179">
        <v>4908.7700000000004</v>
      </c>
      <c r="G1179">
        <f t="array" ref="G1179">SalesData!$I$2 - 'RFM Table'!B1179</f>
        <v>438</v>
      </c>
      <c r="H1179">
        <f t="array" ref="H1179">COUNTIF(A:A,A1179)</f>
        <v>10</v>
      </c>
      <c r="I1179">
        <f t="array" ref="I1179">SUMIF(A:A,A1179,F:F)</f>
        <v>42023.55</v>
      </c>
      <c r="J1179">
        <f t="array" ref="J1179">5 - INT(5 * (RANK(G1179,G:G, 1) - 1) / COUNT(G:G))</f>
        <v>2</v>
      </c>
      <c r="K1179">
        <f t="array" ref="K1179">INT(5 * (RANK(H1179,H:H, 0) - 1) / COUNT(H:H)) + 1</f>
        <v>2</v>
      </c>
      <c r="L1179">
        <f t="array" ref="L1179">INT(5 * (RANK(I1179,I:I, 0) - 1) / COUNT(I:I)) + 1</f>
        <v>2</v>
      </c>
      <c r="M1179" t="str">
        <f t="shared" si="36"/>
        <v>222</v>
      </c>
      <c r="N1179" s="6" t="str">
        <f t="shared" si="37"/>
        <v>Lost</v>
      </c>
    </row>
    <row r="1180" spans="1:14" x14ac:dyDescent="0.35">
      <c r="A1180">
        <v>1267</v>
      </c>
      <c r="B1180" s="4">
        <v>45699.375085336993</v>
      </c>
      <c r="C1180" t="s">
        <v>10</v>
      </c>
      <c r="D1180" t="s">
        <v>22</v>
      </c>
      <c r="E1180" t="s">
        <v>24</v>
      </c>
      <c r="F1180">
        <v>1473.6</v>
      </c>
      <c r="G1180">
        <f t="array" ref="G1180">SalesData!$I$2 - 'RFM Table'!B1180</f>
        <v>437</v>
      </c>
      <c r="H1180">
        <f t="array" ref="H1180">COUNTIF(A:A,A1180)</f>
        <v>9</v>
      </c>
      <c r="I1180">
        <f t="array" ref="I1180">SUMIF(A:A,A1180,F:F)</f>
        <v>39538.21</v>
      </c>
      <c r="J1180">
        <f t="array" ref="J1180">5 - INT(5 * (RANK(G1180,G:G, 1) - 1) / COUNT(G:G))</f>
        <v>2</v>
      </c>
      <c r="K1180">
        <f t="array" ref="K1180">INT(5 * (RANK(H1180,H:H, 0) - 1) / COUNT(H:H)) + 1</f>
        <v>2</v>
      </c>
      <c r="L1180">
        <f t="array" ref="L1180">INT(5 * (RANK(I1180,I:I, 0) - 1) / COUNT(I:I)) + 1</f>
        <v>2</v>
      </c>
      <c r="M1180" t="str">
        <f t="shared" si="36"/>
        <v>222</v>
      </c>
      <c r="N1180" s="6" t="str">
        <f t="shared" si="37"/>
        <v>Lost</v>
      </c>
    </row>
    <row r="1181" spans="1:14" x14ac:dyDescent="0.35">
      <c r="A1181">
        <v>1033</v>
      </c>
      <c r="B1181" s="4">
        <v>45699.375085336993</v>
      </c>
      <c r="C1181" t="s">
        <v>13</v>
      </c>
      <c r="D1181" t="s">
        <v>17</v>
      </c>
      <c r="E1181" t="s">
        <v>25</v>
      </c>
      <c r="F1181">
        <v>7481.09</v>
      </c>
      <c r="G1181">
        <f t="array" ref="G1181">SalesData!$I$2 - 'RFM Table'!B1181</f>
        <v>437</v>
      </c>
      <c r="H1181">
        <f t="array" ref="H1181">COUNTIF(A:A,A1181)</f>
        <v>7</v>
      </c>
      <c r="I1181">
        <f t="array" ref="I1181">SUMIF(A:A,A1181,F:F)</f>
        <v>18694.46</v>
      </c>
      <c r="J1181">
        <f t="array" ref="J1181">5 - INT(5 * (RANK(G1181,G:G, 1) - 1) / COUNT(G:G))</f>
        <v>2</v>
      </c>
      <c r="K1181">
        <f t="array" ref="K1181">INT(5 * (RANK(H1181,H:H, 0) - 1) / COUNT(H:H)) + 1</f>
        <v>4</v>
      </c>
      <c r="L1181">
        <f t="array" ref="L1181">INT(5 * (RANK(I1181,I:I, 0) - 1) / COUNT(I:I)) + 1</f>
        <v>5</v>
      </c>
      <c r="M1181" t="str">
        <f t="shared" si="36"/>
        <v>245</v>
      </c>
      <c r="N1181" s="6" t="str">
        <f t="shared" si="37"/>
        <v>At Risk</v>
      </c>
    </row>
    <row r="1182" spans="1:14" x14ac:dyDescent="0.35">
      <c r="A1182">
        <v>1027</v>
      </c>
      <c r="B1182" s="4">
        <v>45699.375085336993</v>
      </c>
      <c r="C1182" t="s">
        <v>9</v>
      </c>
      <c r="D1182" t="s">
        <v>22</v>
      </c>
      <c r="E1182" t="s">
        <v>23</v>
      </c>
      <c r="F1182">
        <v>1214.7</v>
      </c>
      <c r="G1182">
        <f t="array" ref="G1182">SalesData!$I$2 - 'RFM Table'!B1182</f>
        <v>437</v>
      </c>
      <c r="H1182">
        <f t="array" ref="H1182">COUNTIF(A:A,A1182)</f>
        <v>7</v>
      </c>
      <c r="I1182">
        <f t="array" ref="I1182">SUMIF(A:A,A1182,F:F)</f>
        <v>31771.820000000003</v>
      </c>
      <c r="J1182">
        <f t="array" ref="J1182">5 - INT(5 * (RANK(G1182,G:G, 1) - 1) / COUNT(G:G))</f>
        <v>2</v>
      </c>
      <c r="K1182">
        <f t="array" ref="K1182">INT(5 * (RANK(H1182,H:H, 0) - 1) / COUNT(H:H)) + 1</f>
        <v>4</v>
      </c>
      <c r="L1182">
        <f t="array" ref="L1182">INT(5 * (RANK(I1182,I:I, 0) - 1) / COUNT(I:I)) + 1</f>
        <v>3</v>
      </c>
      <c r="M1182" t="str">
        <f t="shared" si="36"/>
        <v>243</v>
      </c>
      <c r="N1182" s="6" t="str">
        <f t="shared" si="37"/>
        <v>At Risk</v>
      </c>
    </row>
    <row r="1183" spans="1:14" x14ac:dyDescent="0.35">
      <c r="A1183">
        <v>1066</v>
      </c>
      <c r="B1183" s="4">
        <v>45699.375085336993</v>
      </c>
      <c r="C1183" t="s">
        <v>14</v>
      </c>
      <c r="D1183" t="s">
        <v>20</v>
      </c>
      <c r="E1183" t="s">
        <v>24</v>
      </c>
      <c r="F1183">
        <v>5597.07</v>
      </c>
      <c r="G1183">
        <f t="array" ref="G1183">SalesData!$I$2 - 'RFM Table'!B1183</f>
        <v>437</v>
      </c>
      <c r="H1183">
        <f t="array" ref="H1183">COUNTIF(A:A,A1183)</f>
        <v>5</v>
      </c>
      <c r="I1183">
        <f t="array" ref="I1183">SUMIF(A:A,A1183,F:F)</f>
        <v>17833.57</v>
      </c>
      <c r="J1183">
        <f t="array" ref="J1183">5 - INT(5 * (RANK(G1183,G:G, 1) - 1) / COUNT(G:G))</f>
        <v>2</v>
      </c>
      <c r="K1183">
        <f t="array" ref="K1183">INT(5 * (RANK(H1183,H:H, 0) - 1) / COUNT(H:H)) + 1</f>
        <v>5</v>
      </c>
      <c r="L1183">
        <f t="array" ref="L1183">INT(5 * (RANK(I1183,I:I, 0) - 1) / COUNT(I:I)) + 1</f>
        <v>5</v>
      </c>
      <c r="M1183" t="str">
        <f t="shared" si="36"/>
        <v>255</v>
      </c>
      <c r="N1183" s="6" t="str">
        <f t="shared" si="37"/>
        <v>At Risk</v>
      </c>
    </row>
    <row r="1184" spans="1:14" x14ac:dyDescent="0.35">
      <c r="A1184">
        <v>1048</v>
      </c>
      <c r="B1184" s="4">
        <v>45699.375085336993</v>
      </c>
      <c r="C1184" t="s">
        <v>8</v>
      </c>
      <c r="D1184" t="s">
        <v>20</v>
      </c>
      <c r="E1184" t="s">
        <v>24</v>
      </c>
      <c r="F1184">
        <v>5381.97</v>
      </c>
      <c r="G1184">
        <f t="array" ref="G1184">SalesData!$I$2 - 'RFM Table'!B1184</f>
        <v>437</v>
      </c>
      <c r="H1184">
        <f t="array" ref="H1184">COUNTIF(A:A,A1184)</f>
        <v>9</v>
      </c>
      <c r="I1184">
        <f t="array" ref="I1184">SUMIF(A:A,A1184,F:F)</f>
        <v>34800.239999999998</v>
      </c>
      <c r="J1184">
        <f t="array" ref="J1184">5 - INT(5 * (RANK(G1184,G:G, 1) - 1) / COUNT(G:G))</f>
        <v>2</v>
      </c>
      <c r="K1184">
        <f t="array" ref="K1184">INT(5 * (RANK(H1184,H:H, 0) - 1) / COUNT(H:H)) + 1</f>
        <v>2</v>
      </c>
      <c r="L1184">
        <f t="array" ref="L1184">INT(5 * (RANK(I1184,I:I, 0) - 1) / COUNT(I:I)) + 1</f>
        <v>3</v>
      </c>
      <c r="M1184" t="str">
        <f t="shared" si="36"/>
        <v>223</v>
      </c>
      <c r="N1184" s="6" t="str">
        <f t="shared" si="37"/>
        <v>Can't Lose Them</v>
      </c>
    </row>
    <row r="1185" spans="1:14" x14ac:dyDescent="0.35">
      <c r="A1185">
        <v>1269</v>
      </c>
      <c r="B1185" s="4">
        <v>45700.375085336993</v>
      </c>
      <c r="C1185" t="s">
        <v>9</v>
      </c>
      <c r="D1185" t="s">
        <v>18</v>
      </c>
      <c r="E1185" t="s">
        <v>25</v>
      </c>
      <c r="F1185">
        <v>685.38</v>
      </c>
      <c r="G1185">
        <f t="array" ref="G1185">SalesData!$I$2 - 'RFM Table'!B1185</f>
        <v>436</v>
      </c>
      <c r="H1185">
        <f t="array" ref="H1185">COUNTIF(A:A,A1185)</f>
        <v>6</v>
      </c>
      <c r="I1185">
        <f t="array" ref="I1185">SUMIF(A:A,A1185,F:F)</f>
        <v>25651.410000000003</v>
      </c>
      <c r="J1185">
        <f t="array" ref="J1185">5 - INT(5 * (RANK(G1185,G:G, 1) - 1) / COUNT(G:G))</f>
        <v>2</v>
      </c>
      <c r="K1185">
        <f t="array" ref="K1185">INT(5 * (RANK(H1185,H:H, 0) - 1) / COUNT(H:H)) + 1</f>
        <v>4</v>
      </c>
      <c r="L1185">
        <f t="array" ref="L1185">INT(5 * (RANK(I1185,I:I, 0) - 1) / COUNT(I:I)) + 1</f>
        <v>4</v>
      </c>
      <c r="M1185" t="str">
        <f t="shared" si="36"/>
        <v>244</v>
      </c>
      <c r="N1185" s="6" t="str">
        <f t="shared" si="37"/>
        <v>At Risk</v>
      </c>
    </row>
    <row r="1186" spans="1:14" x14ac:dyDescent="0.35">
      <c r="A1186">
        <v>1259</v>
      </c>
      <c r="B1186" s="4">
        <v>45700.375085336993</v>
      </c>
      <c r="C1186" t="s">
        <v>14</v>
      </c>
      <c r="D1186" t="s">
        <v>18</v>
      </c>
      <c r="E1186" t="s">
        <v>25</v>
      </c>
      <c r="F1186">
        <v>5227.8900000000003</v>
      </c>
      <c r="G1186">
        <f t="array" ref="G1186">SalesData!$I$2 - 'RFM Table'!B1186</f>
        <v>436</v>
      </c>
      <c r="H1186">
        <f t="array" ref="H1186">COUNTIF(A:A,A1186)</f>
        <v>6</v>
      </c>
      <c r="I1186">
        <f t="array" ref="I1186">SUMIF(A:A,A1186,F:F)</f>
        <v>21369.009999999995</v>
      </c>
      <c r="J1186">
        <f t="array" ref="J1186">5 - INT(5 * (RANK(G1186,G:G, 1) - 1) / COUNT(G:G))</f>
        <v>2</v>
      </c>
      <c r="K1186">
        <f t="array" ref="K1186">INT(5 * (RANK(H1186,H:H, 0) - 1) / COUNT(H:H)) + 1</f>
        <v>4</v>
      </c>
      <c r="L1186">
        <f t="array" ref="L1186">INT(5 * (RANK(I1186,I:I, 0) - 1) / COUNT(I:I)) + 1</f>
        <v>5</v>
      </c>
      <c r="M1186" t="str">
        <f t="shared" si="36"/>
        <v>245</v>
      </c>
      <c r="N1186" s="6" t="str">
        <f t="shared" si="37"/>
        <v>At Risk</v>
      </c>
    </row>
    <row r="1187" spans="1:14" x14ac:dyDescent="0.35">
      <c r="A1187">
        <v>1019</v>
      </c>
      <c r="B1187" s="4">
        <v>45700.375085336993</v>
      </c>
      <c r="C1187" t="s">
        <v>8</v>
      </c>
      <c r="D1187" t="s">
        <v>18</v>
      </c>
      <c r="E1187" t="s">
        <v>24</v>
      </c>
      <c r="F1187">
        <v>5393.15</v>
      </c>
      <c r="G1187">
        <f t="array" ref="G1187">SalesData!$I$2 - 'RFM Table'!B1187</f>
        <v>436</v>
      </c>
      <c r="H1187">
        <f t="array" ref="H1187">COUNTIF(A:A,A1187)</f>
        <v>11</v>
      </c>
      <c r="I1187">
        <f t="array" ref="I1187">SUMIF(A:A,A1187,F:F)</f>
        <v>37863.899999999994</v>
      </c>
      <c r="J1187">
        <f t="array" ref="J1187">5 - INT(5 * (RANK(G1187,G:G, 1) - 1) / COUNT(G:G))</f>
        <v>2</v>
      </c>
      <c r="K1187">
        <f t="array" ref="K1187">INT(5 * (RANK(H1187,H:H, 0) - 1) / COUNT(H:H)) + 1</f>
        <v>1</v>
      </c>
      <c r="L1187">
        <f t="array" ref="L1187">INT(5 * (RANK(I1187,I:I, 0) - 1) / COUNT(I:I)) + 1</f>
        <v>2</v>
      </c>
      <c r="M1187" t="str">
        <f t="shared" si="36"/>
        <v>212</v>
      </c>
      <c r="N1187" s="6" t="str">
        <f t="shared" si="37"/>
        <v>Lost</v>
      </c>
    </row>
    <row r="1188" spans="1:14" x14ac:dyDescent="0.35">
      <c r="A1188">
        <v>1334</v>
      </c>
      <c r="B1188" s="4">
        <v>45700.375085336993</v>
      </c>
      <c r="C1188" t="s">
        <v>14</v>
      </c>
      <c r="D1188" t="s">
        <v>16</v>
      </c>
      <c r="E1188" t="s">
        <v>25</v>
      </c>
      <c r="F1188">
        <v>8014.12</v>
      </c>
      <c r="G1188">
        <f t="array" ref="G1188">SalesData!$I$2 - 'RFM Table'!B1188</f>
        <v>436</v>
      </c>
      <c r="H1188">
        <f t="array" ref="H1188">COUNTIF(A:A,A1188)</f>
        <v>7</v>
      </c>
      <c r="I1188">
        <f t="array" ref="I1188">SUMIF(A:A,A1188,F:F)</f>
        <v>17825.52</v>
      </c>
      <c r="J1188">
        <f t="array" ref="J1188">5 - INT(5 * (RANK(G1188,G:G, 1) - 1) / COUNT(G:G))</f>
        <v>2</v>
      </c>
      <c r="K1188">
        <f t="array" ref="K1188">INT(5 * (RANK(H1188,H:H, 0) - 1) / COUNT(H:H)) + 1</f>
        <v>4</v>
      </c>
      <c r="L1188">
        <f t="array" ref="L1188">INT(5 * (RANK(I1188,I:I, 0) - 1) / COUNT(I:I)) + 1</f>
        <v>5</v>
      </c>
      <c r="M1188" t="str">
        <f t="shared" si="36"/>
        <v>245</v>
      </c>
      <c r="N1188" s="6" t="str">
        <f t="shared" si="37"/>
        <v>At Risk</v>
      </c>
    </row>
    <row r="1189" spans="1:14" x14ac:dyDescent="0.35">
      <c r="A1189">
        <v>1078</v>
      </c>
      <c r="B1189" s="4">
        <v>45700.375085336993</v>
      </c>
      <c r="C1189" t="s">
        <v>13</v>
      </c>
      <c r="D1189" t="s">
        <v>16</v>
      </c>
      <c r="E1189" t="s">
        <v>25</v>
      </c>
      <c r="F1189">
        <v>4165.1400000000003</v>
      </c>
      <c r="G1189">
        <f t="array" ref="G1189">SalesData!$I$2 - 'RFM Table'!B1189</f>
        <v>436</v>
      </c>
      <c r="H1189">
        <f t="array" ref="H1189">COUNTIF(A:A,A1189)</f>
        <v>5</v>
      </c>
      <c r="I1189">
        <f t="array" ref="I1189">SUMIF(A:A,A1189,F:F)</f>
        <v>16253.25</v>
      </c>
      <c r="J1189">
        <f t="array" ref="J1189">5 - INT(5 * (RANK(G1189,G:G, 1) - 1) / COUNT(G:G))</f>
        <v>2</v>
      </c>
      <c r="K1189">
        <f t="array" ref="K1189">INT(5 * (RANK(H1189,H:H, 0) - 1) / COUNT(H:H)) + 1</f>
        <v>5</v>
      </c>
      <c r="L1189">
        <f t="array" ref="L1189">INT(5 * (RANK(I1189,I:I, 0) - 1) / COUNT(I:I)) + 1</f>
        <v>5</v>
      </c>
      <c r="M1189" t="str">
        <f t="shared" si="36"/>
        <v>255</v>
      </c>
      <c r="N1189" s="6" t="str">
        <f t="shared" si="37"/>
        <v>At Risk</v>
      </c>
    </row>
    <row r="1190" spans="1:14" x14ac:dyDescent="0.35">
      <c r="A1190">
        <v>1118</v>
      </c>
      <c r="B1190" s="4">
        <v>45701.375085336993</v>
      </c>
      <c r="C1190" t="s">
        <v>12</v>
      </c>
      <c r="D1190" t="s">
        <v>17</v>
      </c>
      <c r="E1190" t="s">
        <v>25</v>
      </c>
      <c r="F1190">
        <v>871.39</v>
      </c>
      <c r="G1190">
        <f t="array" ref="G1190">SalesData!$I$2 - 'RFM Table'!B1190</f>
        <v>435</v>
      </c>
      <c r="H1190">
        <f t="array" ref="H1190">COUNTIF(A:A,A1190)</f>
        <v>10</v>
      </c>
      <c r="I1190">
        <f t="array" ref="I1190">SUMIF(A:A,A1190,F:F)</f>
        <v>40587.47</v>
      </c>
      <c r="J1190">
        <f t="array" ref="J1190">5 - INT(5 * (RANK(G1190,G:G, 1) - 1) / COUNT(G:G))</f>
        <v>2</v>
      </c>
      <c r="K1190">
        <f t="array" ref="K1190">INT(5 * (RANK(H1190,H:H, 0) - 1) / COUNT(H:H)) + 1</f>
        <v>2</v>
      </c>
      <c r="L1190">
        <f t="array" ref="L1190">INT(5 * (RANK(I1190,I:I, 0) - 1) / COUNT(I:I)) + 1</f>
        <v>2</v>
      </c>
      <c r="M1190" t="str">
        <f t="shared" si="36"/>
        <v>222</v>
      </c>
      <c r="N1190" s="6" t="str">
        <f t="shared" si="37"/>
        <v>Lost</v>
      </c>
    </row>
    <row r="1191" spans="1:14" x14ac:dyDescent="0.35">
      <c r="A1191">
        <v>1118</v>
      </c>
      <c r="B1191" s="4">
        <v>45701.375085336993</v>
      </c>
      <c r="C1191" t="s">
        <v>11</v>
      </c>
      <c r="D1191" t="s">
        <v>16</v>
      </c>
      <c r="E1191" t="s">
        <v>24</v>
      </c>
      <c r="F1191">
        <v>3413.38</v>
      </c>
      <c r="G1191">
        <f t="array" ref="G1191">SalesData!$I$2 - 'RFM Table'!B1191</f>
        <v>435</v>
      </c>
      <c r="H1191">
        <f t="array" ref="H1191">COUNTIF(A:A,A1191)</f>
        <v>10</v>
      </c>
      <c r="I1191">
        <f t="array" ref="I1191">SUMIF(A:A,A1191,F:F)</f>
        <v>40587.47</v>
      </c>
      <c r="J1191">
        <f t="array" ref="J1191">5 - INT(5 * (RANK(G1191,G:G, 1) - 1) / COUNT(G:G))</f>
        <v>2</v>
      </c>
      <c r="K1191">
        <f t="array" ref="K1191">INT(5 * (RANK(H1191,H:H, 0) - 1) / COUNT(H:H)) + 1</f>
        <v>2</v>
      </c>
      <c r="L1191">
        <f t="array" ref="L1191">INT(5 * (RANK(I1191,I:I, 0) - 1) / COUNT(I:I)) + 1</f>
        <v>2</v>
      </c>
      <c r="M1191" t="str">
        <f t="shared" si="36"/>
        <v>222</v>
      </c>
      <c r="N1191" s="6" t="str">
        <f t="shared" si="37"/>
        <v>Lost</v>
      </c>
    </row>
    <row r="1192" spans="1:14" x14ac:dyDescent="0.35">
      <c r="A1192">
        <v>1276</v>
      </c>
      <c r="B1192" s="4">
        <v>45701.375085336993</v>
      </c>
      <c r="C1192" t="s">
        <v>6</v>
      </c>
      <c r="D1192" t="s">
        <v>20</v>
      </c>
      <c r="E1192" t="s">
        <v>24</v>
      </c>
      <c r="F1192">
        <v>6373.37</v>
      </c>
      <c r="G1192">
        <f t="array" ref="G1192">SalesData!$I$2 - 'RFM Table'!B1192</f>
        <v>435</v>
      </c>
      <c r="H1192">
        <f t="array" ref="H1192">COUNTIF(A:A,A1192)</f>
        <v>11</v>
      </c>
      <c r="I1192">
        <f t="array" ref="I1192">SUMIF(A:A,A1192,F:F)</f>
        <v>38337.789999999994</v>
      </c>
      <c r="J1192">
        <f t="array" ref="J1192">5 - INT(5 * (RANK(G1192,G:G, 1) - 1) / COUNT(G:G))</f>
        <v>2</v>
      </c>
      <c r="K1192">
        <f t="array" ref="K1192">INT(5 * (RANK(H1192,H:H, 0) - 1) / COUNT(H:H)) + 1</f>
        <v>1</v>
      </c>
      <c r="L1192">
        <f t="array" ref="L1192">INT(5 * (RANK(I1192,I:I, 0) - 1) / COUNT(I:I)) + 1</f>
        <v>2</v>
      </c>
      <c r="M1192" t="str">
        <f t="shared" si="36"/>
        <v>212</v>
      </c>
      <c r="N1192" s="6" t="str">
        <f t="shared" si="37"/>
        <v>Lost</v>
      </c>
    </row>
    <row r="1193" spans="1:14" x14ac:dyDescent="0.35">
      <c r="A1193">
        <v>1304</v>
      </c>
      <c r="B1193" s="4">
        <v>45701.375085336993</v>
      </c>
      <c r="C1193" t="s">
        <v>6</v>
      </c>
      <c r="D1193" t="s">
        <v>20</v>
      </c>
      <c r="E1193" t="s">
        <v>24</v>
      </c>
      <c r="F1193">
        <v>4694.58</v>
      </c>
      <c r="G1193">
        <f t="array" ref="G1193">SalesData!$I$2 - 'RFM Table'!B1193</f>
        <v>435</v>
      </c>
      <c r="H1193">
        <f t="array" ref="H1193">COUNTIF(A:A,A1193)</f>
        <v>10</v>
      </c>
      <c r="I1193">
        <f t="array" ref="I1193">SUMIF(A:A,A1193,F:F)</f>
        <v>39472.789999999994</v>
      </c>
      <c r="J1193">
        <f t="array" ref="J1193">5 - INT(5 * (RANK(G1193,G:G, 1) - 1) / COUNT(G:G))</f>
        <v>2</v>
      </c>
      <c r="K1193">
        <f t="array" ref="K1193">INT(5 * (RANK(H1193,H:H, 0) - 1) / COUNT(H:H)) + 1</f>
        <v>2</v>
      </c>
      <c r="L1193">
        <f t="array" ref="L1193">INT(5 * (RANK(I1193,I:I, 0) - 1) / COUNT(I:I)) + 1</f>
        <v>2</v>
      </c>
      <c r="M1193" t="str">
        <f t="shared" si="36"/>
        <v>222</v>
      </c>
      <c r="N1193" s="6" t="str">
        <f t="shared" si="37"/>
        <v>Lost</v>
      </c>
    </row>
    <row r="1194" spans="1:14" x14ac:dyDescent="0.35">
      <c r="A1194">
        <v>1332</v>
      </c>
      <c r="B1194" s="4">
        <v>45701.375085336993</v>
      </c>
      <c r="C1194" t="s">
        <v>15</v>
      </c>
      <c r="D1194" t="s">
        <v>22</v>
      </c>
      <c r="E1194" t="s">
        <v>23</v>
      </c>
      <c r="F1194">
        <v>3630.8</v>
      </c>
      <c r="G1194">
        <f t="array" ref="G1194">SalesData!$I$2 - 'RFM Table'!B1194</f>
        <v>435</v>
      </c>
      <c r="H1194">
        <f t="array" ref="H1194">COUNTIF(A:A,A1194)</f>
        <v>4</v>
      </c>
      <c r="I1194">
        <f t="array" ref="I1194">SUMIF(A:A,A1194,F:F)</f>
        <v>11144.500000000002</v>
      </c>
      <c r="J1194">
        <f t="array" ref="J1194">5 - INT(5 * (RANK(G1194,G:G, 1) - 1) / COUNT(G:G))</f>
        <v>2</v>
      </c>
      <c r="K1194">
        <f t="array" ref="K1194">INT(5 * (RANK(H1194,H:H, 0) - 1) / COUNT(H:H)) + 1</f>
        <v>5</v>
      </c>
      <c r="L1194">
        <f t="array" ref="L1194">INT(5 * (RANK(I1194,I:I, 0) - 1) / COUNT(I:I)) + 1</f>
        <v>5</v>
      </c>
      <c r="M1194" t="str">
        <f t="shared" si="36"/>
        <v>255</v>
      </c>
      <c r="N1194" s="6" t="str">
        <f t="shared" si="37"/>
        <v>At Risk</v>
      </c>
    </row>
    <row r="1195" spans="1:14" x14ac:dyDescent="0.35">
      <c r="A1195">
        <v>1001</v>
      </c>
      <c r="B1195" s="4">
        <v>45702.375085336993</v>
      </c>
      <c r="C1195" t="s">
        <v>6</v>
      </c>
      <c r="D1195" t="s">
        <v>17</v>
      </c>
      <c r="E1195" t="s">
        <v>25</v>
      </c>
      <c r="F1195">
        <v>1368.78</v>
      </c>
      <c r="G1195">
        <f t="array" ref="G1195">SalesData!$I$2 - 'RFM Table'!B1195</f>
        <v>434</v>
      </c>
      <c r="H1195">
        <f t="array" ref="H1195">COUNTIF(A:A,A1195)</f>
        <v>7</v>
      </c>
      <c r="I1195">
        <f t="array" ref="I1195">SUMIF(A:A,A1195,F:F)</f>
        <v>33081.189999999995</v>
      </c>
      <c r="J1195">
        <f t="array" ref="J1195">5 - INT(5 * (RANK(G1195,G:G, 1) - 1) / COUNT(G:G))</f>
        <v>2</v>
      </c>
      <c r="K1195">
        <f t="array" ref="K1195">INT(5 * (RANK(H1195,H:H, 0) - 1) / COUNT(H:H)) + 1</f>
        <v>4</v>
      </c>
      <c r="L1195">
        <f t="array" ref="L1195">INT(5 * (RANK(I1195,I:I, 0) - 1) / COUNT(I:I)) + 1</f>
        <v>3</v>
      </c>
      <c r="M1195" t="str">
        <f t="shared" si="36"/>
        <v>243</v>
      </c>
      <c r="N1195" s="6" t="str">
        <f t="shared" si="37"/>
        <v>At Risk</v>
      </c>
    </row>
    <row r="1196" spans="1:14" x14ac:dyDescent="0.35">
      <c r="A1196">
        <v>1031</v>
      </c>
      <c r="B1196" s="4">
        <v>45703.375085336993</v>
      </c>
      <c r="C1196" t="s">
        <v>10</v>
      </c>
      <c r="D1196" t="s">
        <v>19</v>
      </c>
      <c r="E1196" t="s">
        <v>24</v>
      </c>
      <c r="F1196">
        <v>2900.69</v>
      </c>
      <c r="G1196">
        <f t="array" ref="G1196">SalesData!$I$2 - 'RFM Table'!B1196</f>
        <v>433</v>
      </c>
      <c r="H1196">
        <f t="array" ref="H1196">COUNTIF(A:A,A1196)</f>
        <v>3</v>
      </c>
      <c r="I1196">
        <f t="array" ref="I1196">SUMIF(A:A,A1196,F:F)</f>
        <v>11609.24</v>
      </c>
      <c r="J1196">
        <f t="array" ref="J1196">5 - INT(5 * (RANK(G1196,G:G, 1) - 1) / COUNT(G:G))</f>
        <v>2</v>
      </c>
      <c r="K1196">
        <f t="array" ref="K1196">INT(5 * (RANK(H1196,H:H, 0) - 1) / COUNT(H:H)) + 1</f>
        <v>5</v>
      </c>
      <c r="L1196">
        <f t="array" ref="L1196">INT(5 * (RANK(I1196,I:I, 0) - 1) / COUNT(I:I)) + 1</f>
        <v>5</v>
      </c>
      <c r="M1196" t="str">
        <f t="shared" si="36"/>
        <v>255</v>
      </c>
      <c r="N1196" s="6" t="str">
        <f t="shared" si="37"/>
        <v>At Risk</v>
      </c>
    </row>
    <row r="1197" spans="1:14" x14ac:dyDescent="0.35">
      <c r="A1197">
        <v>1390</v>
      </c>
      <c r="B1197" s="4">
        <v>45704.375085336993</v>
      </c>
      <c r="C1197" t="s">
        <v>6</v>
      </c>
      <c r="D1197" t="s">
        <v>20</v>
      </c>
      <c r="E1197" t="s">
        <v>24</v>
      </c>
      <c r="F1197">
        <v>7099.75</v>
      </c>
      <c r="G1197">
        <f t="array" ref="G1197">SalesData!$I$2 - 'RFM Table'!B1197</f>
        <v>432</v>
      </c>
      <c r="H1197">
        <f t="array" ref="H1197">COUNTIF(A:A,A1197)</f>
        <v>8</v>
      </c>
      <c r="I1197">
        <f t="array" ref="I1197">SUMIF(A:A,A1197,F:F)</f>
        <v>37946.1</v>
      </c>
      <c r="J1197">
        <f t="array" ref="J1197">5 - INT(5 * (RANK(G1197,G:G, 1) - 1) / COUNT(G:G))</f>
        <v>2</v>
      </c>
      <c r="K1197">
        <f t="array" ref="K1197">INT(5 * (RANK(H1197,H:H, 0) - 1) / COUNT(H:H)) + 1</f>
        <v>3</v>
      </c>
      <c r="L1197">
        <f t="array" ref="L1197">INT(5 * (RANK(I1197,I:I, 0) - 1) / COUNT(I:I)) + 1</f>
        <v>2</v>
      </c>
      <c r="M1197" t="str">
        <f t="shared" si="36"/>
        <v>232</v>
      </c>
      <c r="N1197" s="6" t="str">
        <f t="shared" si="37"/>
        <v>Others</v>
      </c>
    </row>
    <row r="1198" spans="1:14" x14ac:dyDescent="0.35">
      <c r="A1198">
        <v>1061</v>
      </c>
      <c r="B1198" s="4">
        <v>45704.375085336993</v>
      </c>
      <c r="C1198" t="s">
        <v>8</v>
      </c>
      <c r="D1198" t="s">
        <v>17</v>
      </c>
      <c r="E1198" t="s">
        <v>25</v>
      </c>
      <c r="F1198">
        <v>4042.48</v>
      </c>
      <c r="G1198">
        <f t="array" ref="G1198">SalesData!$I$2 - 'RFM Table'!B1198</f>
        <v>432</v>
      </c>
      <c r="H1198">
        <f t="array" ref="H1198">COUNTIF(A:A,A1198)</f>
        <v>9</v>
      </c>
      <c r="I1198">
        <f t="array" ref="I1198">SUMIF(A:A,A1198,F:F)</f>
        <v>24509.48</v>
      </c>
      <c r="J1198">
        <f t="array" ref="J1198">5 - INT(5 * (RANK(G1198,G:G, 1) - 1) / COUNT(G:G))</f>
        <v>2</v>
      </c>
      <c r="K1198">
        <f t="array" ref="K1198">INT(5 * (RANK(H1198,H:H, 0) - 1) / COUNT(H:H)) + 1</f>
        <v>2</v>
      </c>
      <c r="L1198">
        <f t="array" ref="L1198">INT(5 * (RANK(I1198,I:I, 0) - 1) / COUNT(I:I)) + 1</f>
        <v>4</v>
      </c>
      <c r="M1198" t="str">
        <f t="shared" si="36"/>
        <v>224</v>
      </c>
      <c r="N1198" s="6" t="str">
        <f t="shared" si="37"/>
        <v>Can't Lose Them</v>
      </c>
    </row>
    <row r="1199" spans="1:14" x14ac:dyDescent="0.35">
      <c r="A1199">
        <v>1258</v>
      </c>
      <c r="B1199" s="4">
        <v>45704.375085336993</v>
      </c>
      <c r="C1199" t="s">
        <v>15</v>
      </c>
      <c r="D1199" t="s">
        <v>18</v>
      </c>
      <c r="E1199" t="s">
        <v>25</v>
      </c>
      <c r="F1199">
        <v>8485.7199999999993</v>
      </c>
      <c r="G1199">
        <f t="array" ref="G1199">SalesData!$I$2 - 'RFM Table'!B1199</f>
        <v>432</v>
      </c>
      <c r="H1199">
        <f t="array" ref="H1199">COUNTIF(A:A,A1199)</f>
        <v>8</v>
      </c>
      <c r="I1199">
        <f t="array" ref="I1199">SUMIF(A:A,A1199,F:F)</f>
        <v>28559.850000000002</v>
      </c>
      <c r="J1199">
        <f t="array" ref="J1199">5 - INT(5 * (RANK(G1199,G:G, 1) - 1) / COUNT(G:G))</f>
        <v>2</v>
      </c>
      <c r="K1199">
        <f t="array" ref="K1199">INT(5 * (RANK(H1199,H:H, 0) - 1) / COUNT(H:H)) + 1</f>
        <v>3</v>
      </c>
      <c r="L1199">
        <f t="array" ref="L1199">INT(5 * (RANK(I1199,I:I, 0) - 1) / COUNT(I:I)) + 1</f>
        <v>4</v>
      </c>
      <c r="M1199" t="str">
        <f t="shared" si="36"/>
        <v>234</v>
      </c>
      <c r="N1199" s="6" t="str">
        <f t="shared" si="37"/>
        <v>At Risk</v>
      </c>
    </row>
    <row r="1200" spans="1:14" x14ac:dyDescent="0.35">
      <c r="A1200">
        <v>1012</v>
      </c>
      <c r="B1200" s="4">
        <v>45705.375085336993</v>
      </c>
      <c r="C1200" t="s">
        <v>6</v>
      </c>
      <c r="D1200" t="s">
        <v>18</v>
      </c>
      <c r="E1200" t="s">
        <v>23</v>
      </c>
      <c r="F1200">
        <v>8729.25</v>
      </c>
      <c r="G1200">
        <f t="array" ref="G1200">SalesData!$I$2 - 'RFM Table'!B1200</f>
        <v>431</v>
      </c>
      <c r="H1200">
        <f t="array" ref="H1200">COUNTIF(A:A,A1200)</f>
        <v>8</v>
      </c>
      <c r="I1200">
        <f t="array" ref="I1200">SUMIF(A:A,A1200,F:F)</f>
        <v>35967.03</v>
      </c>
      <c r="J1200">
        <f t="array" ref="J1200">5 - INT(5 * (RANK(G1200,G:G, 1) - 1) / COUNT(G:G))</f>
        <v>3</v>
      </c>
      <c r="K1200">
        <f t="array" ref="K1200">INT(5 * (RANK(H1200,H:H, 0) - 1) / COUNT(H:H)) + 1</f>
        <v>3</v>
      </c>
      <c r="L1200">
        <f t="array" ref="L1200">INT(5 * (RANK(I1200,I:I, 0) - 1) / COUNT(I:I)) + 1</f>
        <v>3</v>
      </c>
      <c r="M1200" t="str">
        <f t="shared" si="36"/>
        <v>333</v>
      </c>
      <c r="N1200" s="6" t="str">
        <f t="shared" si="37"/>
        <v>Others</v>
      </c>
    </row>
    <row r="1201" spans="1:14" x14ac:dyDescent="0.35">
      <c r="A1201">
        <v>1368</v>
      </c>
      <c r="B1201" s="4">
        <v>45705.375085336993</v>
      </c>
      <c r="C1201" t="s">
        <v>11</v>
      </c>
      <c r="D1201" t="s">
        <v>21</v>
      </c>
      <c r="E1201" t="s">
        <v>24</v>
      </c>
      <c r="F1201">
        <v>8001.63</v>
      </c>
      <c r="G1201">
        <f t="array" ref="G1201">SalesData!$I$2 - 'RFM Table'!B1201</f>
        <v>431</v>
      </c>
      <c r="H1201">
        <f t="array" ref="H1201">COUNTIF(A:A,A1201)</f>
        <v>8</v>
      </c>
      <c r="I1201">
        <f t="array" ref="I1201">SUMIF(A:A,A1201,F:F)</f>
        <v>26119.000000000004</v>
      </c>
      <c r="J1201">
        <f t="array" ref="J1201">5 - INT(5 * (RANK(G1201,G:G, 1) - 1) / COUNT(G:G))</f>
        <v>3</v>
      </c>
      <c r="K1201">
        <f t="array" ref="K1201">INT(5 * (RANK(H1201,H:H, 0) - 1) / COUNT(H:H)) + 1</f>
        <v>3</v>
      </c>
      <c r="L1201">
        <f t="array" ref="L1201">INT(5 * (RANK(I1201,I:I, 0) - 1) / COUNT(I:I)) + 1</f>
        <v>4</v>
      </c>
      <c r="M1201" t="str">
        <f t="shared" si="36"/>
        <v>334</v>
      </c>
      <c r="N1201" s="6" t="str">
        <f t="shared" si="37"/>
        <v>Others</v>
      </c>
    </row>
    <row r="1202" spans="1:14" x14ac:dyDescent="0.35">
      <c r="A1202">
        <v>1261</v>
      </c>
      <c r="B1202" s="4">
        <v>45705.375085336993</v>
      </c>
      <c r="C1202" t="s">
        <v>13</v>
      </c>
      <c r="D1202" t="s">
        <v>20</v>
      </c>
      <c r="E1202" t="s">
        <v>23</v>
      </c>
      <c r="F1202">
        <v>2553.12</v>
      </c>
      <c r="G1202">
        <f t="array" ref="G1202">SalesData!$I$2 - 'RFM Table'!B1202</f>
        <v>431</v>
      </c>
      <c r="H1202">
        <f t="array" ref="H1202">COUNTIF(A:A,A1202)</f>
        <v>8</v>
      </c>
      <c r="I1202">
        <f t="array" ref="I1202">SUMIF(A:A,A1202,F:F)</f>
        <v>28310.01</v>
      </c>
      <c r="J1202">
        <f t="array" ref="J1202">5 - INT(5 * (RANK(G1202,G:G, 1) - 1) / COUNT(G:G))</f>
        <v>3</v>
      </c>
      <c r="K1202">
        <f t="array" ref="K1202">INT(5 * (RANK(H1202,H:H, 0) - 1) / COUNT(H:H)) + 1</f>
        <v>3</v>
      </c>
      <c r="L1202">
        <f t="array" ref="L1202">INT(5 * (RANK(I1202,I:I, 0) - 1) / COUNT(I:I)) + 1</f>
        <v>4</v>
      </c>
      <c r="M1202" t="str">
        <f t="shared" si="36"/>
        <v>334</v>
      </c>
      <c r="N1202" s="6" t="str">
        <f t="shared" si="37"/>
        <v>Others</v>
      </c>
    </row>
    <row r="1203" spans="1:14" x14ac:dyDescent="0.35">
      <c r="A1203">
        <v>1179</v>
      </c>
      <c r="B1203" s="4">
        <v>45706.375085336993</v>
      </c>
      <c r="C1203" t="s">
        <v>6</v>
      </c>
      <c r="D1203" t="s">
        <v>22</v>
      </c>
      <c r="E1203" t="s">
        <v>24</v>
      </c>
      <c r="F1203">
        <v>8777.11</v>
      </c>
      <c r="G1203">
        <f t="array" ref="G1203">SalesData!$I$2 - 'RFM Table'!B1203</f>
        <v>430</v>
      </c>
      <c r="H1203">
        <f t="array" ref="H1203">COUNTIF(A:A,A1203)</f>
        <v>7</v>
      </c>
      <c r="I1203">
        <f t="array" ref="I1203">SUMIF(A:A,A1203,F:F)</f>
        <v>25906.9</v>
      </c>
      <c r="J1203">
        <f t="array" ref="J1203">5 - INT(5 * (RANK(G1203,G:G, 1) - 1) / COUNT(G:G))</f>
        <v>3</v>
      </c>
      <c r="K1203">
        <f t="array" ref="K1203">INT(5 * (RANK(H1203,H:H, 0) - 1) / COUNT(H:H)) + 1</f>
        <v>4</v>
      </c>
      <c r="L1203">
        <f t="array" ref="L1203">INT(5 * (RANK(I1203,I:I, 0) - 1) / COUNT(I:I)) + 1</f>
        <v>4</v>
      </c>
      <c r="M1203" t="str">
        <f t="shared" si="36"/>
        <v>344</v>
      </c>
      <c r="N1203" s="6" t="str">
        <f t="shared" si="37"/>
        <v>Others</v>
      </c>
    </row>
    <row r="1204" spans="1:14" x14ac:dyDescent="0.35">
      <c r="A1204">
        <v>1324</v>
      </c>
      <c r="B1204" s="4">
        <v>45706.375085336993</v>
      </c>
      <c r="C1204" t="s">
        <v>15</v>
      </c>
      <c r="D1204" t="s">
        <v>19</v>
      </c>
      <c r="E1204" t="s">
        <v>25</v>
      </c>
      <c r="F1204">
        <v>3126.18</v>
      </c>
      <c r="G1204">
        <f t="array" ref="G1204">SalesData!$I$2 - 'RFM Table'!B1204</f>
        <v>430</v>
      </c>
      <c r="H1204">
        <f t="array" ref="H1204">COUNTIF(A:A,A1204)</f>
        <v>5</v>
      </c>
      <c r="I1204">
        <f t="array" ref="I1204">SUMIF(A:A,A1204,F:F)</f>
        <v>14663.54</v>
      </c>
      <c r="J1204">
        <f t="array" ref="J1204">5 - INT(5 * (RANK(G1204,G:G, 1) - 1) / COUNT(G:G))</f>
        <v>3</v>
      </c>
      <c r="K1204">
        <f t="array" ref="K1204">INT(5 * (RANK(H1204,H:H, 0) - 1) / COUNT(H:H)) + 1</f>
        <v>5</v>
      </c>
      <c r="L1204">
        <f t="array" ref="L1204">INT(5 * (RANK(I1204,I:I, 0) - 1) / COUNT(I:I)) + 1</f>
        <v>5</v>
      </c>
      <c r="M1204" t="str">
        <f t="shared" si="36"/>
        <v>355</v>
      </c>
      <c r="N1204" s="6" t="str">
        <f t="shared" si="37"/>
        <v>Others</v>
      </c>
    </row>
    <row r="1205" spans="1:14" x14ac:dyDescent="0.35">
      <c r="A1205">
        <v>1268</v>
      </c>
      <c r="B1205" s="4">
        <v>45706.375085336993</v>
      </c>
      <c r="C1205" t="s">
        <v>9</v>
      </c>
      <c r="D1205" t="s">
        <v>16</v>
      </c>
      <c r="E1205" t="s">
        <v>23</v>
      </c>
      <c r="F1205">
        <v>3975.02</v>
      </c>
      <c r="G1205">
        <f t="array" ref="G1205">SalesData!$I$2 - 'RFM Table'!B1205</f>
        <v>430</v>
      </c>
      <c r="H1205">
        <f t="array" ref="H1205">COUNTIF(A:A,A1205)</f>
        <v>8</v>
      </c>
      <c r="I1205">
        <f t="array" ref="I1205">SUMIF(A:A,A1205,F:F)</f>
        <v>48110.42</v>
      </c>
      <c r="J1205">
        <f t="array" ref="J1205">5 - INT(5 * (RANK(G1205,G:G, 1) - 1) / COUNT(G:G))</f>
        <v>3</v>
      </c>
      <c r="K1205">
        <f t="array" ref="K1205">INT(5 * (RANK(H1205,H:H, 0) - 1) / COUNT(H:H)) + 1</f>
        <v>3</v>
      </c>
      <c r="L1205">
        <f t="array" ref="L1205">INT(5 * (RANK(I1205,I:I, 0) - 1) / COUNT(I:I)) + 1</f>
        <v>1</v>
      </c>
      <c r="M1205" t="str">
        <f t="shared" si="36"/>
        <v>331</v>
      </c>
      <c r="N1205" s="6" t="str">
        <f t="shared" si="37"/>
        <v>Others</v>
      </c>
    </row>
    <row r="1206" spans="1:14" x14ac:dyDescent="0.35">
      <c r="A1206">
        <v>1228</v>
      </c>
      <c r="B1206" s="4">
        <v>45706.375085336993</v>
      </c>
      <c r="C1206" t="s">
        <v>8</v>
      </c>
      <c r="D1206" t="s">
        <v>18</v>
      </c>
      <c r="E1206" t="s">
        <v>24</v>
      </c>
      <c r="F1206">
        <v>5894.52</v>
      </c>
      <c r="G1206">
        <f t="array" ref="G1206">SalesData!$I$2 - 'RFM Table'!B1206</f>
        <v>430</v>
      </c>
      <c r="H1206">
        <f t="array" ref="H1206">COUNTIF(A:A,A1206)</f>
        <v>13</v>
      </c>
      <c r="I1206">
        <f t="array" ref="I1206">SUMIF(A:A,A1206,F:F)</f>
        <v>47658.630000000005</v>
      </c>
      <c r="J1206">
        <f t="array" ref="J1206">5 - INT(5 * (RANK(G1206,G:G, 1) - 1) / COUNT(G:G))</f>
        <v>3</v>
      </c>
      <c r="K1206">
        <f t="array" ref="K1206">INT(5 * (RANK(H1206,H:H, 0) - 1) / COUNT(H:H)) + 1</f>
        <v>1</v>
      </c>
      <c r="L1206">
        <f t="array" ref="L1206">INT(5 * (RANK(I1206,I:I, 0) - 1) / COUNT(I:I)) + 1</f>
        <v>1</v>
      </c>
      <c r="M1206" t="str">
        <f t="shared" si="36"/>
        <v>311</v>
      </c>
      <c r="N1206" s="6" t="str">
        <f t="shared" si="37"/>
        <v>Others</v>
      </c>
    </row>
    <row r="1207" spans="1:14" x14ac:dyDescent="0.35">
      <c r="A1207">
        <v>1393</v>
      </c>
      <c r="B1207" s="4">
        <v>45707.375085336993</v>
      </c>
      <c r="C1207" t="s">
        <v>14</v>
      </c>
      <c r="D1207" t="s">
        <v>21</v>
      </c>
      <c r="E1207" t="s">
        <v>25</v>
      </c>
      <c r="F1207">
        <v>5550</v>
      </c>
      <c r="G1207">
        <f t="array" ref="G1207">SalesData!$I$2 - 'RFM Table'!B1207</f>
        <v>429</v>
      </c>
      <c r="H1207">
        <f t="array" ref="H1207">COUNTIF(A:A,A1207)</f>
        <v>7</v>
      </c>
      <c r="I1207">
        <f t="array" ref="I1207">SUMIF(A:A,A1207,F:F)</f>
        <v>28804.870000000003</v>
      </c>
      <c r="J1207">
        <f t="array" ref="J1207">5 - INT(5 * (RANK(G1207,G:G, 1) - 1) / COUNT(G:G))</f>
        <v>3</v>
      </c>
      <c r="K1207">
        <f t="array" ref="K1207">INT(5 * (RANK(H1207,H:H, 0) - 1) / COUNT(H:H)) + 1</f>
        <v>4</v>
      </c>
      <c r="L1207">
        <f t="array" ref="L1207">INT(5 * (RANK(I1207,I:I, 0) - 1) / COUNT(I:I)) + 1</f>
        <v>4</v>
      </c>
      <c r="M1207" t="str">
        <f t="shared" si="36"/>
        <v>344</v>
      </c>
      <c r="N1207" s="6" t="str">
        <f t="shared" si="37"/>
        <v>Others</v>
      </c>
    </row>
    <row r="1208" spans="1:14" x14ac:dyDescent="0.35">
      <c r="A1208">
        <v>1175</v>
      </c>
      <c r="B1208" s="4">
        <v>45707.375085336993</v>
      </c>
      <c r="C1208" t="s">
        <v>15</v>
      </c>
      <c r="D1208" t="s">
        <v>22</v>
      </c>
      <c r="E1208" t="s">
        <v>24</v>
      </c>
      <c r="F1208">
        <v>1672.82</v>
      </c>
      <c r="G1208">
        <f t="array" ref="G1208">SalesData!$I$2 - 'RFM Table'!B1208</f>
        <v>429</v>
      </c>
      <c r="H1208">
        <f t="array" ref="H1208">COUNTIF(A:A,A1208)</f>
        <v>6</v>
      </c>
      <c r="I1208">
        <f t="array" ref="I1208">SUMIF(A:A,A1208,F:F)</f>
        <v>26179.75</v>
      </c>
      <c r="J1208">
        <f t="array" ref="J1208">5 - INT(5 * (RANK(G1208,G:G, 1) - 1) / COUNT(G:G))</f>
        <v>3</v>
      </c>
      <c r="K1208">
        <f t="array" ref="K1208">INT(5 * (RANK(H1208,H:H, 0) - 1) / COUNT(H:H)) + 1</f>
        <v>4</v>
      </c>
      <c r="L1208">
        <f t="array" ref="L1208">INT(5 * (RANK(I1208,I:I, 0) - 1) / COUNT(I:I)) + 1</f>
        <v>4</v>
      </c>
      <c r="M1208" t="str">
        <f t="shared" si="36"/>
        <v>344</v>
      </c>
      <c r="N1208" s="6" t="str">
        <f t="shared" si="37"/>
        <v>Others</v>
      </c>
    </row>
    <row r="1209" spans="1:14" x14ac:dyDescent="0.35">
      <c r="A1209">
        <v>1191</v>
      </c>
      <c r="B1209" s="4">
        <v>45707.375085336993</v>
      </c>
      <c r="C1209" t="s">
        <v>12</v>
      </c>
      <c r="D1209" t="s">
        <v>16</v>
      </c>
      <c r="E1209" t="s">
        <v>24</v>
      </c>
      <c r="F1209">
        <v>653.09</v>
      </c>
      <c r="G1209">
        <f t="array" ref="G1209">SalesData!$I$2 - 'RFM Table'!B1209</f>
        <v>429</v>
      </c>
      <c r="H1209">
        <f t="array" ref="H1209">COUNTIF(A:A,A1209)</f>
        <v>11</v>
      </c>
      <c r="I1209">
        <f t="array" ref="I1209">SUMIF(A:A,A1209,F:F)</f>
        <v>30527.53</v>
      </c>
      <c r="J1209">
        <f t="array" ref="J1209">5 - INT(5 * (RANK(G1209,G:G, 1) - 1) / COUNT(G:G))</f>
        <v>3</v>
      </c>
      <c r="K1209">
        <f t="array" ref="K1209">INT(5 * (RANK(H1209,H:H, 0) - 1) / COUNT(H:H)) + 1</f>
        <v>1</v>
      </c>
      <c r="L1209">
        <f t="array" ref="L1209">INT(5 * (RANK(I1209,I:I, 0) - 1) / COUNT(I:I)) + 1</f>
        <v>3</v>
      </c>
      <c r="M1209" t="str">
        <f t="shared" si="36"/>
        <v>313</v>
      </c>
      <c r="N1209" s="6" t="str">
        <f t="shared" si="37"/>
        <v>Others</v>
      </c>
    </row>
    <row r="1210" spans="1:14" x14ac:dyDescent="0.35">
      <c r="A1210">
        <v>1050</v>
      </c>
      <c r="B1210" s="4">
        <v>45707.375085336993</v>
      </c>
      <c r="C1210" t="s">
        <v>15</v>
      </c>
      <c r="D1210" t="s">
        <v>16</v>
      </c>
      <c r="E1210" t="s">
        <v>24</v>
      </c>
      <c r="F1210">
        <v>751.57</v>
      </c>
      <c r="G1210">
        <f t="array" ref="G1210">SalesData!$I$2 - 'RFM Table'!B1210</f>
        <v>429</v>
      </c>
      <c r="H1210">
        <f t="array" ref="H1210">COUNTIF(A:A,A1210)</f>
        <v>10</v>
      </c>
      <c r="I1210">
        <f t="array" ref="I1210">SUMIF(A:A,A1210,F:F)</f>
        <v>32732.979999999996</v>
      </c>
      <c r="J1210">
        <f t="array" ref="J1210">5 - INT(5 * (RANK(G1210,G:G, 1) - 1) / COUNT(G:G))</f>
        <v>3</v>
      </c>
      <c r="K1210">
        <f t="array" ref="K1210">INT(5 * (RANK(H1210,H:H, 0) - 1) / COUNT(H:H)) + 1</f>
        <v>2</v>
      </c>
      <c r="L1210">
        <f t="array" ref="L1210">INT(5 * (RANK(I1210,I:I, 0) - 1) / COUNT(I:I)) + 1</f>
        <v>3</v>
      </c>
      <c r="M1210" t="str">
        <f t="shared" si="36"/>
        <v>323</v>
      </c>
      <c r="N1210" s="6" t="str">
        <f t="shared" si="37"/>
        <v>Others</v>
      </c>
    </row>
    <row r="1211" spans="1:14" x14ac:dyDescent="0.35">
      <c r="A1211">
        <v>1081</v>
      </c>
      <c r="B1211" s="4">
        <v>45707.375085336993</v>
      </c>
      <c r="C1211" t="s">
        <v>10</v>
      </c>
      <c r="D1211" t="s">
        <v>19</v>
      </c>
      <c r="E1211" t="s">
        <v>24</v>
      </c>
      <c r="F1211">
        <v>3533.07</v>
      </c>
      <c r="G1211">
        <f t="array" ref="G1211">SalesData!$I$2 - 'RFM Table'!B1211</f>
        <v>429</v>
      </c>
      <c r="H1211">
        <f t="array" ref="H1211">COUNTIF(A:A,A1211)</f>
        <v>8</v>
      </c>
      <c r="I1211">
        <f t="array" ref="I1211">SUMIF(A:A,A1211,F:F)</f>
        <v>29788.7</v>
      </c>
      <c r="J1211">
        <f t="array" ref="J1211">5 - INT(5 * (RANK(G1211,G:G, 1) - 1) / COUNT(G:G))</f>
        <v>3</v>
      </c>
      <c r="K1211">
        <f t="array" ref="K1211">INT(5 * (RANK(H1211,H:H, 0) - 1) / COUNT(H:H)) + 1</f>
        <v>3</v>
      </c>
      <c r="L1211">
        <f t="array" ref="L1211">INT(5 * (RANK(I1211,I:I, 0) - 1) / COUNT(I:I)) + 1</f>
        <v>3</v>
      </c>
      <c r="M1211" t="str">
        <f t="shared" si="36"/>
        <v>333</v>
      </c>
      <c r="N1211" s="6" t="str">
        <f t="shared" si="37"/>
        <v>Others</v>
      </c>
    </row>
    <row r="1212" spans="1:14" x14ac:dyDescent="0.35">
      <c r="A1212">
        <v>1288</v>
      </c>
      <c r="B1212" s="4">
        <v>45707.375085336993</v>
      </c>
      <c r="C1212" t="s">
        <v>12</v>
      </c>
      <c r="D1212" t="s">
        <v>20</v>
      </c>
      <c r="E1212" t="s">
        <v>24</v>
      </c>
      <c r="F1212">
        <v>6820.2</v>
      </c>
      <c r="G1212">
        <f t="array" ref="G1212">SalesData!$I$2 - 'RFM Table'!B1212</f>
        <v>429</v>
      </c>
      <c r="H1212">
        <f t="array" ref="H1212">COUNTIF(A:A,A1212)</f>
        <v>13</v>
      </c>
      <c r="I1212">
        <f t="array" ref="I1212">SUMIF(A:A,A1212,F:F)</f>
        <v>40219.18</v>
      </c>
      <c r="J1212">
        <f t="array" ref="J1212">5 - INT(5 * (RANK(G1212,G:G, 1) - 1) / COUNT(G:G))</f>
        <v>3</v>
      </c>
      <c r="K1212">
        <f t="array" ref="K1212">INT(5 * (RANK(H1212,H:H, 0) - 1) / COUNT(H:H)) + 1</f>
        <v>1</v>
      </c>
      <c r="L1212">
        <f t="array" ref="L1212">INT(5 * (RANK(I1212,I:I, 0) - 1) / COUNT(I:I)) + 1</f>
        <v>2</v>
      </c>
      <c r="M1212" t="str">
        <f t="shared" si="36"/>
        <v>312</v>
      </c>
      <c r="N1212" s="6" t="str">
        <f t="shared" si="37"/>
        <v>Others</v>
      </c>
    </row>
    <row r="1213" spans="1:14" x14ac:dyDescent="0.35">
      <c r="A1213">
        <v>1366</v>
      </c>
      <c r="B1213" s="4">
        <v>45707.375085336993</v>
      </c>
      <c r="C1213" t="s">
        <v>10</v>
      </c>
      <c r="D1213" t="s">
        <v>22</v>
      </c>
      <c r="E1213" t="s">
        <v>23</v>
      </c>
      <c r="F1213">
        <v>3271.81</v>
      </c>
      <c r="G1213">
        <f t="array" ref="G1213">SalesData!$I$2 - 'RFM Table'!B1213</f>
        <v>429</v>
      </c>
      <c r="H1213">
        <f t="array" ref="H1213">COUNTIF(A:A,A1213)</f>
        <v>7</v>
      </c>
      <c r="I1213">
        <f t="array" ref="I1213">SUMIF(A:A,A1213,F:F)</f>
        <v>19730.549999999996</v>
      </c>
      <c r="J1213">
        <f t="array" ref="J1213">5 - INT(5 * (RANK(G1213,G:G, 1) - 1) / COUNT(G:G))</f>
        <v>3</v>
      </c>
      <c r="K1213">
        <f t="array" ref="K1213">INT(5 * (RANK(H1213,H:H, 0) - 1) / COUNT(H:H)) + 1</f>
        <v>4</v>
      </c>
      <c r="L1213">
        <f t="array" ref="L1213">INT(5 * (RANK(I1213,I:I, 0) - 1) / COUNT(I:I)) + 1</f>
        <v>5</v>
      </c>
      <c r="M1213" t="str">
        <f t="shared" si="36"/>
        <v>345</v>
      </c>
      <c r="N1213" s="6" t="str">
        <f t="shared" si="37"/>
        <v>Others</v>
      </c>
    </row>
    <row r="1214" spans="1:14" x14ac:dyDescent="0.35">
      <c r="A1214">
        <v>1188</v>
      </c>
      <c r="B1214" s="4">
        <v>45708.375085336993</v>
      </c>
      <c r="C1214" t="s">
        <v>6</v>
      </c>
      <c r="D1214" t="s">
        <v>17</v>
      </c>
      <c r="E1214" t="s">
        <v>23</v>
      </c>
      <c r="F1214">
        <v>6645.75</v>
      </c>
      <c r="G1214">
        <f t="array" ref="G1214">SalesData!$I$2 - 'RFM Table'!B1214</f>
        <v>428</v>
      </c>
      <c r="H1214">
        <f t="array" ref="H1214">COUNTIF(A:A,A1214)</f>
        <v>4</v>
      </c>
      <c r="I1214">
        <f t="array" ref="I1214">SUMIF(A:A,A1214,F:F)</f>
        <v>21498.129999999997</v>
      </c>
      <c r="J1214">
        <f t="array" ref="J1214">5 - INT(5 * (RANK(G1214,G:G, 1) - 1) / COUNT(G:G))</f>
        <v>3</v>
      </c>
      <c r="K1214">
        <f t="array" ref="K1214">INT(5 * (RANK(H1214,H:H, 0) - 1) / COUNT(H:H)) + 1</f>
        <v>5</v>
      </c>
      <c r="L1214">
        <f t="array" ref="L1214">INT(5 * (RANK(I1214,I:I, 0) - 1) / COUNT(I:I)) + 1</f>
        <v>5</v>
      </c>
      <c r="M1214" t="str">
        <f t="shared" si="36"/>
        <v>355</v>
      </c>
      <c r="N1214" s="6" t="str">
        <f t="shared" si="37"/>
        <v>Others</v>
      </c>
    </row>
    <row r="1215" spans="1:14" x14ac:dyDescent="0.35">
      <c r="A1215">
        <v>1118</v>
      </c>
      <c r="B1215" s="4">
        <v>45708.375085336993</v>
      </c>
      <c r="C1215" t="s">
        <v>7</v>
      </c>
      <c r="D1215" t="s">
        <v>22</v>
      </c>
      <c r="E1215" t="s">
        <v>24</v>
      </c>
      <c r="F1215">
        <v>4349.08</v>
      </c>
      <c r="G1215">
        <f t="array" ref="G1215">SalesData!$I$2 - 'RFM Table'!B1215</f>
        <v>428</v>
      </c>
      <c r="H1215">
        <f t="array" ref="H1215">COUNTIF(A:A,A1215)</f>
        <v>10</v>
      </c>
      <c r="I1215">
        <f t="array" ref="I1215">SUMIF(A:A,A1215,F:F)</f>
        <v>40587.47</v>
      </c>
      <c r="J1215">
        <f t="array" ref="J1215">5 - INT(5 * (RANK(G1215,G:G, 1) - 1) / COUNT(G:G))</f>
        <v>3</v>
      </c>
      <c r="K1215">
        <f t="array" ref="K1215">INT(5 * (RANK(H1215,H:H, 0) - 1) / COUNT(H:H)) + 1</f>
        <v>2</v>
      </c>
      <c r="L1215">
        <f t="array" ref="L1215">INT(5 * (RANK(I1215,I:I, 0) - 1) / COUNT(I:I)) + 1</f>
        <v>2</v>
      </c>
      <c r="M1215" t="str">
        <f t="shared" si="36"/>
        <v>322</v>
      </c>
      <c r="N1215" s="6" t="str">
        <f t="shared" si="37"/>
        <v>Others</v>
      </c>
    </row>
    <row r="1216" spans="1:14" x14ac:dyDescent="0.35">
      <c r="A1216">
        <v>1175</v>
      </c>
      <c r="B1216" s="4">
        <v>45708.375085336993</v>
      </c>
      <c r="C1216" t="s">
        <v>12</v>
      </c>
      <c r="D1216" t="s">
        <v>17</v>
      </c>
      <c r="E1216" t="s">
        <v>23</v>
      </c>
      <c r="F1216">
        <v>5009.1499999999996</v>
      </c>
      <c r="G1216">
        <f t="array" ref="G1216">SalesData!$I$2 - 'RFM Table'!B1216</f>
        <v>428</v>
      </c>
      <c r="H1216">
        <f t="array" ref="H1216">COUNTIF(A:A,A1216)</f>
        <v>6</v>
      </c>
      <c r="I1216">
        <f t="array" ref="I1216">SUMIF(A:A,A1216,F:F)</f>
        <v>26179.75</v>
      </c>
      <c r="J1216">
        <f t="array" ref="J1216">5 - INT(5 * (RANK(G1216,G:G, 1) - 1) / COUNT(G:G))</f>
        <v>3</v>
      </c>
      <c r="K1216">
        <f t="array" ref="K1216">INT(5 * (RANK(H1216,H:H, 0) - 1) / COUNT(H:H)) + 1</f>
        <v>4</v>
      </c>
      <c r="L1216">
        <f t="array" ref="L1216">INT(5 * (RANK(I1216,I:I, 0) - 1) / COUNT(I:I)) + 1</f>
        <v>4</v>
      </c>
      <c r="M1216" t="str">
        <f t="shared" si="36"/>
        <v>344</v>
      </c>
      <c r="N1216" s="6" t="str">
        <f t="shared" si="37"/>
        <v>Others</v>
      </c>
    </row>
    <row r="1217" spans="1:14" x14ac:dyDescent="0.35">
      <c r="A1217">
        <v>1048</v>
      </c>
      <c r="B1217" s="4">
        <v>45708.375085336993</v>
      </c>
      <c r="C1217" t="s">
        <v>9</v>
      </c>
      <c r="D1217" t="s">
        <v>20</v>
      </c>
      <c r="E1217" t="s">
        <v>24</v>
      </c>
      <c r="F1217">
        <v>4139.43</v>
      </c>
      <c r="G1217">
        <f t="array" ref="G1217">SalesData!$I$2 - 'RFM Table'!B1217</f>
        <v>428</v>
      </c>
      <c r="H1217">
        <f t="array" ref="H1217">COUNTIF(A:A,A1217)</f>
        <v>9</v>
      </c>
      <c r="I1217">
        <f t="array" ref="I1217">SUMIF(A:A,A1217,F:F)</f>
        <v>34800.239999999998</v>
      </c>
      <c r="J1217">
        <f t="array" ref="J1217">5 - INT(5 * (RANK(G1217,G:G, 1) - 1) / COUNT(G:G))</f>
        <v>3</v>
      </c>
      <c r="K1217">
        <f t="array" ref="K1217">INT(5 * (RANK(H1217,H:H, 0) - 1) / COUNT(H:H)) + 1</f>
        <v>2</v>
      </c>
      <c r="L1217">
        <f t="array" ref="L1217">INT(5 * (RANK(I1217,I:I, 0) - 1) / COUNT(I:I)) + 1</f>
        <v>3</v>
      </c>
      <c r="M1217" t="str">
        <f t="shared" si="36"/>
        <v>323</v>
      </c>
      <c r="N1217" s="6" t="str">
        <f t="shared" si="37"/>
        <v>Others</v>
      </c>
    </row>
    <row r="1218" spans="1:14" x14ac:dyDescent="0.35">
      <c r="A1218">
        <v>1066</v>
      </c>
      <c r="B1218" s="4">
        <v>45708.375085336993</v>
      </c>
      <c r="C1218" t="s">
        <v>9</v>
      </c>
      <c r="D1218" t="s">
        <v>18</v>
      </c>
      <c r="E1218" t="s">
        <v>24</v>
      </c>
      <c r="F1218">
        <v>2723.3</v>
      </c>
      <c r="G1218">
        <f t="array" ref="G1218">SalesData!$I$2 - 'RFM Table'!B1218</f>
        <v>428</v>
      </c>
      <c r="H1218">
        <f t="array" ref="H1218">COUNTIF(A:A,A1218)</f>
        <v>5</v>
      </c>
      <c r="I1218">
        <f t="array" ref="I1218">SUMIF(A:A,A1218,F:F)</f>
        <v>17833.57</v>
      </c>
      <c r="J1218">
        <f t="array" ref="J1218">5 - INT(5 * (RANK(G1218,G:G, 1) - 1) / COUNT(G:G))</f>
        <v>3</v>
      </c>
      <c r="K1218">
        <f t="array" ref="K1218">INT(5 * (RANK(H1218,H:H, 0) - 1) / COUNT(H:H)) + 1</f>
        <v>5</v>
      </c>
      <c r="L1218">
        <f t="array" ref="L1218">INT(5 * (RANK(I1218,I:I, 0) - 1) / COUNT(I:I)) + 1</f>
        <v>5</v>
      </c>
      <c r="M1218" t="str">
        <f t="shared" si="36"/>
        <v>355</v>
      </c>
      <c r="N1218" s="6" t="str">
        <f t="shared" si="37"/>
        <v>Others</v>
      </c>
    </row>
    <row r="1219" spans="1:14" x14ac:dyDescent="0.35">
      <c r="A1219">
        <v>1196</v>
      </c>
      <c r="B1219" s="4">
        <v>45708.375085336993</v>
      </c>
      <c r="C1219" t="s">
        <v>12</v>
      </c>
      <c r="D1219" t="s">
        <v>21</v>
      </c>
      <c r="E1219" t="s">
        <v>24</v>
      </c>
      <c r="F1219">
        <v>3638.76</v>
      </c>
      <c r="G1219">
        <f t="array" ref="G1219">SalesData!$I$2 - 'RFM Table'!B1219</f>
        <v>428</v>
      </c>
      <c r="H1219">
        <f t="array" ref="H1219">COUNTIF(A:A,A1219)</f>
        <v>3</v>
      </c>
      <c r="I1219">
        <f t="array" ref="I1219">SUMIF(A:A,A1219,F:F)</f>
        <v>17686.849999999999</v>
      </c>
      <c r="J1219">
        <f t="array" ref="J1219">5 - INT(5 * (RANK(G1219,G:G, 1) - 1) / COUNT(G:G))</f>
        <v>3</v>
      </c>
      <c r="K1219">
        <f t="array" ref="K1219">INT(5 * (RANK(H1219,H:H, 0) - 1) / COUNT(H:H)) + 1</f>
        <v>5</v>
      </c>
      <c r="L1219">
        <f t="array" ref="L1219">INT(5 * (RANK(I1219,I:I, 0) - 1) / COUNT(I:I)) + 1</f>
        <v>5</v>
      </c>
      <c r="M1219" t="str">
        <f t="shared" ref="M1219:M1282" si="38">J1219 &amp; K1219 &amp; L1219</f>
        <v>355</v>
      </c>
      <c r="N1219" s="6" t="str">
        <f t="shared" ref="N1219:N1282" si="39">IF(AND(J1219&gt;=4,K1219&lt;=2),"New Customers",
IF(AND(J1219&lt;=2,K1219&gt;=3,L1219&gt;=3),"At Risk",
IF(AND(J1219&lt;=2,K1219&lt;=2,L1219&gt;=3),"Can't Lose Them",
IF(AND(J1219&lt;=2,K1219&lt;=2,L1219&lt;=2),"Lost",
"Others"))))</f>
        <v>Others</v>
      </c>
    </row>
    <row r="1220" spans="1:14" x14ac:dyDescent="0.35">
      <c r="A1220">
        <v>1348</v>
      </c>
      <c r="B1220" s="4">
        <v>45709.375085336993</v>
      </c>
      <c r="C1220" t="s">
        <v>14</v>
      </c>
      <c r="D1220" t="s">
        <v>16</v>
      </c>
      <c r="E1220" t="s">
        <v>23</v>
      </c>
      <c r="F1220">
        <v>164.79</v>
      </c>
      <c r="G1220">
        <f t="array" ref="G1220">SalesData!$I$2 - 'RFM Table'!B1220</f>
        <v>427</v>
      </c>
      <c r="H1220">
        <f t="array" ref="H1220">COUNTIF(A:A,A1220)</f>
        <v>12</v>
      </c>
      <c r="I1220">
        <f t="array" ref="I1220">SUMIF(A:A,A1220,F:F)</f>
        <v>27185.14</v>
      </c>
      <c r="J1220">
        <f t="array" ref="J1220">5 - INT(5 * (RANK(G1220,G:G, 1) - 1) / COUNT(G:G))</f>
        <v>3</v>
      </c>
      <c r="K1220">
        <f t="array" ref="K1220">INT(5 * (RANK(H1220,H:H, 0) - 1) / COUNT(H:H)) + 1</f>
        <v>1</v>
      </c>
      <c r="L1220">
        <f t="array" ref="L1220">INT(5 * (RANK(I1220,I:I, 0) - 1) / COUNT(I:I)) + 1</f>
        <v>4</v>
      </c>
      <c r="M1220" t="str">
        <f t="shared" si="38"/>
        <v>314</v>
      </c>
      <c r="N1220" s="6" t="str">
        <f t="shared" si="39"/>
        <v>Others</v>
      </c>
    </row>
    <row r="1221" spans="1:14" x14ac:dyDescent="0.35">
      <c r="A1221">
        <v>1095</v>
      </c>
      <c r="B1221" s="4">
        <v>45709.375085336993</v>
      </c>
      <c r="C1221" t="s">
        <v>9</v>
      </c>
      <c r="D1221" t="s">
        <v>17</v>
      </c>
      <c r="E1221" t="s">
        <v>23</v>
      </c>
      <c r="F1221">
        <v>4842.9799999999996</v>
      </c>
      <c r="G1221">
        <f t="array" ref="G1221">SalesData!$I$2 - 'RFM Table'!B1221</f>
        <v>427</v>
      </c>
      <c r="H1221">
        <f t="array" ref="H1221">COUNTIF(A:A,A1221)</f>
        <v>9</v>
      </c>
      <c r="I1221">
        <f t="array" ref="I1221">SUMIF(A:A,A1221,F:F)</f>
        <v>48530.240000000005</v>
      </c>
      <c r="J1221">
        <f t="array" ref="J1221">5 - INT(5 * (RANK(G1221,G:G, 1) - 1) / COUNT(G:G))</f>
        <v>3</v>
      </c>
      <c r="K1221">
        <f t="array" ref="K1221">INT(5 * (RANK(H1221,H:H, 0) - 1) / COUNT(H:H)) + 1</f>
        <v>2</v>
      </c>
      <c r="L1221">
        <f t="array" ref="L1221">INT(5 * (RANK(I1221,I:I, 0) - 1) / COUNT(I:I)) + 1</f>
        <v>1</v>
      </c>
      <c r="M1221" t="str">
        <f t="shared" si="38"/>
        <v>321</v>
      </c>
      <c r="N1221" s="6" t="str">
        <f t="shared" si="39"/>
        <v>Others</v>
      </c>
    </row>
    <row r="1222" spans="1:14" x14ac:dyDescent="0.35">
      <c r="A1222">
        <v>1341</v>
      </c>
      <c r="B1222" s="4">
        <v>45709.375085336993</v>
      </c>
      <c r="C1222" t="s">
        <v>13</v>
      </c>
      <c r="D1222" t="s">
        <v>19</v>
      </c>
      <c r="E1222" t="s">
        <v>24</v>
      </c>
      <c r="F1222">
        <v>3745.72</v>
      </c>
      <c r="G1222">
        <f t="array" ref="G1222">SalesData!$I$2 - 'RFM Table'!B1222</f>
        <v>427</v>
      </c>
      <c r="H1222">
        <f t="array" ref="H1222">COUNTIF(A:A,A1222)</f>
        <v>11</v>
      </c>
      <c r="I1222">
        <f t="array" ref="I1222">SUMIF(A:A,A1222,F:F)</f>
        <v>45526.78</v>
      </c>
      <c r="J1222">
        <f t="array" ref="J1222">5 - INT(5 * (RANK(G1222,G:G, 1) - 1) / COUNT(G:G))</f>
        <v>3</v>
      </c>
      <c r="K1222">
        <f t="array" ref="K1222">INT(5 * (RANK(H1222,H:H, 0) - 1) / COUNT(H:H)) + 1</f>
        <v>1</v>
      </c>
      <c r="L1222">
        <f t="array" ref="L1222">INT(5 * (RANK(I1222,I:I, 0) - 1) / COUNT(I:I)) + 1</f>
        <v>1</v>
      </c>
      <c r="M1222" t="str">
        <f t="shared" si="38"/>
        <v>311</v>
      </c>
      <c r="N1222" s="6" t="str">
        <f t="shared" si="39"/>
        <v>Others</v>
      </c>
    </row>
    <row r="1223" spans="1:14" x14ac:dyDescent="0.35">
      <c r="A1223">
        <v>1315</v>
      </c>
      <c r="B1223" s="4">
        <v>45709.375085336993</v>
      </c>
      <c r="C1223" t="s">
        <v>6</v>
      </c>
      <c r="D1223" t="s">
        <v>22</v>
      </c>
      <c r="E1223" t="s">
        <v>24</v>
      </c>
      <c r="F1223">
        <v>3681.29</v>
      </c>
      <c r="G1223">
        <f t="array" ref="G1223">SalesData!$I$2 - 'RFM Table'!B1223</f>
        <v>427</v>
      </c>
      <c r="H1223">
        <f t="array" ref="H1223">COUNTIF(A:A,A1223)</f>
        <v>12</v>
      </c>
      <c r="I1223">
        <f t="array" ref="I1223">SUMIF(A:A,A1223,F:F)</f>
        <v>42776.80999999999</v>
      </c>
      <c r="J1223">
        <f t="array" ref="J1223">5 - INT(5 * (RANK(G1223,G:G, 1) - 1) / COUNT(G:G))</f>
        <v>3</v>
      </c>
      <c r="K1223">
        <f t="array" ref="K1223">INT(5 * (RANK(H1223,H:H, 0) - 1) / COUNT(H:H)) + 1</f>
        <v>1</v>
      </c>
      <c r="L1223">
        <f t="array" ref="L1223">INT(5 * (RANK(I1223,I:I, 0) - 1) / COUNT(I:I)) + 1</f>
        <v>2</v>
      </c>
      <c r="M1223" t="str">
        <f t="shared" si="38"/>
        <v>312</v>
      </c>
      <c r="N1223" s="6" t="str">
        <f t="shared" si="39"/>
        <v>Others</v>
      </c>
    </row>
    <row r="1224" spans="1:14" x14ac:dyDescent="0.35">
      <c r="A1224">
        <v>1226</v>
      </c>
      <c r="B1224" s="4">
        <v>45709.375085336993</v>
      </c>
      <c r="C1224" t="s">
        <v>13</v>
      </c>
      <c r="D1224" t="s">
        <v>21</v>
      </c>
      <c r="E1224" t="s">
        <v>25</v>
      </c>
      <c r="F1224">
        <v>10181.36</v>
      </c>
      <c r="G1224">
        <f t="array" ref="G1224">SalesData!$I$2 - 'RFM Table'!B1224</f>
        <v>427</v>
      </c>
      <c r="H1224">
        <f t="array" ref="H1224">COUNTIF(A:A,A1224)</f>
        <v>13</v>
      </c>
      <c r="I1224">
        <f t="array" ref="I1224">SUMIF(A:A,A1224,F:F)</f>
        <v>49471.75</v>
      </c>
      <c r="J1224">
        <f t="array" ref="J1224">5 - INT(5 * (RANK(G1224,G:G, 1) - 1) / COUNT(G:G))</f>
        <v>3</v>
      </c>
      <c r="K1224">
        <f t="array" ref="K1224">INT(5 * (RANK(H1224,H:H, 0) - 1) / COUNT(H:H)) + 1</f>
        <v>1</v>
      </c>
      <c r="L1224">
        <f t="array" ref="L1224">INT(5 * (RANK(I1224,I:I, 0) - 1) / COUNT(I:I)) + 1</f>
        <v>1</v>
      </c>
      <c r="M1224" t="str">
        <f t="shared" si="38"/>
        <v>311</v>
      </c>
      <c r="N1224" s="6" t="str">
        <f t="shared" si="39"/>
        <v>Others</v>
      </c>
    </row>
    <row r="1225" spans="1:14" x14ac:dyDescent="0.35">
      <c r="A1225">
        <v>1121</v>
      </c>
      <c r="B1225" s="4">
        <v>45709.375085336993</v>
      </c>
      <c r="C1225" t="s">
        <v>11</v>
      </c>
      <c r="D1225" t="s">
        <v>16</v>
      </c>
      <c r="E1225" t="s">
        <v>23</v>
      </c>
      <c r="F1225">
        <v>2066.69</v>
      </c>
      <c r="G1225">
        <f t="array" ref="G1225">SalesData!$I$2 - 'RFM Table'!B1225</f>
        <v>427</v>
      </c>
      <c r="H1225">
        <f t="array" ref="H1225">COUNTIF(A:A,A1225)</f>
        <v>10</v>
      </c>
      <c r="I1225">
        <f t="array" ref="I1225">SUMIF(A:A,A1225,F:F)</f>
        <v>28216.130000000005</v>
      </c>
      <c r="J1225">
        <f t="array" ref="J1225">5 - INT(5 * (RANK(G1225,G:G, 1) - 1) / COUNT(G:G))</f>
        <v>3</v>
      </c>
      <c r="K1225">
        <f t="array" ref="K1225">INT(5 * (RANK(H1225,H:H, 0) - 1) / COUNT(H:H)) + 1</f>
        <v>2</v>
      </c>
      <c r="L1225">
        <f t="array" ref="L1225">INT(5 * (RANK(I1225,I:I, 0) - 1) / COUNT(I:I)) + 1</f>
        <v>4</v>
      </c>
      <c r="M1225" t="str">
        <f t="shared" si="38"/>
        <v>324</v>
      </c>
      <c r="N1225" s="6" t="str">
        <f t="shared" si="39"/>
        <v>Others</v>
      </c>
    </row>
    <row r="1226" spans="1:14" x14ac:dyDescent="0.35">
      <c r="A1226">
        <v>1396</v>
      </c>
      <c r="B1226" s="4">
        <v>45710.375085336993</v>
      </c>
      <c r="C1226" t="s">
        <v>7</v>
      </c>
      <c r="D1226" t="s">
        <v>19</v>
      </c>
      <c r="E1226" t="s">
        <v>24</v>
      </c>
      <c r="F1226">
        <v>7019.98</v>
      </c>
      <c r="G1226">
        <f t="array" ref="G1226">SalesData!$I$2 - 'RFM Table'!B1226</f>
        <v>426</v>
      </c>
      <c r="H1226">
        <f t="array" ref="H1226">COUNTIF(A:A,A1226)</f>
        <v>11</v>
      </c>
      <c r="I1226">
        <f t="array" ref="I1226">SUMIF(A:A,A1226,F:F)</f>
        <v>54143.32</v>
      </c>
      <c r="J1226">
        <f t="array" ref="J1226">5 - INT(5 * (RANK(G1226,G:G, 1) - 1) / COUNT(G:G))</f>
        <v>3</v>
      </c>
      <c r="K1226">
        <f t="array" ref="K1226">INT(5 * (RANK(H1226,H:H, 0) - 1) / COUNT(H:H)) + 1</f>
        <v>1</v>
      </c>
      <c r="L1226">
        <f t="array" ref="L1226">INT(5 * (RANK(I1226,I:I, 0) - 1) / COUNT(I:I)) + 1</f>
        <v>1</v>
      </c>
      <c r="M1226" t="str">
        <f t="shared" si="38"/>
        <v>311</v>
      </c>
      <c r="N1226" s="6" t="str">
        <f t="shared" si="39"/>
        <v>Others</v>
      </c>
    </row>
    <row r="1227" spans="1:14" x14ac:dyDescent="0.35">
      <c r="A1227">
        <v>1140</v>
      </c>
      <c r="B1227" s="4">
        <v>45710.375085336993</v>
      </c>
      <c r="C1227" t="s">
        <v>13</v>
      </c>
      <c r="D1227" t="s">
        <v>16</v>
      </c>
      <c r="E1227" t="s">
        <v>25</v>
      </c>
      <c r="F1227">
        <v>1467.77</v>
      </c>
      <c r="G1227">
        <f t="array" ref="G1227">SalesData!$I$2 - 'RFM Table'!B1227</f>
        <v>426</v>
      </c>
      <c r="H1227">
        <f t="array" ref="H1227">COUNTIF(A:A,A1227)</f>
        <v>9</v>
      </c>
      <c r="I1227">
        <f t="array" ref="I1227">SUMIF(A:A,A1227,F:F)</f>
        <v>45498.270000000004</v>
      </c>
      <c r="J1227">
        <f t="array" ref="J1227">5 - INT(5 * (RANK(G1227,G:G, 1) - 1) / COUNT(G:G))</f>
        <v>3</v>
      </c>
      <c r="K1227">
        <f t="array" ref="K1227">INT(5 * (RANK(H1227,H:H, 0) - 1) / COUNT(H:H)) + 1</f>
        <v>2</v>
      </c>
      <c r="L1227">
        <f t="array" ref="L1227">INT(5 * (RANK(I1227,I:I, 0) - 1) / COUNT(I:I)) + 1</f>
        <v>1</v>
      </c>
      <c r="M1227" t="str">
        <f t="shared" si="38"/>
        <v>321</v>
      </c>
      <c r="N1227" s="6" t="str">
        <f t="shared" si="39"/>
        <v>Others</v>
      </c>
    </row>
    <row r="1228" spans="1:14" x14ac:dyDescent="0.35">
      <c r="A1228">
        <v>1226</v>
      </c>
      <c r="B1228" s="4">
        <v>45710.375085336993</v>
      </c>
      <c r="C1228" t="s">
        <v>14</v>
      </c>
      <c r="D1228" t="s">
        <v>22</v>
      </c>
      <c r="E1228" t="s">
        <v>24</v>
      </c>
      <c r="F1228">
        <v>1971.99</v>
      </c>
      <c r="G1228">
        <f t="array" ref="G1228">SalesData!$I$2 - 'RFM Table'!B1228</f>
        <v>426</v>
      </c>
      <c r="H1228">
        <f t="array" ref="H1228">COUNTIF(A:A,A1228)</f>
        <v>13</v>
      </c>
      <c r="I1228">
        <f t="array" ref="I1228">SUMIF(A:A,A1228,F:F)</f>
        <v>49471.75</v>
      </c>
      <c r="J1228">
        <f t="array" ref="J1228">5 - INT(5 * (RANK(G1228,G:G, 1) - 1) / COUNT(G:G))</f>
        <v>3</v>
      </c>
      <c r="K1228">
        <f t="array" ref="K1228">INT(5 * (RANK(H1228,H:H, 0) - 1) / COUNT(H:H)) + 1</f>
        <v>1</v>
      </c>
      <c r="L1228">
        <f t="array" ref="L1228">INT(5 * (RANK(I1228,I:I, 0) - 1) / COUNT(I:I)) + 1</f>
        <v>1</v>
      </c>
      <c r="M1228" t="str">
        <f t="shared" si="38"/>
        <v>311</v>
      </c>
      <c r="N1228" s="6" t="str">
        <f t="shared" si="39"/>
        <v>Others</v>
      </c>
    </row>
    <row r="1229" spans="1:14" x14ac:dyDescent="0.35">
      <c r="A1229">
        <v>1259</v>
      </c>
      <c r="B1229" s="4">
        <v>45711.375085336993</v>
      </c>
      <c r="C1229" t="s">
        <v>10</v>
      </c>
      <c r="D1229" t="s">
        <v>21</v>
      </c>
      <c r="E1229" t="s">
        <v>23</v>
      </c>
      <c r="F1229">
        <v>1834.12</v>
      </c>
      <c r="G1229">
        <f t="array" ref="G1229">SalesData!$I$2 - 'RFM Table'!B1229</f>
        <v>425</v>
      </c>
      <c r="H1229">
        <f t="array" ref="H1229">COUNTIF(A:A,A1229)</f>
        <v>6</v>
      </c>
      <c r="I1229">
        <f t="array" ref="I1229">SUMIF(A:A,A1229,F:F)</f>
        <v>21369.009999999995</v>
      </c>
      <c r="J1229">
        <f t="array" ref="J1229">5 - INT(5 * (RANK(G1229,G:G, 1) - 1) / COUNT(G:G))</f>
        <v>3</v>
      </c>
      <c r="K1229">
        <f t="array" ref="K1229">INT(5 * (RANK(H1229,H:H, 0) - 1) / COUNT(H:H)) + 1</f>
        <v>4</v>
      </c>
      <c r="L1229">
        <f t="array" ref="L1229">INT(5 * (RANK(I1229,I:I, 0) - 1) / COUNT(I:I)) + 1</f>
        <v>5</v>
      </c>
      <c r="M1229" t="str">
        <f t="shared" si="38"/>
        <v>345</v>
      </c>
      <c r="N1229" s="6" t="str">
        <f t="shared" si="39"/>
        <v>Others</v>
      </c>
    </row>
    <row r="1230" spans="1:14" x14ac:dyDescent="0.35">
      <c r="A1230">
        <v>1287</v>
      </c>
      <c r="B1230" s="4">
        <v>45711.375085336993</v>
      </c>
      <c r="C1230" t="s">
        <v>11</v>
      </c>
      <c r="D1230" t="s">
        <v>16</v>
      </c>
      <c r="E1230" t="s">
        <v>23</v>
      </c>
      <c r="F1230">
        <v>892.62</v>
      </c>
      <c r="G1230">
        <f t="array" ref="G1230">SalesData!$I$2 - 'RFM Table'!B1230</f>
        <v>425</v>
      </c>
      <c r="H1230">
        <f t="array" ref="H1230">COUNTIF(A:A,A1230)</f>
        <v>16</v>
      </c>
      <c r="I1230">
        <f t="array" ref="I1230">SUMIF(A:A,A1230,F:F)</f>
        <v>64716.249999999985</v>
      </c>
      <c r="J1230">
        <f t="array" ref="J1230">5 - INT(5 * (RANK(G1230,G:G, 1) - 1) / COUNT(G:G))</f>
        <v>3</v>
      </c>
      <c r="K1230">
        <f t="array" ref="K1230">INT(5 * (RANK(H1230,H:H, 0) - 1) / COUNT(H:H)) + 1</f>
        <v>1</v>
      </c>
      <c r="L1230">
        <f t="array" ref="L1230">INT(5 * (RANK(I1230,I:I, 0) - 1) / COUNT(I:I)) + 1</f>
        <v>1</v>
      </c>
      <c r="M1230" t="str">
        <f t="shared" si="38"/>
        <v>311</v>
      </c>
      <c r="N1230" s="6" t="str">
        <f t="shared" si="39"/>
        <v>Others</v>
      </c>
    </row>
    <row r="1231" spans="1:14" x14ac:dyDescent="0.35">
      <c r="A1231">
        <v>1226</v>
      </c>
      <c r="B1231" s="4">
        <v>45712.375085336993</v>
      </c>
      <c r="C1231" t="s">
        <v>13</v>
      </c>
      <c r="D1231" t="s">
        <v>18</v>
      </c>
      <c r="E1231" t="s">
        <v>24</v>
      </c>
      <c r="F1231">
        <v>1096.8599999999999</v>
      </c>
      <c r="G1231">
        <f t="array" ref="G1231">SalesData!$I$2 - 'RFM Table'!B1231</f>
        <v>424</v>
      </c>
      <c r="H1231">
        <f t="array" ref="H1231">COUNTIF(A:A,A1231)</f>
        <v>13</v>
      </c>
      <c r="I1231">
        <f t="array" ref="I1231">SUMIF(A:A,A1231,F:F)</f>
        <v>49471.75</v>
      </c>
      <c r="J1231">
        <f t="array" ref="J1231">5 - INT(5 * (RANK(G1231,G:G, 1) - 1) / COUNT(G:G))</f>
        <v>3</v>
      </c>
      <c r="K1231">
        <f t="array" ref="K1231">INT(5 * (RANK(H1231,H:H, 0) - 1) / COUNT(H:H)) + 1</f>
        <v>1</v>
      </c>
      <c r="L1231">
        <f t="array" ref="L1231">INT(5 * (RANK(I1231,I:I, 0) - 1) / COUNT(I:I)) + 1</f>
        <v>1</v>
      </c>
      <c r="M1231" t="str">
        <f t="shared" si="38"/>
        <v>311</v>
      </c>
      <c r="N1231" s="6" t="str">
        <f t="shared" si="39"/>
        <v>Others</v>
      </c>
    </row>
    <row r="1232" spans="1:14" x14ac:dyDescent="0.35">
      <c r="A1232">
        <v>1386</v>
      </c>
      <c r="B1232" s="4">
        <v>45712.375085336993</v>
      </c>
      <c r="C1232" t="s">
        <v>15</v>
      </c>
      <c r="D1232" t="s">
        <v>21</v>
      </c>
      <c r="E1232" t="s">
        <v>24</v>
      </c>
      <c r="F1232">
        <v>3697.44</v>
      </c>
      <c r="G1232">
        <f t="array" ref="G1232">SalesData!$I$2 - 'RFM Table'!B1232</f>
        <v>424</v>
      </c>
      <c r="H1232">
        <f t="array" ref="H1232">COUNTIF(A:A,A1232)</f>
        <v>8</v>
      </c>
      <c r="I1232">
        <f t="array" ref="I1232">SUMIF(A:A,A1232,F:F)</f>
        <v>32019.260000000006</v>
      </c>
      <c r="J1232">
        <f t="array" ref="J1232">5 - INT(5 * (RANK(G1232,G:G, 1) - 1) / COUNT(G:G))</f>
        <v>3</v>
      </c>
      <c r="K1232">
        <f t="array" ref="K1232">INT(5 * (RANK(H1232,H:H, 0) - 1) / COUNT(H:H)) + 1</f>
        <v>3</v>
      </c>
      <c r="L1232">
        <f t="array" ref="L1232">INT(5 * (RANK(I1232,I:I, 0) - 1) / COUNT(I:I)) + 1</f>
        <v>3</v>
      </c>
      <c r="M1232" t="str">
        <f t="shared" si="38"/>
        <v>333</v>
      </c>
      <c r="N1232" s="6" t="str">
        <f t="shared" si="39"/>
        <v>Others</v>
      </c>
    </row>
    <row r="1233" spans="1:14" x14ac:dyDescent="0.35">
      <c r="A1233">
        <v>1037</v>
      </c>
      <c r="B1233" s="4">
        <v>45712.375085336993</v>
      </c>
      <c r="C1233" t="s">
        <v>9</v>
      </c>
      <c r="D1233" t="s">
        <v>19</v>
      </c>
      <c r="E1233" t="s">
        <v>24</v>
      </c>
      <c r="F1233">
        <v>2365.88</v>
      </c>
      <c r="G1233">
        <f t="array" ref="G1233">SalesData!$I$2 - 'RFM Table'!B1233</f>
        <v>424</v>
      </c>
      <c r="H1233">
        <f t="array" ref="H1233">COUNTIF(A:A,A1233)</f>
        <v>9</v>
      </c>
      <c r="I1233">
        <f t="array" ref="I1233">SUMIF(A:A,A1233,F:F)</f>
        <v>42109.760000000002</v>
      </c>
      <c r="J1233">
        <f t="array" ref="J1233">5 - INT(5 * (RANK(G1233,G:G, 1) - 1) / COUNT(G:G))</f>
        <v>3</v>
      </c>
      <c r="K1233">
        <f t="array" ref="K1233">INT(5 * (RANK(H1233,H:H, 0) - 1) / COUNT(H:H)) + 1</f>
        <v>2</v>
      </c>
      <c r="L1233">
        <f t="array" ref="L1233">INT(5 * (RANK(I1233,I:I, 0) - 1) / COUNT(I:I)) + 1</f>
        <v>2</v>
      </c>
      <c r="M1233" t="str">
        <f t="shared" si="38"/>
        <v>322</v>
      </c>
      <c r="N1233" s="6" t="str">
        <f t="shared" si="39"/>
        <v>Others</v>
      </c>
    </row>
    <row r="1234" spans="1:14" x14ac:dyDescent="0.35">
      <c r="A1234">
        <v>1214</v>
      </c>
      <c r="B1234" s="4">
        <v>45713.375085336993</v>
      </c>
      <c r="C1234" t="s">
        <v>6</v>
      </c>
      <c r="D1234" t="s">
        <v>16</v>
      </c>
      <c r="E1234" t="s">
        <v>25</v>
      </c>
      <c r="F1234">
        <v>1564.63</v>
      </c>
      <c r="G1234">
        <f t="array" ref="G1234">SalesData!$I$2 - 'RFM Table'!B1234</f>
        <v>423</v>
      </c>
      <c r="H1234">
        <f t="array" ref="H1234">COUNTIF(A:A,A1234)</f>
        <v>12</v>
      </c>
      <c r="I1234">
        <f t="array" ref="I1234">SUMIF(A:A,A1234,F:F)</f>
        <v>49382.650000000009</v>
      </c>
      <c r="J1234">
        <f t="array" ref="J1234">5 - INT(5 * (RANK(G1234,G:G, 1) - 1) / COUNT(G:G))</f>
        <v>3</v>
      </c>
      <c r="K1234">
        <f t="array" ref="K1234">INT(5 * (RANK(H1234,H:H, 0) - 1) / COUNT(H:H)) + 1</f>
        <v>1</v>
      </c>
      <c r="L1234">
        <f t="array" ref="L1234">INT(5 * (RANK(I1234,I:I, 0) - 1) / COUNT(I:I)) + 1</f>
        <v>1</v>
      </c>
      <c r="M1234" t="str">
        <f t="shared" si="38"/>
        <v>311</v>
      </c>
      <c r="N1234" s="6" t="str">
        <f t="shared" si="39"/>
        <v>Others</v>
      </c>
    </row>
    <row r="1235" spans="1:14" x14ac:dyDescent="0.35">
      <c r="A1235">
        <v>1234</v>
      </c>
      <c r="B1235" s="4">
        <v>45713.375085336993</v>
      </c>
      <c r="C1235" t="s">
        <v>9</v>
      </c>
      <c r="D1235" t="s">
        <v>19</v>
      </c>
      <c r="E1235" t="s">
        <v>23</v>
      </c>
      <c r="F1235">
        <v>3199.58</v>
      </c>
      <c r="G1235">
        <f t="array" ref="G1235">SalesData!$I$2 - 'RFM Table'!B1235</f>
        <v>423</v>
      </c>
      <c r="H1235">
        <f t="array" ref="H1235">COUNTIF(A:A,A1235)</f>
        <v>5</v>
      </c>
      <c r="I1235">
        <f t="array" ref="I1235">SUMIF(A:A,A1235,F:F)</f>
        <v>18834.370000000003</v>
      </c>
      <c r="J1235">
        <f t="array" ref="J1235">5 - INT(5 * (RANK(G1235,G:G, 1) - 1) / COUNT(G:G))</f>
        <v>3</v>
      </c>
      <c r="K1235">
        <f t="array" ref="K1235">INT(5 * (RANK(H1235,H:H, 0) - 1) / COUNT(H:H)) + 1</f>
        <v>5</v>
      </c>
      <c r="L1235">
        <f t="array" ref="L1235">INT(5 * (RANK(I1235,I:I, 0) - 1) / COUNT(I:I)) + 1</f>
        <v>5</v>
      </c>
      <c r="M1235" t="str">
        <f t="shared" si="38"/>
        <v>355</v>
      </c>
      <c r="N1235" s="6" t="str">
        <f t="shared" si="39"/>
        <v>Others</v>
      </c>
    </row>
    <row r="1236" spans="1:14" x14ac:dyDescent="0.35">
      <c r="A1236">
        <v>1160</v>
      </c>
      <c r="B1236" s="4">
        <v>45713.375085336993</v>
      </c>
      <c r="C1236" t="s">
        <v>14</v>
      </c>
      <c r="D1236" t="s">
        <v>21</v>
      </c>
      <c r="E1236" t="s">
        <v>24</v>
      </c>
      <c r="F1236">
        <v>3022.21</v>
      </c>
      <c r="G1236">
        <f t="array" ref="G1236">SalesData!$I$2 - 'RFM Table'!B1236</f>
        <v>423</v>
      </c>
      <c r="H1236">
        <f t="array" ref="H1236">COUNTIF(A:A,A1236)</f>
        <v>13</v>
      </c>
      <c r="I1236">
        <f t="array" ref="I1236">SUMIF(A:A,A1236,F:F)</f>
        <v>56128.799999999996</v>
      </c>
      <c r="J1236">
        <f t="array" ref="J1236">5 - INT(5 * (RANK(G1236,G:G, 1) - 1) / COUNT(G:G))</f>
        <v>3</v>
      </c>
      <c r="K1236">
        <f t="array" ref="K1236">INT(5 * (RANK(H1236,H:H, 0) - 1) / COUNT(H:H)) + 1</f>
        <v>1</v>
      </c>
      <c r="L1236">
        <f t="array" ref="L1236">INT(5 * (RANK(I1236,I:I, 0) - 1) / COUNT(I:I)) + 1</f>
        <v>1</v>
      </c>
      <c r="M1236" t="str">
        <f t="shared" si="38"/>
        <v>311</v>
      </c>
      <c r="N1236" s="6" t="str">
        <f t="shared" si="39"/>
        <v>Others</v>
      </c>
    </row>
    <row r="1237" spans="1:14" x14ac:dyDescent="0.35">
      <c r="A1237">
        <v>1344</v>
      </c>
      <c r="B1237" s="4">
        <v>45713.375085336993</v>
      </c>
      <c r="C1237" t="s">
        <v>11</v>
      </c>
      <c r="D1237" t="s">
        <v>17</v>
      </c>
      <c r="E1237" t="s">
        <v>25</v>
      </c>
      <c r="F1237">
        <v>1370.41</v>
      </c>
      <c r="G1237">
        <f t="array" ref="G1237">SalesData!$I$2 - 'RFM Table'!B1237</f>
        <v>423</v>
      </c>
      <c r="H1237">
        <f t="array" ref="H1237">COUNTIF(A:A,A1237)</f>
        <v>9</v>
      </c>
      <c r="I1237">
        <f t="array" ref="I1237">SUMIF(A:A,A1237,F:F)</f>
        <v>23905.670000000002</v>
      </c>
      <c r="J1237">
        <f t="array" ref="J1237">5 - INT(5 * (RANK(G1237,G:G, 1) - 1) / COUNT(G:G))</f>
        <v>3</v>
      </c>
      <c r="K1237">
        <f t="array" ref="K1237">INT(5 * (RANK(H1237,H:H, 0) - 1) / COUNT(H:H)) + 1</f>
        <v>2</v>
      </c>
      <c r="L1237">
        <f t="array" ref="L1237">INT(5 * (RANK(I1237,I:I, 0) - 1) / COUNT(I:I)) + 1</f>
        <v>4</v>
      </c>
      <c r="M1237" t="str">
        <f t="shared" si="38"/>
        <v>324</v>
      </c>
      <c r="N1237" s="6" t="str">
        <f t="shared" si="39"/>
        <v>Others</v>
      </c>
    </row>
    <row r="1238" spans="1:14" x14ac:dyDescent="0.35">
      <c r="A1238">
        <v>1125</v>
      </c>
      <c r="B1238" s="4">
        <v>45714.375085336993</v>
      </c>
      <c r="C1238" t="s">
        <v>9</v>
      </c>
      <c r="D1238" t="s">
        <v>16</v>
      </c>
      <c r="E1238" t="s">
        <v>25</v>
      </c>
      <c r="F1238">
        <v>1815.7</v>
      </c>
      <c r="G1238">
        <f t="array" ref="G1238">SalesData!$I$2 - 'RFM Table'!B1238</f>
        <v>422</v>
      </c>
      <c r="H1238">
        <f t="array" ref="H1238">COUNTIF(A:A,A1238)</f>
        <v>9</v>
      </c>
      <c r="I1238">
        <f t="array" ref="I1238">SUMIF(A:A,A1238,F:F)</f>
        <v>32520.350000000002</v>
      </c>
      <c r="J1238">
        <f t="array" ref="J1238">5 - INT(5 * (RANK(G1238,G:G, 1) - 1) / COUNT(G:G))</f>
        <v>3</v>
      </c>
      <c r="K1238">
        <f t="array" ref="K1238">INT(5 * (RANK(H1238,H:H, 0) - 1) / COUNT(H:H)) + 1</f>
        <v>2</v>
      </c>
      <c r="L1238">
        <f t="array" ref="L1238">INT(5 * (RANK(I1238,I:I, 0) - 1) / COUNT(I:I)) + 1</f>
        <v>3</v>
      </c>
      <c r="M1238" t="str">
        <f t="shared" si="38"/>
        <v>323</v>
      </c>
      <c r="N1238" s="6" t="str">
        <f t="shared" si="39"/>
        <v>Others</v>
      </c>
    </row>
    <row r="1239" spans="1:14" x14ac:dyDescent="0.35">
      <c r="A1239">
        <v>1272</v>
      </c>
      <c r="B1239" s="4">
        <v>45714.375085336993</v>
      </c>
      <c r="C1239" t="s">
        <v>7</v>
      </c>
      <c r="D1239" t="s">
        <v>17</v>
      </c>
      <c r="E1239" t="s">
        <v>23</v>
      </c>
      <c r="F1239">
        <v>515.77</v>
      </c>
      <c r="G1239">
        <f t="array" ref="G1239">SalesData!$I$2 - 'RFM Table'!B1239</f>
        <v>422</v>
      </c>
      <c r="H1239">
        <f t="array" ref="H1239">COUNTIF(A:A,A1239)</f>
        <v>10</v>
      </c>
      <c r="I1239">
        <f t="array" ref="I1239">SUMIF(A:A,A1239,F:F)</f>
        <v>54972.43</v>
      </c>
      <c r="J1239">
        <f t="array" ref="J1239">5 - INT(5 * (RANK(G1239,G:G, 1) - 1) / COUNT(G:G))</f>
        <v>3</v>
      </c>
      <c r="K1239">
        <f t="array" ref="K1239">INT(5 * (RANK(H1239,H:H, 0) - 1) / COUNT(H:H)) + 1</f>
        <v>2</v>
      </c>
      <c r="L1239">
        <f t="array" ref="L1239">INT(5 * (RANK(I1239,I:I, 0) - 1) / COUNT(I:I)) + 1</f>
        <v>1</v>
      </c>
      <c r="M1239" t="str">
        <f t="shared" si="38"/>
        <v>321</v>
      </c>
      <c r="N1239" s="6" t="str">
        <f t="shared" si="39"/>
        <v>Others</v>
      </c>
    </row>
    <row r="1240" spans="1:14" x14ac:dyDescent="0.35">
      <c r="A1240">
        <v>1020</v>
      </c>
      <c r="B1240" s="4">
        <v>45715.375085336993</v>
      </c>
      <c r="C1240" t="s">
        <v>15</v>
      </c>
      <c r="D1240" t="s">
        <v>18</v>
      </c>
      <c r="E1240" t="s">
        <v>25</v>
      </c>
      <c r="F1240">
        <v>1909.41</v>
      </c>
      <c r="G1240">
        <f t="array" ref="G1240">SalesData!$I$2 - 'RFM Table'!B1240</f>
        <v>421</v>
      </c>
      <c r="H1240">
        <f t="array" ref="H1240">COUNTIF(A:A,A1240)</f>
        <v>6</v>
      </c>
      <c r="I1240">
        <f t="array" ref="I1240">SUMIF(A:A,A1240,F:F)</f>
        <v>22687.77</v>
      </c>
      <c r="J1240">
        <f t="array" ref="J1240">5 - INT(5 * (RANK(G1240,G:G, 1) - 1) / COUNT(G:G))</f>
        <v>3</v>
      </c>
      <c r="K1240">
        <f t="array" ref="K1240">INT(5 * (RANK(H1240,H:H, 0) - 1) / COUNT(H:H)) + 1</f>
        <v>4</v>
      </c>
      <c r="L1240">
        <f t="array" ref="L1240">INT(5 * (RANK(I1240,I:I, 0) - 1) / COUNT(I:I)) + 1</f>
        <v>4</v>
      </c>
      <c r="M1240" t="str">
        <f t="shared" si="38"/>
        <v>344</v>
      </c>
      <c r="N1240" s="6" t="str">
        <f t="shared" si="39"/>
        <v>Others</v>
      </c>
    </row>
    <row r="1241" spans="1:14" x14ac:dyDescent="0.35">
      <c r="A1241">
        <v>1380</v>
      </c>
      <c r="B1241" s="4">
        <v>45715.375085336993</v>
      </c>
      <c r="C1241" t="s">
        <v>6</v>
      </c>
      <c r="D1241" t="s">
        <v>19</v>
      </c>
      <c r="E1241" t="s">
        <v>24</v>
      </c>
      <c r="F1241">
        <v>446.64</v>
      </c>
      <c r="G1241">
        <f t="array" ref="G1241">SalesData!$I$2 - 'RFM Table'!B1241</f>
        <v>421</v>
      </c>
      <c r="H1241">
        <f t="array" ref="H1241">COUNTIF(A:A,A1241)</f>
        <v>9</v>
      </c>
      <c r="I1241">
        <f t="array" ref="I1241">SUMIF(A:A,A1241,F:F)</f>
        <v>40711.57</v>
      </c>
      <c r="J1241">
        <f t="array" ref="J1241">5 - INT(5 * (RANK(G1241,G:G, 1) - 1) / COUNT(G:G))</f>
        <v>3</v>
      </c>
      <c r="K1241">
        <f t="array" ref="K1241">INT(5 * (RANK(H1241,H:H, 0) - 1) / COUNT(H:H)) + 1</f>
        <v>2</v>
      </c>
      <c r="L1241">
        <f t="array" ref="L1241">INT(5 * (RANK(I1241,I:I, 0) - 1) / COUNT(I:I)) + 1</f>
        <v>2</v>
      </c>
      <c r="M1241" t="str">
        <f t="shared" si="38"/>
        <v>322</v>
      </c>
      <c r="N1241" s="6" t="str">
        <f t="shared" si="39"/>
        <v>Others</v>
      </c>
    </row>
    <row r="1242" spans="1:14" x14ac:dyDescent="0.35">
      <c r="A1242">
        <v>1117</v>
      </c>
      <c r="B1242" s="4">
        <v>45716.375085336993</v>
      </c>
      <c r="C1242" t="s">
        <v>10</v>
      </c>
      <c r="D1242" t="s">
        <v>16</v>
      </c>
      <c r="E1242" t="s">
        <v>24</v>
      </c>
      <c r="F1242">
        <v>5084.26</v>
      </c>
      <c r="G1242">
        <f t="array" ref="G1242">SalesData!$I$2 - 'RFM Table'!B1242</f>
        <v>420</v>
      </c>
      <c r="H1242">
        <f t="array" ref="H1242">COUNTIF(A:A,A1242)</f>
        <v>10</v>
      </c>
      <c r="I1242">
        <f t="array" ref="I1242">SUMIF(A:A,A1242,F:F)</f>
        <v>47973.33</v>
      </c>
      <c r="J1242">
        <f t="array" ref="J1242">5 - INT(5 * (RANK(G1242,G:G, 1) - 1) / COUNT(G:G))</f>
        <v>3</v>
      </c>
      <c r="K1242">
        <f t="array" ref="K1242">INT(5 * (RANK(H1242,H:H, 0) - 1) / COUNT(H:H)) + 1</f>
        <v>2</v>
      </c>
      <c r="L1242">
        <f t="array" ref="L1242">INT(5 * (RANK(I1242,I:I, 0) - 1) / COUNT(I:I)) + 1</f>
        <v>1</v>
      </c>
      <c r="M1242" t="str">
        <f t="shared" si="38"/>
        <v>321</v>
      </c>
      <c r="N1242" s="6" t="str">
        <f t="shared" si="39"/>
        <v>Others</v>
      </c>
    </row>
    <row r="1243" spans="1:14" x14ac:dyDescent="0.35">
      <c r="A1243">
        <v>1269</v>
      </c>
      <c r="B1243" s="4">
        <v>45716.375085336993</v>
      </c>
      <c r="C1243" t="s">
        <v>13</v>
      </c>
      <c r="D1243" t="s">
        <v>21</v>
      </c>
      <c r="E1243" t="s">
        <v>23</v>
      </c>
      <c r="F1243">
        <v>1552.25</v>
      </c>
      <c r="G1243">
        <f t="array" ref="G1243">SalesData!$I$2 - 'RFM Table'!B1243</f>
        <v>420</v>
      </c>
      <c r="H1243">
        <f t="array" ref="H1243">COUNTIF(A:A,A1243)</f>
        <v>6</v>
      </c>
      <c r="I1243">
        <f t="array" ref="I1243">SUMIF(A:A,A1243,F:F)</f>
        <v>25651.410000000003</v>
      </c>
      <c r="J1243">
        <f t="array" ref="J1243">5 - INT(5 * (RANK(G1243,G:G, 1) - 1) / COUNT(G:G))</f>
        <v>3</v>
      </c>
      <c r="K1243">
        <f t="array" ref="K1243">INT(5 * (RANK(H1243,H:H, 0) - 1) / COUNT(H:H)) + 1</f>
        <v>4</v>
      </c>
      <c r="L1243">
        <f t="array" ref="L1243">INT(5 * (RANK(I1243,I:I, 0) - 1) / COUNT(I:I)) + 1</f>
        <v>4</v>
      </c>
      <c r="M1243" t="str">
        <f t="shared" si="38"/>
        <v>344</v>
      </c>
      <c r="N1243" s="6" t="str">
        <f t="shared" si="39"/>
        <v>Others</v>
      </c>
    </row>
    <row r="1244" spans="1:14" x14ac:dyDescent="0.35">
      <c r="A1244">
        <v>1094</v>
      </c>
      <c r="B1244" s="4">
        <v>45716.375085336993</v>
      </c>
      <c r="C1244" t="s">
        <v>15</v>
      </c>
      <c r="D1244" t="s">
        <v>22</v>
      </c>
      <c r="E1244" t="s">
        <v>23</v>
      </c>
      <c r="F1244">
        <v>7713.57</v>
      </c>
      <c r="G1244">
        <f t="array" ref="G1244">SalesData!$I$2 - 'RFM Table'!B1244</f>
        <v>420</v>
      </c>
      <c r="H1244">
        <f t="array" ref="H1244">COUNTIF(A:A,A1244)</f>
        <v>10</v>
      </c>
      <c r="I1244">
        <f t="array" ref="I1244">SUMIF(A:A,A1244,F:F)</f>
        <v>41704.25</v>
      </c>
      <c r="J1244">
        <f t="array" ref="J1244">5 - INT(5 * (RANK(G1244,G:G, 1) - 1) / COUNT(G:G))</f>
        <v>3</v>
      </c>
      <c r="K1244">
        <f t="array" ref="K1244">INT(5 * (RANK(H1244,H:H, 0) - 1) / COUNT(H:H)) + 1</f>
        <v>2</v>
      </c>
      <c r="L1244">
        <f t="array" ref="L1244">INT(5 * (RANK(I1244,I:I, 0) - 1) / COUNT(I:I)) + 1</f>
        <v>2</v>
      </c>
      <c r="M1244" t="str">
        <f t="shared" si="38"/>
        <v>322</v>
      </c>
      <c r="N1244" s="6" t="str">
        <f t="shared" si="39"/>
        <v>Others</v>
      </c>
    </row>
    <row r="1245" spans="1:14" x14ac:dyDescent="0.35">
      <c r="A1245">
        <v>1226</v>
      </c>
      <c r="B1245" s="4">
        <v>45716.375085336993</v>
      </c>
      <c r="C1245" t="s">
        <v>6</v>
      </c>
      <c r="D1245" t="s">
        <v>21</v>
      </c>
      <c r="E1245" t="s">
        <v>25</v>
      </c>
      <c r="F1245">
        <v>8221.7099999999991</v>
      </c>
      <c r="G1245">
        <f t="array" ref="G1245">SalesData!$I$2 - 'RFM Table'!B1245</f>
        <v>420</v>
      </c>
      <c r="H1245">
        <f t="array" ref="H1245">COUNTIF(A:A,A1245)</f>
        <v>13</v>
      </c>
      <c r="I1245">
        <f t="array" ref="I1245">SUMIF(A:A,A1245,F:F)</f>
        <v>49471.75</v>
      </c>
      <c r="J1245">
        <f t="array" ref="J1245">5 - INT(5 * (RANK(G1245,G:G, 1) - 1) / COUNT(G:G))</f>
        <v>3</v>
      </c>
      <c r="K1245">
        <f t="array" ref="K1245">INT(5 * (RANK(H1245,H:H, 0) - 1) / COUNT(H:H)) + 1</f>
        <v>1</v>
      </c>
      <c r="L1245">
        <f t="array" ref="L1245">INT(5 * (RANK(I1245,I:I, 0) - 1) / COUNT(I:I)) + 1</f>
        <v>1</v>
      </c>
      <c r="M1245" t="str">
        <f t="shared" si="38"/>
        <v>311</v>
      </c>
      <c r="N1245" s="6" t="str">
        <f t="shared" si="39"/>
        <v>Others</v>
      </c>
    </row>
    <row r="1246" spans="1:14" x14ac:dyDescent="0.35">
      <c r="A1246">
        <v>1236</v>
      </c>
      <c r="B1246" s="4">
        <v>45716.375085336993</v>
      </c>
      <c r="C1246" t="s">
        <v>11</v>
      </c>
      <c r="D1246" t="s">
        <v>18</v>
      </c>
      <c r="E1246" t="s">
        <v>24</v>
      </c>
      <c r="F1246">
        <v>4134.09</v>
      </c>
      <c r="G1246">
        <f t="array" ref="G1246">SalesData!$I$2 - 'RFM Table'!B1246</f>
        <v>420</v>
      </c>
      <c r="H1246">
        <f t="array" ref="H1246">COUNTIF(A:A,A1246)</f>
        <v>10</v>
      </c>
      <c r="I1246">
        <f t="array" ref="I1246">SUMIF(A:A,A1246,F:F)</f>
        <v>40760.559999999998</v>
      </c>
      <c r="J1246">
        <f t="array" ref="J1246">5 - INT(5 * (RANK(G1246,G:G, 1) - 1) / COUNT(G:G))</f>
        <v>3</v>
      </c>
      <c r="K1246">
        <f t="array" ref="K1246">INT(5 * (RANK(H1246,H:H, 0) - 1) / COUNT(H:H)) + 1</f>
        <v>2</v>
      </c>
      <c r="L1246">
        <f t="array" ref="L1246">INT(5 * (RANK(I1246,I:I, 0) - 1) / COUNT(I:I)) + 1</f>
        <v>2</v>
      </c>
      <c r="M1246" t="str">
        <f t="shared" si="38"/>
        <v>322</v>
      </c>
      <c r="N1246" s="6" t="str">
        <f t="shared" si="39"/>
        <v>Others</v>
      </c>
    </row>
    <row r="1247" spans="1:14" x14ac:dyDescent="0.35">
      <c r="A1247">
        <v>1114</v>
      </c>
      <c r="B1247" s="4">
        <v>45717.375085336993</v>
      </c>
      <c r="C1247" t="s">
        <v>6</v>
      </c>
      <c r="D1247" t="s">
        <v>21</v>
      </c>
      <c r="E1247" t="s">
        <v>23</v>
      </c>
      <c r="F1247">
        <v>7695.18</v>
      </c>
      <c r="G1247">
        <f t="array" ref="G1247">SalesData!$I$2 - 'RFM Table'!B1247</f>
        <v>419</v>
      </c>
      <c r="H1247">
        <f t="array" ref="H1247">COUNTIF(A:A,A1247)</f>
        <v>5</v>
      </c>
      <c r="I1247">
        <f t="array" ref="I1247">SUMIF(A:A,A1247,F:F)</f>
        <v>26334.340000000004</v>
      </c>
      <c r="J1247">
        <f t="array" ref="J1247">5 - INT(5 * (RANK(G1247,G:G, 1) - 1) / COUNT(G:G))</f>
        <v>3</v>
      </c>
      <c r="K1247">
        <f t="array" ref="K1247">INT(5 * (RANK(H1247,H:H, 0) - 1) / COUNT(H:H)) + 1</f>
        <v>5</v>
      </c>
      <c r="L1247">
        <f t="array" ref="L1247">INT(5 * (RANK(I1247,I:I, 0) - 1) / COUNT(I:I)) + 1</f>
        <v>4</v>
      </c>
      <c r="M1247" t="str">
        <f t="shared" si="38"/>
        <v>354</v>
      </c>
      <c r="N1247" s="6" t="str">
        <f t="shared" si="39"/>
        <v>Others</v>
      </c>
    </row>
    <row r="1248" spans="1:14" x14ac:dyDescent="0.35">
      <c r="A1248">
        <v>1047</v>
      </c>
      <c r="B1248" s="4">
        <v>45718.375085336993</v>
      </c>
      <c r="C1248" t="s">
        <v>13</v>
      </c>
      <c r="D1248" t="s">
        <v>17</v>
      </c>
      <c r="E1248" t="s">
        <v>25</v>
      </c>
      <c r="F1248">
        <v>4795.17</v>
      </c>
      <c r="G1248">
        <f t="array" ref="G1248">SalesData!$I$2 - 'RFM Table'!B1248</f>
        <v>418</v>
      </c>
      <c r="H1248">
        <f t="array" ref="H1248">COUNTIF(A:A,A1248)</f>
        <v>4</v>
      </c>
      <c r="I1248">
        <f t="array" ref="I1248">SUMIF(A:A,A1248,F:F)</f>
        <v>16102.51</v>
      </c>
      <c r="J1248">
        <f t="array" ref="J1248">5 - INT(5 * (RANK(G1248,G:G, 1) - 1) / COUNT(G:G))</f>
        <v>3</v>
      </c>
      <c r="K1248">
        <f t="array" ref="K1248">INT(5 * (RANK(H1248,H:H, 0) - 1) / COUNT(H:H)) + 1</f>
        <v>5</v>
      </c>
      <c r="L1248">
        <f t="array" ref="L1248">INT(5 * (RANK(I1248,I:I, 0) - 1) / COUNT(I:I)) + 1</f>
        <v>5</v>
      </c>
      <c r="M1248" t="str">
        <f t="shared" si="38"/>
        <v>355</v>
      </c>
      <c r="N1248" s="6" t="str">
        <f t="shared" si="39"/>
        <v>Others</v>
      </c>
    </row>
    <row r="1249" spans="1:14" x14ac:dyDescent="0.35">
      <c r="A1249">
        <v>1364</v>
      </c>
      <c r="B1249" s="4">
        <v>45718.375085336993</v>
      </c>
      <c r="C1249" t="s">
        <v>15</v>
      </c>
      <c r="D1249" t="s">
        <v>19</v>
      </c>
      <c r="E1249" t="s">
        <v>25</v>
      </c>
      <c r="F1249">
        <v>5630.95</v>
      </c>
      <c r="G1249">
        <f t="array" ref="G1249">SalesData!$I$2 - 'RFM Table'!B1249</f>
        <v>418</v>
      </c>
      <c r="H1249">
        <f t="array" ref="H1249">COUNTIF(A:A,A1249)</f>
        <v>11</v>
      </c>
      <c r="I1249">
        <f t="array" ref="I1249">SUMIF(A:A,A1249,F:F)</f>
        <v>39674.43</v>
      </c>
      <c r="J1249">
        <f t="array" ref="J1249">5 - INT(5 * (RANK(G1249,G:G, 1) - 1) / COUNT(G:G))</f>
        <v>3</v>
      </c>
      <c r="K1249">
        <f t="array" ref="K1249">INT(5 * (RANK(H1249,H:H, 0) - 1) / COUNT(H:H)) + 1</f>
        <v>1</v>
      </c>
      <c r="L1249">
        <f t="array" ref="L1249">INT(5 * (RANK(I1249,I:I, 0) - 1) / COUNT(I:I)) + 1</f>
        <v>2</v>
      </c>
      <c r="M1249" t="str">
        <f t="shared" si="38"/>
        <v>312</v>
      </c>
      <c r="N1249" s="6" t="str">
        <f t="shared" si="39"/>
        <v>Others</v>
      </c>
    </row>
    <row r="1250" spans="1:14" x14ac:dyDescent="0.35">
      <c r="A1250">
        <v>1028</v>
      </c>
      <c r="B1250" s="4">
        <v>45718.375085336993</v>
      </c>
      <c r="C1250" t="s">
        <v>7</v>
      </c>
      <c r="D1250" t="s">
        <v>16</v>
      </c>
      <c r="E1250" t="s">
        <v>25</v>
      </c>
      <c r="F1250">
        <v>1242.3</v>
      </c>
      <c r="G1250">
        <f t="array" ref="G1250">SalesData!$I$2 - 'RFM Table'!B1250</f>
        <v>418</v>
      </c>
      <c r="H1250">
        <f t="array" ref="H1250">COUNTIF(A:A,A1250)</f>
        <v>10</v>
      </c>
      <c r="I1250">
        <f t="array" ref="I1250">SUMIF(A:A,A1250,F:F)</f>
        <v>37984.589999999997</v>
      </c>
      <c r="J1250">
        <f t="array" ref="J1250">5 - INT(5 * (RANK(G1250,G:G, 1) - 1) / COUNT(G:G))</f>
        <v>3</v>
      </c>
      <c r="K1250">
        <f t="array" ref="K1250">INT(5 * (RANK(H1250,H:H, 0) - 1) / COUNT(H:H)) + 1</f>
        <v>2</v>
      </c>
      <c r="L1250">
        <f t="array" ref="L1250">INT(5 * (RANK(I1250,I:I, 0) - 1) / COUNT(I:I)) + 1</f>
        <v>2</v>
      </c>
      <c r="M1250" t="str">
        <f t="shared" si="38"/>
        <v>322</v>
      </c>
      <c r="N1250" s="6" t="str">
        <f t="shared" si="39"/>
        <v>Others</v>
      </c>
    </row>
    <row r="1251" spans="1:14" x14ac:dyDescent="0.35">
      <c r="A1251">
        <v>1261</v>
      </c>
      <c r="B1251" s="4">
        <v>45718.375085336993</v>
      </c>
      <c r="C1251" t="s">
        <v>7</v>
      </c>
      <c r="D1251" t="s">
        <v>22</v>
      </c>
      <c r="E1251" t="s">
        <v>23</v>
      </c>
      <c r="F1251">
        <v>886.54</v>
      </c>
      <c r="G1251">
        <f t="array" ref="G1251">SalesData!$I$2 - 'RFM Table'!B1251</f>
        <v>418</v>
      </c>
      <c r="H1251">
        <f t="array" ref="H1251">COUNTIF(A:A,A1251)</f>
        <v>8</v>
      </c>
      <c r="I1251">
        <f t="array" ref="I1251">SUMIF(A:A,A1251,F:F)</f>
        <v>28310.01</v>
      </c>
      <c r="J1251">
        <f t="array" ref="J1251">5 - INT(5 * (RANK(G1251,G:G, 1) - 1) / COUNT(G:G))</f>
        <v>3</v>
      </c>
      <c r="K1251">
        <f t="array" ref="K1251">INT(5 * (RANK(H1251,H:H, 0) - 1) / COUNT(H:H)) + 1</f>
        <v>3</v>
      </c>
      <c r="L1251">
        <f t="array" ref="L1251">INT(5 * (RANK(I1251,I:I, 0) - 1) / COUNT(I:I)) + 1</f>
        <v>4</v>
      </c>
      <c r="M1251" t="str">
        <f t="shared" si="38"/>
        <v>334</v>
      </c>
      <c r="N1251" s="6" t="str">
        <f t="shared" si="39"/>
        <v>Others</v>
      </c>
    </row>
    <row r="1252" spans="1:14" x14ac:dyDescent="0.35">
      <c r="A1252">
        <v>1190</v>
      </c>
      <c r="B1252" s="4">
        <v>45718.375085336993</v>
      </c>
      <c r="C1252" t="s">
        <v>11</v>
      </c>
      <c r="D1252" t="s">
        <v>21</v>
      </c>
      <c r="E1252" t="s">
        <v>24</v>
      </c>
      <c r="F1252">
        <v>5923.37</v>
      </c>
      <c r="G1252">
        <f t="array" ref="G1252">SalesData!$I$2 - 'RFM Table'!B1252</f>
        <v>418</v>
      </c>
      <c r="H1252">
        <f t="array" ref="H1252">COUNTIF(A:A,A1252)</f>
        <v>7</v>
      </c>
      <c r="I1252">
        <f t="array" ref="I1252">SUMIF(A:A,A1252,F:F)</f>
        <v>21031.63</v>
      </c>
      <c r="J1252">
        <f t="array" ref="J1252">5 - INT(5 * (RANK(G1252,G:G, 1) - 1) / COUNT(G:G))</f>
        <v>3</v>
      </c>
      <c r="K1252">
        <f t="array" ref="K1252">INT(5 * (RANK(H1252,H:H, 0) - 1) / COUNT(H:H)) + 1</f>
        <v>4</v>
      </c>
      <c r="L1252">
        <f t="array" ref="L1252">INT(5 * (RANK(I1252,I:I, 0) - 1) / COUNT(I:I)) + 1</f>
        <v>5</v>
      </c>
      <c r="M1252" t="str">
        <f t="shared" si="38"/>
        <v>345</v>
      </c>
      <c r="N1252" s="6" t="str">
        <f t="shared" si="39"/>
        <v>Others</v>
      </c>
    </row>
    <row r="1253" spans="1:14" x14ac:dyDescent="0.35">
      <c r="A1253">
        <v>1208</v>
      </c>
      <c r="B1253" s="4">
        <v>45718.375085336993</v>
      </c>
      <c r="C1253" t="s">
        <v>11</v>
      </c>
      <c r="D1253" t="s">
        <v>22</v>
      </c>
      <c r="E1253" t="s">
        <v>23</v>
      </c>
      <c r="F1253">
        <v>6962.77</v>
      </c>
      <c r="G1253">
        <f t="array" ref="G1253">SalesData!$I$2 - 'RFM Table'!B1253</f>
        <v>418</v>
      </c>
      <c r="H1253">
        <f t="array" ref="H1253">COUNTIF(A:A,A1253)</f>
        <v>5</v>
      </c>
      <c r="I1253">
        <f t="array" ref="I1253">SUMIF(A:A,A1253,F:F)</f>
        <v>25493.58</v>
      </c>
      <c r="J1253">
        <f t="array" ref="J1253">5 - INT(5 * (RANK(G1253,G:G, 1) - 1) / COUNT(G:G))</f>
        <v>3</v>
      </c>
      <c r="K1253">
        <f t="array" ref="K1253">INT(5 * (RANK(H1253,H:H, 0) - 1) / COUNT(H:H)) + 1</f>
        <v>5</v>
      </c>
      <c r="L1253">
        <f t="array" ref="L1253">INT(5 * (RANK(I1253,I:I, 0) - 1) / COUNT(I:I)) + 1</f>
        <v>4</v>
      </c>
      <c r="M1253" t="str">
        <f t="shared" si="38"/>
        <v>354</v>
      </c>
      <c r="N1253" s="6" t="str">
        <f t="shared" si="39"/>
        <v>Others</v>
      </c>
    </row>
    <row r="1254" spans="1:14" x14ac:dyDescent="0.35">
      <c r="A1254">
        <v>1128</v>
      </c>
      <c r="B1254" s="4">
        <v>45718.375085336993</v>
      </c>
      <c r="C1254" t="s">
        <v>10</v>
      </c>
      <c r="D1254" t="s">
        <v>18</v>
      </c>
      <c r="E1254" t="s">
        <v>23</v>
      </c>
      <c r="F1254">
        <v>5014.51</v>
      </c>
      <c r="G1254">
        <f t="array" ref="G1254">SalesData!$I$2 - 'RFM Table'!B1254</f>
        <v>418</v>
      </c>
      <c r="H1254">
        <f t="array" ref="H1254">COUNTIF(A:A,A1254)</f>
        <v>8</v>
      </c>
      <c r="I1254">
        <f t="array" ref="I1254">SUMIF(A:A,A1254,F:F)</f>
        <v>36475.079999999994</v>
      </c>
      <c r="J1254">
        <f t="array" ref="J1254">5 - INT(5 * (RANK(G1254,G:G, 1) - 1) / COUNT(G:G))</f>
        <v>3</v>
      </c>
      <c r="K1254">
        <f t="array" ref="K1254">INT(5 * (RANK(H1254,H:H, 0) - 1) / COUNT(H:H)) + 1</f>
        <v>3</v>
      </c>
      <c r="L1254">
        <f t="array" ref="L1254">INT(5 * (RANK(I1254,I:I, 0) - 1) / COUNT(I:I)) + 1</f>
        <v>3</v>
      </c>
      <c r="M1254" t="str">
        <f t="shared" si="38"/>
        <v>333</v>
      </c>
      <c r="N1254" s="6" t="str">
        <f t="shared" si="39"/>
        <v>Others</v>
      </c>
    </row>
    <row r="1255" spans="1:14" x14ac:dyDescent="0.35">
      <c r="A1255">
        <v>1229</v>
      </c>
      <c r="B1255" s="4">
        <v>45718.375085336993</v>
      </c>
      <c r="C1255" t="s">
        <v>14</v>
      </c>
      <c r="D1255" t="s">
        <v>21</v>
      </c>
      <c r="E1255" t="s">
        <v>24</v>
      </c>
      <c r="F1255">
        <v>4533.3599999999997</v>
      </c>
      <c r="G1255">
        <f t="array" ref="G1255">SalesData!$I$2 - 'RFM Table'!B1255</f>
        <v>418</v>
      </c>
      <c r="H1255">
        <f t="array" ref="H1255">COUNTIF(A:A,A1255)</f>
        <v>5</v>
      </c>
      <c r="I1255">
        <f t="array" ref="I1255">SUMIF(A:A,A1255,F:F)</f>
        <v>23857.670000000002</v>
      </c>
      <c r="J1255">
        <f t="array" ref="J1255">5 - INT(5 * (RANK(G1255,G:G, 1) - 1) / COUNT(G:G))</f>
        <v>3</v>
      </c>
      <c r="K1255">
        <f t="array" ref="K1255">INT(5 * (RANK(H1255,H:H, 0) - 1) / COUNT(H:H)) + 1</f>
        <v>5</v>
      </c>
      <c r="L1255">
        <f t="array" ref="L1255">INT(5 * (RANK(I1255,I:I, 0) - 1) / COUNT(I:I)) + 1</f>
        <v>4</v>
      </c>
      <c r="M1255" t="str">
        <f t="shared" si="38"/>
        <v>354</v>
      </c>
      <c r="N1255" s="6" t="str">
        <f t="shared" si="39"/>
        <v>Others</v>
      </c>
    </row>
    <row r="1256" spans="1:14" x14ac:dyDescent="0.35">
      <c r="A1256">
        <v>1374</v>
      </c>
      <c r="B1256" s="4">
        <v>45719.375085336993</v>
      </c>
      <c r="C1256" t="s">
        <v>8</v>
      </c>
      <c r="D1256" t="s">
        <v>18</v>
      </c>
      <c r="E1256" t="s">
        <v>25</v>
      </c>
      <c r="F1256">
        <v>709.51</v>
      </c>
      <c r="G1256">
        <f t="array" ref="G1256">SalesData!$I$2 - 'RFM Table'!B1256</f>
        <v>417</v>
      </c>
      <c r="H1256">
        <f t="array" ref="H1256">COUNTIF(A:A,A1256)</f>
        <v>6</v>
      </c>
      <c r="I1256">
        <f t="array" ref="I1256">SUMIF(A:A,A1256,F:F)</f>
        <v>17843.009999999998</v>
      </c>
      <c r="J1256">
        <f t="array" ref="J1256">5 - INT(5 * (RANK(G1256,G:G, 1) - 1) / COUNT(G:G))</f>
        <v>3</v>
      </c>
      <c r="K1256">
        <f t="array" ref="K1256">INT(5 * (RANK(H1256,H:H, 0) - 1) / COUNT(H:H)) + 1</f>
        <v>4</v>
      </c>
      <c r="L1256">
        <f t="array" ref="L1256">INT(5 * (RANK(I1256,I:I, 0) - 1) / COUNT(I:I)) + 1</f>
        <v>5</v>
      </c>
      <c r="M1256" t="str">
        <f t="shared" si="38"/>
        <v>345</v>
      </c>
      <c r="N1256" s="6" t="str">
        <f t="shared" si="39"/>
        <v>Others</v>
      </c>
    </row>
    <row r="1257" spans="1:14" x14ac:dyDescent="0.35">
      <c r="A1257">
        <v>1198</v>
      </c>
      <c r="B1257" s="4">
        <v>45719.375085336993</v>
      </c>
      <c r="C1257" t="s">
        <v>13</v>
      </c>
      <c r="D1257" t="s">
        <v>21</v>
      </c>
      <c r="E1257" t="s">
        <v>23</v>
      </c>
      <c r="F1257">
        <v>6244.94</v>
      </c>
      <c r="G1257">
        <f t="array" ref="G1257">SalesData!$I$2 - 'RFM Table'!B1257</f>
        <v>417</v>
      </c>
      <c r="H1257">
        <f t="array" ref="H1257">COUNTIF(A:A,A1257)</f>
        <v>5</v>
      </c>
      <c r="I1257">
        <f t="array" ref="I1257">SUMIF(A:A,A1257,F:F)</f>
        <v>25162.19</v>
      </c>
      <c r="J1257">
        <f t="array" ref="J1257">5 - INT(5 * (RANK(G1257,G:G, 1) - 1) / COUNT(G:G))</f>
        <v>3</v>
      </c>
      <c r="K1257">
        <f t="array" ref="K1257">INT(5 * (RANK(H1257,H:H, 0) - 1) / COUNT(H:H)) + 1</f>
        <v>5</v>
      </c>
      <c r="L1257">
        <f t="array" ref="L1257">INT(5 * (RANK(I1257,I:I, 0) - 1) / COUNT(I:I)) + 1</f>
        <v>4</v>
      </c>
      <c r="M1257" t="str">
        <f t="shared" si="38"/>
        <v>354</v>
      </c>
      <c r="N1257" s="6" t="str">
        <f t="shared" si="39"/>
        <v>Others</v>
      </c>
    </row>
    <row r="1258" spans="1:14" x14ac:dyDescent="0.35">
      <c r="A1258">
        <v>1130</v>
      </c>
      <c r="B1258" s="4">
        <v>45719.375085336993</v>
      </c>
      <c r="C1258" t="s">
        <v>6</v>
      </c>
      <c r="D1258" t="s">
        <v>21</v>
      </c>
      <c r="E1258" t="s">
        <v>24</v>
      </c>
      <c r="F1258">
        <v>7345.14</v>
      </c>
      <c r="G1258">
        <f t="array" ref="G1258">SalesData!$I$2 - 'RFM Table'!B1258</f>
        <v>417</v>
      </c>
      <c r="H1258">
        <f t="array" ref="H1258">COUNTIF(A:A,A1258)</f>
        <v>9</v>
      </c>
      <c r="I1258">
        <f t="array" ref="I1258">SUMIF(A:A,A1258,F:F)</f>
        <v>36963.729999999996</v>
      </c>
      <c r="J1258">
        <f t="array" ref="J1258">5 - INT(5 * (RANK(G1258,G:G, 1) - 1) / COUNT(G:G))</f>
        <v>3</v>
      </c>
      <c r="K1258">
        <f t="array" ref="K1258">INT(5 * (RANK(H1258,H:H, 0) - 1) / COUNT(H:H)) + 1</f>
        <v>2</v>
      </c>
      <c r="L1258">
        <f t="array" ref="L1258">INT(5 * (RANK(I1258,I:I, 0) - 1) / COUNT(I:I)) + 1</f>
        <v>2</v>
      </c>
      <c r="M1258" t="str">
        <f t="shared" si="38"/>
        <v>322</v>
      </c>
      <c r="N1258" s="6" t="str">
        <f t="shared" si="39"/>
        <v>Others</v>
      </c>
    </row>
    <row r="1259" spans="1:14" x14ac:dyDescent="0.35">
      <c r="A1259">
        <v>1352</v>
      </c>
      <c r="B1259" s="4">
        <v>45719.375085336993</v>
      </c>
      <c r="C1259" t="s">
        <v>14</v>
      </c>
      <c r="D1259" t="s">
        <v>21</v>
      </c>
      <c r="E1259" t="s">
        <v>23</v>
      </c>
      <c r="F1259">
        <v>667.92</v>
      </c>
      <c r="G1259">
        <f t="array" ref="G1259">SalesData!$I$2 - 'RFM Table'!B1259</f>
        <v>417</v>
      </c>
      <c r="H1259">
        <f t="array" ref="H1259">COUNTIF(A:A,A1259)</f>
        <v>8</v>
      </c>
      <c r="I1259">
        <f t="array" ref="I1259">SUMIF(A:A,A1259,F:F)</f>
        <v>35204.92</v>
      </c>
      <c r="J1259">
        <f t="array" ref="J1259">5 - INT(5 * (RANK(G1259,G:G, 1) - 1) / COUNT(G:G))</f>
        <v>3</v>
      </c>
      <c r="K1259">
        <f t="array" ref="K1259">INT(5 * (RANK(H1259,H:H, 0) - 1) / COUNT(H:H)) + 1</f>
        <v>3</v>
      </c>
      <c r="L1259">
        <f t="array" ref="L1259">INT(5 * (RANK(I1259,I:I, 0) - 1) / COUNT(I:I)) + 1</f>
        <v>3</v>
      </c>
      <c r="M1259" t="str">
        <f t="shared" si="38"/>
        <v>333</v>
      </c>
      <c r="N1259" s="6" t="str">
        <f t="shared" si="39"/>
        <v>Others</v>
      </c>
    </row>
    <row r="1260" spans="1:14" x14ac:dyDescent="0.35">
      <c r="A1260">
        <v>1098</v>
      </c>
      <c r="B1260" s="4">
        <v>45719.375085336993</v>
      </c>
      <c r="C1260" t="s">
        <v>10</v>
      </c>
      <c r="D1260" t="s">
        <v>16</v>
      </c>
      <c r="E1260" t="s">
        <v>25</v>
      </c>
      <c r="F1260">
        <v>6601.83</v>
      </c>
      <c r="G1260">
        <f t="array" ref="G1260">SalesData!$I$2 - 'RFM Table'!B1260</f>
        <v>417</v>
      </c>
      <c r="H1260">
        <f t="array" ref="H1260">COUNTIF(A:A,A1260)</f>
        <v>12</v>
      </c>
      <c r="I1260">
        <f t="array" ref="I1260">SUMIF(A:A,A1260,F:F)</f>
        <v>36909.899999999994</v>
      </c>
      <c r="J1260">
        <f t="array" ref="J1260">5 - INT(5 * (RANK(G1260,G:G, 1) - 1) / COUNT(G:G))</f>
        <v>3</v>
      </c>
      <c r="K1260">
        <f t="array" ref="K1260">INT(5 * (RANK(H1260,H:H, 0) - 1) / COUNT(H:H)) + 1</f>
        <v>1</v>
      </c>
      <c r="L1260">
        <f t="array" ref="L1260">INT(5 * (RANK(I1260,I:I, 0) - 1) / COUNT(I:I)) + 1</f>
        <v>2</v>
      </c>
      <c r="M1260" t="str">
        <f t="shared" si="38"/>
        <v>312</v>
      </c>
      <c r="N1260" s="6" t="str">
        <f t="shared" si="39"/>
        <v>Others</v>
      </c>
    </row>
    <row r="1261" spans="1:14" x14ac:dyDescent="0.35">
      <c r="A1261">
        <v>1369</v>
      </c>
      <c r="B1261" s="4">
        <v>45719.375085336993</v>
      </c>
      <c r="C1261" t="s">
        <v>7</v>
      </c>
      <c r="D1261" t="s">
        <v>22</v>
      </c>
      <c r="E1261" t="s">
        <v>24</v>
      </c>
      <c r="F1261">
        <v>3322.39</v>
      </c>
      <c r="G1261">
        <f t="array" ref="G1261">SalesData!$I$2 - 'RFM Table'!B1261</f>
        <v>417</v>
      </c>
      <c r="H1261">
        <f t="array" ref="H1261">COUNTIF(A:A,A1261)</f>
        <v>6</v>
      </c>
      <c r="I1261">
        <f t="array" ref="I1261">SUMIF(A:A,A1261,F:F)</f>
        <v>32030.929999999997</v>
      </c>
      <c r="J1261">
        <f t="array" ref="J1261">5 - INT(5 * (RANK(G1261,G:G, 1) - 1) / COUNT(G:G))</f>
        <v>3</v>
      </c>
      <c r="K1261">
        <f t="array" ref="K1261">INT(5 * (RANK(H1261,H:H, 0) - 1) / COUNT(H:H)) + 1</f>
        <v>4</v>
      </c>
      <c r="L1261">
        <f t="array" ref="L1261">INT(5 * (RANK(I1261,I:I, 0) - 1) / COUNT(I:I)) + 1</f>
        <v>3</v>
      </c>
      <c r="M1261" t="str">
        <f t="shared" si="38"/>
        <v>343</v>
      </c>
      <c r="N1261" s="6" t="str">
        <f t="shared" si="39"/>
        <v>Others</v>
      </c>
    </row>
    <row r="1262" spans="1:14" x14ac:dyDescent="0.35">
      <c r="A1262">
        <v>1215</v>
      </c>
      <c r="B1262" s="4">
        <v>45719.375085336993</v>
      </c>
      <c r="C1262" t="s">
        <v>6</v>
      </c>
      <c r="D1262" t="s">
        <v>20</v>
      </c>
      <c r="E1262" t="s">
        <v>25</v>
      </c>
      <c r="F1262">
        <v>280.11</v>
      </c>
      <c r="G1262">
        <f t="array" ref="G1262">SalesData!$I$2 - 'RFM Table'!B1262</f>
        <v>417</v>
      </c>
      <c r="H1262">
        <f t="array" ref="H1262">COUNTIF(A:A,A1262)</f>
        <v>9</v>
      </c>
      <c r="I1262">
        <f t="array" ref="I1262">SUMIF(A:A,A1262,F:F)</f>
        <v>26752.640000000003</v>
      </c>
      <c r="J1262">
        <f t="array" ref="J1262">5 - INT(5 * (RANK(G1262,G:G, 1) - 1) / COUNT(G:G))</f>
        <v>3</v>
      </c>
      <c r="K1262">
        <f t="array" ref="K1262">INT(5 * (RANK(H1262,H:H, 0) - 1) / COUNT(H:H)) + 1</f>
        <v>2</v>
      </c>
      <c r="L1262">
        <f t="array" ref="L1262">INT(5 * (RANK(I1262,I:I, 0) - 1) / COUNT(I:I)) + 1</f>
        <v>4</v>
      </c>
      <c r="M1262" t="str">
        <f t="shared" si="38"/>
        <v>324</v>
      </c>
      <c r="N1262" s="6" t="str">
        <f t="shared" si="39"/>
        <v>Others</v>
      </c>
    </row>
    <row r="1263" spans="1:14" x14ac:dyDescent="0.35">
      <c r="A1263">
        <v>1087</v>
      </c>
      <c r="B1263" s="4">
        <v>45719.375085336993</v>
      </c>
      <c r="C1263" t="s">
        <v>9</v>
      </c>
      <c r="D1263" t="s">
        <v>21</v>
      </c>
      <c r="E1263" t="s">
        <v>25</v>
      </c>
      <c r="F1263">
        <v>926.67</v>
      </c>
      <c r="G1263">
        <f t="array" ref="G1263">SalesData!$I$2 - 'RFM Table'!B1263</f>
        <v>417</v>
      </c>
      <c r="H1263">
        <f t="array" ref="H1263">COUNTIF(A:A,A1263)</f>
        <v>4</v>
      </c>
      <c r="I1263">
        <f t="array" ref="I1263">SUMIF(A:A,A1263,F:F)</f>
        <v>19178.5</v>
      </c>
      <c r="J1263">
        <f t="array" ref="J1263">5 - INT(5 * (RANK(G1263,G:G, 1) - 1) / COUNT(G:G))</f>
        <v>3</v>
      </c>
      <c r="K1263">
        <f t="array" ref="K1263">INT(5 * (RANK(H1263,H:H, 0) - 1) / COUNT(H:H)) + 1</f>
        <v>5</v>
      </c>
      <c r="L1263">
        <f t="array" ref="L1263">INT(5 * (RANK(I1263,I:I, 0) - 1) / COUNT(I:I)) + 1</f>
        <v>5</v>
      </c>
      <c r="M1263" t="str">
        <f t="shared" si="38"/>
        <v>355</v>
      </c>
      <c r="N1263" s="6" t="str">
        <f t="shared" si="39"/>
        <v>Others</v>
      </c>
    </row>
    <row r="1264" spans="1:14" x14ac:dyDescent="0.35">
      <c r="A1264">
        <v>1391</v>
      </c>
      <c r="B1264" s="4">
        <v>45719.375085336993</v>
      </c>
      <c r="C1264" t="s">
        <v>13</v>
      </c>
      <c r="D1264" t="s">
        <v>22</v>
      </c>
      <c r="E1264" t="s">
        <v>24</v>
      </c>
      <c r="F1264">
        <v>987.72</v>
      </c>
      <c r="G1264">
        <f t="array" ref="G1264">SalesData!$I$2 - 'RFM Table'!B1264</f>
        <v>417</v>
      </c>
      <c r="H1264">
        <f t="array" ref="H1264">COUNTIF(A:A,A1264)</f>
        <v>7</v>
      </c>
      <c r="I1264">
        <f t="array" ref="I1264">SUMIF(A:A,A1264,F:F)</f>
        <v>21209.440000000002</v>
      </c>
      <c r="J1264">
        <f t="array" ref="J1264">5 - INT(5 * (RANK(G1264,G:G, 1) - 1) / COUNT(G:G))</f>
        <v>3</v>
      </c>
      <c r="K1264">
        <f t="array" ref="K1264">INT(5 * (RANK(H1264,H:H, 0) - 1) / COUNT(H:H)) + 1</f>
        <v>4</v>
      </c>
      <c r="L1264">
        <f t="array" ref="L1264">INT(5 * (RANK(I1264,I:I, 0) - 1) / COUNT(I:I)) + 1</f>
        <v>5</v>
      </c>
      <c r="M1264" t="str">
        <f t="shared" si="38"/>
        <v>345</v>
      </c>
      <c r="N1264" s="6" t="str">
        <f t="shared" si="39"/>
        <v>Others</v>
      </c>
    </row>
    <row r="1265" spans="1:14" x14ac:dyDescent="0.35">
      <c r="A1265">
        <v>1026</v>
      </c>
      <c r="B1265" s="4">
        <v>45720.375085336993</v>
      </c>
      <c r="C1265" t="s">
        <v>12</v>
      </c>
      <c r="D1265" t="s">
        <v>17</v>
      </c>
      <c r="E1265" t="s">
        <v>23</v>
      </c>
      <c r="F1265">
        <v>2283.79</v>
      </c>
      <c r="G1265">
        <f t="array" ref="G1265">SalesData!$I$2 - 'RFM Table'!B1265</f>
        <v>416</v>
      </c>
      <c r="H1265">
        <f t="array" ref="H1265">COUNTIF(A:A,A1265)</f>
        <v>7</v>
      </c>
      <c r="I1265">
        <f t="array" ref="I1265">SUMIF(A:A,A1265,F:F)</f>
        <v>24873.88</v>
      </c>
      <c r="J1265">
        <f t="array" ref="J1265">5 - INT(5 * (RANK(G1265,G:G, 1) - 1) / COUNT(G:G))</f>
        <v>3</v>
      </c>
      <c r="K1265">
        <f t="array" ref="K1265">INT(5 * (RANK(H1265,H:H, 0) - 1) / COUNT(H:H)) + 1</f>
        <v>4</v>
      </c>
      <c r="L1265">
        <f t="array" ref="L1265">INT(5 * (RANK(I1265,I:I, 0) - 1) / COUNT(I:I)) + 1</f>
        <v>4</v>
      </c>
      <c r="M1265" t="str">
        <f t="shared" si="38"/>
        <v>344</v>
      </c>
      <c r="N1265" s="6" t="str">
        <f t="shared" si="39"/>
        <v>Others</v>
      </c>
    </row>
    <row r="1266" spans="1:14" x14ac:dyDescent="0.35">
      <c r="A1266">
        <v>1015</v>
      </c>
      <c r="B1266" s="4">
        <v>45720.375085336993</v>
      </c>
      <c r="C1266" t="s">
        <v>15</v>
      </c>
      <c r="D1266" t="s">
        <v>17</v>
      </c>
      <c r="E1266" t="s">
        <v>24</v>
      </c>
      <c r="F1266">
        <v>454.26</v>
      </c>
      <c r="G1266">
        <f t="array" ref="G1266">SalesData!$I$2 - 'RFM Table'!B1266</f>
        <v>416</v>
      </c>
      <c r="H1266">
        <f t="array" ref="H1266">COUNTIF(A:A,A1266)</f>
        <v>3</v>
      </c>
      <c r="I1266">
        <f t="array" ref="I1266">SUMIF(A:A,A1266,F:F)</f>
        <v>4922.93</v>
      </c>
      <c r="J1266">
        <f t="array" ref="J1266">5 - INT(5 * (RANK(G1266,G:G, 1) - 1) / COUNT(G:G))</f>
        <v>3</v>
      </c>
      <c r="K1266">
        <f t="array" ref="K1266">INT(5 * (RANK(H1266,H:H, 0) - 1) / COUNT(H:H)) + 1</f>
        <v>5</v>
      </c>
      <c r="L1266">
        <f t="array" ref="L1266">INT(5 * (RANK(I1266,I:I, 0) - 1) / COUNT(I:I)) + 1</f>
        <v>5</v>
      </c>
      <c r="M1266" t="str">
        <f t="shared" si="38"/>
        <v>355</v>
      </c>
      <c r="N1266" s="6" t="str">
        <f t="shared" si="39"/>
        <v>Others</v>
      </c>
    </row>
    <row r="1267" spans="1:14" x14ac:dyDescent="0.35">
      <c r="A1267">
        <v>1110</v>
      </c>
      <c r="B1267" s="4">
        <v>45720.375085336993</v>
      </c>
      <c r="C1267" t="s">
        <v>11</v>
      </c>
      <c r="D1267" t="s">
        <v>22</v>
      </c>
      <c r="E1267" t="s">
        <v>25</v>
      </c>
      <c r="F1267">
        <v>12269.37</v>
      </c>
      <c r="G1267">
        <f t="array" ref="G1267">SalesData!$I$2 - 'RFM Table'!B1267</f>
        <v>416</v>
      </c>
      <c r="H1267">
        <f t="array" ref="H1267">COUNTIF(A:A,A1267)</f>
        <v>13</v>
      </c>
      <c r="I1267">
        <f t="array" ref="I1267">SUMIF(A:A,A1267,F:F)</f>
        <v>72511.88</v>
      </c>
      <c r="J1267">
        <f t="array" ref="J1267">5 - INT(5 * (RANK(G1267,G:G, 1) - 1) / COUNT(G:G))</f>
        <v>3</v>
      </c>
      <c r="K1267">
        <f t="array" ref="K1267">INT(5 * (RANK(H1267,H:H, 0) - 1) / COUNT(H:H)) + 1</f>
        <v>1</v>
      </c>
      <c r="L1267">
        <f t="array" ref="L1267">INT(5 * (RANK(I1267,I:I, 0) - 1) / COUNT(I:I)) + 1</f>
        <v>1</v>
      </c>
      <c r="M1267" t="str">
        <f t="shared" si="38"/>
        <v>311</v>
      </c>
      <c r="N1267" s="6" t="str">
        <f t="shared" si="39"/>
        <v>Others</v>
      </c>
    </row>
    <row r="1268" spans="1:14" x14ac:dyDescent="0.35">
      <c r="A1268">
        <v>1374</v>
      </c>
      <c r="B1268" s="4">
        <v>45720.375085336993</v>
      </c>
      <c r="C1268" t="s">
        <v>8</v>
      </c>
      <c r="D1268" t="s">
        <v>19</v>
      </c>
      <c r="E1268" t="s">
        <v>25</v>
      </c>
      <c r="F1268">
        <v>5131.8</v>
      </c>
      <c r="G1268">
        <f t="array" ref="G1268">SalesData!$I$2 - 'RFM Table'!B1268</f>
        <v>416</v>
      </c>
      <c r="H1268">
        <f t="array" ref="H1268">COUNTIF(A:A,A1268)</f>
        <v>6</v>
      </c>
      <c r="I1268">
        <f t="array" ref="I1268">SUMIF(A:A,A1268,F:F)</f>
        <v>17843.009999999998</v>
      </c>
      <c r="J1268">
        <f t="array" ref="J1268">5 - INT(5 * (RANK(G1268,G:G, 1) - 1) / COUNT(G:G))</f>
        <v>3</v>
      </c>
      <c r="K1268">
        <f t="array" ref="K1268">INT(5 * (RANK(H1268,H:H, 0) - 1) / COUNT(H:H)) + 1</f>
        <v>4</v>
      </c>
      <c r="L1268">
        <f t="array" ref="L1268">INT(5 * (RANK(I1268,I:I, 0) - 1) / COUNT(I:I)) + 1</f>
        <v>5</v>
      </c>
      <c r="M1268" t="str">
        <f t="shared" si="38"/>
        <v>345</v>
      </c>
      <c r="N1268" s="6" t="str">
        <f t="shared" si="39"/>
        <v>Others</v>
      </c>
    </row>
    <row r="1269" spans="1:14" x14ac:dyDescent="0.35">
      <c r="A1269">
        <v>1179</v>
      </c>
      <c r="B1269" s="4">
        <v>45720.375085336993</v>
      </c>
      <c r="C1269" t="s">
        <v>15</v>
      </c>
      <c r="D1269" t="s">
        <v>19</v>
      </c>
      <c r="E1269" t="s">
        <v>24</v>
      </c>
      <c r="F1269">
        <v>1883.67</v>
      </c>
      <c r="G1269">
        <f t="array" ref="G1269">SalesData!$I$2 - 'RFM Table'!B1269</f>
        <v>416</v>
      </c>
      <c r="H1269">
        <f t="array" ref="H1269">COUNTIF(A:A,A1269)</f>
        <v>7</v>
      </c>
      <c r="I1269">
        <f t="array" ref="I1269">SUMIF(A:A,A1269,F:F)</f>
        <v>25906.9</v>
      </c>
      <c r="J1269">
        <f t="array" ref="J1269">5 - INT(5 * (RANK(G1269,G:G, 1) - 1) / COUNT(G:G))</f>
        <v>3</v>
      </c>
      <c r="K1269">
        <f t="array" ref="K1269">INT(5 * (RANK(H1269,H:H, 0) - 1) / COUNT(H:H)) + 1</f>
        <v>4</v>
      </c>
      <c r="L1269">
        <f t="array" ref="L1269">INT(5 * (RANK(I1269,I:I, 0) - 1) / COUNT(I:I)) + 1</f>
        <v>4</v>
      </c>
      <c r="M1269" t="str">
        <f t="shared" si="38"/>
        <v>344</v>
      </c>
      <c r="N1269" s="6" t="str">
        <f t="shared" si="39"/>
        <v>Others</v>
      </c>
    </row>
    <row r="1270" spans="1:14" x14ac:dyDescent="0.35">
      <c r="A1270">
        <v>1260</v>
      </c>
      <c r="B1270" s="4">
        <v>45721.375085336993</v>
      </c>
      <c r="C1270" t="s">
        <v>11</v>
      </c>
      <c r="D1270" t="s">
        <v>16</v>
      </c>
      <c r="E1270" t="s">
        <v>24</v>
      </c>
      <c r="F1270">
        <v>2868.44</v>
      </c>
      <c r="G1270">
        <f t="array" ref="G1270">SalesData!$I$2 - 'RFM Table'!B1270</f>
        <v>415</v>
      </c>
      <c r="H1270">
        <f t="array" ref="H1270">COUNTIF(A:A,A1270)</f>
        <v>10</v>
      </c>
      <c r="I1270">
        <f t="array" ref="I1270">SUMIF(A:A,A1270,F:F)</f>
        <v>67378.48000000001</v>
      </c>
      <c r="J1270">
        <f t="array" ref="J1270">5 - INT(5 * (RANK(G1270,G:G, 1) - 1) / COUNT(G:G))</f>
        <v>3</v>
      </c>
      <c r="K1270">
        <f t="array" ref="K1270">INT(5 * (RANK(H1270,H:H, 0) - 1) / COUNT(H:H)) + 1</f>
        <v>2</v>
      </c>
      <c r="L1270">
        <f t="array" ref="L1270">INT(5 * (RANK(I1270,I:I, 0) - 1) / COUNT(I:I)) + 1</f>
        <v>1</v>
      </c>
      <c r="M1270" t="str">
        <f t="shared" si="38"/>
        <v>321</v>
      </c>
      <c r="N1270" s="6" t="str">
        <f t="shared" si="39"/>
        <v>Others</v>
      </c>
    </row>
    <row r="1271" spans="1:14" x14ac:dyDescent="0.35">
      <c r="A1271">
        <v>1380</v>
      </c>
      <c r="B1271" s="4">
        <v>45721.375085336993</v>
      </c>
      <c r="C1271" t="s">
        <v>12</v>
      </c>
      <c r="D1271" t="s">
        <v>20</v>
      </c>
      <c r="E1271" t="s">
        <v>25</v>
      </c>
      <c r="F1271">
        <v>4084.93</v>
      </c>
      <c r="G1271">
        <f t="array" ref="G1271">SalesData!$I$2 - 'RFM Table'!B1271</f>
        <v>415</v>
      </c>
      <c r="H1271">
        <f t="array" ref="H1271">COUNTIF(A:A,A1271)</f>
        <v>9</v>
      </c>
      <c r="I1271">
        <f t="array" ref="I1271">SUMIF(A:A,A1271,F:F)</f>
        <v>40711.57</v>
      </c>
      <c r="J1271">
        <f t="array" ref="J1271">5 - INT(5 * (RANK(G1271,G:G, 1) - 1) / COUNT(G:G))</f>
        <v>3</v>
      </c>
      <c r="K1271">
        <f t="array" ref="K1271">INT(5 * (RANK(H1271,H:H, 0) - 1) / COUNT(H:H)) + 1</f>
        <v>2</v>
      </c>
      <c r="L1271">
        <f t="array" ref="L1271">INT(5 * (RANK(I1271,I:I, 0) - 1) / COUNT(I:I)) + 1</f>
        <v>2</v>
      </c>
      <c r="M1271" t="str">
        <f t="shared" si="38"/>
        <v>322</v>
      </c>
      <c r="N1271" s="6" t="str">
        <f t="shared" si="39"/>
        <v>Others</v>
      </c>
    </row>
    <row r="1272" spans="1:14" x14ac:dyDescent="0.35">
      <c r="A1272">
        <v>1366</v>
      </c>
      <c r="B1272" s="4">
        <v>45722.375085336993</v>
      </c>
      <c r="C1272" t="s">
        <v>11</v>
      </c>
      <c r="D1272" t="s">
        <v>22</v>
      </c>
      <c r="E1272" t="s">
        <v>23</v>
      </c>
      <c r="F1272">
        <v>614.48</v>
      </c>
      <c r="G1272">
        <f t="array" ref="G1272">SalesData!$I$2 - 'RFM Table'!B1272</f>
        <v>414</v>
      </c>
      <c r="H1272">
        <f t="array" ref="H1272">COUNTIF(A:A,A1272)</f>
        <v>7</v>
      </c>
      <c r="I1272">
        <f t="array" ref="I1272">SUMIF(A:A,A1272,F:F)</f>
        <v>19730.549999999996</v>
      </c>
      <c r="J1272">
        <f t="array" ref="J1272">5 - INT(5 * (RANK(G1272,G:G, 1) - 1) / COUNT(G:G))</f>
        <v>3</v>
      </c>
      <c r="K1272">
        <f t="array" ref="K1272">INT(5 * (RANK(H1272,H:H, 0) - 1) / COUNT(H:H)) + 1</f>
        <v>4</v>
      </c>
      <c r="L1272">
        <f t="array" ref="L1272">INT(5 * (RANK(I1272,I:I, 0) - 1) / COUNT(I:I)) + 1</f>
        <v>5</v>
      </c>
      <c r="M1272" t="str">
        <f t="shared" si="38"/>
        <v>345</v>
      </c>
      <c r="N1272" s="6" t="str">
        <f t="shared" si="39"/>
        <v>Others</v>
      </c>
    </row>
    <row r="1273" spans="1:14" x14ac:dyDescent="0.35">
      <c r="A1273">
        <v>1094</v>
      </c>
      <c r="B1273" s="4">
        <v>45722.375085336993</v>
      </c>
      <c r="C1273" t="s">
        <v>15</v>
      </c>
      <c r="D1273" t="s">
        <v>18</v>
      </c>
      <c r="E1273" t="s">
        <v>24</v>
      </c>
      <c r="F1273">
        <v>3330.31</v>
      </c>
      <c r="G1273">
        <f t="array" ref="G1273">SalesData!$I$2 - 'RFM Table'!B1273</f>
        <v>414</v>
      </c>
      <c r="H1273">
        <f t="array" ref="H1273">COUNTIF(A:A,A1273)</f>
        <v>10</v>
      </c>
      <c r="I1273">
        <f t="array" ref="I1273">SUMIF(A:A,A1273,F:F)</f>
        <v>41704.25</v>
      </c>
      <c r="J1273">
        <f t="array" ref="J1273">5 - INT(5 * (RANK(G1273,G:G, 1) - 1) / COUNT(G:G))</f>
        <v>3</v>
      </c>
      <c r="K1273">
        <f t="array" ref="K1273">INT(5 * (RANK(H1273,H:H, 0) - 1) / COUNT(H:H)) + 1</f>
        <v>2</v>
      </c>
      <c r="L1273">
        <f t="array" ref="L1273">INT(5 * (RANK(I1273,I:I, 0) - 1) / COUNT(I:I)) + 1</f>
        <v>2</v>
      </c>
      <c r="M1273" t="str">
        <f t="shared" si="38"/>
        <v>322</v>
      </c>
      <c r="N1273" s="6" t="str">
        <f t="shared" si="39"/>
        <v>Others</v>
      </c>
    </row>
    <row r="1274" spans="1:14" x14ac:dyDescent="0.35">
      <c r="A1274">
        <v>1238</v>
      </c>
      <c r="B1274" s="4">
        <v>45722.375085336993</v>
      </c>
      <c r="C1274" t="s">
        <v>15</v>
      </c>
      <c r="D1274" t="s">
        <v>20</v>
      </c>
      <c r="E1274" t="s">
        <v>23</v>
      </c>
      <c r="F1274">
        <v>989.5</v>
      </c>
      <c r="G1274">
        <f t="array" ref="G1274">SalesData!$I$2 - 'RFM Table'!B1274</f>
        <v>414</v>
      </c>
      <c r="H1274">
        <f t="array" ref="H1274">COUNTIF(A:A,A1274)</f>
        <v>10</v>
      </c>
      <c r="I1274">
        <f t="array" ref="I1274">SUMIF(A:A,A1274,F:F)</f>
        <v>42023.55</v>
      </c>
      <c r="J1274">
        <f t="array" ref="J1274">5 - INT(5 * (RANK(G1274,G:G, 1) - 1) / COUNT(G:G))</f>
        <v>3</v>
      </c>
      <c r="K1274">
        <f t="array" ref="K1274">INT(5 * (RANK(H1274,H:H, 0) - 1) / COUNT(H:H)) + 1</f>
        <v>2</v>
      </c>
      <c r="L1274">
        <f t="array" ref="L1274">INT(5 * (RANK(I1274,I:I, 0) - 1) / COUNT(I:I)) + 1</f>
        <v>2</v>
      </c>
      <c r="M1274" t="str">
        <f t="shared" si="38"/>
        <v>322</v>
      </c>
      <c r="N1274" s="6" t="str">
        <f t="shared" si="39"/>
        <v>Others</v>
      </c>
    </row>
    <row r="1275" spans="1:14" x14ac:dyDescent="0.35">
      <c r="A1275">
        <v>1180</v>
      </c>
      <c r="B1275" s="4">
        <v>45722.375085336993</v>
      </c>
      <c r="C1275" t="s">
        <v>6</v>
      </c>
      <c r="D1275" t="s">
        <v>20</v>
      </c>
      <c r="E1275" t="s">
        <v>25</v>
      </c>
      <c r="F1275">
        <v>2698.56</v>
      </c>
      <c r="G1275">
        <f t="array" ref="G1275">SalesData!$I$2 - 'RFM Table'!B1275</f>
        <v>414</v>
      </c>
      <c r="H1275">
        <f t="array" ref="H1275">COUNTIF(A:A,A1275)</f>
        <v>8</v>
      </c>
      <c r="I1275">
        <f t="array" ref="I1275">SUMIF(A:A,A1275,F:F)</f>
        <v>35247.5</v>
      </c>
      <c r="J1275">
        <f t="array" ref="J1275">5 - INT(5 * (RANK(G1275,G:G, 1) - 1) / COUNT(G:G))</f>
        <v>3</v>
      </c>
      <c r="K1275">
        <f t="array" ref="K1275">INT(5 * (RANK(H1275,H:H, 0) - 1) / COUNT(H:H)) + 1</f>
        <v>3</v>
      </c>
      <c r="L1275">
        <f t="array" ref="L1275">INT(5 * (RANK(I1275,I:I, 0) - 1) / COUNT(I:I)) + 1</f>
        <v>3</v>
      </c>
      <c r="M1275" t="str">
        <f t="shared" si="38"/>
        <v>333</v>
      </c>
      <c r="N1275" s="6" t="str">
        <f t="shared" si="39"/>
        <v>Others</v>
      </c>
    </row>
    <row r="1276" spans="1:14" x14ac:dyDescent="0.35">
      <c r="A1276">
        <v>1085</v>
      </c>
      <c r="B1276" s="4">
        <v>45723.375085336993</v>
      </c>
      <c r="C1276" t="s">
        <v>14</v>
      </c>
      <c r="D1276" t="s">
        <v>20</v>
      </c>
      <c r="E1276" t="s">
        <v>23</v>
      </c>
      <c r="F1276">
        <v>4237.03</v>
      </c>
      <c r="G1276">
        <f t="array" ref="G1276">SalesData!$I$2 - 'RFM Table'!B1276</f>
        <v>413</v>
      </c>
      <c r="H1276">
        <f t="array" ref="H1276">COUNTIF(A:A,A1276)</f>
        <v>10</v>
      </c>
      <c r="I1276">
        <f t="array" ref="I1276">SUMIF(A:A,A1276,F:F)</f>
        <v>50122.659999999996</v>
      </c>
      <c r="J1276">
        <f t="array" ref="J1276">5 - INT(5 * (RANK(G1276,G:G, 1) - 1) / COUNT(G:G))</f>
        <v>3</v>
      </c>
      <c r="K1276">
        <f t="array" ref="K1276">INT(5 * (RANK(H1276,H:H, 0) - 1) / COUNT(H:H)) + 1</f>
        <v>2</v>
      </c>
      <c r="L1276">
        <f t="array" ref="L1276">INT(5 * (RANK(I1276,I:I, 0) - 1) / COUNT(I:I)) + 1</f>
        <v>1</v>
      </c>
      <c r="M1276" t="str">
        <f t="shared" si="38"/>
        <v>321</v>
      </c>
      <c r="N1276" s="6" t="str">
        <f t="shared" si="39"/>
        <v>Others</v>
      </c>
    </row>
    <row r="1277" spans="1:14" x14ac:dyDescent="0.35">
      <c r="A1277">
        <v>1317</v>
      </c>
      <c r="B1277" s="4">
        <v>45723.375085336993</v>
      </c>
      <c r="C1277" t="s">
        <v>14</v>
      </c>
      <c r="D1277" t="s">
        <v>17</v>
      </c>
      <c r="E1277" t="s">
        <v>23</v>
      </c>
      <c r="F1277">
        <v>306.01</v>
      </c>
      <c r="G1277">
        <f t="array" ref="G1277">SalesData!$I$2 - 'RFM Table'!B1277</f>
        <v>413</v>
      </c>
      <c r="H1277">
        <f t="array" ref="H1277">COUNTIF(A:A,A1277)</f>
        <v>12</v>
      </c>
      <c r="I1277">
        <f t="array" ref="I1277">SUMIF(A:A,A1277,F:F)</f>
        <v>43413.4</v>
      </c>
      <c r="J1277">
        <f t="array" ref="J1277">5 - INT(5 * (RANK(G1277,G:G, 1) - 1) / COUNT(G:G))</f>
        <v>3</v>
      </c>
      <c r="K1277">
        <f t="array" ref="K1277">INT(5 * (RANK(H1277,H:H, 0) - 1) / COUNT(H:H)) + 1</f>
        <v>1</v>
      </c>
      <c r="L1277">
        <f t="array" ref="L1277">INT(5 * (RANK(I1277,I:I, 0) - 1) / COUNT(I:I)) + 1</f>
        <v>2</v>
      </c>
      <c r="M1277" t="str">
        <f t="shared" si="38"/>
        <v>312</v>
      </c>
      <c r="N1277" s="6" t="str">
        <f t="shared" si="39"/>
        <v>Others</v>
      </c>
    </row>
    <row r="1278" spans="1:14" x14ac:dyDescent="0.35">
      <c r="A1278">
        <v>1364</v>
      </c>
      <c r="B1278" s="4">
        <v>45723.375085336993</v>
      </c>
      <c r="C1278" t="s">
        <v>12</v>
      </c>
      <c r="D1278" t="s">
        <v>18</v>
      </c>
      <c r="E1278" t="s">
        <v>24</v>
      </c>
      <c r="F1278">
        <v>4140.2</v>
      </c>
      <c r="G1278">
        <f t="array" ref="G1278">SalesData!$I$2 - 'RFM Table'!B1278</f>
        <v>413</v>
      </c>
      <c r="H1278">
        <f t="array" ref="H1278">COUNTIF(A:A,A1278)</f>
        <v>11</v>
      </c>
      <c r="I1278">
        <f t="array" ref="I1278">SUMIF(A:A,A1278,F:F)</f>
        <v>39674.43</v>
      </c>
      <c r="J1278">
        <f t="array" ref="J1278">5 - INT(5 * (RANK(G1278,G:G, 1) - 1) / COUNT(G:G))</f>
        <v>3</v>
      </c>
      <c r="K1278">
        <f t="array" ref="K1278">INT(5 * (RANK(H1278,H:H, 0) - 1) / COUNT(H:H)) + 1</f>
        <v>1</v>
      </c>
      <c r="L1278">
        <f t="array" ref="L1278">INT(5 * (RANK(I1278,I:I, 0) - 1) / COUNT(I:I)) + 1</f>
        <v>2</v>
      </c>
      <c r="M1278" t="str">
        <f t="shared" si="38"/>
        <v>312</v>
      </c>
      <c r="N1278" s="6" t="str">
        <f t="shared" si="39"/>
        <v>Others</v>
      </c>
    </row>
    <row r="1279" spans="1:14" x14ac:dyDescent="0.35">
      <c r="A1279">
        <v>1214</v>
      </c>
      <c r="B1279" s="4">
        <v>45723.375085336993</v>
      </c>
      <c r="C1279" t="s">
        <v>9</v>
      </c>
      <c r="D1279" t="s">
        <v>19</v>
      </c>
      <c r="E1279" t="s">
        <v>25</v>
      </c>
      <c r="F1279">
        <v>1624.38</v>
      </c>
      <c r="G1279">
        <f t="array" ref="G1279">SalesData!$I$2 - 'RFM Table'!B1279</f>
        <v>413</v>
      </c>
      <c r="H1279">
        <f t="array" ref="H1279">COUNTIF(A:A,A1279)</f>
        <v>12</v>
      </c>
      <c r="I1279">
        <f t="array" ref="I1279">SUMIF(A:A,A1279,F:F)</f>
        <v>49382.650000000009</v>
      </c>
      <c r="J1279">
        <f t="array" ref="J1279">5 - INT(5 * (RANK(G1279,G:G, 1) - 1) / COUNT(G:G))</f>
        <v>3</v>
      </c>
      <c r="K1279">
        <f t="array" ref="K1279">INT(5 * (RANK(H1279,H:H, 0) - 1) / COUNT(H:H)) + 1</f>
        <v>1</v>
      </c>
      <c r="L1279">
        <f t="array" ref="L1279">INT(5 * (RANK(I1279,I:I, 0) - 1) / COUNT(I:I)) + 1</f>
        <v>1</v>
      </c>
      <c r="M1279" t="str">
        <f t="shared" si="38"/>
        <v>311</v>
      </c>
      <c r="N1279" s="6" t="str">
        <f t="shared" si="39"/>
        <v>Others</v>
      </c>
    </row>
    <row r="1280" spans="1:14" x14ac:dyDescent="0.35">
      <c r="A1280">
        <v>1214</v>
      </c>
      <c r="B1280" s="4">
        <v>45724.375085336993</v>
      </c>
      <c r="C1280" t="s">
        <v>11</v>
      </c>
      <c r="D1280" t="s">
        <v>16</v>
      </c>
      <c r="E1280" t="s">
        <v>24</v>
      </c>
      <c r="F1280">
        <v>4297.72</v>
      </c>
      <c r="G1280">
        <f t="array" ref="G1280">SalesData!$I$2 - 'RFM Table'!B1280</f>
        <v>412</v>
      </c>
      <c r="H1280">
        <f t="array" ref="H1280">COUNTIF(A:A,A1280)</f>
        <v>12</v>
      </c>
      <c r="I1280">
        <f t="array" ref="I1280">SUMIF(A:A,A1280,F:F)</f>
        <v>49382.650000000009</v>
      </c>
      <c r="J1280">
        <f t="array" ref="J1280">5 - INT(5 * (RANK(G1280,G:G, 1) - 1) / COUNT(G:G))</f>
        <v>3</v>
      </c>
      <c r="K1280">
        <f t="array" ref="K1280">INT(5 * (RANK(H1280,H:H, 0) - 1) / COUNT(H:H)) + 1</f>
        <v>1</v>
      </c>
      <c r="L1280">
        <f t="array" ref="L1280">INT(5 * (RANK(I1280,I:I, 0) - 1) / COUNT(I:I)) + 1</f>
        <v>1</v>
      </c>
      <c r="M1280" t="str">
        <f t="shared" si="38"/>
        <v>311</v>
      </c>
      <c r="N1280" s="6" t="str">
        <f t="shared" si="39"/>
        <v>Others</v>
      </c>
    </row>
    <row r="1281" spans="1:14" x14ac:dyDescent="0.35">
      <c r="A1281">
        <v>1312</v>
      </c>
      <c r="B1281" s="4">
        <v>45724.375085336993</v>
      </c>
      <c r="C1281" t="s">
        <v>6</v>
      </c>
      <c r="D1281" t="s">
        <v>17</v>
      </c>
      <c r="E1281" t="s">
        <v>23</v>
      </c>
      <c r="F1281">
        <v>4520.07</v>
      </c>
      <c r="G1281">
        <f t="array" ref="G1281">SalesData!$I$2 - 'RFM Table'!B1281</f>
        <v>412</v>
      </c>
      <c r="H1281">
        <f t="array" ref="H1281">COUNTIF(A:A,A1281)</f>
        <v>8</v>
      </c>
      <c r="I1281">
        <f t="array" ref="I1281">SUMIF(A:A,A1281,F:F)</f>
        <v>31330.839999999997</v>
      </c>
      <c r="J1281">
        <f t="array" ref="J1281">5 - INT(5 * (RANK(G1281,G:G, 1) - 1) / COUNT(G:G))</f>
        <v>3</v>
      </c>
      <c r="K1281">
        <f t="array" ref="K1281">INT(5 * (RANK(H1281,H:H, 0) - 1) / COUNT(H:H)) + 1</f>
        <v>3</v>
      </c>
      <c r="L1281">
        <f t="array" ref="L1281">INT(5 * (RANK(I1281,I:I, 0) - 1) / COUNT(I:I)) + 1</f>
        <v>3</v>
      </c>
      <c r="M1281" t="str">
        <f t="shared" si="38"/>
        <v>333</v>
      </c>
      <c r="N1281" s="6" t="str">
        <f t="shared" si="39"/>
        <v>Others</v>
      </c>
    </row>
    <row r="1282" spans="1:14" x14ac:dyDescent="0.35">
      <c r="A1282">
        <v>1353</v>
      </c>
      <c r="B1282" s="4">
        <v>45724.375085336993</v>
      </c>
      <c r="C1282" t="s">
        <v>10</v>
      </c>
      <c r="D1282" t="s">
        <v>22</v>
      </c>
      <c r="E1282" t="s">
        <v>23</v>
      </c>
      <c r="F1282">
        <v>1481.45</v>
      </c>
      <c r="G1282">
        <f t="array" ref="G1282">SalesData!$I$2 - 'RFM Table'!B1282</f>
        <v>412</v>
      </c>
      <c r="H1282">
        <f t="array" ref="H1282">COUNTIF(A:A,A1282)</f>
        <v>7</v>
      </c>
      <c r="I1282">
        <f t="array" ref="I1282">SUMIF(A:A,A1282,F:F)</f>
        <v>29446.02</v>
      </c>
      <c r="J1282">
        <f t="array" ref="J1282">5 - INT(5 * (RANK(G1282,G:G, 1) - 1) / COUNT(G:G))</f>
        <v>3</v>
      </c>
      <c r="K1282">
        <f t="array" ref="K1282">INT(5 * (RANK(H1282,H:H, 0) - 1) / COUNT(H:H)) + 1</f>
        <v>4</v>
      </c>
      <c r="L1282">
        <f t="array" ref="L1282">INT(5 * (RANK(I1282,I:I, 0) - 1) / COUNT(I:I)) + 1</f>
        <v>4</v>
      </c>
      <c r="M1282" t="str">
        <f t="shared" si="38"/>
        <v>344</v>
      </c>
      <c r="N1282" s="6" t="str">
        <f t="shared" si="39"/>
        <v>Others</v>
      </c>
    </row>
    <row r="1283" spans="1:14" x14ac:dyDescent="0.35">
      <c r="A1283">
        <v>1154</v>
      </c>
      <c r="B1283" s="4">
        <v>45725.375085336993</v>
      </c>
      <c r="C1283" t="s">
        <v>11</v>
      </c>
      <c r="D1283" t="s">
        <v>18</v>
      </c>
      <c r="E1283" t="s">
        <v>24</v>
      </c>
      <c r="F1283">
        <v>3401.77</v>
      </c>
      <c r="G1283">
        <f t="array" ref="G1283">SalesData!$I$2 - 'RFM Table'!B1283</f>
        <v>411</v>
      </c>
      <c r="H1283">
        <f t="array" ref="H1283">COUNTIF(A:A,A1283)</f>
        <v>5</v>
      </c>
      <c r="I1283">
        <f t="array" ref="I1283">SUMIF(A:A,A1283,F:F)</f>
        <v>20686.43</v>
      </c>
      <c r="J1283">
        <f t="array" ref="J1283">5 - INT(5 * (RANK(G1283,G:G, 1) - 1) / COUNT(G:G))</f>
        <v>3</v>
      </c>
      <c r="K1283">
        <f t="array" ref="K1283">INT(5 * (RANK(H1283,H:H, 0) - 1) / COUNT(H:H)) + 1</f>
        <v>5</v>
      </c>
      <c r="L1283">
        <f t="array" ref="L1283">INT(5 * (RANK(I1283,I:I, 0) - 1) / COUNT(I:I)) + 1</f>
        <v>5</v>
      </c>
      <c r="M1283" t="str">
        <f t="shared" ref="M1283:M1346" si="40">J1283 &amp; K1283 &amp; L1283</f>
        <v>355</v>
      </c>
      <c r="N1283" s="6" t="str">
        <f t="shared" ref="N1283:N1346" si="41">IF(AND(J1283&gt;=4,K1283&lt;=2),"New Customers",
IF(AND(J1283&lt;=2,K1283&gt;=3,L1283&gt;=3),"At Risk",
IF(AND(J1283&lt;=2,K1283&lt;=2,L1283&gt;=3),"Can't Lose Them",
IF(AND(J1283&lt;=2,K1283&lt;=2,L1283&lt;=2),"Lost",
"Others"))))</f>
        <v>Others</v>
      </c>
    </row>
    <row r="1284" spans="1:14" x14ac:dyDescent="0.35">
      <c r="A1284">
        <v>1216</v>
      </c>
      <c r="B1284" s="4">
        <v>45725.375085336993</v>
      </c>
      <c r="C1284" t="s">
        <v>8</v>
      </c>
      <c r="D1284" t="s">
        <v>22</v>
      </c>
      <c r="E1284" t="s">
        <v>23</v>
      </c>
      <c r="F1284">
        <v>6989.23</v>
      </c>
      <c r="G1284">
        <f t="array" ref="G1284">SalesData!$I$2 - 'RFM Table'!B1284</f>
        <v>411</v>
      </c>
      <c r="H1284">
        <f t="array" ref="H1284">COUNTIF(A:A,A1284)</f>
        <v>10</v>
      </c>
      <c r="I1284">
        <f t="array" ref="I1284">SUMIF(A:A,A1284,F:F)</f>
        <v>38608.230000000003</v>
      </c>
      <c r="J1284">
        <f t="array" ref="J1284">5 - INT(5 * (RANK(G1284,G:G, 1) - 1) / COUNT(G:G))</f>
        <v>3</v>
      </c>
      <c r="K1284">
        <f t="array" ref="K1284">INT(5 * (RANK(H1284,H:H, 0) - 1) / COUNT(H:H)) + 1</f>
        <v>2</v>
      </c>
      <c r="L1284">
        <f t="array" ref="L1284">INT(5 * (RANK(I1284,I:I, 0) - 1) / COUNT(I:I)) + 1</f>
        <v>2</v>
      </c>
      <c r="M1284" t="str">
        <f t="shared" si="40"/>
        <v>322</v>
      </c>
      <c r="N1284" s="6" t="str">
        <f t="shared" si="41"/>
        <v>Others</v>
      </c>
    </row>
    <row r="1285" spans="1:14" x14ac:dyDescent="0.35">
      <c r="A1285">
        <v>1118</v>
      </c>
      <c r="B1285" s="4">
        <v>45726.375085336993</v>
      </c>
      <c r="C1285" t="s">
        <v>7</v>
      </c>
      <c r="D1285" t="s">
        <v>21</v>
      </c>
      <c r="E1285" t="s">
        <v>24</v>
      </c>
      <c r="F1285">
        <v>9134.5400000000009</v>
      </c>
      <c r="G1285">
        <f t="array" ref="G1285">SalesData!$I$2 - 'RFM Table'!B1285</f>
        <v>410</v>
      </c>
      <c r="H1285">
        <f t="array" ref="H1285">COUNTIF(A:A,A1285)</f>
        <v>10</v>
      </c>
      <c r="I1285">
        <f t="array" ref="I1285">SUMIF(A:A,A1285,F:F)</f>
        <v>40587.47</v>
      </c>
      <c r="J1285">
        <f t="array" ref="J1285">5 - INT(5 * (RANK(G1285,G:G, 1) - 1) / COUNT(G:G))</f>
        <v>3</v>
      </c>
      <c r="K1285">
        <f t="array" ref="K1285">INT(5 * (RANK(H1285,H:H, 0) - 1) / COUNT(H:H)) + 1</f>
        <v>2</v>
      </c>
      <c r="L1285">
        <f t="array" ref="L1285">INT(5 * (RANK(I1285,I:I, 0) - 1) / COUNT(I:I)) + 1</f>
        <v>2</v>
      </c>
      <c r="M1285" t="str">
        <f t="shared" si="40"/>
        <v>322</v>
      </c>
      <c r="N1285" s="6" t="str">
        <f t="shared" si="41"/>
        <v>Others</v>
      </c>
    </row>
    <row r="1286" spans="1:14" x14ac:dyDescent="0.35">
      <c r="A1286">
        <v>1084</v>
      </c>
      <c r="B1286" s="4">
        <v>45726.375085336993</v>
      </c>
      <c r="C1286" t="s">
        <v>8</v>
      </c>
      <c r="D1286" t="s">
        <v>16</v>
      </c>
      <c r="E1286" t="s">
        <v>23</v>
      </c>
      <c r="F1286">
        <v>561.66999999999996</v>
      </c>
      <c r="G1286">
        <f t="array" ref="G1286">SalesData!$I$2 - 'RFM Table'!B1286</f>
        <v>410</v>
      </c>
      <c r="H1286">
        <f t="array" ref="H1286">COUNTIF(A:A,A1286)</f>
        <v>4</v>
      </c>
      <c r="I1286">
        <f t="array" ref="I1286">SUMIF(A:A,A1286,F:F)</f>
        <v>12531.98</v>
      </c>
      <c r="J1286">
        <f t="array" ref="J1286">5 - INT(5 * (RANK(G1286,G:G, 1) - 1) / COUNT(G:G))</f>
        <v>3</v>
      </c>
      <c r="K1286">
        <f t="array" ref="K1286">INT(5 * (RANK(H1286,H:H, 0) - 1) / COUNT(H:H)) + 1</f>
        <v>5</v>
      </c>
      <c r="L1286">
        <f t="array" ref="L1286">INT(5 * (RANK(I1286,I:I, 0) - 1) / COUNT(I:I)) + 1</f>
        <v>5</v>
      </c>
      <c r="M1286" t="str">
        <f t="shared" si="40"/>
        <v>355</v>
      </c>
      <c r="N1286" s="6" t="str">
        <f t="shared" si="41"/>
        <v>Others</v>
      </c>
    </row>
    <row r="1287" spans="1:14" x14ac:dyDescent="0.35">
      <c r="A1287">
        <v>1137</v>
      </c>
      <c r="B1287" s="4">
        <v>45726.375085336993</v>
      </c>
      <c r="C1287" t="s">
        <v>14</v>
      </c>
      <c r="D1287" t="s">
        <v>17</v>
      </c>
      <c r="E1287" t="s">
        <v>25</v>
      </c>
      <c r="F1287">
        <v>1315.19</v>
      </c>
      <c r="G1287">
        <f t="array" ref="G1287">SalesData!$I$2 - 'RFM Table'!B1287</f>
        <v>410</v>
      </c>
      <c r="H1287">
        <f t="array" ref="H1287">COUNTIF(A:A,A1287)</f>
        <v>5</v>
      </c>
      <c r="I1287">
        <f t="array" ref="I1287">SUMIF(A:A,A1287,F:F)</f>
        <v>18024.71</v>
      </c>
      <c r="J1287">
        <f t="array" ref="J1287">5 - INT(5 * (RANK(G1287,G:G, 1) - 1) / COUNT(G:G))</f>
        <v>3</v>
      </c>
      <c r="K1287">
        <f t="array" ref="K1287">INT(5 * (RANK(H1287,H:H, 0) - 1) / COUNT(H:H)) + 1</f>
        <v>5</v>
      </c>
      <c r="L1287">
        <f t="array" ref="L1287">INT(5 * (RANK(I1287,I:I, 0) - 1) / COUNT(I:I)) + 1</f>
        <v>5</v>
      </c>
      <c r="M1287" t="str">
        <f t="shared" si="40"/>
        <v>355</v>
      </c>
      <c r="N1287" s="6" t="str">
        <f t="shared" si="41"/>
        <v>Others</v>
      </c>
    </row>
    <row r="1288" spans="1:14" x14ac:dyDescent="0.35">
      <c r="A1288">
        <v>1215</v>
      </c>
      <c r="B1288" s="4">
        <v>45727.375085336993</v>
      </c>
      <c r="C1288" t="s">
        <v>12</v>
      </c>
      <c r="D1288" t="s">
        <v>22</v>
      </c>
      <c r="E1288" t="s">
        <v>25</v>
      </c>
      <c r="F1288">
        <v>1943.52</v>
      </c>
      <c r="G1288">
        <f t="array" ref="G1288">SalesData!$I$2 - 'RFM Table'!B1288</f>
        <v>409</v>
      </c>
      <c r="H1288">
        <f t="array" ref="H1288">COUNTIF(A:A,A1288)</f>
        <v>9</v>
      </c>
      <c r="I1288">
        <f t="array" ref="I1288">SUMIF(A:A,A1288,F:F)</f>
        <v>26752.640000000003</v>
      </c>
      <c r="J1288">
        <f t="array" ref="J1288">5 - INT(5 * (RANK(G1288,G:G, 1) - 1) / COUNT(G:G))</f>
        <v>3</v>
      </c>
      <c r="K1288">
        <f t="array" ref="K1288">INT(5 * (RANK(H1288,H:H, 0) - 1) / COUNT(H:H)) + 1</f>
        <v>2</v>
      </c>
      <c r="L1288">
        <f t="array" ref="L1288">INT(5 * (RANK(I1288,I:I, 0) - 1) / COUNT(I:I)) + 1</f>
        <v>4</v>
      </c>
      <c r="M1288" t="str">
        <f t="shared" si="40"/>
        <v>324</v>
      </c>
      <c r="N1288" s="6" t="str">
        <f t="shared" si="41"/>
        <v>Others</v>
      </c>
    </row>
    <row r="1289" spans="1:14" x14ac:dyDescent="0.35">
      <c r="A1289">
        <v>1097</v>
      </c>
      <c r="B1289" s="4">
        <v>45727.375085336993</v>
      </c>
      <c r="C1289" t="s">
        <v>11</v>
      </c>
      <c r="D1289" t="s">
        <v>22</v>
      </c>
      <c r="E1289" t="s">
        <v>24</v>
      </c>
      <c r="F1289">
        <v>10187.69</v>
      </c>
      <c r="G1289">
        <f t="array" ref="G1289">SalesData!$I$2 - 'RFM Table'!B1289</f>
        <v>409</v>
      </c>
      <c r="H1289">
        <f t="array" ref="H1289">COUNTIF(A:A,A1289)</f>
        <v>9</v>
      </c>
      <c r="I1289">
        <f t="array" ref="I1289">SUMIF(A:A,A1289,F:F)</f>
        <v>51674.6</v>
      </c>
      <c r="J1289">
        <f t="array" ref="J1289">5 - INT(5 * (RANK(G1289,G:G, 1) - 1) / COUNT(G:G))</f>
        <v>3</v>
      </c>
      <c r="K1289">
        <f t="array" ref="K1289">INT(5 * (RANK(H1289,H:H, 0) - 1) / COUNT(H:H)) + 1</f>
        <v>2</v>
      </c>
      <c r="L1289">
        <f t="array" ref="L1289">INT(5 * (RANK(I1289,I:I, 0) - 1) / COUNT(I:I)) + 1</f>
        <v>1</v>
      </c>
      <c r="M1289" t="str">
        <f t="shared" si="40"/>
        <v>321</v>
      </c>
      <c r="N1289" s="6" t="str">
        <f t="shared" si="41"/>
        <v>Others</v>
      </c>
    </row>
    <row r="1290" spans="1:14" x14ac:dyDescent="0.35">
      <c r="A1290">
        <v>1392</v>
      </c>
      <c r="B1290" s="4">
        <v>45727.375085336993</v>
      </c>
      <c r="C1290" t="s">
        <v>12</v>
      </c>
      <c r="D1290" t="s">
        <v>20</v>
      </c>
      <c r="E1290" t="s">
        <v>23</v>
      </c>
      <c r="F1290">
        <v>2419.81</v>
      </c>
      <c r="G1290">
        <f t="array" ref="G1290">SalesData!$I$2 - 'RFM Table'!B1290</f>
        <v>409</v>
      </c>
      <c r="H1290">
        <f t="array" ref="H1290">COUNTIF(A:A,A1290)</f>
        <v>10</v>
      </c>
      <c r="I1290">
        <f t="array" ref="I1290">SUMIF(A:A,A1290,F:F)</f>
        <v>27910.07</v>
      </c>
      <c r="J1290">
        <f t="array" ref="J1290">5 - INT(5 * (RANK(G1290,G:G, 1) - 1) / COUNT(G:G))</f>
        <v>3</v>
      </c>
      <c r="K1290">
        <f t="array" ref="K1290">INT(5 * (RANK(H1290,H:H, 0) - 1) / COUNT(H:H)) + 1</f>
        <v>2</v>
      </c>
      <c r="L1290">
        <f t="array" ref="L1290">INT(5 * (RANK(I1290,I:I, 0) - 1) / COUNT(I:I)) + 1</f>
        <v>4</v>
      </c>
      <c r="M1290" t="str">
        <f t="shared" si="40"/>
        <v>324</v>
      </c>
      <c r="N1290" s="6" t="str">
        <f t="shared" si="41"/>
        <v>Others</v>
      </c>
    </row>
    <row r="1291" spans="1:14" x14ac:dyDescent="0.35">
      <c r="A1291">
        <v>1272</v>
      </c>
      <c r="B1291" s="4">
        <v>45728.375085336993</v>
      </c>
      <c r="C1291" t="s">
        <v>13</v>
      </c>
      <c r="D1291" t="s">
        <v>18</v>
      </c>
      <c r="E1291" t="s">
        <v>23</v>
      </c>
      <c r="F1291">
        <v>13517.06</v>
      </c>
      <c r="G1291">
        <f t="array" ref="G1291">SalesData!$I$2 - 'RFM Table'!B1291</f>
        <v>408</v>
      </c>
      <c r="H1291">
        <f t="array" ref="H1291">COUNTIF(A:A,A1291)</f>
        <v>10</v>
      </c>
      <c r="I1291">
        <f t="array" ref="I1291">SUMIF(A:A,A1291,F:F)</f>
        <v>54972.43</v>
      </c>
      <c r="J1291">
        <f t="array" ref="J1291">5 - INT(5 * (RANK(G1291,G:G, 1) - 1) / COUNT(G:G))</f>
        <v>3</v>
      </c>
      <c r="K1291">
        <f t="array" ref="K1291">INT(5 * (RANK(H1291,H:H, 0) - 1) / COUNT(H:H)) + 1</f>
        <v>2</v>
      </c>
      <c r="L1291">
        <f t="array" ref="L1291">INT(5 * (RANK(I1291,I:I, 0) - 1) / COUNT(I:I)) + 1</f>
        <v>1</v>
      </c>
      <c r="M1291" t="str">
        <f t="shared" si="40"/>
        <v>321</v>
      </c>
      <c r="N1291" s="6" t="str">
        <f t="shared" si="41"/>
        <v>Others</v>
      </c>
    </row>
    <row r="1292" spans="1:14" x14ac:dyDescent="0.35">
      <c r="A1292">
        <v>1364</v>
      </c>
      <c r="B1292" s="4">
        <v>45728.375085336993</v>
      </c>
      <c r="C1292" t="s">
        <v>11</v>
      </c>
      <c r="D1292" t="s">
        <v>22</v>
      </c>
      <c r="E1292" t="s">
        <v>23</v>
      </c>
      <c r="F1292">
        <v>4625.47</v>
      </c>
      <c r="G1292">
        <f t="array" ref="G1292">SalesData!$I$2 - 'RFM Table'!B1292</f>
        <v>408</v>
      </c>
      <c r="H1292">
        <f t="array" ref="H1292">COUNTIF(A:A,A1292)</f>
        <v>11</v>
      </c>
      <c r="I1292">
        <f t="array" ref="I1292">SUMIF(A:A,A1292,F:F)</f>
        <v>39674.43</v>
      </c>
      <c r="J1292">
        <f t="array" ref="J1292">5 - INT(5 * (RANK(G1292,G:G, 1) - 1) / COUNT(G:G))</f>
        <v>3</v>
      </c>
      <c r="K1292">
        <f t="array" ref="K1292">INT(5 * (RANK(H1292,H:H, 0) - 1) / COUNT(H:H)) + 1</f>
        <v>1</v>
      </c>
      <c r="L1292">
        <f t="array" ref="L1292">INT(5 * (RANK(I1292,I:I, 0) - 1) / COUNT(I:I)) + 1</f>
        <v>2</v>
      </c>
      <c r="M1292" t="str">
        <f t="shared" si="40"/>
        <v>312</v>
      </c>
      <c r="N1292" s="6" t="str">
        <f t="shared" si="41"/>
        <v>Others</v>
      </c>
    </row>
    <row r="1293" spans="1:14" x14ac:dyDescent="0.35">
      <c r="A1293">
        <v>1127</v>
      </c>
      <c r="B1293" s="4">
        <v>45729.375085336993</v>
      </c>
      <c r="C1293" t="s">
        <v>8</v>
      </c>
      <c r="D1293" t="s">
        <v>21</v>
      </c>
      <c r="E1293" t="s">
        <v>23</v>
      </c>
      <c r="F1293">
        <v>3045.99</v>
      </c>
      <c r="G1293">
        <f t="array" ref="G1293">SalesData!$I$2 - 'RFM Table'!B1293</f>
        <v>407</v>
      </c>
      <c r="H1293">
        <f t="array" ref="H1293">COUNTIF(A:A,A1293)</f>
        <v>9</v>
      </c>
      <c r="I1293">
        <f t="array" ref="I1293">SUMIF(A:A,A1293,F:F)</f>
        <v>30288.86</v>
      </c>
      <c r="J1293">
        <f t="array" ref="J1293">5 - INT(5 * (RANK(G1293,G:G, 1) - 1) / COUNT(G:G))</f>
        <v>3</v>
      </c>
      <c r="K1293">
        <f t="array" ref="K1293">INT(5 * (RANK(H1293,H:H, 0) - 1) / COUNT(H:H)) + 1</f>
        <v>2</v>
      </c>
      <c r="L1293">
        <f t="array" ref="L1293">INT(5 * (RANK(I1293,I:I, 0) - 1) / COUNT(I:I)) + 1</f>
        <v>3</v>
      </c>
      <c r="M1293" t="str">
        <f t="shared" si="40"/>
        <v>323</v>
      </c>
      <c r="N1293" s="6" t="str">
        <f t="shared" si="41"/>
        <v>Others</v>
      </c>
    </row>
    <row r="1294" spans="1:14" x14ac:dyDescent="0.35">
      <c r="A1294">
        <v>1189</v>
      </c>
      <c r="B1294" s="4">
        <v>45729.375085336993</v>
      </c>
      <c r="C1294" t="s">
        <v>14</v>
      </c>
      <c r="D1294" t="s">
        <v>22</v>
      </c>
      <c r="E1294" t="s">
        <v>23</v>
      </c>
      <c r="F1294">
        <v>2161.92</v>
      </c>
      <c r="G1294">
        <f t="array" ref="G1294">SalesData!$I$2 - 'RFM Table'!B1294</f>
        <v>407</v>
      </c>
      <c r="H1294">
        <f t="array" ref="H1294">COUNTIF(A:A,A1294)</f>
        <v>10</v>
      </c>
      <c r="I1294">
        <f t="array" ref="I1294">SUMIF(A:A,A1294,F:F)</f>
        <v>29994.030000000002</v>
      </c>
      <c r="J1294">
        <f t="array" ref="J1294">5 - INT(5 * (RANK(G1294,G:G, 1) - 1) / COUNT(G:G))</f>
        <v>3</v>
      </c>
      <c r="K1294">
        <f t="array" ref="K1294">INT(5 * (RANK(H1294,H:H, 0) - 1) / COUNT(H:H)) + 1</f>
        <v>2</v>
      </c>
      <c r="L1294">
        <f t="array" ref="L1294">INT(5 * (RANK(I1294,I:I, 0) - 1) / COUNT(I:I)) + 1</f>
        <v>3</v>
      </c>
      <c r="M1294" t="str">
        <f t="shared" si="40"/>
        <v>323</v>
      </c>
      <c r="N1294" s="6" t="str">
        <f t="shared" si="41"/>
        <v>Others</v>
      </c>
    </row>
    <row r="1295" spans="1:14" x14ac:dyDescent="0.35">
      <c r="A1295">
        <v>1032</v>
      </c>
      <c r="B1295" s="4">
        <v>45729.375085336993</v>
      </c>
      <c r="C1295" t="s">
        <v>10</v>
      </c>
      <c r="D1295" t="s">
        <v>16</v>
      </c>
      <c r="E1295" t="s">
        <v>23</v>
      </c>
      <c r="F1295">
        <v>319.85000000000002</v>
      </c>
      <c r="G1295">
        <f t="array" ref="G1295">SalesData!$I$2 - 'RFM Table'!B1295</f>
        <v>407</v>
      </c>
      <c r="H1295">
        <f t="array" ref="H1295">COUNTIF(A:A,A1295)</f>
        <v>4</v>
      </c>
      <c r="I1295">
        <f t="array" ref="I1295">SUMIF(A:A,A1295,F:F)</f>
        <v>24173.510000000002</v>
      </c>
      <c r="J1295">
        <f t="array" ref="J1295">5 - INT(5 * (RANK(G1295,G:G, 1) - 1) / COUNT(G:G))</f>
        <v>3</v>
      </c>
      <c r="K1295">
        <f t="array" ref="K1295">INT(5 * (RANK(H1295,H:H, 0) - 1) / COUNT(H:H)) + 1</f>
        <v>5</v>
      </c>
      <c r="L1295">
        <f t="array" ref="L1295">INT(5 * (RANK(I1295,I:I, 0) - 1) / COUNT(I:I)) + 1</f>
        <v>4</v>
      </c>
      <c r="M1295" t="str">
        <f t="shared" si="40"/>
        <v>354</v>
      </c>
      <c r="N1295" s="6" t="str">
        <f t="shared" si="41"/>
        <v>Others</v>
      </c>
    </row>
    <row r="1296" spans="1:14" x14ac:dyDescent="0.35">
      <c r="A1296">
        <v>1098</v>
      </c>
      <c r="B1296" s="4">
        <v>45730.375085336993</v>
      </c>
      <c r="C1296" t="s">
        <v>15</v>
      </c>
      <c r="D1296" t="s">
        <v>20</v>
      </c>
      <c r="E1296" t="s">
        <v>25</v>
      </c>
      <c r="F1296">
        <v>2415.4299999999998</v>
      </c>
      <c r="G1296">
        <f t="array" ref="G1296">SalesData!$I$2 - 'RFM Table'!B1296</f>
        <v>406</v>
      </c>
      <c r="H1296">
        <f t="array" ref="H1296">COUNTIF(A:A,A1296)</f>
        <v>12</v>
      </c>
      <c r="I1296">
        <f t="array" ref="I1296">SUMIF(A:A,A1296,F:F)</f>
        <v>36909.899999999994</v>
      </c>
      <c r="J1296">
        <f t="array" ref="J1296">5 - INT(5 * (RANK(G1296,G:G, 1) - 1) / COUNT(G:G))</f>
        <v>3</v>
      </c>
      <c r="K1296">
        <f t="array" ref="K1296">INT(5 * (RANK(H1296,H:H, 0) - 1) / COUNT(H:H)) + 1</f>
        <v>1</v>
      </c>
      <c r="L1296">
        <f t="array" ref="L1296">INT(5 * (RANK(I1296,I:I, 0) - 1) / COUNT(I:I)) + 1</f>
        <v>2</v>
      </c>
      <c r="M1296" t="str">
        <f t="shared" si="40"/>
        <v>312</v>
      </c>
      <c r="N1296" s="6" t="str">
        <f t="shared" si="41"/>
        <v>Others</v>
      </c>
    </row>
    <row r="1297" spans="1:14" x14ac:dyDescent="0.35">
      <c r="A1297">
        <v>1281</v>
      </c>
      <c r="B1297" s="4">
        <v>45730.375085336993</v>
      </c>
      <c r="C1297" t="s">
        <v>12</v>
      </c>
      <c r="D1297" t="s">
        <v>16</v>
      </c>
      <c r="E1297" t="s">
        <v>25</v>
      </c>
      <c r="F1297">
        <v>8461.2999999999993</v>
      </c>
      <c r="G1297">
        <f t="array" ref="G1297">SalesData!$I$2 - 'RFM Table'!B1297</f>
        <v>406</v>
      </c>
      <c r="H1297">
        <f t="array" ref="H1297">COUNTIF(A:A,A1297)</f>
        <v>10</v>
      </c>
      <c r="I1297">
        <f t="array" ref="I1297">SUMIF(A:A,A1297,F:F)</f>
        <v>49420.710000000006</v>
      </c>
      <c r="J1297">
        <f t="array" ref="J1297">5 - INT(5 * (RANK(G1297,G:G, 1) - 1) / COUNT(G:G))</f>
        <v>3</v>
      </c>
      <c r="K1297">
        <f t="array" ref="K1297">INT(5 * (RANK(H1297,H:H, 0) - 1) / COUNT(H:H)) + 1</f>
        <v>2</v>
      </c>
      <c r="L1297">
        <f t="array" ref="L1297">INT(5 * (RANK(I1297,I:I, 0) - 1) / COUNT(I:I)) + 1</f>
        <v>1</v>
      </c>
      <c r="M1297" t="str">
        <f t="shared" si="40"/>
        <v>321</v>
      </c>
      <c r="N1297" s="6" t="str">
        <f t="shared" si="41"/>
        <v>Others</v>
      </c>
    </row>
    <row r="1298" spans="1:14" x14ac:dyDescent="0.35">
      <c r="A1298">
        <v>1148</v>
      </c>
      <c r="B1298" s="4">
        <v>45730.375085336993</v>
      </c>
      <c r="C1298" t="s">
        <v>14</v>
      </c>
      <c r="D1298" t="s">
        <v>18</v>
      </c>
      <c r="E1298" t="s">
        <v>24</v>
      </c>
      <c r="F1298">
        <v>10309</v>
      </c>
      <c r="G1298">
        <f t="array" ref="G1298">SalesData!$I$2 - 'RFM Table'!B1298</f>
        <v>406</v>
      </c>
      <c r="H1298">
        <f t="array" ref="H1298">COUNTIF(A:A,A1298)</f>
        <v>12</v>
      </c>
      <c r="I1298">
        <f t="array" ref="I1298">SUMIF(A:A,A1298,F:F)</f>
        <v>83986.299999999988</v>
      </c>
      <c r="J1298">
        <f t="array" ref="J1298">5 - INT(5 * (RANK(G1298,G:G, 1) - 1) / COUNT(G:G))</f>
        <v>3</v>
      </c>
      <c r="K1298">
        <f t="array" ref="K1298">INT(5 * (RANK(H1298,H:H, 0) - 1) / COUNT(H:H)) + 1</f>
        <v>1</v>
      </c>
      <c r="L1298">
        <f t="array" ref="L1298">INT(5 * (RANK(I1298,I:I, 0) - 1) / COUNT(I:I)) + 1</f>
        <v>1</v>
      </c>
      <c r="M1298" t="str">
        <f t="shared" si="40"/>
        <v>311</v>
      </c>
      <c r="N1298" s="6" t="str">
        <f t="shared" si="41"/>
        <v>Others</v>
      </c>
    </row>
    <row r="1299" spans="1:14" x14ac:dyDescent="0.35">
      <c r="A1299">
        <v>1214</v>
      </c>
      <c r="B1299" s="4">
        <v>45730.375085336993</v>
      </c>
      <c r="C1299" t="s">
        <v>9</v>
      </c>
      <c r="D1299" t="s">
        <v>17</v>
      </c>
      <c r="E1299" t="s">
        <v>24</v>
      </c>
      <c r="F1299">
        <v>6089.71</v>
      </c>
      <c r="G1299">
        <f t="array" ref="G1299">SalesData!$I$2 - 'RFM Table'!B1299</f>
        <v>406</v>
      </c>
      <c r="H1299">
        <f t="array" ref="H1299">COUNTIF(A:A,A1299)</f>
        <v>12</v>
      </c>
      <c r="I1299">
        <f t="array" ref="I1299">SUMIF(A:A,A1299,F:F)</f>
        <v>49382.650000000009</v>
      </c>
      <c r="J1299">
        <f t="array" ref="J1299">5 - INT(5 * (RANK(G1299,G:G, 1) - 1) / COUNT(G:G))</f>
        <v>3</v>
      </c>
      <c r="K1299">
        <f t="array" ref="K1299">INT(5 * (RANK(H1299,H:H, 0) - 1) / COUNT(H:H)) + 1</f>
        <v>1</v>
      </c>
      <c r="L1299">
        <f t="array" ref="L1299">INT(5 * (RANK(I1299,I:I, 0) - 1) / COUNT(I:I)) + 1</f>
        <v>1</v>
      </c>
      <c r="M1299" t="str">
        <f t="shared" si="40"/>
        <v>311</v>
      </c>
      <c r="N1299" s="6" t="str">
        <f t="shared" si="41"/>
        <v>Others</v>
      </c>
    </row>
    <row r="1300" spans="1:14" x14ac:dyDescent="0.35">
      <c r="A1300">
        <v>1222</v>
      </c>
      <c r="B1300" s="4">
        <v>45730.375085336993</v>
      </c>
      <c r="C1300" t="s">
        <v>15</v>
      </c>
      <c r="D1300" t="s">
        <v>17</v>
      </c>
      <c r="E1300" t="s">
        <v>23</v>
      </c>
      <c r="F1300">
        <v>2261.5100000000002</v>
      </c>
      <c r="G1300">
        <f t="array" ref="G1300">SalesData!$I$2 - 'RFM Table'!B1300</f>
        <v>406</v>
      </c>
      <c r="H1300">
        <f t="array" ref="H1300">COUNTIF(A:A,A1300)</f>
        <v>12</v>
      </c>
      <c r="I1300">
        <f t="array" ref="I1300">SUMIF(A:A,A1300,F:F)</f>
        <v>45191.609999999993</v>
      </c>
      <c r="J1300">
        <f t="array" ref="J1300">5 - INT(5 * (RANK(G1300,G:G, 1) - 1) / COUNT(G:G))</f>
        <v>3</v>
      </c>
      <c r="K1300">
        <f t="array" ref="K1300">INT(5 * (RANK(H1300,H:H, 0) - 1) / COUNT(H:H)) + 1</f>
        <v>1</v>
      </c>
      <c r="L1300">
        <f t="array" ref="L1300">INT(5 * (RANK(I1300,I:I, 0) - 1) / COUNT(I:I)) + 1</f>
        <v>1</v>
      </c>
      <c r="M1300" t="str">
        <f t="shared" si="40"/>
        <v>311</v>
      </c>
      <c r="N1300" s="6" t="str">
        <f t="shared" si="41"/>
        <v>Others</v>
      </c>
    </row>
    <row r="1301" spans="1:14" x14ac:dyDescent="0.35">
      <c r="A1301">
        <v>1130</v>
      </c>
      <c r="B1301" s="4">
        <v>45731.375085336993</v>
      </c>
      <c r="C1301" t="s">
        <v>10</v>
      </c>
      <c r="D1301" t="s">
        <v>16</v>
      </c>
      <c r="E1301" t="s">
        <v>24</v>
      </c>
      <c r="F1301">
        <v>2764.08</v>
      </c>
      <c r="G1301">
        <f t="array" ref="G1301">SalesData!$I$2 - 'RFM Table'!B1301</f>
        <v>405</v>
      </c>
      <c r="H1301">
        <f t="array" ref="H1301">COUNTIF(A:A,A1301)</f>
        <v>9</v>
      </c>
      <c r="I1301">
        <f t="array" ref="I1301">SUMIF(A:A,A1301,F:F)</f>
        <v>36963.729999999996</v>
      </c>
      <c r="J1301">
        <f t="array" ref="J1301">5 - INT(5 * (RANK(G1301,G:G, 1) - 1) / COUNT(G:G))</f>
        <v>3</v>
      </c>
      <c r="K1301">
        <f t="array" ref="K1301">INT(5 * (RANK(H1301,H:H, 0) - 1) / COUNT(H:H)) + 1</f>
        <v>2</v>
      </c>
      <c r="L1301">
        <f t="array" ref="L1301">INT(5 * (RANK(I1301,I:I, 0) - 1) / COUNT(I:I)) + 1</f>
        <v>2</v>
      </c>
      <c r="M1301" t="str">
        <f t="shared" si="40"/>
        <v>322</v>
      </c>
      <c r="N1301" s="6" t="str">
        <f t="shared" si="41"/>
        <v>Others</v>
      </c>
    </row>
    <row r="1302" spans="1:14" x14ac:dyDescent="0.35">
      <c r="A1302">
        <v>1263</v>
      </c>
      <c r="B1302" s="4">
        <v>45731.375085336993</v>
      </c>
      <c r="C1302" t="s">
        <v>11</v>
      </c>
      <c r="D1302" t="s">
        <v>19</v>
      </c>
      <c r="E1302" t="s">
        <v>25</v>
      </c>
      <c r="F1302">
        <v>11403.51</v>
      </c>
      <c r="G1302">
        <f t="array" ref="G1302">SalesData!$I$2 - 'RFM Table'!B1302</f>
        <v>405</v>
      </c>
      <c r="H1302">
        <f t="array" ref="H1302">COUNTIF(A:A,A1302)</f>
        <v>15</v>
      </c>
      <c r="I1302">
        <f t="array" ref="I1302">SUMIF(A:A,A1302,F:F)</f>
        <v>55867.080000000016</v>
      </c>
      <c r="J1302">
        <f t="array" ref="J1302">5 - INT(5 * (RANK(G1302,G:G, 1) - 1) / COUNT(G:G))</f>
        <v>3</v>
      </c>
      <c r="K1302">
        <f t="array" ref="K1302">INT(5 * (RANK(H1302,H:H, 0) - 1) / COUNT(H:H)) + 1</f>
        <v>1</v>
      </c>
      <c r="L1302">
        <f t="array" ref="L1302">INT(5 * (RANK(I1302,I:I, 0) - 1) / COUNT(I:I)) + 1</f>
        <v>1</v>
      </c>
      <c r="M1302" t="str">
        <f t="shared" si="40"/>
        <v>311</v>
      </c>
      <c r="N1302" s="6" t="str">
        <f t="shared" si="41"/>
        <v>Others</v>
      </c>
    </row>
    <row r="1303" spans="1:14" x14ac:dyDescent="0.35">
      <c r="A1303">
        <v>1312</v>
      </c>
      <c r="B1303" s="4">
        <v>45731.375085336993</v>
      </c>
      <c r="C1303" t="s">
        <v>10</v>
      </c>
      <c r="D1303" t="s">
        <v>18</v>
      </c>
      <c r="E1303" t="s">
        <v>24</v>
      </c>
      <c r="F1303">
        <v>3903.76</v>
      </c>
      <c r="G1303">
        <f t="array" ref="G1303">SalesData!$I$2 - 'RFM Table'!B1303</f>
        <v>405</v>
      </c>
      <c r="H1303">
        <f t="array" ref="H1303">COUNTIF(A:A,A1303)</f>
        <v>8</v>
      </c>
      <c r="I1303">
        <f t="array" ref="I1303">SUMIF(A:A,A1303,F:F)</f>
        <v>31330.839999999997</v>
      </c>
      <c r="J1303">
        <f t="array" ref="J1303">5 - INT(5 * (RANK(G1303,G:G, 1) - 1) / COUNT(G:G))</f>
        <v>3</v>
      </c>
      <c r="K1303">
        <f t="array" ref="K1303">INT(5 * (RANK(H1303,H:H, 0) - 1) / COUNT(H:H)) + 1</f>
        <v>3</v>
      </c>
      <c r="L1303">
        <f t="array" ref="L1303">INT(5 * (RANK(I1303,I:I, 0) - 1) / COUNT(I:I)) + 1</f>
        <v>3</v>
      </c>
      <c r="M1303" t="str">
        <f t="shared" si="40"/>
        <v>333</v>
      </c>
      <c r="N1303" s="6" t="str">
        <f t="shared" si="41"/>
        <v>Others</v>
      </c>
    </row>
    <row r="1304" spans="1:14" x14ac:dyDescent="0.35">
      <c r="A1304">
        <v>1392</v>
      </c>
      <c r="B1304" s="4">
        <v>45732.375085336993</v>
      </c>
      <c r="C1304" t="s">
        <v>13</v>
      </c>
      <c r="D1304" t="s">
        <v>17</v>
      </c>
      <c r="E1304" t="s">
        <v>25</v>
      </c>
      <c r="F1304">
        <v>3133.34</v>
      </c>
      <c r="G1304">
        <f t="array" ref="G1304">SalesData!$I$2 - 'RFM Table'!B1304</f>
        <v>404</v>
      </c>
      <c r="H1304">
        <f t="array" ref="H1304">COUNTIF(A:A,A1304)</f>
        <v>10</v>
      </c>
      <c r="I1304">
        <f t="array" ref="I1304">SUMIF(A:A,A1304,F:F)</f>
        <v>27910.07</v>
      </c>
      <c r="J1304">
        <f t="array" ref="J1304">5 - INT(5 * (RANK(G1304,G:G, 1) - 1) / COUNT(G:G))</f>
        <v>3</v>
      </c>
      <c r="K1304">
        <f t="array" ref="K1304">INT(5 * (RANK(H1304,H:H, 0) - 1) / COUNT(H:H)) + 1</f>
        <v>2</v>
      </c>
      <c r="L1304">
        <f t="array" ref="L1304">INT(5 * (RANK(I1304,I:I, 0) - 1) / COUNT(I:I)) + 1</f>
        <v>4</v>
      </c>
      <c r="M1304" t="str">
        <f t="shared" si="40"/>
        <v>324</v>
      </c>
      <c r="N1304" s="6" t="str">
        <f t="shared" si="41"/>
        <v>Others</v>
      </c>
    </row>
    <row r="1305" spans="1:14" x14ac:dyDescent="0.35">
      <c r="A1305">
        <v>1220</v>
      </c>
      <c r="B1305" s="4">
        <v>45732.375085336993</v>
      </c>
      <c r="C1305" t="s">
        <v>11</v>
      </c>
      <c r="D1305" t="s">
        <v>20</v>
      </c>
      <c r="E1305" t="s">
        <v>24</v>
      </c>
      <c r="F1305">
        <v>2207.19</v>
      </c>
      <c r="G1305">
        <f t="array" ref="G1305">SalesData!$I$2 - 'RFM Table'!B1305</f>
        <v>404</v>
      </c>
      <c r="H1305">
        <f t="array" ref="H1305">COUNTIF(A:A,A1305)</f>
        <v>6</v>
      </c>
      <c r="I1305">
        <f t="array" ref="I1305">SUMIF(A:A,A1305,F:F)</f>
        <v>29693.030000000002</v>
      </c>
      <c r="J1305">
        <f t="array" ref="J1305">5 - INT(5 * (RANK(G1305,G:G, 1) - 1) / COUNT(G:G))</f>
        <v>3</v>
      </c>
      <c r="K1305">
        <f t="array" ref="K1305">INT(5 * (RANK(H1305,H:H, 0) - 1) / COUNT(H:H)) + 1</f>
        <v>4</v>
      </c>
      <c r="L1305">
        <f t="array" ref="L1305">INT(5 * (RANK(I1305,I:I, 0) - 1) / COUNT(I:I)) + 1</f>
        <v>3</v>
      </c>
      <c r="M1305" t="str">
        <f t="shared" si="40"/>
        <v>343</v>
      </c>
      <c r="N1305" s="6" t="str">
        <f t="shared" si="41"/>
        <v>Others</v>
      </c>
    </row>
    <row r="1306" spans="1:14" x14ac:dyDescent="0.35">
      <c r="A1306">
        <v>1127</v>
      </c>
      <c r="B1306" s="4">
        <v>45732.375085336993</v>
      </c>
      <c r="C1306" t="s">
        <v>14</v>
      </c>
      <c r="D1306" t="s">
        <v>18</v>
      </c>
      <c r="E1306" t="s">
        <v>23</v>
      </c>
      <c r="F1306">
        <v>5333.95</v>
      </c>
      <c r="G1306">
        <f t="array" ref="G1306">SalesData!$I$2 - 'RFM Table'!B1306</f>
        <v>404</v>
      </c>
      <c r="H1306">
        <f t="array" ref="H1306">COUNTIF(A:A,A1306)</f>
        <v>9</v>
      </c>
      <c r="I1306">
        <f t="array" ref="I1306">SUMIF(A:A,A1306,F:F)</f>
        <v>30288.86</v>
      </c>
      <c r="J1306">
        <f t="array" ref="J1306">5 - INT(5 * (RANK(G1306,G:G, 1) - 1) / COUNT(G:G))</f>
        <v>3</v>
      </c>
      <c r="K1306">
        <f t="array" ref="K1306">INT(5 * (RANK(H1306,H:H, 0) - 1) / COUNT(H:H)) + 1</f>
        <v>2</v>
      </c>
      <c r="L1306">
        <f t="array" ref="L1306">INT(5 * (RANK(I1306,I:I, 0) - 1) / COUNT(I:I)) + 1</f>
        <v>3</v>
      </c>
      <c r="M1306" t="str">
        <f t="shared" si="40"/>
        <v>323</v>
      </c>
      <c r="N1306" s="6" t="str">
        <f t="shared" si="41"/>
        <v>Others</v>
      </c>
    </row>
    <row r="1307" spans="1:14" x14ac:dyDescent="0.35">
      <c r="A1307">
        <v>1359</v>
      </c>
      <c r="B1307" s="4">
        <v>45732.375085336993</v>
      </c>
      <c r="C1307" t="s">
        <v>12</v>
      </c>
      <c r="D1307" t="s">
        <v>17</v>
      </c>
      <c r="E1307" t="s">
        <v>24</v>
      </c>
      <c r="F1307">
        <v>1512.49</v>
      </c>
      <c r="G1307">
        <f t="array" ref="G1307">SalesData!$I$2 - 'RFM Table'!B1307</f>
        <v>404</v>
      </c>
      <c r="H1307">
        <f t="array" ref="H1307">COUNTIF(A:A,A1307)</f>
        <v>13</v>
      </c>
      <c r="I1307">
        <f t="array" ref="I1307">SUMIF(A:A,A1307,F:F)</f>
        <v>40402.14</v>
      </c>
      <c r="J1307">
        <f t="array" ref="J1307">5 - INT(5 * (RANK(G1307,G:G, 1) - 1) / COUNT(G:G))</f>
        <v>3</v>
      </c>
      <c r="K1307">
        <f t="array" ref="K1307">INT(5 * (RANK(H1307,H:H, 0) - 1) / COUNT(H:H)) + 1</f>
        <v>1</v>
      </c>
      <c r="L1307">
        <f t="array" ref="L1307">INT(5 * (RANK(I1307,I:I, 0) - 1) / COUNT(I:I)) + 1</f>
        <v>2</v>
      </c>
      <c r="M1307" t="str">
        <f t="shared" si="40"/>
        <v>312</v>
      </c>
      <c r="N1307" s="6" t="str">
        <f t="shared" si="41"/>
        <v>Others</v>
      </c>
    </row>
    <row r="1308" spans="1:14" x14ac:dyDescent="0.35">
      <c r="A1308">
        <v>1159</v>
      </c>
      <c r="B1308" s="4">
        <v>45732.375085336993</v>
      </c>
      <c r="C1308" t="s">
        <v>6</v>
      </c>
      <c r="D1308" t="s">
        <v>17</v>
      </c>
      <c r="E1308" t="s">
        <v>23</v>
      </c>
      <c r="F1308">
        <v>2804.06</v>
      </c>
      <c r="G1308">
        <f t="array" ref="G1308">SalesData!$I$2 - 'RFM Table'!B1308</f>
        <v>404</v>
      </c>
      <c r="H1308">
        <f t="array" ref="H1308">COUNTIF(A:A,A1308)</f>
        <v>15</v>
      </c>
      <c r="I1308">
        <f t="array" ref="I1308">SUMIF(A:A,A1308,F:F)</f>
        <v>57217.139999999992</v>
      </c>
      <c r="J1308">
        <f t="array" ref="J1308">5 - INT(5 * (RANK(G1308,G:G, 1) - 1) / COUNT(G:G))</f>
        <v>3</v>
      </c>
      <c r="K1308">
        <f t="array" ref="K1308">INT(5 * (RANK(H1308,H:H, 0) - 1) / COUNT(H:H)) + 1</f>
        <v>1</v>
      </c>
      <c r="L1308">
        <f t="array" ref="L1308">INT(5 * (RANK(I1308,I:I, 0) - 1) / COUNT(I:I)) + 1</f>
        <v>1</v>
      </c>
      <c r="M1308" t="str">
        <f t="shared" si="40"/>
        <v>311</v>
      </c>
      <c r="N1308" s="6" t="str">
        <f t="shared" si="41"/>
        <v>Others</v>
      </c>
    </row>
    <row r="1309" spans="1:14" x14ac:dyDescent="0.35">
      <c r="A1309">
        <v>1164</v>
      </c>
      <c r="B1309" s="4">
        <v>45732.375085336993</v>
      </c>
      <c r="C1309" t="s">
        <v>12</v>
      </c>
      <c r="D1309" t="s">
        <v>16</v>
      </c>
      <c r="E1309" t="s">
        <v>25</v>
      </c>
      <c r="F1309">
        <v>2038.65</v>
      </c>
      <c r="G1309">
        <f t="array" ref="G1309">SalesData!$I$2 - 'RFM Table'!B1309</f>
        <v>404</v>
      </c>
      <c r="H1309">
        <f t="array" ref="H1309">COUNTIF(A:A,A1309)</f>
        <v>7</v>
      </c>
      <c r="I1309">
        <f t="array" ref="I1309">SUMIF(A:A,A1309,F:F)</f>
        <v>29497.360000000001</v>
      </c>
      <c r="J1309">
        <f t="array" ref="J1309">5 - INT(5 * (RANK(G1309,G:G, 1) - 1) / COUNT(G:G))</f>
        <v>3</v>
      </c>
      <c r="K1309">
        <f t="array" ref="K1309">INT(5 * (RANK(H1309,H:H, 0) - 1) / COUNT(H:H)) + 1</f>
        <v>4</v>
      </c>
      <c r="L1309">
        <f t="array" ref="L1309">INT(5 * (RANK(I1309,I:I, 0) - 1) / COUNT(I:I)) + 1</f>
        <v>3</v>
      </c>
      <c r="M1309" t="str">
        <f t="shared" si="40"/>
        <v>343</v>
      </c>
      <c r="N1309" s="6" t="str">
        <f t="shared" si="41"/>
        <v>Others</v>
      </c>
    </row>
    <row r="1310" spans="1:14" x14ac:dyDescent="0.35">
      <c r="A1310">
        <v>1136</v>
      </c>
      <c r="B1310" s="4">
        <v>45732.375085336993</v>
      </c>
      <c r="C1310" t="s">
        <v>13</v>
      </c>
      <c r="D1310" t="s">
        <v>22</v>
      </c>
      <c r="E1310" t="s">
        <v>23</v>
      </c>
      <c r="F1310">
        <v>2943.06</v>
      </c>
      <c r="G1310">
        <f t="array" ref="G1310">SalesData!$I$2 - 'RFM Table'!B1310</f>
        <v>404</v>
      </c>
      <c r="H1310">
        <f t="array" ref="H1310">COUNTIF(A:A,A1310)</f>
        <v>6</v>
      </c>
      <c r="I1310">
        <f t="array" ref="I1310">SUMIF(A:A,A1310,F:F)</f>
        <v>16588.13</v>
      </c>
      <c r="J1310">
        <f t="array" ref="J1310">5 - INT(5 * (RANK(G1310,G:G, 1) - 1) / COUNT(G:G))</f>
        <v>3</v>
      </c>
      <c r="K1310">
        <f t="array" ref="K1310">INT(5 * (RANK(H1310,H:H, 0) - 1) / COUNT(H:H)) + 1</f>
        <v>4</v>
      </c>
      <c r="L1310">
        <f t="array" ref="L1310">INT(5 * (RANK(I1310,I:I, 0) - 1) / COUNT(I:I)) + 1</f>
        <v>5</v>
      </c>
      <c r="M1310" t="str">
        <f t="shared" si="40"/>
        <v>345</v>
      </c>
      <c r="N1310" s="6" t="str">
        <f t="shared" si="41"/>
        <v>Others</v>
      </c>
    </row>
    <row r="1311" spans="1:14" x14ac:dyDescent="0.35">
      <c r="A1311">
        <v>1201</v>
      </c>
      <c r="B1311" s="4">
        <v>45732.375085336993</v>
      </c>
      <c r="C1311" t="s">
        <v>11</v>
      </c>
      <c r="D1311" t="s">
        <v>20</v>
      </c>
      <c r="E1311" t="s">
        <v>24</v>
      </c>
      <c r="F1311">
        <v>1186.8900000000001</v>
      </c>
      <c r="G1311">
        <f t="array" ref="G1311">SalesData!$I$2 - 'RFM Table'!B1311</f>
        <v>404</v>
      </c>
      <c r="H1311">
        <f t="array" ref="H1311">COUNTIF(A:A,A1311)</f>
        <v>10</v>
      </c>
      <c r="I1311">
        <f t="array" ref="I1311">SUMIF(A:A,A1311,F:F)</f>
        <v>30897.65</v>
      </c>
      <c r="J1311">
        <f t="array" ref="J1311">5 - INT(5 * (RANK(G1311,G:G, 1) - 1) / COUNT(G:G))</f>
        <v>3</v>
      </c>
      <c r="K1311">
        <f t="array" ref="K1311">INT(5 * (RANK(H1311,H:H, 0) - 1) / COUNT(H:H)) + 1</f>
        <v>2</v>
      </c>
      <c r="L1311">
        <f t="array" ref="L1311">INT(5 * (RANK(I1311,I:I, 0) - 1) / COUNT(I:I)) + 1</f>
        <v>3</v>
      </c>
      <c r="M1311" t="str">
        <f t="shared" si="40"/>
        <v>323</v>
      </c>
      <c r="N1311" s="6" t="str">
        <f t="shared" si="41"/>
        <v>Others</v>
      </c>
    </row>
    <row r="1312" spans="1:14" x14ac:dyDescent="0.35">
      <c r="A1312">
        <v>1172</v>
      </c>
      <c r="B1312" s="4">
        <v>45733.375085336993</v>
      </c>
      <c r="C1312" t="s">
        <v>8</v>
      </c>
      <c r="D1312" t="s">
        <v>19</v>
      </c>
      <c r="E1312" t="s">
        <v>23</v>
      </c>
      <c r="F1312">
        <v>4716.53</v>
      </c>
      <c r="G1312">
        <f t="array" ref="G1312">SalesData!$I$2 - 'RFM Table'!B1312</f>
        <v>403</v>
      </c>
      <c r="H1312">
        <f t="array" ref="H1312">COUNTIF(A:A,A1312)</f>
        <v>13</v>
      </c>
      <c r="I1312">
        <f t="array" ref="I1312">SUMIF(A:A,A1312,F:F)</f>
        <v>64175.24</v>
      </c>
      <c r="J1312">
        <f t="array" ref="J1312">5 - INT(5 * (RANK(G1312,G:G, 1) - 1) / COUNT(G:G))</f>
        <v>3</v>
      </c>
      <c r="K1312">
        <f t="array" ref="K1312">INT(5 * (RANK(H1312,H:H, 0) - 1) / COUNT(H:H)) + 1</f>
        <v>1</v>
      </c>
      <c r="L1312">
        <f t="array" ref="L1312">INT(5 * (RANK(I1312,I:I, 0) - 1) / COUNT(I:I)) + 1</f>
        <v>1</v>
      </c>
      <c r="M1312" t="str">
        <f t="shared" si="40"/>
        <v>311</v>
      </c>
      <c r="N1312" s="6" t="str">
        <f t="shared" si="41"/>
        <v>Others</v>
      </c>
    </row>
    <row r="1313" spans="1:14" x14ac:dyDescent="0.35">
      <c r="A1313">
        <v>1140</v>
      </c>
      <c r="B1313" s="4">
        <v>45733.375085336993</v>
      </c>
      <c r="C1313" t="s">
        <v>10</v>
      </c>
      <c r="D1313" t="s">
        <v>22</v>
      </c>
      <c r="E1313" t="s">
        <v>25</v>
      </c>
      <c r="F1313">
        <v>5054.87</v>
      </c>
      <c r="G1313">
        <f t="array" ref="G1313">SalesData!$I$2 - 'RFM Table'!B1313</f>
        <v>403</v>
      </c>
      <c r="H1313">
        <f t="array" ref="H1313">COUNTIF(A:A,A1313)</f>
        <v>9</v>
      </c>
      <c r="I1313">
        <f t="array" ref="I1313">SUMIF(A:A,A1313,F:F)</f>
        <v>45498.270000000004</v>
      </c>
      <c r="J1313">
        <f t="array" ref="J1313">5 - INT(5 * (RANK(G1313,G:G, 1) - 1) / COUNT(G:G))</f>
        <v>3</v>
      </c>
      <c r="K1313">
        <f t="array" ref="K1313">INT(5 * (RANK(H1313,H:H, 0) - 1) / COUNT(H:H)) + 1</f>
        <v>2</v>
      </c>
      <c r="L1313">
        <f t="array" ref="L1313">INT(5 * (RANK(I1313,I:I, 0) - 1) / COUNT(I:I)) + 1</f>
        <v>1</v>
      </c>
      <c r="M1313" t="str">
        <f t="shared" si="40"/>
        <v>321</v>
      </c>
      <c r="N1313" s="6" t="str">
        <f t="shared" si="41"/>
        <v>Others</v>
      </c>
    </row>
    <row r="1314" spans="1:14" x14ac:dyDescent="0.35">
      <c r="A1314">
        <v>1009</v>
      </c>
      <c r="B1314" s="4">
        <v>45734.375085336993</v>
      </c>
      <c r="C1314" t="s">
        <v>7</v>
      </c>
      <c r="D1314" t="s">
        <v>22</v>
      </c>
      <c r="E1314" t="s">
        <v>24</v>
      </c>
      <c r="F1314">
        <v>477.66</v>
      </c>
      <c r="G1314">
        <f t="array" ref="G1314">SalesData!$I$2 - 'RFM Table'!B1314</f>
        <v>402</v>
      </c>
      <c r="H1314">
        <f t="array" ref="H1314">COUNTIF(A:A,A1314)</f>
        <v>9</v>
      </c>
      <c r="I1314">
        <f t="array" ref="I1314">SUMIF(A:A,A1314,F:F)</f>
        <v>30047.29</v>
      </c>
      <c r="J1314">
        <f t="array" ref="J1314">5 - INT(5 * (RANK(G1314,G:G, 1) - 1) / COUNT(G:G))</f>
        <v>3</v>
      </c>
      <c r="K1314">
        <f t="array" ref="K1314">INT(5 * (RANK(H1314,H:H, 0) - 1) / COUNT(H:H)) + 1</f>
        <v>2</v>
      </c>
      <c r="L1314">
        <f t="array" ref="L1314">INT(5 * (RANK(I1314,I:I, 0) - 1) / COUNT(I:I)) + 1</f>
        <v>3</v>
      </c>
      <c r="M1314" t="str">
        <f t="shared" si="40"/>
        <v>323</v>
      </c>
      <c r="N1314" s="6" t="str">
        <f t="shared" si="41"/>
        <v>Others</v>
      </c>
    </row>
    <row r="1315" spans="1:14" x14ac:dyDescent="0.35">
      <c r="A1315">
        <v>1024</v>
      </c>
      <c r="B1315" s="4">
        <v>45734.375085336993</v>
      </c>
      <c r="C1315" t="s">
        <v>7</v>
      </c>
      <c r="D1315" t="s">
        <v>16</v>
      </c>
      <c r="E1315" t="s">
        <v>25</v>
      </c>
      <c r="F1315">
        <v>6370.92</v>
      </c>
      <c r="G1315">
        <f t="array" ref="G1315">SalesData!$I$2 - 'RFM Table'!B1315</f>
        <v>402</v>
      </c>
      <c r="H1315">
        <f t="array" ref="H1315">COUNTIF(A:A,A1315)</f>
        <v>12</v>
      </c>
      <c r="I1315">
        <f t="array" ref="I1315">SUMIF(A:A,A1315,F:F)</f>
        <v>48008.159999999996</v>
      </c>
      <c r="J1315">
        <f t="array" ref="J1315">5 - INT(5 * (RANK(G1315,G:G, 1) - 1) / COUNT(G:G))</f>
        <v>3</v>
      </c>
      <c r="K1315">
        <f t="array" ref="K1315">INT(5 * (RANK(H1315,H:H, 0) - 1) / COUNT(H:H)) + 1</f>
        <v>1</v>
      </c>
      <c r="L1315">
        <f t="array" ref="L1315">INT(5 * (RANK(I1315,I:I, 0) - 1) / COUNT(I:I)) + 1</f>
        <v>1</v>
      </c>
      <c r="M1315" t="str">
        <f t="shared" si="40"/>
        <v>311</v>
      </c>
      <c r="N1315" s="6" t="str">
        <f t="shared" si="41"/>
        <v>Others</v>
      </c>
    </row>
    <row r="1316" spans="1:14" x14ac:dyDescent="0.35">
      <c r="A1316">
        <v>1174</v>
      </c>
      <c r="B1316" s="4">
        <v>45735.375085336993</v>
      </c>
      <c r="C1316" t="s">
        <v>11</v>
      </c>
      <c r="D1316" t="s">
        <v>17</v>
      </c>
      <c r="E1316" t="s">
        <v>24</v>
      </c>
      <c r="F1316">
        <v>3103.38</v>
      </c>
      <c r="G1316">
        <f t="array" ref="G1316">SalesData!$I$2 - 'RFM Table'!B1316</f>
        <v>401</v>
      </c>
      <c r="H1316">
        <f t="array" ref="H1316">COUNTIF(A:A,A1316)</f>
        <v>7</v>
      </c>
      <c r="I1316">
        <f t="array" ref="I1316">SUMIF(A:A,A1316,F:F)</f>
        <v>28777.9</v>
      </c>
      <c r="J1316">
        <f t="array" ref="J1316">5 - INT(5 * (RANK(G1316,G:G, 1) - 1) / COUNT(G:G))</f>
        <v>3</v>
      </c>
      <c r="K1316">
        <f t="array" ref="K1316">INT(5 * (RANK(H1316,H:H, 0) - 1) / COUNT(H:H)) + 1</f>
        <v>4</v>
      </c>
      <c r="L1316">
        <f t="array" ref="L1316">INT(5 * (RANK(I1316,I:I, 0) - 1) / COUNT(I:I)) + 1</f>
        <v>4</v>
      </c>
      <c r="M1316" t="str">
        <f t="shared" si="40"/>
        <v>344</v>
      </c>
      <c r="N1316" s="6" t="str">
        <f t="shared" si="41"/>
        <v>Others</v>
      </c>
    </row>
    <row r="1317" spans="1:14" x14ac:dyDescent="0.35">
      <c r="A1317">
        <v>1235</v>
      </c>
      <c r="B1317" s="4">
        <v>45736.375085336993</v>
      </c>
      <c r="C1317" t="s">
        <v>14</v>
      </c>
      <c r="D1317" t="s">
        <v>21</v>
      </c>
      <c r="E1317" t="s">
        <v>25</v>
      </c>
      <c r="F1317">
        <v>4876.96</v>
      </c>
      <c r="G1317">
        <f t="array" ref="G1317">SalesData!$I$2 - 'RFM Table'!B1317</f>
        <v>400</v>
      </c>
      <c r="H1317">
        <f t="array" ref="H1317">COUNTIF(A:A,A1317)</f>
        <v>9</v>
      </c>
      <c r="I1317">
        <f t="array" ref="I1317">SUMIF(A:A,A1317,F:F)</f>
        <v>30846.7</v>
      </c>
      <c r="J1317">
        <f t="array" ref="J1317">5 - INT(5 * (RANK(G1317,G:G, 1) - 1) / COUNT(G:G))</f>
        <v>3</v>
      </c>
      <c r="K1317">
        <f t="array" ref="K1317">INT(5 * (RANK(H1317,H:H, 0) - 1) / COUNT(H:H)) + 1</f>
        <v>2</v>
      </c>
      <c r="L1317">
        <f t="array" ref="L1317">INT(5 * (RANK(I1317,I:I, 0) - 1) / COUNT(I:I)) + 1</f>
        <v>3</v>
      </c>
      <c r="M1317" t="str">
        <f t="shared" si="40"/>
        <v>323</v>
      </c>
      <c r="N1317" s="6" t="str">
        <f t="shared" si="41"/>
        <v>Others</v>
      </c>
    </row>
    <row r="1318" spans="1:14" x14ac:dyDescent="0.35">
      <c r="A1318">
        <v>1245</v>
      </c>
      <c r="B1318" s="4">
        <v>45736.375085336993</v>
      </c>
      <c r="C1318" t="s">
        <v>6</v>
      </c>
      <c r="D1318" t="s">
        <v>20</v>
      </c>
      <c r="E1318" t="s">
        <v>25</v>
      </c>
      <c r="F1318">
        <v>1307.6099999999999</v>
      </c>
      <c r="G1318">
        <f t="array" ref="G1318">SalesData!$I$2 - 'RFM Table'!B1318</f>
        <v>400</v>
      </c>
      <c r="H1318">
        <f t="array" ref="H1318">COUNTIF(A:A,A1318)</f>
        <v>6</v>
      </c>
      <c r="I1318">
        <f t="array" ref="I1318">SUMIF(A:A,A1318,F:F)</f>
        <v>17570.61</v>
      </c>
      <c r="J1318">
        <f t="array" ref="J1318">5 - INT(5 * (RANK(G1318,G:G, 1) - 1) / COUNT(G:G))</f>
        <v>3</v>
      </c>
      <c r="K1318">
        <f t="array" ref="K1318">INT(5 * (RANK(H1318,H:H, 0) - 1) / COUNT(H:H)) + 1</f>
        <v>4</v>
      </c>
      <c r="L1318">
        <f t="array" ref="L1318">INT(5 * (RANK(I1318,I:I, 0) - 1) / COUNT(I:I)) + 1</f>
        <v>5</v>
      </c>
      <c r="M1318" t="str">
        <f t="shared" si="40"/>
        <v>345</v>
      </c>
      <c r="N1318" s="6" t="str">
        <f t="shared" si="41"/>
        <v>Others</v>
      </c>
    </row>
    <row r="1319" spans="1:14" x14ac:dyDescent="0.35">
      <c r="A1319">
        <v>1138</v>
      </c>
      <c r="B1319" s="4">
        <v>45736.375085336993</v>
      </c>
      <c r="C1319" t="s">
        <v>14</v>
      </c>
      <c r="D1319" t="s">
        <v>18</v>
      </c>
      <c r="E1319" t="s">
        <v>25</v>
      </c>
      <c r="F1319">
        <v>12497.13</v>
      </c>
      <c r="G1319">
        <f t="array" ref="G1319">SalesData!$I$2 - 'RFM Table'!B1319</f>
        <v>400</v>
      </c>
      <c r="H1319">
        <f t="array" ref="H1319">COUNTIF(A:A,A1319)</f>
        <v>3</v>
      </c>
      <c r="I1319">
        <f t="array" ref="I1319">SUMIF(A:A,A1319,F:F)</f>
        <v>24687.369999999995</v>
      </c>
      <c r="J1319">
        <f t="array" ref="J1319">5 - INT(5 * (RANK(G1319,G:G, 1) - 1) / COUNT(G:G))</f>
        <v>3</v>
      </c>
      <c r="K1319">
        <f t="array" ref="K1319">INT(5 * (RANK(H1319,H:H, 0) - 1) / COUNT(H:H)) + 1</f>
        <v>5</v>
      </c>
      <c r="L1319">
        <f t="array" ref="L1319">INT(5 * (RANK(I1319,I:I, 0) - 1) / COUNT(I:I)) + 1</f>
        <v>4</v>
      </c>
      <c r="M1319" t="str">
        <f t="shared" si="40"/>
        <v>354</v>
      </c>
      <c r="N1319" s="6" t="str">
        <f t="shared" si="41"/>
        <v>Others</v>
      </c>
    </row>
    <row r="1320" spans="1:14" x14ac:dyDescent="0.35">
      <c r="A1320">
        <v>1130</v>
      </c>
      <c r="B1320" s="4">
        <v>45736.375085336993</v>
      </c>
      <c r="C1320" t="s">
        <v>14</v>
      </c>
      <c r="D1320" t="s">
        <v>19</v>
      </c>
      <c r="E1320" t="s">
        <v>25</v>
      </c>
      <c r="F1320">
        <v>4272.87</v>
      </c>
      <c r="G1320">
        <f t="array" ref="G1320">SalesData!$I$2 - 'RFM Table'!B1320</f>
        <v>400</v>
      </c>
      <c r="H1320">
        <f t="array" ref="H1320">COUNTIF(A:A,A1320)</f>
        <v>9</v>
      </c>
      <c r="I1320">
        <f t="array" ref="I1320">SUMIF(A:A,A1320,F:F)</f>
        <v>36963.729999999996</v>
      </c>
      <c r="J1320">
        <f t="array" ref="J1320">5 - INT(5 * (RANK(G1320,G:G, 1) - 1) / COUNT(G:G))</f>
        <v>3</v>
      </c>
      <c r="K1320">
        <f t="array" ref="K1320">INT(5 * (RANK(H1320,H:H, 0) - 1) / COUNT(H:H)) + 1</f>
        <v>2</v>
      </c>
      <c r="L1320">
        <f t="array" ref="L1320">INT(5 * (RANK(I1320,I:I, 0) - 1) / COUNT(I:I)) + 1</f>
        <v>2</v>
      </c>
      <c r="M1320" t="str">
        <f t="shared" si="40"/>
        <v>322</v>
      </c>
      <c r="N1320" s="6" t="str">
        <f t="shared" si="41"/>
        <v>Others</v>
      </c>
    </row>
    <row r="1321" spans="1:14" x14ac:dyDescent="0.35">
      <c r="A1321">
        <v>1314</v>
      </c>
      <c r="B1321" s="4">
        <v>45736.375085336993</v>
      </c>
      <c r="C1321" t="s">
        <v>13</v>
      </c>
      <c r="D1321" t="s">
        <v>22</v>
      </c>
      <c r="E1321" t="s">
        <v>24</v>
      </c>
      <c r="F1321">
        <v>2830.76</v>
      </c>
      <c r="G1321">
        <f t="array" ref="G1321">SalesData!$I$2 - 'RFM Table'!B1321</f>
        <v>400</v>
      </c>
      <c r="H1321">
        <f t="array" ref="H1321">COUNTIF(A:A,A1321)</f>
        <v>5</v>
      </c>
      <c r="I1321">
        <f t="array" ref="I1321">SUMIF(A:A,A1321,F:F)</f>
        <v>24865.420000000002</v>
      </c>
      <c r="J1321">
        <f t="array" ref="J1321">5 - INT(5 * (RANK(G1321,G:G, 1) - 1) / COUNT(G:G))</f>
        <v>3</v>
      </c>
      <c r="K1321">
        <f t="array" ref="K1321">INT(5 * (RANK(H1321,H:H, 0) - 1) / COUNT(H:H)) + 1</f>
        <v>5</v>
      </c>
      <c r="L1321">
        <f t="array" ref="L1321">INT(5 * (RANK(I1321,I:I, 0) - 1) / COUNT(I:I)) + 1</f>
        <v>4</v>
      </c>
      <c r="M1321" t="str">
        <f t="shared" si="40"/>
        <v>354</v>
      </c>
      <c r="N1321" s="6" t="str">
        <f t="shared" si="41"/>
        <v>Others</v>
      </c>
    </row>
    <row r="1322" spans="1:14" x14ac:dyDescent="0.35">
      <c r="A1322">
        <v>1259</v>
      </c>
      <c r="B1322" s="4">
        <v>45736.375085336993</v>
      </c>
      <c r="C1322" t="s">
        <v>12</v>
      </c>
      <c r="D1322" t="s">
        <v>22</v>
      </c>
      <c r="E1322" t="s">
        <v>25</v>
      </c>
      <c r="F1322">
        <v>2981.46</v>
      </c>
      <c r="G1322">
        <f t="array" ref="G1322">SalesData!$I$2 - 'RFM Table'!B1322</f>
        <v>400</v>
      </c>
      <c r="H1322">
        <f t="array" ref="H1322">COUNTIF(A:A,A1322)</f>
        <v>6</v>
      </c>
      <c r="I1322">
        <f t="array" ref="I1322">SUMIF(A:A,A1322,F:F)</f>
        <v>21369.009999999995</v>
      </c>
      <c r="J1322">
        <f t="array" ref="J1322">5 - INT(5 * (RANK(G1322,G:G, 1) - 1) / COUNT(G:G))</f>
        <v>3</v>
      </c>
      <c r="K1322">
        <f t="array" ref="K1322">INT(5 * (RANK(H1322,H:H, 0) - 1) / COUNT(H:H)) + 1</f>
        <v>4</v>
      </c>
      <c r="L1322">
        <f t="array" ref="L1322">INT(5 * (RANK(I1322,I:I, 0) - 1) / COUNT(I:I)) + 1</f>
        <v>5</v>
      </c>
      <c r="M1322" t="str">
        <f t="shared" si="40"/>
        <v>345</v>
      </c>
      <c r="N1322" s="6" t="str">
        <f t="shared" si="41"/>
        <v>Others</v>
      </c>
    </row>
    <row r="1323" spans="1:14" x14ac:dyDescent="0.35">
      <c r="A1323">
        <v>1122</v>
      </c>
      <c r="B1323" s="4">
        <v>45736.375085336993</v>
      </c>
      <c r="C1323" t="s">
        <v>14</v>
      </c>
      <c r="D1323" t="s">
        <v>22</v>
      </c>
      <c r="E1323" t="s">
        <v>23</v>
      </c>
      <c r="F1323">
        <v>1386.29</v>
      </c>
      <c r="G1323">
        <f t="array" ref="G1323">SalesData!$I$2 - 'RFM Table'!B1323</f>
        <v>400</v>
      </c>
      <c r="H1323">
        <f t="array" ref="H1323">COUNTIF(A:A,A1323)</f>
        <v>4</v>
      </c>
      <c r="I1323">
        <f t="array" ref="I1323">SUMIF(A:A,A1323,F:F)</f>
        <v>10594.94</v>
      </c>
      <c r="J1323">
        <f t="array" ref="J1323">5 - INT(5 * (RANK(G1323,G:G, 1) - 1) / COUNT(G:G))</f>
        <v>3</v>
      </c>
      <c r="K1323">
        <f t="array" ref="K1323">INT(5 * (RANK(H1323,H:H, 0) - 1) / COUNT(H:H)) + 1</f>
        <v>5</v>
      </c>
      <c r="L1323">
        <f t="array" ref="L1323">INT(5 * (RANK(I1323,I:I, 0) - 1) / COUNT(I:I)) + 1</f>
        <v>5</v>
      </c>
      <c r="M1323" t="str">
        <f t="shared" si="40"/>
        <v>355</v>
      </c>
      <c r="N1323" s="6" t="str">
        <f t="shared" si="41"/>
        <v>Others</v>
      </c>
    </row>
    <row r="1324" spans="1:14" x14ac:dyDescent="0.35">
      <c r="A1324">
        <v>1179</v>
      </c>
      <c r="B1324" s="4">
        <v>45737.375085336993</v>
      </c>
      <c r="C1324" t="s">
        <v>13</v>
      </c>
      <c r="D1324" t="s">
        <v>16</v>
      </c>
      <c r="E1324" t="s">
        <v>25</v>
      </c>
      <c r="F1324">
        <v>3508.05</v>
      </c>
      <c r="G1324">
        <f t="array" ref="G1324">SalesData!$I$2 - 'RFM Table'!B1324</f>
        <v>399</v>
      </c>
      <c r="H1324">
        <f t="array" ref="H1324">COUNTIF(A:A,A1324)</f>
        <v>7</v>
      </c>
      <c r="I1324">
        <f t="array" ref="I1324">SUMIF(A:A,A1324,F:F)</f>
        <v>25906.9</v>
      </c>
      <c r="J1324">
        <f t="array" ref="J1324">5 - INT(5 * (RANK(G1324,G:G, 1) - 1) / COUNT(G:G))</f>
        <v>3</v>
      </c>
      <c r="K1324">
        <f t="array" ref="K1324">INT(5 * (RANK(H1324,H:H, 0) - 1) / COUNT(H:H)) + 1</f>
        <v>4</v>
      </c>
      <c r="L1324">
        <f t="array" ref="L1324">INT(5 * (RANK(I1324,I:I, 0) - 1) / COUNT(I:I)) + 1</f>
        <v>4</v>
      </c>
      <c r="M1324" t="str">
        <f t="shared" si="40"/>
        <v>344</v>
      </c>
      <c r="N1324" s="6" t="str">
        <f t="shared" si="41"/>
        <v>Others</v>
      </c>
    </row>
    <row r="1325" spans="1:14" x14ac:dyDescent="0.35">
      <c r="A1325">
        <v>1284</v>
      </c>
      <c r="B1325" s="4">
        <v>45737.375085336993</v>
      </c>
      <c r="C1325" t="s">
        <v>7</v>
      </c>
      <c r="D1325" t="s">
        <v>19</v>
      </c>
      <c r="E1325" t="s">
        <v>24</v>
      </c>
      <c r="F1325">
        <v>1994.95</v>
      </c>
      <c r="G1325">
        <f t="array" ref="G1325">SalesData!$I$2 - 'RFM Table'!B1325</f>
        <v>399</v>
      </c>
      <c r="H1325">
        <f t="array" ref="H1325">COUNTIF(A:A,A1325)</f>
        <v>12</v>
      </c>
      <c r="I1325">
        <f t="array" ref="I1325">SUMIF(A:A,A1325,F:F)</f>
        <v>49930.359999999993</v>
      </c>
      <c r="J1325">
        <f t="array" ref="J1325">5 - INT(5 * (RANK(G1325,G:G, 1) - 1) / COUNT(G:G))</f>
        <v>3</v>
      </c>
      <c r="K1325">
        <f t="array" ref="K1325">INT(5 * (RANK(H1325,H:H, 0) - 1) / COUNT(H:H)) + 1</f>
        <v>1</v>
      </c>
      <c r="L1325">
        <f t="array" ref="L1325">INT(5 * (RANK(I1325,I:I, 0) - 1) / COUNT(I:I)) + 1</f>
        <v>1</v>
      </c>
      <c r="M1325" t="str">
        <f t="shared" si="40"/>
        <v>311</v>
      </c>
      <c r="N1325" s="6" t="str">
        <f t="shared" si="41"/>
        <v>Others</v>
      </c>
    </row>
    <row r="1326" spans="1:14" x14ac:dyDescent="0.35">
      <c r="A1326">
        <v>1156</v>
      </c>
      <c r="B1326" s="4">
        <v>45737.375085336993</v>
      </c>
      <c r="C1326" t="s">
        <v>14</v>
      </c>
      <c r="D1326" t="s">
        <v>16</v>
      </c>
      <c r="E1326" t="s">
        <v>23</v>
      </c>
      <c r="F1326">
        <v>5333.41</v>
      </c>
      <c r="G1326">
        <f t="array" ref="G1326">SalesData!$I$2 - 'RFM Table'!B1326</f>
        <v>399</v>
      </c>
      <c r="H1326">
        <f t="array" ref="H1326">COUNTIF(A:A,A1326)</f>
        <v>8</v>
      </c>
      <c r="I1326">
        <f t="array" ref="I1326">SUMIF(A:A,A1326,F:F)</f>
        <v>43799.990000000005</v>
      </c>
      <c r="J1326">
        <f t="array" ref="J1326">5 - INT(5 * (RANK(G1326,G:G, 1) - 1) / COUNT(G:G))</f>
        <v>3</v>
      </c>
      <c r="K1326">
        <f t="array" ref="K1326">INT(5 * (RANK(H1326,H:H, 0) - 1) / COUNT(H:H)) + 1</f>
        <v>3</v>
      </c>
      <c r="L1326">
        <f t="array" ref="L1326">INT(5 * (RANK(I1326,I:I, 0) - 1) / COUNT(I:I)) + 1</f>
        <v>2</v>
      </c>
      <c r="M1326" t="str">
        <f t="shared" si="40"/>
        <v>332</v>
      </c>
      <c r="N1326" s="6" t="str">
        <f t="shared" si="41"/>
        <v>Others</v>
      </c>
    </row>
    <row r="1327" spans="1:14" x14ac:dyDescent="0.35">
      <c r="A1327">
        <v>1053</v>
      </c>
      <c r="B1327" s="4">
        <v>45737.375085336993</v>
      </c>
      <c r="C1327" t="s">
        <v>12</v>
      </c>
      <c r="D1327" t="s">
        <v>21</v>
      </c>
      <c r="E1327" t="s">
        <v>25</v>
      </c>
      <c r="F1327">
        <v>2431.7600000000002</v>
      </c>
      <c r="G1327">
        <f t="array" ref="G1327">SalesData!$I$2 - 'RFM Table'!B1327</f>
        <v>399</v>
      </c>
      <c r="H1327">
        <f t="array" ref="H1327">COUNTIF(A:A,A1327)</f>
        <v>10</v>
      </c>
      <c r="I1327">
        <f t="array" ref="I1327">SUMIF(A:A,A1327,F:F)</f>
        <v>44572.97</v>
      </c>
      <c r="J1327">
        <f t="array" ref="J1327">5 - INT(5 * (RANK(G1327,G:G, 1) - 1) / COUNT(G:G))</f>
        <v>3</v>
      </c>
      <c r="K1327">
        <f t="array" ref="K1327">INT(5 * (RANK(H1327,H:H, 0) - 1) / COUNT(H:H)) + 1</f>
        <v>2</v>
      </c>
      <c r="L1327">
        <f t="array" ref="L1327">INT(5 * (RANK(I1327,I:I, 0) - 1) / COUNT(I:I)) + 1</f>
        <v>2</v>
      </c>
      <c r="M1327" t="str">
        <f t="shared" si="40"/>
        <v>322</v>
      </c>
      <c r="N1327" s="6" t="str">
        <f t="shared" si="41"/>
        <v>Others</v>
      </c>
    </row>
    <row r="1328" spans="1:14" x14ac:dyDescent="0.35">
      <c r="A1328">
        <v>1356</v>
      </c>
      <c r="B1328" s="4">
        <v>45738.375085336993</v>
      </c>
      <c r="C1328" t="s">
        <v>8</v>
      </c>
      <c r="D1328" t="s">
        <v>20</v>
      </c>
      <c r="E1328" t="s">
        <v>23</v>
      </c>
      <c r="F1328">
        <v>5399.03</v>
      </c>
      <c r="G1328">
        <f t="array" ref="G1328">SalesData!$I$2 - 'RFM Table'!B1328</f>
        <v>398</v>
      </c>
      <c r="H1328">
        <f t="array" ref="H1328">COUNTIF(A:A,A1328)</f>
        <v>5</v>
      </c>
      <c r="I1328">
        <f t="array" ref="I1328">SUMIF(A:A,A1328,F:F)</f>
        <v>19401.64</v>
      </c>
      <c r="J1328">
        <f t="array" ref="J1328">5 - INT(5 * (RANK(G1328,G:G, 1) - 1) / COUNT(G:G))</f>
        <v>3</v>
      </c>
      <c r="K1328">
        <f t="array" ref="K1328">INT(5 * (RANK(H1328,H:H, 0) - 1) / COUNT(H:H)) + 1</f>
        <v>5</v>
      </c>
      <c r="L1328">
        <f t="array" ref="L1328">INT(5 * (RANK(I1328,I:I, 0) - 1) / COUNT(I:I)) + 1</f>
        <v>5</v>
      </c>
      <c r="M1328" t="str">
        <f t="shared" si="40"/>
        <v>355</v>
      </c>
      <c r="N1328" s="6" t="str">
        <f t="shared" si="41"/>
        <v>Others</v>
      </c>
    </row>
    <row r="1329" spans="1:14" x14ac:dyDescent="0.35">
      <c r="A1329">
        <v>1038</v>
      </c>
      <c r="B1329" s="4">
        <v>45738.375085336993</v>
      </c>
      <c r="C1329" t="s">
        <v>8</v>
      </c>
      <c r="D1329" t="s">
        <v>17</v>
      </c>
      <c r="E1329" t="s">
        <v>23</v>
      </c>
      <c r="F1329">
        <v>1500.35</v>
      </c>
      <c r="G1329">
        <f t="array" ref="G1329">SalesData!$I$2 - 'RFM Table'!B1329</f>
        <v>398</v>
      </c>
      <c r="H1329">
        <f t="array" ref="H1329">COUNTIF(A:A,A1329)</f>
        <v>16</v>
      </c>
      <c r="I1329">
        <f t="array" ref="I1329">SUMIF(A:A,A1329,F:F)</f>
        <v>76962.720000000001</v>
      </c>
      <c r="J1329">
        <f t="array" ref="J1329">5 - INT(5 * (RANK(G1329,G:G, 1) - 1) / COUNT(G:G))</f>
        <v>3</v>
      </c>
      <c r="K1329">
        <f t="array" ref="K1329">INT(5 * (RANK(H1329,H:H, 0) - 1) / COUNT(H:H)) + 1</f>
        <v>1</v>
      </c>
      <c r="L1329">
        <f t="array" ref="L1329">INT(5 * (RANK(I1329,I:I, 0) - 1) / COUNT(I:I)) + 1</f>
        <v>1</v>
      </c>
      <c r="M1329" t="str">
        <f t="shared" si="40"/>
        <v>311</v>
      </c>
      <c r="N1329" s="6" t="str">
        <f t="shared" si="41"/>
        <v>Others</v>
      </c>
    </row>
    <row r="1330" spans="1:14" x14ac:dyDescent="0.35">
      <c r="A1330">
        <v>1386</v>
      </c>
      <c r="B1330" s="4">
        <v>45738.375085336993</v>
      </c>
      <c r="C1330" t="s">
        <v>15</v>
      </c>
      <c r="D1330" t="s">
        <v>16</v>
      </c>
      <c r="E1330" t="s">
        <v>23</v>
      </c>
      <c r="F1330">
        <v>9759.51</v>
      </c>
      <c r="G1330">
        <f t="array" ref="G1330">SalesData!$I$2 - 'RFM Table'!B1330</f>
        <v>398</v>
      </c>
      <c r="H1330">
        <f t="array" ref="H1330">COUNTIF(A:A,A1330)</f>
        <v>8</v>
      </c>
      <c r="I1330">
        <f t="array" ref="I1330">SUMIF(A:A,A1330,F:F)</f>
        <v>32019.260000000006</v>
      </c>
      <c r="J1330">
        <f t="array" ref="J1330">5 - INT(5 * (RANK(G1330,G:G, 1) - 1) / COUNT(G:G))</f>
        <v>3</v>
      </c>
      <c r="K1330">
        <f t="array" ref="K1330">INT(5 * (RANK(H1330,H:H, 0) - 1) / COUNT(H:H)) + 1</f>
        <v>3</v>
      </c>
      <c r="L1330">
        <f t="array" ref="L1330">INT(5 * (RANK(I1330,I:I, 0) - 1) / COUNT(I:I)) + 1</f>
        <v>3</v>
      </c>
      <c r="M1330" t="str">
        <f t="shared" si="40"/>
        <v>333</v>
      </c>
      <c r="N1330" s="6" t="str">
        <f t="shared" si="41"/>
        <v>Others</v>
      </c>
    </row>
    <row r="1331" spans="1:14" x14ac:dyDescent="0.35">
      <c r="A1331">
        <v>1329</v>
      </c>
      <c r="B1331" s="4">
        <v>45738.375085336993</v>
      </c>
      <c r="C1331" t="s">
        <v>8</v>
      </c>
      <c r="D1331" t="s">
        <v>20</v>
      </c>
      <c r="E1331" t="s">
        <v>23</v>
      </c>
      <c r="F1331">
        <v>846.11</v>
      </c>
      <c r="G1331">
        <f t="array" ref="G1331">SalesData!$I$2 - 'RFM Table'!B1331</f>
        <v>398</v>
      </c>
      <c r="H1331">
        <f t="array" ref="H1331">COUNTIF(A:A,A1331)</f>
        <v>9</v>
      </c>
      <c r="I1331">
        <f t="array" ref="I1331">SUMIF(A:A,A1331,F:F)</f>
        <v>27881.53</v>
      </c>
      <c r="J1331">
        <f t="array" ref="J1331">5 - INT(5 * (RANK(G1331,G:G, 1) - 1) / COUNT(G:G))</f>
        <v>3</v>
      </c>
      <c r="K1331">
        <f t="array" ref="K1331">INT(5 * (RANK(H1331,H:H, 0) - 1) / COUNT(H:H)) + 1</f>
        <v>2</v>
      </c>
      <c r="L1331">
        <f t="array" ref="L1331">INT(5 * (RANK(I1331,I:I, 0) - 1) / COUNT(I:I)) + 1</f>
        <v>4</v>
      </c>
      <c r="M1331" t="str">
        <f t="shared" si="40"/>
        <v>324</v>
      </c>
      <c r="N1331" s="6" t="str">
        <f t="shared" si="41"/>
        <v>Others</v>
      </c>
    </row>
    <row r="1332" spans="1:14" x14ac:dyDescent="0.35">
      <c r="A1332">
        <v>1346</v>
      </c>
      <c r="B1332" s="4">
        <v>45739.375085336993</v>
      </c>
      <c r="C1332" t="s">
        <v>11</v>
      </c>
      <c r="D1332" t="s">
        <v>18</v>
      </c>
      <c r="E1332" t="s">
        <v>25</v>
      </c>
      <c r="F1332">
        <v>3598.42</v>
      </c>
      <c r="G1332">
        <f t="array" ref="G1332">SalesData!$I$2 - 'RFM Table'!B1332</f>
        <v>397</v>
      </c>
      <c r="H1332">
        <f t="array" ref="H1332">COUNTIF(A:A,A1332)</f>
        <v>6</v>
      </c>
      <c r="I1332">
        <f t="array" ref="I1332">SUMIF(A:A,A1332,F:F)</f>
        <v>23326.76</v>
      </c>
      <c r="J1332">
        <f t="array" ref="J1332">5 - INT(5 * (RANK(G1332,G:G, 1) - 1) / COUNT(G:G))</f>
        <v>3</v>
      </c>
      <c r="K1332">
        <f t="array" ref="K1332">INT(5 * (RANK(H1332,H:H, 0) - 1) / COUNT(H:H)) + 1</f>
        <v>4</v>
      </c>
      <c r="L1332">
        <f t="array" ref="L1332">INT(5 * (RANK(I1332,I:I, 0) - 1) / COUNT(I:I)) + 1</f>
        <v>4</v>
      </c>
      <c r="M1332" t="str">
        <f t="shared" si="40"/>
        <v>344</v>
      </c>
      <c r="N1332" s="6" t="str">
        <f t="shared" si="41"/>
        <v>Others</v>
      </c>
    </row>
    <row r="1333" spans="1:14" x14ac:dyDescent="0.35">
      <c r="A1333">
        <v>1245</v>
      </c>
      <c r="B1333" s="4">
        <v>45739.375085336993</v>
      </c>
      <c r="C1333" t="s">
        <v>6</v>
      </c>
      <c r="D1333" t="s">
        <v>19</v>
      </c>
      <c r="E1333" t="s">
        <v>23</v>
      </c>
      <c r="F1333">
        <v>8292.19</v>
      </c>
      <c r="G1333">
        <f t="array" ref="G1333">SalesData!$I$2 - 'RFM Table'!B1333</f>
        <v>397</v>
      </c>
      <c r="H1333">
        <f t="array" ref="H1333">COUNTIF(A:A,A1333)</f>
        <v>6</v>
      </c>
      <c r="I1333">
        <f t="array" ref="I1333">SUMIF(A:A,A1333,F:F)</f>
        <v>17570.61</v>
      </c>
      <c r="J1333">
        <f t="array" ref="J1333">5 - INT(5 * (RANK(G1333,G:G, 1) - 1) / COUNT(G:G))</f>
        <v>3</v>
      </c>
      <c r="K1333">
        <f t="array" ref="K1333">INT(5 * (RANK(H1333,H:H, 0) - 1) / COUNT(H:H)) + 1</f>
        <v>4</v>
      </c>
      <c r="L1333">
        <f t="array" ref="L1333">INT(5 * (RANK(I1333,I:I, 0) - 1) / COUNT(I:I)) + 1</f>
        <v>5</v>
      </c>
      <c r="M1333" t="str">
        <f t="shared" si="40"/>
        <v>345</v>
      </c>
      <c r="N1333" s="6" t="str">
        <f t="shared" si="41"/>
        <v>Others</v>
      </c>
    </row>
    <row r="1334" spans="1:14" x14ac:dyDescent="0.35">
      <c r="A1334">
        <v>1067</v>
      </c>
      <c r="B1334" s="4">
        <v>45740.375085336993</v>
      </c>
      <c r="C1334" t="s">
        <v>9</v>
      </c>
      <c r="D1334" t="s">
        <v>20</v>
      </c>
      <c r="E1334" t="s">
        <v>25</v>
      </c>
      <c r="F1334">
        <v>2574.6999999999998</v>
      </c>
      <c r="G1334">
        <f t="array" ref="G1334">SalesData!$I$2 - 'RFM Table'!B1334</f>
        <v>396</v>
      </c>
      <c r="H1334">
        <f t="array" ref="H1334">COUNTIF(A:A,A1334)</f>
        <v>6</v>
      </c>
      <c r="I1334">
        <f t="array" ref="I1334">SUMIF(A:A,A1334,F:F)</f>
        <v>15612.87</v>
      </c>
      <c r="J1334">
        <f t="array" ref="J1334">5 - INT(5 * (RANK(G1334,G:G, 1) - 1) / COUNT(G:G))</f>
        <v>3</v>
      </c>
      <c r="K1334">
        <f t="array" ref="K1334">INT(5 * (RANK(H1334,H:H, 0) - 1) / COUNT(H:H)) + 1</f>
        <v>4</v>
      </c>
      <c r="L1334">
        <f t="array" ref="L1334">INT(5 * (RANK(I1334,I:I, 0) - 1) / COUNT(I:I)) + 1</f>
        <v>5</v>
      </c>
      <c r="M1334" t="str">
        <f t="shared" si="40"/>
        <v>345</v>
      </c>
      <c r="N1334" s="6" t="str">
        <f t="shared" si="41"/>
        <v>Others</v>
      </c>
    </row>
    <row r="1335" spans="1:14" x14ac:dyDescent="0.35">
      <c r="A1335">
        <v>1103</v>
      </c>
      <c r="B1335" s="4">
        <v>45740.375085336993</v>
      </c>
      <c r="C1335" t="s">
        <v>8</v>
      </c>
      <c r="D1335" t="s">
        <v>22</v>
      </c>
      <c r="E1335" t="s">
        <v>24</v>
      </c>
      <c r="F1335">
        <v>2053.7600000000002</v>
      </c>
      <c r="G1335">
        <f t="array" ref="G1335">SalesData!$I$2 - 'RFM Table'!B1335</f>
        <v>396</v>
      </c>
      <c r="H1335">
        <f t="array" ref="H1335">COUNTIF(A:A,A1335)</f>
        <v>10</v>
      </c>
      <c r="I1335">
        <f t="array" ref="I1335">SUMIF(A:A,A1335,F:F)</f>
        <v>44305.600000000006</v>
      </c>
      <c r="J1335">
        <f t="array" ref="J1335">5 - INT(5 * (RANK(G1335,G:G, 1) - 1) / COUNT(G:G))</f>
        <v>3</v>
      </c>
      <c r="K1335">
        <f t="array" ref="K1335">INT(5 * (RANK(H1335,H:H, 0) - 1) / COUNT(H:H)) + 1</f>
        <v>2</v>
      </c>
      <c r="L1335">
        <f t="array" ref="L1335">INT(5 * (RANK(I1335,I:I, 0) - 1) / COUNT(I:I)) + 1</f>
        <v>2</v>
      </c>
      <c r="M1335" t="str">
        <f t="shared" si="40"/>
        <v>322</v>
      </c>
      <c r="N1335" s="6" t="str">
        <f t="shared" si="41"/>
        <v>Others</v>
      </c>
    </row>
    <row r="1336" spans="1:14" x14ac:dyDescent="0.35">
      <c r="A1336">
        <v>1129</v>
      </c>
      <c r="B1336" s="4">
        <v>45740.375085336993</v>
      </c>
      <c r="C1336" t="s">
        <v>13</v>
      </c>
      <c r="D1336" t="s">
        <v>18</v>
      </c>
      <c r="E1336" t="s">
        <v>25</v>
      </c>
      <c r="F1336">
        <v>1676.66</v>
      </c>
      <c r="G1336">
        <f t="array" ref="G1336">SalesData!$I$2 - 'RFM Table'!B1336</f>
        <v>396</v>
      </c>
      <c r="H1336">
        <f t="array" ref="H1336">COUNTIF(A:A,A1336)</f>
        <v>14</v>
      </c>
      <c r="I1336">
        <f t="array" ref="I1336">SUMIF(A:A,A1336,F:F)</f>
        <v>53433.220000000008</v>
      </c>
      <c r="J1336">
        <f t="array" ref="J1336">5 - INT(5 * (RANK(G1336,G:G, 1) - 1) / COUNT(G:G))</f>
        <v>3</v>
      </c>
      <c r="K1336">
        <f t="array" ref="K1336">INT(5 * (RANK(H1336,H:H, 0) - 1) / COUNT(H:H)) + 1</f>
        <v>1</v>
      </c>
      <c r="L1336">
        <f t="array" ref="L1336">INT(5 * (RANK(I1336,I:I, 0) - 1) / COUNT(I:I)) + 1</f>
        <v>1</v>
      </c>
      <c r="M1336" t="str">
        <f t="shared" si="40"/>
        <v>311</v>
      </c>
      <c r="N1336" s="6" t="str">
        <f t="shared" si="41"/>
        <v>Others</v>
      </c>
    </row>
    <row r="1337" spans="1:14" x14ac:dyDescent="0.35">
      <c r="A1337">
        <v>1348</v>
      </c>
      <c r="B1337" s="4">
        <v>45740.375085336993</v>
      </c>
      <c r="C1337" t="s">
        <v>9</v>
      </c>
      <c r="D1337" t="s">
        <v>20</v>
      </c>
      <c r="E1337" t="s">
        <v>23</v>
      </c>
      <c r="F1337">
        <v>1543.32</v>
      </c>
      <c r="G1337">
        <f t="array" ref="G1337">SalesData!$I$2 - 'RFM Table'!B1337</f>
        <v>396</v>
      </c>
      <c r="H1337">
        <f t="array" ref="H1337">COUNTIF(A:A,A1337)</f>
        <v>12</v>
      </c>
      <c r="I1337">
        <f t="array" ref="I1337">SUMIF(A:A,A1337,F:F)</f>
        <v>27185.14</v>
      </c>
      <c r="J1337">
        <f t="array" ref="J1337">5 - INT(5 * (RANK(G1337,G:G, 1) - 1) / COUNT(G:G))</f>
        <v>3</v>
      </c>
      <c r="K1337">
        <f t="array" ref="K1337">INT(5 * (RANK(H1337,H:H, 0) - 1) / COUNT(H:H)) + 1</f>
        <v>1</v>
      </c>
      <c r="L1337">
        <f t="array" ref="L1337">INT(5 * (RANK(I1337,I:I, 0) - 1) / COUNT(I:I)) + 1</f>
        <v>4</v>
      </c>
      <c r="M1337" t="str">
        <f t="shared" si="40"/>
        <v>314</v>
      </c>
      <c r="N1337" s="6" t="str">
        <f t="shared" si="41"/>
        <v>Others</v>
      </c>
    </row>
    <row r="1338" spans="1:14" x14ac:dyDescent="0.35">
      <c r="A1338">
        <v>1014</v>
      </c>
      <c r="B1338" s="4">
        <v>45740.375085336993</v>
      </c>
      <c r="C1338" t="s">
        <v>7</v>
      </c>
      <c r="D1338" t="s">
        <v>21</v>
      </c>
      <c r="E1338" t="s">
        <v>25</v>
      </c>
      <c r="F1338">
        <v>2882.75</v>
      </c>
      <c r="G1338">
        <f t="array" ref="G1338">SalesData!$I$2 - 'RFM Table'!B1338</f>
        <v>396</v>
      </c>
      <c r="H1338">
        <f t="array" ref="H1338">COUNTIF(A:A,A1338)</f>
        <v>8</v>
      </c>
      <c r="I1338">
        <f t="array" ref="I1338">SUMIF(A:A,A1338,F:F)</f>
        <v>27090.329999999998</v>
      </c>
      <c r="J1338">
        <f t="array" ref="J1338">5 - INT(5 * (RANK(G1338,G:G, 1) - 1) / COUNT(G:G))</f>
        <v>3</v>
      </c>
      <c r="K1338">
        <f t="array" ref="K1338">INT(5 * (RANK(H1338,H:H, 0) - 1) / COUNT(H:H)) + 1</f>
        <v>3</v>
      </c>
      <c r="L1338">
        <f t="array" ref="L1338">INT(5 * (RANK(I1338,I:I, 0) - 1) / COUNT(I:I)) + 1</f>
        <v>4</v>
      </c>
      <c r="M1338" t="str">
        <f t="shared" si="40"/>
        <v>334</v>
      </c>
      <c r="N1338" s="6" t="str">
        <f t="shared" si="41"/>
        <v>Others</v>
      </c>
    </row>
    <row r="1339" spans="1:14" x14ac:dyDescent="0.35">
      <c r="A1339">
        <v>1386</v>
      </c>
      <c r="B1339" s="4">
        <v>45741.375085336993</v>
      </c>
      <c r="C1339" t="s">
        <v>7</v>
      </c>
      <c r="D1339" t="s">
        <v>22</v>
      </c>
      <c r="E1339" t="s">
        <v>24</v>
      </c>
      <c r="F1339">
        <v>200.49</v>
      </c>
      <c r="G1339">
        <f t="array" ref="G1339">SalesData!$I$2 - 'RFM Table'!B1339</f>
        <v>395</v>
      </c>
      <c r="H1339">
        <f t="array" ref="H1339">COUNTIF(A:A,A1339)</f>
        <v>8</v>
      </c>
      <c r="I1339">
        <f t="array" ref="I1339">SUMIF(A:A,A1339,F:F)</f>
        <v>32019.260000000006</v>
      </c>
      <c r="J1339">
        <f t="array" ref="J1339">5 - INT(5 * (RANK(G1339,G:G, 1) - 1) / COUNT(G:G))</f>
        <v>3</v>
      </c>
      <c r="K1339">
        <f t="array" ref="K1339">INT(5 * (RANK(H1339,H:H, 0) - 1) / COUNT(H:H)) + 1</f>
        <v>3</v>
      </c>
      <c r="L1339">
        <f t="array" ref="L1339">INT(5 * (RANK(I1339,I:I, 0) - 1) / COUNT(I:I)) + 1</f>
        <v>3</v>
      </c>
      <c r="M1339" t="str">
        <f t="shared" si="40"/>
        <v>333</v>
      </c>
      <c r="N1339" s="6" t="str">
        <f t="shared" si="41"/>
        <v>Others</v>
      </c>
    </row>
    <row r="1340" spans="1:14" x14ac:dyDescent="0.35">
      <c r="A1340">
        <v>1222</v>
      </c>
      <c r="B1340" s="4">
        <v>45741.375085336993</v>
      </c>
      <c r="C1340" t="s">
        <v>9</v>
      </c>
      <c r="D1340" t="s">
        <v>20</v>
      </c>
      <c r="E1340" t="s">
        <v>25</v>
      </c>
      <c r="F1340">
        <v>6600.46</v>
      </c>
      <c r="G1340">
        <f t="array" ref="G1340">SalesData!$I$2 - 'RFM Table'!B1340</f>
        <v>395</v>
      </c>
      <c r="H1340">
        <f t="array" ref="H1340">COUNTIF(A:A,A1340)</f>
        <v>12</v>
      </c>
      <c r="I1340">
        <f t="array" ref="I1340">SUMIF(A:A,A1340,F:F)</f>
        <v>45191.609999999993</v>
      </c>
      <c r="J1340">
        <f t="array" ref="J1340">5 - INT(5 * (RANK(G1340,G:G, 1) - 1) / COUNT(G:G))</f>
        <v>3</v>
      </c>
      <c r="K1340">
        <f t="array" ref="K1340">INT(5 * (RANK(H1340,H:H, 0) - 1) / COUNT(H:H)) + 1</f>
        <v>1</v>
      </c>
      <c r="L1340">
        <f t="array" ref="L1340">INT(5 * (RANK(I1340,I:I, 0) - 1) / COUNT(I:I)) + 1</f>
        <v>1</v>
      </c>
      <c r="M1340" t="str">
        <f t="shared" si="40"/>
        <v>311</v>
      </c>
      <c r="N1340" s="6" t="str">
        <f t="shared" si="41"/>
        <v>Others</v>
      </c>
    </row>
    <row r="1341" spans="1:14" x14ac:dyDescent="0.35">
      <c r="A1341">
        <v>1097</v>
      </c>
      <c r="B1341" s="4">
        <v>45741.375085336993</v>
      </c>
      <c r="C1341" t="s">
        <v>7</v>
      </c>
      <c r="D1341" t="s">
        <v>16</v>
      </c>
      <c r="E1341" t="s">
        <v>25</v>
      </c>
      <c r="F1341">
        <v>3960.4</v>
      </c>
      <c r="G1341">
        <f t="array" ref="G1341">SalesData!$I$2 - 'RFM Table'!B1341</f>
        <v>395</v>
      </c>
      <c r="H1341">
        <f t="array" ref="H1341">COUNTIF(A:A,A1341)</f>
        <v>9</v>
      </c>
      <c r="I1341">
        <f t="array" ref="I1341">SUMIF(A:A,A1341,F:F)</f>
        <v>51674.6</v>
      </c>
      <c r="J1341">
        <f t="array" ref="J1341">5 - INT(5 * (RANK(G1341,G:G, 1) - 1) / COUNT(G:G))</f>
        <v>3</v>
      </c>
      <c r="K1341">
        <f t="array" ref="K1341">INT(5 * (RANK(H1341,H:H, 0) - 1) / COUNT(H:H)) + 1</f>
        <v>2</v>
      </c>
      <c r="L1341">
        <f t="array" ref="L1341">INT(5 * (RANK(I1341,I:I, 0) - 1) / COUNT(I:I)) + 1</f>
        <v>1</v>
      </c>
      <c r="M1341" t="str">
        <f t="shared" si="40"/>
        <v>321</v>
      </c>
      <c r="N1341" s="6" t="str">
        <f t="shared" si="41"/>
        <v>Others</v>
      </c>
    </row>
    <row r="1342" spans="1:14" x14ac:dyDescent="0.35">
      <c r="A1342">
        <v>1234</v>
      </c>
      <c r="B1342" s="4">
        <v>45742.375085336993</v>
      </c>
      <c r="C1342" t="s">
        <v>14</v>
      </c>
      <c r="D1342" t="s">
        <v>19</v>
      </c>
      <c r="E1342" t="s">
        <v>25</v>
      </c>
      <c r="F1342">
        <v>6576.44</v>
      </c>
      <c r="G1342">
        <f t="array" ref="G1342">SalesData!$I$2 - 'RFM Table'!B1342</f>
        <v>394</v>
      </c>
      <c r="H1342">
        <f t="array" ref="H1342">COUNTIF(A:A,A1342)</f>
        <v>5</v>
      </c>
      <c r="I1342">
        <f t="array" ref="I1342">SUMIF(A:A,A1342,F:F)</f>
        <v>18834.370000000003</v>
      </c>
      <c r="J1342">
        <f t="array" ref="J1342">5 - INT(5 * (RANK(G1342,G:G, 1) - 1) / COUNT(G:G))</f>
        <v>3</v>
      </c>
      <c r="K1342">
        <f t="array" ref="K1342">INT(5 * (RANK(H1342,H:H, 0) - 1) / COUNT(H:H)) + 1</f>
        <v>5</v>
      </c>
      <c r="L1342">
        <f t="array" ref="L1342">INT(5 * (RANK(I1342,I:I, 0) - 1) / COUNT(I:I)) + 1</f>
        <v>5</v>
      </c>
      <c r="M1342" t="str">
        <f t="shared" si="40"/>
        <v>355</v>
      </c>
      <c r="N1342" s="6" t="str">
        <f t="shared" si="41"/>
        <v>Others</v>
      </c>
    </row>
    <row r="1343" spans="1:14" x14ac:dyDescent="0.35">
      <c r="A1343">
        <v>1285</v>
      </c>
      <c r="B1343" s="4">
        <v>45742.375085336993</v>
      </c>
      <c r="C1343" t="s">
        <v>6</v>
      </c>
      <c r="D1343" t="s">
        <v>19</v>
      </c>
      <c r="E1343" t="s">
        <v>23</v>
      </c>
      <c r="F1343">
        <v>2863.09</v>
      </c>
      <c r="G1343">
        <f t="array" ref="G1343">SalesData!$I$2 - 'RFM Table'!B1343</f>
        <v>394</v>
      </c>
      <c r="H1343">
        <f t="array" ref="H1343">COUNTIF(A:A,A1343)</f>
        <v>9</v>
      </c>
      <c r="I1343">
        <f t="array" ref="I1343">SUMIF(A:A,A1343,F:F)</f>
        <v>27990.980000000003</v>
      </c>
      <c r="J1343">
        <f t="array" ref="J1343">5 - INT(5 * (RANK(G1343,G:G, 1) - 1) / COUNT(G:G))</f>
        <v>3</v>
      </c>
      <c r="K1343">
        <f t="array" ref="K1343">INT(5 * (RANK(H1343,H:H, 0) - 1) / COUNT(H:H)) + 1</f>
        <v>2</v>
      </c>
      <c r="L1343">
        <f t="array" ref="L1343">INT(5 * (RANK(I1343,I:I, 0) - 1) / COUNT(I:I)) + 1</f>
        <v>4</v>
      </c>
      <c r="M1343" t="str">
        <f t="shared" si="40"/>
        <v>324</v>
      </c>
      <c r="N1343" s="6" t="str">
        <f t="shared" si="41"/>
        <v>Others</v>
      </c>
    </row>
    <row r="1344" spans="1:14" x14ac:dyDescent="0.35">
      <c r="A1344">
        <v>1375</v>
      </c>
      <c r="B1344" s="4">
        <v>45742.375085336993</v>
      </c>
      <c r="C1344" t="s">
        <v>15</v>
      </c>
      <c r="D1344" t="s">
        <v>20</v>
      </c>
      <c r="E1344" t="s">
        <v>24</v>
      </c>
      <c r="F1344">
        <v>9279</v>
      </c>
      <c r="G1344">
        <f t="array" ref="G1344">SalesData!$I$2 - 'RFM Table'!B1344</f>
        <v>394</v>
      </c>
      <c r="H1344">
        <f t="array" ref="H1344">COUNTIF(A:A,A1344)</f>
        <v>9</v>
      </c>
      <c r="I1344">
        <f t="array" ref="I1344">SUMIF(A:A,A1344,F:F)</f>
        <v>37215.54</v>
      </c>
      <c r="J1344">
        <f t="array" ref="J1344">5 - INT(5 * (RANK(G1344,G:G, 1) - 1) / COUNT(G:G))</f>
        <v>3</v>
      </c>
      <c r="K1344">
        <f t="array" ref="K1344">INT(5 * (RANK(H1344,H:H, 0) - 1) / COUNT(H:H)) + 1</f>
        <v>2</v>
      </c>
      <c r="L1344">
        <f t="array" ref="L1344">INT(5 * (RANK(I1344,I:I, 0) - 1) / COUNT(I:I)) + 1</f>
        <v>2</v>
      </c>
      <c r="M1344" t="str">
        <f t="shared" si="40"/>
        <v>322</v>
      </c>
      <c r="N1344" s="6" t="str">
        <f t="shared" si="41"/>
        <v>Others</v>
      </c>
    </row>
    <row r="1345" spans="1:14" x14ac:dyDescent="0.35">
      <c r="A1345">
        <v>1309</v>
      </c>
      <c r="B1345" s="4">
        <v>45742.375085336993</v>
      </c>
      <c r="C1345" t="s">
        <v>14</v>
      </c>
      <c r="D1345" t="s">
        <v>19</v>
      </c>
      <c r="E1345" t="s">
        <v>24</v>
      </c>
      <c r="F1345">
        <v>2764.69</v>
      </c>
      <c r="G1345">
        <f t="array" ref="G1345">SalesData!$I$2 - 'RFM Table'!B1345</f>
        <v>394</v>
      </c>
      <c r="H1345">
        <f t="array" ref="H1345">COUNTIF(A:A,A1345)</f>
        <v>11</v>
      </c>
      <c r="I1345">
        <f t="array" ref="I1345">SUMIF(A:A,A1345,F:F)</f>
        <v>43078.749999999993</v>
      </c>
      <c r="J1345">
        <f t="array" ref="J1345">5 - INT(5 * (RANK(G1345,G:G, 1) - 1) / COUNT(G:G))</f>
        <v>3</v>
      </c>
      <c r="K1345">
        <f t="array" ref="K1345">INT(5 * (RANK(H1345,H:H, 0) - 1) / COUNT(H:H)) + 1</f>
        <v>1</v>
      </c>
      <c r="L1345">
        <f t="array" ref="L1345">INT(5 * (RANK(I1345,I:I, 0) - 1) / COUNT(I:I)) + 1</f>
        <v>2</v>
      </c>
      <c r="M1345" t="str">
        <f t="shared" si="40"/>
        <v>312</v>
      </c>
      <c r="N1345" s="6" t="str">
        <f t="shared" si="41"/>
        <v>Others</v>
      </c>
    </row>
    <row r="1346" spans="1:14" x14ac:dyDescent="0.35">
      <c r="A1346">
        <v>1028</v>
      </c>
      <c r="B1346" s="4">
        <v>45742.375085336993</v>
      </c>
      <c r="C1346" t="s">
        <v>7</v>
      </c>
      <c r="D1346" t="s">
        <v>22</v>
      </c>
      <c r="E1346" t="s">
        <v>24</v>
      </c>
      <c r="F1346">
        <v>4568.59</v>
      </c>
      <c r="G1346">
        <f t="array" ref="G1346">SalesData!$I$2 - 'RFM Table'!B1346</f>
        <v>394</v>
      </c>
      <c r="H1346">
        <f t="array" ref="H1346">COUNTIF(A:A,A1346)</f>
        <v>10</v>
      </c>
      <c r="I1346">
        <f t="array" ref="I1346">SUMIF(A:A,A1346,F:F)</f>
        <v>37984.589999999997</v>
      </c>
      <c r="J1346">
        <f t="array" ref="J1346">5 - INT(5 * (RANK(G1346,G:G, 1) - 1) / COUNT(G:G))</f>
        <v>3</v>
      </c>
      <c r="K1346">
        <f t="array" ref="K1346">INT(5 * (RANK(H1346,H:H, 0) - 1) / COUNT(H:H)) + 1</f>
        <v>2</v>
      </c>
      <c r="L1346">
        <f t="array" ref="L1346">INT(5 * (RANK(I1346,I:I, 0) - 1) / COUNT(I:I)) + 1</f>
        <v>2</v>
      </c>
      <c r="M1346" t="str">
        <f t="shared" si="40"/>
        <v>322</v>
      </c>
      <c r="N1346" s="6" t="str">
        <f t="shared" si="41"/>
        <v>Others</v>
      </c>
    </row>
    <row r="1347" spans="1:14" x14ac:dyDescent="0.35">
      <c r="A1347">
        <v>1346</v>
      </c>
      <c r="B1347" s="4">
        <v>45743.375085336993</v>
      </c>
      <c r="C1347" t="s">
        <v>10</v>
      </c>
      <c r="D1347" t="s">
        <v>20</v>
      </c>
      <c r="E1347" t="s">
        <v>24</v>
      </c>
      <c r="F1347">
        <v>4950.68</v>
      </c>
      <c r="G1347">
        <f t="array" ref="G1347">SalesData!$I$2 - 'RFM Table'!B1347</f>
        <v>393</v>
      </c>
      <c r="H1347">
        <f t="array" ref="H1347">COUNTIF(A:A,A1347)</f>
        <v>6</v>
      </c>
      <c r="I1347">
        <f t="array" ref="I1347">SUMIF(A:A,A1347,F:F)</f>
        <v>23326.76</v>
      </c>
      <c r="J1347">
        <f t="array" ref="J1347">5 - INT(5 * (RANK(G1347,G:G, 1) - 1) / COUNT(G:G))</f>
        <v>3</v>
      </c>
      <c r="K1347">
        <f t="array" ref="K1347">INT(5 * (RANK(H1347,H:H, 0) - 1) / COUNT(H:H)) + 1</f>
        <v>4</v>
      </c>
      <c r="L1347">
        <f t="array" ref="L1347">INT(5 * (RANK(I1347,I:I, 0) - 1) / COUNT(I:I)) + 1</f>
        <v>4</v>
      </c>
      <c r="M1347" t="str">
        <f t="shared" ref="M1347:M1410" si="42">J1347 &amp; K1347 &amp; L1347</f>
        <v>344</v>
      </c>
      <c r="N1347" s="6" t="str">
        <f t="shared" ref="N1347:N1410" si="43">IF(AND(J1347&gt;=4,K1347&lt;=2),"New Customers",
IF(AND(J1347&lt;=2,K1347&gt;=3,L1347&gt;=3),"At Risk",
IF(AND(J1347&lt;=2,K1347&lt;=2,L1347&gt;=3),"Can't Lose Them",
IF(AND(J1347&lt;=2,K1347&lt;=2,L1347&lt;=2),"Lost",
"Others"))))</f>
        <v>Others</v>
      </c>
    </row>
    <row r="1348" spans="1:14" x14ac:dyDescent="0.35">
      <c r="A1348">
        <v>1372</v>
      </c>
      <c r="B1348" s="4">
        <v>45743.375085336993</v>
      </c>
      <c r="C1348" t="s">
        <v>11</v>
      </c>
      <c r="D1348" t="s">
        <v>20</v>
      </c>
      <c r="E1348" t="s">
        <v>23</v>
      </c>
      <c r="F1348">
        <v>1689.36</v>
      </c>
      <c r="G1348">
        <f t="array" ref="G1348">SalesData!$I$2 - 'RFM Table'!B1348</f>
        <v>393</v>
      </c>
      <c r="H1348">
        <f t="array" ref="H1348">COUNTIF(A:A,A1348)</f>
        <v>9</v>
      </c>
      <c r="I1348">
        <f t="array" ref="I1348">SUMIF(A:A,A1348,F:F)</f>
        <v>32843.11</v>
      </c>
      <c r="J1348">
        <f t="array" ref="J1348">5 - INT(5 * (RANK(G1348,G:G, 1) - 1) / COUNT(G:G))</f>
        <v>3</v>
      </c>
      <c r="K1348">
        <f t="array" ref="K1348">INT(5 * (RANK(H1348,H:H, 0) - 1) / COUNT(H:H)) + 1</f>
        <v>2</v>
      </c>
      <c r="L1348">
        <f t="array" ref="L1348">INT(5 * (RANK(I1348,I:I, 0) - 1) / COUNT(I:I)) + 1</f>
        <v>3</v>
      </c>
      <c r="M1348" t="str">
        <f t="shared" si="42"/>
        <v>323</v>
      </c>
      <c r="N1348" s="6" t="str">
        <f t="shared" si="43"/>
        <v>Others</v>
      </c>
    </row>
    <row r="1349" spans="1:14" x14ac:dyDescent="0.35">
      <c r="A1349">
        <v>1043</v>
      </c>
      <c r="B1349" s="4">
        <v>45743.375085336993</v>
      </c>
      <c r="C1349" t="s">
        <v>10</v>
      </c>
      <c r="D1349" t="s">
        <v>21</v>
      </c>
      <c r="E1349" t="s">
        <v>24</v>
      </c>
      <c r="F1349">
        <v>5000.99</v>
      </c>
      <c r="G1349">
        <f t="array" ref="G1349">SalesData!$I$2 - 'RFM Table'!B1349</f>
        <v>393</v>
      </c>
      <c r="H1349">
        <f t="array" ref="H1349">COUNTIF(A:A,A1349)</f>
        <v>7</v>
      </c>
      <c r="I1349">
        <f t="array" ref="I1349">SUMIF(A:A,A1349,F:F)</f>
        <v>20627.900000000001</v>
      </c>
      <c r="J1349">
        <f t="array" ref="J1349">5 - INT(5 * (RANK(G1349,G:G, 1) - 1) / COUNT(G:G))</f>
        <v>3</v>
      </c>
      <c r="K1349">
        <f t="array" ref="K1349">INT(5 * (RANK(H1349,H:H, 0) - 1) / COUNT(H:H)) + 1</f>
        <v>4</v>
      </c>
      <c r="L1349">
        <f t="array" ref="L1349">INT(5 * (RANK(I1349,I:I, 0) - 1) / COUNT(I:I)) + 1</f>
        <v>5</v>
      </c>
      <c r="M1349" t="str">
        <f t="shared" si="42"/>
        <v>345</v>
      </c>
      <c r="N1349" s="6" t="str">
        <f t="shared" si="43"/>
        <v>Others</v>
      </c>
    </row>
    <row r="1350" spans="1:14" x14ac:dyDescent="0.35">
      <c r="A1350">
        <v>1111</v>
      </c>
      <c r="B1350" s="4">
        <v>45743.375085336993</v>
      </c>
      <c r="C1350" t="s">
        <v>7</v>
      </c>
      <c r="D1350" t="s">
        <v>22</v>
      </c>
      <c r="E1350" t="s">
        <v>25</v>
      </c>
      <c r="F1350">
        <v>1383.79</v>
      </c>
      <c r="G1350">
        <f t="array" ref="G1350">SalesData!$I$2 - 'RFM Table'!B1350</f>
        <v>393</v>
      </c>
      <c r="H1350">
        <f t="array" ref="H1350">COUNTIF(A:A,A1350)</f>
        <v>7</v>
      </c>
      <c r="I1350">
        <f t="array" ref="I1350">SUMIF(A:A,A1350,F:F)</f>
        <v>17082.88</v>
      </c>
      <c r="J1350">
        <f t="array" ref="J1350">5 - INT(5 * (RANK(G1350,G:G, 1) - 1) / COUNT(G:G))</f>
        <v>3</v>
      </c>
      <c r="K1350">
        <f t="array" ref="K1350">INT(5 * (RANK(H1350,H:H, 0) - 1) / COUNT(H:H)) + 1</f>
        <v>4</v>
      </c>
      <c r="L1350">
        <f t="array" ref="L1350">INT(5 * (RANK(I1350,I:I, 0) - 1) / COUNT(I:I)) + 1</f>
        <v>5</v>
      </c>
      <c r="M1350" t="str">
        <f t="shared" si="42"/>
        <v>345</v>
      </c>
      <c r="N1350" s="6" t="str">
        <f t="shared" si="43"/>
        <v>Others</v>
      </c>
    </row>
    <row r="1351" spans="1:14" x14ac:dyDescent="0.35">
      <c r="A1351">
        <v>1071</v>
      </c>
      <c r="B1351" s="4">
        <v>45743.375085336993</v>
      </c>
      <c r="C1351" t="s">
        <v>15</v>
      </c>
      <c r="D1351" t="s">
        <v>22</v>
      </c>
      <c r="E1351" t="s">
        <v>23</v>
      </c>
      <c r="F1351">
        <v>3765.19</v>
      </c>
      <c r="G1351">
        <f t="array" ref="G1351">SalesData!$I$2 - 'RFM Table'!B1351</f>
        <v>393</v>
      </c>
      <c r="H1351">
        <f t="array" ref="H1351">COUNTIF(A:A,A1351)</f>
        <v>8</v>
      </c>
      <c r="I1351">
        <f t="array" ref="I1351">SUMIF(A:A,A1351,F:F)</f>
        <v>28879.600000000002</v>
      </c>
      <c r="J1351">
        <f t="array" ref="J1351">5 - INT(5 * (RANK(G1351,G:G, 1) - 1) / COUNT(G:G))</f>
        <v>3</v>
      </c>
      <c r="K1351">
        <f t="array" ref="K1351">INT(5 * (RANK(H1351,H:H, 0) - 1) / COUNT(H:H)) + 1</f>
        <v>3</v>
      </c>
      <c r="L1351">
        <f t="array" ref="L1351">INT(5 * (RANK(I1351,I:I, 0) - 1) / COUNT(I:I)) + 1</f>
        <v>4</v>
      </c>
      <c r="M1351" t="str">
        <f t="shared" si="42"/>
        <v>334</v>
      </c>
      <c r="N1351" s="6" t="str">
        <f t="shared" si="43"/>
        <v>Others</v>
      </c>
    </row>
    <row r="1352" spans="1:14" x14ac:dyDescent="0.35">
      <c r="A1352">
        <v>1360</v>
      </c>
      <c r="B1352" s="4">
        <v>45743.375085336993</v>
      </c>
      <c r="C1352" t="s">
        <v>6</v>
      </c>
      <c r="D1352" t="s">
        <v>17</v>
      </c>
      <c r="E1352" t="s">
        <v>24</v>
      </c>
      <c r="F1352">
        <v>7944.33</v>
      </c>
      <c r="G1352">
        <f t="array" ref="G1352">SalesData!$I$2 - 'RFM Table'!B1352</f>
        <v>393</v>
      </c>
      <c r="H1352">
        <f t="array" ref="H1352">COUNTIF(A:A,A1352)</f>
        <v>8</v>
      </c>
      <c r="I1352">
        <f t="array" ref="I1352">SUMIF(A:A,A1352,F:F)</f>
        <v>31675.43</v>
      </c>
      <c r="J1352">
        <f t="array" ref="J1352">5 - INT(5 * (RANK(G1352,G:G, 1) - 1) / COUNT(G:G))</f>
        <v>3</v>
      </c>
      <c r="K1352">
        <f t="array" ref="K1352">INT(5 * (RANK(H1352,H:H, 0) - 1) / COUNT(H:H)) + 1</f>
        <v>3</v>
      </c>
      <c r="L1352">
        <f t="array" ref="L1352">INT(5 * (RANK(I1352,I:I, 0) - 1) / COUNT(I:I)) + 1</f>
        <v>3</v>
      </c>
      <c r="M1352" t="str">
        <f t="shared" si="42"/>
        <v>333</v>
      </c>
      <c r="N1352" s="6" t="str">
        <f t="shared" si="43"/>
        <v>Others</v>
      </c>
    </row>
    <row r="1353" spans="1:14" x14ac:dyDescent="0.35">
      <c r="A1353">
        <v>1222</v>
      </c>
      <c r="B1353" s="4">
        <v>45744.375085336993</v>
      </c>
      <c r="C1353" t="s">
        <v>13</v>
      </c>
      <c r="D1353" t="s">
        <v>19</v>
      </c>
      <c r="E1353" t="s">
        <v>23</v>
      </c>
      <c r="F1353">
        <v>2155.1999999999998</v>
      </c>
      <c r="G1353">
        <f t="array" ref="G1353">SalesData!$I$2 - 'RFM Table'!B1353</f>
        <v>392</v>
      </c>
      <c r="H1353">
        <f t="array" ref="H1353">COUNTIF(A:A,A1353)</f>
        <v>12</v>
      </c>
      <c r="I1353">
        <f t="array" ref="I1353">SUMIF(A:A,A1353,F:F)</f>
        <v>45191.609999999993</v>
      </c>
      <c r="J1353">
        <f t="array" ref="J1353">5 - INT(5 * (RANK(G1353,G:G, 1) - 1) / COUNT(G:G))</f>
        <v>3</v>
      </c>
      <c r="K1353">
        <f t="array" ref="K1353">INT(5 * (RANK(H1353,H:H, 0) - 1) / COUNT(H:H)) + 1</f>
        <v>1</v>
      </c>
      <c r="L1353">
        <f t="array" ref="L1353">INT(5 * (RANK(I1353,I:I, 0) - 1) / COUNT(I:I)) + 1</f>
        <v>1</v>
      </c>
      <c r="M1353" t="str">
        <f t="shared" si="42"/>
        <v>311</v>
      </c>
      <c r="N1353" s="6" t="str">
        <f t="shared" si="43"/>
        <v>Others</v>
      </c>
    </row>
    <row r="1354" spans="1:14" x14ac:dyDescent="0.35">
      <c r="A1354">
        <v>1280</v>
      </c>
      <c r="B1354" s="4">
        <v>45744.375085336993</v>
      </c>
      <c r="C1354" t="s">
        <v>11</v>
      </c>
      <c r="D1354" t="s">
        <v>20</v>
      </c>
      <c r="E1354" t="s">
        <v>23</v>
      </c>
      <c r="F1354">
        <v>4103.84</v>
      </c>
      <c r="G1354">
        <f t="array" ref="G1354">SalesData!$I$2 - 'RFM Table'!B1354</f>
        <v>392</v>
      </c>
      <c r="H1354">
        <f t="array" ref="H1354">COUNTIF(A:A,A1354)</f>
        <v>7</v>
      </c>
      <c r="I1354">
        <f t="array" ref="I1354">SUMIF(A:A,A1354,F:F)</f>
        <v>34546.720000000001</v>
      </c>
      <c r="J1354">
        <f t="array" ref="J1354">5 - INT(5 * (RANK(G1354,G:G, 1) - 1) / COUNT(G:G))</f>
        <v>3</v>
      </c>
      <c r="K1354">
        <f t="array" ref="K1354">INT(5 * (RANK(H1354,H:H, 0) - 1) / COUNT(H:H)) + 1</f>
        <v>4</v>
      </c>
      <c r="L1354">
        <f t="array" ref="L1354">INT(5 * (RANK(I1354,I:I, 0) - 1) / COUNT(I:I)) + 1</f>
        <v>3</v>
      </c>
      <c r="M1354" t="str">
        <f t="shared" si="42"/>
        <v>343</v>
      </c>
      <c r="N1354" s="6" t="str">
        <f t="shared" si="43"/>
        <v>Others</v>
      </c>
    </row>
    <row r="1355" spans="1:14" x14ac:dyDescent="0.35">
      <c r="A1355">
        <v>1269</v>
      </c>
      <c r="B1355" s="4">
        <v>45744.375085336993</v>
      </c>
      <c r="C1355" t="s">
        <v>12</v>
      </c>
      <c r="D1355" t="s">
        <v>21</v>
      </c>
      <c r="E1355" t="s">
        <v>23</v>
      </c>
      <c r="F1355">
        <v>8410.77</v>
      </c>
      <c r="G1355">
        <f t="array" ref="G1355">SalesData!$I$2 - 'RFM Table'!B1355</f>
        <v>392</v>
      </c>
      <c r="H1355">
        <f t="array" ref="H1355">COUNTIF(A:A,A1355)</f>
        <v>6</v>
      </c>
      <c r="I1355">
        <f t="array" ref="I1355">SUMIF(A:A,A1355,F:F)</f>
        <v>25651.410000000003</v>
      </c>
      <c r="J1355">
        <f t="array" ref="J1355">5 - INT(5 * (RANK(G1355,G:G, 1) - 1) / COUNT(G:G))</f>
        <v>3</v>
      </c>
      <c r="K1355">
        <f t="array" ref="K1355">INT(5 * (RANK(H1355,H:H, 0) - 1) / COUNT(H:H)) + 1</f>
        <v>4</v>
      </c>
      <c r="L1355">
        <f t="array" ref="L1355">INT(5 * (RANK(I1355,I:I, 0) - 1) / COUNT(I:I)) + 1</f>
        <v>4</v>
      </c>
      <c r="M1355" t="str">
        <f t="shared" si="42"/>
        <v>344</v>
      </c>
      <c r="N1355" s="6" t="str">
        <f t="shared" si="43"/>
        <v>Others</v>
      </c>
    </row>
    <row r="1356" spans="1:14" x14ac:dyDescent="0.35">
      <c r="A1356">
        <v>1286</v>
      </c>
      <c r="B1356" s="4">
        <v>45744.375085336993</v>
      </c>
      <c r="C1356" t="s">
        <v>10</v>
      </c>
      <c r="D1356" t="s">
        <v>19</v>
      </c>
      <c r="E1356" t="s">
        <v>25</v>
      </c>
      <c r="F1356">
        <v>4631.1899999999996</v>
      </c>
      <c r="G1356">
        <f t="array" ref="G1356">SalesData!$I$2 - 'RFM Table'!B1356</f>
        <v>392</v>
      </c>
      <c r="H1356">
        <f t="array" ref="H1356">COUNTIF(A:A,A1356)</f>
        <v>6</v>
      </c>
      <c r="I1356">
        <f t="array" ref="I1356">SUMIF(A:A,A1356,F:F)</f>
        <v>40190.459999999992</v>
      </c>
      <c r="J1356">
        <f t="array" ref="J1356">5 - INT(5 * (RANK(G1356,G:G, 1) - 1) / COUNT(G:G))</f>
        <v>3</v>
      </c>
      <c r="K1356">
        <f t="array" ref="K1356">INT(5 * (RANK(H1356,H:H, 0) - 1) / COUNT(H:H)) + 1</f>
        <v>4</v>
      </c>
      <c r="L1356">
        <f t="array" ref="L1356">INT(5 * (RANK(I1356,I:I, 0) - 1) / COUNT(I:I)) + 1</f>
        <v>2</v>
      </c>
      <c r="M1356" t="str">
        <f t="shared" si="42"/>
        <v>342</v>
      </c>
      <c r="N1356" s="6" t="str">
        <f t="shared" si="43"/>
        <v>Others</v>
      </c>
    </row>
    <row r="1357" spans="1:14" x14ac:dyDescent="0.35">
      <c r="A1357">
        <v>1039</v>
      </c>
      <c r="B1357" s="4">
        <v>45744.375085336993</v>
      </c>
      <c r="C1357" t="s">
        <v>13</v>
      </c>
      <c r="D1357" t="s">
        <v>21</v>
      </c>
      <c r="E1357" t="s">
        <v>24</v>
      </c>
      <c r="F1357">
        <v>5975.25</v>
      </c>
      <c r="G1357">
        <f t="array" ref="G1357">SalesData!$I$2 - 'RFM Table'!B1357</f>
        <v>392</v>
      </c>
      <c r="H1357">
        <f t="array" ref="H1357">COUNTIF(A:A,A1357)</f>
        <v>8</v>
      </c>
      <c r="I1357">
        <f t="array" ref="I1357">SUMIF(A:A,A1357,F:F)</f>
        <v>21286.739999999998</v>
      </c>
      <c r="J1357">
        <f t="array" ref="J1357">5 - INT(5 * (RANK(G1357,G:G, 1) - 1) / COUNT(G:G))</f>
        <v>3</v>
      </c>
      <c r="K1357">
        <f t="array" ref="K1357">INT(5 * (RANK(H1357,H:H, 0) - 1) / COUNT(H:H)) + 1</f>
        <v>3</v>
      </c>
      <c r="L1357">
        <f t="array" ref="L1357">INT(5 * (RANK(I1357,I:I, 0) - 1) / COUNT(I:I)) + 1</f>
        <v>5</v>
      </c>
      <c r="M1357" t="str">
        <f t="shared" si="42"/>
        <v>335</v>
      </c>
      <c r="N1357" s="6" t="str">
        <f t="shared" si="43"/>
        <v>Others</v>
      </c>
    </row>
    <row r="1358" spans="1:14" x14ac:dyDescent="0.35">
      <c r="A1358">
        <v>1086</v>
      </c>
      <c r="B1358" s="4">
        <v>45745.375085336993</v>
      </c>
      <c r="C1358" t="s">
        <v>13</v>
      </c>
      <c r="D1358" t="s">
        <v>17</v>
      </c>
      <c r="E1358" t="s">
        <v>23</v>
      </c>
      <c r="F1358">
        <v>2177.0300000000002</v>
      </c>
      <c r="G1358">
        <f t="array" ref="G1358">SalesData!$I$2 - 'RFM Table'!B1358</f>
        <v>391</v>
      </c>
      <c r="H1358">
        <f t="array" ref="H1358">COUNTIF(A:A,A1358)</f>
        <v>6</v>
      </c>
      <c r="I1358">
        <f t="array" ref="I1358">SUMIF(A:A,A1358,F:F)</f>
        <v>18163.55</v>
      </c>
      <c r="J1358">
        <f t="array" ref="J1358">5 - INT(5 * (RANK(G1358,G:G, 1) - 1) / COUNT(G:G))</f>
        <v>3</v>
      </c>
      <c r="K1358">
        <f t="array" ref="K1358">INT(5 * (RANK(H1358,H:H, 0) - 1) / COUNT(H:H)) + 1</f>
        <v>4</v>
      </c>
      <c r="L1358">
        <f t="array" ref="L1358">INT(5 * (RANK(I1358,I:I, 0) - 1) / COUNT(I:I)) + 1</f>
        <v>5</v>
      </c>
      <c r="M1358" t="str">
        <f t="shared" si="42"/>
        <v>345</v>
      </c>
      <c r="N1358" s="6" t="str">
        <f t="shared" si="43"/>
        <v>Others</v>
      </c>
    </row>
    <row r="1359" spans="1:14" x14ac:dyDescent="0.35">
      <c r="A1359">
        <v>1244</v>
      </c>
      <c r="B1359" s="4">
        <v>45745.375085336993</v>
      </c>
      <c r="C1359" t="s">
        <v>6</v>
      </c>
      <c r="D1359" t="s">
        <v>20</v>
      </c>
      <c r="E1359" t="s">
        <v>24</v>
      </c>
      <c r="F1359">
        <v>3791.45</v>
      </c>
      <c r="G1359">
        <f t="array" ref="G1359">SalesData!$I$2 - 'RFM Table'!B1359</f>
        <v>391</v>
      </c>
      <c r="H1359">
        <f t="array" ref="H1359">COUNTIF(A:A,A1359)</f>
        <v>3</v>
      </c>
      <c r="I1359">
        <f t="array" ref="I1359">SUMIF(A:A,A1359,F:F)</f>
        <v>9190.25</v>
      </c>
      <c r="J1359">
        <f t="array" ref="J1359">5 - INT(5 * (RANK(G1359,G:G, 1) - 1) / COUNT(G:G))</f>
        <v>3</v>
      </c>
      <c r="K1359">
        <f t="array" ref="K1359">INT(5 * (RANK(H1359,H:H, 0) - 1) / COUNT(H:H)) + 1</f>
        <v>5</v>
      </c>
      <c r="L1359">
        <f t="array" ref="L1359">INT(5 * (RANK(I1359,I:I, 0) - 1) / COUNT(I:I)) + 1</f>
        <v>5</v>
      </c>
      <c r="M1359" t="str">
        <f t="shared" si="42"/>
        <v>355</v>
      </c>
      <c r="N1359" s="6" t="str">
        <f t="shared" si="43"/>
        <v>Others</v>
      </c>
    </row>
    <row r="1360" spans="1:14" x14ac:dyDescent="0.35">
      <c r="A1360">
        <v>1011</v>
      </c>
      <c r="B1360" s="4">
        <v>45745.375085336993</v>
      </c>
      <c r="C1360" t="s">
        <v>9</v>
      </c>
      <c r="D1360" t="s">
        <v>17</v>
      </c>
      <c r="E1360" t="s">
        <v>23</v>
      </c>
      <c r="F1360">
        <v>2768.21</v>
      </c>
      <c r="G1360">
        <f t="array" ref="G1360">SalesData!$I$2 - 'RFM Table'!B1360</f>
        <v>391</v>
      </c>
      <c r="H1360">
        <f t="array" ref="H1360">COUNTIF(A:A,A1360)</f>
        <v>16</v>
      </c>
      <c r="I1360">
        <f t="array" ref="I1360">SUMIF(A:A,A1360,F:F)</f>
        <v>58237.360000000008</v>
      </c>
      <c r="J1360">
        <f t="array" ref="J1360">5 - INT(5 * (RANK(G1360,G:G, 1) - 1) / COUNT(G:G))</f>
        <v>3</v>
      </c>
      <c r="K1360">
        <f t="array" ref="K1360">INT(5 * (RANK(H1360,H:H, 0) - 1) / COUNT(H:H)) + 1</f>
        <v>1</v>
      </c>
      <c r="L1360">
        <f t="array" ref="L1360">INT(5 * (RANK(I1360,I:I, 0) - 1) / COUNT(I:I)) + 1</f>
        <v>1</v>
      </c>
      <c r="M1360" t="str">
        <f t="shared" si="42"/>
        <v>311</v>
      </c>
      <c r="N1360" s="6" t="str">
        <f t="shared" si="43"/>
        <v>Others</v>
      </c>
    </row>
    <row r="1361" spans="1:14" x14ac:dyDescent="0.35">
      <c r="A1361">
        <v>1277</v>
      </c>
      <c r="B1361" s="4">
        <v>45745.375085336993</v>
      </c>
      <c r="C1361" t="s">
        <v>9</v>
      </c>
      <c r="D1361" t="s">
        <v>17</v>
      </c>
      <c r="E1361" t="s">
        <v>25</v>
      </c>
      <c r="F1361">
        <v>3402.38</v>
      </c>
      <c r="G1361">
        <f t="array" ref="G1361">SalesData!$I$2 - 'RFM Table'!B1361</f>
        <v>391</v>
      </c>
      <c r="H1361">
        <f t="array" ref="H1361">COUNTIF(A:A,A1361)</f>
        <v>5</v>
      </c>
      <c r="I1361">
        <f t="array" ref="I1361">SUMIF(A:A,A1361,F:F)</f>
        <v>22112.27</v>
      </c>
      <c r="J1361">
        <f t="array" ref="J1361">5 - INT(5 * (RANK(G1361,G:G, 1) - 1) / COUNT(G:G))</f>
        <v>3</v>
      </c>
      <c r="K1361">
        <f t="array" ref="K1361">INT(5 * (RANK(H1361,H:H, 0) - 1) / COUNT(H:H)) + 1</f>
        <v>5</v>
      </c>
      <c r="L1361">
        <f t="array" ref="L1361">INT(5 * (RANK(I1361,I:I, 0) - 1) / COUNT(I:I)) + 1</f>
        <v>4</v>
      </c>
      <c r="M1361" t="str">
        <f t="shared" si="42"/>
        <v>354</v>
      </c>
      <c r="N1361" s="6" t="str">
        <f t="shared" si="43"/>
        <v>Others</v>
      </c>
    </row>
    <row r="1362" spans="1:14" x14ac:dyDescent="0.35">
      <c r="A1362">
        <v>1153</v>
      </c>
      <c r="B1362" s="4">
        <v>45746.375085336993</v>
      </c>
      <c r="C1362" t="s">
        <v>14</v>
      </c>
      <c r="D1362" t="s">
        <v>19</v>
      </c>
      <c r="E1362" t="s">
        <v>23</v>
      </c>
      <c r="F1362">
        <v>290.64</v>
      </c>
      <c r="G1362">
        <f t="array" ref="G1362">SalesData!$I$2 - 'RFM Table'!B1362</f>
        <v>390</v>
      </c>
      <c r="H1362">
        <f t="array" ref="H1362">COUNTIF(A:A,A1362)</f>
        <v>12</v>
      </c>
      <c r="I1362">
        <f t="array" ref="I1362">SUMIF(A:A,A1362,F:F)</f>
        <v>42146.06</v>
      </c>
      <c r="J1362">
        <f t="array" ref="J1362">5 - INT(5 * (RANK(G1362,G:G, 1) - 1) / COUNT(G:G))</f>
        <v>3</v>
      </c>
      <c r="K1362">
        <f t="array" ref="K1362">INT(5 * (RANK(H1362,H:H, 0) - 1) / COUNT(H:H)) + 1</f>
        <v>1</v>
      </c>
      <c r="L1362">
        <f t="array" ref="L1362">INT(5 * (RANK(I1362,I:I, 0) - 1) / COUNT(I:I)) + 1</f>
        <v>2</v>
      </c>
      <c r="M1362" t="str">
        <f t="shared" si="42"/>
        <v>312</v>
      </c>
      <c r="N1362" s="6" t="str">
        <f t="shared" si="43"/>
        <v>Others</v>
      </c>
    </row>
    <row r="1363" spans="1:14" x14ac:dyDescent="0.35">
      <c r="A1363">
        <v>1309</v>
      </c>
      <c r="B1363" s="4">
        <v>45746.375085336993</v>
      </c>
      <c r="C1363" t="s">
        <v>14</v>
      </c>
      <c r="D1363" t="s">
        <v>19</v>
      </c>
      <c r="E1363" t="s">
        <v>23</v>
      </c>
      <c r="F1363">
        <v>8701.2000000000007</v>
      </c>
      <c r="G1363">
        <f t="array" ref="G1363">SalesData!$I$2 - 'RFM Table'!B1363</f>
        <v>390</v>
      </c>
      <c r="H1363">
        <f t="array" ref="H1363">COUNTIF(A:A,A1363)</f>
        <v>11</v>
      </c>
      <c r="I1363">
        <f t="array" ref="I1363">SUMIF(A:A,A1363,F:F)</f>
        <v>43078.749999999993</v>
      </c>
      <c r="J1363">
        <f t="array" ref="J1363">5 - INT(5 * (RANK(G1363,G:G, 1) - 1) / COUNT(G:G))</f>
        <v>3</v>
      </c>
      <c r="K1363">
        <f t="array" ref="K1363">INT(5 * (RANK(H1363,H:H, 0) - 1) / COUNT(H:H)) + 1</f>
        <v>1</v>
      </c>
      <c r="L1363">
        <f t="array" ref="L1363">INT(5 * (RANK(I1363,I:I, 0) - 1) / COUNT(I:I)) + 1</f>
        <v>2</v>
      </c>
      <c r="M1363" t="str">
        <f t="shared" si="42"/>
        <v>312</v>
      </c>
      <c r="N1363" s="6" t="str">
        <f t="shared" si="43"/>
        <v>Others</v>
      </c>
    </row>
    <row r="1364" spans="1:14" x14ac:dyDescent="0.35">
      <c r="A1364">
        <v>1064</v>
      </c>
      <c r="B1364" s="4">
        <v>45746.375085336993</v>
      </c>
      <c r="C1364" t="s">
        <v>8</v>
      </c>
      <c r="D1364" t="s">
        <v>17</v>
      </c>
      <c r="E1364" t="s">
        <v>25</v>
      </c>
      <c r="F1364">
        <v>4075.15</v>
      </c>
      <c r="G1364">
        <f t="array" ref="G1364">SalesData!$I$2 - 'RFM Table'!B1364</f>
        <v>390</v>
      </c>
      <c r="H1364">
        <f t="array" ref="H1364">COUNTIF(A:A,A1364)</f>
        <v>6</v>
      </c>
      <c r="I1364">
        <f t="array" ref="I1364">SUMIF(A:A,A1364,F:F)</f>
        <v>30683.43</v>
      </c>
      <c r="J1364">
        <f t="array" ref="J1364">5 - INT(5 * (RANK(G1364,G:G, 1) - 1) / COUNT(G:G))</f>
        <v>3</v>
      </c>
      <c r="K1364">
        <f t="array" ref="K1364">INT(5 * (RANK(H1364,H:H, 0) - 1) / COUNT(H:H)) + 1</f>
        <v>4</v>
      </c>
      <c r="L1364">
        <f t="array" ref="L1364">INT(5 * (RANK(I1364,I:I, 0) - 1) / COUNT(I:I)) + 1</f>
        <v>3</v>
      </c>
      <c r="M1364" t="str">
        <f t="shared" si="42"/>
        <v>343</v>
      </c>
      <c r="N1364" s="6" t="str">
        <f t="shared" si="43"/>
        <v>Others</v>
      </c>
    </row>
    <row r="1365" spans="1:14" x14ac:dyDescent="0.35">
      <c r="A1365">
        <v>1327</v>
      </c>
      <c r="B1365" s="4">
        <v>45746.375085336993</v>
      </c>
      <c r="C1365" t="s">
        <v>6</v>
      </c>
      <c r="D1365" t="s">
        <v>19</v>
      </c>
      <c r="E1365" t="s">
        <v>23</v>
      </c>
      <c r="F1365">
        <v>5612.88</v>
      </c>
      <c r="G1365">
        <f t="array" ref="G1365">SalesData!$I$2 - 'RFM Table'!B1365</f>
        <v>390</v>
      </c>
      <c r="H1365">
        <f t="array" ref="H1365">COUNTIF(A:A,A1365)</f>
        <v>10</v>
      </c>
      <c r="I1365">
        <f t="array" ref="I1365">SUMIF(A:A,A1365,F:F)</f>
        <v>34265.79</v>
      </c>
      <c r="J1365">
        <f t="array" ref="J1365">5 - INT(5 * (RANK(G1365,G:G, 1) - 1) / COUNT(G:G))</f>
        <v>3</v>
      </c>
      <c r="K1365">
        <f t="array" ref="K1365">INT(5 * (RANK(H1365,H:H, 0) - 1) / COUNT(H:H)) + 1</f>
        <v>2</v>
      </c>
      <c r="L1365">
        <f t="array" ref="L1365">INT(5 * (RANK(I1365,I:I, 0) - 1) / COUNT(I:I)) + 1</f>
        <v>3</v>
      </c>
      <c r="M1365" t="str">
        <f t="shared" si="42"/>
        <v>323</v>
      </c>
      <c r="N1365" s="6" t="str">
        <f t="shared" si="43"/>
        <v>Others</v>
      </c>
    </row>
    <row r="1366" spans="1:14" x14ac:dyDescent="0.35">
      <c r="A1366">
        <v>1347</v>
      </c>
      <c r="B1366" s="4">
        <v>45746.375085336993</v>
      </c>
      <c r="C1366" t="s">
        <v>7</v>
      </c>
      <c r="D1366" t="s">
        <v>21</v>
      </c>
      <c r="E1366" t="s">
        <v>24</v>
      </c>
      <c r="F1366">
        <v>2542.85</v>
      </c>
      <c r="G1366">
        <f t="array" ref="G1366">SalesData!$I$2 - 'RFM Table'!B1366</f>
        <v>390</v>
      </c>
      <c r="H1366">
        <f t="array" ref="H1366">COUNTIF(A:A,A1366)</f>
        <v>7</v>
      </c>
      <c r="I1366">
        <f t="array" ref="I1366">SUMIF(A:A,A1366,F:F)</f>
        <v>20951.28</v>
      </c>
      <c r="J1366">
        <f t="array" ref="J1366">5 - INT(5 * (RANK(G1366,G:G, 1) - 1) / COUNT(G:G))</f>
        <v>3</v>
      </c>
      <c r="K1366">
        <f t="array" ref="K1366">INT(5 * (RANK(H1366,H:H, 0) - 1) / COUNT(H:H)) + 1</f>
        <v>4</v>
      </c>
      <c r="L1366">
        <f t="array" ref="L1366">INT(5 * (RANK(I1366,I:I, 0) - 1) / COUNT(I:I)) + 1</f>
        <v>5</v>
      </c>
      <c r="M1366" t="str">
        <f t="shared" si="42"/>
        <v>345</v>
      </c>
      <c r="N1366" s="6" t="str">
        <f t="shared" si="43"/>
        <v>Others</v>
      </c>
    </row>
    <row r="1367" spans="1:14" x14ac:dyDescent="0.35">
      <c r="A1367">
        <v>1091</v>
      </c>
      <c r="B1367" s="4">
        <v>45747.375085336993</v>
      </c>
      <c r="C1367" t="s">
        <v>9</v>
      </c>
      <c r="D1367" t="s">
        <v>19</v>
      </c>
      <c r="E1367" t="s">
        <v>24</v>
      </c>
      <c r="F1367">
        <v>2806.27</v>
      </c>
      <c r="G1367">
        <f t="array" ref="G1367">SalesData!$I$2 - 'RFM Table'!B1367</f>
        <v>389</v>
      </c>
      <c r="H1367">
        <f t="array" ref="H1367">COUNTIF(A:A,A1367)</f>
        <v>11</v>
      </c>
      <c r="I1367">
        <f t="array" ref="I1367">SUMIF(A:A,A1367,F:F)</f>
        <v>39808.47</v>
      </c>
      <c r="J1367">
        <f t="array" ref="J1367">5 - INT(5 * (RANK(G1367,G:G, 1) - 1) / COUNT(G:G))</f>
        <v>3</v>
      </c>
      <c r="K1367">
        <f t="array" ref="K1367">INT(5 * (RANK(H1367,H:H, 0) - 1) / COUNT(H:H)) + 1</f>
        <v>1</v>
      </c>
      <c r="L1367">
        <f t="array" ref="L1367">INT(5 * (RANK(I1367,I:I, 0) - 1) / COUNT(I:I)) + 1</f>
        <v>2</v>
      </c>
      <c r="M1367" t="str">
        <f t="shared" si="42"/>
        <v>312</v>
      </c>
      <c r="N1367" s="6" t="str">
        <f t="shared" si="43"/>
        <v>Others</v>
      </c>
    </row>
    <row r="1368" spans="1:14" x14ac:dyDescent="0.35">
      <c r="A1368">
        <v>1166</v>
      </c>
      <c r="B1368" s="4">
        <v>45747.375085336993</v>
      </c>
      <c r="C1368" t="s">
        <v>9</v>
      </c>
      <c r="D1368" t="s">
        <v>17</v>
      </c>
      <c r="E1368" t="s">
        <v>25</v>
      </c>
      <c r="F1368">
        <v>5064.58</v>
      </c>
      <c r="G1368">
        <f t="array" ref="G1368">SalesData!$I$2 - 'RFM Table'!B1368</f>
        <v>389</v>
      </c>
      <c r="H1368">
        <f t="array" ref="H1368">COUNTIF(A:A,A1368)</f>
        <v>5</v>
      </c>
      <c r="I1368">
        <f t="array" ref="I1368">SUMIF(A:A,A1368,F:F)</f>
        <v>23179.78</v>
      </c>
      <c r="J1368">
        <f t="array" ref="J1368">5 - INT(5 * (RANK(G1368,G:G, 1) - 1) / COUNT(G:G))</f>
        <v>3</v>
      </c>
      <c r="K1368">
        <f t="array" ref="K1368">INT(5 * (RANK(H1368,H:H, 0) - 1) / COUNT(H:H)) + 1</f>
        <v>5</v>
      </c>
      <c r="L1368">
        <f t="array" ref="L1368">INT(5 * (RANK(I1368,I:I, 0) - 1) / COUNT(I:I)) + 1</f>
        <v>4</v>
      </c>
      <c r="M1368" t="str">
        <f t="shared" si="42"/>
        <v>354</v>
      </c>
      <c r="N1368" s="6" t="str">
        <f t="shared" si="43"/>
        <v>Others</v>
      </c>
    </row>
    <row r="1369" spans="1:14" x14ac:dyDescent="0.35">
      <c r="A1369">
        <v>1236</v>
      </c>
      <c r="B1369" s="4">
        <v>45747.375085336993</v>
      </c>
      <c r="C1369" t="s">
        <v>11</v>
      </c>
      <c r="D1369" t="s">
        <v>21</v>
      </c>
      <c r="E1369" t="s">
        <v>25</v>
      </c>
      <c r="F1369">
        <v>5597.09</v>
      </c>
      <c r="G1369">
        <f t="array" ref="G1369">SalesData!$I$2 - 'RFM Table'!B1369</f>
        <v>389</v>
      </c>
      <c r="H1369">
        <f t="array" ref="H1369">COUNTIF(A:A,A1369)</f>
        <v>10</v>
      </c>
      <c r="I1369">
        <f t="array" ref="I1369">SUMIF(A:A,A1369,F:F)</f>
        <v>40760.559999999998</v>
      </c>
      <c r="J1369">
        <f t="array" ref="J1369">5 - INT(5 * (RANK(G1369,G:G, 1) - 1) / COUNT(G:G))</f>
        <v>3</v>
      </c>
      <c r="K1369">
        <f t="array" ref="K1369">INT(5 * (RANK(H1369,H:H, 0) - 1) / COUNT(H:H)) + 1</f>
        <v>2</v>
      </c>
      <c r="L1369">
        <f t="array" ref="L1369">INT(5 * (RANK(I1369,I:I, 0) - 1) / COUNT(I:I)) + 1</f>
        <v>2</v>
      </c>
      <c r="M1369" t="str">
        <f t="shared" si="42"/>
        <v>322</v>
      </c>
      <c r="N1369" s="6" t="str">
        <f t="shared" si="43"/>
        <v>Others</v>
      </c>
    </row>
    <row r="1370" spans="1:14" x14ac:dyDescent="0.35">
      <c r="A1370">
        <v>1081</v>
      </c>
      <c r="B1370" s="4">
        <v>45748.375085336993</v>
      </c>
      <c r="C1370" t="s">
        <v>6</v>
      </c>
      <c r="D1370" t="s">
        <v>20</v>
      </c>
      <c r="E1370" t="s">
        <v>24</v>
      </c>
      <c r="F1370">
        <v>6811.67</v>
      </c>
      <c r="G1370">
        <f t="array" ref="G1370">SalesData!$I$2 - 'RFM Table'!B1370</f>
        <v>388</v>
      </c>
      <c r="H1370">
        <f t="array" ref="H1370">COUNTIF(A:A,A1370)</f>
        <v>8</v>
      </c>
      <c r="I1370">
        <f t="array" ref="I1370">SUMIF(A:A,A1370,F:F)</f>
        <v>29788.7</v>
      </c>
      <c r="J1370">
        <f t="array" ref="J1370">5 - INT(5 * (RANK(G1370,G:G, 1) - 1) / COUNT(G:G))</f>
        <v>3</v>
      </c>
      <c r="K1370">
        <f t="array" ref="K1370">INT(5 * (RANK(H1370,H:H, 0) - 1) / COUNT(H:H)) + 1</f>
        <v>3</v>
      </c>
      <c r="L1370">
        <f t="array" ref="L1370">INT(5 * (RANK(I1370,I:I, 0) - 1) / COUNT(I:I)) + 1</f>
        <v>3</v>
      </c>
      <c r="M1370" t="str">
        <f t="shared" si="42"/>
        <v>333</v>
      </c>
      <c r="N1370" s="6" t="str">
        <f t="shared" si="43"/>
        <v>Others</v>
      </c>
    </row>
    <row r="1371" spans="1:14" x14ac:dyDescent="0.35">
      <c r="A1371">
        <v>1169</v>
      </c>
      <c r="B1371" s="4">
        <v>45748.375085336993</v>
      </c>
      <c r="C1371" t="s">
        <v>14</v>
      </c>
      <c r="D1371" t="s">
        <v>19</v>
      </c>
      <c r="E1371" t="s">
        <v>24</v>
      </c>
      <c r="F1371">
        <v>1683.61</v>
      </c>
      <c r="G1371">
        <f t="array" ref="G1371">SalesData!$I$2 - 'RFM Table'!B1371</f>
        <v>388</v>
      </c>
      <c r="H1371">
        <f t="array" ref="H1371">COUNTIF(A:A,A1371)</f>
        <v>10</v>
      </c>
      <c r="I1371">
        <f t="array" ref="I1371">SUMIF(A:A,A1371,F:F)</f>
        <v>45640.06</v>
      </c>
      <c r="J1371">
        <f t="array" ref="J1371">5 - INT(5 * (RANK(G1371,G:G, 1) - 1) / COUNT(G:G))</f>
        <v>3</v>
      </c>
      <c r="K1371">
        <f t="array" ref="K1371">INT(5 * (RANK(H1371,H:H, 0) - 1) / COUNT(H:H)) + 1</f>
        <v>2</v>
      </c>
      <c r="L1371">
        <f t="array" ref="L1371">INT(5 * (RANK(I1371,I:I, 0) - 1) / COUNT(I:I)) + 1</f>
        <v>1</v>
      </c>
      <c r="M1371" t="str">
        <f t="shared" si="42"/>
        <v>321</v>
      </c>
      <c r="N1371" s="6" t="str">
        <f t="shared" si="43"/>
        <v>Others</v>
      </c>
    </row>
    <row r="1372" spans="1:14" x14ac:dyDescent="0.35">
      <c r="A1372">
        <v>1057</v>
      </c>
      <c r="B1372" s="4">
        <v>45748.375085336993</v>
      </c>
      <c r="C1372" t="s">
        <v>11</v>
      </c>
      <c r="D1372" t="s">
        <v>17</v>
      </c>
      <c r="E1372" t="s">
        <v>24</v>
      </c>
      <c r="F1372">
        <v>1955.95</v>
      </c>
      <c r="G1372">
        <f t="array" ref="G1372">SalesData!$I$2 - 'RFM Table'!B1372</f>
        <v>388</v>
      </c>
      <c r="H1372">
        <f t="array" ref="H1372">COUNTIF(A:A,A1372)</f>
        <v>9</v>
      </c>
      <c r="I1372">
        <f t="array" ref="I1372">SUMIF(A:A,A1372,F:F)</f>
        <v>32930.549999999996</v>
      </c>
      <c r="J1372">
        <f t="array" ref="J1372">5 - INT(5 * (RANK(G1372,G:G, 1) - 1) / COUNT(G:G))</f>
        <v>3</v>
      </c>
      <c r="K1372">
        <f t="array" ref="K1372">INT(5 * (RANK(H1372,H:H, 0) - 1) / COUNT(H:H)) + 1</f>
        <v>2</v>
      </c>
      <c r="L1372">
        <f t="array" ref="L1372">INT(5 * (RANK(I1372,I:I, 0) - 1) / COUNT(I:I)) + 1</f>
        <v>3</v>
      </c>
      <c r="M1372" t="str">
        <f t="shared" si="42"/>
        <v>323</v>
      </c>
      <c r="N1372" s="6" t="str">
        <f t="shared" si="43"/>
        <v>Others</v>
      </c>
    </row>
    <row r="1373" spans="1:14" x14ac:dyDescent="0.35">
      <c r="A1373">
        <v>1077</v>
      </c>
      <c r="B1373" s="4">
        <v>45748.375085336993</v>
      </c>
      <c r="C1373" t="s">
        <v>15</v>
      </c>
      <c r="D1373" t="s">
        <v>22</v>
      </c>
      <c r="E1373" t="s">
        <v>25</v>
      </c>
      <c r="F1373">
        <v>4979.3599999999997</v>
      </c>
      <c r="G1373">
        <f t="array" ref="G1373">SalesData!$I$2 - 'RFM Table'!B1373</f>
        <v>388</v>
      </c>
      <c r="H1373">
        <f t="array" ref="H1373">COUNTIF(A:A,A1373)</f>
        <v>8</v>
      </c>
      <c r="I1373">
        <f t="array" ref="I1373">SUMIF(A:A,A1373,F:F)</f>
        <v>28309.71</v>
      </c>
      <c r="J1373">
        <f t="array" ref="J1373">5 - INT(5 * (RANK(G1373,G:G, 1) - 1) / COUNT(G:G))</f>
        <v>3</v>
      </c>
      <c r="K1373">
        <f t="array" ref="K1373">INT(5 * (RANK(H1373,H:H, 0) - 1) / COUNT(H:H)) + 1</f>
        <v>3</v>
      </c>
      <c r="L1373">
        <f t="array" ref="L1373">INT(5 * (RANK(I1373,I:I, 0) - 1) / COUNT(I:I)) + 1</f>
        <v>4</v>
      </c>
      <c r="M1373" t="str">
        <f t="shared" si="42"/>
        <v>334</v>
      </c>
      <c r="N1373" s="6" t="str">
        <f t="shared" si="43"/>
        <v>Others</v>
      </c>
    </row>
    <row r="1374" spans="1:14" x14ac:dyDescent="0.35">
      <c r="A1374">
        <v>1217</v>
      </c>
      <c r="B1374" s="4">
        <v>45748.375085336993</v>
      </c>
      <c r="C1374" t="s">
        <v>7</v>
      </c>
      <c r="D1374" t="s">
        <v>16</v>
      </c>
      <c r="E1374" t="s">
        <v>23</v>
      </c>
      <c r="F1374">
        <v>8405.2000000000007</v>
      </c>
      <c r="G1374">
        <f t="array" ref="G1374">SalesData!$I$2 - 'RFM Table'!B1374</f>
        <v>388</v>
      </c>
      <c r="H1374">
        <f t="array" ref="H1374">COUNTIF(A:A,A1374)</f>
        <v>9</v>
      </c>
      <c r="I1374">
        <f t="array" ref="I1374">SUMIF(A:A,A1374,F:F)</f>
        <v>33349.999999999993</v>
      </c>
      <c r="J1374">
        <f t="array" ref="J1374">5 - INT(5 * (RANK(G1374,G:G, 1) - 1) / COUNT(G:G))</f>
        <v>3</v>
      </c>
      <c r="K1374">
        <f t="array" ref="K1374">INT(5 * (RANK(H1374,H:H, 0) - 1) / COUNT(H:H)) + 1</f>
        <v>2</v>
      </c>
      <c r="L1374">
        <f t="array" ref="L1374">INT(5 * (RANK(I1374,I:I, 0) - 1) / COUNT(I:I)) + 1</f>
        <v>3</v>
      </c>
      <c r="M1374" t="str">
        <f t="shared" si="42"/>
        <v>323</v>
      </c>
      <c r="N1374" s="6" t="str">
        <f t="shared" si="43"/>
        <v>Others</v>
      </c>
    </row>
    <row r="1375" spans="1:14" x14ac:dyDescent="0.35">
      <c r="A1375">
        <v>1009</v>
      </c>
      <c r="B1375" s="4">
        <v>45748.375085336993</v>
      </c>
      <c r="C1375" t="s">
        <v>13</v>
      </c>
      <c r="D1375" t="s">
        <v>18</v>
      </c>
      <c r="E1375" t="s">
        <v>24</v>
      </c>
      <c r="F1375">
        <v>4494.74</v>
      </c>
      <c r="G1375">
        <f t="array" ref="G1375">SalesData!$I$2 - 'RFM Table'!B1375</f>
        <v>388</v>
      </c>
      <c r="H1375">
        <f t="array" ref="H1375">COUNTIF(A:A,A1375)</f>
        <v>9</v>
      </c>
      <c r="I1375">
        <f t="array" ref="I1375">SUMIF(A:A,A1375,F:F)</f>
        <v>30047.29</v>
      </c>
      <c r="J1375">
        <f t="array" ref="J1375">5 - INT(5 * (RANK(G1375,G:G, 1) - 1) / COUNT(G:G))</f>
        <v>3</v>
      </c>
      <c r="K1375">
        <f t="array" ref="K1375">INT(5 * (RANK(H1375,H:H, 0) - 1) / COUNT(H:H)) + 1</f>
        <v>2</v>
      </c>
      <c r="L1375">
        <f t="array" ref="L1375">INT(5 * (RANK(I1375,I:I, 0) - 1) / COUNT(I:I)) + 1</f>
        <v>3</v>
      </c>
      <c r="M1375" t="str">
        <f t="shared" si="42"/>
        <v>323</v>
      </c>
      <c r="N1375" s="6" t="str">
        <f t="shared" si="43"/>
        <v>Others</v>
      </c>
    </row>
    <row r="1376" spans="1:14" x14ac:dyDescent="0.35">
      <c r="A1376">
        <v>1159</v>
      </c>
      <c r="B1376" s="4">
        <v>45748.375085336993</v>
      </c>
      <c r="C1376" t="s">
        <v>7</v>
      </c>
      <c r="D1376" t="s">
        <v>22</v>
      </c>
      <c r="E1376" t="s">
        <v>25</v>
      </c>
      <c r="F1376">
        <v>4535.1099999999997</v>
      </c>
      <c r="G1376">
        <f t="array" ref="G1376">SalesData!$I$2 - 'RFM Table'!B1376</f>
        <v>388</v>
      </c>
      <c r="H1376">
        <f t="array" ref="H1376">COUNTIF(A:A,A1376)</f>
        <v>15</v>
      </c>
      <c r="I1376">
        <f t="array" ref="I1376">SUMIF(A:A,A1376,F:F)</f>
        <v>57217.139999999992</v>
      </c>
      <c r="J1376">
        <f t="array" ref="J1376">5 - INT(5 * (RANK(G1376,G:G, 1) - 1) / COUNT(G:G))</f>
        <v>3</v>
      </c>
      <c r="K1376">
        <f t="array" ref="K1376">INT(5 * (RANK(H1376,H:H, 0) - 1) / COUNT(H:H)) + 1</f>
        <v>1</v>
      </c>
      <c r="L1376">
        <f t="array" ref="L1376">INT(5 * (RANK(I1376,I:I, 0) - 1) / COUNT(I:I)) + 1</f>
        <v>1</v>
      </c>
      <c r="M1376" t="str">
        <f t="shared" si="42"/>
        <v>311</v>
      </c>
      <c r="N1376" s="6" t="str">
        <f t="shared" si="43"/>
        <v>Others</v>
      </c>
    </row>
    <row r="1377" spans="1:14" x14ac:dyDescent="0.35">
      <c r="A1377">
        <v>1046</v>
      </c>
      <c r="B1377" s="4">
        <v>45749.375085336993</v>
      </c>
      <c r="C1377" t="s">
        <v>11</v>
      </c>
      <c r="D1377" t="s">
        <v>19</v>
      </c>
      <c r="E1377" t="s">
        <v>24</v>
      </c>
      <c r="F1377">
        <v>1577.88</v>
      </c>
      <c r="G1377">
        <f t="array" ref="G1377">SalesData!$I$2 - 'RFM Table'!B1377</f>
        <v>387</v>
      </c>
      <c r="H1377">
        <f t="array" ref="H1377">COUNTIF(A:A,A1377)</f>
        <v>9</v>
      </c>
      <c r="I1377">
        <f t="array" ref="I1377">SUMIF(A:A,A1377,F:F)</f>
        <v>26580.030000000002</v>
      </c>
      <c r="J1377">
        <f t="array" ref="J1377">5 - INT(5 * (RANK(G1377,G:G, 1) - 1) / COUNT(G:G))</f>
        <v>3</v>
      </c>
      <c r="K1377">
        <f t="array" ref="K1377">INT(5 * (RANK(H1377,H:H, 0) - 1) / COUNT(H:H)) + 1</f>
        <v>2</v>
      </c>
      <c r="L1377">
        <f t="array" ref="L1377">INT(5 * (RANK(I1377,I:I, 0) - 1) / COUNT(I:I)) + 1</f>
        <v>4</v>
      </c>
      <c r="M1377" t="str">
        <f t="shared" si="42"/>
        <v>324</v>
      </c>
      <c r="N1377" s="6" t="str">
        <f t="shared" si="43"/>
        <v>Others</v>
      </c>
    </row>
    <row r="1378" spans="1:14" x14ac:dyDescent="0.35">
      <c r="A1378">
        <v>1073</v>
      </c>
      <c r="B1378" s="4">
        <v>45749.375085336993</v>
      </c>
      <c r="C1378" t="s">
        <v>8</v>
      </c>
      <c r="D1378" t="s">
        <v>19</v>
      </c>
      <c r="E1378" t="s">
        <v>25</v>
      </c>
      <c r="F1378">
        <v>5784.35</v>
      </c>
      <c r="G1378">
        <f t="array" ref="G1378">SalesData!$I$2 - 'RFM Table'!B1378</f>
        <v>387</v>
      </c>
      <c r="H1378">
        <f t="array" ref="H1378">COUNTIF(A:A,A1378)</f>
        <v>3</v>
      </c>
      <c r="I1378">
        <f t="array" ref="I1378">SUMIF(A:A,A1378,F:F)</f>
        <v>15334.130000000001</v>
      </c>
      <c r="J1378">
        <f t="array" ref="J1378">5 - INT(5 * (RANK(G1378,G:G, 1) - 1) / COUNT(G:G))</f>
        <v>3</v>
      </c>
      <c r="K1378">
        <f t="array" ref="K1378">INT(5 * (RANK(H1378,H:H, 0) - 1) / COUNT(H:H)) + 1</f>
        <v>5</v>
      </c>
      <c r="L1378">
        <f t="array" ref="L1378">INT(5 * (RANK(I1378,I:I, 0) - 1) / COUNT(I:I)) + 1</f>
        <v>5</v>
      </c>
      <c r="M1378" t="str">
        <f t="shared" si="42"/>
        <v>355</v>
      </c>
      <c r="N1378" s="6" t="str">
        <f t="shared" si="43"/>
        <v>Others</v>
      </c>
    </row>
    <row r="1379" spans="1:14" x14ac:dyDescent="0.35">
      <c r="A1379">
        <v>1283</v>
      </c>
      <c r="B1379" s="4">
        <v>45749.375085336993</v>
      </c>
      <c r="C1379" t="s">
        <v>13</v>
      </c>
      <c r="D1379" t="s">
        <v>18</v>
      </c>
      <c r="E1379" t="s">
        <v>23</v>
      </c>
      <c r="F1379">
        <v>3686.84</v>
      </c>
      <c r="G1379">
        <f t="array" ref="G1379">SalesData!$I$2 - 'RFM Table'!B1379</f>
        <v>387</v>
      </c>
      <c r="H1379">
        <f t="array" ref="H1379">COUNTIF(A:A,A1379)</f>
        <v>7</v>
      </c>
      <c r="I1379">
        <f t="array" ref="I1379">SUMIF(A:A,A1379,F:F)</f>
        <v>30708.170000000002</v>
      </c>
      <c r="J1379">
        <f t="array" ref="J1379">5 - INT(5 * (RANK(G1379,G:G, 1) - 1) / COUNT(G:G))</f>
        <v>3</v>
      </c>
      <c r="K1379">
        <f t="array" ref="K1379">INT(5 * (RANK(H1379,H:H, 0) - 1) / COUNT(H:H)) + 1</f>
        <v>4</v>
      </c>
      <c r="L1379">
        <f t="array" ref="L1379">INT(5 * (RANK(I1379,I:I, 0) - 1) / COUNT(I:I)) + 1</f>
        <v>3</v>
      </c>
      <c r="M1379" t="str">
        <f t="shared" si="42"/>
        <v>343</v>
      </c>
      <c r="N1379" s="6" t="str">
        <f t="shared" si="43"/>
        <v>Others</v>
      </c>
    </row>
    <row r="1380" spans="1:14" x14ac:dyDescent="0.35">
      <c r="A1380">
        <v>1275</v>
      </c>
      <c r="B1380" s="4">
        <v>45750.375085336993</v>
      </c>
      <c r="C1380" t="s">
        <v>11</v>
      </c>
      <c r="D1380" t="s">
        <v>22</v>
      </c>
      <c r="E1380" t="s">
        <v>23</v>
      </c>
      <c r="F1380">
        <v>3995.36</v>
      </c>
      <c r="G1380">
        <f t="array" ref="G1380">SalesData!$I$2 - 'RFM Table'!B1380</f>
        <v>386</v>
      </c>
      <c r="H1380">
        <f t="array" ref="H1380">COUNTIF(A:A,A1380)</f>
        <v>3</v>
      </c>
      <c r="I1380">
        <f t="array" ref="I1380">SUMIF(A:A,A1380,F:F)</f>
        <v>16365.279999999999</v>
      </c>
      <c r="J1380">
        <f t="array" ref="J1380">5 - INT(5 * (RANK(G1380,G:G, 1) - 1) / COUNT(G:G))</f>
        <v>3</v>
      </c>
      <c r="K1380">
        <f t="array" ref="K1380">INT(5 * (RANK(H1380,H:H, 0) - 1) / COUNT(H:H)) + 1</f>
        <v>5</v>
      </c>
      <c r="L1380">
        <f t="array" ref="L1380">INT(5 * (RANK(I1380,I:I, 0) - 1) / COUNT(I:I)) + 1</f>
        <v>5</v>
      </c>
      <c r="M1380" t="str">
        <f t="shared" si="42"/>
        <v>355</v>
      </c>
      <c r="N1380" s="6" t="str">
        <f t="shared" si="43"/>
        <v>Others</v>
      </c>
    </row>
    <row r="1381" spans="1:14" x14ac:dyDescent="0.35">
      <c r="A1381">
        <v>1299</v>
      </c>
      <c r="B1381" s="4">
        <v>45750.375085336993</v>
      </c>
      <c r="C1381" t="s">
        <v>7</v>
      </c>
      <c r="D1381" t="s">
        <v>21</v>
      </c>
      <c r="E1381" t="s">
        <v>23</v>
      </c>
      <c r="F1381">
        <v>4700.29</v>
      </c>
      <c r="G1381">
        <f t="array" ref="G1381">SalesData!$I$2 - 'RFM Table'!B1381</f>
        <v>386</v>
      </c>
      <c r="H1381">
        <f t="array" ref="H1381">COUNTIF(A:A,A1381)</f>
        <v>6</v>
      </c>
      <c r="I1381">
        <f t="array" ref="I1381">SUMIF(A:A,A1381,F:F)</f>
        <v>13299.439999999999</v>
      </c>
      <c r="J1381">
        <f t="array" ref="J1381">5 - INT(5 * (RANK(G1381,G:G, 1) - 1) / COUNT(G:G))</f>
        <v>3</v>
      </c>
      <c r="K1381">
        <f t="array" ref="K1381">INT(5 * (RANK(H1381,H:H, 0) - 1) / COUNT(H:H)) + 1</f>
        <v>4</v>
      </c>
      <c r="L1381">
        <f t="array" ref="L1381">INT(5 * (RANK(I1381,I:I, 0) - 1) / COUNT(I:I)) + 1</f>
        <v>5</v>
      </c>
      <c r="M1381" t="str">
        <f t="shared" si="42"/>
        <v>345</v>
      </c>
      <c r="N1381" s="6" t="str">
        <f t="shared" si="43"/>
        <v>Others</v>
      </c>
    </row>
    <row r="1382" spans="1:14" x14ac:dyDescent="0.35">
      <c r="A1382">
        <v>1349</v>
      </c>
      <c r="B1382" s="4">
        <v>45750.375085336993</v>
      </c>
      <c r="C1382" t="s">
        <v>7</v>
      </c>
      <c r="D1382" t="s">
        <v>20</v>
      </c>
      <c r="E1382" t="s">
        <v>23</v>
      </c>
      <c r="F1382">
        <v>1812.45</v>
      </c>
      <c r="G1382">
        <f t="array" ref="G1382">SalesData!$I$2 - 'RFM Table'!B1382</f>
        <v>386</v>
      </c>
      <c r="H1382">
        <f t="array" ref="H1382">COUNTIF(A:A,A1382)</f>
        <v>8</v>
      </c>
      <c r="I1382">
        <f t="array" ref="I1382">SUMIF(A:A,A1382,F:F)</f>
        <v>24691.75</v>
      </c>
      <c r="J1382">
        <f t="array" ref="J1382">5 - INT(5 * (RANK(G1382,G:G, 1) - 1) / COUNT(G:G))</f>
        <v>3</v>
      </c>
      <c r="K1382">
        <f t="array" ref="K1382">INT(5 * (RANK(H1382,H:H, 0) - 1) / COUNT(H:H)) + 1</f>
        <v>3</v>
      </c>
      <c r="L1382">
        <f t="array" ref="L1382">INT(5 * (RANK(I1382,I:I, 0) - 1) / COUNT(I:I)) + 1</f>
        <v>4</v>
      </c>
      <c r="M1382" t="str">
        <f t="shared" si="42"/>
        <v>334</v>
      </c>
      <c r="N1382" s="6" t="str">
        <f t="shared" si="43"/>
        <v>Others</v>
      </c>
    </row>
    <row r="1383" spans="1:14" x14ac:dyDescent="0.35">
      <c r="A1383">
        <v>1046</v>
      </c>
      <c r="B1383" s="4">
        <v>45750.375085336993</v>
      </c>
      <c r="C1383" t="s">
        <v>10</v>
      </c>
      <c r="D1383" t="s">
        <v>19</v>
      </c>
      <c r="E1383" t="s">
        <v>24</v>
      </c>
      <c r="F1383">
        <v>933.56</v>
      </c>
      <c r="G1383">
        <f t="array" ref="G1383">SalesData!$I$2 - 'RFM Table'!B1383</f>
        <v>386</v>
      </c>
      <c r="H1383">
        <f t="array" ref="H1383">COUNTIF(A:A,A1383)</f>
        <v>9</v>
      </c>
      <c r="I1383">
        <f t="array" ref="I1383">SUMIF(A:A,A1383,F:F)</f>
        <v>26580.030000000002</v>
      </c>
      <c r="J1383">
        <f t="array" ref="J1383">5 - INT(5 * (RANK(G1383,G:G, 1) - 1) / COUNT(G:G))</f>
        <v>3</v>
      </c>
      <c r="K1383">
        <f t="array" ref="K1383">INT(5 * (RANK(H1383,H:H, 0) - 1) / COUNT(H:H)) + 1</f>
        <v>2</v>
      </c>
      <c r="L1383">
        <f t="array" ref="L1383">INT(5 * (RANK(I1383,I:I, 0) - 1) / COUNT(I:I)) + 1</f>
        <v>4</v>
      </c>
      <c r="M1383" t="str">
        <f t="shared" si="42"/>
        <v>324</v>
      </c>
      <c r="N1383" s="6" t="str">
        <f t="shared" si="43"/>
        <v>Others</v>
      </c>
    </row>
    <row r="1384" spans="1:14" x14ac:dyDescent="0.35">
      <c r="A1384">
        <v>1318</v>
      </c>
      <c r="B1384" s="4">
        <v>45752.375085336993</v>
      </c>
      <c r="C1384" t="s">
        <v>6</v>
      </c>
      <c r="D1384" t="s">
        <v>16</v>
      </c>
      <c r="E1384" t="s">
        <v>23</v>
      </c>
      <c r="F1384">
        <v>5361.89</v>
      </c>
      <c r="G1384">
        <f t="array" ref="G1384">SalesData!$I$2 - 'RFM Table'!B1384</f>
        <v>384</v>
      </c>
      <c r="H1384">
        <f t="array" ref="H1384">COUNTIF(A:A,A1384)</f>
        <v>8</v>
      </c>
      <c r="I1384">
        <f t="array" ref="I1384">SUMIF(A:A,A1384,F:F)</f>
        <v>45571.029999999992</v>
      </c>
      <c r="J1384">
        <f t="array" ref="J1384">5 - INT(5 * (RANK(G1384,G:G, 1) - 1) / COUNT(G:G))</f>
        <v>3</v>
      </c>
      <c r="K1384">
        <f t="array" ref="K1384">INT(5 * (RANK(H1384,H:H, 0) - 1) / COUNT(H:H)) + 1</f>
        <v>3</v>
      </c>
      <c r="L1384">
        <f t="array" ref="L1384">INT(5 * (RANK(I1384,I:I, 0) - 1) / COUNT(I:I)) + 1</f>
        <v>1</v>
      </c>
      <c r="M1384" t="str">
        <f t="shared" si="42"/>
        <v>331</v>
      </c>
      <c r="N1384" s="6" t="str">
        <f t="shared" si="43"/>
        <v>Others</v>
      </c>
    </row>
    <row r="1385" spans="1:14" x14ac:dyDescent="0.35">
      <c r="A1385">
        <v>1268</v>
      </c>
      <c r="B1385" s="4">
        <v>45753.375085336993</v>
      </c>
      <c r="C1385" t="s">
        <v>11</v>
      </c>
      <c r="D1385" t="s">
        <v>17</v>
      </c>
      <c r="E1385" t="s">
        <v>23</v>
      </c>
      <c r="F1385">
        <v>5758.25</v>
      </c>
      <c r="G1385">
        <f t="array" ref="G1385">SalesData!$I$2 - 'RFM Table'!B1385</f>
        <v>383</v>
      </c>
      <c r="H1385">
        <f t="array" ref="H1385">COUNTIF(A:A,A1385)</f>
        <v>8</v>
      </c>
      <c r="I1385">
        <f t="array" ref="I1385">SUMIF(A:A,A1385,F:F)</f>
        <v>48110.42</v>
      </c>
      <c r="J1385">
        <f t="array" ref="J1385">5 - INT(5 * (RANK(G1385,G:G, 1) - 1) / COUNT(G:G))</f>
        <v>3</v>
      </c>
      <c r="K1385">
        <f t="array" ref="K1385">INT(5 * (RANK(H1385,H:H, 0) - 1) / COUNT(H:H)) + 1</f>
        <v>3</v>
      </c>
      <c r="L1385">
        <f t="array" ref="L1385">INT(5 * (RANK(I1385,I:I, 0) - 1) / COUNT(I:I)) + 1</f>
        <v>1</v>
      </c>
      <c r="M1385" t="str">
        <f t="shared" si="42"/>
        <v>331</v>
      </c>
      <c r="N1385" s="6" t="str">
        <f t="shared" si="43"/>
        <v>Others</v>
      </c>
    </row>
    <row r="1386" spans="1:14" x14ac:dyDescent="0.35">
      <c r="A1386">
        <v>1272</v>
      </c>
      <c r="B1386" s="4">
        <v>45753.375085336993</v>
      </c>
      <c r="C1386" t="s">
        <v>15</v>
      </c>
      <c r="D1386" t="s">
        <v>16</v>
      </c>
      <c r="E1386" t="s">
        <v>24</v>
      </c>
      <c r="F1386">
        <v>4368.41</v>
      </c>
      <c r="G1386">
        <f t="array" ref="G1386">SalesData!$I$2 - 'RFM Table'!B1386</f>
        <v>383</v>
      </c>
      <c r="H1386">
        <f t="array" ref="H1386">COUNTIF(A:A,A1386)</f>
        <v>10</v>
      </c>
      <c r="I1386">
        <f t="array" ref="I1386">SUMIF(A:A,A1386,F:F)</f>
        <v>54972.43</v>
      </c>
      <c r="J1386">
        <f t="array" ref="J1386">5 - INT(5 * (RANK(G1386,G:G, 1) - 1) / COUNT(G:G))</f>
        <v>3</v>
      </c>
      <c r="K1386">
        <f t="array" ref="K1386">INT(5 * (RANK(H1386,H:H, 0) - 1) / COUNT(H:H)) + 1</f>
        <v>2</v>
      </c>
      <c r="L1386">
        <f t="array" ref="L1386">INT(5 * (RANK(I1386,I:I, 0) - 1) / COUNT(I:I)) + 1</f>
        <v>1</v>
      </c>
      <c r="M1386" t="str">
        <f t="shared" si="42"/>
        <v>321</v>
      </c>
      <c r="N1386" s="6" t="str">
        <f t="shared" si="43"/>
        <v>Others</v>
      </c>
    </row>
    <row r="1387" spans="1:14" x14ac:dyDescent="0.35">
      <c r="A1387">
        <v>1273</v>
      </c>
      <c r="B1387" s="4">
        <v>45753.375085336993</v>
      </c>
      <c r="C1387" t="s">
        <v>12</v>
      </c>
      <c r="D1387" t="s">
        <v>18</v>
      </c>
      <c r="E1387" t="s">
        <v>24</v>
      </c>
      <c r="F1387">
        <v>3240.96</v>
      </c>
      <c r="G1387">
        <f t="array" ref="G1387">SalesData!$I$2 - 'RFM Table'!B1387</f>
        <v>383</v>
      </c>
      <c r="H1387">
        <f t="array" ref="H1387">COUNTIF(A:A,A1387)</f>
        <v>5</v>
      </c>
      <c r="I1387">
        <f t="array" ref="I1387">SUMIF(A:A,A1387,F:F)</f>
        <v>20536.82</v>
      </c>
      <c r="J1387">
        <f t="array" ref="J1387">5 - INT(5 * (RANK(G1387,G:G, 1) - 1) / COUNT(G:G))</f>
        <v>3</v>
      </c>
      <c r="K1387">
        <f t="array" ref="K1387">INT(5 * (RANK(H1387,H:H, 0) - 1) / COUNT(H:H)) + 1</f>
        <v>5</v>
      </c>
      <c r="L1387">
        <f t="array" ref="L1387">INT(5 * (RANK(I1387,I:I, 0) - 1) / COUNT(I:I)) + 1</f>
        <v>5</v>
      </c>
      <c r="M1387" t="str">
        <f t="shared" si="42"/>
        <v>355</v>
      </c>
      <c r="N1387" s="6" t="str">
        <f t="shared" si="43"/>
        <v>Others</v>
      </c>
    </row>
    <row r="1388" spans="1:14" x14ac:dyDescent="0.35">
      <c r="A1388">
        <v>1266</v>
      </c>
      <c r="B1388" s="4">
        <v>45754.375085336993</v>
      </c>
      <c r="C1388" t="s">
        <v>14</v>
      </c>
      <c r="D1388" t="s">
        <v>21</v>
      </c>
      <c r="E1388" t="s">
        <v>24</v>
      </c>
      <c r="F1388">
        <v>3986.09</v>
      </c>
      <c r="G1388">
        <f t="array" ref="G1388">SalesData!$I$2 - 'RFM Table'!B1388</f>
        <v>382</v>
      </c>
      <c r="H1388">
        <f t="array" ref="H1388">COUNTIF(A:A,A1388)</f>
        <v>9</v>
      </c>
      <c r="I1388">
        <f t="array" ref="I1388">SUMIF(A:A,A1388,F:F)</f>
        <v>44679.94</v>
      </c>
      <c r="J1388">
        <f t="array" ref="J1388">5 - INT(5 * (RANK(G1388,G:G, 1) - 1) / COUNT(G:G))</f>
        <v>3</v>
      </c>
      <c r="K1388">
        <f t="array" ref="K1388">INT(5 * (RANK(H1388,H:H, 0) - 1) / COUNT(H:H)) + 1</f>
        <v>2</v>
      </c>
      <c r="L1388">
        <f t="array" ref="L1388">INT(5 * (RANK(I1388,I:I, 0) - 1) / COUNT(I:I)) + 1</f>
        <v>2</v>
      </c>
      <c r="M1388" t="str">
        <f t="shared" si="42"/>
        <v>322</v>
      </c>
      <c r="N1388" s="6" t="str">
        <f t="shared" si="43"/>
        <v>Others</v>
      </c>
    </row>
    <row r="1389" spans="1:14" x14ac:dyDescent="0.35">
      <c r="A1389">
        <v>1076</v>
      </c>
      <c r="B1389" s="4">
        <v>45754.375085336993</v>
      </c>
      <c r="C1389" t="s">
        <v>12</v>
      </c>
      <c r="D1389" t="s">
        <v>19</v>
      </c>
      <c r="E1389" t="s">
        <v>23</v>
      </c>
      <c r="F1389">
        <v>2239.0700000000002</v>
      </c>
      <c r="G1389">
        <f t="array" ref="G1389">SalesData!$I$2 - 'RFM Table'!B1389</f>
        <v>382</v>
      </c>
      <c r="H1389">
        <f t="array" ref="H1389">COUNTIF(A:A,A1389)</f>
        <v>5</v>
      </c>
      <c r="I1389">
        <f t="array" ref="I1389">SUMIF(A:A,A1389,F:F)</f>
        <v>19731.25</v>
      </c>
      <c r="J1389">
        <f t="array" ref="J1389">5 - INT(5 * (RANK(G1389,G:G, 1) - 1) / COUNT(G:G))</f>
        <v>3</v>
      </c>
      <c r="K1389">
        <f t="array" ref="K1389">INT(5 * (RANK(H1389,H:H, 0) - 1) / COUNT(H:H)) + 1</f>
        <v>5</v>
      </c>
      <c r="L1389">
        <f t="array" ref="L1389">INT(5 * (RANK(I1389,I:I, 0) - 1) / COUNT(I:I)) + 1</f>
        <v>5</v>
      </c>
      <c r="M1389" t="str">
        <f t="shared" si="42"/>
        <v>355</v>
      </c>
      <c r="N1389" s="6" t="str">
        <f t="shared" si="43"/>
        <v>Others</v>
      </c>
    </row>
    <row r="1390" spans="1:14" x14ac:dyDescent="0.35">
      <c r="A1390">
        <v>1266</v>
      </c>
      <c r="B1390" s="4">
        <v>45754.375085336993</v>
      </c>
      <c r="C1390" t="s">
        <v>7</v>
      </c>
      <c r="D1390" t="s">
        <v>22</v>
      </c>
      <c r="E1390" t="s">
        <v>24</v>
      </c>
      <c r="F1390">
        <v>5861.59</v>
      </c>
      <c r="G1390">
        <f t="array" ref="G1390">SalesData!$I$2 - 'RFM Table'!B1390</f>
        <v>382</v>
      </c>
      <c r="H1390">
        <f t="array" ref="H1390">COUNTIF(A:A,A1390)</f>
        <v>9</v>
      </c>
      <c r="I1390">
        <f t="array" ref="I1390">SUMIF(A:A,A1390,F:F)</f>
        <v>44679.94</v>
      </c>
      <c r="J1390">
        <f t="array" ref="J1390">5 - INT(5 * (RANK(G1390,G:G, 1) - 1) / COUNT(G:G))</f>
        <v>3</v>
      </c>
      <c r="K1390">
        <f t="array" ref="K1390">INT(5 * (RANK(H1390,H:H, 0) - 1) / COUNT(H:H)) + 1</f>
        <v>2</v>
      </c>
      <c r="L1390">
        <f t="array" ref="L1390">INT(5 * (RANK(I1390,I:I, 0) - 1) / COUNT(I:I)) + 1</f>
        <v>2</v>
      </c>
      <c r="M1390" t="str">
        <f t="shared" si="42"/>
        <v>322</v>
      </c>
      <c r="N1390" s="6" t="str">
        <f t="shared" si="43"/>
        <v>Others</v>
      </c>
    </row>
    <row r="1391" spans="1:14" x14ac:dyDescent="0.35">
      <c r="A1391">
        <v>1034</v>
      </c>
      <c r="B1391" s="4">
        <v>45754.375085336993</v>
      </c>
      <c r="C1391" t="s">
        <v>7</v>
      </c>
      <c r="D1391" t="s">
        <v>16</v>
      </c>
      <c r="E1391" t="s">
        <v>24</v>
      </c>
      <c r="F1391">
        <v>4414.5200000000004</v>
      </c>
      <c r="G1391">
        <f t="array" ref="G1391">SalesData!$I$2 - 'RFM Table'!B1391</f>
        <v>382</v>
      </c>
      <c r="H1391">
        <f t="array" ref="H1391">COUNTIF(A:A,A1391)</f>
        <v>8</v>
      </c>
      <c r="I1391">
        <f t="array" ref="I1391">SUMIF(A:A,A1391,F:F)</f>
        <v>22493.960000000003</v>
      </c>
      <c r="J1391">
        <f t="array" ref="J1391">5 - INT(5 * (RANK(G1391,G:G, 1) - 1) / COUNT(G:G))</f>
        <v>3</v>
      </c>
      <c r="K1391">
        <f t="array" ref="K1391">INT(5 * (RANK(H1391,H:H, 0) - 1) / COUNT(H:H)) + 1</f>
        <v>3</v>
      </c>
      <c r="L1391">
        <f t="array" ref="L1391">INT(5 * (RANK(I1391,I:I, 0) - 1) / COUNT(I:I)) + 1</f>
        <v>4</v>
      </c>
      <c r="M1391" t="str">
        <f t="shared" si="42"/>
        <v>334</v>
      </c>
      <c r="N1391" s="6" t="str">
        <f t="shared" si="43"/>
        <v>Others</v>
      </c>
    </row>
    <row r="1392" spans="1:14" x14ac:dyDescent="0.35">
      <c r="A1392">
        <v>1233</v>
      </c>
      <c r="B1392" s="4">
        <v>45755.375085336993</v>
      </c>
      <c r="C1392" t="s">
        <v>7</v>
      </c>
      <c r="D1392" t="s">
        <v>22</v>
      </c>
      <c r="E1392" t="s">
        <v>24</v>
      </c>
      <c r="F1392">
        <v>1569.9</v>
      </c>
      <c r="G1392">
        <f t="array" ref="G1392">SalesData!$I$2 - 'RFM Table'!B1392</f>
        <v>381</v>
      </c>
      <c r="H1392">
        <f t="array" ref="H1392">COUNTIF(A:A,A1392)</f>
        <v>4</v>
      </c>
      <c r="I1392">
        <f t="array" ref="I1392">SUMIF(A:A,A1392,F:F)</f>
        <v>25850.79</v>
      </c>
      <c r="J1392">
        <f t="array" ref="J1392">5 - INT(5 * (RANK(G1392,G:G, 1) - 1) / COUNT(G:G))</f>
        <v>3</v>
      </c>
      <c r="K1392">
        <f t="array" ref="K1392">INT(5 * (RANK(H1392,H:H, 0) - 1) / COUNT(H:H)) + 1</f>
        <v>5</v>
      </c>
      <c r="L1392">
        <f t="array" ref="L1392">INT(5 * (RANK(I1392,I:I, 0) - 1) / COUNT(I:I)) + 1</f>
        <v>4</v>
      </c>
      <c r="M1392" t="str">
        <f t="shared" si="42"/>
        <v>354</v>
      </c>
      <c r="N1392" s="6" t="str">
        <f t="shared" si="43"/>
        <v>Others</v>
      </c>
    </row>
    <row r="1393" spans="1:14" x14ac:dyDescent="0.35">
      <c r="A1393">
        <v>1385</v>
      </c>
      <c r="B1393" s="4">
        <v>45755.375085336993</v>
      </c>
      <c r="C1393" t="s">
        <v>12</v>
      </c>
      <c r="D1393" t="s">
        <v>20</v>
      </c>
      <c r="E1393" t="s">
        <v>23</v>
      </c>
      <c r="F1393">
        <v>6165.22</v>
      </c>
      <c r="G1393">
        <f t="array" ref="G1393">SalesData!$I$2 - 'RFM Table'!B1393</f>
        <v>381</v>
      </c>
      <c r="H1393">
        <f t="array" ref="H1393">COUNTIF(A:A,A1393)</f>
        <v>11</v>
      </c>
      <c r="I1393">
        <f t="array" ref="I1393">SUMIF(A:A,A1393,F:F)</f>
        <v>73437.08</v>
      </c>
      <c r="J1393">
        <f t="array" ref="J1393">5 - INT(5 * (RANK(G1393,G:G, 1) - 1) / COUNT(G:G))</f>
        <v>3</v>
      </c>
      <c r="K1393">
        <f t="array" ref="K1393">INT(5 * (RANK(H1393,H:H, 0) - 1) / COUNT(H:H)) + 1</f>
        <v>1</v>
      </c>
      <c r="L1393">
        <f t="array" ref="L1393">INT(5 * (RANK(I1393,I:I, 0) - 1) / COUNT(I:I)) + 1</f>
        <v>1</v>
      </c>
      <c r="M1393" t="str">
        <f t="shared" si="42"/>
        <v>311</v>
      </c>
      <c r="N1393" s="6" t="str">
        <f t="shared" si="43"/>
        <v>Others</v>
      </c>
    </row>
    <row r="1394" spans="1:14" x14ac:dyDescent="0.35">
      <c r="A1394">
        <v>1246</v>
      </c>
      <c r="B1394" s="4">
        <v>45755.375085336993</v>
      </c>
      <c r="C1394" t="s">
        <v>6</v>
      </c>
      <c r="D1394" t="s">
        <v>19</v>
      </c>
      <c r="E1394" t="s">
        <v>25</v>
      </c>
      <c r="F1394">
        <v>5305.12</v>
      </c>
      <c r="G1394">
        <f t="array" ref="G1394">SalesData!$I$2 - 'RFM Table'!B1394</f>
        <v>381</v>
      </c>
      <c r="H1394">
        <f t="array" ref="H1394">COUNTIF(A:A,A1394)</f>
        <v>9</v>
      </c>
      <c r="I1394">
        <f t="array" ref="I1394">SUMIF(A:A,A1394,F:F)</f>
        <v>38767.17</v>
      </c>
      <c r="J1394">
        <f t="array" ref="J1394">5 - INT(5 * (RANK(G1394,G:G, 1) - 1) / COUNT(G:G))</f>
        <v>3</v>
      </c>
      <c r="K1394">
        <f t="array" ref="K1394">INT(5 * (RANK(H1394,H:H, 0) - 1) / COUNT(H:H)) + 1</f>
        <v>2</v>
      </c>
      <c r="L1394">
        <f t="array" ref="L1394">INT(5 * (RANK(I1394,I:I, 0) - 1) / COUNT(I:I)) + 1</f>
        <v>2</v>
      </c>
      <c r="M1394" t="str">
        <f t="shared" si="42"/>
        <v>322</v>
      </c>
      <c r="N1394" s="6" t="str">
        <f t="shared" si="43"/>
        <v>Others</v>
      </c>
    </row>
    <row r="1395" spans="1:14" x14ac:dyDescent="0.35">
      <c r="A1395">
        <v>1216</v>
      </c>
      <c r="B1395" s="4">
        <v>45755.375085336993</v>
      </c>
      <c r="C1395" t="s">
        <v>10</v>
      </c>
      <c r="D1395" t="s">
        <v>17</v>
      </c>
      <c r="E1395" t="s">
        <v>25</v>
      </c>
      <c r="F1395">
        <v>1371.24</v>
      </c>
      <c r="G1395">
        <f t="array" ref="G1395">SalesData!$I$2 - 'RFM Table'!B1395</f>
        <v>381</v>
      </c>
      <c r="H1395">
        <f t="array" ref="H1395">COUNTIF(A:A,A1395)</f>
        <v>10</v>
      </c>
      <c r="I1395">
        <f t="array" ref="I1395">SUMIF(A:A,A1395,F:F)</f>
        <v>38608.230000000003</v>
      </c>
      <c r="J1395">
        <f t="array" ref="J1395">5 - INT(5 * (RANK(G1395,G:G, 1) - 1) / COUNT(G:G))</f>
        <v>3</v>
      </c>
      <c r="K1395">
        <f t="array" ref="K1395">INT(5 * (RANK(H1395,H:H, 0) - 1) / COUNT(H:H)) + 1</f>
        <v>2</v>
      </c>
      <c r="L1395">
        <f t="array" ref="L1395">INT(5 * (RANK(I1395,I:I, 0) - 1) / COUNT(I:I)) + 1</f>
        <v>2</v>
      </c>
      <c r="M1395" t="str">
        <f t="shared" si="42"/>
        <v>322</v>
      </c>
      <c r="N1395" s="6" t="str">
        <f t="shared" si="43"/>
        <v>Others</v>
      </c>
    </row>
    <row r="1396" spans="1:14" x14ac:dyDescent="0.35">
      <c r="A1396">
        <v>1113</v>
      </c>
      <c r="B1396" s="4">
        <v>45756.375085336993</v>
      </c>
      <c r="C1396" t="s">
        <v>7</v>
      </c>
      <c r="D1396" t="s">
        <v>20</v>
      </c>
      <c r="E1396" t="s">
        <v>24</v>
      </c>
      <c r="F1396">
        <v>5016.47</v>
      </c>
      <c r="G1396">
        <f t="array" ref="G1396">SalesData!$I$2 - 'RFM Table'!B1396</f>
        <v>380</v>
      </c>
      <c r="H1396">
        <f t="array" ref="H1396">COUNTIF(A:A,A1396)</f>
        <v>7</v>
      </c>
      <c r="I1396">
        <f t="array" ref="I1396">SUMIF(A:A,A1396,F:F)</f>
        <v>17672.689999999999</v>
      </c>
      <c r="J1396">
        <f t="array" ref="J1396">5 - INT(5 * (RANK(G1396,G:G, 1) - 1) / COUNT(G:G))</f>
        <v>3</v>
      </c>
      <c r="K1396">
        <f t="array" ref="K1396">INT(5 * (RANK(H1396,H:H, 0) - 1) / COUNT(H:H)) + 1</f>
        <v>4</v>
      </c>
      <c r="L1396">
        <f t="array" ref="L1396">INT(5 * (RANK(I1396,I:I, 0) - 1) / COUNT(I:I)) + 1</f>
        <v>5</v>
      </c>
      <c r="M1396" t="str">
        <f t="shared" si="42"/>
        <v>345</v>
      </c>
      <c r="N1396" s="6" t="str">
        <f t="shared" si="43"/>
        <v>Others</v>
      </c>
    </row>
    <row r="1397" spans="1:14" x14ac:dyDescent="0.35">
      <c r="A1397">
        <v>1003</v>
      </c>
      <c r="B1397" s="4">
        <v>45756.375085336993</v>
      </c>
      <c r="C1397" t="s">
        <v>10</v>
      </c>
      <c r="D1397" t="s">
        <v>17</v>
      </c>
      <c r="E1397" t="s">
        <v>24</v>
      </c>
      <c r="F1397">
        <v>6548.41</v>
      </c>
      <c r="G1397">
        <f t="array" ref="G1397">SalesData!$I$2 - 'RFM Table'!B1397</f>
        <v>380</v>
      </c>
      <c r="H1397">
        <f t="array" ref="H1397">COUNTIF(A:A,A1397)</f>
        <v>9</v>
      </c>
      <c r="I1397">
        <f t="array" ref="I1397">SUMIF(A:A,A1397,F:F)</f>
        <v>48978.57</v>
      </c>
      <c r="J1397">
        <f t="array" ref="J1397">5 - INT(5 * (RANK(G1397,G:G, 1) - 1) / COUNT(G:G))</f>
        <v>3</v>
      </c>
      <c r="K1397">
        <f t="array" ref="K1397">INT(5 * (RANK(H1397,H:H, 0) - 1) / COUNT(H:H)) + 1</f>
        <v>2</v>
      </c>
      <c r="L1397">
        <f t="array" ref="L1397">INT(5 * (RANK(I1397,I:I, 0) - 1) / COUNT(I:I)) + 1</f>
        <v>1</v>
      </c>
      <c r="M1397" t="str">
        <f t="shared" si="42"/>
        <v>321</v>
      </c>
      <c r="N1397" s="6" t="str">
        <f t="shared" si="43"/>
        <v>Others</v>
      </c>
    </row>
    <row r="1398" spans="1:14" x14ac:dyDescent="0.35">
      <c r="A1398">
        <v>1345</v>
      </c>
      <c r="B1398" s="4">
        <v>45757.375085336993</v>
      </c>
      <c r="C1398" t="s">
        <v>10</v>
      </c>
      <c r="D1398" t="s">
        <v>20</v>
      </c>
      <c r="E1398" t="s">
        <v>23</v>
      </c>
      <c r="F1398">
        <v>2495.86</v>
      </c>
      <c r="G1398">
        <f t="array" ref="G1398">SalesData!$I$2 - 'RFM Table'!B1398</f>
        <v>379</v>
      </c>
      <c r="H1398">
        <f t="array" ref="H1398">COUNTIF(A:A,A1398)</f>
        <v>9</v>
      </c>
      <c r="I1398">
        <f t="array" ref="I1398">SUMIF(A:A,A1398,F:F)</f>
        <v>35330.950000000004</v>
      </c>
      <c r="J1398">
        <f t="array" ref="J1398">5 - INT(5 * (RANK(G1398,G:G, 1) - 1) / COUNT(G:G))</f>
        <v>3</v>
      </c>
      <c r="K1398">
        <f t="array" ref="K1398">INT(5 * (RANK(H1398,H:H, 0) - 1) / COUNT(H:H)) + 1</f>
        <v>2</v>
      </c>
      <c r="L1398">
        <f t="array" ref="L1398">INT(5 * (RANK(I1398,I:I, 0) - 1) / COUNT(I:I)) + 1</f>
        <v>3</v>
      </c>
      <c r="M1398" t="str">
        <f t="shared" si="42"/>
        <v>323</v>
      </c>
      <c r="N1398" s="6" t="str">
        <f t="shared" si="43"/>
        <v>Others</v>
      </c>
    </row>
    <row r="1399" spans="1:14" x14ac:dyDescent="0.35">
      <c r="A1399">
        <v>1300</v>
      </c>
      <c r="B1399" s="4">
        <v>45757.375085336993</v>
      </c>
      <c r="C1399" t="s">
        <v>9</v>
      </c>
      <c r="D1399" t="s">
        <v>18</v>
      </c>
      <c r="E1399" t="s">
        <v>23</v>
      </c>
      <c r="F1399">
        <v>976.4</v>
      </c>
      <c r="G1399">
        <f t="array" ref="G1399">SalesData!$I$2 - 'RFM Table'!B1399</f>
        <v>379</v>
      </c>
      <c r="H1399">
        <f t="array" ref="H1399">COUNTIF(A:A,A1399)</f>
        <v>9</v>
      </c>
      <c r="I1399">
        <f t="array" ref="I1399">SUMIF(A:A,A1399,F:F)</f>
        <v>34007.68</v>
      </c>
      <c r="J1399">
        <f t="array" ref="J1399">5 - INT(5 * (RANK(G1399,G:G, 1) - 1) / COUNT(G:G))</f>
        <v>3</v>
      </c>
      <c r="K1399">
        <f t="array" ref="K1399">INT(5 * (RANK(H1399,H:H, 0) - 1) / COUNT(H:H)) + 1</f>
        <v>2</v>
      </c>
      <c r="L1399">
        <f t="array" ref="L1399">INT(5 * (RANK(I1399,I:I, 0) - 1) / COUNT(I:I)) + 1</f>
        <v>3</v>
      </c>
      <c r="M1399" t="str">
        <f t="shared" si="42"/>
        <v>323</v>
      </c>
      <c r="N1399" s="6" t="str">
        <f t="shared" si="43"/>
        <v>Others</v>
      </c>
    </row>
    <row r="1400" spans="1:14" x14ac:dyDescent="0.35">
      <c r="A1400">
        <v>1128</v>
      </c>
      <c r="B1400" s="4">
        <v>45758.375085336993</v>
      </c>
      <c r="C1400" t="s">
        <v>6</v>
      </c>
      <c r="D1400" t="s">
        <v>18</v>
      </c>
      <c r="E1400" t="s">
        <v>23</v>
      </c>
      <c r="F1400">
        <v>6153.84</v>
      </c>
      <c r="G1400">
        <f t="array" ref="G1400">SalesData!$I$2 - 'RFM Table'!B1400</f>
        <v>378</v>
      </c>
      <c r="H1400">
        <f t="array" ref="H1400">COUNTIF(A:A,A1400)</f>
        <v>8</v>
      </c>
      <c r="I1400">
        <f t="array" ref="I1400">SUMIF(A:A,A1400,F:F)</f>
        <v>36475.079999999994</v>
      </c>
      <c r="J1400">
        <f t="array" ref="J1400">5 - INT(5 * (RANK(G1400,G:G, 1) - 1) / COUNT(G:G))</f>
        <v>3</v>
      </c>
      <c r="K1400">
        <f t="array" ref="K1400">INT(5 * (RANK(H1400,H:H, 0) - 1) / COUNT(H:H)) + 1</f>
        <v>3</v>
      </c>
      <c r="L1400">
        <f t="array" ref="L1400">INT(5 * (RANK(I1400,I:I, 0) - 1) / COUNT(I:I)) + 1</f>
        <v>3</v>
      </c>
      <c r="M1400" t="str">
        <f t="shared" si="42"/>
        <v>333</v>
      </c>
      <c r="N1400" s="6" t="str">
        <f t="shared" si="43"/>
        <v>Others</v>
      </c>
    </row>
    <row r="1401" spans="1:14" x14ac:dyDescent="0.35">
      <c r="A1401">
        <v>1068</v>
      </c>
      <c r="B1401" s="4">
        <v>45759.375085336993</v>
      </c>
      <c r="C1401" t="s">
        <v>7</v>
      </c>
      <c r="D1401" t="s">
        <v>22</v>
      </c>
      <c r="E1401" t="s">
        <v>24</v>
      </c>
      <c r="F1401">
        <v>2899.13</v>
      </c>
      <c r="G1401">
        <f t="array" ref="G1401">SalesData!$I$2 - 'RFM Table'!B1401</f>
        <v>377</v>
      </c>
      <c r="H1401">
        <f t="array" ref="H1401">COUNTIF(A:A,A1401)</f>
        <v>10</v>
      </c>
      <c r="I1401">
        <f t="array" ref="I1401">SUMIF(A:A,A1401,F:F)</f>
        <v>47284.22</v>
      </c>
      <c r="J1401">
        <f t="array" ref="J1401">5 - INT(5 * (RANK(G1401,G:G, 1) - 1) / COUNT(G:G))</f>
        <v>3</v>
      </c>
      <c r="K1401">
        <f t="array" ref="K1401">INT(5 * (RANK(H1401,H:H, 0) - 1) / COUNT(H:H)) + 1</f>
        <v>2</v>
      </c>
      <c r="L1401">
        <f t="array" ref="L1401">INT(5 * (RANK(I1401,I:I, 0) - 1) / COUNT(I:I)) + 1</f>
        <v>1</v>
      </c>
      <c r="M1401" t="str">
        <f t="shared" si="42"/>
        <v>321</v>
      </c>
      <c r="N1401" s="6" t="str">
        <f t="shared" si="43"/>
        <v>Others</v>
      </c>
    </row>
    <row r="1402" spans="1:14" x14ac:dyDescent="0.35">
      <c r="A1402">
        <v>1149</v>
      </c>
      <c r="B1402" s="4">
        <v>45759.375085336993</v>
      </c>
      <c r="C1402" t="s">
        <v>13</v>
      </c>
      <c r="D1402" t="s">
        <v>22</v>
      </c>
      <c r="E1402" t="s">
        <v>24</v>
      </c>
      <c r="F1402">
        <v>1711.94</v>
      </c>
      <c r="G1402">
        <f t="array" ref="G1402">SalesData!$I$2 - 'RFM Table'!B1402</f>
        <v>377</v>
      </c>
      <c r="H1402">
        <f t="array" ref="H1402">COUNTIF(A:A,A1402)</f>
        <v>8</v>
      </c>
      <c r="I1402">
        <f t="array" ref="I1402">SUMIF(A:A,A1402,F:F)</f>
        <v>22978.19</v>
      </c>
      <c r="J1402">
        <f t="array" ref="J1402">5 - INT(5 * (RANK(G1402,G:G, 1) - 1) / COUNT(G:G))</f>
        <v>3</v>
      </c>
      <c r="K1402">
        <f t="array" ref="K1402">INT(5 * (RANK(H1402,H:H, 0) - 1) / COUNT(H:H)) + 1</f>
        <v>3</v>
      </c>
      <c r="L1402">
        <f t="array" ref="L1402">INT(5 * (RANK(I1402,I:I, 0) - 1) / COUNT(I:I)) + 1</f>
        <v>4</v>
      </c>
      <c r="M1402" t="str">
        <f t="shared" si="42"/>
        <v>334</v>
      </c>
      <c r="N1402" s="6" t="str">
        <f t="shared" si="43"/>
        <v>Others</v>
      </c>
    </row>
    <row r="1403" spans="1:14" x14ac:dyDescent="0.35">
      <c r="A1403">
        <v>1062</v>
      </c>
      <c r="B1403" s="4">
        <v>45759.375085336993</v>
      </c>
      <c r="C1403" t="s">
        <v>9</v>
      </c>
      <c r="D1403" t="s">
        <v>20</v>
      </c>
      <c r="E1403" t="s">
        <v>24</v>
      </c>
      <c r="F1403">
        <v>2939.57</v>
      </c>
      <c r="G1403">
        <f t="array" ref="G1403">SalesData!$I$2 - 'RFM Table'!B1403</f>
        <v>377</v>
      </c>
      <c r="H1403">
        <f t="array" ref="H1403">COUNTIF(A:A,A1403)</f>
        <v>11</v>
      </c>
      <c r="I1403">
        <f t="array" ref="I1403">SUMIF(A:A,A1403,F:F)</f>
        <v>59377.640000000014</v>
      </c>
      <c r="J1403">
        <f t="array" ref="J1403">5 - INT(5 * (RANK(G1403,G:G, 1) - 1) / COUNT(G:G))</f>
        <v>3</v>
      </c>
      <c r="K1403">
        <f t="array" ref="K1403">INT(5 * (RANK(H1403,H:H, 0) - 1) / COUNT(H:H)) + 1</f>
        <v>1</v>
      </c>
      <c r="L1403">
        <f t="array" ref="L1403">INT(5 * (RANK(I1403,I:I, 0) - 1) / COUNT(I:I)) + 1</f>
        <v>1</v>
      </c>
      <c r="M1403" t="str">
        <f t="shared" si="42"/>
        <v>311</v>
      </c>
      <c r="N1403" s="6" t="str">
        <f t="shared" si="43"/>
        <v>Others</v>
      </c>
    </row>
    <row r="1404" spans="1:14" x14ac:dyDescent="0.35">
      <c r="A1404">
        <v>1316</v>
      </c>
      <c r="B1404" s="4">
        <v>45759.375085336993</v>
      </c>
      <c r="C1404" t="s">
        <v>9</v>
      </c>
      <c r="D1404" t="s">
        <v>18</v>
      </c>
      <c r="E1404" t="s">
        <v>24</v>
      </c>
      <c r="F1404">
        <v>1049.05</v>
      </c>
      <c r="G1404">
        <f t="array" ref="G1404">SalesData!$I$2 - 'RFM Table'!B1404</f>
        <v>377</v>
      </c>
      <c r="H1404">
        <f t="array" ref="H1404">COUNTIF(A:A,A1404)</f>
        <v>5</v>
      </c>
      <c r="I1404">
        <f t="array" ref="I1404">SUMIF(A:A,A1404,F:F)</f>
        <v>20246.7</v>
      </c>
      <c r="J1404">
        <f t="array" ref="J1404">5 - INT(5 * (RANK(G1404,G:G, 1) - 1) / COUNT(G:G))</f>
        <v>3</v>
      </c>
      <c r="K1404">
        <f t="array" ref="K1404">INT(5 * (RANK(H1404,H:H, 0) - 1) / COUNT(H:H)) + 1</f>
        <v>5</v>
      </c>
      <c r="L1404">
        <f t="array" ref="L1404">INT(5 * (RANK(I1404,I:I, 0) - 1) / COUNT(I:I)) + 1</f>
        <v>5</v>
      </c>
      <c r="M1404" t="str">
        <f t="shared" si="42"/>
        <v>355</v>
      </c>
      <c r="N1404" s="6" t="str">
        <f t="shared" si="43"/>
        <v>Others</v>
      </c>
    </row>
    <row r="1405" spans="1:14" x14ac:dyDescent="0.35">
      <c r="A1405">
        <v>1163</v>
      </c>
      <c r="B1405" s="4">
        <v>45759.375085336993</v>
      </c>
      <c r="C1405" t="s">
        <v>10</v>
      </c>
      <c r="D1405" t="s">
        <v>20</v>
      </c>
      <c r="E1405" t="s">
        <v>24</v>
      </c>
      <c r="F1405">
        <v>1479.06</v>
      </c>
      <c r="G1405">
        <f t="array" ref="G1405">SalesData!$I$2 - 'RFM Table'!B1405</f>
        <v>377</v>
      </c>
      <c r="H1405">
        <f t="array" ref="H1405">COUNTIF(A:A,A1405)</f>
        <v>11</v>
      </c>
      <c r="I1405">
        <f t="array" ref="I1405">SUMIF(A:A,A1405,F:F)</f>
        <v>43753.86</v>
      </c>
      <c r="J1405">
        <f t="array" ref="J1405">5 - INT(5 * (RANK(G1405,G:G, 1) - 1) / COUNT(G:G))</f>
        <v>3</v>
      </c>
      <c r="K1405">
        <f t="array" ref="K1405">INT(5 * (RANK(H1405,H:H, 0) - 1) / COUNT(H:H)) + 1</f>
        <v>1</v>
      </c>
      <c r="L1405">
        <f t="array" ref="L1405">INT(5 * (RANK(I1405,I:I, 0) - 1) / COUNT(I:I)) + 1</f>
        <v>2</v>
      </c>
      <c r="M1405" t="str">
        <f t="shared" si="42"/>
        <v>312</v>
      </c>
      <c r="N1405" s="6" t="str">
        <f t="shared" si="43"/>
        <v>Others</v>
      </c>
    </row>
    <row r="1406" spans="1:14" x14ac:dyDescent="0.35">
      <c r="A1406">
        <v>1091</v>
      </c>
      <c r="B1406" s="4">
        <v>45759.375085336993</v>
      </c>
      <c r="C1406" t="s">
        <v>7</v>
      </c>
      <c r="D1406" t="s">
        <v>21</v>
      </c>
      <c r="E1406" t="s">
        <v>24</v>
      </c>
      <c r="F1406">
        <v>2602.27</v>
      </c>
      <c r="G1406">
        <f t="array" ref="G1406">SalesData!$I$2 - 'RFM Table'!B1406</f>
        <v>377</v>
      </c>
      <c r="H1406">
        <f t="array" ref="H1406">COUNTIF(A:A,A1406)</f>
        <v>11</v>
      </c>
      <c r="I1406">
        <f t="array" ref="I1406">SUMIF(A:A,A1406,F:F)</f>
        <v>39808.47</v>
      </c>
      <c r="J1406">
        <f t="array" ref="J1406">5 - INT(5 * (RANK(G1406,G:G, 1) - 1) / COUNT(G:G))</f>
        <v>3</v>
      </c>
      <c r="K1406">
        <f t="array" ref="K1406">INT(5 * (RANK(H1406,H:H, 0) - 1) / COUNT(H:H)) + 1</f>
        <v>1</v>
      </c>
      <c r="L1406">
        <f t="array" ref="L1406">INT(5 * (RANK(I1406,I:I, 0) - 1) / COUNT(I:I)) + 1</f>
        <v>2</v>
      </c>
      <c r="M1406" t="str">
        <f t="shared" si="42"/>
        <v>312</v>
      </c>
      <c r="N1406" s="6" t="str">
        <f t="shared" si="43"/>
        <v>Others</v>
      </c>
    </row>
    <row r="1407" spans="1:14" x14ac:dyDescent="0.35">
      <c r="A1407">
        <v>1191</v>
      </c>
      <c r="B1407" s="4">
        <v>45759.375085336993</v>
      </c>
      <c r="C1407" t="s">
        <v>15</v>
      </c>
      <c r="D1407" t="s">
        <v>22</v>
      </c>
      <c r="E1407" t="s">
        <v>25</v>
      </c>
      <c r="F1407">
        <v>2128.87</v>
      </c>
      <c r="G1407">
        <f t="array" ref="G1407">SalesData!$I$2 - 'RFM Table'!B1407</f>
        <v>377</v>
      </c>
      <c r="H1407">
        <f t="array" ref="H1407">COUNTIF(A:A,A1407)</f>
        <v>11</v>
      </c>
      <c r="I1407">
        <f t="array" ref="I1407">SUMIF(A:A,A1407,F:F)</f>
        <v>30527.53</v>
      </c>
      <c r="J1407">
        <f t="array" ref="J1407">5 - INT(5 * (RANK(G1407,G:G, 1) - 1) / COUNT(G:G))</f>
        <v>3</v>
      </c>
      <c r="K1407">
        <f t="array" ref="K1407">INT(5 * (RANK(H1407,H:H, 0) - 1) / COUNT(H:H)) + 1</f>
        <v>1</v>
      </c>
      <c r="L1407">
        <f t="array" ref="L1407">INT(5 * (RANK(I1407,I:I, 0) - 1) / COUNT(I:I)) + 1</f>
        <v>3</v>
      </c>
      <c r="M1407" t="str">
        <f t="shared" si="42"/>
        <v>313</v>
      </c>
      <c r="N1407" s="6" t="str">
        <f t="shared" si="43"/>
        <v>Others</v>
      </c>
    </row>
    <row r="1408" spans="1:14" x14ac:dyDescent="0.35">
      <c r="A1408">
        <v>1388</v>
      </c>
      <c r="B1408" s="4">
        <v>45760.375085336993</v>
      </c>
      <c r="C1408" t="s">
        <v>7</v>
      </c>
      <c r="D1408" t="s">
        <v>21</v>
      </c>
      <c r="E1408" t="s">
        <v>23</v>
      </c>
      <c r="F1408">
        <v>1611.61</v>
      </c>
      <c r="G1408">
        <f t="array" ref="G1408">SalesData!$I$2 - 'RFM Table'!B1408</f>
        <v>376</v>
      </c>
      <c r="H1408">
        <f t="array" ref="H1408">COUNTIF(A:A,A1408)</f>
        <v>4</v>
      </c>
      <c r="I1408">
        <f t="array" ref="I1408">SUMIF(A:A,A1408,F:F)</f>
        <v>16140.15</v>
      </c>
      <c r="J1408">
        <f t="array" ref="J1408">5 - INT(5 * (RANK(G1408,G:G, 1) - 1) / COUNT(G:G))</f>
        <v>3</v>
      </c>
      <c r="K1408">
        <f t="array" ref="K1408">INT(5 * (RANK(H1408,H:H, 0) - 1) / COUNT(H:H)) + 1</f>
        <v>5</v>
      </c>
      <c r="L1408">
        <f t="array" ref="L1408">INT(5 * (RANK(I1408,I:I, 0) - 1) / COUNT(I:I)) + 1</f>
        <v>5</v>
      </c>
      <c r="M1408" t="str">
        <f t="shared" si="42"/>
        <v>355</v>
      </c>
      <c r="N1408" s="6" t="str">
        <f t="shared" si="43"/>
        <v>Others</v>
      </c>
    </row>
    <row r="1409" spans="1:14" x14ac:dyDescent="0.35">
      <c r="A1409">
        <v>1131</v>
      </c>
      <c r="B1409" s="4">
        <v>45760.375085336993</v>
      </c>
      <c r="C1409" t="s">
        <v>10</v>
      </c>
      <c r="D1409" t="s">
        <v>18</v>
      </c>
      <c r="E1409" t="s">
        <v>24</v>
      </c>
      <c r="F1409">
        <v>5845.46</v>
      </c>
      <c r="G1409">
        <f t="array" ref="G1409">SalesData!$I$2 - 'RFM Table'!B1409</f>
        <v>376</v>
      </c>
      <c r="H1409">
        <f t="array" ref="H1409">COUNTIF(A:A,A1409)</f>
        <v>7</v>
      </c>
      <c r="I1409">
        <f t="array" ref="I1409">SUMIF(A:A,A1409,F:F)</f>
        <v>38080.880000000005</v>
      </c>
      <c r="J1409">
        <f t="array" ref="J1409">5 - INT(5 * (RANK(G1409,G:G, 1) - 1) / COUNT(G:G))</f>
        <v>3</v>
      </c>
      <c r="K1409">
        <f t="array" ref="K1409">INT(5 * (RANK(H1409,H:H, 0) - 1) / COUNT(H:H)) + 1</f>
        <v>4</v>
      </c>
      <c r="L1409">
        <f t="array" ref="L1409">INT(5 * (RANK(I1409,I:I, 0) - 1) / COUNT(I:I)) + 1</f>
        <v>2</v>
      </c>
      <c r="M1409" t="str">
        <f t="shared" si="42"/>
        <v>342</v>
      </c>
      <c r="N1409" s="6" t="str">
        <f t="shared" si="43"/>
        <v>Others</v>
      </c>
    </row>
    <row r="1410" spans="1:14" x14ac:dyDescent="0.35">
      <c r="A1410">
        <v>1245</v>
      </c>
      <c r="B1410" s="4">
        <v>45760.375085336993</v>
      </c>
      <c r="C1410" t="s">
        <v>7</v>
      </c>
      <c r="D1410" t="s">
        <v>16</v>
      </c>
      <c r="E1410" t="s">
        <v>23</v>
      </c>
      <c r="F1410">
        <v>1486.65</v>
      </c>
      <c r="G1410">
        <f t="array" ref="G1410">SalesData!$I$2 - 'RFM Table'!B1410</f>
        <v>376</v>
      </c>
      <c r="H1410">
        <f t="array" ref="H1410">COUNTIF(A:A,A1410)</f>
        <v>6</v>
      </c>
      <c r="I1410">
        <f t="array" ref="I1410">SUMIF(A:A,A1410,F:F)</f>
        <v>17570.61</v>
      </c>
      <c r="J1410">
        <f t="array" ref="J1410">5 - INT(5 * (RANK(G1410,G:G, 1) - 1) / COUNT(G:G))</f>
        <v>3</v>
      </c>
      <c r="K1410">
        <f t="array" ref="K1410">INT(5 * (RANK(H1410,H:H, 0) - 1) / COUNT(H:H)) + 1</f>
        <v>4</v>
      </c>
      <c r="L1410">
        <f t="array" ref="L1410">INT(5 * (RANK(I1410,I:I, 0) - 1) / COUNT(I:I)) + 1</f>
        <v>5</v>
      </c>
      <c r="M1410" t="str">
        <f t="shared" si="42"/>
        <v>345</v>
      </c>
      <c r="N1410" s="6" t="str">
        <f t="shared" si="43"/>
        <v>Others</v>
      </c>
    </row>
    <row r="1411" spans="1:14" x14ac:dyDescent="0.35">
      <c r="A1411">
        <v>1299</v>
      </c>
      <c r="B1411" s="4">
        <v>45760.375085336993</v>
      </c>
      <c r="C1411" t="s">
        <v>9</v>
      </c>
      <c r="D1411" t="s">
        <v>21</v>
      </c>
      <c r="E1411" t="s">
        <v>23</v>
      </c>
      <c r="F1411">
        <v>470.1</v>
      </c>
      <c r="G1411">
        <f t="array" ref="G1411">SalesData!$I$2 - 'RFM Table'!B1411</f>
        <v>376</v>
      </c>
      <c r="H1411">
        <f t="array" ref="H1411">COUNTIF(A:A,A1411)</f>
        <v>6</v>
      </c>
      <c r="I1411">
        <f t="array" ref="I1411">SUMIF(A:A,A1411,F:F)</f>
        <v>13299.439999999999</v>
      </c>
      <c r="J1411">
        <f t="array" ref="J1411">5 - INT(5 * (RANK(G1411,G:G, 1) - 1) / COUNT(G:G))</f>
        <v>3</v>
      </c>
      <c r="K1411">
        <f t="array" ref="K1411">INT(5 * (RANK(H1411,H:H, 0) - 1) / COUNT(H:H)) + 1</f>
        <v>4</v>
      </c>
      <c r="L1411">
        <f t="array" ref="L1411">INT(5 * (RANK(I1411,I:I, 0) - 1) / COUNT(I:I)) + 1</f>
        <v>5</v>
      </c>
      <c r="M1411" t="str">
        <f t="shared" ref="M1411:M1474" si="44">J1411 &amp; K1411 &amp; L1411</f>
        <v>345</v>
      </c>
      <c r="N1411" s="6" t="str">
        <f t="shared" ref="N1411:N1474" si="45">IF(AND(J1411&gt;=4,K1411&lt;=2),"New Customers",
IF(AND(J1411&lt;=2,K1411&gt;=3,L1411&gt;=3),"At Risk",
IF(AND(J1411&lt;=2,K1411&lt;=2,L1411&gt;=3),"Can't Lose Them",
IF(AND(J1411&lt;=2,K1411&lt;=2,L1411&lt;=2),"Lost",
"Others"))))</f>
        <v>Others</v>
      </c>
    </row>
    <row r="1412" spans="1:14" x14ac:dyDescent="0.35">
      <c r="A1412">
        <v>1257</v>
      </c>
      <c r="B1412" s="4">
        <v>45760.375085336993</v>
      </c>
      <c r="C1412" t="s">
        <v>9</v>
      </c>
      <c r="D1412" t="s">
        <v>19</v>
      </c>
      <c r="E1412" t="s">
        <v>25</v>
      </c>
      <c r="F1412">
        <v>892.6</v>
      </c>
      <c r="G1412">
        <f t="array" ref="G1412">SalesData!$I$2 - 'RFM Table'!B1412</f>
        <v>376</v>
      </c>
      <c r="H1412">
        <f t="array" ref="H1412">COUNTIF(A:A,A1412)</f>
        <v>8</v>
      </c>
      <c r="I1412">
        <f t="array" ref="I1412">SUMIF(A:A,A1412,F:F)</f>
        <v>17550.599999999999</v>
      </c>
      <c r="J1412">
        <f t="array" ref="J1412">5 - INT(5 * (RANK(G1412,G:G, 1) - 1) / COUNT(G:G))</f>
        <v>3</v>
      </c>
      <c r="K1412">
        <f t="array" ref="K1412">INT(5 * (RANK(H1412,H:H, 0) - 1) / COUNT(H:H)) + 1</f>
        <v>3</v>
      </c>
      <c r="L1412">
        <f t="array" ref="L1412">INT(5 * (RANK(I1412,I:I, 0) - 1) / COUNT(I:I)) + 1</f>
        <v>5</v>
      </c>
      <c r="M1412" t="str">
        <f t="shared" si="44"/>
        <v>335</v>
      </c>
      <c r="N1412" s="6" t="str">
        <f t="shared" si="45"/>
        <v>Others</v>
      </c>
    </row>
    <row r="1413" spans="1:14" x14ac:dyDescent="0.35">
      <c r="A1413">
        <v>1190</v>
      </c>
      <c r="B1413" s="4">
        <v>45760.375085336993</v>
      </c>
      <c r="C1413" t="s">
        <v>15</v>
      </c>
      <c r="D1413" t="s">
        <v>21</v>
      </c>
      <c r="E1413" t="s">
        <v>25</v>
      </c>
      <c r="F1413">
        <v>1647.59</v>
      </c>
      <c r="G1413">
        <f t="array" ref="G1413">SalesData!$I$2 - 'RFM Table'!B1413</f>
        <v>376</v>
      </c>
      <c r="H1413">
        <f t="array" ref="H1413">COUNTIF(A:A,A1413)</f>
        <v>7</v>
      </c>
      <c r="I1413">
        <f t="array" ref="I1413">SUMIF(A:A,A1413,F:F)</f>
        <v>21031.63</v>
      </c>
      <c r="J1413">
        <f t="array" ref="J1413">5 - INT(5 * (RANK(G1413,G:G, 1) - 1) / COUNT(G:G))</f>
        <v>3</v>
      </c>
      <c r="K1413">
        <f t="array" ref="K1413">INT(5 * (RANK(H1413,H:H, 0) - 1) / COUNT(H:H)) + 1</f>
        <v>4</v>
      </c>
      <c r="L1413">
        <f t="array" ref="L1413">INT(5 * (RANK(I1413,I:I, 0) - 1) / COUNT(I:I)) + 1</f>
        <v>5</v>
      </c>
      <c r="M1413" t="str">
        <f t="shared" si="44"/>
        <v>345</v>
      </c>
      <c r="N1413" s="6" t="str">
        <f t="shared" si="45"/>
        <v>Others</v>
      </c>
    </row>
    <row r="1414" spans="1:14" x14ac:dyDescent="0.35">
      <c r="A1414">
        <v>1191</v>
      </c>
      <c r="B1414" s="4">
        <v>45760.375085336993</v>
      </c>
      <c r="C1414" t="s">
        <v>7</v>
      </c>
      <c r="D1414" t="s">
        <v>21</v>
      </c>
      <c r="E1414" t="s">
        <v>23</v>
      </c>
      <c r="F1414">
        <v>1410.82</v>
      </c>
      <c r="G1414">
        <f t="array" ref="G1414">SalesData!$I$2 - 'RFM Table'!B1414</f>
        <v>376</v>
      </c>
      <c r="H1414">
        <f t="array" ref="H1414">COUNTIF(A:A,A1414)</f>
        <v>11</v>
      </c>
      <c r="I1414">
        <f t="array" ref="I1414">SUMIF(A:A,A1414,F:F)</f>
        <v>30527.53</v>
      </c>
      <c r="J1414">
        <f t="array" ref="J1414">5 - INT(5 * (RANK(G1414,G:G, 1) - 1) / COUNT(G:G))</f>
        <v>3</v>
      </c>
      <c r="K1414">
        <f t="array" ref="K1414">INT(5 * (RANK(H1414,H:H, 0) - 1) / COUNT(H:H)) + 1</f>
        <v>1</v>
      </c>
      <c r="L1414">
        <f t="array" ref="L1414">INT(5 * (RANK(I1414,I:I, 0) - 1) / COUNT(I:I)) + 1</f>
        <v>3</v>
      </c>
      <c r="M1414" t="str">
        <f t="shared" si="44"/>
        <v>313</v>
      </c>
      <c r="N1414" s="6" t="str">
        <f t="shared" si="45"/>
        <v>Others</v>
      </c>
    </row>
    <row r="1415" spans="1:14" x14ac:dyDescent="0.35">
      <c r="A1415">
        <v>1376</v>
      </c>
      <c r="B1415" s="4">
        <v>45760.375085336993</v>
      </c>
      <c r="C1415" t="s">
        <v>14</v>
      </c>
      <c r="D1415" t="s">
        <v>22</v>
      </c>
      <c r="E1415" t="s">
        <v>25</v>
      </c>
      <c r="F1415">
        <v>209.13</v>
      </c>
      <c r="G1415">
        <f t="array" ref="G1415">SalesData!$I$2 - 'RFM Table'!B1415</f>
        <v>376</v>
      </c>
      <c r="H1415">
        <f t="array" ref="H1415">COUNTIF(A:A,A1415)</f>
        <v>6</v>
      </c>
      <c r="I1415">
        <f t="array" ref="I1415">SUMIF(A:A,A1415,F:F)</f>
        <v>21816.019999999997</v>
      </c>
      <c r="J1415">
        <f t="array" ref="J1415">5 - INT(5 * (RANK(G1415,G:G, 1) - 1) / COUNT(G:G))</f>
        <v>3</v>
      </c>
      <c r="K1415">
        <f t="array" ref="K1415">INT(5 * (RANK(H1415,H:H, 0) - 1) / COUNT(H:H)) + 1</f>
        <v>4</v>
      </c>
      <c r="L1415">
        <f t="array" ref="L1415">INT(5 * (RANK(I1415,I:I, 0) - 1) / COUNT(I:I)) + 1</f>
        <v>4</v>
      </c>
      <c r="M1415" t="str">
        <f t="shared" si="44"/>
        <v>344</v>
      </c>
      <c r="N1415" s="6" t="str">
        <f t="shared" si="45"/>
        <v>Others</v>
      </c>
    </row>
    <row r="1416" spans="1:14" x14ac:dyDescent="0.35">
      <c r="A1416">
        <v>1005</v>
      </c>
      <c r="B1416" s="4">
        <v>45761.375085336993</v>
      </c>
      <c r="C1416" t="s">
        <v>7</v>
      </c>
      <c r="D1416" t="s">
        <v>16</v>
      </c>
      <c r="E1416" t="s">
        <v>24</v>
      </c>
      <c r="F1416">
        <v>4325.53</v>
      </c>
      <c r="G1416">
        <f t="array" ref="G1416">SalesData!$I$2 - 'RFM Table'!B1416</f>
        <v>375</v>
      </c>
      <c r="H1416">
        <f t="array" ref="H1416">COUNTIF(A:A,A1416)</f>
        <v>4</v>
      </c>
      <c r="I1416">
        <f t="array" ref="I1416">SUMIF(A:A,A1416,F:F)</f>
        <v>30283.82</v>
      </c>
      <c r="J1416">
        <f t="array" ref="J1416">5 - INT(5 * (RANK(G1416,G:G, 1) - 1) / COUNT(G:G))</f>
        <v>3</v>
      </c>
      <c r="K1416">
        <f t="array" ref="K1416">INT(5 * (RANK(H1416,H:H, 0) - 1) / COUNT(H:H)) + 1</f>
        <v>5</v>
      </c>
      <c r="L1416">
        <f t="array" ref="L1416">INT(5 * (RANK(I1416,I:I, 0) - 1) / COUNT(I:I)) + 1</f>
        <v>3</v>
      </c>
      <c r="M1416" t="str">
        <f t="shared" si="44"/>
        <v>353</v>
      </c>
      <c r="N1416" s="6" t="str">
        <f t="shared" si="45"/>
        <v>Others</v>
      </c>
    </row>
    <row r="1417" spans="1:14" x14ac:dyDescent="0.35">
      <c r="A1417">
        <v>1261</v>
      </c>
      <c r="B1417" s="4">
        <v>45761.375085336993</v>
      </c>
      <c r="C1417" t="s">
        <v>15</v>
      </c>
      <c r="D1417" t="s">
        <v>22</v>
      </c>
      <c r="E1417" t="s">
        <v>25</v>
      </c>
      <c r="F1417">
        <v>8243.84</v>
      </c>
      <c r="G1417">
        <f t="array" ref="G1417">SalesData!$I$2 - 'RFM Table'!B1417</f>
        <v>375</v>
      </c>
      <c r="H1417">
        <f t="array" ref="H1417">COUNTIF(A:A,A1417)</f>
        <v>8</v>
      </c>
      <c r="I1417">
        <f t="array" ref="I1417">SUMIF(A:A,A1417,F:F)</f>
        <v>28310.01</v>
      </c>
      <c r="J1417">
        <f t="array" ref="J1417">5 - INT(5 * (RANK(G1417,G:G, 1) - 1) / COUNT(G:G))</f>
        <v>3</v>
      </c>
      <c r="K1417">
        <f t="array" ref="K1417">INT(5 * (RANK(H1417,H:H, 0) - 1) / COUNT(H:H)) + 1</f>
        <v>3</v>
      </c>
      <c r="L1417">
        <f t="array" ref="L1417">INT(5 * (RANK(I1417,I:I, 0) - 1) / COUNT(I:I)) + 1</f>
        <v>4</v>
      </c>
      <c r="M1417" t="str">
        <f t="shared" si="44"/>
        <v>334</v>
      </c>
      <c r="N1417" s="6" t="str">
        <f t="shared" si="45"/>
        <v>Others</v>
      </c>
    </row>
    <row r="1418" spans="1:14" x14ac:dyDescent="0.35">
      <c r="A1418">
        <v>1387</v>
      </c>
      <c r="B1418" s="4">
        <v>45761.375085336993</v>
      </c>
      <c r="C1418" t="s">
        <v>12</v>
      </c>
      <c r="D1418" t="s">
        <v>18</v>
      </c>
      <c r="E1418" t="s">
        <v>24</v>
      </c>
      <c r="F1418">
        <v>4511.7</v>
      </c>
      <c r="G1418">
        <f t="array" ref="G1418">SalesData!$I$2 - 'RFM Table'!B1418</f>
        <v>375</v>
      </c>
      <c r="H1418">
        <f t="array" ref="H1418">COUNTIF(A:A,A1418)</f>
        <v>8</v>
      </c>
      <c r="I1418">
        <f t="array" ref="I1418">SUMIF(A:A,A1418,F:F)</f>
        <v>30848.15</v>
      </c>
      <c r="J1418">
        <f t="array" ref="J1418">5 - INT(5 * (RANK(G1418,G:G, 1) - 1) / COUNT(G:G))</f>
        <v>3</v>
      </c>
      <c r="K1418">
        <f t="array" ref="K1418">INT(5 * (RANK(H1418,H:H, 0) - 1) / COUNT(H:H)) + 1</f>
        <v>3</v>
      </c>
      <c r="L1418">
        <f t="array" ref="L1418">INT(5 * (RANK(I1418,I:I, 0) - 1) / COUNT(I:I)) + 1</f>
        <v>3</v>
      </c>
      <c r="M1418" t="str">
        <f t="shared" si="44"/>
        <v>333</v>
      </c>
      <c r="N1418" s="6" t="str">
        <f t="shared" si="45"/>
        <v>Others</v>
      </c>
    </row>
    <row r="1419" spans="1:14" x14ac:dyDescent="0.35">
      <c r="A1419">
        <v>1176</v>
      </c>
      <c r="B1419" s="4">
        <v>45762.375085336993</v>
      </c>
      <c r="C1419" t="s">
        <v>8</v>
      </c>
      <c r="D1419" t="s">
        <v>22</v>
      </c>
      <c r="E1419" t="s">
        <v>24</v>
      </c>
      <c r="F1419">
        <v>3944.13</v>
      </c>
      <c r="G1419">
        <f t="array" ref="G1419">SalesData!$I$2 - 'RFM Table'!B1419</f>
        <v>374</v>
      </c>
      <c r="H1419">
        <f t="array" ref="H1419">COUNTIF(A:A,A1419)</f>
        <v>9</v>
      </c>
      <c r="I1419">
        <f t="array" ref="I1419">SUMIF(A:A,A1419,F:F)</f>
        <v>30242.800000000003</v>
      </c>
      <c r="J1419">
        <f t="array" ref="J1419">5 - INT(5 * (RANK(G1419,G:G, 1) - 1) / COUNT(G:G))</f>
        <v>3</v>
      </c>
      <c r="K1419">
        <f t="array" ref="K1419">INT(5 * (RANK(H1419,H:H, 0) - 1) / COUNT(H:H)) + 1</f>
        <v>2</v>
      </c>
      <c r="L1419">
        <f t="array" ref="L1419">INT(5 * (RANK(I1419,I:I, 0) - 1) / COUNT(I:I)) + 1</f>
        <v>3</v>
      </c>
      <c r="M1419" t="str">
        <f t="shared" si="44"/>
        <v>323</v>
      </c>
      <c r="N1419" s="6" t="str">
        <f t="shared" si="45"/>
        <v>Others</v>
      </c>
    </row>
    <row r="1420" spans="1:14" x14ac:dyDescent="0.35">
      <c r="A1420">
        <v>1246</v>
      </c>
      <c r="B1420" s="4">
        <v>45762.375085336993</v>
      </c>
      <c r="C1420" t="s">
        <v>7</v>
      </c>
      <c r="D1420" t="s">
        <v>16</v>
      </c>
      <c r="E1420" t="s">
        <v>24</v>
      </c>
      <c r="F1420">
        <v>2084.6</v>
      </c>
      <c r="G1420">
        <f t="array" ref="G1420">SalesData!$I$2 - 'RFM Table'!B1420</f>
        <v>374</v>
      </c>
      <c r="H1420">
        <f t="array" ref="H1420">COUNTIF(A:A,A1420)</f>
        <v>9</v>
      </c>
      <c r="I1420">
        <f t="array" ref="I1420">SUMIF(A:A,A1420,F:F)</f>
        <v>38767.17</v>
      </c>
      <c r="J1420">
        <f t="array" ref="J1420">5 - INT(5 * (RANK(G1420,G:G, 1) - 1) / COUNT(G:G))</f>
        <v>3</v>
      </c>
      <c r="K1420">
        <f t="array" ref="K1420">INT(5 * (RANK(H1420,H:H, 0) - 1) / COUNT(H:H)) + 1</f>
        <v>2</v>
      </c>
      <c r="L1420">
        <f t="array" ref="L1420">INT(5 * (RANK(I1420,I:I, 0) - 1) / COUNT(I:I)) + 1</f>
        <v>2</v>
      </c>
      <c r="M1420" t="str">
        <f t="shared" si="44"/>
        <v>322</v>
      </c>
      <c r="N1420" s="6" t="str">
        <f t="shared" si="45"/>
        <v>Others</v>
      </c>
    </row>
    <row r="1421" spans="1:14" x14ac:dyDescent="0.35">
      <c r="A1421">
        <v>1323</v>
      </c>
      <c r="B1421" s="4">
        <v>45762.375085336993</v>
      </c>
      <c r="C1421" t="s">
        <v>9</v>
      </c>
      <c r="D1421" t="s">
        <v>20</v>
      </c>
      <c r="E1421" t="s">
        <v>25</v>
      </c>
      <c r="F1421">
        <v>2756.22</v>
      </c>
      <c r="G1421">
        <f t="array" ref="G1421">SalesData!$I$2 - 'RFM Table'!B1421</f>
        <v>374</v>
      </c>
      <c r="H1421">
        <f t="array" ref="H1421">COUNTIF(A:A,A1421)</f>
        <v>9</v>
      </c>
      <c r="I1421">
        <f t="array" ref="I1421">SUMIF(A:A,A1421,F:F)</f>
        <v>39366.480000000003</v>
      </c>
      <c r="J1421">
        <f t="array" ref="J1421">5 - INT(5 * (RANK(G1421,G:G, 1) - 1) / COUNT(G:G))</f>
        <v>3</v>
      </c>
      <c r="K1421">
        <f t="array" ref="K1421">INT(5 * (RANK(H1421,H:H, 0) - 1) / COUNT(H:H)) + 1</f>
        <v>2</v>
      </c>
      <c r="L1421">
        <f t="array" ref="L1421">INT(5 * (RANK(I1421,I:I, 0) - 1) / COUNT(I:I)) + 1</f>
        <v>2</v>
      </c>
      <c r="M1421" t="str">
        <f t="shared" si="44"/>
        <v>322</v>
      </c>
      <c r="N1421" s="6" t="str">
        <f t="shared" si="45"/>
        <v>Others</v>
      </c>
    </row>
    <row r="1422" spans="1:14" x14ac:dyDescent="0.35">
      <c r="A1422">
        <v>1357</v>
      </c>
      <c r="B1422" s="4">
        <v>45763.375085336993</v>
      </c>
      <c r="C1422" t="s">
        <v>14</v>
      </c>
      <c r="D1422" t="s">
        <v>19</v>
      </c>
      <c r="E1422" t="s">
        <v>25</v>
      </c>
      <c r="F1422">
        <v>3474.26</v>
      </c>
      <c r="G1422">
        <f t="array" ref="G1422">SalesData!$I$2 - 'RFM Table'!B1422</f>
        <v>373</v>
      </c>
      <c r="H1422">
        <f t="array" ref="H1422">COUNTIF(A:A,A1422)</f>
        <v>3</v>
      </c>
      <c r="I1422">
        <f t="array" ref="I1422">SUMIF(A:A,A1422,F:F)</f>
        <v>8934.2099999999991</v>
      </c>
      <c r="J1422">
        <f t="array" ref="J1422">5 - INT(5 * (RANK(G1422,G:G, 1) - 1) / COUNT(G:G))</f>
        <v>3</v>
      </c>
      <c r="K1422">
        <f t="array" ref="K1422">INT(5 * (RANK(H1422,H:H, 0) - 1) / COUNT(H:H)) + 1</f>
        <v>5</v>
      </c>
      <c r="L1422">
        <f t="array" ref="L1422">INT(5 * (RANK(I1422,I:I, 0) - 1) / COUNT(I:I)) + 1</f>
        <v>5</v>
      </c>
      <c r="M1422" t="str">
        <f t="shared" si="44"/>
        <v>355</v>
      </c>
      <c r="N1422" s="6" t="str">
        <f t="shared" si="45"/>
        <v>Others</v>
      </c>
    </row>
    <row r="1423" spans="1:14" x14ac:dyDescent="0.35">
      <c r="A1423">
        <v>1340</v>
      </c>
      <c r="B1423" s="4">
        <v>45763.375085336993</v>
      </c>
      <c r="C1423" t="s">
        <v>10</v>
      </c>
      <c r="D1423" t="s">
        <v>21</v>
      </c>
      <c r="E1423" t="s">
        <v>23</v>
      </c>
      <c r="F1423">
        <v>5000.82</v>
      </c>
      <c r="G1423">
        <f t="array" ref="G1423">SalesData!$I$2 - 'RFM Table'!B1423</f>
        <v>373</v>
      </c>
      <c r="H1423">
        <f t="array" ref="H1423">COUNTIF(A:A,A1423)</f>
        <v>6</v>
      </c>
      <c r="I1423">
        <f t="array" ref="I1423">SUMIF(A:A,A1423,F:F)</f>
        <v>22984.870000000003</v>
      </c>
      <c r="J1423">
        <f t="array" ref="J1423">5 - INT(5 * (RANK(G1423,G:G, 1) - 1) / COUNT(G:G))</f>
        <v>3</v>
      </c>
      <c r="K1423">
        <f t="array" ref="K1423">INT(5 * (RANK(H1423,H:H, 0) - 1) / COUNT(H:H)) + 1</f>
        <v>4</v>
      </c>
      <c r="L1423">
        <f t="array" ref="L1423">INT(5 * (RANK(I1423,I:I, 0) - 1) / COUNT(I:I)) + 1</f>
        <v>4</v>
      </c>
      <c r="M1423" t="str">
        <f t="shared" si="44"/>
        <v>344</v>
      </c>
      <c r="N1423" s="6" t="str">
        <f t="shared" si="45"/>
        <v>Others</v>
      </c>
    </row>
    <row r="1424" spans="1:14" x14ac:dyDescent="0.35">
      <c r="A1424">
        <v>1053</v>
      </c>
      <c r="B1424" s="4">
        <v>45763.375085336993</v>
      </c>
      <c r="C1424" t="s">
        <v>13</v>
      </c>
      <c r="D1424" t="s">
        <v>21</v>
      </c>
      <c r="E1424" t="s">
        <v>24</v>
      </c>
      <c r="F1424">
        <v>2757.34</v>
      </c>
      <c r="G1424">
        <f t="array" ref="G1424">SalesData!$I$2 - 'RFM Table'!B1424</f>
        <v>373</v>
      </c>
      <c r="H1424">
        <f t="array" ref="H1424">COUNTIF(A:A,A1424)</f>
        <v>10</v>
      </c>
      <c r="I1424">
        <f t="array" ref="I1424">SUMIF(A:A,A1424,F:F)</f>
        <v>44572.97</v>
      </c>
      <c r="J1424">
        <f t="array" ref="J1424">5 - INT(5 * (RANK(G1424,G:G, 1) - 1) / COUNT(G:G))</f>
        <v>3</v>
      </c>
      <c r="K1424">
        <f t="array" ref="K1424">INT(5 * (RANK(H1424,H:H, 0) - 1) / COUNT(H:H)) + 1</f>
        <v>2</v>
      </c>
      <c r="L1424">
        <f t="array" ref="L1424">INT(5 * (RANK(I1424,I:I, 0) - 1) / COUNT(I:I)) + 1</f>
        <v>2</v>
      </c>
      <c r="M1424" t="str">
        <f t="shared" si="44"/>
        <v>322</v>
      </c>
      <c r="N1424" s="6" t="str">
        <f t="shared" si="45"/>
        <v>Others</v>
      </c>
    </row>
    <row r="1425" spans="1:14" x14ac:dyDescent="0.35">
      <c r="A1425">
        <v>1293</v>
      </c>
      <c r="B1425" s="4">
        <v>45763.375085336993</v>
      </c>
      <c r="C1425" t="s">
        <v>13</v>
      </c>
      <c r="D1425" t="s">
        <v>17</v>
      </c>
      <c r="E1425" t="s">
        <v>23</v>
      </c>
      <c r="F1425">
        <v>6101.3</v>
      </c>
      <c r="G1425">
        <f t="array" ref="G1425">SalesData!$I$2 - 'RFM Table'!B1425</f>
        <v>373</v>
      </c>
      <c r="H1425">
        <f t="array" ref="H1425">COUNTIF(A:A,A1425)</f>
        <v>7</v>
      </c>
      <c r="I1425">
        <f t="array" ref="I1425">SUMIF(A:A,A1425,F:F)</f>
        <v>27438.3</v>
      </c>
      <c r="J1425">
        <f t="array" ref="J1425">5 - INT(5 * (RANK(G1425,G:G, 1) - 1) / COUNT(G:G))</f>
        <v>3</v>
      </c>
      <c r="K1425">
        <f t="array" ref="K1425">INT(5 * (RANK(H1425,H:H, 0) - 1) / COUNT(H:H)) + 1</f>
        <v>4</v>
      </c>
      <c r="L1425">
        <f t="array" ref="L1425">INT(5 * (RANK(I1425,I:I, 0) - 1) / COUNT(I:I)) + 1</f>
        <v>4</v>
      </c>
      <c r="M1425" t="str">
        <f t="shared" si="44"/>
        <v>344</v>
      </c>
      <c r="N1425" s="6" t="str">
        <f t="shared" si="45"/>
        <v>Others</v>
      </c>
    </row>
    <row r="1426" spans="1:14" x14ac:dyDescent="0.35">
      <c r="A1426">
        <v>1116</v>
      </c>
      <c r="B1426" s="4">
        <v>45764.375085336993</v>
      </c>
      <c r="C1426" t="s">
        <v>10</v>
      </c>
      <c r="D1426" t="s">
        <v>16</v>
      </c>
      <c r="E1426" t="s">
        <v>24</v>
      </c>
      <c r="F1426">
        <v>1703.22</v>
      </c>
      <c r="G1426">
        <f t="array" ref="G1426">SalesData!$I$2 - 'RFM Table'!B1426</f>
        <v>372</v>
      </c>
      <c r="H1426">
        <f t="array" ref="H1426">COUNTIF(A:A,A1426)</f>
        <v>11</v>
      </c>
      <c r="I1426">
        <f t="array" ref="I1426">SUMIF(A:A,A1426,F:F)</f>
        <v>40714.880000000005</v>
      </c>
      <c r="J1426">
        <f t="array" ref="J1426">5 - INT(5 * (RANK(G1426,G:G, 1) - 1) / COUNT(G:G))</f>
        <v>3</v>
      </c>
      <c r="K1426">
        <f t="array" ref="K1426">INT(5 * (RANK(H1426,H:H, 0) - 1) / COUNT(H:H)) + 1</f>
        <v>1</v>
      </c>
      <c r="L1426">
        <f t="array" ref="L1426">INT(5 * (RANK(I1426,I:I, 0) - 1) / COUNT(I:I)) + 1</f>
        <v>2</v>
      </c>
      <c r="M1426" t="str">
        <f t="shared" si="44"/>
        <v>312</v>
      </c>
      <c r="N1426" s="6" t="str">
        <f t="shared" si="45"/>
        <v>Others</v>
      </c>
    </row>
    <row r="1427" spans="1:14" x14ac:dyDescent="0.35">
      <c r="A1427">
        <v>1243</v>
      </c>
      <c r="B1427" s="4">
        <v>45764.375085336993</v>
      </c>
      <c r="C1427" t="s">
        <v>10</v>
      </c>
      <c r="D1427" t="s">
        <v>17</v>
      </c>
      <c r="E1427" t="s">
        <v>24</v>
      </c>
      <c r="F1427">
        <v>1440.3</v>
      </c>
      <c r="G1427">
        <f t="array" ref="G1427">SalesData!$I$2 - 'RFM Table'!B1427</f>
        <v>372</v>
      </c>
      <c r="H1427">
        <f t="array" ref="H1427">COUNTIF(A:A,A1427)</f>
        <v>4</v>
      </c>
      <c r="I1427">
        <f t="array" ref="I1427">SUMIF(A:A,A1427,F:F)</f>
        <v>7830.67</v>
      </c>
      <c r="J1427">
        <f t="array" ref="J1427">5 - INT(5 * (RANK(G1427,G:G, 1) - 1) / COUNT(G:G))</f>
        <v>3</v>
      </c>
      <c r="K1427">
        <f t="array" ref="K1427">INT(5 * (RANK(H1427,H:H, 0) - 1) / COUNT(H:H)) + 1</f>
        <v>5</v>
      </c>
      <c r="L1427">
        <f t="array" ref="L1427">INT(5 * (RANK(I1427,I:I, 0) - 1) / COUNT(I:I)) + 1</f>
        <v>5</v>
      </c>
      <c r="M1427" t="str">
        <f t="shared" si="44"/>
        <v>355</v>
      </c>
      <c r="N1427" s="6" t="str">
        <f t="shared" si="45"/>
        <v>Others</v>
      </c>
    </row>
    <row r="1428" spans="1:14" x14ac:dyDescent="0.35">
      <c r="A1428">
        <v>1164</v>
      </c>
      <c r="B1428" s="4">
        <v>45765.375085336993</v>
      </c>
      <c r="C1428" t="s">
        <v>10</v>
      </c>
      <c r="D1428" t="s">
        <v>18</v>
      </c>
      <c r="E1428" t="s">
        <v>23</v>
      </c>
      <c r="F1428">
        <v>2672.49</v>
      </c>
      <c r="G1428">
        <f t="array" ref="G1428">SalesData!$I$2 - 'RFM Table'!B1428</f>
        <v>371</v>
      </c>
      <c r="H1428">
        <f t="array" ref="H1428">COUNTIF(A:A,A1428)</f>
        <v>7</v>
      </c>
      <c r="I1428">
        <f t="array" ref="I1428">SUMIF(A:A,A1428,F:F)</f>
        <v>29497.360000000001</v>
      </c>
      <c r="J1428">
        <f t="array" ref="J1428">5 - INT(5 * (RANK(G1428,G:G, 1) - 1) / COUNT(G:G))</f>
        <v>3</v>
      </c>
      <c r="K1428">
        <f t="array" ref="K1428">INT(5 * (RANK(H1428,H:H, 0) - 1) / COUNT(H:H)) + 1</f>
        <v>4</v>
      </c>
      <c r="L1428">
        <f t="array" ref="L1428">INT(5 * (RANK(I1428,I:I, 0) - 1) / COUNT(I:I)) + 1</f>
        <v>3</v>
      </c>
      <c r="M1428" t="str">
        <f t="shared" si="44"/>
        <v>343</v>
      </c>
      <c r="N1428" s="6" t="str">
        <f t="shared" si="45"/>
        <v>Others</v>
      </c>
    </row>
    <row r="1429" spans="1:14" x14ac:dyDescent="0.35">
      <c r="A1429">
        <v>1140</v>
      </c>
      <c r="B1429" s="4">
        <v>45765.375085336993</v>
      </c>
      <c r="C1429" t="s">
        <v>8</v>
      </c>
      <c r="D1429" t="s">
        <v>22</v>
      </c>
      <c r="E1429" t="s">
        <v>25</v>
      </c>
      <c r="F1429">
        <v>483.43</v>
      </c>
      <c r="G1429">
        <f t="array" ref="G1429">SalesData!$I$2 - 'RFM Table'!B1429</f>
        <v>371</v>
      </c>
      <c r="H1429">
        <f t="array" ref="H1429">COUNTIF(A:A,A1429)</f>
        <v>9</v>
      </c>
      <c r="I1429">
        <f t="array" ref="I1429">SUMIF(A:A,A1429,F:F)</f>
        <v>45498.270000000004</v>
      </c>
      <c r="J1429">
        <f t="array" ref="J1429">5 - INT(5 * (RANK(G1429,G:G, 1) - 1) / COUNT(G:G))</f>
        <v>3</v>
      </c>
      <c r="K1429">
        <f t="array" ref="K1429">INT(5 * (RANK(H1429,H:H, 0) - 1) / COUNT(H:H)) + 1</f>
        <v>2</v>
      </c>
      <c r="L1429">
        <f t="array" ref="L1429">INT(5 * (RANK(I1429,I:I, 0) - 1) / COUNT(I:I)) + 1</f>
        <v>1</v>
      </c>
      <c r="M1429" t="str">
        <f t="shared" si="44"/>
        <v>321</v>
      </c>
      <c r="N1429" s="6" t="str">
        <f t="shared" si="45"/>
        <v>Others</v>
      </c>
    </row>
    <row r="1430" spans="1:14" x14ac:dyDescent="0.35">
      <c r="A1430">
        <v>1004</v>
      </c>
      <c r="B1430" s="4">
        <v>45765.375085336993</v>
      </c>
      <c r="C1430" t="s">
        <v>7</v>
      </c>
      <c r="D1430" t="s">
        <v>20</v>
      </c>
      <c r="E1430" t="s">
        <v>24</v>
      </c>
      <c r="F1430">
        <v>1704.53</v>
      </c>
      <c r="G1430">
        <f t="array" ref="G1430">SalesData!$I$2 - 'RFM Table'!B1430</f>
        <v>371</v>
      </c>
      <c r="H1430">
        <f t="array" ref="H1430">COUNTIF(A:A,A1430)</f>
        <v>12</v>
      </c>
      <c r="I1430">
        <f t="array" ref="I1430">SUMIF(A:A,A1430,F:F)</f>
        <v>34222.5</v>
      </c>
      <c r="J1430">
        <f t="array" ref="J1430">5 - INT(5 * (RANK(G1430,G:G, 1) - 1) / COUNT(G:G))</f>
        <v>3</v>
      </c>
      <c r="K1430">
        <f t="array" ref="K1430">INT(5 * (RANK(H1430,H:H, 0) - 1) / COUNT(H:H)) + 1</f>
        <v>1</v>
      </c>
      <c r="L1430">
        <f t="array" ref="L1430">INT(5 * (RANK(I1430,I:I, 0) - 1) / COUNT(I:I)) + 1</f>
        <v>3</v>
      </c>
      <c r="M1430" t="str">
        <f t="shared" si="44"/>
        <v>313</v>
      </c>
      <c r="N1430" s="6" t="str">
        <f t="shared" si="45"/>
        <v>Others</v>
      </c>
    </row>
    <row r="1431" spans="1:14" x14ac:dyDescent="0.35">
      <c r="A1431">
        <v>1144</v>
      </c>
      <c r="B1431" s="4">
        <v>45765.375085336993</v>
      </c>
      <c r="C1431" t="s">
        <v>9</v>
      </c>
      <c r="D1431" t="s">
        <v>16</v>
      </c>
      <c r="E1431" t="s">
        <v>24</v>
      </c>
      <c r="F1431">
        <v>5906.14</v>
      </c>
      <c r="G1431">
        <f t="array" ref="G1431">SalesData!$I$2 - 'RFM Table'!B1431</f>
        <v>371</v>
      </c>
      <c r="H1431">
        <f t="array" ref="H1431">COUNTIF(A:A,A1431)</f>
        <v>11</v>
      </c>
      <c r="I1431">
        <f t="array" ref="I1431">SUMIF(A:A,A1431,F:F)</f>
        <v>62038.55</v>
      </c>
      <c r="J1431">
        <f t="array" ref="J1431">5 - INT(5 * (RANK(G1431,G:G, 1) - 1) / COUNT(G:G))</f>
        <v>3</v>
      </c>
      <c r="K1431">
        <f t="array" ref="K1431">INT(5 * (RANK(H1431,H:H, 0) - 1) / COUNT(H:H)) + 1</f>
        <v>1</v>
      </c>
      <c r="L1431">
        <f t="array" ref="L1431">INT(5 * (RANK(I1431,I:I, 0) - 1) / COUNT(I:I)) + 1</f>
        <v>1</v>
      </c>
      <c r="M1431" t="str">
        <f t="shared" si="44"/>
        <v>311</v>
      </c>
      <c r="N1431" s="6" t="str">
        <f t="shared" si="45"/>
        <v>Others</v>
      </c>
    </row>
    <row r="1432" spans="1:14" x14ac:dyDescent="0.35">
      <c r="A1432">
        <v>1395</v>
      </c>
      <c r="B1432" s="4">
        <v>45765.375085336993</v>
      </c>
      <c r="C1432" t="s">
        <v>7</v>
      </c>
      <c r="D1432" t="s">
        <v>17</v>
      </c>
      <c r="E1432" t="s">
        <v>23</v>
      </c>
      <c r="F1432">
        <v>1517.59</v>
      </c>
      <c r="G1432">
        <f t="array" ref="G1432">SalesData!$I$2 - 'RFM Table'!B1432</f>
        <v>371</v>
      </c>
      <c r="H1432">
        <f t="array" ref="H1432">COUNTIF(A:A,A1432)</f>
        <v>7</v>
      </c>
      <c r="I1432">
        <f t="array" ref="I1432">SUMIF(A:A,A1432,F:F)</f>
        <v>36778.530000000006</v>
      </c>
      <c r="J1432">
        <f t="array" ref="J1432">5 - INT(5 * (RANK(G1432,G:G, 1) - 1) / COUNT(G:G))</f>
        <v>3</v>
      </c>
      <c r="K1432">
        <f t="array" ref="K1432">INT(5 * (RANK(H1432,H:H, 0) - 1) / COUNT(H:H)) + 1</f>
        <v>4</v>
      </c>
      <c r="L1432">
        <f t="array" ref="L1432">INT(5 * (RANK(I1432,I:I, 0) - 1) / COUNT(I:I)) + 1</f>
        <v>3</v>
      </c>
      <c r="M1432" t="str">
        <f t="shared" si="44"/>
        <v>343</v>
      </c>
      <c r="N1432" s="6" t="str">
        <f t="shared" si="45"/>
        <v>Others</v>
      </c>
    </row>
    <row r="1433" spans="1:14" x14ac:dyDescent="0.35">
      <c r="A1433">
        <v>1274</v>
      </c>
      <c r="B1433" s="4">
        <v>45766.375085336993</v>
      </c>
      <c r="C1433" t="s">
        <v>13</v>
      </c>
      <c r="D1433" t="s">
        <v>22</v>
      </c>
      <c r="E1433" t="s">
        <v>25</v>
      </c>
      <c r="F1433">
        <v>655.19000000000005</v>
      </c>
      <c r="G1433">
        <f t="array" ref="G1433">SalesData!$I$2 - 'RFM Table'!B1433</f>
        <v>370</v>
      </c>
      <c r="H1433">
        <f t="array" ref="H1433">COUNTIF(A:A,A1433)</f>
        <v>5</v>
      </c>
      <c r="I1433">
        <f t="array" ref="I1433">SUMIF(A:A,A1433,F:F)</f>
        <v>19562.71</v>
      </c>
      <c r="J1433">
        <f t="array" ref="J1433">5 - INT(5 * (RANK(G1433,G:G, 1) - 1) / COUNT(G:G))</f>
        <v>3</v>
      </c>
      <c r="K1433">
        <f t="array" ref="K1433">INT(5 * (RANK(H1433,H:H, 0) - 1) / COUNT(H:H)) + 1</f>
        <v>5</v>
      </c>
      <c r="L1433">
        <f t="array" ref="L1433">INT(5 * (RANK(I1433,I:I, 0) - 1) / COUNT(I:I)) + 1</f>
        <v>5</v>
      </c>
      <c r="M1433" t="str">
        <f t="shared" si="44"/>
        <v>355</v>
      </c>
      <c r="N1433" s="6" t="str">
        <f t="shared" si="45"/>
        <v>Others</v>
      </c>
    </row>
    <row r="1434" spans="1:14" x14ac:dyDescent="0.35">
      <c r="A1434">
        <v>1352</v>
      </c>
      <c r="B1434" s="4">
        <v>45766.375085336993</v>
      </c>
      <c r="C1434" t="s">
        <v>11</v>
      </c>
      <c r="D1434" t="s">
        <v>17</v>
      </c>
      <c r="E1434" t="s">
        <v>24</v>
      </c>
      <c r="F1434">
        <v>5399.74</v>
      </c>
      <c r="G1434">
        <f t="array" ref="G1434">SalesData!$I$2 - 'RFM Table'!B1434</f>
        <v>370</v>
      </c>
      <c r="H1434">
        <f t="array" ref="H1434">COUNTIF(A:A,A1434)</f>
        <v>8</v>
      </c>
      <c r="I1434">
        <f t="array" ref="I1434">SUMIF(A:A,A1434,F:F)</f>
        <v>35204.92</v>
      </c>
      <c r="J1434">
        <f t="array" ref="J1434">5 - INT(5 * (RANK(G1434,G:G, 1) - 1) / COUNT(G:G))</f>
        <v>3</v>
      </c>
      <c r="K1434">
        <f t="array" ref="K1434">INT(5 * (RANK(H1434,H:H, 0) - 1) / COUNT(H:H)) + 1</f>
        <v>3</v>
      </c>
      <c r="L1434">
        <f t="array" ref="L1434">INT(5 * (RANK(I1434,I:I, 0) - 1) / COUNT(I:I)) + 1</f>
        <v>3</v>
      </c>
      <c r="M1434" t="str">
        <f t="shared" si="44"/>
        <v>333</v>
      </c>
      <c r="N1434" s="6" t="str">
        <f t="shared" si="45"/>
        <v>Others</v>
      </c>
    </row>
    <row r="1435" spans="1:14" x14ac:dyDescent="0.35">
      <c r="A1435">
        <v>1016</v>
      </c>
      <c r="B1435" s="4">
        <v>45766.375085336993</v>
      </c>
      <c r="C1435" t="s">
        <v>9</v>
      </c>
      <c r="D1435" t="s">
        <v>21</v>
      </c>
      <c r="E1435" t="s">
        <v>25</v>
      </c>
      <c r="F1435">
        <v>2793.72</v>
      </c>
      <c r="G1435">
        <f t="array" ref="G1435">SalesData!$I$2 - 'RFM Table'!B1435</f>
        <v>370</v>
      </c>
      <c r="H1435">
        <f t="array" ref="H1435">COUNTIF(A:A,A1435)</f>
        <v>9</v>
      </c>
      <c r="I1435">
        <f t="array" ref="I1435">SUMIF(A:A,A1435,F:F)</f>
        <v>37239.53</v>
      </c>
      <c r="J1435">
        <f t="array" ref="J1435">5 - INT(5 * (RANK(G1435,G:G, 1) - 1) / COUNT(G:G))</f>
        <v>3</v>
      </c>
      <c r="K1435">
        <f t="array" ref="K1435">INT(5 * (RANK(H1435,H:H, 0) - 1) / COUNT(H:H)) + 1</f>
        <v>2</v>
      </c>
      <c r="L1435">
        <f t="array" ref="L1435">INT(5 * (RANK(I1435,I:I, 0) - 1) / COUNT(I:I)) + 1</f>
        <v>2</v>
      </c>
      <c r="M1435" t="str">
        <f t="shared" si="44"/>
        <v>322</v>
      </c>
      <c r="N1435" s="6" t="str">
        <f t="shared" si="45"/>
        <v>Others</v>
      </c>
    </row>
    <row r="1436" spans="1:14" x14ac:dyDescent="0.35">
      <c r="A1436">
        <v>1000</v>
      </c>
      <c r="B1436" s="4">
        <v>45767.375085336993</v>
      </c>
      <c r="C1436" t="s">
        <v>14</v>
      </c>
      <c r="D1436" t="s">
        <v>20</v>
      </c>
      <c r="E1436" t="s">
        <v>24</v>
      </c>
      <c r="F1436">
        <v>3002.63</v>
      </c>
      <c r="G1436">
        <f t="array" ref="G1436">SalesData!$I$2 - 'RFM Table'!B1436</f>
        <v>369</v>
      </c>
      <c r="H1436">
        <f t="array" ref="H1436">COUNTIF(A:A,A1436)</f>
        <v>11</v>
      </c>
      <c r="I1436">
        <f t="array" ref="I1436">SUMIF(A:A,A1436,F:F)</f>
        <v>62566.770000000004</v>
      </c>
      <c r="J1436">
        <f t="array" ref="J1436">5 - INT(5 * (RANK(G1436,G:G, 1) - 1) / COUNT(G:G))</f>
        <v>3</v>
      </c>
      <c r="K1436">
        <f t="array" ref="K1436">INT(5 * (RANK(H1436,H:H, 0) - 1) / COUNT(H:H)) + 1</f>
        <v>1</v>
      </c>
      <c r="L1436">
        <f t="array" ref="L1436">INT(5 * (RANK(I1436,I:I, 0) - 1) / COUNT(I:I)) + 1</f>
        <v>1</v>
      </c>
      <c r="M1436" t="str">
        <f t="shared" si="44"/>
        <v>311</v>
      </c>
      <c r="N1436" s="6" t="str">
        <f t="shared" si="45"/>
        <v>Others</v>
      </c>
    </row>
    <row r="1437" spans="1:14" x14ac:dyDescent="0.35">
      <c r="A1437">
        <v>1059</v>
      </c>
      <c r="B1437" s="4">
        <v>45767.375085336993</v>
      </c>
      <c r="C1437" t="s">
        <v>15</v>
      </c>
      <c r="D1437" t="s">
        <v>21</v>
      </c>
      <c r="E1437" t="s">
        <v>25</v>
      </c>
      <c r="F1437">
        <v>864.32</v>
      </c>
      <c r="G1437">
        <f t="array" ref="G1437">SalesData!$I$2 - 'RFM Table'!B1437</f>
        <v>369</v>
      </c>
      <c r="H1437">
        <f t="array" ref="H1437">COUNTIF(A:A,A1437)</f>
        <v>8</v>
      </c>
      <c r="I1437">
        <f t="array" ref="I1437">SUMIF(A:A,A1437,F:F)</f>
        <v>38016.57</v>
      </c>
      <c r="J1437">
        <f t="array" ref="J1437">5 - INT(5 * (RANK(G1437,G:G, 1) - 1) / COUNT(G:G))</f>
        <v>3</v>
      </c>
      <c r="K1437">
        <f t="array" ref="K1437">INT(5 * (RANK(H1437,H:H, 0) - 1) / COUNT(H:H)) + 1</f>
        <v>3</v>
      </c>
      <c r="L1437">
        <f t="array" ref="L1437">INT(5 * (RANK(I1437,I:I, 0) - 1) / COUNT(I:I)) + 1</f>
        <v>2</v>
      </c>
      <c r="M1437" t="str">
        <f t="shared" si="44"/>
        <v>332</v>
      </c>
      <c r="N1437" s="6" t="str">
        <f t="shared" si="45"/>
        <v>Others</v>
      </c>
    </row>
    <row r="1438" spans="1:14" x14ac:dyDescent="0.35">
      <c r="A1438">
        <v>1091</v>
      </c>
      <c r="B1438" s="4">
        <v>45767.375085336993</v>
      </c>
      <c r="C1438" t="s">
        <v>8</v>
      </c>
      <c r="D1438" t="s">
        <v>16</v>
      </c>
      <c r="E1438" t="s">
        <v>24</v>
      </c>
      <c r="F1438">
        <v>405.04</v>
      </c>
      <c r="G1438">
        <f t="array" ref="G1438">SalesData!$I$2 - 'RFM Table'!B1438</f>
        <v>369</v>
      </c>
      <c r="H1438">
        <f t="array" ref="H1438">COUNTIF(A:A,A1438)</f>
        <v>11</v>
      </c>
      <c r="I1438">
        <f t="array" ref="I1438">SUMIF(A:A,A1438,F:F)</f>
        <v>39808.47</v>
      </c>
      <c r="J1438">
        <f t="array" ref="J1438">5 - INT(5 * (RANK(G1438,G:G, 1) - 1) / COUNT(G:G))</f>
        <v>3</v>
      </c>
      <c r="K1438">
        <f t="array" ref="K1438">INT(5 * (RANK(H1438,H:H, 0) - 1) / COUNT(H:H)) + 1</f>
        <v>1</v>
      </c>
      <c r="L1438">
        <f t="array" ref="L1438">INT(5 * (RANK(I1438,I:I, 0) - 1) / COUNT(I:I)) + 1</f>
        <v>2</v>
      </c>
      <c r="M1438" t="str">
        <f t="shared" si="44"/>
        <v>312</v>
      </c>
      <c r="N1438" s="6" t="str">
        <f t="shared" si="45"/>
        <v>Others</v>
      </c>
    </row>
    <row r="1439" spans="1:14" x14ac:dyDescent="0.35">
      <c r="A1439">
        <v>1199</v>
      </c>
      <c r="B1439" s="4">
        <v>45767.375085336993</v>
      </c>
      <c r="C1439" t="s">
        <v>8</v>
      </c>
      <c r="D1439" t="s">
        <v>22</v>
      </c>
      <c r="E1439" t="s">
        <v>25</v>
      </c>
      <c r="F1439">
        <v>1666.9</v>
      </c>
      <c r="G1439">
        <f t="array" ref="G1439">SalesData!$I$2 - 'RFM Table'!B1439</f>
        <v>369</v>
      </c>
      <c r="H1439">
        <f t="array" ref="H1439">COUNTIF(A:A,A1439)</f>
        <v>5</v>
      </c>
      <c r="I1439">
        <f t="array" ref="I1439">SUMIF(A:A,A1439,F:F)</f>
        <v>17477.019999999997</v>
      </c>
      <c r="J1439">
        <f t="array" ref="J1439">5 - INT(5 * (RANK(G1439,G:G, 1) - 1) / COUNT(G:G))</f>
        <v>3</v>
      </c>
      <c r="K1439">
        <f t="array" ref="K1439">INT(5 * (RANK(H1439,H:H, 0) - 1) / COUNT(H:H)) + 1</f>
        <v>5</v>
      </c>
      <c r="L1439">
        <f t="array" ref="L1439">INT(5 * (RANK(I1439,I:I, 0) - 1) / COUNT(I:I)) + 1</f>
        <v>5</v>
      </c>
      <c r="M1439" t="str">
        <f t="shared" si="44"/>
        <v>355</v>
      </c>
      <c r="N1439" s="6" t="str">
        <f t="shared" si="45"/>
        <v>Others</v>
      </c>
    </row>
    <row r="1440" spans="1:14" x14ac:dyDescent="0.35">
      <c r="A1440">
        <v>1163</v>
      </c>
      <c r="B1440" s="4">
        <v>45768.375085336993</v>
      </c>
      <c r="C1440" t="s">
        <v>11</v>
      </c>
      <c r="D1440" t="s">
        <v>19</v>
      </c>
      <c r="E1440" t="s">
        <v>23</v>
      </c>
      <c r="F1440">
        <v>4502.6099999999997</v>
      </c>
      <c r="G1440">
        <f t="array" ref="G1440">SalesData!$I$2 - 'RFM Table'!B1440</f>
        <v>368</v>
      </c>
      <c r="H1440">
        <f t="array" ref="H1440">COUNTIF(A:A,A1440)</f>
        <v>11</v>
      </c>
      <c r="I1440">
        <f t="array" ref="I1440">SUMIF(A:A,A1440,F:F)</f>
        <v>43753.86</v>
      </c>
      <c r="J1440">
        <f t="array" ref="J1440">5 - INT(5 * (RANK(G1440,G:G, 1) - 1) / COUNT(G:G))</f>
        <v>3</v>
      </c>
      <c r="K1440">
        <f t="array" ref="K1440">INT(5 * (RANK(H1440,H:H, 0) - 1) / COUNT(H:H)) + 1</f>
        <v>1</v>
      </c>
      <c r="L1440">
        <f t="array" ref="L1440">INT(5 * (RANK(I1440,I:I, 0) - 1) / COUNT(I:I)) + 1</f>
        <v>2</v>
      </c>
      <c r="M1440" t="str">
        <f t="shared" si="44"/>
        <v>312</v>
      </c>
      <c r="N1440" s="6" t="str">
        <f t="shared" si="45"/>
        <v>Others</v>
      </c>
    </row>
    <row r="1441" spans="1:14" x14ac:dyDescent="0.35">
      <c r="A1441">
        <v>1215</v>
      </c>
      <c r="B1441" s="4">
        <v>45768.375085336993</v>
      </c>
      <c r="C1441" t="s">
        <v>14</v>
      </c>
      <c r="D1441" t="s">
        <v>19</v>
      </c>
      <c r="E1441" t="s">
        <v>23</v>
      </c>
      <c r="F1441">
        <v>1759.03</v>
      </c>
      <c r="G1441">
        <f t="array" ref="G1441">SalesData!$I$2 - 'RFM Table'!B1441</f>
        <v>368</v>
      </c>
      <c r="H1441">
        <f t="array" ref="H1441">COUNTIF(A:A,A1441)</f>
        <v>9</v>
      </c>
      <c r="I1441">
        <f t="array" ref="I1441">SUMIF(A:A,A1441,F:F)</f>
        <v>26752.640000000003</v>
      </c>
      <c r="J1441">
        <f t="array" ref="J1441">5 - INT(5 * (RANK(G1441,G:G, 1) - 1) / COUNT(G:G))</f>
        <v>3</v>
      </c>
      <c r="K1441">
        <f t="array" ref="K1441">INT(5 * (RANK(H1441,H:H, 0) - 1) / COUNT(H:H)) + 1</f>
        <v>2</v>
      </c>
      <c r="L1441">
        <f t="array" ref="L1441">INT(5 * (RANK(I1441,I:I, 0) - 1) / COUNT(I:I)) + 1</f>
        <v>4</v>
      </c>
      <c r="M1441" t="str">
        <f t="shared" si="44"/>
        <v>324</v>
      </c>
      <c r="N1441" s="6" t="str">
        <f t="shared" si="45"/>
        <v>Others</v>
      </c>
    </row>
    <row r="1442" spans="1:14" x14ac:dyDescent="0.35">
      <c r="A1442">
        <v>1373</v>
      </c>
      <c r="B1442" s="4">
        <v>45768.375085336993</v>
      </c>
      <c r="C1442" t="s">
        <v>10</v>
      </c>
      <c r="D1442" t="s">
        <v>16</v>
      </c>
      <c r="E1442" t="s">
        <v>25</v>
      </c>
      <c r="F1442">
        <v>4956.78</v>
      </c>
      <c r="G1442">
        <f t="array" ref="G1442">SalesData!$I$2 - 'RFM Table'!B1442</f>
        <v>368</v>
      </c>
      <c r="H1442">
        <f t="array" ref="H1442">COUNTIF(A:A,A1442)</f>
        <v>11</v>
      </c>
      <c r="I1442">
        <f t="array" ref="I1442">SUMIF(A:A,A1442,F:F)</f>
        <v>46795.570000000007</v>
      </c>
      <c r="J1442">
        <f t="array" ref="J1442">5 - INT(5 * (RANK(G1442,G:G, 1) - 1) / COUNT(G:G))</f>
        <v>3</v>
      </c>
      <c r="K1442">
        <f t="array" ref="K1442">INT(5 * (RANK(H1442,H:H, 0) - 1) / COUNT(H:H)) + 1</f>
        <v>1</v>
      </c>
      <c r="L1442">
        <f t="array" ref="L1442">INT(5 * (RANK(I1442,I:I, 0) - 1) / COUNT(I:I)) + 1</f>
        <v>1</v>
      </c>
      <c r="M1442" t="str">
        <f t="shared" si="44"/>
        <v>311</v>
      </c>
      <c r="N1442" s="6" t="str">
        <f t="shared" si="45"/>
        <v>Others</v>
      </c>
    </row>
    <row r="1443" spans="1:14" x14ac:dyDescent="0.35">
      <c r="A1443">
        <v>1392</v>
      </c>
      <c r="B1443" s="4">
        <v>45768.375085336993</v>
      </c>
      <c r="C1443" t="s">
        <v>15</v>
      </c>
      <c r="D1443" t="s">
        <v>18</v>
      </c>
      <c r="E1443" t="s">
        <v>25</v>
      </c>
      <c r="F1443">
        <v>5388.18</v>
      </c>
      <c r="G1443">
        <f t="array" ref="G1443">SalesData!$I$2 - 'RFM Table'!B1443</f>
        <v>368</v>
      </c>
      <c r="H1443">
        <f t="array" ref="H1443">COUNTIF(A:A,A1443)</f>
        <v>10</v>
      </c>
      <c r="I1443">
        <f t="array" ref="I1443">SUMIF(A:A,A1443,F:F)</f>
        <v>27910.07</v>
      </c>
      <c r="J1443">
        <f t="array" ref="J1443">5 - INT(5 * (RANK(G1443,G:G, 1) - 1) / COUNT(G:G))</f>
        <v>3</v>
      </c>
      <c r="K1443">
        <f t="array" ref="K1443">INT(5 * (RANK(H1443,H:H, 0) - 1) / COUNT(H:H)) + 1</f>
        <v>2</v>
      </c>
      <c r="L1443">
        <f t="array" ref="L1443">INT(5 * (RANK(I1443,I:I, 0) - 1) / COUNT(I:I)) + 1</f>
        <v>4</v>
      </c>
      <c r="M1443" t="str">
        <f t="shared" si="44"/>
        <v>324</v>
      </c>
      <c r="N1443" s="6" t="str">
        <f t="shared" si="45"/>
        <v>Others</v>
      </c>
    </row>
    <row r="1444" spans="1:14" x14ac:dyDescent="0.35">
      <c r="A1444">
        <v>1284</v>
      </c>
      <c r="B1444" s="4">
        <v>45768.375085336993</v>
      </c>
      <c r="C1444" t="s">
        <v>12</v>
      </c>
      <c r="D1444" t="s">
        <v>20</v>
      </c>
      <c r="E1444" t="s">
        <v>23</v>
      </c>
      <c r="F1444">
        <v>4512.38</v>
      </c>
      <c r="G1444">
        <f t="array" ref="G1444">SalesData!$I$2 - 'RFM Table'!B1444</f>
        <v>368</v>
      </c>
      <c r="H1444">
        <f t="array" ref="H1444">COUNTIF(A:A,A1444)</f>
        <v>12</v>
      </c>
      <c r="I1444">
        <f t="array" ref="I1444">SUMIF(A:A,A1444,F:F)</f>
        <v>49930.359999999993</v>
      </c>
      <c r="J1444">
        <f t="array" ref="J1444">5 - INT(5 * (RANK(G1444,G:G, 1) - 1) / COUNT(G:G))</f>
        <v>3</v>
      </c>
      <c r="K1444">
        <f t="array" ref="K1444">INT(5 * (RANK(H1444,H:H, 0) - 1) / COUNT(H:H)) + 1</f>
        <v>1</v>
      </c>
      <c r="L1444">
        <f t="array" ref="L1444">INT(5 * (RANK(I1444,I:I, 0) - 1) / COUNT(I:I)) + 1</f>
        <v>1</v>
      </c>
      <c r="M1444" t="str">
        <f t="shared" si="44"/>
        <v>311</v>
      </c>
      <c r="N1444" s="6" t="str">
        <f t="shared" si="45"/>
        <v>Others</v>
      </c>
    </row>
    <row r="1445" spans="1:14" x14ac:dyDescent="0.35">
      <c r="A1445">
        <v>1133</v>
      </c>
      <c r="B1445" s="4">
        <v>45769.375085336993</v>
      </c>
      <c r="C1445" t="s">
        <v>11</v>
      </c>
      <c r="D1445" t="s">
        <v>18</v>
      </c>
      <c r="E1445" t="s">
        <v>23</v>
      </c>
      <c r="F1445">
        <v>4974.0200000000004</v>
      </c>
      <c r="G1445">
        <f t="array" ref="G1445">SalesData!$I$2 - 'RFM Table'!B1445</f>
        <v>367</v>
      </c>
      <c r="H1445">
        <f t="array" ref="H1445">COUNTIF(A:A,A1445)</f>
        <v>8</v>
      </c>
      <c r="I1445">
        <f t="array" ref="I1445">SUMIF(A:A,A1445,F:F)</f>
        <v>34167.589999999997</v>
      </c>
      <c r="J1445">
        <f t="array" ref="J1445">5 - INT(5 * (RANK(G1445,G:G, 1) - 1) / COUNT(G:G))</f>
        <v>3</v>
      </c>
      <c r="K1445">
        <f t="array" ref="K1445">INT(5 * (RANK(H1445,H:H, 0) - 1) / COUNT(H:H)) + 1</f>
        <v>3</v>
      </c>
      <c r="L1445">
        <f t="array" ref="L1445">INT(5 * (RANK(I1445,I:I, 0) - 1) / COUNT(I:I)) + 1</f>
        <v>3</v>
      </c>
      <c r="M1445" t="str">
        <f t="shared" si="44"/>
        <v>333</v>
      </c>
      <c r="N1445" s="6" t="str">
        <f t="shared" si="45"/>
        <v>Others</v>
      </c>
    </row>
    <row r="1446" spans="1:14" x14ac:dyDescent="0.35">
      <c r="A1446">
        <v>1163</v>
      </c>
      <c r="B1446" s="4">
        <v>45769.375085336993</v>
      </c>
      <c r="C1446" t="s">
        <v>9</v>
      </c>
      <c r="D1446" t="s">
        <v>20</v>
      </c>
      <c r="E1446" t="s">
        <v>25</v>
      </c>
      <c r="F1446">
        <v>2737.46</v>
      </c>
      <c r="G1446">
        <f t="array" ref="G1446">SalesData!$I$2 - 'RFM Table'!B1446</f>
        <v>367</v>
      </c>
      <c r="H1446">
        <f t="array" ref="H1446">COUNTIF(A:A,A1446)</f>
        <v>11</v>
      </c>
      <c r="I1446">
        <f t="array" ref="I1446">SUMIF(A:A,A1446,F:F)</f>
        <v>43753.86</v>
      </c>
      <c r="J1446">
        <f t="array" ref="J1446">5 - INT(5 * (RANK(G1446,G:G, 1) - 1) / COUNT(G:G))</f>
        <v>3</v>
      </c>
      <c r="K1446">
        <f t="array" ref="K1446">INT(5 * (RANK(H1446,H:H, 0) - 1) / COUNT(H:H)) + 1</f>
        <v>1</v>
      </c>
      <c r="L1446">
        <f t="array" ref="L1446">INT(5 * (RANK(I1446,I:I, 0) - 1) / COUNT(I:I)) + 1</f>
        <v>2</v>
      </c>
      <c r="M1446" t="str">
        <f t="shared" si="44"/>
        <v>312</v>
      </c>
      <c r="N1446" s="6" t="str">
        <f t="shared" si="45"/>
        <v>Others</v>
      </c>
    </row>
    <row r="1447" spans="1:14" x14ac:dyDescent="0.35">
      <c r="A1447">
        <v>1367</v>
      </c>
      <c r="B1447" s="4">
        <v>45769.375085336993</v>
      </c>
      <c r="C1447" t="s">
        <v>9</v>
      </c>
      <c r="D1447" t="s">
        <v>17</v>
      </c>
      <c r="E1447" t="s">
        <v>24</v>
      </c>
      <c r="F1447">
        <v>6290.43</v>
      </c>
      <c r="G1447">
        <f t="array" ref="G1447">SalesData!$I$2 - 'RFM Table'!B1447</f>
        <v>367</v>
      </c>
      <c r="H1447">
        <f t="array" ref="H1447">COUNTIF(A:A,A1447)</f>
        <v>2</v>
      </c>
      <c r="I1447">
        <f t="array" ref="I1447">SUMIF(A:A,A1447,F:F)</f>
        <v>8438.130000000001</v>
      </c>
      <c r="J1447">
        <f t="array" ref="J1447">5 - INT(5 * (RANK(G1447,G:G, 1) - 1) / COUNT(G:G))</f>
        <v>3</v>
      </c>
      <c r="K1447">
        <f t="array" ref="K1447">INT(5 * (RANK(H1447,H:H, 0) - 1) / COUNT(H:H)) + 1</f>
        <v>5</v>
      </c>
      <c r="L1447">
        <f t="array" ref="L1447">INT(5 * (RANK(I1447,I:I, 0) - 1) / COUNT(I:I)) + 1</f>
        <v>5</v>
      </c>
      <c r="M1447" t="str">
        <f t="shared" si="44"/>
        <v>355</v>
      </c>
      <c r="N1447" s="6" t="str">
        <f t="shared" si="45"/>
        <v>Others</v>
      </c>
    </row>
    <row r="1448" spans="1:14" x14ac:dyDescent="0.35">
      <c r="A1448">
        <v>1287</v>
      </c>
      <c r="B1448" s="4">
        <v>45769.375085336993</v>
      </c>
      <c r="C1448" t="s">
        <v>6</v>
      </c>
      <c r="D1448" t="s">
        <v>21</v>
      </c>
      <c r="E1448" t="s">
        <v>23</v>
      </c>
      <c r="F1448">
        <v>4983.16</v>
      </c>
      <c r="G1448">
        <f t="array" ref="G1448">SalesData!$I$2 - 'RFM Table'!B1448</f>
        <v>367</v>
      </c>
      <c r="H1448">
        <f t="array" ref="H1448">COUNTIF(A:A,A1448)</f>
        <v>16</v>
      </c>
      <c r="I1448">
        <f t="array" ref="I1448">SUMIF(A:A,A1448,F:F)</f>
        <v>64716.249999999985</v>
      </c>
      <c r="J1448">
        <f t="array" ref="J1448">5 - INT(5 * (RANK(G1448,G:G, 1) - 1) / COUNT(G:G))</f>
        <v>3</v>
      </c>
      <c r="K1448">
        <f t="array" ref="K1448">INT(5 * (RANK(H1448,H:H, 0) - 1) / COUNT(H:H)) + 1</f>
        <v>1</v>
      </c>
      <c r="L1448">
        <f t="array" ref="L1448">INT(5 * (RANK(I1448,I:I, 0) - 1) / COUNT(I:I)) + 1</f>
        <v>1</v>
      </c>
      <c r="M1448" t="str">
        <f t="shared" si="44"/>
        <v>311</v>
      </c>
      <c r="N1448" s="6" t="str">
        <f t="shared" si="45"/>
        <v>Others</v>
      </c>
    </row>
    <row r="1449" spans="1:14" x14ac:dyDescent="0.35">
      <c r="A1449">
        <v>1201</v>
      </c>
      <c r="B1449" s="4">
        <v>45769.375085336993</v>
      </c>
      <c r="C1449" t="s">
        <v>7</v>
      </c>
      <c r="D1449" t="s">
        <v>18</v>
      </c>
      <c r="E1449" t="s">
        <v>24</v>
      </c>
      <c r="F1449">
        <v>3330.37</v>
      </c>
      <c r="G1449">
        <f t="array" ref="G1449">SalesData!$I$2 - 'RFM Table'!B1449</f>
        <v>367</v>
      </c>
      <c r="H1449">
        <f t="array" ref="H1449">COUNTIF(A:A,A1449)</f>
        <v>10</v>
      </c>
      <c r="I1449">
        <f t="array" ref="I1449">SUMIF(A:A,A1449,F:F)</f>
        <v>30897.65</v>
      </c>
      <c r="J1449">
        <f t="array" ref="J1449">5 - INT(5 * (RANK(G1449,G:G, 1) - 1) / COUNT(G:G))</f>
        <v>3</v>
      </c>
      <c r="K1449">
        <f t="array" ref="K1449">INT(5 * (RANK(H1449,H:H, 0) - 1) / COUNT(H:H)) + 1</f>
        <v>2</v>
      </c>
      <c r="L1449">
        <f t="array" ref="L1449">INT(5 * (RANK(I1449,I:I, 0) - 1) / COUNT(I:I)) + 1</f>
        <v>3</v>
      </c>
      <c r="M1449" t="str">
        <f t="shared" si="44"/>
        <v>323</v>
      </c>
      <c r="N1449" s="6" t="str">
        <f t="shared" si="45"/>
        <v>Others</v>
      </c>
    </row>
    <row r="1450" spans="1:14" x14ac:dyDescent="0.35">
      <c r="A1450">
        <v>1128</v>
      </c>
      <c r="B1450" s="4">
        <v>45769.375085336993</v>
      </c>
      <c r="C1450" t="s">
        <v>14</v>
      </c>
      <c r="D1450" t="s">
        <v>16</v>
      </c>
      <c r="E1450" t="s">
        <v>23</v>
      </c>
      <c r="F1450">
        <v>7169.93</v>
      </c>
      <c r="G1450">
        <f t="array" ref="G1450">SalesData!$I$2 - 'RFM Table'!B1450</f>
        <v>367</v>
      </c>
      <c r="H1450">
        <f t="array" ref="H1450">COUNTIF(A:A,A1450)</f>
        <v>8</v>
      </c>
      <c r="I1450">
        <f t="array" ref="I1450">SUMIF(A:A,A1450,F:F)</f>
        <v>36475.079999999994</v>
      </c>
      <c r="J1450">
        <f t="array" ref="J1450">5 - INT(5 * (RANK(G1450,G:G, 1) - 1) / COUNT(G:G))</f>
        <v>3</v>
      </c>
      <c r="K1450">
        <f t="array" ref="K1450">INT(5 * (RANK(H1450,H:H, 0) - 1) / COUNT(H:H)) + 1</f>
        <v>3</v>
      </c>
      <c r="L1450">
        <f t="array" ref="L1450">INT(5 * (RANK(I1450,I:I, 0) - 1) / COUNT(I:I)) + 1</f>
        <v>3</v>
      </c>
      <c r="M1450" t="str">
        <f t="shared" si="44"/>
        <v>333</v>
      </c>
      <c r="N1450" s="6" t="str">
        <f t="shared" si="45"/>
        <v>Others</v>
      </c>
    </row>
    <row r="1451" spans="1:14" x14ac:dyDescent="0.35">
      <c r="A1451">
        <v>1379</v>
      </c>
      <c r="B1451" s="4">
        <v>45769.375085336993</v>
      </c>
      <c r="C1451" t="s">
        <v>12</v>
      </c>
      <c r="D1451" t="s">
        <v>16</v>
      </c>
      <c r="E1451" t="s">
        <v>24</v>
      </c>
      <c r="F1451">
        <v>1653.24</v>
      </c>
      <c r="G1451">
        <f t="array" ref="G1451">SalesData!$I$2 - 'RFM Table'!B1451</f>
        <v>367</v>
      </c>
      <c r="H1451">
        <f t="array" ref="H1451">COUNTIF(A:A,A1451)</f>
        <v>10</v>
      </c>
      <c r="I1451">
        <f t="array" ref="I1451">SUMIF(A:A,A1451,F:F)</f>
        <v>33545.49</v>
      </c>
      <c r="J1451">
        <f t="array" ref="J1451">5 - INT(5 * (RANK(G1451,G:G, 1) - 1) / COUNT(G:G))</f>
        <v>3</v>
      </c>
      <c r="K1451">
        <f t="array" ref="K1451">INT(5 * (RANK(H1451,H:H, 0) - 1) / COUNT(H:H)) + 1</f>
        <v>2</v>
      </c>
      <c r="L1451">
        <f t="array" ref="L1451">INT(5 * (RANK(I1451,I:I, 0) - 1) / COUNT(I:I)) + 1</f>
        <v>3</v>
      </c>
      <c r="M1451" t="str">
        <f t="shared" si="44"/>
        <v>323</v>
      </c>
      <c r="N1451" s="6" t="str">
        <f t="shared" si="45"/>
        <v>Others</v>
      </c>
    </row>
    <row r="1452" spans="1:14" x14ac:dyDescent="0.35">
      <c r="A1452">
        <v>1008</v>
      </c>
      <c r="B1452" s="4">
        <v>45769.375085336993</v>
      </c>
      <c r="C1452" t="s">
        <v>9</v>
      </c>
      <c r="D1452" t="s">
        <v>16</v>
      </c>
      <c r="E1452" t="s">
        <v>24</v>
      </c>
      <c r="F1452">
        <v>3873.99</v>
      </c>
      <c r="G1452">
        <f t="array" ref="G1452">SalesData!$I$2 - 'RFM Table'!B1452</f>
        <v>367</v>
      </c>
      <c r="H1452">
        <f t="array" ref="H1452">COUNTIF(A:A,A1452)</f>
        <v>9</v>
      </c>
      <c r="I1452">
        <f t="array" ref="I1452">SUMIF(A:A,A1452,F:F)</f>
        <v>32548.37</v>
      </c>
      <c r="J1452">
        <f t="array" ref="J1452">5 - INT(5 * (RANK(G1452,G:G, 1) - 1) / COUNT(G:G))</f>
        <v>3</v>
      </c>
      <c r="K1452">
        <f t="array" ref="K1452">INT(5 * (RANK(H1452,H:H, 0) - 1) / COUNT(H:H)) + 1</f>
        <v>2</v>
      </c>
      <c r="L1452">
        <f t="array" ref="L1452">INT(5 * (RANK(I1452,I:I, 0) - 1) / COUNT(I:I)) + 1</f>
        <v>3</v>
      </c>
      <c r="M1452" t="str">
        <f t="shared" si="44"/>
        <v>323</v>
      </c>
      <c r="N1452" s="6" t="str">
        <f t="shared" si="45"/>
        <v>Others</v>
      </c>
    </row>
    <row r="1453" spans="1:14" x14ac:dyDescent="0.35">
      <c r="A1453">
        <v>1219</v>
      </c>
      <c r="B1453" s="4">
        <v>45770.375085336993</v>
      </c>
      <c r="C1453" t="s">
        <v>6</v>
      </c>
      <c r="D1453" t="s">
        <v>16</v>
      </c>
      <c r="E1453" t="s">
        <v>24</v>
      </c>
      <c r="F1453">
        <v>7567.72</v>
      </c>
      <c r="G1453">
        <f t="array" ref="G1453">SalesData!$I$2 - 'RFM Table'!B1453</f>
        <v>366</v>
      </c>
      <c r="H1453">
        <f t="array" ref="H1453">COUNTIF(A:A,A1453)</f>
        <v>11</v>
      </c>
      <c r="I1453">
        <f t="array" ref="I1453">SUMIF(A:A,A1453,F:F)</f>
        <v>38976.650000000009</v>
      </c>
      <c r="J1453">
        <f t="array" ref="J1453">5 - INT(5 * (RANK(G1453,G:G, 1) - 1) / COUNT(G:G))</f>
        <v>3</v>
      </c>
      <c r="K1453">
        <f t="array" ref="K1453">INT(5 * (RANK(H1453,H:H, 0) - 1) / COUNT(H:H)) + 1</f>
        <v>1</v>
      </c>
      <c r="L1453">
        <f t="array" ref="L1453">INT(5 * (RANK(I1453,I:I, 0) - 1) / COUNT(I:I)) + 1</f>
        <v>2</v>
      </c>
      <c r="M1453" t="str">
        <f t="shared" si="44"/>
        <v>312</v>
      </c>
      <c r="N1453" s="6" t="str">
        <f t="shared" si="45"/>
        <v>Others</v>
      </c>
    </row>
    <row r="1454" spans="1:14" x14ac:dyDescent="0.35">
      <c r="A1454">
        <v>1023</v>
      </c>
      <c r="B1454" s="4">
        <v>45770.375085336993</v>
      </c>
      <c r="C1454" t="s">
        <v>15</v>
      </c>
      <c r="D1454" t="s">
        <v>16</v>
      </c>
      <c r="E1454" t="s">
        <v>25</v>
      </c>
      <c r="F1454">
        <v>8009.67</v>
      </c>
      <c r="G1454">
        <f t="array" ref="G1454">SalesData!$I$2 - 'RFM Table'!B1454</f>
        <v>366</v>
      </c>
      <c r="H1454">
        <f t="array" ref="H1454">COUNTIF(A:A,A1454)</f>
        <v>3</v>
      </c>
      <c r="I1454">
        <f t="array" ref="I1454">SUMIF(A:A,A1454,F:F)</f>
        <v>14886.69</v>
      </c>
      <c r="J1454">
        <f t="array" ref="J1454">5 - INT(5 * (RANK(G1454,G:G, 1) - 1) / COUNT(G:G))</f>
        <v>3</v>
      </c>
      <c r="K1454">
        <f t="array" ref="K1454">INT(5 * (RANK(H1454,H:H, 0) - 1) / COUNT(H:H)) + 1</f>
        <v>5</v>
      </c>
      <c r="L1454">
        <f t="array" ref="L1454">INT(5 * (RANK(I1454,I:I, 0) - 1) / COUNT(I:I)) + 1</f>
        <v>5</v>
      </c>
      <c r="M1454" t="str">
        <f t="shared" si="44"/>
        <v>355</v>
      </c>
      <c r="N1454" s="6" t="str">
        <f t="shared" si="45"/>
        <v>Others</v>
      </c>
    </row>
    <row r="1455" spans="1:14" x14ac:dyDescent="0.35">
      <c r="A1455">
        <v>1370</v>
      </c>
      <c r="B1455" s="4">
        <v>45770.375085336993</v>
      </c>
      <c r="C1455" t="s">
        <v>15</v>
      </c>
      <c r="D1455" t="s">
        <v>21</v>
      </c>
      <c r="E1455" t="s">
        <v>24</v>
      </c>
      <c r="F1455">
        <v>3128.83</v>
      </c>
      <c r="G1455">
        <f t="array" ref="G1455">SalesData!$I$2 - 'RFM Table'!B1455</f>
        <v>366</v>
      </c>
      <c r="H1455">
        <f t="array" ref="H1455">COUNTIF(A:A,A1455)</f>
        <v>12</v>
      </c>
      <c r="I1455">
        <f t="array" ref="I1455">SUMIF(A:A,A1455,F:F)</f>
        <v>46195.360000000001</v>
      </c>
      <c r="J1455">
        <f t="array" ref="J1455">5 - INT(5 * (RANK(G1455,G:G, 1) - 1) / COUNT(G:G))</f>
        <v>3</v>
      </c>
      <c r="K1455">
        <f t="array" ref="K1455">INT(5 * (RANK(H1455,H:H, 0) - 1) / COUNT(H:H)) + 1</f>
        <v>1</v>
      </c>
      <c r="L1455">
        <f t="array" ref="L1455">INT(5 * (RANK(I1455,I:I, 0) - 1) / COUNT(I:I)) + 1</f>
        <v>1</v>
      </c>
      <c r="M1455" t="str">
        <f t="shared" si="44"/>
        <v>311</v>
      </c>
      <c r="N1455" s="6" t="str">
        <f t="shared" si="45"/>
        <v>Others</v>
      </c>
    </row>
    <row r="1456" spans="1:14" x14ac:dyDescent="0.35">
      <c r="A1456">
        <v>1299</v>
      </c>
      <c r="B1456" s="4">
        <v>45771.375085336993</v>
      </c>
      <c r="C1456" t="s">
        <v>14</v>
      </c>
      <c r="D1456" t="s">
        <v>18</v>
      </c>
      <c r="E1456" t="s">
        <v>23</v>
      </c>
      <c r="F1456">
        <v>1876.35</v>
      </c>
      <c r="G1456">
        <f t="array" ref="G1456">SalesData!$I$2 - 'RFM Table'!B1456</f>
        <v>365</v>
      </c>
      <c r="H1456">
        <f t="array" ref="H1456">COUNTIF(A:A,A1456)</f>
        <v>6</v>
      </c>
      <c r="I1456">
        <f t="array" ref="I1456">SUMIF(A:A,A1456,F:F)</f>
        <v>13299.439999999999</v>
      </c>
      <c r="J1456">
        <f t="array" ref="J1456">5 - INT(5 * (RANK(G1456,G:G, 1) - 1) / COUNT(G:G))</f>
        <v>3</v>
      </c>
      <c r="K1456">
        <f t="array" ref="K1456">INT(5 * (RANK(H1456,H:H, 0) - 1) / COUNT(H:H)) + 1</f>
        <v>4</v>
      </c>
      <c r="L1456">
        <f t="array" ref="L1456">INT(5 * (RANK(I1456,I:I, 0) - 1) / COUNT(I:I)) + 1</f>
        <v>5</v>
      </c>
      <c r="M1456" t="str">
        <f t="shared" si="44"/>
        <v>345</v>
      </c>
      <c r="N1456" s="6" t="str">
        <f t="shared" si="45"/>
        <v>Others</v>
      </c>
    </row>
    <row r="1457" spans="1:14" x14ac:dyDescent="0.35">
      <c r="A1457">
        <v>1096</v>
      </c>
      <c r="B1457" s="4">
        <v>45771.375085336993</v>
      </c>
      <c r="C1457" t="s">
        <v>11</v>
      </c>
      <c r="D1457" t="s">
        <v>17</v>
      </c>
      <c r="E1457" t="s">
        <v>23</v>
      </c>
      <c r="F1457">
        <v>1555.23</v>
      </c>
      <c r="G1457">
        <f t="array" ref="G1457">SalesData!$I$2 - 'RFM Table'!B1457</f>
        <v>365</v>
      </c>
      <c r="H1457">
        <f t="array" ref="H1457">COUNTIF(A:A,A1457)</f>
        <v>6</v>
      </c>
      <c r="I1457">
        <f t="array" ref="I1457">SUMIF(A:A,A1457,F:F)</f>
        <v>11900.869999999999</v>
      </c>
      <c r="J1457">
        <f t="array" ref="J1457">5 - INT(5 * (RANK(G1457,G:G, 1) - 1) / COUNT(G:G))</f>
        <v>3</v>
      </c>
      <c r="K1457">
        <f t="array" ref="K1457">INT(5 * (RANK(H1457,H:H, 0) - 1) / COUNT(H:H)) + 1</f>
        <v>4</v>
      </c>
      <c r="L1457">
        <f t="array" ref="L1457">INT(5 * (RANK(I1457,I:I, 0) - 1) / COUNT(I:I)) + 1</f>
        <v>5</v>
      </c>
      <c r="M1457" t="str">
        <f t="shared" si="44"/>
        <v>345</v>
      </c>
      <c r="N1457" s="6" t="str">
        <f t="shared" si="45"/>
        <v>Others</v>
      </c>
    </row>
    <row r="1458" spans="1:14" x14ac:dyDescent="0.35">
      <c r="A1458">
        <v>1343</v>
      </c>
      <c r="B1458" s="4">
        <v>45771.375085336993</v>
      </c>
      <c r="C1458" t="s">
        <v>7</v>
      </c>
      <c r="D1458" t="s">
        <v>16</v>
      </c>
      <c r="E1458" t="s">
        <v>23</v>
      </c>
      <c r="F1458">
        <v>5986.96</v>
      </c>
      <c r="G1458">
        <f t="array" ref="G1458">SalesData!$I$2 - 'RFM Table'!B1458</f>
        <v>365</v>
      </c>
      <c r="H1458">
        <f t="array" ref="H1458">COUNTIF(A:A,A1458)</f>
        <v>9</v>
      </c>
      <c r="I1458">
        <f t="array" ref="I1458">SUMIF(A:A,A1458,F:F)</f>
        <v>40117.730000000003</v>
      </c>
      <c r="J1458">
        <f t="array" ref="J1458">5 - INT(5 * (RANK(G1458,G:G, 1) - 1) / COUNT(G:G))</f>
        <v>3</v>
      </c>
      <c r="K1458">
        <f t="array" ref="K1458">INT(5 * (RANK(H1458,H:H, 0) - 1) / COUNT(H:H)) + 1</f>
        <v>2</v>
      </c>
      <c r="L1458">
        <f t="array" ref="L1458">INT(5 * (RANK(I1458,I:I, 0) - 1) / COUNT(I:I)) + 1</f>
        <v>2</v>
      </c>
      <c r="M1458" t="str">
        <f t="shared" si="44"/>
        <v>322</v>
      </c>
      <c r="N1458" s="6" t="str">
        <f t="shared" si="45"/>
        <v>Others</v>
      </c>
    </row>
    <row r="1459" spans="1:14" x14ac:dyDescent="0.35">
      <c r="A1459">
        <v>1339</v>
      </c>
      <c r="B1459" s="4">
        <v>45771.375085336993</v>
      </c>
      <c r="C1459" t="s">
        <v>9</v>
      </c>
      <c r="D1459" t="s">
        <v>17</v>
      </c>
      <c r="E1459" t="s">
        <v>25</v>
      </c>
      <c r="F1459">
        <v>2008.36</v>
      </c>
      <c r="G1459">
        <f t="array" ref="G1459">SalesData!$I$2 - 'RFM Table'!B1459</f>
        <v>365</v>
      </c>
      <c r="H1459">
        <f t="array" ref="H1459">COUNTIF(A:A,A1459)</f>
        <v>8</v>
      </c>
      <c r="I1459">
        <f t="array" ref="I1459">SUMIF(A:A,A1459,F:F)</f>
        <v>30873.260000000002</v>
      </c>
      <c r="J1459">
        <f t="array" ref="J1459">5 - INT(5 * (RANK(G1459,G:G, 1) - 1) / COUNT(G:G))</f>
        <v>3</v>
      </c>
      <c r="K1459">
        <f t="array" ref="K1459">INT(5 * (RANK(H1459,H:H, 0) - 1) / COUNT(H:H)) + 1</f>
        <v>3</v>
      </c>
      <c r="L1459">
        <f t="array" ref="L1459">INT(5 * (RANK(I1459,I:I, 0) - 1) / COUNT(I:I)) + 1</f>
        <v>3</v>
      </c>
      <c r="M1459" t="str">
        <f t="shared" si="44"/>
        <v>333</v>
      </c>
      <c r="N1459" s="6" t="str">
        <f t="shared" si="45"/>
        <v>Others</v>
      </c>
    </row>
    <row r="1460" spans="1:14" x14ac:dyDescent="0.35">
      <c r="A1460">
        <v>1143</v>
      </c>
      <c r="B1460" s="4">
        <v>45771.375085336993</v>
      </c>
      <c r="C1460" t="s">
        <v>7</v>
      </c>
      <c r="D1460" t="s">
        <v>19</v>
      </c>
      <c r="E1460" t="s">
        <v>24</v>
      </c>
      <c r="F1460">
        <v>8527.43</v>
      </c>
      <c r="G1460">
        <f t="array" ref="G1460">SalesData!$I$2 - 'RFM Table'!B1460</f>
        <v>365</v>
      </c>
      <c r="H1460">
        <f t="array" ref="H1460">COUNTIF(A:A,A1460)</f>
        <v>11</v>
      </c>
      <c r="I1460">
        <f t="array" ref="I1460">SUMIF(A:A,A1460,F:F)</f>
        <v>44004.459999999992</v>
      </c>
      <c r="J1460">
        <f t="array" ref="J1460">5 - INT(5 * (RANK(G1460,G:G, 1) - 1) / COUNT(G:G))</f>
        <v>3</v>
      </c>
      <c r="K1460">
        <f t="array" ref="K1460">INT(5 * (RANK(H1460,H:H, 0) - 1) / COUNT(H:H)) + 1</f>
        <v>1</v>
      </c>
      <c r="L1460">
        <f t="array" ref="L1460">INT(5 * (RANK(I1460,I:I, 0) - 1) / COUNT(I:I)) + 1</f>
        <v>2</v>
      </c>
      <c r="M1460" t="str">
        <f t="shared" si="44"/>
        <v>312</v>
      </c>
      <c r="N1460" s="6" t="str">
        <f t="shared" si="45"/>
        <v>Others</v>
      </c>
    </row>
    <row r="1461" spans="1:14" x14ac:dyDescent="0.35">
      <c r="A1461">
        <v>1149</v>
      </c>
      <c r="B1461" s="4">
        <v>45772.375085336993</v>
      </c>
      <c r="C1461" t="s">
        <v>10</v>
      </c>
      <c r="D1461" t="s">
        <v>22</v>
      </c>
      <c r="E1461" t="s">
        <v>25</v>
      </c>
      <c r="F1461">
        <v>2223.34</v>
      </c>
      <c r="G1461">
        <f t="array" ref="G1461">SalesData!$I$2 - 'RFM Table'!B1461</f>
        <v>364</v>
      </c>
      <c r="H1461">
        <f t="array" ref="H1461">COUNTIF(A:A,A1461)</f>
        <v>8</v>
      </c>
      <c r="I1461">
        <f t="array" ref="I1461">SUMIF(A:A,A1461,F:F)</f>
        <v>22978.19</v>
      </c>
      <c r="J1461">
        <f t="array" ref="J1461">5 - INT(5 * (RANK(G1461,G:G, 1) - 1) / COUNT(G:G))</f>
        <v>3</v>
      </c>
      <c r="K1461">
        <f t="array" ref="K1461">INT(5 * (RANK(H1461,H:H, 0) - 1) / COUNT(H:H)) + 1</f>
        <v>3</v>
      </c>
      <c r="L1461">
        <f t="array" ref="L1461">INT(5 * (RANK(I1461,I:I, 0) - 1) / COUNT(I:I)) + 1</f>
        <v>4</v>
      </c>
      <c r="M1461" t="str">
        <f t="shared" si="44"/>
        <v>334</v>
      </c>
      <c r="N1461" s="6" t="str">
        <f t="shared" si="45"/>
        <v>Others</v>
      </c>
    </row>
    <row r="1462" spans="1:14" x14ac:dyDescent="0.35">
      <c r="A1462">
        <v>1399</v>
      </c>
      <c r="B1462" s="4">
        <v>45772.375085336993</v>
      </c>
      <c r="C1462" t="s">
        <v>8</v>
      </c>
      <c r="D1462" t="s">
        <v>20</v>
      </c>
      <c r="E1462" t="s">
        <v>24</v>
      </c>
      <c r="F1462">
        <v>6832.19</v>
      </c>
      <c r="G1462">
        <f t="array" ref="G1462">SalesData!$I$2 - 'RFM Table'!B1462</f>
        <v>364</v>
      </c>
      <c r="H1462">
        <f t="array" ref="H1462">COUNTIF(A:A,A1462)</f>
        <v>9</v>
      </c>
      <c r="I1462">
        <f t="array" ref="I1462">SUMIF(A:A,A1462,F:F)</f>
        <v>34808.1</v>
      </c>
      <c r="J1462">
        <f t="array" ref="J1462">5 - INT(5 * (RANK(G1462,G:G, 1) - 1) / COUNT(G:G))</f>
        <v>3</v>
      </c>
      <c r="K1462">
        <f t="array" ref="K1462">INT(5 * (RANK(H1462,H:H, 0) - 1) / COUNT(H:H)) + 1</f>
        <v>2</v>
      </c>
      <c r="L1462">
        <f t="array" ref="L1462">INT(5 * (RANK(I1462,I:I, 0) - 1) / COUNT(I:I)) + 1</f>
        <v>3</v>
      </c>
      <c r="M1462" t="str">
        <f t="shared" si="44"/>
        <v>323</v>
      </c>
      <c r="N1462" s="6" t="str">
        <f t="shared" si="45"/>
        <v>Others</v>
      </c>
    </row>
    <row r="1463" spans="1:14" x14ac:dyDescent="0.35">
      <c r="A1463">
        <v>1128</v>
      </c>
      <c r="B1463" s="4">
        <v>45772.375085336993</v>
      </c>
      <c r="C1463" t="s">
        <v>10</v>
      </c>
      <c r="D1463" t="s">
        <v>18</v>
      </c>
      <c r="E1463" t="s">
        <v>24</v>
      </c>
      <c r="F1463">
        <v>2352.42</v>
      </c>
      <c r="G1463">
        <f t="array" ref="G1463">SalesData!$I$2 - 'RFM Table'!B1463</f>
        <v>364</v>
      </c>
      <c r="H1463">
        <f t="array" ref="H1463">COUNTIF(A:A,A1463)</f>
        <v>8</v>
      </c>
      <c r="I1463">
        <f t="array" ref="I1463">SUMIF(A:A,A1463,F:F)</f>
        <v>36475.079999999994</v>
      </c>
      <c r="J1463">
        <f t="array" ref="J1463">5 - INT(5 * (RANK(G1463,G:G, 1) - 1) / COUNT(G:G))</f>
        <v>3</v>
      </c>
      <c r="K1463">
        <f t="array" ref="K1463">INT(5 * (RANK(H1463,H:H, 0) - 1) / COUNT(H:H)) + 1</f>
        <v>3</v>
      </c>
      <c r="L1463">
        <f t="array" ref="L1463">INT(5 * (RANK(I1463,I:I, 0) - 1) / COUNT(I:I)) + 1</f>
        <v>3</v>
      </c>
      <c r="M1463" t="str">
        <f t="shared" si="44"/>
        <v>333</v>
      </c>
      <c r="N1463" s="6" t="str">
        <f t="shared" si="45"/>
        <v>Others</v>
      </c>
    </row>
    <row r="1464" spans="1:14" x14ac:dyDescent="0.35">
      <c r="A1464">
        <v>1141</v>
      </c>
      <c r="B1464" s="4">
        <v>45772.375085336993</v>
      </c>
      <c r="C1464" t="s">
        <v>11</v>
      </c>
      <c r="D1464" t="s">
        <v>20</v>
      </c>
      <c r="E1464" t="s">
        <v>24</v>
      </c>
      <c r="F1464">
        <v>7386.07</v>
      </c>
      <c r="G1464">
        <f t="array" ref="G1464">SalesData!$I$2 - 'RFM Table'!B1464</f>
        <v>364</v>
      </c>
      <c r="H1464">
        <f t="array" ref="H1464">COUNTIF(A:A,A1464)</f>
        <v>5</v>
      </c>
      <c r="I1464">
        <f t="array" ref="I1464">SUMIF(A:A,A1464,F:F)</f>
        <v>18049.21</v>
      </c>
      <c r="J1464">
        <f t="array" ref="J1464">5 - INT(5 * (RANK(G1464,G:G, 1) - 1) / COUNT(G:G))</f>
        <v>3</v>
      </c>
      <c r="K1464">
        <f t="array" ref="K1464">INT(5 * (RANK(H1464,H:H, 0) - 1) / COUNT(H:H)) + 1</f>
        <v>5</v>
      </c>
      <c r="L1464">
        <f t="array" ref="L1464">INT(5 * (RANK(I1464,I:I, 0) - 1) / COUNT(I:I)) + 1</f>
        <v>5</v>
      </c>
      <c r="M1464" t="str">
        <f t="shared" si="44"/>
        <v>355</v>
      </c>
      <c r="N1464" s="6" t="str">
        <f t="shared" si="45"/>
        <v>Others</v>
      </c>
    </row>
    <row r="1465" spans="1:14" x14ac:dyDescent="0.35">
      <c r="A1465">
        <v>1371</v>
      </c>
      <c r="B1465" s="4">
        <v>45772.375085336993</v>
      </c>
      <c r="C1465" t="s">
        <v>8</v>
      </c>
      <c r="D1465" t="s">
        <v>16</v>
      </c>
      <c r="E1465" t="s">
        <v>24</v>
      </c>
      <c r="F1465">
        <v>946.49</v>
      </c>
      <c r="G1465">
        <f t="array" ref="G1465">SalesData!$I$2 - 'RFM Table'!B1465</f>
        <v>364</v>
      </c>
      <c r="H1465">
        <f t="array" ref="H1465">COUNTIF(A:A,A1465)</f>
        <v>4</v>
      </c>
      <c r="I1465">
        <f t="array" ref="I1465">SUMIF(A:A,A1465,F:F)</f>
        <v>6852.89</v>
      </c>
      <c r="J1465">
        <f t="array" ref="J1465">5 - INT(5 * (RANK(G1465,G:G, 1) - 1) / COUNT(G:G))</f>
        <v>3</v>
      </c>
      <c r="K1465">
        <f t="array" ref="K1465">INT(5 * (RANK(H1465,H:H, 0) - 1) / COUNT(H:H)) + 1</f>
        <v>5</v>
      </c>
      <c r="L1465">
        <f t="array" ref="L1465">INT(5 * (RANK(I1465,I:I, 0) - 1) / COUNT(I:I)) + 1</f>
        <v>5</v>
      </c>
      <c r="M1465" t="str">
        <f t="shared" si="44"/>
        <v>355</v>
      </c>
      <c r="N1465" s="6" t="str">
        <f t="shared" si="45"/>
        <v>Others</v>
      </c>
    </row>
    <row r="1466" spans="1:14" x14ac:dyDescent="0.35">
      <c r="A1466">
        <v>1113</v>
      </c>
      <c r="B1466" s="4">
        <v>45772.375085336993</v>
      </c>
      <c r="C1466" t="s">
        <v>13</v>
      </c>
      <c r="D1466" t="s">
        <v>21</v>
      </c>
      <c r="E1466" t="s">
        <v>23</v>
      </c>
      <c r="F1466">
        <v>3402.41</v>
      </c>
      <c r="G1466">
        <f t="array" ref="G1466">SalesData!$I$2 - 'RFM Table'!B1466</f>
        <v>364</v>
      </c>
      <c r="H1466">
        <f t="array" ref="H1466">COUNTIF(A:A,A1466)</f>
        <v>7</v>
      </c>
      <c r="I1466">
        <f t="array" ref="I1466">SUMIF(A:A,A1466,F:F)</f>
        <v>17672.689999999999</v>
      </c>
      <c r="J1466">
        <f t="array" ref="J1466">5 - INT(5 * (RANK(G1466,G:G, 1) - 1) / COUNT(G:G))</f>
        <v>3</v>
      </c>
      <c r="K1466">
        <f t="array" ref="K1466">INT(5 * (RANK(H1466,H:H, 0) - 1) / COUNT(H:H)) + 1</f>
        <v>4</v>
      </c>
      <c r="L1466">
        <f t="array" ref="L1466">INT(5 * (RANK(I1466,I:I, 0) - 1) / COUNT(I:I)) + 1</f>
        <v>5</v>
      </c>
      <c r="M1466" t="str">
        <f t="shared" si="44"/>
        <v>345</v>
      </c>
      <c r="N1466" s="6" t="str">
        <f t="shared" si="45"/>
        <v>Others</v>
      </c>
    </row>
    <row r="1467" spans="1:14" x14ac:dyDescent="0.35">
      <c r="A1467">
        <v>1322</v>
      </c>
      <c r="B1467" s="4">
        <v>45773.375085336993</v>
      </c>
      <c r="C1467" t="s">
        <v>11</v>
      </c>
      <c r="D1467" t="s">
        <v>17</v>
      </c>
      <c r="E1467" t="s">
        <v>24</v>
      </c>
      <c r="F1467">
        <v>4534.63</v>
      </c>
      <c r="G1467">
        <f t="array" ref="G1467">SalesData!$I$2 - 'RFM Table'!B1467</f>
        <v>363</v>
      </c>
      <c r="H1467">
        <f t="array" ref="H1467">COUNTIF(A:A,A1467)</f>
        <v>8</v>
      </c>
      <c r="I1467">
        <f t="array" ref="I1467">SUMIF(A:A,A1467,F:F)</f>
        <v>30924.840000000004</v>
      </c>
      <c r="J1467">
        <f t="array" ref="J1467">5 - INT(5 * (RANK(G1467,G:G, 1) - 1) / COUNT(G:G))</f>
        <v>3</v>
      </c>
      <c r="K1467">
        <f t="array" ref="K1467">INT(5 * (RANK(H1467,H:H, 0) - 1) / COUNT(H:H)) + 1</f>
        <v>3</v>
      </c>
      <c r="L1467">
        <f t="array" ref="L1467">INT(5 * (RANK(I1467,I:I, 0) - 1) / COUNT(I:I)) + 1</f>
        <v>3</v>
      </c>
      <c r="M1467" t="str">
        <f t="shared" si="44"/>
        <v>333</v>
      </c>
      <c r="N1467" s="6" t="str">
        <f t="shared" si="45"/>
        <v>Others</v>
      </c>
    </row>
    <row r="1468" spans="1:14" x14ac:dyDescent="0.35">
      <c r="A1468">
        <v>1104</v>
      </c>
      <c r="B1468" s="4">
        <v>45773.375085336993</v>
      </c>
      <c r="C1468" t="s">
        <v>11</v>
      </c>
      <c r="D1468" t="s">
        <v>21</v>
      </c>
      <c r="E1468" t="s">
        <v>24</v>
      </c>
      <c r="F1468">
        <v>1389.7</v>
      </c>
      <c r="G1468">
        <f t="array" ref="G1468">SalesData!$I$2 - 'RFM Table'!B1468</f>
        <v>363</v>
      </c>
      <c r="H1468">
        <f t="array" ref="H1468">COUNTIF(A:A,A1468)</f>
        <v>6</v>
      </c>
      <c r="I1468">
        <f t="array" ref="I1468">SUMIF(A:A,A1468,F:F)</f>
        <v>19427.86</v>
      </c>
      <c r="J1468">
        <f t="array" ref="J1468">5 - INT(5 * (RANK(G1468,G:G, 1) - 1) / COUNT(G:G))</f>
        <v>3</v>
      </c>
      <c r="K1468">
        <f t="array" ref="K1468">INT(5 * (RANK(H1468,H:H, 0) - 1) / COUNT(H:H)) + 1</f>
        <v>4</v>
      </c>
      <c r="L1468">
        <f t="array" ref="L1468">INT(5 * (RANK(I1468,I:I, 0) - 1) / COUNT(I:I)) + 1</f>
        <v>5</v>
      </c>
      <c r="M1468" t="str">
        <f t="shared" si="44"/>
        <v>345</v>
      </c>
      <c r="N1468" s="6" t="str">
        <f t="shared" si="45"/>
        <v>Others</v>
      </c>
    </row>
    <row r="1469" spans="1:14" x14ac:dyDescent="0.35">
      <c r="A1469">
        <v>1304</v>
      </c>
      <c r="B1469" s="4">
        <v>45773.375085336993</v>
      </c>
      <c r="C1469" t="s">
        <v>14</v>
      </c>
      <c r="D1469" t="s">
        <v>17</v>
      </c>
      <c r="E1469" t="s">
        <v>24</v>
      </c>
      <c r="F1469">
        <v>2300.77</v>
      </c>
      <c r="G1469">
        <f t="array" ref="G1469">SalesData!$I$2 - 'RFM Table'!B1469</f>
        <v>363</v>
      </c>
      <c r="H1469">
        <f t="array" ref="H1469">COUNTIF(A:A,A1469)</f>
        <v>10</v>
      </c>
      <c r="I1469">
        <f t="array" ref="I1469">SUMIF(A:A,A1469,F:F)</f>
        <v>39472.789999999994</v>
      </c>
      <c r="J1469">
        <f t="array" ref="J1469">5 - INT(5 * (RANK(G1469,G:G, 1) - 1) / COUNT(G:G))</f>
        <v>3</v>
      </c>
      <c r="K1469">
        <f t="array" ref="K1469">INT(5 * (RANK(H1469,H:H, 0) - 1) / COUNT(H:H)) + 1</f>
        <v>2</v>
      </c>
      <c r="L1469">
        <f t="array" ref="L1469">INT(5 * (RANK(I1469,I:I, 0) - 1) / COUNT(I:I)) + 1</f>
        <v>2</v>
      </c>
      <c r="M1469" t="str">
        <f t="shared" si="44"/>
        <v>322</v>
      </c>
      <c r="N1469" s="6" t="str">
        <f t="shared" si="45"/>
        <v>Others</v>
      </c>
    </row>
    <row r="1470" spans="1:14" x14ac:dyDescent="0.35">
      <c r="A1470">
        <v>1266</v>
      </c>
      <c r="B1470" s="4">
        <v>45773.375085336993</v>
      </c>
      <c r="C1470" t="s">
        <v>14</v>
      </c>
      <c r="D1470" t="s">
        <v>16</v>
      </c>
      <c r="E1470" t="s">
        <v>24</v>
      </c>
      <c r="F1470">
        <v>2826.99</v>
      </c>
      <c r="G1470">
        <f t="array" ref="G1470">SalesData!$I$2 - 'RFM Table'!B1470</f>
        <v>363</v>
      </c>
      <c r="H1470">
        <f t="array" ref="H1470">COUNTIF(A:A,A1470)</f>
        <v>9</v>
      </c>
      <c r="I1470">
        <f t="array" ref="I1470">SUMIF(A:A,A1470,F:F)</f>
        <v>44679.94</v>
      </c>
      <c r="J1470">
        <f t="array" ref="J1470">5 - INT(5 * (RANK(G1470,G:G, 1) - 1) / COUNT(G:G))</f>
        <v>3</v>
      </c>
      <c r="K1470">
        <f t="array" ref="K1470">INT(5 * (RANK(H1470,H:H, 0) - 1) / COUNT(H:H)) + 1</f>
        <v>2</v>
      </c>
      <c r="L1470">
        <f t="array" ref="L1470">INT(5 * (RANK(I1470,I:I, 0) - 1) / COUNT(I:I)) + 1</f>
        <v>2</v>
      </c>
      <c r="M1470" t="str">
        <f t="shared" si="44"/>
        <v>322</v>
      </c>
      <c r="N1470" s="6" t="str">
        <f t="shared" si="45"/>
        <v>Others</v>
      </c>
    </row>
    <row r="1471" spans="1:14" x14ac:dyDescent="0.35">
      <c r="A1471">
        <v>1377</v>
      </c>
      <c r="B1471" s="4">
        <v>45774.375085336993</v>
      </c>
      <c r="C1471" t="s">
        <v>15</v>
      </c>
      <c r="D1471" t="s">
        <v>21</v>
      </c>
      <c r="E1471" t="s">
        <v>25</v>
      </c>
      <c r="F1471">
        <v>2103.4899999999998</v>
      </c>
      <c r="G1471">
        <f t="array" ref="G1471">SalesData!$I$2 - 'RFM Table'!B1471</f>
        <v>362</v>
      </c>
      <c r="H1471">
        <f t="array" ref="H1471">COUNTIF(A:A,A1471)</f>
        <v>6</v>
      </c>
      <c r="I1471">
        <f t="array" ref="I1471">SUMIF(A:A,A1471,F:F)</f>
        <v>39626.31</v>
      </c>
      <c r="J1471">
        <f t="array" ref="J1471">5 - INT(5 * (RANK(G1471,G:G, 1) - 1) / COUNT(G:G))</f>
        <v>3</v>
      </c>
      <c r="K1471">
        <f t="array" ref="K1471">INT(5 * (RANK(H1471,H:H, 0) - 1) / COUNT(H:H)) + 1</f>
        <v>4</v>
      </c>
      <c r="L1471">
        <f t="array" ref="L1471">INT(5 * (RANK(I1471,I:I, 0) - 1) / COUNT(I:I)) + 1</f>
        <v>2</v>
      </c>
      <c r="M1471" t="str">
        <f t="shared" si="44"/>
        <v>342</v>
      </c>
      <c r="N1471" s="6" t="str">
        <f t="shared" si="45"/>
        <v>Others</v>
      </c>
    </row>
    <row r="1472" spans="1:14" x14ac:dyDescent="0.35">
      <c r="A1472">
        <v>1083</v>
      </c>
      <c r="B1472" s="4">
        <v>45774.375085336993</v>
      </c>
      <c r="C1472" t="s">
        <v>7</v>
      </c>
      <c r="D1472" t="s">
        <v>16</v>
      </c>
      <c r="E1472" t="s">
        <v>23</v>
      </c>
      <c r="F1472">
        <v>3089.78</v>
      </c>
      <c r="G1472">
        <f t="array" ref="G1472">SalesData!$I$2 - 'RFM Table'!B1472</f>
        <v>362</v>
      </c>
      <c r="H1472">
        <f t="array" ref="H1472">COUNTIF(A:A,A1472)</f>
        <v>10</v>
      </c>
      <c r="I1472">
        <f t="array" ref="I1472">SUMIF(A:A,A1472,F:F)</f>
        <v>27359.329999999998</v>
      </c>
      <c r="J1472">
        <f t="array" ref="J1472">5 - INT(5 * (RANK(G1472,G:G, 1) - 1) / COUNT(G:G))</f>
        <v>3</v>
      </c>
      <c r="K1472">
        <f t="array" ref="K1472">INT(5 * (RANK(H1472,H:H, 0) - 1) / COUNT(H:H)) + 1</f>
        <v>2</v>
      </c>
      <c r="L1472">
        <f t="array" ref="L1472">INT(5 * (RANK(I1472,I:I, 0) - 1) / COUNT(I:I)) + 1</f>
        <v>4</v>
      </c>
      <c r="M1472" t="str">
        <f t="shared" si="44"/>
        <v>324</v>
      </c>
      <c r="N1472" s="6" t="str">
        <f t="shared" si="45"/>
        <v>Others</v>
      </c>
    </row>
    <row r="1473" spans="1:14" x14ac:dyDescent="0.35">
      <c r="A1473">
        <v>1292</v>
      </c>
      <c r="B1473" s="4">
        <v>45774.375085336993</v>
      </c>
      <c r="C1473" t="s">
        <v>12</v>
      </c>
      <c r="D1473" t="s">
        <v>17</v>
      </c>
      <c r="E1473" t="s">
        <v>24</v>
      </c>
      <c r="F1473">
        <v>2752.94</v>
      </c>
      <c r="G1473">
        <f t="array" ref="G1473">SalesData!$I$2 - 'RFM Table'!B1473</f>
        <v>362</v>
      </c>
      <c r="H1473">
        <f t="array" ref="H1473">COUNTIF(A:A,A1473)</f>
        <v>15</v>
      </c>
      <c r="I1473">
        <f t="array" ref="I1473">SUMIF(A:A,A1473,F:F)</f>
        <v>49637.999999999993</v>
      </c>
      <c r="J1473">
        <f t="array" ref="J1473">5 - INT(5 * (RANK(G1473,G:G, 1) - 1) / COUNT(G:G))</f>
        <v>3</v>
      </c>
      <c r="K1473">
        <f t="array" ref="K1473">INT(5 * (RANK(H1473,H:H, 0) - 1) / COUNT(H:H)) + 1</f>
        <v>1</v>
      </c>
      <c r="L1473">
        <f t="array" ref="L1473">INT(5 * (RANK(I1473,I:I, 0) - 1) / COUNT(I:I)) + 1</f>
        <v>1</v>
      </c>
      <c r="M1473" t="str">
        <f t="shared" si="44"/>
        <v>311</v>
      </c>
      <c r="N1473" s="6" t="str">
        <f t="shared" si="45"/>
        <v>Others</v>
      </c>
    </row>
    <row r="1474" spans="1:14" x14ac:dyDescent="0.35">
      <c r="A1474">
        <v>1251</v>
      </c>
      <c r="B1474" s="4">
        <v>45774.375085336993</v>
      </c>
      <c r="C1474" t="s">
        <v>10</v>
      </c>
      <c r="D1474" t="s">
        <v>21</v>
      </c>
      <c r="E1474" t="s">
        <v>23</v>
      </c>
      <c r="F1474">
        <v>6311.98</v>
      </c>
      <c r="G1474">
        <f t="array" ref="G1474">SalesData!$I$2 - 'RFM Table'!B1474</f>
        <v>362</v>
      </c>
      <c r="H1474">
        <f t="array" ref="H1474">COUNTIF(A:A,A1474)</f>
        <v>9</v>
      </c>
      <c r="I1474">
        <f t="array" ref="I1474">SUMIF(A:A,A1474,F:F)</f>
        <v>39183.29</v>
      </c>
      <c r="J1474">
        <f t="array" ref="J1474">5 - INT(5 * (RANK(G1474,G:G, 1) - 1) / COUNT(G:G))</f>
        <v>3</v>
      </c>
      <c r="K1474">
        <f t="array" ref="K1474">INT(5 * (RANK(H1474,H:H, 0) - 1) / COUNT(H:H)) + 1</f>
        <v>2</v>
      </c>
      <c r="L1474">
        <f t="array" ref="L1474">INT(5 * (RANK(I1474,I:I, 0) - 1) / COUNT(I:I)) + 1</f>
        <v>2</v>
      </c>
      <c r="M1474" t="str">
        <f t="shared" si="44"/>
        <v>322</v>
      </c>
      <c r="N1474" s="6" t="str">
        <f t="shared" si="45"/>
        <v>Others</v>
      </c>
    </row>
    <row r="1475" spans="1:14" x14ac:dyDescent="0.35">
      <c r="A1475">
        <v>1016</v>
      </c>
      <c r="B1475" s="4">
        <v>45774.375085336993</v>
      </c>
      <c r="C1475" t="s">
        <v>13</v>
      </c>
      <c r="D1475" t="s">
        <v>21</v>
      </c>
      <c r="E1475" t="s">
        <v>24</v>
      </c>
      <c r="F1475">
        <v>1888.41</v>
      </c>
      <c r="G1475">
        <f t="array" ref="G1475">SalesData!$I$2 - 'RFM Table'!B1475</f>
        <v>362</v>
      </c>
      <c r="H1475">
        <f t="array" ref="H1475">COUNTIF(A:A,A1475)</f>
        <v>9</v>
      </c>
      <c r="I1475">
        <f t="array" ref="I1475">SUMIF(A:A,A1475,F:F)</f>
        <v>37239.53</v>
      </c>
      <c r="J1475">
        <f t="array" ref="J1475">5 - INT(5 * (RANK(G1475,G:G, 1) - 1) / COUNT(G:G))</f>
        <v>3</v>
      </c>
      <c r="K1475">
        <f t="array" ref="K1475">INT(5 * (RANK(H1475,H:H, 0) - 1) / COUNT(H:H)) + 1</f>
        <v>2</v>
      </c>
      <c r="L1475">
        <f t="array" ref="L1475">INT(5 * (RANK(I1475,I:I, 0) - 1) / COUNT(I:I)) + 1</f>
        <v>2</v>
      </c>
      <c r="M1475" t="str">
        <f t="shared" ref="M1475:M1538" si="46">J1475 &amp; K1475 &amp; L1475</f>
        <v>322</v>
      </c>
      <c r="N1475" s="6" t="str">
        <f t="shared" ref="N1475:N1538" si="47">IF(AND(J1475&gt;=4,K1475&lt;=2),"New Customers",
IF(AND(J1475&lt;=2,K1475&gt;=3,L1475&gt;=3),"At Risk",
IF(AND(J1475&lt;=2,K1475&lt;=2,L1475&gt;=3),"Can't Lose Them",
IF(AND(J1475&lt;=2,K1475&lt;=2,L1475&lt;=2),"Lost",
"Others"))))</f>
        <v>Others</v>
      </c>
    </row>
    <row r="1476" spans="1:14" x14ac:dyDescent="0.35">
      <c r="A1476">
        <v>1157</v>
      </c>
      <c r="B1476" s="4">
        <v>45775.375085336993</v>
      </c>
      <c r="C1476" t="s">
        <v>10</v>
      </c>
      <c r="D1476" t="s">
        <v>18</v>
      </c>
      <c r="E1476" t="s">
        <v>25</v>
      </c>
      <c r="F1476">
        <v>4595.3500000000004</v>
      </c>
      <c r="G1476">
        <f t="array" ref="G1476">SalesData!$I$2 - 'RFM Table'!B1476</f>
        <v>361</v>
      </c>
      <c r="H1476">
        <f t="array" ref="H1476">COUNTIF(A:A,A1476)</f>
        <v>11</v>
      </c>
      <c r="I1476">
        <f t="array" ref="I1476">SUMIF(A:A,A1476,F:F)</f>
        <v>45651.77</v>
      </c>
      <c r="J1476">
        <f t="array" ref="J1476">5 - INT(5 * (RANK(G1476,G:G, 1) - 1) / COUNT(G:G))</f>
        <v>3</v>
      </c>
      <c r="K1476">
        <f t="array" ref="K1476">INT(5 * (RANK(H1476,H:H, 0) - 1) / COUNT(H:H)) + 1</f>
        <v>1</v>
      </c>
      <c r="L1476">
        <f t="array" ref="L1476">INT(5 * (RANK(I1476,I:I, 0) - 1) / COUNT(I:I)) + 1</f>
        <v>1</v>
      </c>
      <c r="M1476" t="str">
        <f t="shared" si="46"/>
        <v>311</v>
      </c>
      <c r="N1476" s="6" t="str">
        <f t="shared" si="47"/>
        <v>Others</v>
      </c>
    </row>
    <row r="1477" spans="1:14" x14ac:dyDescent="0.35">
      <c r="A1477">
        <v>1357</v>
      </c>
      <c r="B1477" s="4">
        <v>45775.375085336993</v>
      </c>
      <c r="C1477" t="s">
        <v>11</v>
      </c>
      <c r="D1477" t="s">
        <v>19</v>
      </c>
      <c r="E1477" t="s">
        <v>24</v>
      </c>
      <c r="F1477">
        <v>4138.1499999999996</v>
      </c>
      <c r="G1477">
        <f t="array" ref="G1477">SalesData!$I$2 - 'RFM Table'!B1477</f>
        <v>361</v>
      </c>
      <c r="H1477">
        <f t="array" ref="H1477">COUNTIF(A:A,A1477)</f>
        <v>3</v>
      </c>
      <c r="I1477">
        <f t="array" ref="I1477">SUMIF(A:A,A1477,F:F)</f>
        <v>8934.2099999999991</v>
      </c>
      <c r="J1477">
        <f t="array" ref="J1477">5 - INT(5 * (RANK(G1477,G:G, 1) - 1) / COUNT(G:G))</f>
        <v>3</v>
      </c>
      <c r="K1477">
        <f t="array" ref="K1477">INT(5 * (RANK(H1477,H:H, 0) - 1) / COUNT(H:H)) + 1</f>
        <v>5</v>
      </c>
      <c r="L1477">
        <f t="array" ref="L1477">INT(5 * (RANK(I1477,I:I, 0) - 1) / COUNT(I:I)) + 1</f>
        <v>5</v>
      </c>
      <c r="M1477" t="str">
        <f t="shared" si="46"/>
        <v>355</v>
      </c>
      <c r="N1477" s="6" t="str">
        <f t="shared" si="47"/>
        <v>Others</v>
      </c>
    </row>
    <row r="1478" spans="1:14" x14ac:dyDescent="0.35">
      <c r="A1478">
        <v>1376</v>
      </c>
      <c r="B1478" s="4">
        <v>45775.375085336993</v>
      </c>
      <c r="C1478" t="s">
        <v>7</v>
      </c>
      <c r="D1478" t="s">
        <v>16</v>
      </c>
      <c r="E1478" t="s">
        <v>25</v>
      </c>
      <c r="F1478">
        <v>4978.43</v>
      </c>
      <c r="G1478">
        <f t="array" ref="G1478">SalesData!$I$2 - 'RFM Table'!B1478</f>
        <v>361</v>
      </c>
      <c r="H1478">
        <f t="array" ref="H1478">COUNTIF(A:A,A1478)</f>
        <v>6</v>
      </c>
      <c r="I1478">
        <f t="array" ref="I1478">SUMIF(A:A,A1478,F:F)</f>
        <v>21816.019999999997</v>
      </c>
      <c r="J1478">
        <f t="array" ref="J1478">5 - INT(5 * (RANK(G1478,G:G, 1) - 1) / COUNT(G:G))</f>
        <v>3</v>
      </c>
      <c r="K1478">
        <f t="array" ref="K1478">INT(5 * (RANK(H1478,H:H, 0) - 1) / COUNT(H:H)) + 1</f>
        <v>4</v>
      </c>
      <c r="L1478">
        <f t="array" ref="L1478">INT(5 * (RANK(I1478,I:I, 0) - 1) / COUNT(I:I)) + 1</f>
        <v>4</v>
      </c>
      <c r="M1478" t="str">
        <f t="shared" si="46"/>
        <v>344</v>
      </c>
      <c r="N1478" s="6" t="str">
        <f t="shared" si="47"/>
        <v>Others</v>
      </c>
    </row>
    <row r="1479" spans="1:14" x14ac:dyDescent="0.35">
      <c r="A1479">
        <v>1072</v>
      </c>
      <c r="B1479" s="4">
        <v>45776.375085336993</v>
      </c>
      <c r="C1479" t="s">
        <v>13</v>
      </c>
      <c r="D1479" t="s">
        <v>22</v>
      </c>
      <c r="E1479" t="s">
        <v>23</v>
      </c>
      <c r="F1479">
        <v>3874.08</v>
      </c>
      <c r="G1479">
        <f t="array" ref="G1479">SalesData!$I$2 - 'RFM Table'!B1479</f>
        <v>360</v>
      </c>
      <c r="H1479">
        <f t="array" ref="H1479">COUNTIF(A:A,A1479)</f>
        <v>8</v>
      </c>
      <c r="I1479">
        <f t="array" ref="I1479">SUMIF(A:A,A1479,F:F)</f>
        <v>30568.039999999997</v>
      </c>
      <c r="J1479">
        <f t="array" ref="J1479">5 - INT(5 * (RANK(G1479,G:G, 1) - 1) / COUNT(G:G))</f>
        <v>3</v>
      </c>
      <c r="K1479">
        <f t="array" ref="K1479">INT(5 * (RANK(H1479,H:H, 0) - 1) / COUNT(H:H)) + 1</f>
        <v>3</v>
      </c>
      <c r="L1479">
        <f t="array" ref="L1479">INT(5 * (RANK(I1479,I:I, 0) - 1) / COUNT(I:I)) + 1</f>
        <v>3</v>
      </c>
      <c r="M1479" t="str">
        <f t="shared" si="46"/>
        <v>333</v>
      </c>
      <c r="N1479" s="6" t="str">
        <f t="shared" si="47"/>
        <v>Others</v>
      </c>
    </row>
    <row r="1480" spans="1:14" x14ac:dyDescent="0.35">
      <c r="A1480">
        <v>1075</v>
      </c>
      <c r="B1480" s="4">
        <v>45776.375085336993</v>
      </c>
      <c r="C1480" t="s">
        <v>7</v>
      </c>
      <c r="D1480" t="s">
        <v>21</v>
      </c>
      <c r="E1480" t="s">
        <v>24</v>
      </c>
      <c r="F1480">
        <v>4862.41</v>
      </c>
      <c r="G1480">
        <f t="array" ref="G1480">SalesData!$I$2 - 'RFM Table'!B1480</f>
        <v>360</v>
      </c>
      <c r="H1480">
        <f t="array" ref="H1480">COUNTIF(A:A,A1480)</f>
        <v>8</v>
      </c>
      <c r="I1480">
        <f t="array" ref="I1480">SUMIF(A:A,A1480,F:F)</f>
        <v>27084.66</v>
      </c>
      <c r="J1480">
        <f t="array" ref="J1480">5 - INT(5 * (RANK(G1480,G:G, 1) - 1) / COUNT(G:G))</f>
        <v>3</v>
      </c>
      <c r="K1480">
        <f t="array" ref="K1480">INT(5 * (RANK(H1480,H:H, 0) - 1) / COUNT(H:H)) + 1</f>
        <v>3</v>
      </c>
      <c r="L1480">
        <f t="array" ref="L1480">INT(5 * (RANK(I1480,I:I, 0) - 1) / COUNT(I:I)) + 1</f>
        <v>4</v>
      </c>
      <c r="M1480" t="str">
        <f t="shared" si="46"/>
        <v>334</v>
      </c>
      <c r="N1480" s="6" t="str">
        <f t="shared" si="47"/>
        <v>Others</v>
      </c>
    </row>
    <row r="1481" spans="1:14" x14ac:dyDescent="0.35">
      <c r="A1481">
        <v>1177</v>
      </c>
      <c r="B1481" s="4">
        <v>45776.375085336993</v>
      </c>
      <c r="C1481" t="s">
        <v>12</v>
      </c>
      <c r="D1481" t="s">
        <v>17</v>
      </c>
      <c r="E1481" t="s">
        <v>24</v>
      </c>
      <c r="F1481">
        <v>7938.33</v>
      </c>
      <c r="G1481">
        <f t="array" ref="G1481">SalesData!$I$2 - 'RFM Table'!B1481</f>
        <v>360</v>
      </c>
      <c r="H1481">
        <f t="array" ref="H1481">COUNTIF(A:A,A1481)</f>
        <v>9</v>
      </c>
      <c r="I1481">
        <f t="array" ref="I1481">SUMIF(A:A,A1481,F:F)</f>
        <v>27857.719999999998</v>
      </c>
      <c r="J1481">
        <f t="array" ref="J1481">5 - INT(5 * (RANK(G1481,G:G, 1) - 1) / COUNT(G:G))</f>
        <v>3</v>
      </c>
      <c r="K1481">
        <f t="array" ref="K1481">INT(5 * (RANK(H1481,H:H, 0) - 1) / COUNT(H:H)) + 1</f>
        <v>2</v>
      </c>
      <c r="L1481">
        <f t="array" ref="L1481">INT(5 * (RANK(I1481,I:I, 0) - 1) / COUNT(I:I)) + 1</f>
        <v>4</v>
      </c>
      <c r="M1481" t="str">
        <f t="shared" si="46"/>
        <v>324</v>
      </c>
      <c r="N1481" s="6" t="str">
        <f t="shared" si="47"/>
        <v>Others</v>
      </c>
    </row>
    <row r="1482" spans="1:14" x14ac:dyDescent="0.35">
      <c r="A1482">
        <v>1016</v>
      </c>
      <c r="B1482" s="4">
        <v>45776.375085336993</v>
      </c>
      <c r="C1482" t="s">
        <v>9</v>
      </c>
      <c r="D1482" t="s">
        <v>18</v>
      </c>
      <c r="E1482" t="s">
        <v>23</v>
      </c>
      <c r="F1482">
        <v>2625.84</v>
      </c>
      <c r="G1482">
        <f t="array" ref="G1482">SalesData!$I$2 - 'RFM Table'!B1482</f>
        <v>360</v>
      </c>
      <c r="H1482">
        <f t="array" ref="H1482">COUNTIF(A:A,A1482)</f>
        <v>9</v>
      </c>
      <c r="I1482">
        <f t="array" ref="I1482">SUMIF(A:A,A1482,F:F)</f>
        <v>37239.53</v>
      </c>
      <c r="J1482">
        <f t="array" ref="J1482">5 - INT(5 * (RANK(G1482,G:G, 1) - 1) / COUNT(G:G))</f>
        <v>3</v>
      </c>
      <c r="K1482">
        <f t="array" ref="K1482">INT(5 * (RANK(H1482,H:H, 0) - 1) / COUNT(H:H)) + 1</f>
        <v>2</v>
      </c>
      <c r="L1482">
        <f t="array" ref="L1482">INT(5 * (RANK(I1482,I:I, 0) - 1) / COUNT(I:I)) + 1</f>
        <v>2</v>
      </c>
      <c r="M1482" t="str">
        <f t="shared" si="46"/>
        <v>322</v>
      </c>
      <c r="N1482" s="6" t="str">
        <f t="shared" si="47"/>
        <v>Others</v>
      </c>
    </row>
    <row r="1483" spans="1:14" x14ac:dyDescent="0.35">
      <c r="A1483">
        <v>1199</v>
      </c>
      <c r="B1483" s="4">
        <v>45776.375085336993</v>
      </c>
      <c r="C1483" t="s">
        <v>13</v>
      </c>
      <c r="D1483" t="s">
        <v>22</v>
      </c>
      <c r="E1483" t="s">
        <v>25</v>
      </c>
      <c r="F1483">
        <v>5993.76</v>
      </c>
      <c r="G1483">
        <f t="array" ref="G1483">SalesData!$I$2 - 'RFM Table'!B1483</f>
        <v>360</v>
      </c>
      <c r="H1483">
        <f t="array" ref="H1483">COUNTIF(A:A,A1483)</f>
        <v>5</v>
      </c>
      <c r="I1483">
        <f t="array" ref="I1483">SUMIF(A:A,A1483,F:F)</f>
        <v>17477.019999999997</v>
      </c>
      <c r="J1483">
        <f t="array" ref="J1483">5 - INT(5 * (RANK(G1483,G:G, 1) - 1) / COUNT(G:G))</f>
        <v>3</v>
      </c>
      <c r="K1483">
        <f t="array" ref="K1483">INT(5 * (RANK(H1483,H:H, 0) - 1) / COUNT(H:H)) + 1</f>
        <v>5</v>
      </c>
      <c r="L1483">
        <f t="array" ref="L1483">INT(5 * (RANK(I1483,I:I, 0) - 1) / COUNT(I:I)) + 1</f>
        <v>5</v>
      </c>
      <c r="M1483" t="str">
        <f t="shared" si="46"/>
        <v>355</v>
      </c>
      <c r="N1483" s="6" t="str">
        <f t="shared" si="47"/>
        <v>Others</v>
      </c>
    </row>
    <row r="1484" spans="1:14" x14ac:dyDescent="0.35">
      <c r="A1484">
        <v>1100</v>
      </c>
      <c r="B1484" s="4">
        <v>45776.375085336993</v>
      </c>
      <c r="C1484" t="s">
        <v>8</v>
      </c>
      <c r="D1484" t="s">
        <v>19</v>
      </c>
      <c r="E1484" t="s">
        <v>24</v>
      </c>
      <c r="F1484">
        <v>3459.55</v>
      </c>
      <c r="G1484">
        <f t="array" ref="G1484">SalesData!$I$2 - 'RFM Table'!B1484</f>
        <v>360</v>
      </c>
      <c r="H1484">
        <f t="array" ref="H1484">COUNTIF(A:A,A1484)</f>
        <v>12</v>
      </c>
      <c r="I1484">
        <f t="array" ref="I1484">SUMIF(A:A,A1484,F:F)</f>
        <v>54905.279999999992</v>
      </c>
      <c r="J1484">
        <f t="array" ref="J1484">5 - INT(5 * (RANK(G1484,G:G, 1) - 1) / COUNT(G:G))</f>
        <v>3</v>
      </c>
      <c r="K1484">
        <f t="array" ref="K1484">INT(5 * (RANK(H1484,H:H, 0) - 1) / COUNT(H:H)) + 1</f>
        <v>1</v>
      </c>
      <c r="L1484">
        <f t="array" ref="L1484">INT(5 * (RANK(I1484,I:I, 0) - 1) / COUNT(I:I)) + 1</f>
        <v>1</v>
      </c>
      <c r="M1484" t="str">
        <f t="shared" si="46"/>
        <v>311</v>
      </c>
      <c r="N1484" s="6" t="str">
        <f t="shared" si="47"/>
        <v>Others</v>
      </c>
    </row>
    <row r="1485" spans="1:14" x14ac:dyDescent="0.35">
      <c r="A1485">
        <v>1059</v>
      </c>
      <c r="B1485" s="4">
        <v>45777.375085336993</v>
      </c>
      <c r="C1485" t="s">
        <v>9</v>
      </c>
      <c r="D1485" t="s">
        <v>21</v>
      </c>
      <c r="E1485" t="s">
        <v>23</v>
      </c>
      <c r="F1485">
        <v>5733.57</v>
      </c>
      <c r="G1485">
        <f t="array" ref="G1485">SalesData!$I$2 - 'RFM Table'!B1485</f>
        <v>359</v>
      </c>
      <c r="H1485">
        <f t="array" ref="H1485">COUNTIF(A:A,A1485)</f>
        <v>8</v>
      </c>
      <c r="I1485">
        <f t="array" ref="I1485">SUMIF(A:A,A1485,F:F)</f>
        <v>38016.57</v>
      </c>
      <c r="J1485">
        <f t="array" ref="J1485">5 - INT(5 * (RANK(G1485,G:G, 1) - 1) / COUNT(G:G))</f>
        <v>3</v>
      </c>
      <c r="K1485">
        <f t="array" ref="K1485">INT(5 * (RANK(H1485,H:H, 0) - 1) / COUNT(H:H)) + 1</f>
        <v>3</v>
      </c>
      <c r="L1485">
        <f t="array" ref="L1485">INT(5 * (RANK(I1485,I:I, 0) - 1) / COUNT(I:I)) + 1</f>
        <v>2</v>
      </c>
      <c r="M1485" t="str">
        <f t="shared" si="46"/>
        <v>332</v>
      </c>
      <c r="N1485" s="6" t="str">
        <f t="shared" si="47"/>
        <v>Others</v>
      </c>
    </row>
    <row r="1486" spans="1:14" x14ac:dyDescent="0.35">
      <c r="A1486">
        <v>1038</v>
      </c>
      <c r="B1486" s="4">
        <v>45777.375085336993</v>
      </c>
      <c r="C1486" t="s">
        <v>10</v>
      </c>
      <c r="D1486" t="s">
        <v>18</v>
      </c>
      <c r="E1486" t="s">
        <v>25</v>
      </c>
      <c r="F1486">
        <v>4291.32</v>
      </c>
      <c r="G1486">
        <f t="array" ref="G1486">SalesData!$I$2 - 'RFM Table'!B1486</f>
        <v>359</v>
      </c>
      <c r="H1486">
        <f t="array" ref="H1486">COUNTIF(A:A,A1486)</f>
        <v>16</v>
      </c>
      <c r="I1486">
        <f t="array" ref="I1486">SUMIF(A:A,A1486,F:F)</f>
        <v>76962.720000000001</v>
      </c>
      <c r="J1486">
        <f t="array" ref="J1486">5 - INT(5 * (RANK(G1486,G:G, 1) - 1) / COUNT(G:G))</f>
        <v>3</v>
      </c>
      <c r="K1486">
        <f t="array" ref="K1486">INT(5 * (RANK(H1486,H:H, 0) - 1) / COUNT(H:H)) + 1</f>
        <v>1</v>
      </c>
      <c r="L1486">
        <f t="array" ref="L1486">INT(5 * (RANK(I1486,I:I, 0) - 1) / COUNT(I:I)) + 1</f>
        <v>1</v>
      </c>
      <c r="M1486" t="str">
        <f t="shared" si="46"/>
        <v>311</v>
      </c>
      <c r="N1486" s="6" t="str">
        <f t="shared" si="47"/>
        <v>Others</v>
      </c>
    </row>
    <row r="1487" spans="1:14" x14ac:dyDescent="0.35">
      <c r="A1487">
        <v>1046</v>
      </c>
      <c r="B1487" s="4">
        <v>45778.375085336993</v>
      </c>
      <c r="C1487" t="s">
        <v>12</v>
      </c>
      <c r="D1487" t="s">
        <v>16</v>
      </c>
      <c r="E1487" t="s">
        <v>24</v>
      </c>
      <c r="F1487">
        <v>3607.94</v>
      </c>
      <c r="G1487">
        <f t="array" ref="G1487">SalesData!$I$2 - 'RFM Table'!B1487</f>
        <v>358</v>
      </c>
      <c r="H1487">
        <f t="array" ref="H1487">COUNTIF(A:A,A1487)</f>
        <v>9</v>
      </c>
      <c r="I1487">
        <f t="array" ref="I1487">SUMIF(A:A,A1487,F:F)</f>
        <v>26580.030000000002</v>
      </c>
      <c r="J1487">
        <f t="array" ref="J1487">5 - INT(5 * (RANK(G1487,G:G, 1) - 1) / COUNT(G:G))</f>
        <v>3</v>
      </c>
      <c r="K1487">
        <f t="array" ref="K1487">INT(5 * (RANK(H1487,H:H, 0) - 1) / COUNT(H:H)) + 1</f>
        <v>2</v>
      </c>
      <c r="L1487">
        <f t="array" ref="L1487">INT(5 * (RANK(I1487,I:I, 0) - 1) / COUNT(I:I)) + 1</f>
        <v>4</v>
      </c>
      <c r="M1487" t="str">
        <f t="shared" si="46"/>
        <v>324</v>
      </c>
      <c r="N1487" s="6" t="str">
        <f t="shared" si="47"/>
        <v>Others</v>
      </c>
    </row>
    <row r="1488" spans="1:14" x14ac:dyDescent="0.35">
      <c r="A1488">
        <v>1295</v>
      </c>
      <c r="B1488" s="4">
        <v>45780.375085336993</v>
      </c>
      <c r="C1488" t="s">
        <v>11</v>
      </c>
      <c r="D1488" t="s">
        <v>20</v>
      </c>
      <c r="E1488" t="s">
        <v>23</v>
      </c>
      <c r="F1488">
        <v>3703.62</v>
      </c>
      <c r="G1488">
        <f t="array" ref="G1488">SalesData!$I$2 - 'RFM Table'!B1488</f>
        <v>356</v>
      </c>
      <c r="H1488">
        <f t="array" ref="H1488">COUNTIF(A:A,A1488)</f>
        <v>6</v>
      </c>
      <c r="I1488">
        <f t="array" ref="I1488">SUMIF(A:A,A1488,F:F)</f>
        <v>19844.169999999998</v>
      </c>
      <c r="J1488">
        <f t="array" ref="J1488">5 - INT(5 * (RANK(G1488,G:G, 1) - 1) / COUNT(G:G))</f>
        <v>3</v>
      </c>
      <c r="K1488">
        <f t="array" ref="K1488">INT(5 * (RANK(H1488,H:H, 0) - 1) / COUNT(H:H)) + 1</f>
        <v>4</v>
      </c>
      <c r="L1488">
        <f t="array" ref="L1488">INT(5 * (RANK(I1488,I:I, 0) - 1) / COUNT(I:I)) + 1</f>
        <v>5</v>
      </c>
      <c r="M1488" t="str">
        <f t="shared" si="46"/>
        <v>345</v>
      </c>
      <c r="N1488" s="6" t="str">
        <f t="shared" si="47"/>
        <v>Others</v>
      </c>
    </row>
    <row r="1489" spans="1:14" x14ac:dyDescent="0.35">
      <c r="A1489">
        <v>1148</v>
      </c>
      <c r="B1489" s="4">
        <v>45780.375085336993</v>
      </c>
      <c r="C1489" t="s">
        <v>15</v>
      </c>
      <c r="D1489" t="s">
        <v>21</v>
      </c>
      <c r="E1489" t="s">
        <v>25</v>
      </c>
      <c r="F1489">
        <v>2443.67</v>
      </c>
      <c r="G1489">
        <f t="array" ref="G1489">SalesData!$I$2 - 'RFM Table'!B1489</f>
        <v>356</v>
      </c>
      <c r="H1489">
        <f t="array" ref="H1489">COUNTIF(A:A,A1489)</f>
        <v>12</v>
      </c>
      <c r="I1489">
        <f t="array" ref="I1489">SUMIF(A:A,A1489,F:F)</f>
        <v>83986.299999999988</v>
      </c>
      <c r="J1489">
        <f t="array" ref="J1489">5 - INT(5 * (RANK(G1489,G:G, 1) - 1) / COUNT(G:G))</f>
        <v>3</v>
      </c>
      <c r="K1489">
        <f t="array" ref="K1489">INT(5 * (RANK(H1489,H:H, 0) - 1) / COUNT(H:H)) + 1</f>
        <v>1</v>
      </c>
      <c r="L1489">
        <f t="array" ref="L1489">INT(5 * (RANK(I1489,I:I, 0) - 1) / COUNT(I:I)) + 1</f>
        <v>1</v>
      </c>
      <c r="M1489" t="str">
        <f t="shared" si="46"/>
        <v>311</v>
      </c>
      <c r="N1489" s="6" t="str">
        <f t="shared" si="47"/>
        <v>Others</v>
      </c>
    </row>
    <row r="1490" spans="1:14" x14ac:dyDescent="0.35">
      <c r="A1490">
        <v>1168</v>
      </c>
      <c r="B1490" s="4">
        <v>45780.375085336993</v>
      </c>
      <c r="C1490" t="s">
        <v>9</v>
      </c>
      <c r="D1490" t="s">
        <v>17</v>
      </c>
      <c r="E1490" t="s">
        <v>24</v>
      </c>
      <c r="F1490">
        <v>3655.67</v>
      </c>
      <c r="G1490">
        <f t="array" ref="G1490">SalesData!$I$2 - 'RFM Table'!B1490</f>
        <v>356</v>
      </c>
      <c r="H1490">
        <f t="array" ref="H1490">COUNTIF(A:A,A1490)</f>
        <v>4</v>
      </c>
      <c r="I1490">
        <f t="array" ref="I1490">SUMIF(A:A,A1490,F:F)</f>
        <v>6987.52</v>
      </c>
      <c r="J1490">
        <f t="array" ref="J1490">5 - INT(5 * (RANK(G1490,G:G, 1) - 1) / COUNT(G:G))</f>
        <v>3</v>
      </c>
      <c r="K1490">
        <f t="array" ref="K1490">INT(5 * (RANK(H1490,H:H, 0) - 1) / COUNT(H:H)) + 1</f>
        <v>5</v>
      </c>
      <c r="L1490">
        <f t="array" ref="L1490">INT(5 * (RANK(I1490,I:I, 0) - 1) / COUNT(I:I)) + 1</f>
        <v>5</v>
      </c>
      <c r="M1490" t="str">
        <f t="shared" si="46"/>
        <v>355</v>
      </c>
      <c r="N1490" s="6" t="str">
        <f t="shared" si="47"/>
        <v>Others</v>
      </c>
    </row>
    <row r="1491" spans="1:14" x14ac:dyDescent="0.35">
      <c r="A1491">
        <v>1106</v>
      </c>
      <c r="B1491" s="4">
        <v>45780.375085336993</v>
      </c>
      <c r="C1491" t="s">
        <v>15</v>
      </c>
      <c r="D1491" t="s">
        <v>21</v>
      </c>
      <c r="E1491" t="s">
        <v>23</v>
      </c>
      <c r="F1491">
        <v>4950.84</v>
      </c>
      <c r="G1491">
        <f t="array" ref="G1491">SalesData!$I$2 - 'RFM Table'!B1491</f>
        <v>356</v>
      </c>
      <c r="H1491">
        <f t="array" ref="H1491">COUNTIF(A:A,A1491)</f>
        <v>5</v>
      </c>
      <c r="I1491">
        <f t="array" ref="I1491">SUMIF(A:A,A1491,F:F)</f>
        <v>15143.41</v>
      </c>
      <c r="J1491">
        <f t="array" ref="J1491">5 - INT(5 * (RANK(G1491,G:G, 1) - 1) / COUNT(G:G))</f>
        <v>3</v>
      </c>
      <c r="K1491">
        <f t="array" ref="K1491">INT(5 * (RANK(H1491,H:H, 0) - 1) / COUNT(H:H)) + 1</f>
        <v>5</v>
      </c>
      <c r="L1491">
        <f t="array" ref="L1491">INT(5 * (RANK(I1491,I:I, 0) - 1) / COUNT(I:I)) + 1</f>
        <v>5</v>
      </c>
      <c r="M1491" t="str">
        <f t="shared" si="46"/>
        <v>355</v>
      </c>
      <c r="N1491" s="6" t="str">
        <f t="shared" si="47"/>
        <v>Others</v>
      </c>
    </row>
    <row r="1492" spans="1:14" x14ac:dyDescent="0.35">
      <c r="A1492">
        <v>1057</v>
      </c>
      <c r="B1492" s="4">
        <v>45780.375085336993</v>
      </c>
      <c r="C1492" t="s">
        <v>13</v>
      </c>
      <c r="D1492" t="s">
        <v>21</v>
      </c>
      <c r="E1492" t="s">
        <v>24</v>
      </c>
      <c r="F1492">
        <v>13263.6</v>
      </c>
      <c r="G1492">
        <f t="array" ref="G1492">SalesData!$I$2 - 'RFM Table'!B1492</f>
        <v>356</v>
      </c>
      <c r="H1492">
        <f t="array" ref="H1492">COUNTIF(A:A,A1492)</f>
        <v>9</v>
      </c>
      <c r="I1492">
        <f t="array" ref="I1492">SUMIF(A:A,A1492,F:F)</f>
        <v>32930.549999999996</v>
      </c>
      <c r="J1492">
        <f t="array" ref="J1492">5 - INT(5 * (RANK(G1492,G:G, 1) - 1) / COUNT(G:G))</f>
        <v>3</v>
      </c>
      <c r="K1492">
        <f t="array" ref="K1492">INT(5 * (RANK(H1492,H:H, 0) - 1) / COUNT(H:H)) + 1</f>
        <v>2</v>
      </c>
      <c r="L1492">
        <f t="array" ref="L1492">INT(5 * (RANK(I1492,I:I, 0) - 1) / COUNT(I:I)) + 1</f>
        <v>3</v>
      </c>
      <c r="M1492" t="str">
        <f t="shared" si="46"/>
        <v>323</v>
      </c>
      <c r="N1492" s="6" t="str">
        <f t="shared" si="47"/>
        <v>Others</v>
      </c>
    </row>
    <row r="1493" spans="1:14" x14ac:dyDescent="0.35">
      <c r="A1493">
        <v>1102</v>
      </c>
      <c r="B1493" s="4">
        <v>45780.375085336993</v>
      </c>
      <c r="C1493" t="s">
        <v>12</v>
      </c>
      <c r="D1493" t="s">
        <v>18</v>
      </c>
      <c r="E1493" t="s">
        <v>25</v>
      </c>
      <c r="F1493">
        <v>2552.16</v>
      </c>
      <c r="G1493">
        <f t="array" ref="G1493">SalesData!$I$2 - 'RFM Table'!B1493</f>
        <v>356</v>
      </c>
      <c r="H1493">
        <f t="array" ref="H1493">COUNTIF(A:A,A1493)</f>
        <v>7</v>
      </c>
      <c r="I1493">
        <f t="array" ref="I1493">SUMIF(A:A,A1493,F:F)</f>
        <v>29725.939999999995</v>
      </c>
      <c r="J1493">
        <f t="array" ref="J1493">5 - INT(5 * (RANK(G1493,G:G, 1) - 1) / COUNT(G:G))</f>
        <v>3</v>
      </c>
      <c r="K1493">
        <f t="array" ref="K1493">INT(5 * (RANK(H1493,H:H, 0) - 1) / COUNT(H:H)) + 1</f>
        <v>4</v>
      </c>
      <c r="L1493">
        <f t="array" ref="L1493">INT(5 * (RANK(I1493,I:I, 0) - 1) / COUNT(I:I)) + 1</f>
        <v>3</v>
      </c>
      <c r="M1493" t="str">
        <f t="shared" si="46"/>
        <v>343</v>
      </c>
      <c r="N1493" s="6" t="str">
        <f t="shared" si="47"/>
        <v>Others</v>
      </c>
    </row>
    <row r="1494" spans="1:14" x14ac:dyDescent="0.35">
      <c r="A1494">
        <v>1135</v>
      </c>
      <c r="B1494" s="4">
        <v>45780.375085336993</v>
      </c>
      <c r="C1494" t="s">
        <v>14</v>
      </c>
      <c r="D1494" t="s">
        <v>20</v>
      </c>
      <c r="E1494" t="s">
        <v>25</v>
      </c>
      <c r="F1494">
        <v>2958.57</v>
      </c>
      <c r="G1494">
        <f t="array" ref="G1494">SalesData!$I$2 - 'RFM Table'!B1494</f>
        <v>356</v>
      </c>
      <c r="H1494">
        <f t="array" ref="H1494">COUNTIF(A:A,A1494)</f>
        <v>10</v>
      </c>
      <c r="I1494">
        <f t="array" ref="I1494">SUMIF(A:A,A1494,F:F)</f>
        <v>31217.780000000002</v>
      </c>
      <c r="J1494">
        <f t="array" ref="J1494">5 - INT(5 * (RANK(G1494,G:G, 1) - 1) / COUNT(G:G))</f>
        <v>3</v>
      </c>
      <c r="K1494">
        <f t="array" ref="K1494">INT(5 * (RANK(H1494,H:H, 0) - 1) / COUNT(H:H)) + 1</f>
        <v>2</v>
      </c>
      <c r="L1494">
        <f t="array" ref="L1494">INT(5 * (RANK(I1494,I:I, 0) - 1) / COUNT(I:I)) + 1</f>
        <v>3</v>
      </c>
      <c r="M1494" t="str">
        <f t="shared" si="46"/>
        <v>323</v>
      </c>
      <c r="N1494" s="6" t="str">
        <f t="shared" si="47"/>
        <v>Others</v>
      </c>
    </row>
    <row r="1495" spans="1:14" x14ac:dyDescent="0.35">
      <c r="A1495">
        <v>1285</v>
      </c>
      <c r="B1495" s="4">
        <v>45780.375085336993</v>
      </c>
      <c r="C1495" t="s">
        <v>7</v>
      </c>
      <c r="D1495" t="s">
        <v>17</v>
      </c>
      <c r="E1495" t="s">
        <v>23</v>
      </c>
      <c r="F1495">
        <v>2301.65</v>
      </c>
      <c r="G1495">
        <f t="array" ref="G1495">SalesData!$I$2 - 'RFM Table'!B1495</f>
        <v>356</v>
      </c>
      <c r="H1495">
        <f t="array" ref="H1495">COUNTIF(A:A,A1495)</f>
        <v>9</v>
      </c>
      <c r="I1495">
        <f t="array" ref="I1495">SUMIF(A:A,A1495,F:F)</f>
        <v>27990.980000000003</v>
      </c>
      <c r="J1495">
        <f t="array" ref="J1495">5 - INT(5 * (RANK(G1495,G:G, 1) - 1) / COUNT(G:G))</f>
        <v>3</v>
      </c>
      <c r="K1495">
        <f t="array" ref="K1495">INT(5 * (RANK(H1495,H:H, 0) - 1) / COUNT(H:H)) + 1</f>
        <v>2</v>
      </c>
      <c r="L1495">
        <f t="array" ref="L1495">INT(5 * (RANK(I1495,I:I, 0) - 1) / COUNT(I:I)) + 1</f>
        <v>4</v>
      </c>
      <c r="M1495" t="str">
        <f t="shared" si="46"/>
        <v>324</v>
      </c>
      <c r="N1495" s="6" t="str">
        <f t="shared" si="47"/>
        <v>Others</v>
      </c>
    </row>
    <row r="1496" spans="1:14" x14ac:dyDescent="0.35">
      <c r="A1496">
        <v>1272</v>
      </c>
      <c r="B1496" s="4">
        <v>45781.375085336993</v>
      </c>
      <c r="C1496" t="s">
        <v>15</v>
      </c>
      <c r="D1496" t="s">
        <v>18</v>
      </c>
      <c r="E1496" t="s">
        <v>25</v>
      </c>
      <c r="F1496">
        <v>704.83</v>
      </c>
      <c r="G1496">
        <f t="array" ref="G1496">SalesData!$I$2 - 'RFM Table'!B1496</f>
        <v>355</v>
      </c>
      <c r="H1496">
        <f t="array" ref="H1496">COUNTIF(A:A,A1496)</f>
        <v>10</v>
      </c>
      <c r="I1496">
        <f t="array" ref="I1496">SUMIF(A:A,A1496,F:F)</f>
        <v>54972.43</v>
      </c>
      <c r="J1496">
        <f t="array" ref="J1496">5 - INT(5 * (RANK(G1496,G:G, 1) - 1) / COUNT(G:G))</f>
        <v>3</v>
      </c>
      <c r="K1496">
        <f t="array" ref="K1496">INT(5 * (RANK(H1496,H:H, 0) - 1) / COUNT(H:H)) + 1</f>
        <v>2</v>
      </c>
      <c r="L1496">
        <f t="array" ref="L1496">INT(5 * (RANK(I1496,I:I, 0) - 1) / COUNT(I:I)) + 1</f>
        <v>1</v>
      </c>
      <c r="M1496" t="str">
        <f t="shared" si="46"/>
        <v>321</v>
      </c>
      <c r="N1496" s="6" t="str">
        <f t="shared" si="47"/>
        <v>Others</v>
      </c>
    </row>
    <row r="1497" spans="1:14" x14ac:dyDescent="0.35">
      <c r="A1497">
        <v>1384</v>
      </c>
      <c r="B1497" s="4">
        <v>45781.375085336993</v>
      </c>
      <c r="C1497" t="s">
        <v>13</v>
      </c>
      <c r="D1497" t="s">
        <v>18</v>
      </c>
      <c r="E1497" t="s">
        <v>25</v>
      </c>
      <c r="F1497">
        <v>2283.2800000000002</v>
      </c>
      <c r="G1497">
        <f t="array" ref="G1497">SalesData!$I$2 - 'RFM Table'!B1497</f>
        <v>355</v>
      </c>
      <c r="H1497">
        <f t="array" ref="H1497">COUNTIF(A:A,A1497)</f>
        <v>9</v>
      </c>
      <c r="I1497">
        <f t="array" ref="I1497">SUMIF(A:A,A1497,F:F)</f>
        <v>39434.269999999997</v>
      </c>
      <c r="J1497">
        <f t="array" ref="J1497">5 - INT(5 * (RANK(G1497,G:G, 1) - 1) / COUNT(G:G))</f>
        <v>3</v>
      </c>
      <c r="K1497">
        <f t="array" ref="K1497">INT(5 * (RANK(H1497,H:H, 0) - 1) / COUNT(H:H)) + 1</f>
        <v>2</v>
      </c>
      <c r="L1497">
        <f t="array" ref="L1497">INT(5 * (RANK(I1497,I:I, 0) - 1) / COUNT(I:I)) + 1</f>
        <v>2</v>
      </c>
      <c r="M1497" t="str">
        <f t="shared" si="46"/>
        <v>322</v>
      </c>
      <c r="N1497" s="6" t="str">
        <f t="shared" si="47"/>
        <v>Others</v>
      </c>
    </row>
    <row r="1498" spans="1:14" x14ac:dyDescent="0.35">
      <c r="A1498">
        <v>1008</v>
      </c>
      <c r="B1498" s="4">
        <v>45781.375085336993</v>
      </c>
      <c r="C1498" t="s">
        <v>11</v>
      </c>
      <c r="D1498" t="s">
        <v>16</v>
      </c>
      <c r="E1498" t="s">
        <v>23</v>
      </c>
      <c r="F1498">
        <v>10143.709999999999</v>
      </c>
      <c r="G1498">
        <f t="array" ref="G1498">SalesData!$I$2 - 'RFM Table'!B1498</f>
        <v>355</v>
      </c>
      <c r="H1498">
        <f t="array" ref="H1498">COUNTIF(A:A,A1498)</f>
        <v>9</v>
      </c>
      <c r="I1498">
        <f t="array" ref="I1498">SUMIF(A:A,A1498,F:F)</f>
        <v>32548.37</v>
      </c>
      <c r="J1498">
        <f t="array" ref="J1498">5 - INT(5 * (RANK(G1498,G:G, 1) - 1) / COUNT(G:G))</f>
        <v>3</v>
      </c>
      <c r="K1498">
        <f t="array" ref="K1498">INT(5 * (RANK(H1498,H:H, 0) - 1) / COUNT(H:H)) + 1</f>
        <v>2</v>
      </c>
      <c r="L1498">
        <f t="array" ref="L1498">INT(5 * (RANK(I1498,I:I, 0) - 1) / COUNT(I:I)) + 1</f>
        <v>3</v>
      </c>
      <c r="M1498" t="str">
        <f t="shared" si="46"/>
        <v>323</v>
      </c>
      <c r="N1498" s="6" t="str">
        <f t="shared" si="47"/>
        <v>Others</v>
      </c>
    </row>
    <row r="1499" spans="1:14" x14ac:dyDescent="0.35">
      <c r="A1499">
        <v>1232</v>
      </c>
      <c r="B1499" s="4">
        <v>45781.375085336993</v>
      </c>
      <c r="C1499" t="s">
        <v>9</v>
      </c>
      <c r="D1499" t="s">
        <v>19</v>
      </c>
      <c r="E1499" t="s">
        <v>25</v>
      </c>
      <c r="F1499">
        <v>3221.85</v>
      </c>
      <c r="G1499">
        <f t="array" ref="G1499">SalesData!$I$2 - 'RFM Table'!B1499</f>
        <v>355</v>
      </c>
      <c r="H1499">
        <f t="array" ref="H1499">COUNTIF(A:A,A1499)</f>
        <v>13</v>
      </c>
      <c r="I1499">
        <f t="array" ref="I1499">SUMIF(A:A,A1499,F:F)</f>
        <v>40298.450000000004</v>
      </c>
      <c r="J1499">
        <f t="array" ref="J1499">5 - INT(5 * (RANK(G1499,G:G, 1) - 1) / COUNT(G:G))</f>
        <v>3</v>
      </c>
      <c r="K1499">
        <f t="array" ref="K1499">INT(5 * (RANK(H1499,H:H, 0) - 1) / COUNT(H:H)) + 1</f>
        <v>1</v>
      </c>
      <c r="L1499">
        <f t="array" ref="L1499">INT(5 * (RANK(I1499,I:I, 0) - 1) / COUNT(I:I)) + 1</f>
        <v>2</v>
      </c>
      <c r="M1499" t="str">
        <f t="shared" si="46"/>
        <v>312</v>
      </c>
      <c r="N1499" s="6" t="str">
        <f t="shared" si="47"/>
        <v>Others</v>
      </c>
    </row>
    <row r="1500" spans="1:14" x14ac:dyDescent="0.35">
      <c r="A1500">
        <v>1191</v>
      </c>
      <c r="B1500" s="4">
        <v>45781.375085336993</v>
      </c>
      <c r="C1500" t="s">
        <v>7</v>
      </c>
      <c r="D1500" t="s">
        <v>21</v>
      </c>
      <c r="E1500" t="s">
        <v>25</v>
      </c>
      <c r="F1500">
        <v>2500.5500000000002</v>
      </c>
      <c r="G1500">
        <f t="array" ref="G1500">SalesData!$I$2 - 'RFM Table'!B1500</f>
        <v>355</v>
      </c>
      <c r="H1500">
        <f t="array" ref="H1500">COUNTIF(A:A,A1500)</f>
        <v>11</v>
      </c>
      <c r="I1500">
        <f t="array" ref="I1500">SUMIF(A:A,A1500,F:F)</f>
        <v>30527.53</v>
      </c>
      <c r="J1500">
        <f t="array" ref="J1500">5 - INT(5 * (RANK(G1500,G:G, 1) - 1) / COUNT(G:G))</f>
        <v>3</v>
      </c>
      <c r="K1500">
        <f t="array" ref="K1500">INT(5 * (RANK(H1500,H:H, 0) - 1) / COUNT(H:H)) + 1</f>
        <v>1</v>
      </c>
      <c r="L1500">
        <f t="array" ref="L1500">INT(5 * (RANK(I1500,I:I, 0) - 1) / COUNT(I:I)) + 1</f>
        <v>3</v>
      </c>
      <c r="M1500" t="str">
        <f t="shared" si="46"/>
        <v>313</v>
      </c>
      <c r="N1500" s="6" t="str">
        <f t="shared" si="47"/>
        <v>Others</v>
      </c>
    </row>
    <row r="1501" spans="1:14" x14ac:dyDescent="0.35">
      <c r="A1501">
        <v>1202</v>
      </c>
      <c r="B1501" s="4">
        <v>45781.375085336993</v>
      </c>
      <c r="C1501" t="s">
        <v>6</v>
      </c>
      <c r="D1501" t="s">
        <v>21</v>
      </c>
      <c r="E1501" t="s">
        <v>25</v>
      </c>
      <c r="F1501">
        <v>3653.59</v>
      </c>
      <c r="G1501">
        <f t="array" ref="G1501">SalesData!$I$2 - 'RFM Table'!B1501</f>
        <v>355</v>
      </c>
      <c r="H1501">
        <f t="array" ref="H1501">COUNTIF(A:A,A1501)</f>
        <v>6</v>
      </c>
      <c r="I1501">
        <f t="array" ref="I1501">SUMIF(A:A,A1501,F:F)</f>
        <v>14707.359999999999</v>
      </c>
      <c r="J1501">
        <f t="array" ref="J1501">5 - INT(5 * (RANK(G1501,G:G, 1) - 1) / COUNT(G:G))</f>
        <v>3</v>
      </c>
      <c r="K1501">
        <f t="array" ref="K1501">INT(5 * (RANK(H1501,H:H, 0) - 1) / COUNT(H:H)) + 1</f>
        <v>4</v>
      </c>
      <c r="L1501">
        <f t="array" ref="L1501">INT(5 * (RANK(I1501,I:I, 0) - 1) / COUNT(I:I)) + 1</f>
        <v>5</v>
      </c>
      <c r="M1501" t="str">
        <f t="shared" si="46"/>
        <v>345</v>
      </c>
      <c r="N1501" s="6" t="str">
        <f t="shared" si="47"/>
        <v>Others</v>
      </c>
    </row>
    <row r="1502" spans="1:14" x14ac:dyDescent="0.35">
      <c r="A1502">
        <v>1370</v>
      </c>
      <c r="B1502" s="4">
        <v>45781.375085336993</v>
      </c>
      <c r="C1502" t="s">
        <v>15</v>
      </c>
      <c r="D1502" t="s">
        <v>16</v>
      </c>
      <c r="E1502" t="s">
        <v>24</v>
      </c>
      <c r="F1502">
        <v>184.77</v>
      </c>
      <c r="G1502">
        <f t="array" ref="G1502">SalesData!$I$2 - 'RFM Table'!B1502</f>
        <v>355</v>
      </c>
      <c r="H1502">
        <f t="array" ref="H1502">COUNTIF(A:A,A1502)</f>
        <v>12</v>
      </c>
      <c r="I1502">
        <f t="array" ref="I1502">SUMIF(A:A,A1502,F:F)</f>
        <v>46195.360000000001</v>
      </c>
      <c r="J1502">
        <f t="array" ref="J1502">5 - INT(5 * (RANK(G1502,G:G, 1) - 1) / COUNT(G:G))</f>
        <v>3</v>
      </c>
      <c r="K1502">
        <f t="array" ref="K1502">INT(5 * (RANK(H1502,H:H, 0) - 1) / COUNT(H:H)) + 1</f>
        <v>1</v>
      </c>
      <c r="L1502">
        <f t="array" ref="L1502">INT(5 * (RANK(I1502,I:I, 0) - 1) / COUNT(I:I)) + 1</f>
        <v>1</v>
      </c>
      <c r="M1502" t="str">
        <f t="shared" si="46"/>
        <v>311</v>
      </c>
      <c r="N1502" s="6" t="str">
        <f t="shared" si="47"/>
        <v>Others</v>
      </c>
    </row>
    <row r="1503" spans="1:14" x14ac:dyDescent="0.35">
      <c r="A1503">
        <v>1139</v>
      </c>
      <c r="B1503" s="4">
        <v>45782.375085336993</v>
      </c>
      <c r="C1503" t="s">
        <v>14</v>
      </c>
      <c r="D1503" t="s">
        <v>16</v>
      </c>
      <c r="E1503" t="s">
        <v>24</v>
      </c>
      <c r="F1503">
        <v>1641.11</v>
      </c>
      <c r="G1503">
        <f t="array" ref="G1503">SalesData!$I$2 - 'RFM Table'!B1503</f>
        <v>354</v>
      </c>
      <c r="H1503">
        <f t="array" ref="H1503">COUNTIF(A:A,A1503)</f>
        <v>4</v>
      </c>
      <c r="I1503">
        <f t="array" ref="I1503">SUMIF(A:A,A1503,F:F)</f>
        <v>13576.4</v>
      </c>
      <c r="J1503">
        <f t="array" ref="J1503">5 - INT(5 * (RANK(G1503,G:G, 1) - 1) / COUNT(G:G))</f>
        <v>3</v>
      </c>
      <c r="K1503">
        <f t="array" ref="K1503">INT(5 * (RANK(H1503,H:H, 0) - 1) / COUNT(H:H)) + 1</f>
        <v>5</v>
      </c>
      <c r="L1503">
        <f t="array" ref="L1503">INT(5 * (RANK(I1503,I:I, 0) - 1) / COUNT(I:I)) + 1</f>
        <v>5</v>
      </c>
      <c r="M1503" t="str">
        <f t="shared" si="46"/>
        <v>355</v>
      </c>
      <c r="N1503" s="6" t="str">
        <f t="shared" si="47"/>
        <v>Others</v>
      </c>
    </row>
    <row r="1504" spans="1:14" x14ac:dyDescent="0.35">
      <c r="A1504">
        <v>1072</v>
      </c>
      <c r="B1504" s="4">
        <v>45782.375085336993</v>
      </c>
      <c r="C1504" t="s">
        <v>11</v>
      </c>
      <c r="D1504" t="s">
        <v>22</v>
      </c>
      <c r="E1504" t="s">
        <v>23</v>
      </c>
      <c r="F1504">
        <v>5438.99</v>
      </c>
      <c r="G1504">
        <f t="array" ref="G1504">SalesData!$I$2 - 'RFM Table'!B1504</f>
        <v>354</v>
      </c>
      <c r="H1504">
        <f t="array" ref="H1504">COUNTIF(A:A,A1504)</f>
        <v>8</v>
      </c>
      <c r="I1504">
        <f t="array" ref="I1504">SUMIF(A:A,A1504,F:F)</f>
        <v>30568.039999999997</v>
      </c>
      <c r="J1504">
        <f t="array" ref="J1504">5 - INT(5 * (RANK(G1504,G:G, 1) - 1) / COUNT(G:G))</f>
        <v>3</v>
      </c>
      <c r="K1504">
        <f t="array" ref="K1504">INT(5 * (RANK(H1504,H:H, 0) - 1) / COUNT(H:H)) + 1</f>
        <v>3</v>
      </c>
      <c r="L1504">
        <f t="array" ref="L1504">INT(5 * (RANK(I1504,I:I, 0) - 1) / COUNT(I:I)) + 1</f>
        <v>3</v>
      </c>
      <c r="M1504" t="str">
        <f t="shared" si="46"/>
        <v>333</v>
      </c>
      <c r="N1504" s="6" t="str">
        <f t="shared" si="47"/>
        <v>Others</v>
      </c>
    </row>
    <row r="1505" spans="1:14" x14ac:dyDescent="0.35">
      <c r="A1505">
        <v>1263</v>
      </c>
      <c r="B1505" s="4">
        <v>45782.375085336993</v>
      </c>
      <c r="C1505" t="s">
        <v>7</v>
      </c>
      <c r="D1505" t="s">
        <v>19</v>
      </c>
      <c r="E1505" t="s">
        <v>25</v>
      </c>
      <c r="F1505">
        <v>3535.41</v>
      </c>
      <c r="G1505">
        <f t="array" ref="G1505">SalesData!$I$2 - 'RFM Table'!B1505</f>
        <v>354</v>
      </c>
      <c r="H1505">
        <f t="array" ref="H1505">COUNTIF(A:A,A1505)</f>
        <v>15</v>
      </c>
      <c r="I1505">
        <f t="array" ref="I1505">SUMIF(A:A,A1505,F:F)</f>
        <v>55867.080000000016</v>
      </c>
      <c r="J1505">
        <f t="array" ref="J1505">5 - INT(5 * (RANK(G1505,G:G, 1) - 1) / COUNT(G:G))</f>
        <v>3</v>
      </c>
      <c r="K1505">
        <f t="array" ref="K1505">INT(5 * (RANK(H1505,H:H, 0) - 1) / COUNT(H:H)) + 1</f>
        <v>1</v>
      </c>
      <c r="L1505">
        <f t="array" ref="L1505">INT(5 * (RANK(I1505,I:I, 0) - 1) / COUNT(I:I)) + 1</f>
        <v>1</v>
      </c>
      <c r="M1505" t="str">
        <f t="shared" si="46"/>
        <v>311</v>
      </c>
      <c r="N1505" s="6" t="str">
        <f t="shared" si="47"/>
        <v>Others</v>
      </c>
    </row>
    <row r="1506" spans="1:14" x14ac:dyDescent="0.35">
      <c r="A1506">
        <v>1396</v>
      </c>
      <c r="B1506" s="4">
        <v>45783.375085336993</v>
      </c>
      <c r="C1506" t="s">
        <v>7</v>
      </c>
      <c r="D1506" t="s">
        <v>22</v>
      </c>
      <c r="E1506" t="s">
        <v>23</v>
      </c>
      <c r="F1506">
        <v>4043.17</v>
      </c>
      <c r="G1506">
        <f t="array" ref="G1506">SalesData!$I$2 - 'RFM Table'!B1506</f>
        <v>353</v>
      </c>
      <c r="H1506">
        <f t="array" ref="H1506">COUNTIF(A:A,A1506)</f>
        <v>11</v>
      </c>
      <c r="I1506">
        <f t="array" ref="I1506">SUMIF(A:A,A1506,F:F)</f>
        <v>54143.32</v>
      </c>
      <c r="J1506">
        <f t="array" ref="J1506">5 - INT(5 * (RANK(G1506,G:G, 1) - 1) / COUNT(G:G))</f>
        <v>3</v>
      </c>
      <c r="K1506">
        <f t="array" ref="K1506">INT(5 * (RANK(H1506,H:H, 0) - 1) / COUNT(H:H)) + 1</f>
        <v>1</v>
      </c>
      <c r="L1506">
        <f t="array" ref="L1506">INT(5 * (RANK(I1506,I:I, 0) - 1) / COUNT(I:I)) + 1</f>
        <v>1</v>
      </c>
      <c r="M1506" t="str">
        <f t="shared" si="46"/>
        <v>311</v>
      </c>
      <c r="N1506" s="6" t="str">
        <f t="shared" si="47"/>
        <v>Others</v>
      </c>
    </row>
    <row r="1507" spans="1:14" x14ac:dyDescent="0.35">
      <c r="A1507">
        <v>1261</v>
      </c>
      <c r="B1507" s="4">
        <v>45783.375085336993</v>
      </c>
      <c r="C1507" t="s">
        <v>13</v>
      </c>
      <c r="D1507" t="s">
        <v>20</v>
      </c>
      <c r="E1507" t="s">
        <v>23</v>
      </c>
      <c r="F1507">
        <v>3344.62</v>
      </c>
      <c r="G1507">
        <f t="array" ref="G1507">SalesData!$I$2 - 'RFM Table'!B1507</f>
        <v>353</v>
      </c>
      <c r="H1507">
        <f t="array" ref="H1507">COUNTIF(A:A,A1507)</f>
        <v>8</v>
      </c>
      <c r="I1507">
        <f t="array" ref="I1507">SUMIF(A:A,A1507,F:F)</f>
        <v>28310.01</v>
      </c>
      <c r="J1507">
        <f t="array" ref="J1507">5 - INT(5 * (RANK(G1507,G:G, 1) - 1) / COUNT(G:G))</f>
        <v>3</v>
      </c>
      <c r="K1507">
        <f t="array" ref="K1507">INT(5 * (RANK(H1507,H:H, 0) - 1) / COUNT(H:H)) + 1</f>
        <v>3</v>
      </c>
      <c r="L1507">
        <f t="array" ref="L1507">INT(5 * (RANK(I1507,I:I, 0) - 1) / COUNT(I:I)) + 1</f>
        <v>4</v>
      </c>
      <c r="M1507" t="str">
        <f t="shared" si="46"/>
        <v>334</v>
      </c>
      <c r="N1507" s="6" t="str">
        <f t="shared" si="47"/>
        <v>Others</v>
      </c>
    </row>
    <row r="1508" spans="1:14" x14ac:dyDescent="0.35">
      <c r="A1508">
        <v>1223</v>
      </c>
      <c r="B1508" s="4">
        <v>45783.375085336993</v>
      </c>
      <c r="C1508" t="s">
        <v>9</v>
      </c>
      <c r="D1508" t="s">
        <v>19</v>
      </c>
      <c r="E1508" t="s">
        <v>23</v>
      </c>
      <c r="F1508">
        <v>4698.17</v>
      </c>
      <c r="G1508">
        <f t="array" ref="G1508">SalesData!$I$2 - 'RFM Table'!B1508</f>
        <v>353</v>
      </c>
      <c r="H1508">
        <f t="array" ref="H1508">COUNTIF(A:A,A1508)</f>
        <v>12</v>
      </c>
      <c r="I1508">
        <f t="array" ref="I1508">SUMIF(A:A,A1508,F:F)</f>
        <v>40797.409999999996</v>
      </c>
      <c r="J1508">
        <f t="array" ref="J1508">5 - INT(5 * (RANK(G1508,G:G, 1) - 1) / COUNT(G:G))</f>
        <v>3</v>
      </c>
      <c r="K1508">
        <f t="array" ref="K1508">INT(5 * (RANK(H1508,H:H, 0) - 1) / COUNT(H:H)) + 1</f>
        <v>1</v>
      </c>
      <c r="L1508">
        <f t="array" ref="L1508">INT(5 * (RANK(I1508,I:I, 0) - 1) / COUNT(I:I)) + 1</f>
        <v>2</v>
      </c>
      <c r="M1508" t="str">
        <f t="shared" si="46"/>
        <v>312</v>
      </c>
      <c r="N1508" s="6" t="str">
        <f t="shared" si="47"/>
        <v>Others</v>
      </c>
    </row>
    <row r="1509" spans="1:14" x14ac:dyDescent="0.35">
      <c r="A1509">
        <v>1222</v>
      </c>
      <c r="B1509" s="4">
        <v>45783.375085336993</v>
      </c>
      <c r="C1509" t="s">
        <v>15</v>
      </c>
      <c r="D1509" t="s">
        <v>19</v>
      </c>
      <c r="E1509" t="s">
        <v>23</v>
      </c>
      <c r="F1509">
        <v>2362.2600000000002</v>
      </c>
      <c r="G1509">
        <f t="array" ref="G1509">SalesData!$I$2 - 'RFM Table'!B1509</f>
        <v>353</v>
      </c>
      <c r="H1509">
        <f t="array" ref="H1509">COUNTIF(A:A,A1509)</f>
        <v>12</v>
      </c>
      <c r="I1509">
        <f t="array" ref="I1509">SUMIF(A:A,A1509,F:F)</f>
        <v>45191.609999999993</v>
      </c>
      <c r="J1509">
        <f t="array" ref="J1509">5 - INT(5 * (RANK(G1509,G:G, 1) - 1) / COUNT(G:G))</f>
        <v>3</v>
      </c>
      <c r="K1509">
        <f t="array" ref="K1509">INT(5 * (RANK(H1509,H:H, 0) - 1) / COUNT(H:H)) + 1</f>
        <v>1</v>
      </c>
      <c r="L1509">
        <f t="array" ref="L1509">INT(5 * (RANK(I1509,I:I, 0) - 1) / COUNT(I:I)) + 1</f>
        <v>1</v>
      </c>
      <c r="M1509" t="str">
        <f t="shared" si="46"/>
        <v>311</v>
      </c>
      <c r="N1509" s="6" t="str">
        <f t="shared" si="47"/>
        <v>Others</v>
      </c>
    </row>
    <row r="1510" spans="1:14" x14ac:dyDescent="0.35">
      <c r="A1510">
        <v>1382</v>
      </c>
      <c r="B1510" s="4">
        <v>45783.375085336993</v>
      </c>
      <c r="C1510" t="s">
        <v>9</v>
      </c>
      <c r="D1510" t="s">
        <v>18</v>
      </c>
      <c r="E1510" t="s">
        <v>25</v>
      </c>
      <c r="F1510">
        <v>4112.4399999999996</v>
      </c>
      <c r="G1510">
        <f t="array" ref="G1510">SalesData!$I$2 - 'RFM Table'!B1510</f>
        <v>353</v>
      </c>
      <c r="H1510">
        <f t="array" ref="H1510">COUNTIF(A:A,A1510)</f>
        <v>3</v>
      </c>
      <c r="I1510">
        <f t="array" ref="I1510">SUMIF(A:A,A1510,F:F)</f>
        <v>6049.44</v>
      </c>
      <c r="J1510">
        <f t="array" ref="J1510">5 - INT(5 * (RANK(G1510,G:G, 1) - 1) / COUNT(G:G))</f>
        <v>3</v>
      </c>
      <c r="K1510">
        <f t="array" ref="K1510">INT(5 * (RANK(H1510,H:H, 0) - 1) / COUNT(H:H)) + 1</f>
        <v>5</v>
      </c>
      <c r="L1510">
        <f t="array" ref="L1510">INT(5 * (RANK(I1510,I:I, 0) - 1) / COUNT(I:I)) + 1</f>
        <v>5</v>
      </c>
      <c r="M1510" t="str">
        <f t="shared" si="46"/>
        <v>355</v>
      </c>
      <c r="N1510" s="6" t="str">
        <f t="shared" si="47"/>
        <v>Others</v>
      </c>
    </row>
    <row r="1511" spans="1:14" x14ac:dyDescent="0.35">
      <c r="A1511">
        <v>1329</v>
      </c>
      <c r="B1511" s="4">
        <v>45784.375085336993</v>
      </c>
      <c r="C1511" t="s">
        <v>10</v>
      </c>
      <c r="D1511" t="s">
        <v>22</v>
      </c>
      <c r="E1511" t="s">
        <v>25</v>
      </c>
      <c r="F1511">
        <v>2141.61</v>
      </c>
      <c r="G1511">
        <f t="array" ref="G1511">SalesData!$I$2 - 'RFM Table'!B1511</f>
        <v>352</v>
      </c>
      <c r="H1511">
        <f t="array" ref="H1511">COUNTIF(A:A,A1511)</f>
        <v>9</v>
      </c>
      <c r="I1511">
        <f t="array" ref="I1511">SUMIF(A:A,A1511,F:F)</f>
        <v>27881.53</v>
      </c>
      <c r="J1511">
        <f t="array" ref="J1511">5 - INT(5 * (RANK(G1511,G:G, 1) - 1) / COUNT(G:G))</f>
        <v>3</v>
      </c>
      <c r="K1511">
        <f t="array" ref="K1511">INT(5 * (RANK(H1511,H:H, 0) - 1) / COUNT(H:H)) + 1</f>
        <v>2</v>
      </c>
      <c r="L1511">
        <f t="array" ref="L1511">INT(5 * (RANK(I1511,I:I, 0) - 1) / COUNT(I:I)) + 1</f>
        <v>4</v>
      </c>
      <c r="M1511" t="str">
        <f t="shared" si="46"/>
        <v>324</v>
      </c>
      <c r="N1511" s="6" t="str">
        <f t="shared" si="47"/>
        <v>Others</v>
      </c>
    </row>
    <row r="1512" spans="1:14" x14ac:dyDescent="0.35">
      <c r="A1512">
        <v>1145</v>
      </c>
      <c r="B1512" s="4">
        <v>45784.375085336993</v>
      </c>
      <c r="C1512" t="s">
        <v>15</v>
      </c>
      <c r="D1512" t="s">
        <v>16</v>
      </c>
      <c r="E1512" t="s">
        <v>25</v>
      </c>
      <c r="F1512">
        <v>5999.26</v>
      </c>
      <c r="G1512">
        <f t="array" ref="G1512">SalesData!$I$2 - 'RFM Table'!B1512</f>
        <v>352</v>
      </c>
      <c r="H1512">
        <f t="array" ref="H1512">COUNTIF(A:A,A1512)</f>
        <v>9</v>
      </c>
      <c r="I1512">
        <f t="array" ref="I1512">SUMIF(A:A,A1512,F:F)</f>
        <v>36233.340000000004</v>
      </c>
      <c r="J1512">
        <f t="array" ref="J1512">5 - INT(5 * (RANK(G1512,G:G, 1) - 1) / COUNT(G:G))</f>
        <v>3</v>
      </c>
      <c r="K1512">
        <f t="array" ref="K1512">INT(5 * (RANK(H1512,H:H, 0) - 1) / COUNT(H:H)) + 1</f>
        <v>2</v>
      </c>
      <c r="L1512">
        <f t="array" ref="L1512">INT(5 * (RANK(I1512,I:I, 0) - 1) / COUNT(I:I)) + 1</f>
        <v>3</v>
      </c>
      <c r="M1512" t="str">
        <f t="shared" si="46"/>
        <v>323</v>
      </c>
      <c r="N1512" s="6" t="str">
        <f t="shared" si="47"/>
        <v>Others</v>
      </c>
    </row>
    <row r="1513" spans="1:14" x14ac:dyDescent="0.35">
      <c r="A1513">
        <v>1051</v>
      </c>
      <c r="B1513" s="4">
        <v>45784.375085336993</v>
      </c>
      <c r="C1513" t="s">
        <v>7</v>
      </c>
      <c r="D1513" t="s">
        <v>17</v>
      </c>
      <c r="E1513" t="s">
        <v>25</v>
      </c>
      <c r="F1513">
        <v>2408.6999999999998</v>
      </c>
      <c r="G1513">
        <f t="array" ref="G1513">SalesData!$I$2 - 'RFM Table'!B1513</f>
        <v>352</v>
      </c>
      <c r="H1513">
        <f t="array" ref="H1513">COUNTIF(A:A,A1513)</f>
        <v>6</v>
      </c>
      <c r="I1513">
        <f t="array" ref="I1513">SUMIF(A:A,A1513,F:F)</f>
        <v>12660.78</v>
      </c>
      <c r="J1513">
        <f t="array" ref="J1513">5 - INT(5 * (RANK(G1513,G:G, 1) - 1) / COUNT(G:G))</f>
        <v>3</v>
      </c>
      <c r="K1513">
        <f t="array" ref="K1513">INT(5 * (RANK(H1513,H:H, 0) - 1) / COUNT(H:H)) + 1</f>
        <v>4</v>
      </c>
      <c r="L1513">
        <f t="array" ref="L1513">INT(5 * (RANK(I1513,I:I, 0) - 1) / COUNT(I:I)) + 1</f>
        <v>5</v>
      </c>
      <c r="M1513" t="str">
        <f t="shared" si="46"/>
        <v>345</v>
      </c>
      <c r="N1513" s="6" t="str">
        <f t="shared" si="47"/>
        <v>Others</v>
      </c>
    </row>
    <row r="1514" spans="1:14" x14ac:dyDescent="0.35">
      <c r="A1514">
        <v>1125</v>
      </c>
      <c r="B1514" s="4">
        <v>45784.375085336993</v>
      </c>
      <c r="C1514" t="s">
        <v>8</v>
      </c>
      <c r="D1514" t="s">
        <v>16</v>
      </c>
      <c r="E1514" t="s">
        <v>23</v>
      </c>
      <c r="F1514">
        <v>1009.15</v>
      </c>
      <c r="G1514">
        <f t="array" ref="G1514">SalesData!$I$2 - 'RFM Table'!B1514</f>
        <v>352</v>
      </c>
      <c r="H1514">
        <f t="array" ref="H1514">COUNTIF(A:A,A1514)</f>
        <v>9</v>
      </c>
      <c r="I1514">
        <f t="array" ref="I1514">SUMIF(A:A,A1514,F:F)</f>
        <v>32520.350000000002</v>
      </c>
      <c r="J1514">
        <f t="array" ref="J1514">5 - INT(5 * (RANK(G1514,G:G, 1) - 1) / COUNT(G:G))</f>
        <v>3</v>
      </c>
      <c r="K1514">
        <f t="array" ref="K1514">INT(5 * (RANK(H1514,H:H, 0) - 1) / COUNT(H:H)) + 1</f>
        <v>2</v>
      </c>
      <c r="L1514">
        <f t="array" ref="L1514">INT(5 * (RANK(I1514,I:I, 0) - 1) / COUNT(I:I)) + 1</f>
        <v>3</v>
      </c>
      <c r="M1514" t="str">
        <f t="shared" si="46"/>
        <v>323</v>
      </c>
      <c r="N1514" s="6" t="str">
        <f t="shared" si="47"/>
        <v>Others</v>
      </c>
    </row>
    <row r="1515" spans="1:14" x14ac:dyDescent="0.35">
      <c r="A1515">
        <v>1383</v>
      </c>
      <c r="B1515" s="4">
        <v>45785.375085336993</v>
      </c>
      <c r="C1515" t="s">
        <v>11</v>
      </c>
      <c r="D1515" t="s">
        <v>19</v>
      </c>
      <c r="E1515" t="s">
        <v>24</v>
      </c>
      <c r="F1515">
        <v>9249</v>
      </c>
      <c r="G1515">
        <f t="array" ref="G1515">SalesData!$I$2 - 'RFM Table'!B1515</f>
        <v>351</v>
      </c>
      <c r="H1515">
        <f t="array" ref="H1515">COUNTIF(A:A,A1515)</f>
        <v>6</v>
      </c>
      <c r="I1515">
        <f t="array" ref="I1515">SUMIF(A:A,A1515,F:F)</f>
        <v>27159.870000000003</v>
      </c>
      <c r="J1515">
        <f t="array" ref="J1515">5 - INT(5 * (RANK(G1515,G:G, 1) - 1) / COUNT(G:G))</f>
        <v>3</v>
      </c>
      <c r="K1515">
        <f t="array" ref="K1515">INT(5 * (RANK(H1515,H:H, 0) - 1) / COUNT(H:H)) + 1</f>
        <v>4</v>
      </c>
      <c r="L1515">
        <f t="array" ref="L1515">INT(5 * (RANK(I1515,I:I, 0) - 1) / COUNT(I:I)) + 1</f>
        <v>4</v>
      </c>
      <c r="M1515" t="str">
        <f t="shared" si="46"/>
        <v>344</v>
      </c>
      <c r="N1515" s="6" t="str">
        <f t="shared" si="47"/>
        <v>Others</v>
      </c>
    </row>
    <row r="1516" spans="1:14" x14ac:dyDescent="0.35">
      <c r="A1516">
        <v>1381</v>
      </c>
      <c r="B1516" s="4">
        <v>45785.375085336993</v>
      </c>
      <c r="C1516" t="s">
        <v>13</v>
      </c>
      <c r="D1516" t="s">
        <v>17</v>
      </c>
      <c r="E1516" t="s">
        <v>25</v>
      </c>
      <c r="F1516">
        <v>5399.78</v>
      </c>
      <c r="G1516">
        <f t="array" ref="G1516">SalesData!$I$2 - 'RFM Table'!B1516</f>
        <v>351</v>
      </c>
      <c r="H1516">
        <f t="array" ref="H1516">COUNTIF(A:A,A1516)</f>
        <v>7</v>
      </c>
      <c r="I1516">
        <f t="array" ref="I1516">SUMIF(A:A,A1516,F:F)</f>
        <v>32953.599999999999</v>
      </c>
      <c r="J1516">
        <f t="array" ref="J1516">5 - INT(5 * (RANK(G1516,G:G, 1) - 1) / COUNT(G:G))</f>
        <v>3</v>
      </c>
      <c r="K1516">
        <f t="array" ref="K1516">INT(5 * (RANK(H1516,H:H, 0) - 1) / COUNT(H:H)) + 1</f>
        <v>4</v>
      </c>
      <c r="L1516">
        <f t="array" ref="L1516">INT(5 * (RANK(I1516,I:I, 0) - 1) / COUNT(I:I)) + 1</f>
        <v>3</v>
      </c>
      <c r="M1516" t="str">
        <f t="shared" si="46"/>
        <v>343</v>
      </c>
      <c r="N1516" s="6" t="str">
        <f t="shared" si="47"/>
        <v>Others</v>
      </c>
    </row>
    <row r="1517" spans="1:14" x14ac:dyDescent="0.35">
      <c r="A1517">
        <v>1121</v>
      </c>
      <c r="B1517" s="4">
        <v>45785.375085336993</v>
      </c>
      <c r="C1517" t="s">
        <v>6</v>
      </c>
      <c r="D1517" t="s">
        <v>22</v>
      </c>
      <c r="E1517" t="s">
        <v>23</v>
      </c>
      <c r="F1517">
        <v>653.61</v>
      </c>
      <c r="G1517">
        <f t="array" ref="G1517">SalesData!$I$2 - 'RFM Table'!B1517</f>
        <v>351</v>
      </c>
      <c r="H1517">
        <f t="array" ref="H1517">COUNTIF(A:A,A1517)</f>
        <v>10</v>
      </c>
      <c r="I1517">
        <f t="array" ref="I1517">SUMIF(A:A,A1517,F:F)</f>
        <v>28216.130000000005</v>
      </c>
      <c r="J1517">
        <f t="array" ref="J1517">5 - INT(5 * (RANK(G1517,G:G, 1) - 1) / COUNT(G:G))</f>
        <v>3</v>
      </c>
      <c r="K1517">
        <f t="array" ref="K1517">INT(5 * (RANK(H1517,H:H, 0) - 1) / COUNT(H:H)) + 1</f>
        <v>2</v>
      </c>
      <c r="L1517">
        <f t="array" ref="L1517">INT(5 * (RANK(I1517,I:I, 0) - 1) / COUNT(I:I)) + 1</f>
        <v>4</v>
      </c>
      <c r="M1517" t="str">
        <f t="shared" si="46"/>
        <v>324</v>
      </c>
      <c r="N1517" s="6" t="str">
        <f t="shared" si="47"/>
        <v>Others</v>
      </c>
    </row>
    <row r="1518" spans="1:14" x14ac:dyDescent="0.35">
      <c r="A1518">
        <v>1222</v>
      </c>
      <c r="B1518" s="4">
        <v>45785.375085336993</v>
      </c>
      <c r="C1518" t="s">
        <v>11</v>
      </c>
      <c r="D1518" t="s">
        <v>16</v>
      </c>
      <c r="E1518" t="s">
        <v>23</v>
      </c>
      <c r="F1518">
        <v>4994.6899999999996</v>
      </c>
      <c r="G1518">
        <f t="array" ref="G1518">SalesData!$I$2 - 'RFM Table'!B1518</f>
        <v>351</v>
      </c>
      <c r="H1518">
        <f t="array" ref="H1518">COUNTIF(A:A,A1518)</f>
        <v>12</v>
      </c>
      <c r="I1518">
        <f t="array" ref="I1518">SUMIF(A:A,A1518,F:F)</f>
        <v>45191.609999999993</v>
      </c>
      <c r="J1518">
        <f t="array" ref="J1518">5 - INT(5 * (RANK(G1518,G:G, 1) - 1) / COUNT(G:G))</f>
        <v>3</v>
      </c>
      <c r="K1518">
        <f t="array" ref="K1518">INT(5 * (RANK(H1518,H:H, 0) - 1) / COUNT(H:H)) + 1</f>
        <v>1</v>
      </c>
      <c r="L1518">
        <f t="array" ref="L1518">INT(5 * (RANK(I1518,I:I, 0) - 1) / COUNT(I:I)) + 1</f>
        <v>1</v>
      </c>
      <c r="M1518" t="str">
        <f t="shared" si="46"/>
        <v>311</v>
      </c>
      <c r="N1518" s="6" t="str">
        <f t="shared" si="47"/>
        <v>Others</v>
      </c>
    </row>
    <row r="1519" spans="1:14" x14ac:dyDescent="0.35">
      <c r="A1519">
        <v>1251</v>
      </c>
      <c r="B1519" s="4">
        <v>45785.375085336993</v>
      </c>
      <c r="C1519" t="s">
        <v>11</v>
      </c>
      <c r="D1519" t="s">
        <v>16</v>
      </c>
      <c r="E1519" t="s">
        <v>25</v>
      </c>
      <c r="F1519">
        <v>7301.62</v>
      </c>
      <c r="G1519">
        <f t="array" ref="G1519">SalesData!$I$2 - 'RFM Table'!B1519</f>
        <v>351</v>
      </c>
      <c r="H1519">
        <f t="array" ref="H1519">COUNTIF(A:A,A1519)</f>
        <v>9</v>
      </c>
      <c r="I1519">
        <f t="array" ref="I1519">SUMIF(A:A,A1519,F:F)</f>
        <v>39183.29</v>
      </c>
      <c r="J1519">
        <f t="array" ref="J1519">5 - INT(5 * (RANK(G1519,G:G, 1) - 1) / COUNT(G:G))</f>
        <v>3</v>
      </c>
      <c r="K1519">
        <f t="array" ref="K1519">INT(5 * (RANK(H1519,H:H, 0) - 1) / COUNT(H:H)) + 1</f>
        <v>2</v>
      </c>
      <c r="L1519">
        <f t="array" ref="L1519">INT(5 * (RANK(I1519,I:I, 0) - 1) / COUNT(I:I)) + 1</f>
        <v>2</v>
      </c>
      <c r="M1519" t="str">
        <f t="shared" si="46"/>
        <v>322</v>
      </c>
      <c r="N1519" s="6" t="str">
        <f t="shared" si="47"/>
        <v>Others</v>
      </c>
    </row>
    <row r="1520" spans="1:14" x14ac:dyDescent="0.35">
      <c r="A1520">
        <v>1282</v>
      </c>
      <c r="B1520" s="4">
        <v>45786.375085336993</v>
      </c>
      <c r="C1520" t="s">
        <v>15</v>
      </c>
      <c r="D1520" t="s">
        <v>21</v>
      </c>
      <c r="E1520" t="s">
        <v>25</v>
      </c>
      <c r="F1520">
        <v>2588.37</v>
      </c>
      <c r="G1520">
        <f t="array" ref="G1520">SalesData!$I$2 - 'RFM Table'!B1520</f>
        <v>350</v>
      </c>
      <c r="H1520">
        <f t="array" ref="H1520">COUNTIF(A:A,A1520)</f>
        <v>7</v>
      </c>
      <c r="I1520">
        <f t="array" ref="I1520">SUMIF(A:A,A1520,F:F)</f>
        <v>37438.960000000006</v>
      </c>
      <c r="J1520">
        <f t="array" ref="J1520">5 - INT(5 * (RANK(G1520,G:G, 1) - 1) / COUNT(G:G))</f>
        <v>3</v>
      </c>
      <c r="K1520">
        <f t="array" ref="K1520">INT(5 * (RANK(H1520,H:H, 0) - 1) / COUNT(H:H)) + 1</f>
        <v>4</v>
      </c>
      <c r="L1520">
        <f t="array" ref="L1520">INT(5 * (RANK(I1520,I:I, 0) - 1) / COUNT(I:I)) + 1</f>
        <v>2</v>
      </c>
      <c r="M1520" t="str">
        <f t="shared" si="46"/>
        <v>342</v>
      </c>
      <c r="N1520" s="6" t="str">
        <f t="shared" si="47"/>
        <v>Others</v>
      </c>
    </row>
    <row r="1521" spans="1:14" x14ac:dyDescent="0.35">
      <c r="A1521">
        <v>1164</v>
      </c>
      <c r="B1521" s="4">
        <v>45786.375085336993</v>
      </c>
      <c r="C1521" t="s">
        <v>12</v>
      </c>
      <c r="D1521" t="s">
        <v>18</v>
      </c>
      <c r="E1521" t="s">
        <v>23</v>
      </c>
      <c r="F1521">
        <v>4855.74</v>
      </c>
      <c r="G1521">
        <f t="array" ref="G1521">SalesData!$I$2 - 'RFM Table'!B1521</f>
        <v>350</v>
      </c>
      <c r="H1521">
        <f t="array" ref="H1521">COUNTIF(A:A,A1521)</f>
        <v>7</v>
      </c>
      <c r="I1521">
        <f t="array" ref="I1521">SUMIF(A:A,A1521,F:F)</f>
        <v>29497.360000000001</v>
      </c>
      <c r="J1521">
        <f t="array" ref="J1521">5 - INT(5 * (RANK(G1521,G:G, 1) - 1) / COUNT(G:G))</f>
        <v>3</v>
      </c>
      <c r="K1521">
        <f t="array" ref="K1521">INT(5 * (RANK(H1521,H:H, 0) - 1) / COUNT(H:H)) + 1</f>
        <v>4</v>
      </c>
      <c r="L1521">
        <f t="array" ref="L1521">INT(5 * (RANK(I1521,I:I, 0) - 1) / COUNT(I:I)) + 1</f>
        <v>3</v>
      </c>
      <c r="M1521" t="str">
        <f t="shared" si="46"/>
        <v>343</v>
      </c>
      <c r="N1521" s="6" t="str">
        <f t="shared" si="47"/>
        <v>Others</v>
      </c>
    </row>
    <row r="1522" spans="1:14" x14ac:dyDescent="0.35">
      <c r="A1522">
        <v>1337</v>
      </c>
      <c r="B1522" s="4">
        <v>45786.375085336993</v>
      </c>
      <c r="C1522" t="s">
        <v>6</v>
      </c>
      <c r="D1522" t="s">
        <v>19</v>
      </c>
      <c r="E1522" t="s">
        <v>23</v>
      </c>
      <c r="F1522">
        <v>3922.92</v>
      </c>
      <c r="G1522">
        <f t="array" ref="G1522">SalesData!$I$2 - 'RFM Table'!B1522</f>
        <v>350</v>
      </c>
      <c r="H1522">
        <f t="array" ref="H1522">COUNTIF(A:A,A1522)</f>
        <v>7</v>
      </c>
      <c r="I1522">
        <f t="array" ref="I1522">SUMIF(A:A,A1522,F:F)</f>
        <v>33899.22</v>
      </c>
      <c r="J1522">
        <f t="array" ref="J1522">5 - INT(5 * (RANK(G1522,G:G, 1) - 1) / COUNT(G:G))</f>
        <v>3</v>
      </c>
      <c r="K1522">
        <f t="array" ref="K1522">INT(5 * (RANK(H1522,H:H, 0) - 1) / COUNT(H:H)) + 1</f>
        <v>4</v>
      </c>
      <c r="L1522">
        <f t="array" ref="L1522">INT(5 * (RANK(I1522,I:I, 0) - 1) / COUNT(I:I)) + 1</f>
        <v>3</v>
      </c>
      <c r="M1522" t="str">
        <f t="shared" si="46"/>
        <v>343</v>
      </c>
      <c r="N1522" s="6" t="str">
        <f t="shared" si="47"/>
        <v>Others</v>
      </c>
    </row>
    <row r="1523" spans="1:14" x14ac:dyDescent="0.35">
      <c r="A1523">
        <v>1310</v>
      </c>
      <c r="B1523" s="4">
        <v>45787.375085336993</v>
      </c>
      <c r="C1523" t="s">
        <v>11</v>
      </c>
      <c r="D1523" t="s">
        <v>19</v>
      </c>
      <c r="E1523" t="s">
        <v>24</v>
      </c>
      <c r="F1523">
        <v>6811.9</v>
      </c>
      <c r="G1523">
        <f t="array" ref="G1523">SalesData!$I$2 - 'RFM Table'!B1523</f>
        <v>349</v>
      </c>
      <c r="H1523">
        <f t="array" ref="H1523">COUNTIF(A:A,A1523)</f>
        <v>9</v>
      </c>
      <c r="I1523">
        <f t="array" ref="I1523">SUMIF(A:A,A1523,F:F)</f>
        <v>45883.96</v>
      </c>
      <c r="J1523">
        <f t="array" ref="J1523">5 - INT(5 * (RANK(G1523,G:G, 1) - 1) / COUNT(G:G))</f>
        <v>3</v>
      </c>
      <c r="K1523">
        <f t="array" ref="K1523">INT(5 * (RANK(H1523,H:H, 0) - 1) / COUNT(H:H)) + 1</f>
        <v>2</v>
      </c>
      <c r="L1523">
        <f t="array" ref="L1523">INT(5 * (RANK(I1523,I:I, 0) - 1) / COUNT(I:I)) + 1</f>
        <v>1</v>
      </c>
      <c r="M1523" t="str">
        <f t="shared" si="46"/>
        <v>321</v>
      </c>
      <c r="N1523" s="6" t="str">
        <f t="shared" si="47"/>
        <v>Others</v>
      </c>
    </row>
    <row r="1524" spans="1:14" x14ac:dyDescent="0.35">
      <c r="A1524">
        <v>1191</v>
      </c>
      <c r="B1524" s="4">
        <v>45787.375085336993</v>
      </c>
      <c r="C1524" t="s">
        <v>11</v>
      </c>
      <c r="D1524" t="s">
        <v>20</v>
      </c>
      <c r="E1524" t="s">
        <v>24</v>
      </c>
      <c r="F1524">
        <v>5450.79</v>
      </c>
      <c r="G1524">
        <f t="array" ref="G1524">SalesData!$I$2 - 'RFM Table'!B1524</f>
        <v>349</v>
      </c>
      <c r="H1524">
        <f t="array" ref="H1524">COUNTIF(A:A,A1524)</f>
        <v>11</v>
      </c>
      <c r="I1524">
        <f t="array" ref="I1524">SUMIF(A:A,A1524,F:F)</f>
        <v>30527.53</v>
      </c>
      <c r="J1524">
        <f t="array" ref="J1524">5 - INT(5 * (RANK(G1524,G:G, 1) - 1) / COUNT(G:G))</f>
        <v>3</v>
      </c>
      <c r="K1524">
        <f t="array" ref="K1524">INT(5 * (RANK(H1524,H:H, 0) - 1) / COUNT(H:H)) + 1</f>
        <v>1</v>
      </c>
      <c r="L1524">
        <f t="array" ref="L1524">INT(5 * (RANK(I1524,I:I, 0) - 1) / COUNT(I:I)) + 1</f>
        <v>3</v>
      </c>
      <c r="M1524" t="str">
        <f t="shared" si="46"/>
        <v>313</v>
      </c>
      <c r="N1524" s="6" t="str">
        <f t="shared" si="47"/>
        <v>Others</v>
      </c>
    </row>
    <row r="1525" spans="1:14" x14ac:dyDescent="0.35">
      <c r="A1525">
        <v>1231</v>
      </c>
      <c r="B1525" s="4">
        <v>45787.375085336993</v>
      </c>
      <c r="C1525" t="s">
        <v>10</v>
      </c>
      <c r="D1525" t="s">
        <v>20</v>
      </c>
      <c r="E1525" t="s">
        <v>24</v>
      </c>
      <c r="F1525">
        <v>2477.4699999999998</v>
      </c>
      <c r="G1525">
        <f t="array" ref="G1525">SalesData!$I$2 - 'RFM Table'!B1525</f>
        <v>349</v>
      </c>
      <c r="H1525">
        <f t="array" ref="H1525">COUNTIF(A:A,A1525)</f>
        <v>6</v>
      </c>
      <c r="I1525">
        <f t="array" ref="I1525">SUMIF(A:A,A1525,F:F)</f>
        <v>19997.589999999997</v>
      </c>
      <c r="J1525">
        <f t="array" ref="J1525">5 - INT(5 * (RANK(G1525,G:G, 1) - 1) / COUNT(G:G))</f>
        <v>3</v>
      </c>
      <c r="K1525">
        <f t="array" ref="K1525">INT(5 * (RANK(H1525,H:H, 0) - 1) / COUNT(H:H)) + 1</f>
        <v>4</v>
      </c>
      <c r="L1525">
        <f t="array" ref="L1525">INT(5 * (RANK(I1525,I:I, 0) - 1) / COUNT(I:I)) + 1</f>
        <v>5</v>
      </c>
      <c r="M1525" t="str">
        <f t="shared" si="46"/>
        <v>345</v>
      </c>
      <c r="N1525" s="6" t="str">
        <f t="shared" si="47"/>
        <v>Others</v>
      </c>
    </row>
    <row r="1526" spans="1:14" x14ac:dyDescent="0.35">
      <c r="A1526">
        <v>1297</v>
      </c>
      <c r="B1526" s="4">
        <v>45787.375085336993</v>
      </c>
      <c r="C1526" t="s">
        <v>7</v>
      </c>
      <c r="D1526" t="s">
        <v>16</v>
      </c>
      <c r="E1526" t="s">
        <v>23</v>
      </c>
      <c r="F1526">
        <v>7115.01</v>
      </c>
      <c r="G1526">
        <f t="array" ref="G1526">SalesData!$I$2 - 'RFM Table'!B1526</f>
        <v>349</v>
      </c>
      <c r="H1526">
        <f t="array" ref="H1526">COUNTIF(A:A,A1526)</f>
        <v>3</v>
      </c>
      <c r="I1526">
        <f t="array" ref="I1526">SUMIF(A:A,A1526,F:F)</f>
        <v>11810.94</v>
      </c>
      <c r="J1526">
        <f t="array" ref="J1526">5 - INT(5 * (RANK(G1526,G:G, 1) - 1) / COUNT(G:G))</f>
        <v>3</v>
      </c>
      <c r="K1526">
        <f t="array" ref="K1526">INT(5 * (RANK(H1526,H:H, 0) - 1) / COUNT(H:H)) + 1</f>
        <v>5</v>
      </c>
      <c r="L1526">
        <f t="array" ref="L1526">INT(5 * (RANK(I1526,I:I, 0) - 1) / COUNT(I:I)) + 1</f>
        <v>5</v>
      </c>
      <c r="M1526" t="str">
        <f t="shared" si="46"/>
        <v>355</v>
      </c>
      <c r="N1526" s="6" t="str">
        <f t="shared" si="47"/>
        <v>Others</v>
      </c>
    </row>
    <row r="1527" spans="1:14" x14ac:dyDescent="0.35">
      <c r="A1527">
        <v>1219</v>
      </c>
      <c r="B1527" s="4">
        <v>45787.375085336993</v>
      </c>
      <c r="C1527" t="s">
        <v>10</v>
      </c>
      <c r="D1527" t="s">
        <v>17</v>
      </c>
      <c r="E1527" t="s">
        <v>24</v>
      </c>
      <c r="F1527">
        <v>5222.0200000000004</v>
      </c>
      <c r="G1527">
        <f t="array" ref="G1527">SalesData!$I$2 - 'RFM Table'!B1527</f>
        <v>349</v>
      </c>
      <c r="H1527">
        <f t="array" ref="H1527">COUNTIF(A:A,A1527)</f>
        <v>11</v>
      </c>
      <c r="I1527">
        <f t="array" ref="I1527">SUMIF(A:A,A1527,F:F)</f>
        <v>38976.650000000009</v>
      </c>
      <c r="J1527">
        <f t="array" ref="J1527">5 - INT(5 * (RANK(G1527,G:G, 1) - 1) / COUNT(G:G))</f>
        <v>3</v>
      </c>
      <c r="K1527">
        <f t="array" ref="K1527">INT(5 * (RANK(H1527,H:H, 0) - 1) / COUNT(H:H)) + 1</f>
        <v>1</v>
      </c>
      <c r="L1527">
        <f t="array" ref="L1527">INT(5 * (RANK(I1527,I:I, 0) - 1) / COUNT(I:I)) + 1</f>
        <v>2</v>
      </c>
      <c r="M1527" t="str">
        <f t="shared" si="46"/>
        <v>312</v>
      </c>
      <c r="N1527" s="6" t="str">
        <f t="shared" si="47"/>
        <v>Others</v>
      </c>
    </row>
    <row r="1528" spans="1:14" x14ac:dyDescent="0.35">
      <c r="A1528">
        <v>1281</v>
      </c>
      <c r="B1528" s="4">
        <v>45788.375085336993</v>
      </c>
      <c r="C1528" t="s">
        <v>8</v>
      </c>
      <c r="D1528" t="s">
        <v>19</v>
      </c>
      <c r="E1528" t="s">
        <v>23</v>
      </c>
      <c r="F1528">
        <v>5764.55</v>
      </c>
      <c r="G1528">
        <f t="array" ref="G1528">SalesData!$I$2 - 'RFM Table'!B1528</f>
        <v>348</v>
      </c>
      <c r="H1528">
        <f t="array" ref="H1528">COUNTIF(A:A,A1528)</f>
        <v>10</v>
      </c>
      <c r="I1528">
        <f t="array" ref="I1528">SUMIF(A:A,A1528,F:F)</f>
        <v>49420.710000000006</v>
      </c>
      <c r="J1528">
        <f t="array" ref="J1528">5 - INT(5 * (RANK(G1528,G:G, 1) - 1) / COUNT(G:G))</f>
        <v>3</v>
      </c>
      <c r="K1528">
        <f t="array" ref="K1528">INT(5 * (RANK(H1528,H:H, 0) - 1) / COUNT(H:H)) + 1</f>
        <v>2</v>
      </c>
      <c r="L1528">
        <f t="array" ref="L1528">INT(5 * (RANK(I1528,I:I, 0) - 1) / COUNT(I:I)) + 1</f>
        <v>1</v>
      </c>
      <c r="M1528" t="str">
        <f t="shared" si="46"/>
        <v>321</v>
      </c>
      <c r="N1528" s="6" t="str">
        <f t="shared" si="47"/>
        <v>Others</v>
      </c>
    </row>
    <row r="1529" spans="1:14" x14ac:dyDescent="0.35">
      <c r="A1529">
        <v>1376</v>
      </c>
      <c r="B1529" s="4">
        <v>45788.375085336993</v>
      </c>
      <c r="C1529" t="s">
        <v>7</v>
      </c>
      <c r="D1529" t="s">
        <v>21</v>
      </c>
      <c r="E1529" t="s">
        <v>23</v>
      </c>
      <c r="F1529">
        <v>1882.65</v>
      </c>
      <c r="G1529">
        <f t="array" ref="G1529">SalesData!$I$2 - 'RFM Table'!B1529</f>
        <v>348</v>
      </c>
      <c r="H1529">
        <f t="array" ref="H1529">COUNTIF(A:A,A1529)</f>
        <v>6</v>
      </c>
      <c r="I1529">
        <f t="array" ref="I1529">SUMIF(A:A,A1529,F:F)</f>
        <v>21816.019999999997</v>
      </c>
      <c r="J1529">
        <f t="array" ref="J1529">5 - INT(5 * (RANK(G1529,G:G, 1) - 1) / COUNT(G:G))</f>
        <v>3</v>
      </c>
      <c r="K1529">
        <f t="array" ref="K1529">INT(5 * (RANK(H1529,H:H, 0) - 1) / COUNT(H:H)) + 1</f>
        <v>4</v>
      </c>
      <c r="L1529">
        <f t="array" ref="L1529">INT(5 * (RANK(I1529,I:I, 0) - 1) / COUNT(I:I)) + 1</f>
        <v>4</v>
      </c>
      <c r="M1529" t="str">
        <f t="shared" si="46"/>
        <v>344</v>
      </c>
      <c r="N1529" s="6" t="str">
        <f t="shared" si="47"/>
        <v>Others</v>
      </c>
    </row>
    <row r="1530" spans="1:14" x14ac:dyDescent="0.35">
      <c r="A1530">
        <v>1219</v>
      </c>
      <c r="B1530" s="4">
        <v>45788.375085336993</v>
      </c>
      <c r="C1530" t="s">
        <v>9</v>
      </c>
      <c r="D1530" t="s">
        <v>22</v>
      </c>
      <c r="E1530" t="s">
        <v>25</v>
      </c>
      <c r="F1530">
        <v>2099.87</v>
      </c>
      <c r="G1530">
        <f t="array" ref="G1530">SalesData!$I$2 - 'RFM Table'!B1530</f>
        <v>348</v>
      </c>
      <c r="H1530">
        <f t="array" ref="H1530">COUNTIF(A:A,A1530)</f>
        <v>11</v>
      </c>
      <c r="I1530">
        <f t="array" ref="I1530">SUMIF(A:A,A1530,F:F)</f>
        <v>38976.650000000009</v>
      </c>
      <c r="J1530">
        <f t="array" ref="J1530">5 - INT(5 * (RANK(G1530,G:G, 1) - 1) / COUNT(G:G))</f>
        <v>3</v>
      </c>
      <c r="K1530">
        <f t="array" ref="K1530">INT(5 * (RANK(H1530,H:H, 0) - 1) / COUNT(H:H)) + 1</f>
        <v>1</v>
      </c>
      <c r="L1530">
        <f t="array" ref="L1530">INT(5 * (RANK(I1530,I:I, 0) - 1) / COUNT(I:I)) + 1</f>
        <v>2</v>
      </c>
      <c r="M1530" t="str">
        <f t="shared" si="46"/>
        <v>312</v>
      </c>
      <c r="N1530" s="6" t="str">
        <f t="shared" si="47"/>
        <v>Others</v>
      </c>
    </row>
    <row r="1531" spans="1:14" x14ac:dyDescent="0.35">
      <c r="A1531">
        <v>1396</v>
      </c>
      <c r="B1531" s="4">
        <v>45788.375085336993</v>
      </c>
      <c r="C1531" t="s">
        <v>13</v>
      </c>
      <c r="D1531" t="s">
        <v>19</v>
      </c>
      <c r="E1531" t="s">
        <v>24</v>
      </c>
      <c r="F1531">
        <v>8795.68</v>
      </c>
      <c r="G1531">
        <f t="array" ref="G1531">SalesData!$I$2 - 'RFM Table'!B1531</f>
        <v>348</v>
      </c>
      <c r="H1531">
        <f t="array" ref="H1531">COUNTIF(A:A,A1531)</f>
        <v>11</v>
      </c>
      <c r="I1531">
        <f t="array" ref="I1531">SUMIF(A:A,A1531,F:F)</f>
        <v>54143.32</v>
      </c>
      <c r="J1531">
        <f t="array" ref="J1531">5 - INT(5 * (RANK(G1531,G:G, 1) - 1) / COUNT(G:G))</f>
        <v>3</v>
      </c>
      <c r="K1531">
        <f t="array" ref="K1531">INT(5 * (RANK(H1531,H:H, 0) - 1) / COUNT(H:H)) + 1</f>
        <v>1</v>
      </c>
      <c r="L1531">
        <f t="array" ref="L1531">INT(5 * (RANK(I1531,I:I, 0) - 1) / COUNT(I:I)) + 1</f>
        <v>1</v>
      </c>
      <c r="M1531" t="str">
        <f t="shared" si="46"/>
        <v>311</v>
      </c>
      <c r="N1531" s="6" t="str">
        <f t="shared" si="47"/>
        <v>Others</v>
      </c>
    </row>
    <row r="1532" spans="1:14" x14ac:dyDescent="0.35">
      <c r="A1532">
        <v>1189</v>
      </c>
      <c r="B1532" s="4">
        <v>45788.375085336993</v>
      </c>
      <c r="C1532" t="s">
        <v>14</v>
      </c>
      <c r="D1532" t="s">
        <v>18</v>
      </c>
      <c r="E1532" t="s">
        <v>23</v>
      </c>
      <c r="F1532">
        <v>5048.8599999999997</v>
      </c>
      <c r="G1532">
        <f t="array" ref="G1532">SalesData!$I$2 - 'RFM Table'!B1532</f>
        <v>348</v>
      </c>
      <c r="H1532">
        <f t="array" ref="H1532">COUNTIF(A:A,A1532)</f>
        <v>10</v>
      </c>
      <c r="I1532">
        <f t="array" ref="I1532">SUMIF(A:A,A1532,F:F)</f>
        <v>29994.030000000002</v>
      </c>
      <c r="J1532">
        <f t="array" ref="J1532">5 - INT(5 * (RANK(G1532,G:G, 1) - 1) / COUNT(G:G))</f>
        <v>3</v>
      </c>
      <c r="K1532">
        <f t="array" ref="K1532">INT(5 * (RANK(H1532,H:H, 0) - 1) / COUNT(H:H)) + 1</f>
        <v>2</v>
      </c>
      <c r="L1532">
        <f t="array" ref="L1532">INT(5 * (RANK(I1532,I:I, 0) - 1) / COUNT(I:I)) + 1</f>
        <v>3</v>
      </c>
      <c r="M1532" t="str">
        <f t="shared" si="46"/>
        <v>323</v>
      </c>
      <c r="N1532" s="6" t="str">
        <f t="shared" si="47"/>
        <v>Others</v>
      </c>
    </row>
    <row r="1533" spans="1:14" x14ac:dyDescent="0.35">
      <c r="A1533">
        <v>1317</v>
      </c>
      <c r="B1533" s="4">
        <v>45789.375085336993</v>
      </c>
      <c r="C1533" t="s">
        <v>15</v>
      </c>
      <c r="D1533" t="s">
        <v>21</v>
      </c>
      <c r="E1533" t="s">
        <v>25</v>
      </c>
      <c r="F1533">
        <v>1616.53</v>
      </c>
      <c r="G1533">
        <f t="array" ref="G1533">SalesData!$I$2 - 'RFM Table'!B1533</f>
        <v>347</v>
      </c>
      <c r="H1533">
        <f t="array" ref="H1533">COUNTIF(A:A,A1533)</f>
        <v>12</v>
      </c>
      <c r="I1533">
        <f t="array" ref="I1533">SUMIF(A:A,A1533,F:F)</f>
        <v>43413.4</v>
      </c>
      <c r="J1533">
        <f t="array" ref="J1533">5 - INT(5 * (RANK(G1533,G:G, 1) - 1) / COUNT(G:G))</f>
        <v>3</v>
      </c>
      <c r="K1533">
        <f t="array" ref="K1533">INT(5 * (RANK(H1533,H:H, 0) - 1) / COUNT(H:H)) + 1</f>
        <v>1</v>
      </c>
      <c r="L1533">
        <f t="array" ref="L1533">INT(5 * (RANK(I1533,I:I, 0) - 1) / COUNT(I:I)) + 1</f>
        <v>2</v>
      </c>
      <c r="M1533" t="str">
        <f t="shared" si="46"/>
        <v>312</v>
      </c>
      <c r="N1533" s="6" t="str">
        <f t="shared" si="47"/>
        <v>Others</v>
      </c>
    </row>
    <row r="1534" spans="1:14" x14ac:dyDescent="0.35">
      <c r="A1534">
        <v>1378</v>
      </c>
      <c r="B1534" s="4">
        <v>45789.375085336993</v>
      </c>
      <c r="C1534" t="s">
        <v>8</v>
      </c>
      <c r="D1534" t="s">
        <v>20</v>
      </c>
      <c r="E1534" t="s">
        <v>23</v>
      </c>
      <c r="F1534">
        <v>2593.9499999999998</v>
      </c>
      <c r="G1534">
        <f t="array" ref="G1534">SalesData!$I$2 - 'RFM Table'!B1534</f>
        <v>347</v>
      </c>
      <c r="H1534">
        <f t="array" ref="H1534">COUNTIF(A:A,A1534)</f>
        <v>11</v>
      </c>
      <c r="I1534">
        <f t="array" ref="I1534">SUMIF(A:A,A1534,F:F)</f>
        <v>58842.799999999996</v>
      </c>
      <c r="J1534">
        <f t="array" ref="J1534">5 - INT(5 * (RANK(G1534,G:G, 1) - 1) / COUNT(G:G))</f>
        <v>3</v>
      </c>
      <c r="K1534">
        <f t="array" ref="K1534">INT(5 * (RANK(H1534,H:H, 0) - 1) / COUNT(H:H)) + 1</f>
        <v>1</v>
      </c>
      <c r="L1534">
        <f t="array" ref="L1534">INT(5 * (RANK(I1534,I:I, 0) - 1) / COUNT(I:I)) + 1</f>
        <v>1</v>
      </c>
      <c r="M1534" t="str">
        <f t="shared" si="46"/>
        <v>311</v>
      </c>
      <c r="N1534" s="6" t="str">
        <f t="shared" si="47"/>
        <v>Others</v>
      </c>
    </row>
    <row r="1535" spans="1:14" x14ac:dyDescent="0.35">
      <c r="A1535">
        <v>1130</v>
      </c>
      <c r="B1535" s="4">
        <v>45789.375085336993</v>
      </c>
      <c r="C1535" t="s">
        <v>15</v>
      </c>
      <c r="D1535" t="s">
        <v>22</v>
      </c>
      <c r="E1535" t="s">
        <v>24</v>
      </c>
      <c r="F1535">
        <v>2342.58</v>
      </c>
      <c r="G1535">
        <f t="array" ref="G1535">SalesData!$I$2 - 'RFM Table'!B1535</f>
        <v>347</v>
      </c>
      <c r="H1535">
        <f t="array" ref="H1535">COUNTIF(A:A,A1535)</f>
        <v>9</v>
      </c>
      <c r="I1535">
        <f t="array" ref="I1535">SUMIF(A:A,A1535,F:F)</f>
        <v>36963.729999999996</v>
      </c>
      <c r="J1535">
        <f t="array" ref="J1535">5 - INT(5 * (RANK(G1535,G:G, 1) - 1) / COUNT(G:G))</f>
        <v>3</v>
      </c>
      <c r="K1535">
        <f t="array" ref="K1535">INT(5 * (RANK(H1535,H:H, 0) - 1) / COUNT(H:H)) + 1</f>
        <v>2</v>
      </c>
      <c r="L1535">
        <f t="array" ref="L1535">INT(5 * (RANK(I1535,I:I, 0) - 1) / COUNT(I:I)) + 1</f>
        <v>2</v>
      </c>
      <c r="M1535" t="str">
        <f t="shared" si="46"/>
        <v>322</v>
      </c>
      <c r="N1535" s="6" t="str">
        <f t="shared" si="47"/>
        <v>Others</v>
      </c>
    </row>
    <row r="1536" spans="1:14" x14ac:dyDescent="0.35">
      <c r="A1536">
        <v>1376</v>
      </c>
      <c r="B1536" s="4">
        <v>45789.375085336993</v>
      </c>
      <c r="C1536" t="s">
        <v>8</v>
      </c>
      <c r="D1536" t="s">
        <v>22</v>
      </c>
      <c r="E1536" t="s">
        <v>24</v>
      </c>
      <c r="F1536">
        <v>2211.6</v>
      </c>
      <c r="G1536">
        <f t="array" ref="G1536">SalesData!$I$2 - 'RFM Table'!B1536</f>
        <v>347</v>
      </c>
      <c r="H1536">
        <f t="array" ref="H1536">COUNTIF(A:A,A1536)</f>
        <v>6</v>
      </c>
      <c r="I1536">
        <f t="array" ref="I1536">SUMIF(A:A,A1536,F:F)</f>
        <v>21816.019999999997</v>
      </c>
      <c r="J1536">
        <f t="array" ref="J1536">5 - INT(5 * (RANK(G1536,G:G, 1) - 1) / COUNT(G:G))</f>
        <v>3</v>
      </c>
      <c r="K1536">
        <f t="array" ref="K1536">INT(5 * (RANK(H1536,H:H, 0) - 1) / COUNT(H:H)) + 1</f>
        <v>4</v>
      </c>
      <c r="L1536">
        <f t="array" ref="L1536">INT(5 * (RANK(I1536,I:I, 0) - 1) / COUNT(I:I)) + 1</f>
        <v>4</v>
      </c>
      <c r="M1536" t="str">
        <f t="shared" si="46"/>
        <v>344</v>
      </c>
      <c r="N1536" s="6" t="str">
        <f t="shared" si="47"/>
        <v>Others</v>
      </c>
    </row>
    <row r="1537" spans="1:14" x14ac:dyDescent="0.35">
      <c r="A1537">
        <v>1050</v>
      </c>
      <c r="B1537" s="4">
        <v>45789.375085336993</v>
      </c>
      <c r="C1537" t="s">
        <v>10</v>
      </c>
      <c r="D1537" t="s">
        <v>22</v>
      </c>
      <c r="E1537" t="s">
        <v>23</v>
      </c>
      <c r="F1537">
        <v>6242.6</v>
      </c>
      <c r="G1537">
        <f t="array" ref="G1537">SalesData!$I$2 - 'RFM Table'!B1537</f>
        <v>347</v>
      </c>
      <c r="H1537">
        <f t="array" ref="H1537">COUNTIF(A:A,A1537)</f>
        <v>10</v>
      </c>
      <c r="I1537">
        <f t="array" ref="I1537">SUMIF(A:A,A1537,F:F)</f>
        <v>32732.979999999996</v>
      </c>
      <c r="J1537">
        <f t="array" ref="J1537">5 - INT(5 * (RANK(G1537,G:G, 1) - 1) / COUNT(G:G))</f>
        <v>3</v>
      </c>
      <c r="K1537">
        <f t="array" ref="K1537">INT(5 * (RANK(H1537,H:H, 0) - 1) / COUNT(H:H)) + 1</f>
        <v>2</v>
      </c>
      <c r="L1537">
        <f t="array" ref="L1537">INT(5 * (RANK(I1537,I:I, 0) - 1) / COUNT(I:I)) + 1</f>
        <v>3</v>
      </c>
      <c r="M1537" t="str">
        <f t="shared" si="46"/>
        <v>323</v>
      </c>
      <c r="N1537" s="6" t="str">
        <f t="shared" si="47"/>
        <v>Others</v>
      </c>
    </row>
    <row r="1538" spans="1:14" x14ac:dyDescent="0.35">
      <c r="A1538">
        <v>1092</v>
      </c>
      <c r="B1538" s="4">
        <v>45789.375085336993</v>
      </c>
      <c r="C1538" t="s">
        <v>14</v>
      </c>
      <c r="D1538" t="s">
        <v>21</v>
      </c>
      <c r="E1538" t="s">
        <v>24</v>
      </c>
      <c r="F1538">
        <v>6765.46</v>
      </c>
      <c r="G1538">
        <f t="array" ref="G1538">SalesData!$I$2 - 'RFM Table'!B1538</f>
        <v>347</v>
      </c>
      <c r="H1538">
        <f t="array" ref="H1538">COUNTIF(A:A,A1538)</f>
        <v>6</v>
      </c>
      <c r="I1538">
        <f t="array" ref="I1538">SUMIF(A:A,A1538,F:F)</f>
        <v>21226.689999999995</v>
      </c>
      <c r="J1538">
        <f t="array" ref="J1538">5 - INT(5 * (RANK(G1538,G:G, 1) - 1) / COUNT(G:G))</f>
        <v>3</v>
      </c>
      <c r="K1538">
        <f t="array" ref="K1538">INT(5 * (RANK(H1538,H:H, 0) - 1) / COUNT(H:H)) + 1</f>
        <v>4</v>
      </c>
      <c r="L1538">
        <f t="array" ref="L1538">INT(5 * (RANK(I1538,I:I, 0) - 1) / COUNT(I:I)) + 1</f>
        <v>5</v>
      </c>
      <c r="M1538" t="str">
        <f t="shared" si="46"/>
        <v>345</v>
      </c>
      <c r="N1538" s="6" t="str">
        <f t="shared" si="47"/>
        <v>Others</v>
      </c>
    </row>
    <row r="1539" spans="1:14" x14ac:dyDescent="0.35">
      <c r="A1539">
        <v>1218</v>
      </c>
      <c r="B1539" s="4">
        <v>45789.375085336993</v>
      </c>
      <c r="C1539" t="s">
        <v>9</v>
      </c>
      <c r="D1539" t="s">
        <v>18</v>
      </c>
      <c r="E1539" t="s">
        <v>25</v>
      </c>
      <c r="F1539">
        <v>7590.59</v>
      </c>
      <c r="G1539">
        <f t="array" ref="G1539">SalesData!$I$2 - 'RFM Table'!B1539</f>
        <v>347</v>
      </c>
      <c r="H1539">
        <f t="array" ref="H1539">COUNTIF(A:A,A1539)</f>
        <v>4</v>
      </c>
      <c r="I1539">
        <f t="array" ref="I1539">SUMIF(A:A,A1539,F:F)</f>
        <v>29501.85</v>
      </c>
      <c r="J1539">
        <f t="array" ref="J1539">5 - INT(5 * (RANK(G1539,G:G, 1) - 1) / COUNT(G:G))</f>
        <v>3</v>
      </c>
      <c r="K1539">
        <f t="array" ref="K1539">INT(5 * (RANK(H1539,H:H, 0) - 1) / COUNT(H:H)) + 1</f>
        <v>5</v>
      </c>
      <c r="L1539">
        <f t="array" ref="L1539">INT(5 * (RANK(I1539,I:I, 0) - 1) / COUNT(I:I)) + 1</f>
        <v>3</v>
      </c>
      <c r="M1539" t="str">
        <f t="shared" ref="M1539:M1602" si="48">J1539 &amp; K1539 &amp; L1539</f>
        <v>353</v>
      </c>
      <c r="N1539" s="6" t="str">
        <f t="shared" ref="N1539:N1602" si="49">IF(AND(J1539&gt;=4,K1539&lt;=2),"New Customers",
IF(AND(J1539&lt;=2,K1539&gt;=3,L1539&gt;=3),"At Risk",
IF(AND(J1539&lt;=2,K1539&lt;=2,L1539&gt;=3),"Can't Lose Them",
IF(AND(J1539&lt;=2,K1539&lt;=2,L1539&lt;=2),"Lost",
"Others"))))</f>
        <v>Others</v>
      </c>
    </row>
    <row r="1540" spans="1:14" x14ac:dyDescent="0.35">
      <c r="A1540">
        <v>1048</v>
      </c>
      <c r="B1540" s="4">
        <v>45789.375085336993</v>
      </c>
      <c r="C1540" t="s">
        <v>9</v>
      </c>
      <c r="D1540" t="s">
        <v>21</v>
      </c>
      <c r="E1540" t="s">
        <v>24</v>
      </c>
      <c r="F1540">
        <v>1214.58</v>
      </c>
      <c r="G1540">
        <f t="array" ref="G1540">SalesData!$I$2 - 'RFM Table'!B1540</f>
        <v>347</v>
      </c>
      <c r="H1540">
        <f t="array" ref="H1540">COUNTIF(A:A,A1540)</f>
        <v>9</v>
      </c>
      <c r="I1540">
        <f t="array" ref="I1540">SUMIF(A:A,A1540,F:F)</f>
        <v>34800.239999999998</v>
      </c>
      <c r="J1540">
        <f t="array" ref="J1540">5 - INT(5 * (RANK(G1540,G:G, 1) - 1) / COUNT(G:G))</f>
        <v>3</v>
      </c>
      <c r="K1540">
        <f t="array" ref="K1540">INT(5 * (RANK(H1540,H:H, 0) - 1) / COUNT(H:H)) + 1</f>
        <v>2</v>
      </c>
      <c r="L1540">
        <f t="array" ref="L1540">INT(5 * (RANK(I1540,I:I, 0) - 1) / COUNT(I:I)) + 1</f>
        <v>3</v>
      </c>
      <c r="M1540" t="str">
        <f t="shared" si="48"/>
        <v>323</v>
      </c>
      <c r="N1540" s="6" t="str">
        <f t="shared" si="49"/>
        <v>Others</v>
      </c>
    </row>
    <row r="1541" spans="1:14" x14ac:dyDescent="0.35">
      <c r="A1541">
        <v>1057</v>
      </c>
      <c r="B1541" s="4">
        <v>45790.375085336993</v>
      </c>
      <c r="C1541" t="s">
        <v>15</v>
      </c>
      <c r="D1541" t="s">
        <v>22</v>
      </c>
      <c r="E1541" t="s">
        <v>23</v>
      </c>
      <c r="F1541">
        <v>934.46</v>
      </c>
      <c r="G1541">
        <f t="array" ref="G1541">SalesData!$I$2 - 'RFM Table'!B1541</f>
        <v>346</v>
      </c>
      <c r="H1541">
        <f t="array" ref="H1541">COUNTIF(A:A,A1541)</f>
        <v>9</v>
      </c>
      <c r="I1541">
        <f t="array" ref="I1541">SUMIF(A:A,A1541,F:F)</f>
        <v>32930.549999999996</v>
      </c>
      <c r="J1541">
        <f t="array" ref="J1541">5 - INT(5 * (RANK(G1541,G:G, 1) - 1) / COUNT(G:G))</f>
        <v>3</v>
      </c>
      <c r="K1541">
        <f t="array" ref="K1541">INT(5 * (RANK(H1541,H:H, 0) - 1) / COUNT(H:H)) + 1</f>
        <v>2</v>
      </c>
      <c r="L1541">
        <f t="array" ref="L1541">INT(5 * (RANK(I1541,I:I, 0) - 1) / COUNT(I:I)) + 1</f>
        <v>3</v>
      </c>
      <c r="M1541" t="str">
        <f t="shared" si="48"/>
        <v>323</v>
      </c>
      <c r="N1541" s="6" t="str">
        <f t="shared" si="49"/>
        <v>Others</v>
      </c>
    </row>
    <row r="1542" spans="1:14" x14ac:dyDescent="0.35">
      <c r="A1542">
        <v>1059</v>
      </c>
      <c r="B1542" s="4">
        <v>45790.375085336993</v>
      </c>
      <c r="C1542" t="s">
        <v>10</v>
      </c>
      <c r="D1542" t="s">
        <v>19</v>
      </c>
      <c r="E1542" t="s">
        <v>25</v>
      </c>
      <c r="F1542">
        <v>6003.11</v>
      </c>
      <c r="G1542">
        <f t="array" ref="G1542">SalesData!$I$2 - 'RFM Table'!B1542</f>
        <v>346</v>
      </c>
      <c r="H1542">
        <f t="array" ref="H1542">COUNTIF(A:A,A1542)</f>
        <v>8</v>
      </c>
      <c r="I1542">
        <f t="array" ref="I1542">SUMIF(A:A,A1542,F:F)</f>
        <v>38016.57</v>
      </c>
      <c r="J1542">
        <f t="array" ref="J1542">5 - INT(5 * (RANK(G1542,G:G, 1) - 1) / COUNT(G:G))</f>
        <v>3</v>
      </c>
      <c r="K1542">
        <f t="array" ref="K1542">INT(5 * (RANK(H1542,H:H, 0) - 1) / COUNT(H:H)) + 1</f>
        <v>3</v>
      </c>
      <c r="L1542">
        <f t="array" ref="L1542">INT(5 * (RANK(I1542,I:I, 0) - 1) / COUNT(I:I)) + 1</f>
        <v>2</v>
      </c>
      <c r="M1542" t="str">
        <f t="shared" si="48"/>
        <v>332</v>
      </c>
      <c r="N1542" s="6" t="str">
        <f t="shared" si="49"/>
        <v>Others</v>
      </c>
    </row>
    <row r="1543" spans="1:14" x14ac:dyDescent="0.35">
      <c r="A1543">
        <v>1225</v>
      </c>
      <c r="B1543" s="4">
        <v>45790.375085336993</v>
      </c>
      <c r="C1543" t="s">
        <v>13</v>
      </c>
      <c r="D1543" t="s">
        <v>19</v>
      </c>
      <c r="E1543" t="s">
        <v>25</v>
      </c>
      <c r="F1543">
        <v>1872.25</v>
      </c>
      <c r="G1543">
        <f t="array" ref="G1543">SalesData!$I$2 - 'RFM Table'!B1543</f>
        <v>346</v>
      </c>
      <c r="H1543">
        <f t="array" ref="H1543">COUNTIF(A:A,A1543)</f>
        <v>12</v>
      </c>
      <c r="I1543">
        <f t="array" ref="I1543">SUMIF(A:A,A1543,F:F)</f>
        <v>42930.969999999994</v>
      </c>
      <c r="J1543">
        <f t="array" ref="J1543">5 - INT(5 * (RANK(G1543,G:G, 1) - 1) / COUNT(G:G))</f>
        <v>3</v>
      </c>
      <c r="K1543">
        <f t="array" ref="K1543">INT(5 * (RANK(H1543,H:H, 0) - 1) / COUNT(H:H)) + 1</f>
        <v>1</v>
      </c>
      <c r="L1543">
        <f t="array" ref="L1543">INT(5 * (RANK(I1543,I:I, 0) - 1) / COUNT(I:I)) + 1</f>
        <v>2</v>
      </c>
      <c r="M1543" t="str">
        <f t="shared" si="48"/>
        <v>312</v>
      </c>
      <c r="N1543" s="6" t="str">
        <f t="shared" si="49"/>
        <v>Others</v>
      </c>
    </row>
    <row r="1544" spans="1:14" x14ac:dyDescent="0.35">
      <c r="A1544">
        <v>1002</v>
      </c>
      <c r="B1544" s="4">
        <v>45791.375085336993</v>
      </c>
      <c r="C1544" t="s">
        <v>11</v>
      </c>
      <c r="D1544" t="s">
        <v>22</v>
      </c>
      <c r="E1544" t="s">
        <v>25</v>
      </c>
      <c r="F1544">
        <v>4334.62</v>
      </c>
      <c r="G1544">
        <f t="array" ref="G1544">SalesData!$I$2 - 'RFM Table'!B1544</f>
        <v>345</v>
      </c>
      <c r="H1544">
        <f t="array" ref="H1544">COUNTIF(A:A,A1544)</f>
        <v>9</v>
      </c>
      <c r="I1544">
        <f t="array" ref="I1544">SUMIF(A:A,A1544,F:F)</f>
        <v>35145.360000000001</v>
      </c>
      <c r="J1544">
        <f t="array" ref="J1544">5 - INT(5 * (RANK(G1544,G:G, 1) - 1) / COUNT(G:G))</f>
        <v>3</v>
      </c>
      <c r="K1544">
        <f t="array" ref="K1544">INT(5 * (RANK(H1544,H:H, 0) - 1) / COUNT(H:H)) + 1</f>
        <v>2</v>
      </c>
      <c r="L1544">
        <f t="array" ref="L1544">INT(5 * (RANK(I1544,I:I, 0) - 1) / COUNT(I:I)) + 1</f>
        <v>3</v>
      </c>
      <c r="M1544" t="str">
        <f t="shared" si="48"/>
        <v>323</v>
      </c>
      <c r="N1544" s="6" t="str">
        <f t="shared" si="49"/>
        <v>Others</v>
      </c>
    </row>
    <row r="1545" spans="1:14" x14ac:dyDescent="0.35">
      <c r="A1545">
        <v>1197</v>
      </c>
      <c r="B1545" s="4">
        <v>45791.375085336993</v>
      </c>
      <c r="C1545" t="s">
        <v>14</v>
      </c>
      <c r="D1545" t="s">
        <v>21</v>
      </c>
      <c r="E1545" t="s">
        <v>24</v>
      </c>
      <c r="F1545">
        <v>2342.87</v>
      </c>
      <c r="G1545">
        <f t="array" ref="G1545">SalesData!$I$2 - 'RFM Table'!B1545</f>
        <v>345</v>
      </c>
      <c r="H1545">
        <f t="array" ref="H1545">COUNTIF(A:A,A1545)</f>
        <v>9</v>
      </c>
      <c r="I1545">
        <f t="array" ref="I1545">SUMIF(A:A,A1545,F:F)</f>
        <v>28813.449999999997</v>
      </c>
      <c r="J1545">
        <f t="array" ref="J1545">5 - INT(5 * (RANK(G1545,G:G, 1) - 1) / COUNT(G:G))</f>
        <v>3</v>
      </c>
      <c r="K1545">
        <f t="array" ref="K1545">INT(5 * (RANK(H1545,H:H, 0) - 1) / COUNT(H:H)) + 1</f>
        <v>2</v>
      </c>
      <c r="L1545">
        <f t="array" ref="L1545">INT(5 * (RANK(I1545,I:I, 0) - 1) / COUNT(I:I)) + 1</f>
        <v>4</v>
      </c>
      <c r="M1545" t="str">
        <f t="shared" si="48"/>
        <v>324</v>
      </c>
      <c r="N1545" s="6" t="str">
        <f t="shared" si="49"/>
        <v>Others</v>
      </c>
    </row>
    <row r="1546" spans="1:14" x14ac:dyDescent="0.35">
      <c r="A1546">
        <v>1316</v>
      </c>
      <c r="B1546" s="4">
        <v>45791.375085336993</v>
      </c>
      <c r="C1546" t="s">
        <v>12</v>
      </c>
      <c r="D1546" t="s">
        <v>18</v>
      </c>
      <c r="E1546" t="s">
        <v>25</v>
      </c>
      <c r="F1546">
        <v>6201.45</v>
      </c>
      <c r="G1546">
        <f t="array" ref="G1546">SalesData!$I$2 - 'RFM Table'!B1546</f>
        <v>345</v>
      </c>
      <c r="H1546">
        <f t="array" ref="H1546">COUNTIF(A:A,A1546)</f>
        <v>5</v>
      </c>
      <c r="I1546">
        <f t="array" ref="I1546">SUMIF(A:A,A1546,F:F)</f>
        <v>20246.7</v>
      </c>
      <c r="J1546">
        <f t="array" ref="J1546">5 - INT(5 * (RANK(G1546,G:G, 1) - 1) / COUNT(G:G))</f>
        <v>3</v>
      </c>
      <c r="K1546">
        <f t="array" ref="K1546">INT(5 * (RANK(H1546,H:H, 0) - 1) / COUNT(H:H)) + 1</f>
        <v>5</v>
      </c>
      <c r="L1546">
        <f t="array" ref="L1546">INT(5 * (RANK(I1546,I:I, 0) - 1) / COUNT(I:I)) + 1</f>
        <v>5</v>
      </c>
      <c r="M1546" t="str">
        <f t="shared" si="48"/>
        <v>355</v>
      </c>
      <c r="N1546" s="6" t="str">
        <f t="shared" si="49"/>
        <v>Others</v>
      </c>
    </row>
    <row r="1547" spans="1:14" x14ac:dyDescent="0.35">
      <c r="A1547">
        <v>1310</v>
      </c>
      <c r="B1547" s="4">
        <v>45792.375085336993</v>
      </c>
      <c r="C1547" t="s">
        <v>15</v>
      </c>
      <c r="D1547" t="s">
        <v>21</v>
      </c>
      <c r="E1547" t="s">
        <v>23</v>
      </c>
      <c r="F1547">
        <v>2797.31</v>
      </c>
      <c r="G1547">
        <f t="array" ref="G1547">SalesData!$I$2 - 'RFM Table'!B1547</f>
        <v>344</v>
      </c>
      <c r="H1547">
        <f t="array" ref="H1547">COUNTIF(A:A,A1547)</f>
        <v>9</v>
      </c>
      <c r="I1547">
        <f t="array" ref="I1547">SUMIF(A:A,A1547,F:F)</f>
        <v>45883.96</v>
      </c>
      <c r="J1547">
        <f t="array" ref="J1547">5 - INT(5 * (RANK(G1547,G:G, 1) - 1) / COUNT(G:G))</f>
        <v>3</v>
      </c>
      <c r="K1547">
        <f t="array" ref="K1547">INT(5 * (RANK(H1547,H:H, 0) - 1) / COUNT(H:H)) + 1</f>
        <v>2</v>
      </c>
      <c r="L1547">
        <f t="array" ref="L1547">INT(5 * (RANK(I1547,I:I, 0) - 1) / COUNT(I:I)) + 1</f>
        <v>1</v>
      </c>
      <c r="M1547" t="str">
        <f t="shared" si="48"/>
        <v>321</v>
      </c>
      <c r="N1547" s="6" t="str">
        <f t="shared" si="49"/>
        <v>Others</v>
      </c>
    </row>
    <row r="1548" spans="1:14" x14ac:dyDescent="0.35">
      <c r="A1548">
        <v>1105</v>
      </c>
      <c r="B1548" s="4">
        <v>45792.375085336993</v>
      </c>
      <c r="C1548" t="s">
        <v>8</v>
      </c>
      <c r="D1548" t="s">
        <v>17</v>
      </c>
      <c r="E1548" t="s">
        <v>25</v>
      </c>
      <c r="F1548">
        <v>7414.58</v>
      </c>
      <c r="G1548">
        <f t="array" ref="G1548">SalesData!$I$2 - 'RFM Table'!B1548</f>
        <v>344</v>
      </c>
      <c r="H1548">
        <f t="array" ref="H1548">COUNTIF(A:A,A1548)</f>
        <v>7</v>
      </c>
      <c r="I1548">
        <f t="array" ref="I1548">SUMIF(A:A,A1548,F:F)</f>
        <v>24539.160000000003</v>
      </c>
      <c r="J1548">
        <f t="array" ref="J1548">5 - INT(5 * (RANK(G1548,G:G, 1) - 1) / COUNT(G:G))</f>
        <v>3</v>
      </c>
      <c r="K1548">
        <f t="array" ref="K1548">INT(5 * (RANK(H1548,H:H, 0) - 1) / COUNT(H:H)) + 1</f>
        <v>4</v>
      </c>
      <c r="L1548">
        <f t="array" ref="L1548">INT(5 * (RANK(I1548,I:I, 0) - 1) / COUNT(I:I)) + 1</f>
        <v>4</v>
      </c>
      <c r="M1548" t="str">
        <f t="shared" si="48"/>
        <v>344</v>
      </c>
      <c r="N1548" s="6" t="str">
        <f t="shared" si="49"/>
        <v>Others</v>
      </c>
    </row>
    <row r="1549" spans="1:14" x14ac:dyDescent="0.35">
      <c r="A1549">
        <v>1246</v>
      </c>
      <c r="B1549" s="4">
        <v>45792.375085336993</v>
      </c>
      <c r="C1549" t="s">
        <v>12</v>
      </c>
      <c r="D1549" t="s">
        <v>20</v>
      </c>
      <c r="E1549" t="s">
        <v>23</v>
      </c>
      <c r="F1549">
        <v>6172.7</v>
      </c>
      <c r="G1549">
        <f t="array" ref="G1549">SalesData!$I$2 - 'RFM Table'!B1549</f>
        <v>344</v>
      </c>
      <c r="H1549">
        <f t="array" ref="H1549">COUNTIF(A:A,A1549)</f>
        <v>9</v>
      </c>
      <c r="I1549">
        <f t="array" ref="I1549">SUMIF(A:A,A1549,F:F)</f>
        <v>38767.17</v>
      </c>
      <c r="J1549">
        <f t="array" ref="J1549">5 - INT(5 * (RANK(G1549,G:G, 1) - 1) / COUNT(G:G))</f>
        <v>3</v>
      </c>
      <c r="K1549">
        <f t="array" ref="K1549">INT(5 * (RANK(H1549,H:H, 0) - 1) / COUNT(H:H)) + 1</f>
        <v>2</v>
      </c>
      <c r="L1549">
        <f t="array" ref="L1549">INT(5 * (RANK(I1549,I:I, 0) - 1) / COUNT(I:I)) + 1</f>
        <v>2</v>
      </c>
      <c r="M1549" t="str">
        <f t="shared" si="48"/>
        <v>322</v>
      </c>
      <c r="N1549" s="6" t="str">
        <f t="shared" si="49"/>
        <v>Others</v>
      </c>
    </row>
    <row r="1550" spans="1:14" x14ac:dyDescent="0.35">
      <c r="A1550">
        <v>1375</v>
      </c>
      <c r="B1550" s="4">
        <v>45792.375085336993</v>
      </c>
      <c r="C1550" t="s">
        <v>6</v>
      </c>
      <c r="D1550" t="s">
        <v>22</v>
      </c>
      <c r="E1550" t="s">
        <v>25</v>
      </c>
      <c r="F1550">
        <v>1717.87</v>
      </c>
      <c r="G1550">
        <f t="array" ref="G1550">SalesData!$I$2 - 'RFM Table'!B1550</f>
        <v>344</v>
      </c>
      <c r="H1550">
        <f t="array" ref="H1550">COUNTIF(A:A,A1550)</f>
        <v>9</v>
      </c>
      <c r="I1550">
        <f t="array" ref="I1550">SUMIF(A:A,A1550,F:F)</f>
        <v>37215.54</v>
      </c>
      <c r="J1550">
        <f t="array" ref="J1550">5 - INT(5 * (RANK(G1550,G:G, 1) - 1) / COUNT(G:G))</f>
        <v>3</v>
      </c>
      <c r="K1550">
        <f t="array" ref="K1550">INT(5 * (RANK(H1550,H:H, 0) - 1) / COUNT(H:H)) + 1</f>
        <v>2</v>
      </c>
      <c r="L1550">
        <f t="array" ref="L1550">INT(5 * (RANK(I1550,I:I, 0) - 1) / COUNT(I:I)) + 1</f>
        <v>2</v>
      </c>
      <c r="M1550" t="str">
        <f t="shared" si="48"/>
        <v>322</v>
      </c>
      <c r="N1550" s="6" t="str">
        <f t="shared" si="49"/>
        <v>Others</v>
      </c>
    </row>
    <row r="1551" spans="1:14" x14ac:dyDescent="0.35">
      <c r="A1551">
        <v>1375</v>
      </c>
      <c r="B1551" s="4">
        <v>45792.375085336993</v>
      </c>
      <c r="C1551" t="s">
        <v>11</v>
      </c>
      <c r="D1551" t="s">
        <v>21</v>
      </c>
      <c r="E1551" t="s">
        <v>24</v>
      </c>
      <c r="F1551">
        <v>5757.42</v>
      </c>
      <c r="G1551">
        <f t="array" ref="G1551">SalesData!$I$2 - 'RFM Table'!B1551</f>
        <v>344</v>
      </c>
      <c r="H1551">
        <f t="array" ref="H1551">COUNTIF(A:A,A1551)</f>
        <v>9</v>
      </c>
      <c r="I1551">
        <f t="array" ref="I1551">SUMIF(A:A,A1551,F:F)</f>
        <v>37215.54</v>
      </c>
      <c r="J1551">
        <f t="array" ref="J1551">5 - INT(5 * (RANK(G1551,G:G, 1) - 1) / COUNT(G:G))</f>
        <v>3</v>
      </c>
      <c r="K1551">
        <f t="array" ref="K1551">INT(5 * (RANK(H1551,H:H, 0) - 1) / COUNT(H:H)) + 1</f>
        <v>2</v>
      </c>
      <c r="L1551">
        <f t="array" ref="L1551">INT(5 * (RANK(I1551,I:I, 0) - 1) / COUNT(I:I)) + 1</f>
        <v>2</v>
      </c>
      <c r="M1551" t="str">
        <f t="shared" si="48"/>
        <v>322</v>
      </c>
      <c r="N1551" s="6" t="str">
        <f t="shared" si="49"/>
        <v>Others</v>
      </c>
    </row>
    <row r="1552" spans="1:14" x14ac:dyDescent="0.35">
      <c r="A1552">
        <v>1083</v>
      </c>
      <c r="B1552" s="4">
        <v>45792.375085336993</v>
      </c>
      <c r="C1552" t="s">
        <v>7</v>
      </c>
      <c r="D1552" t="s">
        <v>19</v>
      </c>
      <c r="E1552" t="s">
        <v>23</v>
      </c>
      <c r="F1552">
        <v>3509.88</v>
      </c>
      <c r="G1552">
        <f t="array" ref="G1552">SalesData!$I$2 - 'RFM Table'!B1552</f>
        <v>344</v>
      </c>
      <c r="H1552">
        <f t="array" ref="H1552">COUNTIF(A:A,A1552)</f>
        <v>10</v>
      </c>
      <c r="I1552">
        <f t="array" ref="I1552">SUMIF(A:A,A1552,F:F)</f>
        <v>27359.329999999998</v>
      </c>
      <c r="J1552">
        <f t="array" ref="J1552">5 - INT(5 * (RANK(G1552,G:G, 1) - 1) / COUNT(G:G))</f>
        <v>3</v>
      </c>
      <c r="K1552">
        <f t="array" ref="K1552">INT(5 * (RANK(H1552,H:H, 0) - 1) / COUNT(H:H)) + 1</f>
        <v>2</v>
      </c>
      <c r="L1552">
        <f t="array" ref="L1552">INT(5 * (RANK(I1552,I:I, 0) - 1) / COUNT(I:I)) + 1</f>
        <v>4</v>
      </c>
      <c r="M1552" t="str">
        <f t="shared" si="48"/>
        <v>324</v>
      </c>
      <c r="N1552" s="6" t="str">
        <f t="shared" si="49"/>
        <v>Others</v>
      </c>
    </row>
    <row r="1553" spans="1:14" x14ac:dyDescent="0.35">
      <c r="A1553">
        <v>1364</v>
      </c>
      <c r="B1553" s="4">
        <v>45792.375085336993</v>
      </c>
      <c r="C1553" t="s">
        <v>13</v>
      </c>
      <c r="D1553" t="s">
        <v>22</v>
      </c>
      <c r="E1553" t="s">
        <v>24</v>
      </c>
      <c r="F1553">
        <v>3388.3</v>
      </c>
      <c r="G1553">
        <f t="array" ref="G1553">SalesData!$I$2 - 'RFM Table'!B1553</f>
        <v>344</v>
      </c>
      <c r="H1553">
        <f t="array" ref="H1553">COUNTIF(A:A,A1553)</f>
        <v>11</v>
      </c>
      <c r="I1553">
        <f t="array" ref="I1553">SUMIF(A:A,A1553,F:F)</f>
        <v>39674.43</v>
      </c>
      <c r="J1553">
        <f t="array" ref="J1553">5 - INT(5 * (RANK(G1553,G:G, 1) - 1) / COUNT(G:G))</f>
        <v>3</v>
      </c>
      <c r="K1553">
        <f t="array" ref="K1553">INT(5 * (RANK(H1553,H:H, 0) - 1) / COUNT(H:H)) + 1</f>
        <v>1</v>
      </c>
      <c r="L1553">
        <f t="array" ref="L1553">INT(5 * (RANK(I1553,I:I, 0) - 1) / COUNT(I:I)) + 1</f>
        <v>2</v>
      </c>
      <c r="M1553" t="str">
        <f t="shared" si="48"/>
        <v>312</v>
      </c>
      <c r="N1553" s="6" t="str">
        <f t="shared" si="49"/>
        <v>Others</v>
      </c>
    </row>
    <row r="1554" spans="1:14" x14ac:dyDescent="0.35">
      <c r="A1554">
        <v>1276</v>
      </c>
      <c r="B1554" s="4">
        <v>45793.375085336993</v>
      </c>
      <c r="C1554" t="s">
        <v>6</v>
      </c>
      <c r="D1554" t="s">
        <v>18</v>
      </c>
      <c r="E1554" t="s">
        <v>23</v>
      </c>
      <c r="F1554">
        <v>7127.6</v>
      </c>
      <c r="G1554">
        <f t="array" ref="G1554">SalesData!$I$2 - 'RFM Table'!B1554</f>
        <v>343</v>
      </c>
      <c r="H1554">
        <f t="array" ref="H1554">COUNTIF(A:A,A1554)</f>
        <v>11</v>
      </c>
      <c r="I1554">
        <f t="array" ref="I1554">SUMIF(A:A,A1554,F:F)</f>
        <v>38337.789999999994</v>
      </c>
      <c r="J1554">
        <f t="array" ref="J1554">5 - INT(5 * (RANK(G1554,G:G, 1) - 1) / COUNT(G:G))</f>
        <v>3</v>
      </c>
      <c r="K1554">
        <f t="array" ref="K1554">INT(5 * (RANK(H1554,H:H, 0) - 1) / COUNT(H:H)) + 1</f>
        <v>1</v>
      </c>
      <c r="L1554">
        <f t="array" ref="L1554">INT(5 * (RANK(I1554,I:I, 0) - 1) / COUNT(I:I)) + 1</f>
        <v>2</v>
      </c>
      <c r="M1554" t="str">
        <f t="shared" si="48"/>
        <v>312</v>
      </c>
      <c r="N1554" s="6" t="str">
        <f t="shared" si="49"/>
        <v>Others</v>
      </c>
    </row>
    <row r="1555" spans="1:14" x14ac:dyDescent="0.35">
      <c r="A1555">
        <v>1009</v>
      </c>
      <c r="B1555" s="4">
        <v>45793.375085336993</v>
      </c>
      <c r="C1555" t="s">
        <v>15</v>
      </c>
      <c r="D1555" t="s">
        <v>19</v>
      </c>
      <c r="E1555" t="s">
        <v>23</v>
      </c>
      <c r="F1555">
        <v>10779.1</v>
      </c>
      <c r="G1555">
        <f t="array" ref="G1555">SalesData!$I$2 - 'RFM Table'!B1555</f>
        <v>343</v>
      </c>
      <c r="H1555">
        <f t="array" ref="H1555">COUNTIF(A:A,A1555)</f>
        <v>9</v>
      </c>
      <c r="I1555">
        <f t="array" ref="I1555">SUMIF(A:A,A1555,F:F)</f>
        <v>30047.29</v>
      </c>
      <c r="J1555">
        <f t="array" ref="J1555">5 - INT(5 * (RANK(G1555,G:G, 1) - 1) / COUNT(G:G))</f>
        <v>3</v>
      </c>
      <c r="K1555">
        <f t="array" ref="K1555">INT(5 * (RANK(H1555,H:H, 0) - 1) / COUNT(H:H)) + 1</f>
        <v>2</v>
      </c>
      <c r="L1555">
        <f t="array" ref="L1555">INT(5 * (RANK(I1555,I:I, 0) - 1) / COUNT(I:I)) + 1</f>
        <v>3</v>
      </c>
      <c r="M1555" t="str">
        <f t="shared" si="48"/>
        <v>323</v>
      </c>
      <c r="N1555" s="6" t="str">
        <f t="shared" si="49"/>
        <v>Others</v>
      </c>
    </row>
    <row r="1556" spans="1:14" x14ac:dyDescent="0.35">
      <c r="A1556">
        <v>1070</v>
      </c>
      <c r="B1556" s="4">
        <v>45793.375085336993</v>
      </c>
      <c r="C1556" t="s">
        <v>6</v>
      </c>
      <c r="D1556" t="s">
        <v>18</v>
      </c>
      <c r="E1556" t="s">
        <v>23</v>
      </c>
      <c r="F1556">
        <v>6908.09</v>
      </c>
      <c r="G1556">
        <f t="array" ref="G1556">SalesData!$I$2 - 'RFM Table'!B1556</f>
        <v>343</v>
      </c>
      <c r="H1556">
        <f t="array" ref="H1556">COUNTIF(A:A,A1556)</f>
        <v>2</v>
      </c>
      <c r="I1556">
        <f t="array" ref="I1556">SUMIF(A:A,A1556,F:F)</f>
        <v>12037.99</v>
      </c>
      <c r="J1556">
        <f t="array" ref="J1556">5 - INT(5 * (RANK(G1556,G:G, 1) - 1) / COUNT(G:G))</f>
        <v>3</v>
      </c>
      <c r="K1556">
        <f t="array" ref="K1556">INT(5 * (RANK(H1556,H:H, 0) - 1) / COUNT(H:H)) + 1</f>
        <v>5</v>
      </c>
      <c r="L1556">
        <f t="array" ref="L1556">INT(5 * (RANK(I1556,I:I, 0) - 1) / COUNT(I:I)) + 1</f>
        <v>5</v>
      </c>
      <c r="M1556" t="str">
        <f t="shared" si="48"/>
        <v>355</v>
      </c>
      <c r="N1556" s="6" t="str">
        <f t="shared" si="49"/>
        <v>Others</v>
      </c>
    </row>
    <row r="1557" spans="1:14" x14ac:dyDescent="0.35">
      <c r="A1557">
        <v>1085</v>
      </c>
      <c r="B1557" s="4">
        <v>45793.375085336993</v>
      </c>
      <c r="C1557" t="s">
        <v>9</v>
      </c>
      <c r="D1557" t="s">
        <v>19</v>
      </c>
      <c r="E1557" t="s">
        <v>25</v>
      </c>
      <c r="F1557">
        <v>1944.83</v>
      </c>
      <c r="G1557">
        <f t="array" ref="G1557">SalesData!$I$2 - 'RFM Table'!B1557</f>
        <v>343</v>
      </c>
      <c r="H1557">
        <f t="array" ref="H1557">COUNTIF(A:A,A1557)</f>
        <v>10</v>
      </c>
      <c r="I1557">
        <f t="array" ref="I1557">SUMIF(A:A,A1557,F:F)</f>
        <v>50122.659999999996</v>
      </c>
      <c r="J1557">
        <f t="array" ref="J1557">5 - INT(5 * (RANK(G1557,G:G, 1) - 1) / COUNT(G:G))</f>
        <v>3</v>
      </c>
      <c r="K1557">
        <f t="array" ref="K1557">INT(5 * (RANK(H1557,H:H, 0) - 1) / COUNT(H:H)) + 1</f>
        <v>2</v>
      </c>
      <c r="L1557">
        <f t="array" ref="L1557">INT(5 * (RANK(I1557,I:I, 0) - 1) / COUNT(I:I)) + 1</f>
        <v>1</v>
      </c>
      <c r="M1557" t="str">
        <f t="shared" si="48"/>
        <v>321</v>
      </c>
      <c r="N1557" s="6" t="str">
        <f t="shared" si="49"/>
        <v>Others</v>
      </c>
    </row>
    <row r="1558" spans="1:14" x14ac:dyDescent="0.35">
      <c r="A1558">
        <v>1111</v>
      </c>
      <c r="B1558" s="4">
        <v>45793.375085336993</v>
      </c>
      <c r="C1558" t="s">
        <v>9</v>
      </c>
      <c r="D1558" t="s">
        <v>21</v>
      </c>
      <c r="E1558" t="s">
        <v>25</v>
      </c>
      <c r="F1558">
        <v>3547.47</v>
      </c>
      <c r="G1558">
        <f t="array" ref="G1558">SalesData!$I$2 - 'RFM Table'!B1558</f>
        <v>343</v>
      </c>
      <c r="H1558">
        <f t="array" ref="H1558">COUNTIF(A:A,A1558)</f>
        <v>7</v>
      </c>
      <c r="I1558">
        <f t="array" ref="I1558">SUMIF(A:A,A1558,F:F)</f>
        <v>17082.88</v>
      </c>
      <c r="J1558">
        <f t="array" ref="J1558">5 - INT(5 * (RANK(G1558,G:G, 1) - 1) / COUNT(G:G))</f>
        <v>3</v>
      </c>
      <c r="K1558">
        <f t="array" ref="K1558">INT(5 * (RANK(H1558,H:H, 0) - 1) / COUNT(H:H)) + 1</f>
        <v>4</v>
      </c>
      <c r="L1558">
        <f t="array" ref="L1558">INT(5 * (RANK(I1558,I:I, 0) - 1) / COUNT(I:I)) + 1</f>
        <v>5</v>
      </c>
      <c r="M1558" t="str">
        <f t="shared" si="48"/>
        <v>345</v>
      </c>
      <c r="N1558" s="6" t="str">
        <f t="shared" si="49"/>
        <v>Others</v>
      </c>
    </row>
    <row r="1559" spans="1:14" x14ac:dyDescent="0.35">
      <c r="A1559">
        <v>1361</v>
      </c>
      <c r="B1559" s="4">
        <v>45793.375085336993</v>
      </c>
      <c r="C1559" t="s">
        <v>8</v>
      </c>
      <c r="D1559" t="s">
        <v>16</v>
      </c>
      <c r="E1559" t="s">
        <v>23</v>
      </c>
      <c r="F1559">
        <v>7432.4</v>
      </c>
      <c r="G1559">
        <f t="array" ref="G1559">SalesData!$I$2 - 'RFM Table'!B1559</f>
        <v>343</v>
      </c>
      <c r="H1559">
        <f t="array" ref="H1559">COUNTIF(A:A,A1559)</f>
        <v>5</v>
      </c>
      <c r="I1559">
        <f t="array" ref="I1559">SUMIF(A:A,A1559,F:F)</f>
        <v>27766.260000000002</v>
      </c>
      <c r="J1559">
        <f t="array" ref="J1559">5 - INT(5 * (RANK(G1559,G:G, 1) - 1) / COUNT(G:G))</f>
        <v>3</v>
      </c>
      <c r="K1559">
        <f t="array" ref="K1559">INT(5 * (RANK(H1559,H:H, 0) - 1) / COUNT(H:H)) + 1</f>
        <v>5</v>
      </c>
      <c r="L1559">
        <f t="array" ref="L1559">INT(5 * (RANK(I1559,I:I, 0) - 1) / COUNT(I:I)) + 1</f>
        <v>4</v>
      </c>
      <c r="M1559" t="str">
        <f t="shared" si="48"/>
        <v>354</v>
      </c>
      <c r="N1559" s="6" t="str">
        <f t="shared" si="49"/>
        <v>Others</v>
      </c>
    </row>
    <row r="1560" spans="1:14" x14ac:dyDescent="0.35">
      <c r="A1560">
        <v>1145</v>
      </c>
      <c r="B1560" s="4">
        <v>45793.375085336993</v>
      </c>
      <c r="C1560" t="s">
        <v>6</v>
      </c>
      <c r="D1560" t="s">
        <v>22</v>
      </c>
      <c r="E1560" t="s">
        <v>24</v>
      </c>
      <c r="F1560">
        <v>921.49</v>
      </c>
      <c r="G1560">
        <f t="array" ref="G1560">SalesData!$I$2 - 'RFM Table'!B1560</f>
        <v>343</v>
      </c>
      <c r="H1560">
        <f t="array" ref="H1560">COUNTIF(A:A,A1560)</f>
        <v>9</v>
      </c>
      <c r="I1560">
        <f t="array" ref="I1560">SUMIF(A:A,A1560,F:F)</f>
        <v>36233.340000000004</v>
      </c>
      <c r="J1560">
        <f t="array" ref="J1560">5 - INT(5 * (RANK(G1560,G:G, 1) - 1) / COUNT(G:G))</f>
        <v>3</v>
      </c>
      <c r="K1560">
        <f t="array" ref="K1560">INT(5 * (RANK(H1560,H:H, 0) - 1) / COUNT(H:H)) + 1</f>
        <v>2</v>
      </c>
      <c r="L1560">
        <f t="array" ref="L1560">INT(5 * (RANK(I1560,I:I, 0) - 1) / COUNT(I:I)) + 1</f>
        <v>3</v>
      </c>
      <c r="M1560" t="str">
        <f t="shared" si="48"/>
        <v>323</v>
      </c>
      <c r="N1560" s="6" t="str">
        <f t="shared" si="49"/>
        <v>Others</v>
      </c>
    </row>
    <row r="1561" spans="1:14" x14ac:dyDescent="0.35">
      <c r="A1561">
        <v>1215</v>
      </c>
      <c r="B1561" s="4">
        <v>45794.375085336993</v>
      </c>
      <c r="C1561" t="s">
        <v>11</v>
      </c>
      <c r="D1561" t="s">
        <v>18</v>
      </c>
      <c r="E1561" t="s">
        <v>23</v>
      </c>
      <c r="F1561">
        <v>3773.52</v>
      </c>
      <c r="G1561">
        <f t="array" ref="G1561">SalesData!$I$2 - 'RFM Table'!B1561</f>
        <v>342</v>
      </c>
      <c r="H1561">
        <f t="array" ref="H1561">COUNTIF(A:A,A1561)</f>
        <v>9</v>
      </c>
      <c r="I1561">
        <f t="array" ref="I1561">SUMIF(A:A,A1561,F:F)</f>
        <v>26752.640000000003</v>
      </c>
      <c r="J1561">
        <f t="array" ref="J1561">5 - INT(5 * (RANK(G1561,G:G, 1) - 1) / COUNT(G:G))</f>
        <v>3</v>
      </c>
      <c r="K1561">
        <f t="array" ref="K1561">INT(5 * (RANK(H1561,H:H, 0) - 1) / COUNT(H:H)) + 1</f>
        <v>2</v>
      </c>
      <c r="L1561">
        <f t="array" ref="L1561">INT(5 * (RANK(I1561,I:I, 0) - 1) / COUNT(I:I)) + 1</f>
        <v>4</v>
      </c>
      <c r="M1561" t="str">
        <f t="shared" si="48"/>
        <v>324</v>
      </c>
      <c r="N1561" s="6" t="str">
        <f t="shared" si="49"/>
        <v>Others</v>
      </c>
    </row>
    <row r="1562" spans="1:14" x14ac:dyDescent="0.35">
      <c r="A1562">
        <v>1267</v>
      </c>
      <c r="B1562" s="4">
        <v>45795.375085336993</v>
      </c>
      <c r="C1562" t="s">
        <v>8</v>
      </c>
      <c r="D1562" t="s">
        <v>16</v>
      </c>
      <c r="E1562" t="s">
        <v>23</v>
      </c>
      <c r="F1562">
        <v>3597.9</v>
      </c>
      <c r="G1562">
        <f t="array" ref="G1562">SalesData!$I$2 - 'RFM Table'!B1562</f>
        <v>341</v>
      </c>
      <c r="H1562">
        <f t="array" ref="H1562">COUNTIF(A:A,A1562)</f>
        <v>9</v>
      </c>
      <c r="I1562">
        <f t="array" ref="I1562">SUMIF(A:A,A1562,F:F)</f>
        <v>39538.21</v>
      </c>
      <c r="J1562">
        <f t="array" ref="J1562">5 - INT(5 * (RANK(G1562,G:G, 1) - 1) / COUNT(G:G))</f>
        <v>3</v>
      </c>
      <c r="K1562">
        <f t="array" ref="K1562">INT(5 * (RANK(H1562,H:H, 0) - 1) / COUNT(H:H)) + 1</f>
        <v>2</v>
      </c>
      <c r="L1562">
        <f t="array" ref="L1562">INT(5 * (RANK(I1562,I:I, 0) - 1) / COUNT(I:I)) + 1</f>
        <v>2</v>
      </c>
      <c r="M1562" t="str">
        <f t="shared" si="48"/>
        <v>322</v>
      </c>
      <c r="N1562" s="6" t="str">
        <f t="shared" si="49"/>
        <v>Others</v>
      </c>
    </row>
    <row r="1563" spans="1:14" x14ac:dyDescent="0.35">
      <c r="A1563">
        <v>1287</v>
      </c>
      <c r="B1563" s="4">
        <v>45795.375085336993</v>
      </c>
      <c r="C1563" t="s">
        <v>9</v>
      </c>
      <c r="D1563" t="s">
        <v>20</v>
      </c>
      <c r="E1563" t="s">
        <v>24</v>
      </c>
      <c r="F1563">
        <v>2556.31</v>
      </c>
      <c r="G1563">
        <f t="array" ref="G1563">SalesData!$I$2 - 'RFM Table'!B1563</f>
        <v>341</v>
      </c>
      <c r="H1563">
        <f t="array" ref="H1563">COUNTIF(A:A,A1563)</f>
        <v>16</v>
      </c>
      <c r="I1563">
        <f t="array" ref="I1563">SUMIF(A:A,A1563,F:F)</f>
        <v>64716.249999999985</v>
      </c>
      <c r="J1563">
        <f t="array" ref="J1563">5 - INT(5 * (RANK(G1563,G:G, 1) - 1) / COUNT(G:G))</f>
        <v>3</v>
      </c>
      <c r="K1563">
        <f t="array" ref="K1563">INT(5 * (RANK(H1563,H:H, 0) - 1) / COUNT(H:H)) + 1</f>
        <v>1</v>
      </c>
      <c r="L1563">
        <f t="array" ref="L1563">INT(5 * (RANK(I1563,I:I, 0) - 1) / COUNT(I:I)) + 1</f>
        <v>1</v>
      </c>
      <c r="M1563" t="str">
        <f t="shared" si="48"/>
        <v>311</v>
      </c>
      <c r="N1563" s="6" t="str">
        <f t="shared" si="49"/>
        <v>Others</v>
      </c>
    </row>
    <row r="1564" spans="1:14" x14ac:dyDescent="0.35">
      <c r="A1564">
        <v>1006</v>
      </c>
      <c r="B1564" s="4">
        <v>45795.375085336993</v>
      </c>
      <c r="C1564" t="s">
        <v>15</v>
      </c>
      <c r="D1564" t="s">
        <v>21</v>
      </c>
      <c r="E1564" t="s">
        <v>24</v>
      </c>
      <c r="F1564">
        <v>10586.38</v>
      </c>
      <c r="G1564">
        <f t="array" ref="G1564">SalesData!$I$2 - 'RFM Table'!B1564</f>
        <v>341</v>
      </c>
      <c r="H1564">
        <f t="array" ref="H1564">COUNTIF(A:A,A1564)</f>
        <v>9</v>
      </c>
      <c r="I1564">
        <f t="array" ref="I1564">SUMIF(A:A,A1564,F:F)</f>
        <v>44812.989999999991</v>
      </c>
      <c r="J1564">
        <f t="array" ref="J1564">5 - INT(5 * (RANK(G1564,G:G, 1) - 1) / COUNT(G:G))</f>
        <v>3</v>
      </c>
      <c r="K1564">
        <f t="array" ref="K1564">INT(5 * (RANK(H1564,H:H, 0) - 1) / COUNT(H:H)) + 1</f>
        <v>2</v>
      </c>
      <c r="L1564">
        <f t="array" ref="L1564">INT(5 * (RANK(I1564,I:I, 0) - 1) / COUNT(I:I)) + 1</f>
        <v>2</v>
      </c>
      <c r="M1564" t="str">
        <f t="shared" si="48"/>
        <v>322</v>
      </c>
      <c r="N1564" s="6" t="str">
        <f t="shared" si="49"/>
        <v>Others</v>
      </c>
    </row>
    <row r="1565" spans="1:14" x14ac:dyDescent="0.35">
      <c r="A1565">
        <v>1342</v>
      </c>
      <c r="B1565" s="4">
        <v>45795.375085336993</v>
      </c>
      <c r="C1565" t="s">
        <v>9</v>
      </c>
      <c r="D1565" t="s">
        <v>16</v>
      </c>
      <c r="E1565" t="s">
        <v>23</v>
      </c>
      <c r="F1565">
        <v>2488.36</v>
      </c>
      <c r="G1565">
        <f t="array" ref="G1565">SalesData!$I$2 - 'RFM Table'!B1565</f>
        <v>341</v>
      </c>
      <c r="H1565">
        <f t="array" ref="H1565">COUNTIF(A:A,A1565)</f>
        <v>3</v>
      </c>
      <c r="I1565">
        <f t="array" ref="I1565">SUMIF(A:A,A1565,F:F)</f>
        <v>11200.41</v>
      </c>
      <c r="J1565">
        <f t="array" ref="J1565">5 - INT(5 * (RANK(G1565,G:G, 1) - 1) / COUNT(G:G))</f>
        <v>3</v>
      </c>
      <c r="K1565">
        <f t="array" ref="K1565">INT(5 * (RANK(H1565,H:H, 0) - 1) / COUNT(H:H)) + 1</f>
        <v>5</v>
      </c>
      <c r="L1565">
        <f t="array" ref="L1565">INT(5 * (RANK(I1565,I:I, 0) - 1) / COUNT(I:I)) + 1</f>
        <v>5</v>
      </c>
      <c r="M1565" t="str">
        <f t="shared" si="48"/>
        <v>355</v>
      </c>
      <c r="N1565" s="6" t="str">
        <f t="shared" si="49"/>
        <v>Others</v>
      </c>
    </row>
    <row r="1566" spans="1:14" x14ac:dyDescent="0.35">
      <c r="A1566">
        <v>1008</v>
      </c>
      <c r="B1566" s="4">
        <v>45795.375085336993</v>
      </c>
      <c r="C1566" t="s">
        <v>10</v>
      </c>
      <c r="D1566" t="s">
        <v>21</v>
      </c>
      <c r="E1566" t="s">
        <v>25</v>
      </c>
      <c r="F1566">
        <v>2891.88</v>
      </c>
      <c r="G1566">
        <f t="array" ref="G1566">SalesData!$I$2 - 'RFM Table'!B1566</f>
        <v>341</v>
      </c>
      <c r="H1566">
        <f t="array" ref="H1566">COUNTIF(A:A,A1566)</f>
        <v>9</v>
      </c>
      <c r="I1566">
        <f t="array" ref="I1566">SUMIF(A:A,A1566,F:F)</f>
        <v>32548.37</v>
      </c>
      <c r="J1566">
        <f t="array" ref="J1566">5 - INT(5 * (RANK(G1566,G:G, 1) - 1) / COUNT(G:G))</f>
        <v>3</v>
      </c>
      <c r="K1566">
        <f t="array" ref="K1566">INT(5 * (RANK(H1566,H:H, 0) - 1) / COUNT(H:H)) + 1</f>
        <v>2</v>
      </c>
      <c r="L1566">
        <f t="array" ref="L1566">INT(5 * (RANK(I1566,I:I, 0) - 1) / COUNT(I:I)) + 1</f>
        <v>3</v>
      </c>
      <c r="M1566" t="str">
        <f t="shared" si="48"/>
        <v>323</v>
      </c>
      <c r="N1566" s="6" t="str">
        <f t="shared" si="49"/>
        <v>Others</v>
      </c>
    </row>
    <row r="1567" spans="1:14" x14ac:dyDescent="0.35">
      <c r="A1567">
        <v>1242</v>
      </c>
      <c r="B1567" s="4">
        <v>45795.375085336993</v>
      </c>
      <c r="C1567" t="s">
        <v>11</v>
      </c>
      <c r="D1567" t="s">
        <v>18</v>
      </c>
      <c r="E1567" t="s">
        <v>24</v>
      </c>
      <c r="F1567">
        <v>2749.97</v>
      </c>
      <c r="G1567">
        <f t="array" ref="G1567">SalesData!$I$2 - 'RFM Table'!B1567</f>
        <v>341</v>
      </c>
      <c r="H1567">
        <f t="array" ref="H1567">COUNTIF(A:A,A1567)</f>
        <v>8</v>
      </c>
      <c r="I1567">
        <f t="array" ref="I1567">SUMIF(A:A,A1567,F:F)</f>
        <v>26424.119999999995</v>
      </c>
      <c r="J1567">
        <f t="array" ref="J1567">5 - INT(5 * (RANK(G1567,G:G, 1) - 1) / COUNT(G:G))</f>
        <v>3</v>
      </c>
      <c r="K1567">
        <f t="array" ref="K1567">INT(5 * (RANK(H1567,H:H, 0) - 1) / COUNT(H:H)) + 1</f>
        <v>3</v>
      </c>
      <c r="L1567">
        <f t="array" ref="L1567">INT(5 * (RANK(I1567,I:I, 0) - 1) / COUNT(I:I)) + 1</f>
        <v>4</v>
      </c>
      <c r="M1567" t="str">
        <f t="shared" si="48"/>
        <v>334</v>
      </c>
      <c r="N1567" s="6" t="str">
        <f t="shared" si="49"/>
        <v>Others</v>
      </c>
    </row>
    <row r="1568" spans="1:14" x14ac:dyDescent="0.35">
      <c r="A1568">
        <v>1072</v>
      </c>
      <c r="B1568" s="4">
        <v>45795.375085336993</v>
      </c>
      <c r="C1568" t="s">
        <v>13</v>
      </c>
      <c r="D1568" t="s">
        <v>19</v>
      </c>
      <c r="E1568" t="s">
        <v>23</v>
      </c>
      <c r="F1568">
        <v>3440.94</v>
      </c>
      <c r="G1568">
        <f t="array" ref="G1568">SalesData!$I$2 - 'RFM Table'!B1568</f>
        <v>341</v>
      </c>
      <c r="H1568">
        <f t="array" ref="H1568">COUNTIF(A:A,A1568)</f>
        <v>8</v>
      </c>
      <c r="I1568">
        <f t="array" ref="I1568">SUMIF(A:A,A1568,F:F)</f>
        <v>30568.039999999997</v>
      </c>
      <c r="J1568">
        <f t="array" ref="J1568">5 - INT(5 * (RANK(G1568,G:G, 1) - 1) / COUNT(G:G))</f>
        <v>3</v>
      </c>
      <c r="K1568">
        <f t="array" ref="K1568">INT(5 * (RANK(H1568,H:H, 0) - 1) / COUNT(H:H)) + 1</f>
        <v>3</v>
      </c>
      <c r="L1568">
        <f t="array" ref="L1568">INT(5 * (RANK(I1568,I:I, 0) - 1) / COUNT(I:I)) + 1</f>
        <v>3</v>
      </c>
      <c r="M1568" t="str">
        <f t="shared" si="48"/>
        <v>333</v>
      </c>
      <c r="N1568" s="6" t="str">
        <f t="shared" si="49"/>
        <v>Others</v>
      </c>
    </row>
    <row r="1569" spans="1:14" x14ac:dyDescent="0.35">
      <c r="A1569">
        <v>1133</v>
      </c>
      <c r="B1569" s="4">
        <v>45795.375085336993</v>
      </c>
      <c r="C1569" t="s">
        <v>10</v>
      </c>
      <c r="D1569" t="s">
        <v>18</v>
      </c>
      <c r="E1569" t="s">
        <v>24</v>
      </c>
      <c r="F1569">
        <v>5030.1400000000003</v>
      </c>
      <c r="G1569">
        <f t="array" ref="G1569">SalesData!$I$2 - 'RFM Table'!B1569</f>
        <v>341</v>
      </c>
      <c r="H1569">
        <f t="array" ref="H1569">COUNTIF(A:A,A1569)</f>
        <v>8</v>
      </c>
      <c r="I1569">
        <f t="array" ref="I1569">SUMIF(A:A,A1569,F:F)</f>
        <v>34167.589999999997</v>
      </c>
      <c r="J1569">
        <f t="array" ref="J1569">5 - INT(5 * (RANK(G1569,G:G, 1) - 1) / COUNT(G:G))</f>
        <v>3</v>
      </c>
      <c r="K1569">
        <f t="array" ref="K1569">INT(5 * (RANK(H1569,H:H, 0) - 1) / COUNT(H:H)) + 1</f>
        <v>3</v>
      </c>
      <c r="L1569">
        <f t="array" ref="L1569">INT(5 * (RANK(I1569,I:I, 0) - 1) / COUNT(I:I)) + 1</f>
        <v>3</v>
      </c>
      <c r="M1569" t="str">
        <f t="shared" si="48"/>
        <v>333</v>
      </c>
      <c r="N1569" s="6" t="str">
        <f t="shared" si="49"/>
        <v>Others</v>
      </c>
    </row>
    <row r="1570" spans="1:14" x14ac:dyDescent="0.35">
      <c r="A1570">
        <v>1327</v>
      </c>
      <c r="B1570" s="4">
        <v>45796.375085336993</v>
      </c>
      <c r="C1570" t="s">
        <v>8</v>
      </c>
      <c r="D1570" t="s">
        <v>21</v>
      </c>
      <c r="E1570" t="s">
        <v>24</v>
      </c>
      <c r="F1570">
        <v>5417.66</v>
      </c>
      <c r="G1570">
        <f t="array" ref="G1570">SalesData!$I$2 - 'RFM Table'!B1570</f>
        <v>340</v>
      </c>
      <c r="H1570">
        <f t="array" ref="H1570">COUNTIF(A:A,A1570)</f>
        <v>10</v>
      </c>
      <c r="I1570">
        <f t="array" ref="I1570">SUMIF(A:A,A1570,F:F)</f>
        <v>34265.79</v>
      </c>
      <c r="J1570">
        <f t="array" ref="J1570">5 - INT(5 * (RANK(G1570,G:G, 1) - 1) / COUNT(G:G))</f>
        <v>3</v>
      </c>
      <c r="K1570">
        <f t="array" ref="K1570">INT(5 * (RANK(H1570,H:H, 0) - 1) / COUNT(H:H)) + 1</f>
        <v>2</v>
      </c>
      <c r="L1570">
        <f t="array" ref="L1570">INT(5 * (RANK(I1570,I:I, 0) - 1) / COUNT(I:I)) + 1</f>
        <v>3</v>
      </c>
      <c r="M1570" t="str">
        <f t="shared" si="48"/>
        <v>323</v>
      </c>
      <c r="N1570" s="6" t="str">
        <f t="shared" si="49"/>
        <v>Others</v>
      </c>
    </row>
    <row r="1571" spans="1:14" x14ac:dyDescent="0.35">
      <c r="A1571">
        <v>1290</v>
      </c>
      <c r="B1571" s="4">
        <v>45796.375085336993</v>
      </c>
      <c r="C1571" t="s">
        <v>9</v>
      </c>
      <c r="D1571" t="s">
        <v>19</v>
      </c>
      <c r="E1571" t="s">
        <v>25</v>
      </c>
      <c r="F1571">
        <v>4414.71</v>
      </c>
      <c r="G1571">
        <f t="array" ref="G1571">SalesData!$I$2 - 'RFM Table'!B1571</f>
        <v>340</v>
      </c>
      <c r="H1571">
        <f t="array" ref="H1571">COUNTIF(A:A,A1571)</f>
        <v>9</v>
      </c>
      <c r="I1571">
        <f t="array" ref="I1571">SUMIF(A:A,A1571,F:F)</f>
        <v>37864.199999999997</v>
      </c>
      <c r="J1571">
        <f t="array" ref="J1571">5 - INT(5 * (RANK(G1571,G:G, 1) - 1) / COUNT(G:G))</f>
        <v>3</v>
      </c>
      <c r="K1571">
        <f t="array" ref="K1571">INT(5 * (RANK(H1571,H:H, 0) - 1) / COUNT(H:H)) + 1</f>
        <v>2</v>
      </c>
      <c r="L1571">
        <f t="array" ref="L1571">INT(5 * (RANK(I1571,I:I, 0) - 1) / COUNT(I:I)) + 1</f>
        <v>2</v>
      </c>
      <c r="M1571" t="str">
        <f t="shared" si="48"/>
        <v>322</v>
      </c>
      <c r="N1571" s="6" t="str">
        <f t="shared" si="49"/>
        <v>Others</v>
      </c>
    </row>
    <row r="1572" spans="1:14" x14ac:dyDescent="0.35">
      <c r="A1572">
        <v>1299</v>
      </c>
      <c r="B1572" s="4">
        <v>45796.375085336993</v>
      </c>
      <c r="C1572" t="s">
        <v>12</v>
      </c>
      <c r="D1572" t="s">
        <v>16</v>
      </c>
      <c r="E1572" t="s">
        <v>23</v>
      </c>
      <c r="F1572">
        <v>2931.66</v>
      </c>
      <c r="G1572">
        <f t="array" ref="G1572">SalesData!$I$2 - 'RFM Table'!B1572</f>
        <v>340</v>
      </c>
      <c r="H1572">
        <f t="array" ref="H1572">COUNTIF(A:A,A1572)</f>
        <v>6</v>
      </c>
      <c r="I1572">
        <f t="array" ref="I1572">SUMIF(A:A,A1572,F:F)</f>
        <v>13299.439999999999</v>
      </c>
      <c r="J1572">
        <f t="array" ref="J1572">5 - INT(5 * (RANK(G1572,G:G, 1) - 1) / COUNT(G:G))</f>
        <v>3</v>
      </c>
      <c r="K1572">
        <f t="array" ref="K1572">INT(5 * (RANK(H1572,H:H, 0) - 1) / COUNT(H:H)) + 1</f>
        <v>4</v>
      </c>
      <c r="L1572">
        <f t="array" ref="L1572">INT(5 * (RANK(I1572,I:I, 0) - 1) / COUNT(I:I)) + 1</f>
        <v>5</v>
      </c>
      <c r="M1572" t="str">
        <f t="shared" si="48"/>
        <v>345</v>
      </c>
      <c r="N1572" s="6" t="str">
        <f t="shared" si="49"/>
        <v>Others</v>
      </c>
    </row>
    <row r="1573" spans="1:14" x14ac:dyDescent="0.35">
      <c r="A1573">
        <v>1230</v>
      </c>
      <c r="B1573" s="4">
        <v>45796.375085336993</v>
      </c>
      <c r="C1573" t="s">
        <v>11</v>
      </c>
      <c r="D1573" t="s">
        <v>21</v>
      </c>
      <c r="E1573" t="s">
        <v>24</v>
      </c>
      <c r="F1573">
        <v>1464.96</v>
      </c>
      <c r="G1573">
        <f t="array" ref="G1573">SalesData!$I$2 - 'RFM Table'!B1573</f>
        <v>340</v>
      </c>
      <c r="H1573">
        <f t="array" ref="H1573">COUNTIF(A:A,A1573)</f>
        <v>11</v>
      </c>
      <c r="I1573">
        <f t="array" ref="I1573">SUMIF(A:A,A1573,F:F)</f>
        <v>29238.53</v>
      </c>
      <c r="J1573">
        <f t="array" ref="J1573">5 - INT(5 * (RANK(G1573,G:G, 1) - 1) / COUNT(G:G))</f>
        <v>3</v>
      </c>
      <c r="K1573">
        <f t="array" ref="K1573">INT(5 * (RANK(H1573,H:H, 0) - 1) / COUNT(H:H)) + 1</f>
        <v>1</v>
      </c>
      <c r="L1573">
        <f t="array" ref="L1573">INT(5 * (RANK(I1573,I:I, 0) - 1) / COUNT(I:I)) + 1</f>
        <v>4</v>
      </c>
      <c r="M1573" t="str">
        <f t="shared" si="48"/>
        <v>314</v>
      </c>
      <c r="N1573" s="6" t="str">
        <f t="shared" si="49"/>
        <v>Others</v>
      </c>
    </row>
    <row r="1574" spans="1:14" x14ac:dyDescent="0.35">
      <c r="A1574">
        <v>1056</v>
      </c>
      <c r="B1574" s="4">
        <v>45797.375085336993</v>
      </c>
      <c r="C1574" t="s">
        <v>7</v>
      </c>
      <c r="D1574" t="s">
        <v>16</v>
      </c>
      <c r="E1574" t="s">
        <v>25</v>
      </c>
      <c r="F1574">
        <v>455.45</v>
      </c>
      <c r="G1574">
        <f t="array" ref="G1574">SalesData!$I$2 - 'RFM Table'!B1574</f>
        <v>339</v>
      </c>
      <c r="H1574">
        <f t="array" ref="H1574">COUNTIF(A:A,A1574)</f>
        <v>3</v>
      </c>
      <c r="I1574">
        <f t="array" ref="I1574">SUMIF(A:A,A1574,F:F)</f>
        <v>7049.0300000000007</v>
      </c>
      <c r="J1574">
        <f t="array" ref="J1574">5 - INT(5 * (RANK(G1574,G:G, 1) - 1) / COUNT(G:G))</f>
        <v>3</v>
      </c>
      <c r="K1574">
        <f t="array" ref="K1574">INT(5 * (RANK(H1574,H:H, 0) - 1) / COUNT(H:H)) + 1</f>
        <v>5</v>
      </c>
      <c r="L1574">
        <f t="array" ref="L1574">INT(5 * (RANK(I1574,I:I, 0) - 1) / COUNT(I:I)) + 1</f>
        <v>5</v>
      </c>
      <c r="M1574" t="str">
        <f t="shared" si="48"/>
        <v>355</v>
      </c>
      <c r="N1574" s="6" t="str">
        <f t="shared" si="49"/>
        <v>Others</v>
      </c>
    </row>
    <row r="1575" spans="1:14" x14ac:dyDescent="0.35">
      <c r="A1575">
        <v>1300</v>
      </c>
      <c r="B1575" s="4">
        <v>45797.375085336993</v>
      </c>
      <c r="C1575" t="s">
        <v>10</v>
      </c>
      <c r="D1575" t="s">
        <v>20</v>
      </c>
      <c r="E1575" t="s">
        <v>24</v>
      </c>
      <c r="F1575">
        <v>3057.37</v>
      </c>
      <c r="G1575">
        <f t="array" ref="G1575">SalesData!$I$2 - 'RFM Table'!B1575</f>
        <v>339</v>
      </c>
      <c r="H1575">
        <f t="array" ref="H1575">COUNTIF(A:A,A1575)</f>
        <v>9</v>
      </c>
      <c r="I1575">
        <f t="array" ref="I1575">SUMIF(A:A,A1575,F:F)</f>
        <v>34007.68</v>
      </c>
      <c r="J1575">
        <f t="array" ref="J1575">5 - INT(5 * (RANK(G1575,G:G, 1) - 1) / COUNT(G:G))</f>
        <v>3</v>
      </c>
      <c r="K1575">
        <f t="array" ref="K1575">INT(5 * (RANK(H1575,H:H, 0) - 1) / COUNT(H:H)) + 1</f>
        <v>2</v>
      </c>
      <c r="L1575">
        <f t="array" ref="L1575">INT(5 * (RANK(I1575,I:I, 0) - 1) / COUNT(I:I)) + 1</f>
        <v>3</v>
      </c>
      <c r="M1575" t="str">
        <f t="shared" si="48"/>
        <v>323</v>
      </c>
      <c r="N1575" s="6" t="str">
        <f t="shared" si="49"/>
        <v>Others</v>
      </c>
    </row>
    <row r="1576" spans="1:14" x14ac:dyDescent="0.35">
      <c r="A1576">
        <v>1121</v>
      </c>
      <c r="B1576" s="4">
        <v>45797.375085336993</v>
      </c>
      <c r="C1576" t="s">
        <v>15</v>
      </c>
      <c r="D1576" t="s">
        <v>18</v>
      </c>
      <c r="E1576" t="s">
        <v>23</v>
      </c>
      <c r="F1576">
        <v>3321.41</v>
      </c>
      <c r="G1576">
        <f t="array" ref="G1576">SalesData!$I$2 - 'RFM Table'!B1576</f>
        <v>339</v>
      </c>
      <c r="H1576">
        <f t="array" ref="H1576">COUNTIF(A:A,A1576)</f>
        <v>10</v>
      </c>
      <c r="I1576">
        <f t="array" ref="I1576">SUMIF(A:A,A1576,F:F)</f>
        <v>28216.130000000005</v>
      </c>
      <c r="J1576">
        <f t="array" ref="J1576">5 - INT(5 * (RANK(G1576,G:G, 1) - 1) / COUNT(G:G))</f>
        <v>3</v>
      </c>
      <c r="K1576">
        <f t="array" ref="K1576">INT(5 * (RANK(H1576,H:H, 0) - 1) / COUNT(H:H)) + 1</f>
        <v>2</v>
      </c>
      <c r="L1576">
        <f t="array" ref="L1576">INT(5 * (RANK(I1576,I:I, 0) - 1) / COUNT(I:I)) + 1</f>
        <v>4</v>
      </c>
      <c r="M1576" t="str">
        <f t="shared" si="48"/>
        <v>324</v>
      </c>
      <c r="N1576" s="6" t="str">
        <f t="shared" si="49"/>
        <v>Others</v>
      </c>
    </row>
    <row r="1577" spans="1:14" x14ac:dyDescent="0.35">
      <c r="A1577">
        <v>1093</v>
      </c>
      <c r="B1577" s="4">
        <v>45798.375085336993</v>
      </c>
      <c r="C1577" t="s">
        <v>15</v>
      </c>
      <c r="D1577" t="s">
        <v>17</v>
      </c>
      <c r="E1577" t="s">
        <v>24</v>
      </c>
      <c r="F1577">
        <v>6140.44</v>
      </c>
      <c r="G1577">
        <f t="array" ref="G1577">SalesData!$I$2 - 'RFM Table'!B1577</f>
        <v>338</v>
      </c>
      <c r="H1577">
        <f t="array" ref="H1577">COUNTIF(A:A,A1577)</f>
        <v>3</v>
      </c>
      <c r="I1577">
        <f t="array" ref="I1577">SUMIF(A:A,A1577,F:F)</f>
        <v>12014.18</v>
      </c>
      <c r="J1577">
        <f t="array" ref="J1577">5 - INT(5 * (RANK(G1577,G:G, 1) - 1) / COUNT(G:G))</f>
        <v>3</v>
      </c>
      <c r="K1577">
        <f t="array" ref="K1577">INT(5 * (RANK(H1577,H:H, 0) - 1) / COUNT(H:H)) + 1</f>
        <v>5</v>
      </c>
      <c r="L1577">
        <f t="array" ref="L1577">INT(5 * (RANK(I1577,I:I, 0) - 1) / COUNT(I:I)) + 1</f>
        <v>5</v>
      </c>
      <c r="M1577" t="str">
        <f t="shared" si="48"/>
        <v>355</v>
      </c>
      <c r="N1577" s="6" t="str">
        <f t="shared" si="49"/>
        <v>Others</v>
      </c>
    </row>
    <row r="1578" spans="1:14" x14ac:dyDescent="0.35">
      <c r="A1578">
        <v>1276</v>
      </c>
      <c r="B1578" s="4">
        <v>45798.375085336993</v>
      </c>
      <c r="C1578" t="s">
        <v>8</v>
      </c>
      <c r="D1578" t="s">
        <v>21</v>
      </c>
      <c r="E1578" t="s">
        <v>23</v>
      </c>
      <c r="F1578">
        <v>224.12</v>
      </c>
      <c r="G1578">
        <f t="array" ref="G1578">SalesData!$I$2 - 'RFM Table'!B1578</f>
        <v>338</v>
      </c>
      <c r="H1578">
        <f t="array" ref="H1578">COUNTIF(A:A,A1578)</f>
        <v>11</v>
      </c>
      <c r="I1578">
        <f t="array" ref="I1578">SUMIF(A:A,A1578,F:F)</f>
        <v>38337.789999999994</v>
      </c>
      <c r="J1578">
        <f t="array" ref="J1578">5 - INT(5 * (RANK(G1578,G:G, 1) - 1) / COUNT(G:G))</f>
        <v>3</v>
      </c>
      <c r="K1578">
        <f t="array" ref="K1578">INT(5 * (RANK(H1578,H:H, 0) - 1) / COUNT(H:H)) + 1</f>
        <v>1</v>
      </c>
      <c r="L1578">
        <f t="array" ref="L1578">INT(5 * (RANK(I1578,I:I, 0) - 1) / COUNT(I:I)) + 1</f>
        <v>2</v>
      </c>
      <c r="M1578" t="str">
        <f t="shared" si="48"/>
        <v>312</v>
      </c>
      <c r="N1578" s="6" t="str">
        <f t="shared" si="49"/>
        <v>Others</v>
      </c>
    </row>
    <row r="1579" spans="1:14" x14ac:dyDescent="0.35">
      <c r="A1579">
        <v>1260</v>
      </c>
      <c r="B1579" s="4">
        <v>45798.375085336993</v>
      </c>
      <c r="C1579" t="s">
        <v>6</v>
      </c>
      <c r="D1579" t="s">
        <v>17</v>
      </c>
      <c r="E1579" t="s">
        <v>24</v>
      </c>
      <c r="F1579">
        <v>14190.43</v>
      </c>
      <c r="G1579">
        <f t="array" ref="G1579">SalesData!$I$2 - 'RFM Table'!B1579</f>
        <v>338</v>
      </c>
      <c r="H1579">
        <f t="array" ref="H1579">COUNTIF(A:A,A1579)</f>
        <v>10</v>
      </c>
      <c r="I1579">
        <f t="array" ref="I1579">SUMIF(A:A,A1579,F:F)</f>
        <v>67378.48000000001</v>
      </c>
      <c r="J1579">
        <f t="array" ref="J1579">5 - INT(5 * (RANK(G1579,G:G, 1) - 1) / COUNT(G:G))</f>
        <v>3</v>
      </c>
      <c r="K1579">
        <f t="array" ref="K1579">INT(5 * (RANK(H1579,H:H, 0) - 1) / COUNT(H:H)) + 1</f>
        <v>2</v>
      </c>
      <c r="L1579">
        <f t="array" ref="L1579">INT(5 * (RANK(I1579,I:I, 0) - 1) / COUNT(I:I)) + 1</f>
        <v>1</v>
      </c>
      <c r="M1579" t="str">
        <f t="shared" si="48"/>
        <v>321</v>
      </c>
      <c r="N1579" s="6" t="str">
        <f t="shared" si="49"/>
        <v>Others</v>
      </c>
    </row>
    <row r="1580" spans="1:14" x14ac:dyDescent="0.35">
      <c r="A1580">
        <v>1101</v>
      </c>
      <c r="B1580" s="4">
        <v>45798.375085336993</v>
      </c>
      <c r="C1580" t="s">
        <v>6</v>
      </c>
      <c r="D1580" t="s">
        <v>20</v>
      </c>
      <c r="E1580" t="s">
        <v>24</v>
      </c>
      <c r="F1580">
        <v>3426.57</v>
      </c>
      <c r="G1580">
        <f t="array" ref="G1580">SalesData!$I$2 - 'RFM Table'!B1580</f>
        <v>338</v>
      </c>
      <c r="H1580">
        <f t="array" ref="H1580">COUNTIF(A:A,A1580)</f>
        <v>7</v>
      </c>
      <c r="I1580">
        <f t="array" ref="I1580">SUMIF(A:A,A1580,F:F)</f>
        <v>27512.969999999998</v>
      </c>
      <c r="J1580">
        <f t="array" ref="J1580">5 - INT(5 * (RANK(G1580,G:G, 1) - 1) / COUNT(G:G))</f>
        <v>3</v>
      </c>
      <c r="K1580">
        <f t="array" ref="K1580">INT(5 * (RANK(H1580,H:H, 0) - 1) / COUNT(H:H)) + 1</f>
        <v>4</v>
      </c>
      <c r="L1580">
        <f t="array" ref="L1580">INT(5 * (RANK(I1580,I:I, 0) - 1) / COUNT(I:I)) + 1</f>
        <v>4</v>
      </c>
      <c r="M1580" t="str">
        <f t="shared" si="48"/>
        <v>344</v>
      </c>
      <c r="N1580" s="6" t="str">
        <f t="shared" si="49"/>
        <v>Others</v>
      </c>
    </row>
    <row r="1581" spans="1:14" x14ac:dyDescent="0.35">
      <c r="A1581">
        <v>1266</v>
      </c>
      <c r="B1581" s="4">
        <v>45799.375085336993</v>
      </c>
      <c r="C1581" t="s">
        <v>11</v>
      </c>
      <c r="D1581" t="s">
        <v>21</v>
      </c>
      <c r="E1581" t="s">
        <v>23</v>
      </c>
      <c r="F1581">
        <v>3118.55</v>
      </c>
      <c r="G1581">
        <f t="array" ref="G1581">SalesData!$I$2 - 'RFM Table'!B1581</f>
        <v>337</v>
      </c>
      <c r="H1581">
        <f t="array" ref="H1581">COUNTIF(A:A,A1581)</f>
        <v>9</v>
      </c>
      <c r="I1581">
        <f t="array" ref="I1581">SUMIF(A:A,A1581,F:F)</f>
        <v>44679.94</v>
      </c>
      <c r="J1581">
        <f t="array" ref="J1581">5 - INT(5 * (RANK(G1581,G:G, 1) - 1) / COUNT(G:G))</f>
        <v>3</v>
      </c>
      <c r="K1581">
        <f t="array" ref="K1581">INT(5 * (RANK(H1581,H:H, 0) - 1) / COUNT(H:H)) + 1</f>
        <v>2</v>
      </c>
      <c r="L1581">
        <f t="array" ref="L1581">INT(5 * (RANK(I1581,I:I, 0) - 1) / COUNT(I:I)) + 1</f>
        <v>2</v>
      </c>
      <c r="M1581" t="str">
        <f t="shared" si="48"/>
        <v>322</v>
      </c>
      <c r="N1581" s="6" t="str">
        <f t="shared" si="49"/>
        <v>Others</v>
      </c>
    </row>
    <row r="1582" spans="1:14" x14ac:dyDescent="0.35">
      <c r="A1582">
        <v>1223</v>
      </c>
      <c r="B1582" s="4">
        <v>45800.375085336993</v>
      </c>
      <c r="C1582" t="s">
        <v>15</v>
      </c>
      <c r="D1582" t="s">
        <v>21</v>
      </c>
      <c r="E1582" t="s">
        <v>23</v>
      </c>
      <c r="F1582">
        <v>3520.32</v>
      </c>
      <c r="G1582">
        <f t="array" ref="G1582">SalesData!$I$2 - 'RFM Table'!B1582</f>
        <v>336</v>
      </c>
      <c r="H1582">
        <f t="array" ref="H1582">COUNTIF(A:A,A1582)</f>
        <v>12</v>
      </c>
      <c r="I1582">
        <f t="array" ref="I1582">SUMIF(A:A,A1582,F:F)</f>
        <v>40797.409999999996</v>
      </c>
      <c r="J1582">
        <f t="array" ref="J1582">5 - INT(5 * (RANK(G1582,G:G, 1) - 1) / COUNT(G:G))</f>
        <v>3</v>
      </c>
      <c r="K1582">
        <f t="array" ref="K1582">INT(5 * (RANK(H1582,H:H, 0) - 1) / COUNT(H:H)) + 1</f>
        <v>1</v>
      </c>
      <c r="L1582">
        <f t="array" ref="L1582">INT(5 * (RANK(I1582,I:I, 0) - 1) / COUNT(I:I)) + 1</f>
        <v>2</v>
      </c>
      <c r="M1582" t="str">
        <f t="shared" si="48"/>
        <v>312</v>
      </c>
      <c r="N1582" s="6" t="str">
        <f t="shared" si="49"/>
        <v>Others</v>
      </c>
    </row>
    <row r="1583" spans="1:14" x14ac:dyDescent="0.35">
      <c r="A1583">
        <v>1036</v>
      </c>
      <c r="B1583" s="4">
        <v>45800.375085336993</v>
      </c>
      <c r="C1583" t="s">
        <v>14</v>
      </c>
      <c r="D1583" t="s">
        <v>18</v>
      </c>
      <c r="E1583" t="s">
        <v>23</v>
      </c>
      <c r="F1583">
        <v>3097.26</v>
      </c>
      <c r="G1583">
        <f t="array" ref="G1583">SalesData!$I$2 - 'RFM Table'!B1583</f>
        <v>336</v>
      </c>
      <c r="H1583">
        <f t="array" ref="H1583">COUNTIF(A:A,A1583)</f>
        <v>6</v>
      </c>
      <c r="I1583">
        <f t="array" ref="I1583">SUMIF(A:A,A1583,F:F)</f>
        <v>18264</v>
      </c>
      <c r="J1583">
        <f t="array" ref="J1583">5 - INT(5 * (RANK(G1583,G:G, 1) - 1) / COUNT(G:G))</f>
        <v>3</v>
      </c>
      <c r="K1583">
        <f t="array" ref="K1583">INT(5 * (RANK(H1583,H:H, 0) - 1) / COUNT(H:H)) + 1</f>
        <v>4</v>
      </c>
      <c r="L1583">
        <f t="array" ref="L1583">INT(5 * (RANK(I1583,I:I, 0) - 1) / COUNT(I:I)) + 1</f>
        <v>5</v>
      </c>
      <c r="M1583" t="str">
        <f t="shared" si="48"/>
        <v>345</v>
      </c>
      <c r="N1583" s="6" t="str">
        <f t="shared" si="49"/>
        <v>Others</v>
      </c>
    </row>
    <row r="1584" spans="1:14" x14ac:dyDescent="0.35">
      <c r="A1584">
        <v>1072</v>
      </c>
      <c r="B1584" s="4">
        <v>45800.375085336993</v>
      </c>
      <c r="C1584" t="s">
        <v>15</v>
      </c>
      <c r="D1584" t="s">
        <v>17</v>
      </c>
      <c r="E1584" t="s">
        <v>24</v>
      </c>
      <c r="F1584">
        <v>2051.5100000000002</v>
      </c>
      <c r="G1584">
        <f t="array" ref="G1584">SalesData!$I$2 - 'RFM Table'!B1584</f>
        <v>336</v>
      </c>
      <c r="H1584">
        <f t="array" ref="H1584">COUNTIF(A:A,A1584)</f>
        <v>8</v>
      </c>
      <c r="I1584">
        <f t="array" ref="I1584">SUMIF(A:A,A1584,F:F)</f>
        <v>30568.039999999997</v>
      </c>
      <c r="J1584">
        <f t="array" ref="J1584">5 - INT(5 * (RANK(G1584,G:G, 1) - 1) / COUNT(G:G))</f>
        <v>3</v>
      </c>
      <c r="K1584">
        <f t="array" ref="K1584">INT(5 * (RANK(H1584,H:H, 0) - 1) / COUNT(H:H)) + 1</f>
        <v>3</v>
      </c>
      <c r="L1584">
        <f t="array" ref="L1584">INT(5 * (RANK(I1584,I:I, 0) - 1) / COUNT(I:I)) + 1</f>
        <v>3</v>
      </c>
      <c r="M1584" t="str">
        <f t="shared" si="48"/>
        <v>333</v>
      </c>
      <c r="N1584" s="6" t="str">
        <f t="shared" si="49"/>
        <v>Others</v>
      </c>
    </row>
    <row r="1585" spans="1:14" x14ac:dyDescent="0.35">
      <c r="A1585">
        <v>1185</v>
      </c>
      <c r="B1585" s="4">
        <v>45800.375085336993</v>
      </c>
      <c r="C1585" t="s">
        <v>7</v>
      </c>
      <c r="D1585" t="s">
        <v>16</v>
      </c>
      <c r="E1585" t="s">
        <v>23</v>
      </c>
      <c r="F1585">
        <v>5589.34</v>
      </c>
      <c r="G1585">
        <f t="array" ref="G1585">SalesData!$I$2 - 'RFM Table'!B1585</f>
        <v>336</v>
      </c>
      <c r="H1585">
        <f t="array" ref="H1585">COUNTIF(A:A,A1585)</f>
        <v>8</v>
      </c>
      <c r="I1585">
        <f t="array" ref="I1585">SUMIF(A:A,A1585,F:F)</f>
        <v>27805.74</v>
      </c>
      <c r="J1585">
        <f t="array" ref="J1585">5 - INT(5 * (RANK(G1585,G:G, 1) - 1) / COUNT(G:G))</f>
        <v>3</v>
      </c>
      <c r="K1585">
        <f t="array" ref="K1585">INT(5 * (RANK(H1585,H:H, 0) - 1) / COUNT(H:H)) + 1</f>
        <v>3</v>
      </c>
      <c r="L1585">
        <f t="array" ref="L1585">INT(5 * (RANK(I1585,I:I, 0) - 1) / COUNT(I:I)) + 1</f>
        <v>4</v>
      </c>
      <c r="M1585" t="str">
        <f t="shared" si="48"/>
        <v>334</v>
      </c>
      <c r="N1585" s="6" t="str">
        <f t="shared" si="49"/>
        <v>Others</v>
      </c>
    </row>
    <row r="1586" spans="1:14" x14ac:dyDescent="0.35">
      <c r="A1586">
        <v>1327</v>
      </c>
      <c r="B1586" s="4">
        <v>45801.375085336993</v>
      </c>
      <c r="C1586" t="s">
        <v>9</v>
      </c>
      <c r="D1586" t="s">
        <v>17</v>
      </c>
      <c r="E1586" t="s">
        <v>23</v>
      </c>
      <c r="F1586">
        <v>803.53</v>
      </c>
      <c r="G1586">
        <f t="array" ref="G1586">SalesData!$I$2 - 'RFM Table'!B1586</f>
        <v>335</v>
      </c>
      <c r="H1586">
        <f t="array" ref="H1586">COUNTIF(A:A,A1586)</f>
        <v>10</v>
      </c>
      <c r="I1586">
        <f t="array" ref="I1586">SUMIF(A:A,A1586,F:F)</f>
        <v>34265.79</v>
      </c>
      <c r="J1586">
        <f t="array" ref="J1586">5 - INT(5 * (RANK(G1586,G:G, 1) - 1) / COUNT(G:G))</f>
        <v>3</v>
      </c>
      <c r="K1586">
        <f t="array" ref="K1586">INT(5 * (RANK(H1586,H:H, 0) - 1) / COUNT(H:H)) + 1</f>
        <v>2</v>
      </c>
      <c r="L1586">
        <f t="array" ref="L1586">INT(5 * (RANK(I1586,I:I, 0) - 1) / COUNT(I:I)) + 1</f>
        <v>3</v>
      </c>
      <c r="M1586" t="str">
        <f t="shared" si="48"/>
        <v>323</v>
      </c>
      <c r="N1586" s="6" t="str">
        <f t="shared" si="49"/>
        <v>Others</v>
      </c>
    </row>
    <row r="1587" spans="1:14" x14ac:dyDescent="0.35">
      <c r="A1587">
        <v>1099</v>
      </c>
      <c r="B1587" s="4">
        <v>45802.375085336993</v>
      </c>
      <c r="C1587" t="s">
        <v>8</v>
      </c>
      <c r="D1587" t="s">
        <v>17</v>
      </c>
      <c r="E1587" t="s">
        <v>25</v>
      </c>
      <c r="F1587">
        <v>1711.71</v>
      </c>
      <c r="G1587">
        <f t="array" ref="G1587">SalesData!$I$2 - 'RFM Table'!B1587</f>
        <v>334</v>
      </c>
      <c r="H1587">
        <f t="array" ref="H1587">COUNTIF(A:A,A1587)</f>
        <v>6</v>
      </c>
      <c r="I1587">
        <f t="array" ref="I1587">SUMIF(A:A,A1587,F:F)</f>
        <v>20804.55</v>
      </c>
      <c r="J1587">
        <f t="array" ref="J1587">5 - INT(5 * (RANK(G1587,G:G, 1) - 1) / COUNT(G:G))</f>
        <v>3</v>
      </c>
      <c r="K1587">
        <f t="array" ref="K1587">INT(5 * (RANK(H1587,H:H, 0) - 1) / COUNT(H:H)) + 1</f>
        <v>4</v>
      </c>
      <c r="L1587">
        <f t="array" ref="L1587">INT(5 * (RANK(I1587,I:I, 0) - 1) / COUNT(I:I)) + 1</f>
        <v>5</v>
      </c>
      <c r="M1587" t="str">
        <f t="shared" si="48"/>
        <v>345</v>
      </c>
      <c r="N1587" s="6" t="str">
        <f t="shared" si="49"/>
        <v>Others</v>
      </c>
    </row>
    <row r="1588" spans="1:14" x14ac:dyDescent="0.35">
      <c r="A1588">
        <v>1299</v>
      </c>
      <c r="B1588" s="4">
        <v>45802.375085336993</v>
      </c>
      <c r="C1588" t="s">
        <v>10</v>
      </c>
      <c r="D1588" t="s">
        <v>21</v>
      </c>
      <c r="E1588" t="s">
        <v>24</v>
      </c>
      <c r="F1588">
        <v>1596.23</v>
      </c>
      <c r="G1588">
        <f t="array" ref="G1588">SalesData!$I$2 - 'RFM Table'!B1588</f>
        <v>334</v>
      </c>
      <c r="H1588">
        <f t="array" ref="H1588">COUNTIF(A:A,A1588)</f>
        <v>6</v>
      </c>
      <c r="I1588">
        <f t="array" ref="I1588">SUMIF(A:A,A1588,F:F)</f>
        <v>13299.439999999999</v>
      </c>
      <c r="J1588">
        <f t="array" ref="J1588">5 - INT(5 * (RANK(G1588,G:G, 1) - 1) / COUNT(G:G))</f>
        <v>3</v>
      </c>
      <c r="K1588">
        <f t="array" ref="K1588">INT(5 * (RANK(H1588,H:H, 0) - 1) / COUNT(H:H)) + 1</f>
        <v>4</v>
      </c>
      <c r="L1588">
        <f t="array" ref="L1588">INT(5 * (RANK(I1588,I:I, 0) - 1) / COUNT(I:I)) + 1</f>
        <v>5</v>
      </c>
      <c r="M1588" t="str">
        <f t="shared" si="48"/>
        <v>345</v>
      </c>
      <c r="N1588" s="6" t="str">
        <f t="shared" si="49"/>
        <v>Others</v>
      </c>
    </row>
    <row r="1589" spans="1:14" x14ac:dyDescent="0.35">
      <c r="A1589">
        <v>1116</v>
      </c>
      <c r="B1589" s="4">
        <v>45803.375085336993</v>
      </c>
      <c r="C1589" t="s">
        <v>14</v>
      </c>
      <c r="D1589" t="s">
        <v>17</v>
      </c>
      <c r="E1589" t="s">
        <v>23</v>
      </c>
      <c r="F1589">
        <v>6314.53</v>
      </c>
      <c r="G1589">
        <f t="array" ref="G1589">SalesData!$I$2 - 'RFM Table'!B1589</f>
        <v>333</v>
      </c>
      <c r="H1589">
        <f t="array" ref="H1589">COUNTIF(A:A,A1589)</f>
        <v>11</v>
      </c>
      <c r="I1589">
        <f t="array" ref="I1589">SUMIF(A:A,A1589,F:F)</f>
        <v>40714.880000000005</v>
      </c>
      <c r="J1589">
        <f t="array" ref="J1589">5 - INT(5 * (RANK(G1589,G:G, 1) - 1) / COUNT(G:G))</f>
        <v>3</v>
      </c>
      <c r="K1589">
        <f t="array" ref="K1589">INT(5 * (RANK(H1589,H:H, 0) - 1) / COUNT(H:H)) + 1</f>
        <v>1</v>
      </c>
      <c r="L1589">
        <f t="array" ref="L1589">INT(5 * (RANK(I1589,I:I, 0) - 1) / COUNT(I:I)) + 1</f>
        <v>2</v>
      </c>
      <c r="M1589" t="str">
        <f t="shared" si="48"/>
        <v>312</v>
      </c>
      <c r="N1589" s="6" t="str">
        <f t="shared" si="49"/>
        <v>Others</v>
      </c>
    </row>
    <row r="1590" spans="1:14" x14ac:dyDescent="0.35">
      <c r="A1590">
        <v>1173</v>
      </c>
      <c r="B1590" s="4">
        <v>45803.375085336993</v>
      </c>
      <c r="C1590" t="s">
        <v>12</v>
      </c>
      <c r="D1590" t="s">
        <v>20</v>
      </c>
      <c r="E1590" t="s">
        <v>24</v>
      </c>
      <c r="F1590">
        <v>4551.28</v>
      </c>
      <c r="G1590">
        <f t="array" ref="G1590">SalesData!$I$2 - 'RFM Table'!B1590</f>
        <v>333</v>
      </c>
      <c r="H1590">
        <f t="array" ref="H1590">COUNTIF(A:A,A1590)</f>
        <v>5</v>
      </c>
      <c r="I1590">
        <f t="array" ref="I1590">SUMIF(A:A,A1590,F:F)</f>
        <v>17550.75</v>
      </c>
      <c r="J1590">
        <f t="array" ref="J1590">5 - INT(5 * (RANK(G1590,G:G, 1) - 1) / COUNT(G:G))</f>
        <v>3</v>
      </c>
      <c r="K1590">
        <f t="array" ref="K1590">INT(5 * (RANK(H1590,H:H, 0) - 1) / COUNT(H:H)) + 1</f>
        <v>5</v>
      </c>
      <c r="L1590">
        <f t="array" ref="L1590">INT(5 * (RANK(I1590,I:I, 0) - 1) / COUNT(I:I)) + 1</f>
        <v>5</v>
      </c>
      <c r="M1590" t="str">
        <f t="shared" si="48"/>
        <v>355</v>
      </c>
      <c r="N1590" s="6" t="str">
        <f t="shared" si="49"/>
        <v>Others</v>
      </c>
    </row>
    <row r="1591" spans="1:14" x14ac:dyDescent="0.35">
      <c r="A1591">
        <v>1349</v>
      </c>
      <c r="B1591" s="4">
        <v>45803.375085336993</v>
      </c>
      <c r="C1591" t="s">
        <v>6</v>
      </c>
      <c r="D1591" t="s">
        <v>19</v>
      </c>
      <c r="E1591" t="s">
        <v>23</v>
      </c>
      <c r="F1591">
        <v>1003.97</v>
      </c>
      <c r="G1591">
        <f t="array" ref="G1591">SalesData!$I$2 - 'RFM Table'!B1591</f>
        <v>333</v>
      </c>
      <c r="H1591">
        <f t="array" ref="H1591">COUNTIF(A:A,A1591)</f>
        <v>8</v>
      </c>
      <c r="I1591">
        <f t="array" ref="I1591">SUMIF(A:A,A1591,F:F)</f>
        <v>24691.75</v>
      </c>
      <c r="J1591">
        <f t="array" ref="J1591">5 - INT(5 * (RANK(G1591,G:G, 1) - 1) / COUNT(G:G))</f>
        <v>3</v>
      </c>
      <c r="K1591">
        <f t="array" ref="K1591">INT(5 * (RANK(H1591,H:H, 0) - 1) / COUNT(H:H)) + 1</f>
        <v>3</v>
      </c>
      <c r="L1591">
        <f t="array" ref="L1591">INT(5 * (RANK(I1591,I:I, 0) - 1) / COUNT(I:I)) + 1</f>
        <v>4</v>
      </c>
      <c r="M1591" t="str">
        <f t="shared" si="48"/>
        <v>334</v>
      </c>
      <c r="N1591" s="6" t="str">
        <f t="shared" si="49"/>
        <v>Others</v>
      </c>
    </row>
    <row r="1592" spans="1:14" x14ac:dyDescent="0.35">
      <c r="A1592">
        <v>1211</v>
      </c>
      <c r="B1592" s="4">
        <v>45804.375085336993</v>
      </c>
      <c r="C1592" t="s">
        <v>9</v>
      </c>
      <c r="D1592" t="s">
        <v>22</v>
      </c>
      <c r="E1592" t="s">
        <v>23</v>
      </c>
      <c r="F1592">
        <v>1824.95</v>
      </c>
      <c r="G1592">
        <f t="array" ref="G1592">SalesData!$I$2 - 'RFM Table'!B1592</f>
        <v>332</v>
      </c>
      <c r="H1592">
        <f t="array" ref="H1592">COUNTIF(A:A,A1592)</f>
        <v>3</v>
      </c>
      <c r="I1592">
        <f t="array" ref="I1592">SUMIF(A:A,A1592,F:F)</f>
        <v>9690.5</v>
      </c>
      <c r="J1592">
        <f t="array" ref="J1592">5 - INT(5 * (RANK(G1592,G:G, 1) - 1) / COUNT(G:G))</f>
        <v>3</v>
      </c>
      <c r="K1592">
        <f t="array" ref="K1592">INT(5 * (RANK(H1592,H:H, 0) - 1) / COUNT(H:H)) + 1</f>
        <v>5</v>
      </c>
      <c r="L1592">
        <f t="array" ref="L1592">INT(5 * (RANK(I1592,I:I, 0) - 1) / COUNT(I:I)) + 1</f>
        <v>5</v>
      </c>
      <c r="M1592" t="str">
        <f t="shared" si="48"/>
        <v>355</v>
      </c>
      <c r="N1592" s="6" t="str">
        <f t="shared" si="49"/>
        <v>Others</v>
      </c>
    </row>
    <row r="1593" spans="1:14" x14ac:dyDescent="0.35">
      <c r="A1593">
        <v>1288</v>
      </c>
      <c r="B1593" s="4">
        <v>45804.375085336993</v>
      </c>
      <c r="C1593" t="s">
        <v>15</v>
      </c>
      <c r="D1593" t="s">
        <v>17</v>
      </c>
      <c r="E1593" t="s">
        <v>25</v>
      </c>
      <c r="F1593">
        <v>915.43</v>
      </c>
      <c r="G1593">
        <f t="array" ref="G1593">SalesData!$I$2 - 'RFM Table'!B1593</f>
        <v>332</v>
      </c>
      <c r="H1593">
        <f t="array" ref="H1593">COUNTIF(A:A,A1593)</f>
        <v>13</v>
      </c>
      <c r="I1593">
        <f t="array" ref="I1593">SUMIF(A:A,A1593,F:F)</f>
        <v>40219.18</v>
      </c>
      <c r="J1593">
        <f t="array" ref="J1593">5 - INT(5 * (RANK(G1593,G:G, 1) - 1) / COUNT(G:G))</f>
        <v>3</v>
      </c>
      <c r="K1593">
        <f t="array" ref="K1593">INT(5 * (RANK(H1593,H:H, 0) - 1) / COUNT(H:H)) + 1</f>
        <v>1</v>
      </c>
      <c r="L1593">
        <f t="array" ref="L1593">INT(5 * (RANK(I1593,I:I, 0) - 1) / COUNT(I:I)) + 1</f>
        <v>2</v>
      </c>
      <c r="M1593" t="str">
        <f t="shared" si="48"/>
        <v>312</v>
      </c>
      <c r="N1593" s="6" t="str">
        <f t="shared" si="49"/>
        <v>Others</v>
      </c>
    </row>
    <row r="1594" spans="1:14" x14ac:dyDescent="0.35">
      <c r="A1594">
        <v>1198</v>
      </c>
      <c r="B1594" s="4">
        <v>45804.375085336993</v>
      </c>
      <c r="C1594" t="s">
        <v>13</v>
      </c>
      <c r="D1594" t="s">
        <v>20</v>
      </c>
      <c r="E1594" t="s">
        <v>25</v>
      </c>
      <c r="F1594">
        <v>6543.95</v>
      </c>
      <c r="G1594">
        <f t="array" ref="G1594">SalesData!$I$2 - 'RFM Table'!B1594</f>
        <v>332</v>
      </c>
      <c r="H1594">
        <f t="array" ref="H1594">COUNTIF(A:A,A1594)</f>
        <v>5</v>
      </c>
      <c r="I1594">
        <f t="array" ref="I1594">SUMIF(A:A,A1594,F:F)</f>
        <v>25162.19</v>
      </c>
      <c r="J1594">
        <f t="array" ref="J1594">5 - INT(5 * (RANK(G1594,G:G, 1) - 1) / COUNT(G:G))</f>
        <v>3</v>
      </c>
      <c r="K1594">
        <f t="array" ref="K1594">INT(5 * (RANK(H1594,H:H, 0) - 1) / COUNT(H:H)) + 1</f>
        <v>5</v>
      </c>
      <c r="L1594">
        <f t="array" ref="L1594">INT(5 * (RANK(I1594,I:I, 0) - 1) / COUNT(I:I)) + 1</f>
        <v>4</v>
      </c>
      <c r="M1594" t="str">
        <f t="shared" si="48"/>
        <v>354</v>
      </c>
      <c r="N1594" s="6" t="str">
        <f t="shared" si="49"/>
        <v>Others</v>
      </c>
    </row>
    <row r="1595" spans="1:14" x14ac:dyDescent="0.35">
      <c r="A1595">
        <v>1363</v>
      </c>
      <c r="B1595" s="4">
        <v>45804.375085336993</v>
      </c>
      <c r="C1595" t="s">
        <v>9</v>
      </c>
      <c r="D1595" t="s">
        <v>18</v>
      </c>
      <c r="E1595" t="s">
        <v>25</v>
      </c>
      <c r="F1595">
        <v>8091.84</v>
      </c>
      <c r="G1595">
        <f t="array" ref="G1595">SalesData!$I$2 - 'RFM Table'!B1595</f>
        <v>332</v>
      </c>
      <c r="H1595">
        <f t="array" ref="H1595">COUNTIF(A:A,A1595)</f>
        <v>9</v>
      </c>
      <c r="I1595">
        <f t="array" ref="I1595">SUMIF(A:A,A1595,F:F)</f>
        <v>33344.57</v>
      </c>
      <c r="J1595">
        <f t="array" ref="J1595">5 - INT(5 * (RANK(G1595,G:G, 1) - 1) / COUNT(G:G))</f>
        <v>3</v>
      </c>
      <c r="K1595">
        <f t="array" ref="K1595">INT(5 * (RANK(H1595,H:H, 0) - 1) / COUNT(H:H)) + 1</f>
        <v>2</v>
      </c>
      <c r="L1595">
        <f t="array" ref="L1595">INT(5 * (RANK(I1595,I:I, 0) - 1) / COUNT(I:I)) + 1</f>
        <v>3</v>
      </c>
      <c r="M1595" t="str">
        <f t="shared" si="48"/>
        <v>323</v>
      </c>
      <c r="N1595" s="6" t="str">
        <f t="shared" si="49"/>
        <v>Others</v>
      </c>
    </row>
    <row r="1596" spans="1:14" x14ac:dyDescent="0.35">
      <c r="A1596">
        <v>1210</v>
      </c>
      <c r="B1596" s="4">
        <v>45804.375085336993</v>
      </c>
      <c r="C1596" t="s">
        <v>13</v>
      </c>
      <c r="D1596" t="s">
        <v>16</v>
      </c>
      <c r="E1596" t="s">
        <v>23</v>
      </c>
      <c r="F1596">
        <v>2948.05</v>
      </c>
      <c r="G1596">
        <f t="array" ref="G1596">SalesData!$I$2 - 'RFM Table'!B1596</f>
        <v>332</v>
      </c>
      <c r="H1596">
        <f t="array" ref="H1596">COUNTIF(A:A,A1596)</f>
        <v>4</v>
      </c>
      <c r="I1596">
        <f t="array" ref="I1596">SUMIF(A:A,A1596,F:F)</f>
        <v>9551.7100000000009</v>
      </c>
      <c r="J1596">
        <f t="array" ref="J1596">5 - INT(5 * (RANK(G1596,G:G, 1) - 1) / COUNT(G:G))</f>
        <v>3</v>
      </c>
      <c r="K1596">
        <f t="array" ref="K1596">INT(5 * (RANK(H1596,H:H, 0) - 1) / COUNT(H:H)) + 1</f>
        <v>5</v>
      </c>
      <c r="L1596">
        <f t="array" ref="L1596">INT(5 * (RANK(I1596,I:I, 0) - 1) / COUNT(I:I)) + 1</f>
        <v>5</v>
      </c>
      <c r="M1596" t="str">
        <f t="shared" si="48"/>
        <v>355</v>
      </c>
      <c r="N1596" s="6" t="str">
        <f t="shared" si="49"/>
        <v>Others</v>
      </c>
    </row>
    <row r="1597" spans="1:14" x14ac:dyDescent="0.35">
      <c r="A1597">
        <v>1229</v>
      </c>
      <c r="B1597" s="4">
        <v>45804.375085336993</v>
      </c>
      <c r="C1597" t="s">
        <v>9</v>
      </c>
      <c r="D1597" t="s">
        <v>20</v>
      </c>
      <c r="E1597" t="s">
        <v>23</v>
      </c>
      <c r="F1597">
        <v>7786.42</v>
      </c>
      <c r="G1597">
        <f t="array" ref="G1597">SalesData!$I$2 - 'RFM Table'!B1597</f>
        <v>332</v>
      </c>
      <c r="H1597">
        <f t="array" ref="H1597">COUNTIF(A:A,A1597)</f>
        <v>5</v>
      </c>
      <c r="I1597">
        <f t="array" ref="I1597">SUMIF(A:A,A1597,F:F)</f>
        <v>23857.670000000002</v>
      </c>
      <c r="J1597">
        <f t="array" ref="J1597">5 - INT(5 * (RANK(G1597,G:G, 1) - 1) / COUNT(G:G))</f>
        <v>3</v>
      </c>
      <c r="K1597">
        <f t="array" ref="K1597">INT(5 * (RANK(H1597,H:H, 0) - 1) / COUNT(H:H)) + 1</f>
        <v>5</v>
      </c>
      <c r="L1597">
        <f t="array" ref="L1597">INT(5 * (RANK(I1597,I:I, 0) - 1) / COUNT(I:I)) + 1</f>
        <v>4</v>
      </c>
      <c r="M1597" t="str">
        <f t="shared" si="48"/>
        <v>354</v>
      </c>
      <c r="N1597" s="6" t="str">
        <f t="shared" si="49"/>
        <v>Others</v>
      </c>
    </row>
    <row r="1598" spans="1:14" x14ac:dyDescent="0.35">
      <c r="A1598">
        <v>1251</v>
      </c>
      <c r="B1598" s="4">
        <v>45805.375085336993</v>
      </c>
      <c r="C1598" t="s">
        <v>15</v>
      </c>
      <c r="D1598" t="s">
        <v>16</v>
      </c>
      <c r="E1598" t="s">
        <v>23</v>
      </c>
      <c r="F1598">
        <v>1321.33</v>
      </c>
      <c r="G1598">
        <f t="array" ref="G1598">SalesData!$I$2 - 'RFM Table'!B1598</f>
        <v>331</v>
      </c>
      <c r="H1598">
        <f t="array" ref="H1598">COUNTIF(A:A,A1598)</f>
        <v>9</v>
      </c>
      <c r="I1598">
        <f t="array" ref="I1598">SUMIF(A:A,A1598,F:F)</f>
        <v>39183.29</v>
      </c>
      <c r="J1598">
        <f t="array" ref="J1598">5 - INT(5 * (RANK(G1598,G:G, 1) - 1) / COUNT(G:G))</f>
        <v>3</v>
      </c>
      <c r="K1598">
        <f t="array" ref="K1598">INT(5 * (RANK(H1598,H:H, 0) - 1) / COUNT(H:H)) + 1</f>
        <v>2</v>
      </c>
      <c r="L1598">
        <f t="array" ref="L1598">INT(5 * (RANK(I1598,I:I, 0) - 1) / COUNT(I:I)) + 1</f>
        <v>2</v>
      </c>
      <c r="M1598" t="str">
        <f t="shared" si="48"/>
        <v>322</v>
      </c>
      <c r="N1598" s="6" t="str">
        <f t="shared" si="49"/>
        <v>Others</v>
      </c>
    </row>
    <row r="1599" spans="1:14" x14ac:dyDescent="0.35">
      <c r="A1599">
        <v>1328</v>
      </c>
      <c r="B1599" s="4">
        <v>45805.375085336993</v>
      </c>
      <c r="C1599" t="s">
        <v>7</v>
      </c>
      <c r="D1599" t="s">
        <v>22</v>
      </c>
      <c r="E1599" t="s">
        <v>25</v>
      </c>
      <c r="F1599">
        <v>7259.02</v>
      </c>
      <c r="G1599">
        <f t="array" ref="G1599">SalesData!$I$2 - 'RFM Table'!B1599</f>
        <v>331</v>
      </c>
      <c r="H1599">
        <f t="array" ref="H1599">COUNTIF(A:A,A1599)</f>
        <v>5</v>
      </c>
      <c r="I1599">
        <f t="array" ref="I1599">SUMIF(A:A,A1599,F:F)</f>
        <v>21621.77</v>
      </c>
      <c r="J1599">
        <f t="array" ref="J1599">5 - INT(5 * (RANK(G1599,G:G, 1) - 1) / COUNT(G:G))</f>
        <v>3</v>
      </c>
      <c r="K1599">
        <f t="array" ref="K1599">INT(5 * (RANK(H1599,H:H, 0) - 1) / COUNT(H:H)) + 1</f>
        <v>5</v>
      </c>
      <c r="L1599">
        <f t="array" ref="L1599">INT(5 * (RANK(I1599,I:I, 0) - 1) / COUNT(I:I)) + 1</f>
        <v>5</v>
      </c>
      <c r="M1599" t="str">
        <f t="shared" si="48"/>
        <v>355</v>
      </c>
      <c r="N1599" s="6" t="str">
        <f t="shared" si="49"/>
        <v>Others</v>
      </c>
    </row>
    <row r="1600" spans="1:14" x14ac:dyDescent="0.35">
      <c r="A1600">
        <v>1268</v>
      </c>
      <c r="B1600" s="4">
        <v>45805.375085336993</v>
      </c>
      <c r="C1600" t="s">
        <v>14</v>
      </c>
      <c r="D1600" t="s">
        <v>19</v>
      </c>
      <c r="E1600" t="s">
        <v>23</v>
      </c>
      <c r="F1600">
        <v>9215.98</v>
      </c>
      <c r="G1600">
        <f t="array" ref="G1600">SalesData!$I$2 - 'RFM Table'!B1600</f>
        <v>331</v>
      </c>
      <c r="H1600">
        <f t="array" ref="H1600">COUNTIF(A:A,A1600)</f>
        <v>8</v>
      </c>
      <c r="I1600">
        <f t="array" ref="I1600">SUMIF(A:A,A1600,F:F)</f>
        <v>48110.42</v>
      </c>
      <c r="J1600">
        <f t="array" ref="J1600">5 - INT(5 * (RANK(G1600,G:G, 1) - 1) / COUNT(G:G))</f>
        <v>3</v>
      </c>
      <c r="K1600">
        <f t="array" ref="K1600">INT(5 * (RANK(H1600,H:H, 0) - 1) / COUNT(H:H)) + 1</f>
        <v>3</v>
      </c>
      <c r="L1600">
        <f t="array" ref="L1600">INT(5 * (RANK(I1600,I:I, 0) - 1) / COUNT(I:I)) + 1</f>
        <v>1</v>
      </c>
      <c r="M1600" t="str">
        <f t="shared" si="48"/>
        <v>331</v>
      </c>
      <c r="N1600" s="6" t="str">
        <f t="shared" si="49"/>
        <v>Others</v>
      </c>
    </row>
    <row r="1601" spans="1:14" x14ac:dyDescent="0.35">
      <c r="A1601">
        <v>1363</v>
      </c>
      <c r="B1601" s="4">
        <v>45805.375085336993</v>
      </c>
      <c r="C1601" t="s">
        <v>12</v>
      </c>
      <c r="D1601" t="s">
        <v>18</v>
      </c>
      <c r="E1601" t="s">
        <v>24</v>
      </c>
      <c r="F1601">
        <v>579.48</v>
      </c>
      <c r="G1601">
        <f t="array" ref="G1601">SalesData!$I$2 - 'RFM Table'!B1601</f>
        <v>331</v>
      </c>
      <c r="H1601">
        <f t="array" ref="H1601">COUNTIF(A:A,A1601)</f>
        <v>9</v>
      </c>
      <c r="I1601">
        <f t="array" ref="I1601">SUMIF(A:A,A1601,F:F)</f>
        <v>33344.57</v>
      </c>
      <c r="J1601">
        <f t="array" ref="J1601">5 - INT(5 * (RANK(G1601,G:G, 1) - 1) / COUNT(G:G))</f>
        <v>3</v>
      </c>
      <c r="K1601">
        <f t="array" ref="K1601">INT(5 * (RANK(H1601,H:H, 0) - 1) / COUNT(H:H)) + 1</f>
        <v>2</v>
      </c>
      <c r="L1601">
        <f t="array" ref="L1601">INT(5 * (RANK(I1601,I:I, 0) - 1) / COUNT(I:I)) + 1</f>
        <v>3</v>
      </c>
      <c r="M1601" t="str">
        <f t="shared" si="48"/>
        <v>323</v>
      </c>
      <c r="N1601" s="6" t="str">
        <f t="shared" si="49"/>
        <v>Others</v>
      </c>
    </row>
    <row r="1602" spans="1:14" x14ac:dyDescent="0.35">
      <c r="A1602">
        <v>1224</v>
      </c>
      <c r="B1602" s="4">
        <v>45805.375085336993</v>
      </c>
      <c r="C1602" t="s">
        <v>7</v>
      </c>
      <c r="D1602" t="s">
        <v>22</v>
      </c>
      <c r="E1602" t="s">
        <v>24</v>
      </c>
      <c r="F1602">
        <v>4567.33</v>
      </c>
      <c r="G1602">
        <f t="array" ref="G1602">SalesData!$I$2 - 'RFM Table'!B1602</f>
        <v>331</v>
      </c>
      <c r="H1602">
        <f t="array" ref="H1602">COUNTIF(A:A,A1602)</f>
        <v>7</v>
      </c>
      <c r="I1602">
        <f t="array" ref="I1602">SUMIF(A:A,A1602,F:F)</f>
        <v>24825.78</v>
      </c>
      <c r="J1602">
        <f t="array" ref="J1602">5 - INT(5 * (RANK(G1602,G:G, 1) - 1) / COUNT(G:G))</f>
        <v>3</v>
      </c>
      <c r="K1602">
        <f t="array" ref="K1602">INT(5 * (RANK(H1602,H:H, 0) - 1) / COUNT(H:H)) + 1</f>
        <v>4</v>
      </c>
      <c r="L1602">
        <f t="array" ref="L1602">INT(5 * (RANK(I1602,I:I, 0) - 1) / COUNT(I:I)) + 1</f>
        <v>4</v>
      </c>
      <c r="M1602" t="str">
        <f t="shared" si="48"/>
        <v>344</v>
      </c>
      <c r="N1602" s="6" t="str">
        <f t="shared" si="49"/>
        <v>Others</v>
      </c>
    </row>
    <row r="1603" spans="1:14" x14ac:dyDescent="0.35">
      <c r="A1603">
        <v>1284</v>
      </c>
      <c r="B1603" s="4">
        <v>45806.375085336993</v>
      </c>
      <c r="C1603" t="s">
        <v>11</v>
      </c>
      <c r="D1603" t="s">
        <v>20</v>
      </c>
      <c r="E1603" t="s">
        <v>23</v>
      </c>
      <c r="F1603">
        <v>8350.2000000000007</v>
      </c>
      <c r="G1603">
        <f t="array" ref="G1603">SalesData!$I$2 - 'RFM Table'!B1603</f>
        <v>330</v>
      </c>
      <c r="H1603">
        <f t="array" ref="H1603">COUNTIF(A:A,A1603)</f>
        <v>12</v>
      </c>
      <c r="I1603">
        <f t="array" ref="I1603">SUMIF(A:A,A1603,F:F)</f>
        <v>49930.359999999993</v>
      </c>
      <c r="J1603">
        <f t="array" ref="J1603">5 - INT(5 * (RANK(G1603,G:G, 1) - 1) / COUNT(G:G))</f>
        <v>3</v>
      </c>
      <c r="K1603">
        <f t="array" ref="K1603">INT(5 * (RANK(H1603,H:H, 0) - 1) / COUNT(H:H)) + 1</f>
        <v>1</v>
      </c>
      <c r="L1603">
        <f t="array" ref="L1603">INT(5 * (RANK(I1603,I:I, 0) - 1) / COUNT(I:I)) + 1</f>
        <v>1</v>
      </c>
      <c r="M1603" t="str">
        <f t="shared" ref="M1603:M1666" si="50">J1603 &amp; K1603 &amp; L1603</f>
        <v>311</v>
      </c>
      <c r="N1603" s="6" t="str">
        <f t="shared" ref="N1603:N1666" si="51">IF(AND(J1603&gt;=4,K1603&lt;=2),"New Customers",
IF(AND(J1603&lt;=2,K1603&gt;=3,L1603&gt;=3),"At Risk",
IF(AND(J1603&lt;=2,K1603&lt;=2,L1603&gt;=3),"Can't Lose Them",
IF(AND(J1603&lt;=2,K1603&lt;=2,L1603&lt;=2),"Lost",
"Others"))))</f>
        <v>Others</v>
      </c>
    </row>
    <row r="1604" spans="1:14" x14ac:dyDescent="0.35">
      <c r="A1604">
        <v>1026</v>
      </c>
      <c r="B1604" s="4">
        <v>45806.375085336993</v>
      </c>
      <c r="C1604" t="s">
        <v>7</v>
      </c>
      <c r="D1604" t="s">
        <v>21</v>
      </c>
      <c r="E1604" t="s">
        <v>23</v>
      </c>
      <c r="F1604">
        <v>5860.66</v>
      </c>
      <c r="G1604">
        <f t="array" ref="G1604">SalesData!$I$2 - 'RFM Table'!B1604</f>
        <v>330</v>
      </c>
      <c r="H1604">
        <f t="array" ref="H1604">COUNTIF(A:A,A1604)</f>
        <v>7</v>
      </c>
      <c r="I1604">
        <f t="array" ref="I1604">SUMIF(A:A,A1604,F:F)</f>
        <v>24873.88</v>
      </c>
      <c r="J1604">
        <f t="array" ref="J1604">5 - INT(5 * (RANK(G1604,G:G, 1) - 1) / COUNT(G:G))</f>
        <v>3</v>
      </c>
      <c r="K1604">
        <f t="array" ref="K1604">INT(5 * (RANK(H1604,H:H, 0) - 1) / COUNT(H:H)) + 1</f>
        <v>4</v>
      </c>
      <c r="L1604">
        <f t="array" ref="L1604">INT(5 * (RANK(I1604,I:I, 0) - 1) / COUNT(I:I)) + 1</f>
        <v>4</v>
      </c>
      <c r="M1604" t="str">
        <f t="shared" si="50"/>
        <v>344</v>
      </c>
      <c r="N1604" s="6" t="str">
        <f t="shared" si="51"/>
        <v>Others</v>
      </c>
    </row>
    <row r="1605" spans="1:14" x14ac:dyDescent="0.35">
      <c r="A1605">
        <v>1206</v>
      </c>
      <c r="B1605" s="4">
        <v>45806.375085336993</v>
      </c>
      <c r="C1605" t="s">
        <v>12</v>
      </c>
      <c r="D1605" t="s">
        <v>21</v>
      </c>
      <c r="E1605" t="s">
        <v>25</v>
      </c>
      <c r="F1605">
        <v>2498.29</v>
      </c>
      <c r="G1605">
        <f t="array" ref="G1605">SalesData!$I$2 - 'RFM Table'!B1605</f>
        <v>330</v>
      </c>
      <c r="H1605">
        <f t="array" ref="H1605">COUNTIF(A:A,A1605)</f>
        <v>5</v>
      </c>
      <c r="I1605">
        <f t="array" ref="I1605">SUMIF(A:A,A1605,F:F)</f>
        <v>18720.68</v>
      </c>
      <c r="J1605">
        <f t="array" ref="J1605">5 - INT(5 * (RANK(G1605,G:G, 1) - 1) / COUNT(G:G))</f>
        <v>3</v>
      </c>
      <c r="K1605">
        <f t="array" ref="K1605">INT(5 * (RANK(H1605,H:H, 0) - 1) / COUNT(H:H)) + 1</f>
        <v>5</v>
      </c>
      <c r="L1605">
        <f t="array" ref="L1605">INT(5 * (RANK(I1605,I:I, 0) - 1) / COUNT(I:I)) + 1</f>
        <v>5</v>
      </c>
      <c r="M1605" t="str">
        <f t="shared" si="50"/>
        <v>355</v>
      </c>
      <c r="N1605" s="6" t="str">
        <f t="shared" si="51"/>
        <v>Others</v>
      </c>
    </row>
    <row r="1606" spans="1:14" x14ac:dyDescent="0.35">
      <c r="A1606">
        <v>1205</v>
      </c>
      <c r="B1606" s="4">
        <v>45806.375085336993</v>
      </c>
      <c r="C1606" t="s">
        <v>6</v>
      </c>
      <c r="D1606" t="s">
        <v>16</v>
      </c>
      <c r="E1606" t="s">
        <v>24</v>
      </c>
      <c r="F1606">
        <v>4717.28</v>
      </c>
      <c r="G1606">
        <f t="array" ref="G1606">SalesData!$I$2 - 'RFM Table'!B1606</f>
        <v>330</v>
      </c>
      <c r="H1606">
        <f t="array" ref="H1606">COUNTIF(A:A,A1606)</f>
        <v>6</v>
      </c>
      <c r="I1606">
        <f t="array" ref="I1606">SUMIF(A:A,A1606,F:F)</f>
        <v>24977.25</v>
      </c>
      <c r="J1606">
        <f t="array" ref="J1606">5 - INT(5 * (RANK(G1606,G:G, 1) - 1) / COUNT(G:G))</f>
        <v>3</v>
      </c>
      <c r="K1606">
        <f t="array" ref="K1606">INT(5 * (RANK(H1606,H:H, 0) - 1) / COUNT(H:H)) + 1</f>
        <v>4</v>
      </c>
      <c r="L1606">
        <f t="array" ref="L1606">INT(5 * (RANK(I1606,I:I, 0) - 1) / COUNT(I:I)) + 1</f>
        <v>4</v>
      </c>
      <c r="M1606" t="str">
        <f t="shared" si="50"/>
        <v>344</v>
      </c>
      <c r="N1606" s="6" t="str">
        <f t="shared" si="51"/>
        <v>Others</v>
      </c>
    </row>
    <row r="1607" spans="1:14" x14ac:dyDescent="0.35">
      <c r="A1607">
        <v>1288</v>
      </c>
      <c r="B1607" s="4">
        <v>45806.375085336993</v>
      </c>
      <c r="C1607" t="s">
        <v>8</v>
      </c>
      <c r="D1607" t="s">
        <v>19</v>
      </c>
      <c r="E1607" t="s">
        <v>24</v>
      </c>
      <c r="F1607">
        <v>1428.45</v>
      </c>
      <c r="G1607">
        <f t="array" ref="G1607">SalesData!$I$2 - 'RFM Table'!B1607</f>
        <v>330</v>
      </c>
      <c r="H1607">
        <f t="array" ref="H1607">COUNTIF(A:A,A1607)</f>
        <v>13</v>
      </c>
      <c r="I1607">
        <f t="array" ref="I1607">SUMIF(A:A,A1607,F:F)</f>
        <v>40219.18</v>
      </c>
      <c r="J1607">
        <f t="array" ref="J1607">5 - INT(5 * (RANK(G1607,G:G, 1) - 1) / COUNT(G:G))</f>
        <v>3</v>
      </c>
      <c r="K1607">
        <f t="array" ref="K1607">INT(5 * (RANK(H1607,H:H, 0) - 1) / COUNT(H:H)) + 1</f>
        <v>1</v>
      </c>
      <c r="L1607">
        <f t="array" ref="L1607">INT(5 * (RANK(I1607,I:I, 0) - 1) / COUNT(I:I)) + 1</f>
        <v>2</v>
      </c>
      <c r="M1607" t="str">
        <f t="shared" si="50"/>
        <v>312</v>
      </c>
      <c r="N1607" s="6" t="str">
        <f t="shared" si="51"/>
        <v>Others</v>
      </c>
    </row>
    <row r="1608" spans="1:14" x14ac:dyDescent="0.35">
      <c r="A1608">
        <v>1132</v>
      </c>
      <c r="B1608" s="4">
        <v>45806.375085336993</v>
      </c>
      <c r="C1608" t="s">
        <v>14</v>
      </c>
      <c r="D1608" t="s">
        <v>22</v>
      </c>
      <c r="E1608" t="s">
        <v>25</v>
      </c>
      <c r="F1608">
        <v>3921.71</v>
      </c>
      <c r="G1608">
        <f t="array" ref="G1608">SalesData!$I$2 - 'RFM Table'!B1608</f>
        <v>330</v>
      </c>
      <c r="H1608">
        <f t="array" ref="H1608">COUNTIF(A:A,A1608)</f>
        <v>11</v>
      </c>
      <c r="I1608">
        <f t="array" ref="I1608">SUMIF(A:A,A1608,F:F)</f>
        <v>52771.959999999992</v>
      </c>
      <c r="J1608">
        <f t="array" ref="J1608">5 - INT(5 * (RANK(G1608,G:G, 1) - 1) / COUNT(G:G))</f>
        <v>3</v>
      </c>
      <c r="K1608">
        <f t="array" ref="K1608">INT(5 * (RANK(H1608,H:H, 0) - 1) / COUNT(H:H)) + 1</f>
        <v>1</v>
      </c>
      <c r="L1608">
        <f t="array" ref="L1608">INT(5 * (RANK(I1608,I:I, 0) - 1) / COUNT(I:I)) + 1</f>
        <v>1</v>
      </c>
      <c r="M1608" t="str">
        <f t="shared" si="50"/>
        <v>311</v>
      </c>
      <c r="N1608" s="6" t="str">
        <f t="shared" si="51"/>
        <v>Others</v>
      </c>
    </row>
    <row r="1609" spans="1:14" x14ac:dyDescent="0.35">
      <c r="A1609">
        <v>1001</v>
      </c>
      <c r="B1609" s="4">
        <v>45806.375085336993</v>
      </c>
      <c r="C1609" t="s">
        <v>8</v>
      </c>
      <c r="D1609" t="s">
        <v>17</v>
      </c>
      <c r="E1609" t="s">
        <v>24</v>
      </c>
      <c r="F1609">
        <v>10761.82</v>
      </c>
      <c r="G1609">
        <f t="array" ref="G1609">SalesData!$I$2 - 'RFM Table'!B1609</f>
        <v>330</v>
      </c>
      <c r="H1609">
        <f t="array" ref="H1609">COUNTIF(A:A,A1609)</f>
        <v>7</v>
      </c>
      <c r="I1609">
        <f t="array" ref="I1609">SUMIF(A:A,A1609,F:F)</f>
        <v>33081.189999999995</v>
      </c>
      <c r="J1609">
        <f t="array" ref="J1609">5 - INT(5 * (RANK(G1609,G:G, 1) - 1) / COUNT(G:G))</f>
        <v>3</v>
      </c>
      <c r="K1609">
        <f t="array" ref="K1609">INT(5 * (RANK(H1609,H:H, 0) - 1) / COUNT(H:H)) + 1</f>
        <v>4</v>
      </c>
      <c r="L1609">
        <f t="array" ref="L1609">INT(5 * (RANK(I1609,I:I, 0) - 1) / COUNT(I:I)) + 1</f>
        <v>3</v>
      </c>
      <c r="M1609" t="str">
        <f t="shared" si="50"/>
        <v>343</v>
      </c>
      <c r="N1609" s="6" t="str">
        <f t="shared" si="51"/>
        <v>Others</v>
      </c>
    </row>
    <row r="1610" spans="1:14" x14ac:dyDescent="0.35">
      <c r="A1610">
        <v>1187</v>
      </c>
      <c r="B1610" s="4">
        <v>45806.375085336993</v>
      </c>
      <c r="C1610" t="s">
        <v>12</v>
      </c>
      <c r="D1610" t="s">
        <v>18</v>
      </c>
      <c r="E1610" t="s">
        <v>23</v>
      </c>
      <c r="F1610">
        <v>3304.01</v>
      </c>
      <c r="G1610">
        <f t="array" ref="G1610">SalesData!$I$2 - 'RFM Table'!B1610</f>
        <v>330</v>
      </c>
      <c r="H1610">
        <f t="array" ref="H1610">COUNTIF(A:A,A1610)</f>
        <v>11</v>
      </c>
      <c r="I1610">
        <f t="array" ref="I1610">SUMIF(A:A,A1610,F:F)</f>
        <v>43247.159999999996</v>
      </c>
      <c r="J1610">
        <f t="array" ref="J1610">5 - INT(5 * (RANK(G1610,G:G, 1) - 1) / COUNT(G:G))</f>
        <v>3</v>
      </c>
      <c r="K1610">
        <f t="array" ref="K1610">INT(5 * (RANK(H1610,H:H, 0) - 1) / COUNT(H:H)) + 1</f>
        <v>1</v>
      </c>
      <c r="L1610">
        <f t="array" ref="L1610">INT(5 * (RANK(I1610,I:I, 0) - 1) / COUNT(I:I)) + 1</f>
        <v>2</v>
      </c>
      <c r="M1610" t="str">
        <f t="shared" si="50"/>
        <v>312</v>
      </c>
      <c r="N1610" s="6" t="str">
        <f t="shared" si="51"/>
        <v>Others</v>
      </c>
    </row>
    <row r="1611" spans="1:14" x14ac:dyDescent="0.35">
      <c r="A1611">
        <v>1214</v>
      </c>
      <c r="B1611" s="4">
        <v>45808.375085336993</v>
      </c>
      <c r="C1611" t="s">
        <v>12</v>
      </c>
      <c r="D1611" t="s">
        <v>19</v>
      </c>
      <c r="E1611" t="s">
        <v>24</v>
      </c>
      <c r="F1611">
        <v>3443.7</v>
      </c>
      <c r="G1611">
        <f t="array" ref="G1611">SalesData!$I$2 - 'RFM Table'!B1611</f>
        <v>328</v>
      </c>
      <c r="H1611">
        <f t="array" ref="H1611">COUNTIF(A:A,A1611)</f>
        <v>12</v>
      </c>
      <c r="I1611">
        <f t="array" ref="I1611">SUMIF(A:A,A1611,F:F)</f>
        <v>49382.650000000009</v>
      </c>
      <c r="J1611">
        <f t="array" ref="J1611">5 - INT(5 * (RANK(G1611,G:G, 1) - 1) / COUNT(G:G))</f>
        <v>3</v>
      </c>
      <c r="K1611">
        <f t="array" ref="K1611">INT(5 * (RANK(H1611,H:H, 0) - 1) / COUNT(H:H)) + 1</f>
        <v>1</v>
      </c>
      <c r="L1611">
        <f t="array" ref="L1611">INT(5 * (RANK(I1611,I:I, 0) - 1) / COUNT(I:I)) + 1</f>
        <v>1</v>
      </c>
      <c r="M1611" t="str">
        <f t="shared" si="50"/>
        <v>311</v>
      </c>
      <c r="N1611" s="6" t="str">
        <f t="shared" si="51"/>
        <v>Others</v>
      </c>
    </row>
    <row r="1612" spans="1:14" x14ac:dyDescent="0.35">
      <c r="A1612">
        <v>1101</v>
      </c>
      <c r="B1612" s="4">
        <v>45808.375085336993</v>
      </c>
      <c r="C1612" t="s">
        <v>6</v>
      </c>
      <c r="D1612" t="s">
        <v>21</v>
      </c>
      <c r="E1612" t="s">
        <v>24</v>
      </c>
      <c r="F1612">
        <v>3060.13</v>
      </c>
      <c r="G1612">
        <f t="array" ref="G1612">SalesData!$I$2 - 'RFM Table'!B1612</f>
        <v>328</v>
      </c>
      <c r="H1612">
        <f t="array" ref="H1612">COUNTIF(A:A,A1612)</f>
        <v>7</v>
      </c>
      <c r="I1612">
        <f t="array" ref="I1612">SUMIF(A:A,A1612,F:F)</f>
        <v>27512.969999999998</v>
      </c>
      <c r="J1612">
        <f t="array" ref="J1612">5 - INT(5 * (RANK(G1612,G:G, 1) - 1) / COUNT(G:G))</f>
        <v>3</v>
      </c>
      <c r="K1612">
        <f t="array" ref="K1612">INT(5 * (RANK(H1612,H:H, 0) - 1) / COUNT(H:H)) + 1</f>
        <v>4</v>
      </c>
      <c r="L1612">
        <f t="array" ref="L1612">INT(5 * (RANK(I1612,I:I, 0) - 1) / COUNT(I:I)) + 1</f>
        <v>4</v>
      </c>
      <c r="M1612" t="str">
        <f t="shared" si="50"/>
        <v>344</v>
      </c>
      <c r="N1612" s="6" t="str">
        <f t="shared" si="51"/>
        <v>Others</v>
      </c>
    </row>
    <row r="1613" spans="1:14" x14ac:dyDescent="0.35">
      <c r="A1613">
        <v>1147</v>
      </c>
      <c r="B1613" s="4">
        <v>45808.375085336993</v>
      </c>
      <c r="C1613" t="s">
        <v>15</v>
      </c>
      <c r="D1613" t="s">
        <v>16</v>
      </c>
      <c r="E1613" t="s">
        <v>25</v>
      </c>
      <c r="F1613">
        <v>1080.1400000000001</v>
      </c>
      <c r="G1613">
        <f t="array" ref="G1613">SalesData!$I$2 - 'RFM Table'!B1613</f>
        <v>328</v>
      </c>
      <c r="H1613">
        <f t="array" ref="H1613">COUNTIF(A:A,A1613)</f>
        <v>9</v>
      </c>
      <c r="I1613">
        <f t="array" ref="I1613">SUMIF(A:A,A1613,F:F)</f>
        <v>31221.600000000002</v>
      </c>
      <c r="J1613">
        <f t="array" ref="J1613">5 - INT(5 * (RANK(G1613,G:G, 1) - 1) / COUNT(G:G))</f>
        <v>3</v>
      </c>
      <c r="K1613">
        <f t="array" ref="K1613">INT(5 * (RANK(H1613,H:H, 0) - 1) / COUNT(H:H)) + 1</f>
        <v>2</v>
      </c>
      <c r="L1613">
        <f t="array" ref="L1613">INT(5 * (RANK(I1613,I:I, 0) - 1) / COUNT(I:I)) + 1</f>
        <v>3</v>
      </c>
      <c r="M1613" t="str">
        <f t="shared" si="50"/>
        <v>323</v>
      </c>
      <c r="N1613" s="6" t="str">
        <f t="shared" si="51"/>
        <v>Others</v>
      </c>
    </row>
    <row r="1614" spans="1:14" x14ac:dyDescent="0.35">
      <c r="A1614">
        <v>1068</v>
      </c>
      <c r="B1614" s="4">
        <v>45808.375085336993</v>
      </c>
      <c r="C1614" t="s">
        <v>9</v>
      </c>
      <c r="D1614" t="s">
        <v>21</v>
      </c>
      <c r="E1614" t="s">
        <v>23</v>
      </c>
      <c r="F1614">
        <v>4243.92</v>
      </c>
      <c r="G1614">
        <f t="array" ref="G1614">SalesData!$I$2 - 'RFM Table'!B1614</f>
        <v>328</v>
      </c>
      <c r="H1614">
        <f t="array" ref="H1614">COUNTIF(A:A,A1614)</f>
        <v>10</v>
      </c>
      <c r="I1614">
        <f t="array" ref="I1614">SUMIF(A:A,A1614,F:F)</f>
        <v>47284.22</v>
      </c>
      <c r="J1614">
        <f t="array" ref="J1614">5 - INT(5 * (RANK(G1614,G:G, 1) - 1) / COUNT(G:G))</f>
        <v>3</v>
      </c>
      <c r="K1614">
        <f t="array" ref="K1614">INT(5 * (RANK(H1614,H:H, 0) - 1) / COUNT(H:H)) + 1</f>
        <v>2</v>
      </c>
      <c r="L1614">
        <f t="array" ref="L1614">INT(5 * (RANK(I1614,I:I, 0) - 1) / COUNT(I:I)) + 1</f>
        <v>1</v>
      </c>
      <c r="M1614" t="str">
        <f t="shared" si="50"/>
        <v>321</v>
      </c>
      <c r="N1614" s="6" t="str">
        <f t="shared" si="51"/>
        <v>Others</v>
      </c>
    </row>
    <row r="1615" spans="1:14" x14ac:dyDescent="0.35">
      <c r="A1615">
        <v>1201</v>
      </c>
      <c r="B1615" s="4">
        <v>45809.375085336993</v>
      </c>
      <c r="C1615" t="s">
        <v>7</v>
      </c>
      <c r="D1615" t="s">
        <v>17</v>
      </c>
      <c r="E1615" t="s">
        <v>24</v>
      </c>
      <c r="F1615">
        <v>1230.3800000000001</v>
      </c>
      <c r="G1615">
        <f t="array" ref="G1615">SalesData!$I$2 - 'RFM Table'!B1615</f>
        <v>327</v>
      </c>
      <c r="H1615">
        <f t="array" ref="H1615">COUNTIF(A:A,A1615)</f>
        <v>10</v>
      </c>
      <c r="I1615">
        <f t="array" ref="I1615">SUMIF(A:A,A1615,F:F)</f>
        <v>30897.65</v>
      </c>
      <c r="J1615">
        <f t="array" ref="J1615">5 - INT(5 * (RANK(G1615,G:G, 1) - 1) / COUNT(G:G))</f>
        <v>3</v>
      </c>
      <c r="K1615">
        <f t="array" ref="K1615">INT(5 * (RANK(H1615,H:H, 0) - 1) / COUNT(H:H)) + 1</f>
        <v>2</v>
      </c>
      <c r="L1615">
        <f t="array" ref="L1615">INT(5 * (RANK(I1615,I:I, 0) - 1) / COUNT(I:I)) + 1</f>
        <v>3</v>
      </c>
      <c r="M1615" t="str">
        <f t="shared" si="50"/>
        <v>323</v>
      </c>
      <c r="N1615" s="6" t="str">
        <f t="shared" si="51"/>
        <v>Others</v>
      </c>
    </row>
    <row r="1616" spans="1:14" x14ac:dyDescent="0.35">
      <c r="A1616">
        <v>1274</v>
      </c>
      <c r="B1616" s="4">
        <v>45809.375085336993</v>
      </c>
      <c r="C1616" t="s">
        <v>8</v>
      </c>
      <c r="D1616" t="s">
        <v>21</v>
      </c>
      <c r="E1616" t="s">
        <v>24</v>
      </c>
      <c r="F1616">
        <v>1350.34</v>
      </c>
      <c r="G1616">
        <f t="array" ref="G1616">SalesData!$I$2 - 'RFM Table'!B1616</f>
        <v>327</v>
      </c>
      <c r="H1616">
        <f t="array" ref="H1616">COUNTIF(A:A,A1616)</f>
        <v>5</v>
      </c>
      <c r="I1616">
        <f t="array" ref="I1616">SUMIF(A:A,A1616,F:F)</f>
        <v>19562.71</v>
      </c>
      <c r="J1616">
        <f t="array" ref="J1616">5 - INT(5 * (RANK(G1616,G:G, 1) - 1) / COUNT(G:G))</f>
        <v>3</v>
      </c>
      <c r="K1616">
        <f t="array" ref="K1616">INT(5 * (RANK(H1616,H:H, 0) - 1) / COUNT(H:H)) + 1</f>
        <v>5</v>
      </c>
      <c r="L1616">
        <f t="array" ref="L1616">INT(5 * (RANK(I1616,I:I, 0) - 1) / COUNT(I:I)) + 1</f>
        <v>5</v>
      </c>
      <c r="M1616" t="str">
        <f t="shared" si="50"/>
        <v>355</v>
      </c>
      <c r="N1616" s="6" t="str">
        <f t="shared" si="51"/>
        <v>Others</v>
      </c>
    </row>
    <row r="1617" spans="1:14" x14ac:dyDescent="0.35">
      <c r="A1617">
        <v>1373</v>
      </c>
      <c r="B1617" s="4">
        <v>45809.375085336993</v>
      </c>
      <c r="C1617" t="s">
        <v>14</v>
      </c>
      <c r="D1617" t="s">
        <v>19</v>
      </c>
      <c r="E1617" t="s">
        <v>25</v>
      </c>
      <c r="F1617">
        <v>4338.2299999999996</v>
      </c>
      <c r="G1617">
        <f t="array" ref="G1617">SalesData!$I$2 - 'RFM Table'!B1617</f>
        <v>327</v>
      </c>
      <c r="H1617">
        <f t="array" ref="H1617">COUNTIF(A:A,A1617)</f>
        <v>11</v>
      </c>
      <c r="I1617">
        <f t="array" ref="I1617">SUMIF(A:A,A1617,F:F)</f>
        <v>46795.570000000007</v>
      </c>
      <c r="J1617">
        <f t="array" ref="J1617">5 - INT(5 * (RANK(G1617,G:G, 1) - 1) / COUNT(G:G))</f>
        <v>3</v>
      </c>
      <c r="K1617">
        <f t="array" ref="K1617">INT(5 * (RANK(H1617,H:H, 0) - 1) / COUNT(H:H)) + 1</f>
        <v>1</v>
      </c>
      <c r="L1617">
        <f t="array" ref="L1617">INT(5 * (RANK(I1617,I:I, 0) - 1) / COUNT(I:I)) + 1</f>
        <v>1</v>
      </c>
      <c r="M1617" t="str">
        <f t="shared" si="50"/>
        <v>311</v>
      </c>
      <c r="N1617" s="6" t="str">
        <f t="shared" si="51"/>
        <v>Others</v>
      </c>
    </row>
    <row r="1618" spans="1:14" x14ac:dyDescent="0.35">
      <c r="A1618">
        <v>1181</v>
      </c>
      <c r="B1618" s="4">
        <v>45809.375085336993</v>
      </c>
      <c r="C1618" t="s">
        <v>11</v>
      </c>
      <c r="D1618" t="s">
        <v>22</v>
      </c>
      <c r="E1618" t="s">
        <v>23</v>
      </c>
      <c r="F1618">
        <v>393.07</v>
      </c>
      <c r="G1618">
        <f t="array" ref="G1618">SalesData!$I$2 - 'RFM Table'!B1618</f>
        <v>327</v>
      </c>
      <c r="H1618">
        <f t="array" ref="H1618">COUNTIF(A:A,A1618)</f>
        <v>4</v>
      </c>
      <c r="I1618">
        <f t="array" ref="I1618">SUMIF(A:A,A1618,F:F)</f>
        <v>16982.739999999998</v>
      </c>
      <c r="J1618">
        <f t="array" ref="J1618">5 - INT(5 * (RANK(G1618,G:G, 1) - 1) / COUNT(G:G))</f>
        <v>3</v>
      </c>
      <c r="K1618">
        <f t="array" ref="K1618">INT(5 * (RANK(H1618,H:H, 0) - 1) / COUNT(H:H)) + 1</f>
        <v>5</v>
      </c>
      <c r="L1618">
        <f t="array" ref="L1618">INT(5 * (RANK(I1618,I:I, 0) - 1) / COUNT(I:I)) + 1</f>
        <v>5</v>
      </c>
      <c r="M1618" t="str">
        <f t="shared" si="50"/>
        <v>355</v>
      </c>
      <c r="N1618" s="6" t="str">
        <f t="shared" si="51"/>
        <v>Others</v>
      </c>
    </row>
    <row r="1619" spans="1:14" x14ac:dyDescent="0.35">
      <c r="A1619">
        <v>1246</v>
      </c>
      <c r="B1619" s="4">
        <v>45809.375085336993</v>
      </c>
      <c r="C1619" t="s">
        <v>13</v>
      </c>
      <c r="D1619" t="s">
        <v>16</v>
      </c>
      <c r="E1619" t="s">
        <v>25</v>
      </c>
      <c r="F1619">
        <v>400.14</v>
      </c>
      <c r="G1619">
        <f t="array" ref="G1619">SalesData!$I$2 - 'RFM Table'!B1619</f>
        <v>327</v>
      </c>
      <c r="H1619">
        <f t="array" ref="H1619">COUNTIF(A:A,A1619)</f>
        <v>9</v>
      </c>
      <c r="I1619">
        <f t="array" ref="I1619">SUMIF(A:A,A1619,F:F)</f>
        <v>38767.17</v>
      </c>
      <c r="J1619">
        <f t="array" ref="J1619">5 - INT(5 * (RANK(G1619,G:G, 1) - 1) / COUNT(G:G))</f>
        <v>3</v>
      </c>
      <c r="K1619">
        <f t="array" ref="K1619">INT(5 * (RANK(H1619,H:H, 0) - 1) / COUNT(H:H)) + 1</f>
        <v>2</v>
      </c>
      <c r="L1619">
        <f t="array" ref="L1619">INT(5 * (RANK(I1619,I:I, 0) - 1) / COUNT(I:I)) + 1</f>
        <v>2</v>
      </c>
      <c r="M1619" t="str">
        <f t="shared" si="50"/>
        <v>322</v>
      </c>
      <c r="N1619" s="6" t="str">
        <f t="shared" si="51"/>
        <v>Others</v>
      </c>
    </row>
    <row r="1620" spans="1:14" x14ac:dyDescent="0.35">
      <c r="A1620">
        <v>1287</v>
      </c>
      <c r="B1620" s="4">
        <v>45810.375085336993</v>
      </c>
      <c r="C1620" t="s">
        <v>8</v>
      </c>
      <c r="D1620" t="s">
        <v>18</v>
      </c>
      <c r="E1620" t="s">
        <v>25</v>
      </c>
      <c r="F1620">
        <v>608.49</v>
      </c>
      <c r="G1620">
        <f t="array" ref="G1620">SalesData!$I$2 - 'RFM Table'!B1620</f>
        <v>326</v>
      </c>
      <c r="H1620">
        <f t="array" ref="H1620">COUNTIF(A:A,A1620)</f>
        <v>16</v>
      </c>
      <c r="I1620">
        <f t="array" ref="I1620">SUMIF(A:A,A1620,F:F)</f>
        <v>64716.249999999985</v>
      </c>
      <c r="J1620">
        <f t="array" ref="J1620">5 - INT(5 * (RANK(G1620,G:G, 1) - 1) / COUNT(G:G))</f>
        <v>3</v>
      </c>
      <c r="K1620">
        <f t="array" ref="K1620">INT(5 * (RANK(H1620,H:H, 0) - 1) / COUNT(H:H)) + 1</f>
        <v>1</v>
      </c>
      <c r="L1620">
        <f t="array" ref="L1620">INT(5 * (RANK(I1620,I:I, 0) - 1) / COUNT(I:I)) + 1</f>
        <v>1</v>
      </c>
      <c r="M1620" t="str">
        <f t="shared" si="50"/>
        <v>311</v>
      </c>
      <c r="N1620" s="6" t="str">
        <f t="shared" si="51"/>
        <v>Others</v>
      </c>
    </row>
    <row r="1621" spans="1:14" x14ac:dyDescent="0.35">
      <c r="A1621">
        <v>1237</v>
      </c>
      <c r="B1621" s="4">
        <v>45810.375085336993</v>
      </c>
      <c r="C1621" t="s">
        <v>7</v>
      </c>
      <c r="D1621" t="s">
        <v>18</v>
      </c>
      <c r="E1621" t="s">
        <v>23</v>
      </c>
      <c r="F1621">
        <v>870.24</v>
      </c>
      <c r="G1621">
        <f t="array" ref="G1621">SalesData!$I$2 - 'RFM Table'!B1621</f>
        <v>326</v>
      </c>
      <c r="H1621">
        <f t="array" ref="H1621">COUNTIF(A:A,A1621)</f>
        <v>6</v>
      </c>
      <c r="I1621">
        <f t="array" ref="I1621">SUMIF(A:A,A1621,F:F)</f>
        <v>33607.29</v>
      </c>
      <c r="J1621">
        <f t="array" ref="J1621">5 - INT(5 * (RANK(G1621,G:G, 1) - 1) / COUNT(G:G))</f>
        <v>3</v>
      </c>
      <c r="K1621">
        <f t="array" ref="K1621">INT(5 * (RANK(H1621,H:H, 0) - 1) / COUNT(H:H)) + 1</f>
        <v>4</v>
      </c>
      <c r="L1621">
        <f t="array" ref="L1621">INT(5 * (RANK(I1621,I:I, 0) - 1) / COUNT(I:I)) + 1</f>
        <v>3</v>
      </c>
      <c r="M1621" t="str">
        <f t="shared" si="50"/>
        <v>343</v>
      </c>
      <c r="N1621" s="6" t="str">
        <f t="shared" si="51"/>
        <v>Others</v>
      </c>
    </row>
    <row r="1622" spans="1:14" x14ac:dyDescent="0.35">
      <c r="A1622">
        <v>1223</v>
      </c>
      <c r="B1622" s="4">
        <v>45810.375085336993</v>
      </c>
      <c r="C1622" t="s">
        <v>11</v>
      </c>
      <c r="D1622" t="s">
        <v>17</v>
      </c>
      <c r="E1622" t="s">
        <v>25</v>
      </c>
      <c r="F1622">
        <v>2175.1999999999998</v>
      </c>
      <c r="G1622">
        <f t="array" ref="G1622">SalesData!$I$2 - 'RFM Table'!B1622</f>
        <v>326</v>
      </c>
      <c r="H1622">
        <f t="array" ref="H1622">COUNTIF(A:A,A1622)</f>
        <v>12</v>
      </c>
      <c r="I1622">
        <f t="array" ref="I1622">SUMIF(A:A,A1622,F:F)</f>
        <v>40797.409999999996</v>
      </c>
      <c r="J1622">
        <f t="array" ref="J1622">5 - INT(5 * (RANK(G1622,G:G, 1) - 1) / COUNT(G:G))</f>
        <v>3</v>
      </c>
      <c r="K1622">
        <f t="array" ref="K1622">INT(5 * (RANK(H1622,H:H, 0) - 1) / COUNT(H:H)) + 1</f>
        <v>1</v>
      </c>
      <c r="L1622">
        <f t="array" ref="L1622">INT(5 * (RANK(I1622,I:I, 0) - 1) / COUNT(I:I)) + 1</f>
        <v>2</v>
      </c>
      <c r="M1622" t="str">
        <f t="shared" si="50"/>
        <v>312</v>
      </c>
      <c r="N1622" s="6" t="str">
        <f t="shared" si="51"/>
        <v>Others</v>
      </c>
    </row>
    <row r="1623" spans="1:14" x14ac:dyDescent="0.35">
      <c r="A1623">
        <v>1344</v>
      </c>
      <c r="B1623" s="4">
        <v>45810.375085336993</v>
      </c>
      <c r="C1623" t="s">
        <v>7</v>
      </c>
      <c r="D1623" t="s">
        <v>20</v>
      </c>
      <c r="E1623" t="s">
        <v>25</v>
      </c>
      <c r="F1623">
        <v>1424.11</v>
      </c>
      <c r="G1623">
        <f t="array" ref="G1623">SalesData!$I$2 - 'RFM Table'!B1623</f>
        <v>326</v>
      </c>
      <c r="H1623">
        <f t="array" ref="H1623">COUNTIF(A:A,A1623)</f>
        <v>9</v>
      </c>
      <c r="I1623">
        <f t="array" ref="I1623">SUMIF(A:A,A1623,F:F)</f>
        <v>23905.670000000002</v>
      </c>
      <c r="J1623">
        <f t="array" ref="J1623">5 - INT(5 * (RANK(G1623,G:G, 1) - 1) / COUNT(G:G))</f>
        <v>3</v>
      </c>
      <c r="K1623">
        <f t="array" ref="K1623">INT(5 * (RANK(H1623,H:H, 0) - 1) / COUNT(H:H)) + 1</f>
        <v>2</v>
      </c>
      <c r="L1623">
        <f t="array" ref="L1623">INT(5 * (RANK(I1623,I:I, 0) - 1) / COUNT(I:I)) + 1</f>
        <v>4</v>
      </c>
      <c r="M1623" t="str">
        <f t="shared" si="50"/>
        <v>324</v>
      </c>
      <c r="N1623" s="6" t="str">
        <f t="shared" si="51"/>
        <v>Others</v>
      </c>
    </row>
    <row r="1624" spans="1:14" x14ac:dyDescent="0.35">
      <c r="A1624">
        <v>1261</v>
      </c>
      <c r="B1624" s="4">
        <v>45811.375085336993</v>
      </c>
      <c r="C1624" t="s">
        <v>9</v>
      </c>
      <c r="D1624" t="s">
        <v>16</v>
      </c>
      <c r="E1624" t="s">
        <v>25</v>
      </c>
      <c r="F1624">
        <v>2140.98</v>
      </c>
      <c r="G1624">
        <f t="array" ref="G1624">SalesData!$I$2 - 'RFM Table'!B1624</f>
        <v>325</v>
      </c>
      <c r="H1624">
        <f t="array" ref="H1624">COUNTIF(A:A,A1624)</f>
        <v>8</v>
      </c>
      <c r="I1624">
        <f t="array" ref="I1624">SUMIF(A:A,A1624,F:F)</f>
        <v>28310.01</v>
      </c>
      <c r="J1624">
        <f t="array" ref="J1624">5 - INT(5 * (RANK(G1624,G:G, 1) - 1) / COUNT(G:G))</f>
        <v>3</v>
      </c>
      <c r="K1624">
        <f t="array" ref="K1624">INT(5 * (RANK(H1624,H:H, 0) - 1) / COUNT(H:H)) + 1</f>
        <v>3</v>
      </c>
      <c r="L1624">
        <f t="array" ref="L1624">INT(5 * (RANK(I1624,I:I, 0) - 1) / COUNT(I:I)) + 1</f>
        <v>4</v>
      </c>
      <c r="M1624" t="str">
        <f t="shared" si="50"/>
        <v>334</v>
      </c>
      <c r="N1624" s="6" t="str">
        <f t="shared" si="51"/>
        <v>Others</v>
      </c>
    </row>
    <row r="1625" spans="1:14" x14ac:dyDescent="0.35">
      <c r="A1625">
        <v>1158</v>
      </c>
      <c r="B1625" s="4">
        <v>45811.375085336993</v>
      </c>
      <c r="C1625" t="s">
        <v>10</v>
      </c>
      <c r="D1625" t="s">
        <v>18</v>
      </c>
      <c r="E1625" t="s">
        <v>24</v>
      </c>
      <c r="F1625">
        <v>3605.64</v>
      </c>
      <c r="G1625">
        <f t="array" ref="G1625">SalesData!$I$2 - 'RFM Table'!B1625</f>
        <v>325</v>
      </c>
      <c r="H1625">
        <f t="array" ref="H1625">COUNTIF(A:A,A1625)</f>
        <v>5</v>
      </c>
      <c r="I1625">
        <f t="array" ref="I1625">SUMIF(A:A,A1625,F:F)</f>
        <v>14717.050000000001</v>
      </c>
      <c r="J1625">
        <f t="array" ref="J1625">5 - INT(5 * (RANK(G1625,G:G, 1) - 1) / COUNT(G:G))</f>
        <v>3</v>
      </c>
      <c r="K1625">
        <f t="array" ref="K1625">INT(5 * (RANK(H1625,H:H, 0) - 1) / COUNT(H:H)) + 1</f>
        <v>5</v>
      </c>
      <c r="L1625">
        <f t="array" ref="L1625">INT(5 * (RANK(I1625,I:I, 0) - 1) / COUNT(I:I)) + 1</f>
        <v>5</v>
      </c>
      <c r="M1625" t="str">
        <f t="shared" si="50"/>
        <v>355</v>
      </c>
      <c r="N1625" s="6" t="str">
        <f t="shared" si="51"/>
        <v>Others</v>
      </c>
    </row>
    <row r="1626" spans="1:14" x14ac:dyDescent="0.35">
      <c r="A1626">
        <v>1333</v>
      </c>
      <c r="B1626" s="4">
        <v>45811.375085336993</v>
      </c>
      <c r="C1626" t="s">
        <v>11</v>
      </c>
      <c r="D1626" t="s">
        <v>22</v>
      </c>
      <c r="E1626" t="s">
        <v>24</v>
      </c>
      <c r="F1626">
        <v>1450.63</v>
      </c>
      <c r="G1626">
        <f t="array" ref="G1626">SalesData!$I$2 - 'RFM Table'!B1626</f>
        <v>325</v>
      </c>
      <c r="H1626">
        <f t="array" ref="H1626">COUNTIF(A:A,A1626)</f>
        <v>6</v>
      </c>
      <c r="I1626">
        <f t="array" ref="I1626">SUMIF(A:A,A1626,F:F)</f>
        <v>12410.619999999999</v>
      </c>
      <c r="J1626">
        <f t="array" ref="J1626">5 - INT(5 * (RANK(G1626,G:G, 1) - 1) / COUNT(G:G))</f>
        <v>3</v>
      </c>
      <c r="K1626">
        <f t="array" ref="K1626">INT(5 * (RANK(H1626,H:H, 0) - 1) / COUNT(H:H)) + 1</f>
        <v>4</v>
      </c>
      <c r="L1626">
        <f t="array" ref="L1626">INT(5 * (RANK(I1626,I:I, 0) - 1) / COUNT(I:I)) + 1</f>
        <v>5</v>
      </c>
      <c r="M1626" t="str">
        <f t="shared" si="50"/>
        <v>345</v>
      </c>
      <c r="N1626" s="6" t="str">
        <f t="shared" si="51"/>
        <v>Others</v>
      </c>
    </row>
    <row r="1627" spans="1:14" x14ac:dyDescent="0.35">
      <c r="A1627">
        <v>1123</v>
      </c>
      <c r="B1627" s="4">
        <v>45811.375085336993</v>
      </c>
      <c r="C1627" t="s">
        <v>14</v>
      </c>
      <c r="D1627" t="s">
        <v>21</v>
      </c>
      <c r="E1627" t="s">
        <v>25</v>
      </c>
      <c r="F1627">
        <v>5180.03</v>
      </c>
      <c r="G1627">
        <f t="array" ref="G1627">SalesData!$I$2 - 'RFM Table'!B1627</f>
        <v>325</v>
      </c>
      <c r="H1627">
        <f t="array" ref="H1627">COUNTIF(A:A,A1627)</f>
        <v>6</v>
      </c>
      <c r="I1627">
        <f t="array" ref="I1627">SUMIF(A:A,A1627,F:F)</f>
        <v>26817.25</v>
      </c>
      <c r="J1627">
        <f t="array" ref="J1627">5 - INT(5 * (RANK(G1627,G:G, 1) - 1) / COUNT(G:G))</f>
        <v>3</v>
      </c>
      <c r="K1627">
        <f t="array" ref="K1627">INT(5 * (RANK(H1627,H:H, 0) - 1) / COUNT(H:H)) + 1</f>
        <v>4</v>
      </c>
      <c r="L1627">
        <f t="array" ref="L1627">INT(5 * (RANK(I1627,I:I, 0) - 1) / COUNT(I:I)) + 1</f>
        <v>4</v>
      </c>
      <c r="M1627" t="str">
        <f t="shared" si="50"/>
        <v>344</v>
      </c>
      <c r="N1627" s="6" t="str">
        <f t="shared" si="51"/>
        <v>Others</v>
      </c>
    </row>
    <row r="1628" spans="1:14" x14ac:dyDescent="0.35">
      <c r="A1628">
        <v>1087</v>
      </c>
      <c r="B1628" s="4">
        <v>45811.375085336993</v>
      </c>
      <c r="C1628" t="s">
        <v>7</v>
      </c>
      <c r="D1628" t="s">
        <v>16</v>
      </c>
      <c r="E1628" t="s">
        <v>23</v>
      </c>
      <c r="F1628">
        <v>9896.92</v>
      </c>
      <c r="G1628">
        <f t="array" ref="G1628">SalesData!$I$2 - 'RFM Table'!B1628</f>
        <v>325</v>
      </c>
      <c r="H1628">
        <f t="array" ref="H1628">COUNTIF(A:A,A1628)</f>
        <v>4</v>
      </c>
      <c r="I1628">
        <f t="array" ref="I1628">SUMIF(A:A,A1628,F:F)</f>
        <v>19178.5</v>
      </c>
      <c r="J1628">
        <f t="array" ref="J1628">5 - INT(5 * (RANK(G1628,G:G, 1) - 1) / COUNT(G:G))</f>
        <v>3</v>
      </c>
      <c r="K1628">
        <f t="array" ref="K1628">INT(5 * (RANK(H1628,H:H, 0) - 1) / COUNT(H:H)) + 1</f>
        <v>5</v>
      </c>
      <c r="L1628">
        <f t="array" ref="L1628">INT(5 * (RANK(I1628,I:I, 0) - 1) / COUNT(I:I)) + 1</f>
        <v>5</v>
      </c>
      <c r="M1628" t="str">
        <f t="shared" si="50"/>
        <v>355</v>
      </c>
      <c r="N1628" s="6" t="str">
        <f t="shared" si="51"/>
        <v>Others</v>
      </c>
    </row>
    <row r="1629" spans="1:14" x14ac:dyDescent="0.35">
      <c r="A1629">
        <v>1132</v>
      </c>
      <c r="B1629" s="4">
        <v>45811.375085336993</v>
      </c>
      <c r="C1629" t="s">
        <v>11</v>
      </c>
      <c r="D1629" t="s">
        <v>19</v>
      </c>
      <c r="E1629" t="s">
        <v>25</v>
      </c>
      <c r="F1629">
        <v>6721.65</v>
      </c>
      <c r="G1629">
        <f t="array" ref="G1629">SalesData!$I$2 - 'RFM Table'!B1629</f>
        <v>325</v>
      </c>
      <c r="H1629">
        <f t="array" ref="H1629">COUNTIF(A:A,A1629)</f>
        <v>11</v>
      </c>
      <c r="I1629">
        <f t="array" ref="I1629">SUMIF(A:A,A1629,F:F)</f>
        <v>52771.959999999992</v>
      </c>
      <c r="J1629">
        <f t="array" ref="J1629">5 - INT(5 * (RANK(G1629,G:G, 1) - 1) / COUNT(G:G))</f>
        <v>3</v>
      </c>
      <c r="K1629">
        <f t="array" ref="K1629">INT(5 * (RANK(H1629,H:H, 0) - 1) / COUNT(H:H)) + 1</f>
        <v>1</v>
      </c>
      <c r="L1629">
        <f t="array" ref="L1629">INT(5 * (RANK(I1629,I:I, 0) - 1) / COUNT(I:I)) + 1</f>
        <v>1</v>
      </c>
      <c r="M1629" t="str">
        <f t="shared" si="50"/>
        <v>311</v>
      </c>
      <c r="N1629" s="6" t="str">
        <f t="shared" si="51"/>
        <v>Others</v>
      </c>
    </row>
    <row r="1630" spans="1:14" x14ac:dyDescent="0.35">
      <c r="A1630">
        <v>1127</v>
      </c>
      <c r="B1630" s="4">
        <v>45812.375085336993</v>
      </c>
      <c r="C1630" t="s">
        <v>11</v>
      </c>
      <c r="D1630" t="s">
        <v>17</v>
      </c>
      <c r="E1630" t="s">
        <v>23</v>
      </c>
      <c r="F1630">
        <v>2343.73</v>
      </c>
      <c r="G1630">
        <f t="array" ref="G1630">SalesData!$I$2 - 'RFM Table'!B1630</f>
        <v>324</v>
      </c>
      <c r="H1630">
        <f t="array" ref="H1630">COUNTIF(A:A,A1630)</f>
        <v>9</v>
      </c>
      <c r="I1630">
        <f t="array" ref="I1630">SUMIF(A:A,A1630,F:F)</f>
        <v>30288.86</v>
      </c>
      <c r="J1630">
        <f t="array" ref="J1630">5 - INT(5 * (RANK(G1630,G:G, 1) - 1) / COUNT(G:G))</f>
        <v>3</v>
      </c>
      <c r="K1630">
        <f t="array" ref="K1630">INT(5 * (RANK(H1630,H:H, 0) - 1) / COUNT(H:H)) + 1</f>
        <v>2</v>
      </c>
      <c r="L1630">
        <f t="array" ref="L1630">INT(5 * (RANK(I1630,I:I, 0) - 1) / COUNT(I:I)) + 1</f>
        <v>3</v>
      </c>
      <c r="M1630" t="str">
        <f t="shared" si="50"/>
        <v>323</v>
      </c>
      <c r="N1630" s="6" t="str">
        <f t="shared" si="51"/>
        <v>Others</v>
      </c>
    </row>
    <row r="1631" spans="1:14" x14ac:dyDescent="0.35">
      <c r="A1631">
        <v>1200</v>
      </c>
      <c r="B1631" s="4">
        <v>45812.375085336993</v>
      </c>
      <c r="C1631" t="s">
        <v>15</v>
      </c>
      <c r="D1631" t="s">
        <v>18</v>
      </c>
      <c r="E1631" t="s">
        <v>23</v>
      </c>
      <c r="F1631">
        <v>5409.9</v>
      </c>
      <c r="G1631">
        <f t="array" ref="G1631">SalesData!$I$2 - 'RFM Table'!B1631</f>
        <v>324</v>
      </c>
      <c r="H1631">
        <f t="array" ref="H1631">COUNTIF(A:A,A1631)</f>
        <v>6</v>
      </c>
      <c r="I1631">
        <f t="array" ref="I1631">SUMIF(A:A,A1631,F:F)</f>
        <v>24862.18</v>
      </c>
      <c r="J1631">
        <f t="array" ref="J1631">5 - INT(5 * (RANK(G1631,G:G, 1) - 1) / COUNT(G:G))</f>
        <v>3</v>
      </c>
      <c r="K1631">
        <f t="array" ref="K1631">INT(5 * (RANK(H1631,H:H, 0) - 1) / COUNT(H:H)) + 1</f>
        <v>4</v>
      </c>
      <c r="L1631">
        <f t="array" ref="L1631">INT(5 * (RANK(I1631,I:I, 0) - 1) / COUNT(I:I)) + 1</f>
        <v>4</v>
      </c>
      <c r="M1631" t="str">
        <f t="shared" si="50"/>
        <v>344</v>
      </c>
      <c r="N1631" s="6" t="str">
        <f t="shared" si="51"/>
        <v>Others</v>
      </c>
    </row>
    <row r="1632" spans="1:14" x14ac:dyDescent="0.35">
      <c r="A1632">
        <v>1101</v>
      </c>
      <c r="B1632" s="4">
        <v>45812.375085336993</v>
      </c>
      <c r="C1632" t="s">
        <v>9</v>
      </c>
      <c r="D1632" t="s">
        <v>19</v>
      </c>
      <c r="E1632" t="s">
        <v>25</v>
      </c>
      <c r="F1632">
        <v>2142.87</v>
      </c>
      <c r="G1632">
        <f t="array" ref="G1632">SalesData!$I$2 - 'RFM Table'!B1632</f>
        <v>324</v>
      </c>
      <c r="H1632">
        <f t="array" ref="H1632">COUNTIF(A:A,A1632)</f>
        <v>7</v>
      </c>
      <c r="I1632">
        <f t="array" ref="I1632">SUMIF(A:A,A1632,F:F)</f>
        <v>27512.969999999998</v>
      </c>
      <c r="J1632">
        <f t="array" ref="J1632">5 - INT(5 * (RANK(G1632,G:G, 1) - 1) / COUNT(G:G))</f>
        <v>3</v>
      </c>
      <c r="K1632">
        <f t="array" ref="K1632">INT(5 * (RANK(H1632,H:H, 0) - 1) / COUNT(H:H)) + 1</f>
        <v>4</v>
      </c>
      <c r="L1632">
        <f t="array" ref="L1632">INT(5 * (RANK(I1632,I:I, 0) - 1) / COUNT(I:I)) + 1</f>
        <v>4</v>
      </c>
      <c r="M1632" t="str">
        <f t="shared" si="50"/>
        <v>344</v>
      </c>
      <c r="N1632" s="6" t="str">
        <f t="shared" si="51"/>
        <v>Others</v>
      </c>
    </row>
    <row r="1633" spans="1:14" x14ac:dyDescent="0.35">
      <c r="A1633">
        <v>1146</v>
      </c>
      <c r="B1633" s="4">
        <v>45812.375085336993</v>
      </c>
      <c r="C1633" t="s">
        <v>10</v>
      </c>
      <c r="D1633" t="s">
        <v>16</v>
      </c>
      <c r="E1633" t="s">
        <v>25</v>
      </c>
      <c r="F1633">
        <v>860.38</v>
      </c>
      <c r="G1633">
        <f t="array" ref="G1633">SalesData!$I$2 - 'RFM Table'!B1633</f>
        <v>324</v>
      </c>
      <c r="H1633">
        <f t="array" ref="H1633">COUNTIF(A:A,A1633)</f>
        <v>11</v>
      </c>
      <c r="I1633">
        <f t="array" ref="I1633">SUMIF(A:A,A1633,F:F)</f>
        <v>43110.84</v>
      </c>
      <c r="J1633">
        <f t="array" ref="J1633">5 - INT(5 * (RANK(G1633,G:G, 1) - 1) / COUNT(G:G))</f>
        <v>3</v>
      </c>
      <c r="K1633">
        <f t="array" ref="K1633">INT(5 * (RANK(H1633,H:H, 0) - 1) / COUNT(H:H)) + 1</f>
        <v>1</v>
      </c>
      <c r="L1633">
        <f t="array" ref="L1633">INT(5 * (RANK(I1633,I:I, 0) - 1) / COUNT(I:I)) + 1</f>
        <v>2</v>
      </c>
      <c r="M1633" t="str">
        <f t="shared" si="50"/>
        <v>312</v>
      </c>
      <c r="N1633" s="6" t="str">
        <f t="shared" si="51"/>
        <v>Others</v>
      </c>
    </row>
    <row r="1634" spans="1:14" x14ac:dyDescent="0.35">
      <c r="A1634">
        <v>1062</v>
      </c>
      <c r="B1634" s="4">
        <v>45812.375085336993</v>
      </c>
      <c r="C1634" t="s">
        <v>11</v>
      </c>
      <c r="D1634" t="s">
        <v>16</v>
      </c>
      <c r="E1634" t="s">
        <v>25</v>
      </c>
      <c r="F1634">
        <v>1105.48</v>
      </c>
      <c r="G1634">
        <f t="array" ref="G1634">SalesData!$I$2 - 'RFM Table'!B1634</f>
        <v>324</v>
      </c>
      <c r="H1634">
        <f t="array" ref="H1634">COUNTIF(A:A,A1634)</f>
        <v>11</v>
      </c>
      <c r="I1634">
        <f t="array" ref="I1634">SUMIF(A:A,A1634,F:F)</f>
        <v>59377.640000000014</v>
      </c>
      <c r="J1634">
        <f t="array" ref="J1634">5 - INT(5 * (RANK(G1634,G:G, 1) - 1) / COUNT(G:G))</f>
        <v>3</v>
      </c>
      <c r="K1634">
        <f t="array" ref="K1634">INT(5 * (RANK(H1634,H:H, 0) - 1) / COUNT(H:H)) + 1</f>
        <v>1</v>
      </c>
      <c r="L1634">
        <f t="array" ref="L1634">INT(5 * (RANK(I1634,I:I, 0) - 1) / COUNT(I:I)) + 1</f>
        <v>1</v>
      </c>
      <c r="M1634" t="str">
        <f t="shared" si="50"/>
        <v>311</v>
      </c>
      <c r="N1634" s="6" t="str">
        <f t="shared" si="51"/>
        <v>Others</v>
      </c>
    </row>
    <row r="1635" spans="1:14" x14ac:dyDescent="0.35">
      <c r="A1635">
        <v>1223</v>
      </c>
      <c r="B1635" s="4">
        <v>45813.375085336993</v>
      </c>
      <c r="C1635" t="s">
        <v>12</v>
      </c>
      <c r="D1635" t="s">
        <v>20</v>
      </c>
      <c r="E1635" t="s">
        <v>23</v>
      </c>
      <c r="F1635">
        <v>2915.99</v>
      </c>
      <c r="G1635">
        <f t="array" ref="G1635">SalesData!$I$2 - 'RFM Table'!B1635</f>
        <v>323</v>
      </c>
      <c r="H1635">
        <f t="array" ref="H1635">COUNTIF(A:A,A1635)</f>
        <v>12</v>
      </c>
      <c r="I1635">
        <f t="array" ref="I1635">SUMIF(A:A,A1635,F:F)</f>
        <v>40797.409999999996</v>
      </c>
      <c r="J1635">
        <f t="array" ref="J1635">5 - INT(5 * (RANK(G1635,G:G, 1) - 1) / COUNT(G:G))</f>
        <v>3</v>
      </c>
      <c r="K1635">
        <f t="array" ref="K1635">INT(5 * (RANK(H1635,H:H, 0) - 1) / COUNT(H:H)) + 1</f>
        <v>1</v>
      </c>
      <c r="L1635">
        <f t="array" ref="L1635">INT(5 * (RANK(I1635,I:I, 0) - 1) / COUNT(I:I)) + 1</f>
        <v>2</v>
      </c>
      <c r="M1635" t="str">
        <f t="shared" si="50"/>
        <v>312</v>
      </c>
      <c r="N1635" s="6" t="str">
        <f t="shared" si="51"/>
        <v>Others</v>
      </c>
    </row>
    <row r="1636" spans="1:14" x14ac:dyDescent="0.35">
      <c r="A1636">
        <v>1295</v>
      </c>
      <c r="B1636" s="4">
        <v>45813.375085336993</v>
      </c>
      <c r="C1636" t="s">
        <v>6</v>
      </c>
      <c r="D1636" t="s">
        <v>21</v>
      </c>
      <c r="E1636" t="s">
        <v>23</v>
      </c>
      <c r="F1636">
        <v>2068.23</v>
      </c>
      <c r="G1636">
        <f t="array" ref="G1636">SalesData!$I$2 - 'RFM Table'!B1636</f>
        <v>323</v>
      </c>
      <c r="H1636">
        <f t="array" ref="H1636">COUNTIF(A:A,A1636)</f>
        <v>6</v>
      </c>
      <c r="I1636">
        <f t="array" ref="I1636">SUMIF(A:A,A1636,F:F)</f>
        <v>19844.169999999998</v>
      </c>
      <c r="J1636">
        <f t="array" ref="J1636">5 - INT(5 * (RANK(G1636,G:G, 1) - 1) / COUNT(G:G))</f>
        <v>3</v>
      </c>
      <c r="K1636">
        <f t="array" ref="K1636">INT(5 * (RANK(H1636,H:H, 0) - 1) / COUNT(H:H)) + 1</f>
        <v>4</v>
      </c>
      <c r="L1636">
        <f t="array" ref="L1636">INT(5 * (RANK(I1636,I:I, 0) - 1) / COUNT(I:I)) + 1</f>
        <v>5</v>
      </c>
      <c r="M1636" t="str">
        <f t="shared" si="50"/>
        <v>345</v>
      </c>
      <c r="N1636" s="6" t="str">
        <f t="shared" si="51"/>
        <v>Others</v>
      </c>
    </row>
    <row r="1637" spans="1:14" x14ac:dyDescent="0.35">
      <c r="A1637">
        <v>1280</v>
      </c>
      <c r="B1637" s="4">
        <v>45813.375085336993</v>
      </c>
      <c r="C1637" t="s">
        <v>12</v>
      </c>
      <c r="D1637" t="s">
        <v>18</v>
      </c>
      <c r="E1637" t="s">
        <v>23</v>
      </c>
      <c r="F1637">
        <v>2619.37</v>
      </c>
      <c r="G1637">
        <f t="array" ref="G1637">SalesData!$I$2 - 'RFM Table'!B1637</f>
        <v>323</v>
      </c>
      <c r="H1637">
        <f t="array" ref="H1637">COUNTIF(A:A,A1637)</f>
        <v>7</v>
      </c>
      <c r="I1637">
        <f t="array" ref="I1637">SUMIF(A:A,A1637,F:F)</f>
        <v>34546.720000000001</v>
      </c>
      <c r="J1637">
        <f t="array" ref="J1637">5 - INT(5 * (RANK(G1637,G:G, 1) - 1) / COUNT(G:G))</f>
        <v>3</v>
      </c>
      <c r="K1637">
        <f t="array" ref="K1637">INT(5 * (RANK(H1637,H:H, 0) - 1) / COUNT(H:H)) + 1</f>
        <v>4</v>
      </c>
      <c r="L1637">
        <f t="array" ref="L1637">INT(5 * (RANK(I1637,I:I, 0) - 1) / COUNT(I:I)) + 1</f>
        <v>3</v>
      </c>
      <c r="M1637" t="str">
        <f t="shared" si="50"/>
        <v>343</v>
      </c>
      <c r="N1637" s="6" t="str">
        <f t="shared" si="51"/>
        <v>Others</v>
      </c>
    </row>
    <row r="1638" spans="1:14" x14ac:dyDescent="0.35">
      <c r="A1638">
        <v>1002</v>
      </c>
      <c r="B1638" s="4">
        <v>45814.375085336993</v>
      </c>
      <c r="C1638" t="s">
        <v>14</v>
      </c>
      <c r="D1638" t="s">
        <v>18</v>
      </c>
      <c r="E1638" t="s">
        <v>24</v>
      </c>
      <c r="F1638">
        <v>1497.79</v>
      </c>
      <c r="G1638">
        <f t="array" ref="G1638">SalesData!$I$2 - 'RFM Table'!B1638</f>
        <v>322</v>
      </c>
      <c r="H1638">
        <f t="array" ref="H1638">COUNTIF(A:A,A1638)</f>
        <v>9</v>
      </c>
      <c r="I1638">
        <f t="array" ref="I1638">SUMIF(A:A,A1638,F:F)</f>
        <v>35145.360000000001</v>
      </c>
      <c r="J1638">
        <f t="array" ref="J1638">5 - INT(5 * (RANK(G1638,G:G, 1) - 1) / COUNT(G:G))</f>
        <v>3</v>
      </c>
      <c r="K1638">
        <f t="array" ref="K1638">INT(5 * (RANK(H1638,H:H, 0) - 1) / COUNT(H:H)) + 1</f>
        <v>2</v>
      </c>
      <c r="L1638">
        <f t="array" ref="L1638">INT(5 * (RANK(I1638,I:I, 0) - 1) / COUNT(I:I)) + 1</f>
        <v>3</v>
      </c>
      <c r="M1638" t="str">
        <f t="shared" si="50"/>
        <v>323</v>
      </c>
      <c r="N1638" s="6" t="str">
        <f t="shared" si="51"/>
        <v>Others</v>
      </c>
    </row>
    <row r="1639" spans="1:14" x14ac:dyDescent="0.35">
      <c r="A1639">
        <v>1300</v>
      </c>
      <c r="B1639" s="4">
        <v>45814.375085336993</v>
      </c>
      <c r="C1639" t="s">
        <v>15</v>
      </c>
      <c r="D1639" t="s">
        <v>17</v>
      </c>
      <c r="E1639" t="s">
        <v>25</v>
      </c>
      <c r="F1639">
        <v>1322.65</v>
      </c>
      <c r="G1639">
        <f t="array" ref="G1639">SalesData!$I$2 - 'RFM Table'!B1639</f>
        <v>322</v>
      </c>
      <c r="H1639">
        <f t="array" ref="H1639">COUNTIF(A:A,A1639)</f>
        <v>9</v>
      </c>
      <c r="I1639">
        <f t="array" ref="I1639">SUMIF(A:A,A1639,F:F)</f>
        <v>34007.68</v>
      </c>
      <c r="J1639">
        <f t="array" ref="J1639">5 - INT(5 * (RANK(G1639,G:G, 1) - 1) / COUNT(G:G))</f>
        <v>3</v>
      </c>
      <c r="K1639">
        <f t="array" ref="K1639">INT(5 * (RANK(H1639,H:H, 0) - 1) / COUNT(H:H)) + 1</f>
        <v>2</v>
      </c>
      <c r="L1639">
        <f t="array" ref="L1639">INT(5 * (RANK(I1639,I:I, 0) - 1) / COUNT(I:I)) + 1</f>
        <v>3</v>
      </c>
      <c r="M1639" t="str">
        <f t="shared" si="50"/>
        <v>323</v>
      </c>
      <c r="N1639" s="6" t="str">
        <f t="shared" si="51"/>
        <v>Others</v>
      </c>
    </row>
    <row r="1640" spans="1:14" x14ac:dyDescent="0.35">
      <c r="A1640">
        <v>1035</v>
      </c>
      <c r="B1640" s="4">
        <v>45814.375085336993</v>
      </c>
      <c r="C1640" t="s">
        <v>12</v>
      </c>
      <c r="D1640" t="s">
        <v>19</v>
      </c>
      <c r="E1640" t="s">
        <v>24</v>
      </c>
      <c r="F1640">
        <v>3848.35</v>
      </c>
      <c r="G1640">
        <f t="array" ref="G1640">SalesData!$I$2 - 'RFM Table'!B1640</f>
        <v>322</v>
      </c>
      <c r="H1640">
        <f t="array" ref="H1640">COUNTIF(A:A,A1640)</f>
        <v>9</v>
      </c>
      <c r="I1640">
        <f t="array" ref="I1640">SUMIF(A:A,A1640,F:F)</f>
        <v>33344.589999999997</v>
      </c>
      <c r="J1640">
        <f t="array" ref="J1640">5 - INT(5 * (RANK(G1640,G:G, 1) - 1) / COUNT(G:G))</f>
        <v>3</v>
      </c>
      <c r="K1640">
        <f t="array" ref="K1640">INT(5 * (RANK(H1640,H:H, 0) - 1) / COUNT(H:H)) + 1</f>
        <v>2</v>
      </c>
      <c r="L1640">
        <f t="array" ref="L1640">INT(5 * (RANK(I1640,I:I, 0) - 1) / COUNT(I:I)) + 1</f>
        <v>3</v>
      </c>
      <c r="M1640" t="str">
        <f t="shared" si="50"/>
        <v>323</v>
      </c>
      <c r="N1640" s="6" t="str">
        <f t="shared" si="51"/>
        <v>Others</v>
      </c>
    </row>
    <row r="1641" spans="1:14" x14ac:dyDescent="0.35">
      <c r="A1641">
        <v>1037</v>
      </c>
      <c r="B1641" s="4">
        <v>45815.375085336993</v>
      </c>
      <c r="C1641" t="s">
        <v>10</v>
      </c>
      <c r="D1641" t="s">
        <v>18</v>
      </c>
      <c r="E1641" t="s">
        <v>25</v>
      </c>
      <c r="F1641">
        <v>2365.13</v>
      </c>
      <c r="G1641">
        <f t="array" ref="G1641">SalesData!$I$2 - 'RFM Table'!B1641</f>
        <v>321</v>
      </c>
      <c r="H1641">
        <f t="array" ref="H1641">COUNTIF(A:A,A1641)</f>
        <v>9</v>
      </c>
      <c r="I1641">
        <f t="array" ref="I1641">SUMIF(A:A,A1641,F:F)</f>
        <v>42109.760000000002</v>
      </c>
      <c r="J1641">
        <f t="array" ref="J1641">5 - INT(5 * (RANK(G1641,G:G, 1) - 1) / COUNT(G:G))</f>
        <v>3</v>
      </c>
      <c r="K1641">
        <f t="array" ref="K1641">INT(5 * (RANK(H1641,H:H, 0) - 1) / COUNT(H:H)) + 1</f>
        <v>2</v>
      </c>
      <c r="L1641">
        <f t="array" ref="L1641">INT(5 * (RANK(I1641,I:I, 0) - 1) / COUNT(I:I)) + 1</f>
        <v>2</v>
      </c>
      <c r="M1641" t="str">
        <f t="shared" si="50"/>
        <v>322</v>
      </c>
      <c r="N1641" s="6" t="str">
        <f t="shared" si="51"/>
        <v>Others</v>
      </c>
    </row>
    <row r="1642" spans="1:14" x14ac:dyDescent="0.35">
      <c r="A1642">
        <v>1185</v>
      </c>
      <c r="B1642" s="4">
        <v>45815.375085336993</v>
      </c>
      <c r="C1642" t="s">
        <v>8</v>
      </c>
      <c r="D1642" t="s">
        <v>17</v>
      </c>
      <c r="E1642" t="s">
        <v>23</v>
      </c>
      <c r="F1642">
        <v>3577.69</v>
      </c>
      <c r="G1642">
        <f t="array" ref="G1642">SalesData!$I$2 - 'RFM Table'!B1642</f>
        <v>321</v>
      </c>
      <c r="H1642">
        <f t="array" ref="H1642">COUNTIF(A:A,A1642)</f>
        <v>8</v>
      </c>
      <c r="I1642">
        <f t="array" ref="I1642">SUMIF(A:A,A1642,F:F)</f>
        <v>27805.74</v>
      </c>
      <c r="J1642">
        <f t="array" ref="J1642">5 - INT(5 * (RANK(G1642,G:G, 1) - 1) / COUNT(G:G))</f>
        <v>3</v>
      </c>
      <c r="K1642">
        <f t="array" ref="K1642">INT(5 * (RANK(H1642,H:H, 0) - 1) / COUNT(H:H)) + 1</f>
        <v>3</v>
      </c>
      <c r="L1642">
        <f t="array" ref="L1642">INT(5 * (RANK(I1642,I:I, 0) - 1) / COUNT(I:I)) + 1</f>
        <v>4</v>
      </c>
      <c r="M1642" t="str">
        <f t="shared" si="50"/>
        <v>334</v>
      </c>
      <c r="N1642" s="6" t="str">
        <f t="shared" si="51"/>
        <v>Others</v>
      </c>
    </row>
    <row r="1643" spans="1:14" x14ac:dyDescent="0.35">
      <c r="A1643">
        <v>1181</v>
      </c>
      <c r="B1643" s="4">
        <v>45816.375085336993</v>
      </c>
      <c r="C1643" t="s">
        <v>14</v>
      </c>
      <c r="D1643" t="s">
        <v>20</v>
      </c>
      <c r="E1643" t="s">
        <v>23</v>
      </c>
      <c r="F1643">
        <v>7894.67</v>
      </c>
      <c r="G1643">
        <f t="array" ref="G1643">SalesData!$I$2 - 'RFM Table'!B1643</f>
        <v>320</v>
      </c>
      <c r="H1643">
        <f t="array" ref="H1643">COUNTIF(A:A,A1643)</f>
        <v>4</v>
      </c>
      <c r="I1643">
        <f t="array" ref="I1643">SUMIF(A:A,A1643,F:F)</f>
        <v>16982.739999999998</v>
      </c>
      <c r="J1643">
        <f t="array" ref="J1643">5 - INT(5 * (RANK(G1643,G:G, 1) - 1) / COUNT(G:G))</f>
        <v>3</v>
      </c>
      <c r="K1643">
        <f t="array" ref="K1643">INT(5 * (RANK(H1643,H:H, 0) - 1) / COUNT(H:H)) + 1</f>
        <v>5</v>
      </c>
      <c r="L1643">
        <f t="array" ref="L1643">INT(5 * (RANK(I1643,I:I, 0) - 1) / COUNT(I:I)) + 1</f>
        <v>5</v>
      </c>
      <c r="M1643" t="str">
        <f t="shared" si="50"/>
        <v>355</v>
      </c>
      <c r="N1643" s="6" t="str">
        <f t="shared" si="51"/>
        <v>Others</v>
      </c>
    </row>
    <row r="1644" spans="1:14" x14ac:dyDescent="0.35">
      <c r="A1644">
        <v>1338</v>
      </c>
      <c r="B1644" s="4">
        <v>45817.375085336993</v>
      </c>
      <c r="C1644" t="s">
        <v>6</v>
      </c>
      <c r="D1644" t="s">
        <v>18</v>
      </c>
      <c r="E1644" t="s">
        <v>23</v>
      </c>
      <c r="F1644">
        <v>2883.76</v>
      </c>
      <c r="G1644">
        <f t="array" ref="G1644">SalesData!$I$2 - 'RFM Table'!B1644</f>
        <v>319</v>
      </c>
      <c r="H1644">
        <f t="array" ref="H1644">COUNTIF(A:A,A1644)</f>
        <v>5</v>
      </c>
      <c r="I1644">
        <f t="array" ref="I1644">SUMIF(A:A,A1644,F:F)</f>
        <v>21171.439999999999</v>
      </c>
      <c r="J1644">
        <f t="array" ref="J1644">5 - INT(5 * (RANK(G1644,G:G, 1) - 1) / COUNT(G:G))</f>
        <v>3</v>
      </c>
      <c r="K1644">
        <f t="array" ref="K1644">INT(5 * (RANK(H1644,H:H, 0) - 1) / COUNT(H:H)) + 1</f>
        <v>5</v>
      </c>
      <c r="L1644">
        <f t="array" ref="L1644">INT(5 * (RANK(I1644,I:I, 0) - 1) / COUNT(I:I)) + 1</f>
        <v>5</v>
      </c>
      <c r="M1644" t="str">
        <f t="shared" si="50"/>
        <v>355</v>
      </c>
      <c r="N1644" s="6" t="str">
        <f t="shared" si="51"/>
        <v>Others</v>
      </c>
    </row>
    <row r="1645" spans="1:14" x14ac:dyDescent="0.35">
      <c r="A1645">
        <v>1083</v>
      </c>
      <c r="B1645" s="4">
        <v>45817.375085336993</v>
      </c>
      <c r="C1645" t="s">
        <v>14</v>
      </c>
      <c r="D1645" t="s">
        <v>19</v>
      </c>
      <c r="E1645" t="s">
        <v>24</v>
      </c>
      <c r="F1645">
        <v>907.98</v>
      </c>
      <c r="G1645">
        <f t="array" ref="G1645">SalesData!$I$2 - 'RFM Table'!B1645</f>
        <v>319</v>
      </c>
      <c r="H1645">
        <f t="array" ref="H1645">COUNTIF(A:A,A1645)</f>
        <v>10</v>
      </c>
      <c r="I1645">
        <f t="array" ref="I1645">SUMIF(A:A,A1645,F:F)</f>
        <v>27359.329999999998</v>
      </c>
      <c r="J1645">
        <f t="array" ref="J1645">5 - INT(5 * (RANK(G1645,G:G, 1) - 1) / COUNT(G:G))</f>
        <v>3</v>
      </c>
      <c r="K1645">
        <f t="array" ref="K1645">INT(5 * (RANK(H1645,H:H, 0) - 1) / COUNT(H:H)) + 1</f>
        <v>2</v>
      </c>
      <c r="L1645">
        <f t="array" ref="L1645">INT(5 * (RANK(I1645,I:I, 0) - 1) / COUNT(I:I)) + 1</f>
        <v>4</v>
      </c>
      <c r="M1645" t="str">
        <f t="shared" si="50"/>
        <v>324</v>
      </c>
      <c r="N1645" s="6" t="str">
        <f t="shared" si="51"/>
        <v>Others</v>
      </c>
    </row>
    <row r="1646" spans="1:14" x14ac:dyDescent="0.35">
      <c r="A1646">
        <v>1387</v>
      </c>
      <c r="B1646" s="4">
        <v>45817.375085336993</v>
      </c>
      <c r="C1646" t="s">
        <v>12</v>
      </c>
      <c r="D1646" t="s">
        <v>21</v>
      </c>
      <c r="E1646" t="s">
        <v>23</v>
      </c>
      <c r="F1646">
        <v>4273.63</v>
      </c>
      <c r="G1646">
        <f t="array" ref="G1646">SalesData!$I$2 - 'RFM Table'!B1646</f>
        <v>319</v>
      </c>
      <c r="H1646">
        <f t="array" ref="H1646">COUNTIF(A:A,A1646)</f>
        <v>8</v>
      </c>
      <c r="I1646">
        <f t="array" ref="I1646">SUMIF(A:A,A1646,F:F)</f>
        <v>30848.15</v>
      </c>
      <c r="J1646">
        <f t="array" ref="J1646">5 - INT(5 * (RANK(G1646,G:G, 1) - 1) / COUNT(G:G))</f>
        <v>3</v>
      </c>
      <c r="K1646">
        <f t="array" ref="K1646">INT(5 * (RANK(H1646,H:H, 0) - 1) / COUNT(H:H)) + 1</f>
        <v>3</v>
      </c>
      <c r="L1646">
        <f t="array" ref="L1646">INT(5 * (RANK(I1646,I:I, 0) - 1) / COUNT(I:I)) + 1</f>
        <v>3</v>
      </c>
      <c r="M1646" t="str">
        <f t="shared" si="50"/>
        <v>333</v>
      </c>
      <c r="N1646" s="6" t="str">
        <f t="shared" si="51"/>
        <v>Others</v>
      </c>
    </row>
    <row r="1647" spans="1:14" x14ac:dyDescent="0.35">
      <c r="A1647">
        <v>1276</v>
      </c>
      <c r="B1647" s="4">
        <v>45817.375085336993</v>
      </c>
      <c r="C1647" t="s">
        <v>14</v>
      </c>
      <c r="D1647" t="s">
        <v>20</v>
      </c>
      <c r="E1647" t="s">
        <v>23</v>
      </c>
      <c r="F1647">
        <v>1807.85</v>
      </c>
      <c r="G1647">
        <f t="array" ref="G1647">SalesData!$I$2 - 'RFM Table'!B1647</f>
        <v>319</v>
      </c>
      <c r="H1647">
        <f t="array" ref="H1647">COUNTIF(A:A,A1647)</f>
        <v>11</v>
      </c>
      <c r="I1647">
        <f t="array" ref="I1647">SUMIF(A:A,A1647,F:F)</f>
        <v>38337.789999999994</v>
      </c>
      <c r="J1647">
        <f t="array" ref="J1647">5 - INT(5 * (RANK(G1647,G:G, 1) - 1) / COUNT(G:G))</f>
        <v>3</v>
      </c>
      <c r="K1647">
        <f t="array" ref="K1647">INT(5 * (RANK(H1647,H:H, 0) - 1) / COUNT(H:H)) + 1</f>
        <v>1</v>
      </c>
      <c r="L1647">
        <f t="array" ref="L1647">INT(5 * (RANK(I1647,I:I, 0) - 1) / COUNT(I:I)) + 1</f>
        <v>2</v>
      </c>
      <c r="M1647" t="str">
        <f t="shared" si="50"/>
        <v>312</v>
      </c>
      <c r="N1647" s="6" t="str">
        <f t="shared" si="51"/>
        <v>Others</v>
      </c>
    </row>
    <row r="1648" spans="1:14" x14ac:dyDescent="0.35">
      <c r="A1648">
        <v>1016</v>
      </c>
      <c r="B1648" s="4">
        <v>45817.375085336993</v>
      </c>
      <c r="C1648" t="s">
        <v>8</v>
      </c>
      <c r="D1648" t="s">
        <v>22</v>
      </c>
      <c r="E1648" t="s">
        <v>23</v>
      </c>
      <c r="F1648">
        <v>5124.53</v>
      </c>
      <c r="G1648">
        <f t="array" ref="G1648">SalesData!$I$2 - 'RFM Table'!B1648</f>
        <v>319</v>
      </c>
      <c r="H1648">
        <f t="array" ref="H1648">COUNTIF(A:A,A1648)</f>
        <v>9</v>
      </c>
      <c r="I1648">
        <f t="array" ref="I1648">SUMIF(A:A,A1648,F:F)</f>
        <v>37239.53</v>
      </c>
      <c r="J1648">
        <f t="array" ref="J1648">5 - INT(5 * (RANK(G1648,G:G, 1) - 1) / COUNT(G:G))</f>
        <v>3</v>
      </c>
      <c r="K1648">
        <f t="array" ref="K1648">INT(5 * (RANK(H1648,H:H, 0) - 1) / COUNT(H:H)) + 1</f>
        <v>2</v>
      </c>
      <c r="L1648">
        <f t="array" ref="L1648">INT(5 * (RANK(I1648,I:I, 0) - 1) / COUNT(I:I)) + 1</f>
        <v>2</v>
      </c>
      <c r="M1648" t="str">
        <f t="shared" si="50"/>
        <v>322</v>
      </c>
      <c r="N1648" s="6" t="str">
        <f t="shared" si="51"/>
        <v>Others</v>
      </c>
    </row>
    <row r="1649" spans="1:14" x14ac:dyDescent="0.35">
      <c r="A1649">
        <v>1329</v>
      </c>
      <c r="B1649" s="4">
        <v>45817.375085336993</v>
      </c>
      <c r="C1649" t="s">
        <v>6</v>
      </c>
      <c r="D1649" t="s">
        <v>19</v>
      </c>
      <c r="E1649" t="s">
        <v>24</v>
      </c>
      <c r="F1649">
        <v>5776.05</v>
      </c>
      <c r="G1649">
        <f t="array" ref="G1649">SalesData!$I$2 - 'RFM Table'!B1649</f>
        <v>319</v>
      </c>
      <c r="H1649">
        <f t="array" ref="H1649">COUNTIF(A:A,A1649)</f>
        <v>9</v>
      </c>
      <c r="I1649">
        <f t="array" ref="I1649">SUMIF(A:A,A1649,F:F)</f>
        <v>27881.53</v>
      </c>
      <c r="J1649">
        <f t="array" ref="J1649">5 - INT(5 * (RANK(G1649,G:G, 1) - 1) / COUNT(G:G))</f>
        <v>3</v>
      </c>
      <c r="K1649">
        <f t="array" ref="K1649">INT(5 * (RANK(H1649,H:H, 0) - 1) / COUNT(H:H)) + 1</f>
        <v>2</v>
      </c>
      <c r="L1649">
        <f t="array" ref="L1649">INT(5 * (RANK(I1649,I:I, 0) - 1) / COUNT(I:I)) + 1</f>
        <v>4</v>
      </c>
      <c r="M1649" t="str">
        <f t="shared" si="50"/>
        <v>324</v>
      </c>
      <c r="N1649" s="6" t="str">
        <f t="shared" si="51"/>
        <v>Others</v>
      </c>
    </row>
    <row r="1650" spans="1:14" x14ac:dyDescent="0.35">
      <c r="A1650">
        <v>1080</v>
      </c>
      <c r="B1650" s="4">
        <v>45817.375085336993</v>
      </c>
      <c r="C1650" t="s">
        <v>12</v>
      </c>
      <c r="D1650" t="s">
        <v>22</v>
      </c>
      <c r="E1650" t="s">
        <v>23</v>
      </c>
      <c r="F1650">
        <v>3675.47</v>
      </c>
      <c r="G1650">
        <f t="array" ref="G1650">SalesData!$I$2 - 'RFM Table'!B1650</f>
        <v>319</v>
      </c>
      <c r="H1650">
        <f t="array" ref="H1650">COUNTIF(A:A,A1650)</f>
        <v>7</v>
      </c>
      <c r="I1650">
        <f t="array" ref="I1650">SUMIF(A:A,A1650,F:F)</f>
        <v>28511.58</v>
      </c>
      <c r="J1650">
        <f t="array" ref="J1650">5 - INT(5 * (RANK(G1650,G:G, 1) - 1) / COUNT(G:G))</f>
        <v>3</v>
      </c>
      <c r="K1650">
        <f t="array" ref="K1650">INT(5 * (RANK(H1650,H:H, 0) - 1) / COUNT(H:H)) + 1</f>
        <v>4</v>
      </c>
      <c r="L1650">
        <f t="array" ref="L1650">INT(5 * (RANK(I1650,I:I, 0) - 1) / COUNT(I:I)) + 1</f>
        <v>4</v>
      </c>
      <c r="M1650" t="str">
        <f t="shared" si="50"/>
        <v>344</v>
      </c>
      <c r="N1650" s="6" t="str">
        <f t="shared" si="51"/>
        <v>Others</v>
      </c>
    </row>
    <row r="1651" spans="1:14" x14ac:dyDescent="0.35">
      <c r="A1651">
        <v>1319</v>
      </c>
      <c r="B1651" s="4">
        <v>45818.375085336993</v>
      </c>
      <c r="C1651" t="s">
        <v>10</v>
      </c>
      <c r="D1651" t="s">
        <v>19</v>
      </c>
      <c r="E1651" t="s">
        <v>25</v>
      </c>
      <c r="F1651">
        <v>7649.95</v>
      </c>
      <c r="G1651">
        <f t="array" ref="G1651">SalesData!$I$2 - 'RFM Table'!B1651</f>
        <v>318</v>
      </c>
      <c r="H1651">
        <f t="array" ref="H1651">COUNTIF(A:A,A1651)</f>
        <v>10</v>
      </c>
      <c r="I1651">
        <f t="array" ref="I1651">SUMIF(A:A,A1651,F:F)</f>
        <v>39681.960000000006</v>
      </c>
      <c r="J1651">
        <f t="array" ref="J1651">5 - INT(5 * (RANK(G1651,G:G, 1) - 1) / COUNT(G:G))</f>
        <v>3</v>
      </c>
      <c r="K1651">
        <f t="array" ref="K1651">INT(5 * (RANK(H1651,H:H, 0) - 1) / COUNT(H:H)) + 1</f>
        <v>2</v>
      </c>
      <c r="L1651">
        <f t="array" ref="L1651">INT(5 * (RANK(I1651,I:I, 0) - 1) / COUNT(I:I)) + 1</f>
        <v>2</v>
      </c>
      <c r="M1651" t="str">
        <f t="shared" si="50"/>
        <v>322</v>
      </c>
      <c r="N1651" s="6" t="str">
        <f t="shared" si="51"/>
        <v>Others</v>
      </c>
    </row>
    <row r="1652" spans="1:14" x14ac:dyDescent="0.35">
      <c r="A1652">
        <v>1014</v>
      </c>
      <c r="B1652" s="4">
        <v>45818.375085336993</v>
      </c>
      <c r="C1652" t="s">
        <v>12</v>
      </c>
      <c r="D1652" t="s">
        <v>17</v>
      </c>
      <c r="E1652" t="s">
        <v>24</v>
      </c>
      <c r="F1652">
        <v>1664.61</v>
      </c>
      <c r="G1652">
        <f t="array" ref="G1652">SalesData!$I$2 - 'RFM Table'!B1652</f>
        <v>318</v>
      </c>
      <c r="H1652">
        <f t="array" ref="H1652">COUNTIF(A:A,A1652)</f>
        <v>8</v>
      </c>
      <c r="I1652">
        <f t="array" ref="I1652">SUMIF(A:A,A1652,F:F)</f>
        <v>27090.329999999998</v>
      </c>
      <c r="J1652">
        <f t="array" ref="J1652">5 - INT(5 * (RANK(G1652,G:G, 1) - 1) / COUNT(G:G))</f>
        <v>3</v>
      </c>
      <c r="K1652">
        <f t="array" ref="K1652">INT(5 * (RANK(H1652,H:H, 0) - 1) / COUNT(H:H)) + 1</f>
        <v>3</v>
      </c>
      <c r="L1652">
        <f t="array" ref="L1652">INT(5 * (RANK(I1652,I:I, 0) - 1) / COUNT(I:I)) + 1</f>
        <v>4</v>
      </c>
      <c r="M1652" t="str">
        <f t="shared" si="50"/>
        <v>334</v>
      </c>
      <c r="N1652" s="6" t="str">
        <f t="shared" si="51"/>
        <v>Others</v>
      </c>
    </row>
    <row r="1653" spans="1:14" x14ac:dyDescent="0.35">
      <c r="A1653">
        <v>1169</v>
      </c>
      <c r="B1653" s="4">
        <v>45819.375085336993</v>
      </c>
      <c r="C1653" t="s">
        <v>13</v>
      </c>
      <c r="D1653" t="s">
        <v>22</v>
      </c>
      <c r="E1653" t="s">
        <v>23</v>
      </c>
      <c r="F1653">
        <v>5882.23</v>
      </c>
      <c r="G1653">
        <f t="array" ref="G1653">SalesData!$I$2 - 'RFM Table'!B1653</f>
        <v>317</v>
      </c>
      <c r="H1653">
        <f t="array" ref="H1653">COUNTIF(A:A,A1653)</f>
        <v>10</v>
      </c>
      <c r="I1653">
        <f t="array" ref="I1653">SUMIF(A:A,A1653,F:F)</f>
        <v>45640.06</v>
      </c>
      <c r="J1653">
        <f t="array" ref="J1653">5 - INT(5 * (RANK(G1653,G:G, 1) - 1) / COUNT(G:G))</f>
        <v>3</v>
      </c>
      <c r="K1653">
        <f t="array" ref="K1653">INT(5 * (RANK(H1653,H:H, 0) - 1) / COUNT(H:H)) + 1</f>
        <v>2</v>
      </c>
      <c r="L1653">
        <f t="array" ref="L1653">INT(5 * (RANK(I1653,I:I, 0) - 1) / COUNT(I:I)) + 1</f>
        <v>1</v>
      </c>
      <c r="M1653" t="str">
        <f t="shared" si="50"/>
        <v>321</v>
      </c>
      <c r="N1653" s="6" t="str">
        <f t="shared" si="51"/>
        <v>Others</v>
      </c>
    </row>
    <row r="1654" spans="1:14" x14ac:dyDescent="0.35">
      <c r="A1654">
        <v>1063</v>
      </c>
      <c r="B1654" s="4">
        <v>45819.375085336993</v>
      </c>
      <c r="C1654" t="s">
        <v>13</v>
      </c>
      <c r="D1654" t="s">
        <v>18</v>
      </c>
      <c r="E1654" t="s">
        <v>23</v>
      </c>
      <c r="F1654">
        <v>3425.81</v>
      </c>
      <c r="G1654">
        <f t="array" ref="G1654">SalesData!$I$2 - 'RFM Table'!B1654</f>
        <v>317</v>
      </c>
      <c r="H1654">
        <f t="array" ref="H1654">COUNTIF(A:A,A1654)</f>
        <v>3</v>
      </c>
      <c r="I1654">
        <f t="array" ref="I1654">SUMIF(A:A,A1654,F:F)</f>
        <v>16888.900000000001</v>
      </c>
      <c r="J1654">
        <f t="array" ref="J1654">5 - INT(5 * (RANK(G1654,G:G, 1) - 1) / COUNT(G:G))</f>
        <v>3</v>
      </c>
      <c r="K1654">
        <f t="array" ref="K1654">INT(5 * (RANK(H1654,H:H, 0) - 1) / COUNT(H:H)) + 1</f>
        <v>5</v>
      </c>
      <c r="L1654">
        <f t="array" ref="L1654">INT(5 * (RANK(I1654,I:I, 0) - 1) / COUNT(I:I)) + 1</f>
        <v>5</v>
      </c>
      <c r="M1654" t="str">
        <f t="shared" si="50"/>
        <v>355</v>
      </c>
      <c r="N1654" s="6" t="str">
        <f t="shared" si="51"/>
        <v>Others</v>
      </c>
    </row>
    <row r="1655" spans="1:14" x14ac:dyDescent="0.35">
      <c r="A1655">
        <v>1267</v>
      </c>
      <c r="B1655" s="4">
        <v>45819.375085336993</v>
      </c>
      <c r="C1655" t="s">
        <v>7</v>
      </c>
      <c r="D1655" t="s">
        <v>16</v>
      </c>
      <c r="E1655" t="s">
        <v>25</v>
      </c>
      <c r="F1655">
        <v>1339.54</v>
      </c>
      <c r="G1655">
        <f t="array" ref="G1655">SalesData!$I$2 - 'RFM Table'!B1655</f>
        <v>317</v>
      </c>
      <c r="H1655">
        <f t="array" ref="H1655">COUNTIF(A:A,A1655)</f>
        <v>9</v>
      </c>
      <c r="I1655">
        <f t="array" ref="I1655">SUMIF(A:A,A1655,F:F)</f>
        <v>39538.21</v>
      </c>
      <c r="J1655">
        <f t="array" ref="J1655">5 - INT(5 * (RANK(G1655,G:G, 1) - 1) / COUNT(G:G))</f>
        <v>3</v>
      </c>
      <c r="K1655">
        <f t="array" ref="K1655">INT(5 * (RANK(H1655,H:H, 0) - 1) / COUNT(H:H)) + 1</f>
        <v>2</v>
      </c>
      <c r="L1655">
        <f t="array" ref="L1655">INT(5 * (RANK(I1655,I:I, 0) - 1) / COUNT(I:I)) + 1</f>
        <v>2</v>
      </c>
      <c r="M1655" t="str">
        <f t="shared" si="50"/>
        <v>322</v>
      </c>
      <c r="N1655" s="6" t="str">
        <f t="shared" si="51"/>
        <v>Others</v>
      </c>
    </row>
    <row r="1656" spans="1:14" x14ac:dyDescent="0.35">
      <c r="A1656">
        <v>1234</v>
      </c>
      <c r="B1656" s="4">
        <v>45819.375085336993</v>
      </c>
      <c r="C1656" t="s">
        <v>6</v>
      </c>
      <c r="D1656" t="s">
        <v>21</v>
      </c>
      <c r="E1656" t="s">
        <v>23</v>
      </c>
      <c r="F1656">
        <v>1343.77</v>
      </c>
      <c r="G1656">
        <f t="array" ref="G1656">SalesData!$I$2 - 'RFM Table'!B1656</f>
        <v>317</v>
      </c>
      <c r="H1656">
        <f t="array" ref="H1656">COUNTIF(A:A,A1656)</f>
        <v>5</v>
      </c>
      <c r="I1656">
        <f t="array" ref="I1656">SUMIF(A:A,A1656,F:F)</f>
        <v>18834.370000000003</v>
      </c>
      <c r="J1656">
        <f t="array" ref="J1656">5 - INT(5 * (RANK(G1656,G:G, 1) - 1) / COUNT(G:G))</f>
        <v>3</v>
      </c>
      <c r="K1656">
        <f t="array" ref="K1656">INT(5 * (RANK(H1656,H:H, 0) - 1) / COUNT(H:H)) + 1</f>
        <v>5</v>
      </c>
      <c r="L1656">
        <f t="array" ref="L1656">INT(5 * (RANK(I1656,I:I, 0) - 1) / COUNT(I:I)) + 1</f>
        <v>5</v>
      </c>
      <c r="M1656" t="str">
        <f t="shared" si="50"/>
        <v>355</v>
      </c>
      <c r="N1656" s="6" t="str">
        <f t="shared" si="51"/>
        <v>Others</v>
      </c>
    </row>
    <row r="1657" spans="1:14" x14ac:dyDescent="0.35">
      <c r="A1657">
        <v>1207</v>
      </c>
      <c r="B1657" s="4">
        <v>45819.375085336993</v>
      </c>
      <c r="C1657" t="s">
        <v>10</v>
      </c>
      <c r="D1657" t="s">
        <v>21</v>
      </c>
      <c r="E1657" t="s">
        <v>23</v>
      </c>
      <c r="F1657">
        <v>2399.41</v>
      </c>
      <c r="G1657">
        <f t="array" ref="G1657">SalesData!$I$2 - 'RFM Table'!B1657</f>
        <v>317</v>
      </c>
      <c r="H1657">
        <f t="array" ref="H1657">COUNTIF(A:A,A1657)</f>
        <v>7</v>
      </c>
      <c r="I1657">
        <f t="array" ref="I1657">SUMIF(A:A,A1657,F:F)</f>
        <v>24204.07</v>
      </c>
      <c r="J1657">
        <f t="array" ref="J1657">5 - INT(5 * (RANK(G1657,G:G, 1) - 1) / COUNT(G:G))</f>
        <v>3</v>
      </c>
      <c r="K1657">
        <f t="array" ref="K1657">INT(5 * (RANK(H1657,H:H, 0) - 1) / COUNT(H:H)) + 1</f>
        <v>4</v>
      </c>
      <c r="L1657">
        <f t="array" ref="L1657">INT(5 * (RANK(I1657,I:I, 0) - 1) / COUNT(I:I)) + 1</f>
        <v>4</v>
      </c>
      <c r="M1657" t="str">
        <f t="shared" si="50"/>
        <v>344</v>
      </c>
      <c r="N1657" s="6" t="str">
        <f t="shared" si="51"/>
        <v>Others</v>
      </c>
    </row>
    <row r="1658" spans="1:14" x14ac:dyDescent="0.35">
      <c r="A1658">
        <v>1102</v>
      </c>
      <c r="B1658" s="4">
        <v>45819.375085336993</v>
      </c>
      <c r="C1658" t="s">
        <v>15</v>
      </c>
      <c r="D1658" t="s">
        <v>18</v>
      </c>
      <c r="E1658" t="s">
        <v>23</v>
      </c>
      <c r="F1658">
        <v>7186.83</v>
      </c>
      <c r="G1658">
        <f t="array" ref="G1658">SalesData!$I$2 - 'RFM Table'!B1658</f>
        <v>317</v>
      </c>
      <c r="H1658">
        <f t="array" ref="H1658">COUNTIF(A:A,A1658)</f>
        <v>7</v>
      </c>
      <c r="I1658">
        <f t="array" ref="I1658">SUMIF(A:A,A1658,F:F)</f>
        <v>29725.939999999995</v>
      </c>
      <c r="J1658">
        <f t="array" ref="J1658">5 - INT(5 * (RANK(G1658,G:G, 1) - 1) / COUNT(G:G))</f>
        <v>3</v>
      </c>
      <c r="K1658">
        <f t="array" ref="K1658">INT(5 * (RANK(H1658,H:H, 0) - 1) / COUNT(H:H)) + 1</f>
        <v>4</v>
      </c>
      <c r="L1658">
        <f t="array" ref="L1658">INT(5 * (RANK(I1658,I:I, 0) - 1) / COUNT(I:I)) + 1</f>
        <v>3</v>
      </c>
      <c r="M1658" t="str">
        <f t="shared" si="50"/>
        <v>343</v>
      </c>
      <c r="N1658" s="6" t="str">
        <f t="shared" si="51"/>
        <v>Others</v>
      </c>
    </row>
    <row r="1659" spans="1:14" x14ac:dyDescent="0.35">
      <c r="A1659">
        <v>1222</v>
      </c>
      <c r="B1659" s="4">
        <v>45819.375085336993</v>
      </c>
      <c r="C1659" t="s">
        <v>10</v>
      </c>
      <c r="D1659" t="s">
        <v>20</v>
      </c>
      <c r="E1659" t="s">
        <v>23</v>
      </c>
      <c r="F1659">
        <v>1773.34</v>
      </c>
      <c r="G1659">
        <f t="array" ref="G1659">SalesData!$I$2 - 'RFM Table'!B1659</f>
        <v>317</v>
      </c>
      <c r="H1659">
        <f t="array" ref="H1659">COUNTIF(A:A,A1659)</f>
        <v>12</v>
      </c>
      <c r="I1659">
        <f t="array" ref="I1659">SUMIF(A:A,A1659,F:F)</f>
        <v>45191.609999999993</v>
      </c>
      <c r="J1659">
        <f t="array" ref="J1659">5 - INT(5 * (RANK(G1659,G:G, 1) - 1) / COUNT(G:G))</f>
        <v>3</v>
      </c>
      <c r="K1659">
        <f t="array" ref="K1659">INT(5 * (RANK(H1659,H:H, 0) - 1) / COUNT(H:H)) + 1</f>
        <v>1</v>
      </c>
      <c r="L1659">
        <f t="array" ref="L1659">INT(5 * (RANK(I1659,I:I, 0) - 1) / COUNT(I:I)) + 1</f>
        <v>1</v>
      </c>
      <c r="M1659" t="str">
        <f t="shared" si="50"/>
        <v>311</v>
      </c>
      <c r="N1659" s="6" t="str">
        <f t="shared" si="51"/>
        <v>Others</v>
      </c>
    </row>
    <row r="1660" spans="1:14" x14ac:dyDescent="0.35">
      <c r="A1660">
        <v>1353</v>
      </c>
      <c r="B1660" s="4">
        <v>45820.375085336993</v>
      </c>
      <c r="C1660" t="s">
        <v>11</v>
      </c>
      <c r="D1660" t="s">
        <v>21</v>
      </c>
      <c r="E1660" t="s">
        <v>23</v>
      </c>
      <c r="F1660">
        <v>8668.02</v>
      </c>
      <c r="G1660">
        <f t="array" ref="G1660">SalesData!$I$2 - 'RFM Table'!B1660</f>
        <v>316</v>
      </c>
      <c r="H1660">
        <f t="array" ref="H1660">COUNTIF(A:A,A1660)</f>
        <v>7</v>
      </c>
      <c r="I1660">
        <f t="array" ref="I1660">SUMIF(A:A,A1660,F:F)</f>
        <v>29446.02</v>
      </c>
      <c r="J1660">
        <f t="array" ref="J1660">5 - INT(5 * (RANK(G1660,G:G, 1) - 1) / COUNT(G:G))</f>
        <v>3</v>
      </c>
      <c r="K1660">
        <f t="array" ref="K1660">INT(5 * (RANK(H1660,H:H, 0) - 1) / COUNT(H:H)) + 1</f>
        <v>4</v>
      </c>
      <c r="L1660">
        <f t="array" ref="L1660">INT(5 * (RANK(I1660,I:I, 0) - 1) / COUNT(I:I)) + 1</f>
        <v>4</v>
      </c>
      <c r="M1660" t="str">
        <f t="shared" si="50"/>
        <v>344</v>
      </c>
      <c r="N1660" s="6" t="str">
        <f t="shared" si="51"/>
        <v>Others</v>
      </c>
    </row>
    <row r="1661" spans="1:14" x14ac:dyDescent="0.35">
      <c r="A1661">
        <v>1379</v>
      </c>
      <c r="B1661" s="4">
        <v>45820.375085336993</v>
      </c>
      <c r="C1661" t="s">
        <v>13</v>
      </c>
      <c r="D1661" t="s">
        <v>17</v>
      </c>
      <c r="E1661" t="s">
        <v>25</v>
      </c>
      <c r="F1661">
        <v>2126.4</v>
      </c>
      <c r="G1661">
        <f t="array" ref="G1661">SalesData!$I$2 - 'RFM Table'!B1661</f>
        <v>316</v>
      </c>
      <c r="H1661">
        <f t="array" ref="H1661">COUNTIF(A:A,A1661)</f>
        <v>10</v>
      </c>
      <c r="I1661">
        <f t="array" ref="I1661">SUMIF(A:A,A1661,F:F)</f>
        <v>33545.49</v>
      </c>
      <c r="J1661">
        <f t="array" ref="J1661">5 - INT(5 * (RANK(G1661,G:G, 1) - 1) / COUNT(G:G))</f>
        <v>3</v>
      </c>
      <c r="K1661">
        <f t="array" ref="K1661">INT(5 * (RANK(H1661,H:H, 0) - 1) / COUNT(H:H)) + 1</f>
        <v>2</v>
      </c>
      <c r="L1661">
        <f t="array" ref="L1661">INT(5 * (RANK(I1661,I:I, 0) - 1) / COUNT(I:I)) + 1</f>
        <v>3</v>
      </c>
      <c r="M1661" t="str">
        <f t="shared" si="50"/>
        <v>323</v>
      </c>
      <c r="N1661" s="6" t="str">
        <f t="shared" si="51"/>
        <v>Others</v>
      </c>
    </row>
    <row r="1662" spans="1:14" x14ac:dyDescent="0.35">
      <c r="A1662">
        <v>1242</v>
      </c>
      <c r="B1662" s="4">
        <v>45820.375085336993</v>
      </c>
      <c r="C1662" t="s">
        <v>13</v>
      </c>
      <c r="D1662" t="s">
        <v>16</v>
      </c>
      <c r="E1662" t="s">
        <v>24</v>
      </c>
      <c r="F1662">
        <v>1577.42</v>
      </c>
      <c r="G1662">
        <f t="array" ref="G1662">SalesData!$I$2 - 'RFM Table'!B1662</f>
        <v>316</v>
      </c>
      <c r="H1662">
        <f t="array" ref="H1662">COUNTIF(A:A,A1662)</f>
        <v>8</v>
      </c>
      <c r="I1662">
        <f t="array" ref="I1662">SUMIF(A:A,A1662,F:F)</f>
        <v>26424.119999999995</v>
      </c>
      <c r="J1662">
        <f t="array" ref="J1662">5 - INT(5 * (RANK(G1662,G:G, 1) - 1) / COUNT(G:G))</f>
        <v>3</v>
      </c>
      <c r="K1662">
        <f t="array" ref="K1662">INT(5 * (RANK(H1662,H:H, 0) - 1) / COUNT(H:H)) + 1</f>
        <v>3</v>
      </c>
      <c r="L1662">
        <f t="array" ref="L1662">INT(5 * (RANK(I1662,I:I, 0) - 1) / COUNT(I:I)) + 1</f>
        <v>4</v>
      </c>
      <c r="M1662" t="str">
        <f t="shared" si="50"/>
        <v>334</v>
      </c>
      <c r="N1662" s="6" t="str">
        <f t="shared" si="51"/>
        <v>Others</v>
      </c>
    </row>
    <row r="1663" spans="1:14" x14ac:dyDescent="0.35">
      <c r="A1663">
        <v>1313</v>
      </c>
      <c r="B1663" s="4">
        <v>45821.375085336993</v>
      </c>
      <c r="C1663" t="s">
        <v>11</v>
      </c>
      <c r="D1663" t="s">
        <v>18</v>
      </c>
      <c r="E1663" t="s">
        <v>25</v>
      </c>
      <c r="F1663">
        <v>1998.81</v>
      </c>
      <c r="G1663">
        <f t="array" ref="G1663">SalesData!$I$2 - 'RFM Table'!B1663</f>
        <v>315</v>
      </c>
      <c r="H1663">
        <f t="array" ref="H1663">COUNTIF(A:A,A1663)</f>
        <v>9</v>
      </c>
      <c r="I1663">
        <f t="array" ref="I1663">SUMIF(A:A,A1663,F:F)</f>
        <v>35759.83</v>
      </c>
      <c r="J1663">
        <f t="array" ref="J1663">5 - INT(5 * (RANK(G1663,G:G, 1) - 1) / COUNT(G:G))</f>
        <v>3</v>
      </c>
      <c r="K1663">
        <f t="array" ref="K1663">INT(5 * (RANK(H1663,H:H, 0) - 1) / COUNT(H:H)) + 1</f>
        <v>2</v>
      </c>
      <c r="L1663">
        <f t="array" ref="L1663">INT(5 * (RANK(I1663,I:I, 0) - 1) / COUNT(I:I)) + 1</f>
        <v>3</v>
      </c>
      <c r="M1663" t="str">
        <f t="shared" si="50"/>
        <v>323</v>
      </c>
      <c r="N1663" s="6" t="str">
        <f t="shared" si="51"/>
        <v>Others</v>
      </c>
    </row>
    <row r="1664" spans="1:14" x14ac:dyDescent="0.35">
      <c r="A1664">
        <v>1364</v>
      </c>
      <c r="B1664" s="4">
        <v>45821.375085336993</v>
      </c>
      <c r="C1664" t="s">
        <v>13</v>
      </c>
      <c r="D1664" t="s">
        <v>22</v>
      </c>
      <c r="E1664" t="s">
        <v>25</v>
      </c>
      <c r="F1664">
        <v>4426.9799999999996</v>
      </c>
      <c r="G1664">
        <f t="array" ref="G1664">SalesData!$I$2 - 'RFM Table'!B1664</f>
        <v>315</v>
      </c>
      <c r="H1664">
        <f t="array" ref="H1664">COUNTIF(A:A,A1664)</f>
        <v>11</v>
      </c>
      <c r="I1664">
        <f t="array" ref="I1664">SUMIF(A:A,A1664,F:F)</f>
        <v>39674.43</v>
      </c>
      <c r="J1664">
        <f t="array" ref="J1664">5 - INT(5 * (RANK(G1664,G:G, 1) - 1) / COUNT(G:G))</f>
        <v>3</v>
      </c>
      <c r="K1664">
        <f t="array" ref="K1664">INT(5 * (RANK(H1664,H:H, 0) - 1) / COUNT(H:H)) + 1</f>
        <v>1</v>
      </c>
      <c r="L1664">
        <f t="array" ref="L1664">INT(5 * (RANK(I1664,I:I, 0) - 1) / COUNT(I:I)) + 1</f>
        <v>2</v>
      </c>
      <c r="M1664" t="str">
        <f t="shared" si="50"/>
        <v>312</v>
      </c>
      <c r="N1664" s="6" t="str">
        <f t="shared" si="51"/>
        <v>Others</v>
      </c>
    </row>
    <row r="1665" spans="1:14" x14ac:dyDescent="0.35">
      <c r="A1665">
        <v>1382</v>
      </c>
      <c r="B1665" s="4">
        <v>45821.375085336993</v>
      </c>
      <c r="C1665" t="s">
        <v>13</v>
      </c>
      <c r="D1665" t="s">
        <v>18</v>
      </c>
      <c r="E1665" t="s">
        <v>23</v>
      </c>
      <c r="F1665">
        <v>475.24</v>
      </c>
      <c r="G1665">
        <f t="array" ref="G1665">SalesData!$I$2 - 'RFM Table'!B1665</f>
        <v>315</v>
      </c>
      <c r="H1665">
        <f t="array" ref="H1665">COUNTIF(A:A,A1665)</f>
        <v>3</v>
      </c>
      <c r="I1665">
        <f t="array" ref="I1665">SUMIF(A:A,A1665,F:F)</f>
        <v>6049.44</v>
      </c>
      <c r="J1665">
        <f t="array" ref="J1665">5 - INT(5 * (RANK(G1665,G:G, 1) - 1) / COUNT(G:G))</f>
        <v>3</v>
      </c>
      <c r="K1665">
        <f t="array" ref="K1665">INT(5 * (RANK(H1665,H:H, 0) - 1) / COUNT(H:H)) + 1</f>
        <v>5</v>
      </c>
      <c r="L1665">
        <f t="array" ref="L1665">INT(5 * (RANK(I1665,I:I, 0) - 1) / COUNT(I:I)) + 1</f>
        <v>5</v>
      </c>
      <c r="M1665" t="str">
        <f t="shared" si="50"/>
        <v>355</v>
      </c>
      <c r="N1665" s="6" t="str">
        <f t="shared" si="51"/>
        <v>Others</v>
      </c>
    </row>
    <row r="1666" spans="1:14" x14ac:dyDescent="0.35">
      <c r="A1666">
        <v>1301</v>
      </c>
      <c r="B1666" s="4">
        <v>45821.375085336993</v>
      </c>
      <c r="C1666" t="s">
        <v>7</v>
      </c>
      <c r="D1666" t="s">
        <v>16</v>
      </c>
      <c r="E1666" t="s">
        <v>25</v>
      </c>
      <c r="F1666">
        <v>8734.5</v>
      </c>
      <c r="G1666">
        <f t="array" ref="G1666">SalesData!$I$2 - 'RFM Table'!B1666</f>
        <v>315</v>
      </c>
      <c r="H1666">
        <f t="array" ref="H1666">COUNTIF(A:A,A1666)</f>
        <v>12</v>
      </c>
      <c r="I1666">
        <f t="array" ref="I1666">SUMIF(A:A,A1666,F:F)</f>
        <v>44897.450000000004</v>
      </c>
      <c r="J1666">
        <f t="array" ref="J1666">5 - INT(5 * (RANK(G1666,G:G, 1) - 1) / COUNT(G:G))</f>
        <v>3</v>
      </c>
      <c r="K1666">
        <f t="array" ref="K1666">INT(5 * (RANK(H1666,H:H, 0) - 1) / COUNT(H:H)) + 1</f>
        <v>1</v>
      </c>
      <c r="L1666">
        <f t="array" ref="L1666">INT(5 * (RANK(I1666,I:I, 0) - 1) / COUNT(I:I)) + 1</f>
        <v>1</v>
      </c>
      <c r="M1666" t="str">
        <f t="shared" si="50"/>
        <v>311</v>
      </c>
      <c r="N1666" s="6" t="str">
        <f t="shared" si="51"/>
        <v>Others</v>
      </c>
    </row>
    <row r="1667" spans="1:14" x14ac:dyDescent="0.35">
      <c r="A1667">
        <v>1336</v>
      </c>
      <c r="B1667" s="4">
        <v>45821.375085336993</v>
      </c>
      <c r="C1667" t="s">
        <v>15</v>
      </c>
      <c r="D1667" t="s">
        <v>21</v>
      </c>
      <c r="E1667" t="s">
        <v>24</v>
      </c>
      <c r="F1667">
        <v>6704.42</v>
      </c>
      <c r="G1667">
        <f t="array" ref="G1667">SalesData!$I$2 - 'RFM Table'!B1667</f>
        <v>315</v>
      </c>
      <c r="H1667">
        <f t="array" ref="H1667">COUNTIF(A:A,A1667)</f>
        <v>6</v>
      </c>
      <c r="I1667">
        <f t="array" ref="I1667">SUMIF(A:A,A1667,F:F)</f>
        <v>27182.68</v>
      </c>
      <c r="J1667">
        <f t="array" ref="J1667">5 - INT(5 * (RANK(G1667,G:G, 1) - 1) / COUNT(G:G))</f>
        <v>3</v>
      </c>
      <c r="K1667">
        <f t="array" ref="K1667">INT(5 * (RANK(H1667,H:H, 0) - 1) / COUNT(H:H)) + 1</f>
        <v>4</v>
      </c>
      <c r="L1667">
        <f t="array" ref="L1667">INT(5 * (RANK(I1667,I:I, 0) - 1) / COUNT(I:I)) + 1</f>
        <v>4</v>
      </c>
      <c r="M1667" t="str">
        <f t="shared" ref="M1667:M1730" si="52">J1667 &amp; K1667 &amp; L1667</f>
        <v>344</v>
      </c>
      <c r="N1667" s="6" t="str">
        <f t="shared" ref="N1667:N1730" si="53">IF(AND(J1667&gt;=4,K1667&lt;=2),"New Customers",
IF(AND(J1667&lt;=2,K1667&gt;=3,L1667&gt;=3),"At Risk",
IF(AND(J1667&lt;=2,K1667&lt;=2,L1667&gt;=3),"Can't Lose Them",
IF(AND(J1667&lt;=2,K1667&lt;=2,L1667&lt;=2),"Lost",
"Others"))))</f>
        <v>Others</v>
      </c>
    </row>
    <row r="1668" spans="1:14" x14ac:dyDescent="0.35">
      <c r="A1668">
        <v>1191</v>
      </c>
      <c r="B1668" s="4">
        <v>45822.375085336993</v>
      </c>
      <c r="C1668" t="s">
        <v>6</v>
      </c>
      <c r="D1668" t="s">
        <v>17</v>
      </c>
      <c r="E1668" t="s">
        <v>24</v>
      </c>
      <c r="F1668">
        <v>2403.2399999999998</v>
      </c>
      <c r="G1668">
        <f t="array" ref="G1668">SalesData!$I$2 - 'RFM Table'!B1668</f>
        <v>314</v>
      </c>
      <c r="H1668">
        <f t="array" ref="H1668">COUNTIF(A:A,A1668)</f>
        <v>11</v>
      </c>
      <c r="I1668">
        <f t="array" ref="I1668">SUMIF(A:A,A1668,F:F)</f>
        <v>30527.53</v>
      </c>
      <c r="J1668">
        <f t="array" ref="J1668">5 - INT(5 * (RANK(G1668,G:G, 1) - 1) / COUNT(G:G))</f>
        <v>3</v>
      </c>
      <c r="K1668">
        <f t="array" ref="K1668">INT(5 * (RANK(H1668,H:H, 0) - 1) / COUNT(H:H)) + 1</f>
        <v>1</v>
      </c>
      <c r="L1668">
        <f t="array" ref="L1668">INT(5 * (RANK(I1668,I:I, 0) - 1) / COUNT(I:I)) + 1</f>
        <v>3</v>
      </c>
      <c r="M1668" t="str">
        <f t="shared" si="52"/>
        <v>313</v>
      </c>
      <c r="N1668" s="6" t="str">
        <f t="shared" si="53"/>
        <v>Others</v>
      </c>
    </row>
    <row r="1669" spans="1:14" x14ac:dyDescent="0.35">
      <c r="A1669">
        <v>1074</v>
      </c>
      <c r="B1669" s="4">
        <v>45822.375085336993</v>
      </c>
      <c r="C1669" t="s">
        <v>15</v>
      </c>
      <c r="D1669" t="s">
        <v>21</v>
      </c>
      <c r="E1669" t="s">
        <v>23</v>
      </c>
      <c r="F1669">
        <v>1509.59</v>
      </c>
      <c r="G1669">
        <f t="array" ref="G1669">SalesData!$I$2 - 'RFM Table'!B1669</f>
        <v>314</v>
      </c>
      <c r="H1669">
        <f t="array" ref="H1669">COUNTIF(A:A,A1669)</f>
        <v>8</v>
      </c>
      <c r="I1669">
        <f t="array" ref="I1669">SUMIF(A:A,A1669,F:F)</f>
        <v>23394.15</v>
      </c>
      <c r="J1669">
        <f t="array" ref="J1669">5 - INT(5 * (RANK(G1669,G:G, 1) - 1) / COUNT(G:G))</f>
        <v>3</v>
      </c>
      <c r="K1669">
        <f t="array" ref="K1669">INT(5 * (RANK(H1669,H:H, 0) - 1) / COUNT(H:H)) + 1</f>
        <v>3</v>
      </c>
      <c r="L1669">
        <f t="array" ref="L1669">INT(5 * (RANK(I1669,I:I, 0) - 1) / COUNT(I:I)) + 1</f>
        <v>4</v>
      </c>
      <c r="M1669" t="str">
        <f t="shared" si="52"/>
        <v>334</v>
      </c>
      <c r="N1669" s="6" t="str">
        <f t="shared" si="53"/>
        <v>Others</v>
      </c>
    </row>
    <row r="1670" spans="1:14" x14ac:dyDescent="0.35">
      <c r="A1670">
        <v>1225</v>
      </c>
      <c r="B1670" s="4">
        <v>45822.375085336993</v>
      </c>
      <c r="C1670" t="s">
        <v>13</v>
      </c>
      <c r="D1670" t="s">
        <v>18</v>
      </c>
      <c r="E1670" t="s">
        <v>24</v>
      </c>
      <c r="F1670">
        <v>1406.97</v>
      </c>
      <c r="G1670">
        <f t="array" ref="G1670">SalesData!$I$2 - 'RFM Table'!B1670</f>
        <v>314</v>
      </c>
      <c r="H1670">
        <f t="array" ref="H1670">COUNTIF(A:A,A1670)</f>
        <v>12</v>
      </c>
      <c r="I1670">
        <f t="array" ref="I1670">SUMIF(A:A,A1670,F:F)</f>
        <v>42930.969999999994</v>
      </c>
      <c r="J1670">
        <f t="array" ref="J1670">5 - INT(5 * (RANK(G1670,G:G, 1) - 1) / COUNT(G:G))</f>
        <v>3</v>
      </c>
      <c r="K1670">
        <f t="array" ref="K1670">INT(5 * (RANK(H1670,H:H, 0) - 1) / COUNT(H:H)) + 1</f>
        <v>1</v>
      </c>
      <c r="L1670">
        <f t="array" ref="L1670">INT(5 * (RANK(I1670,I:I, 0) - 1) / COUNT(I:I)) + 1</f>
        <v>2</v>
      </c>
      <c r="M1670" t="str">
        <f t="shared" si="52"/>
        <v>312</v>
      </c>
      <c r="N1670" s="6" t="str">
        <f t="shared" si="53"/>
        <v>Others</v>
      </c>
    </row>
    <row r="1671" spans="1:14" x14ac:dyDescent="0.35">
      <c r="A1671">
        <v>1008</v>
      </c>
      <c r="B1671" s="4">
        <v>45823.375085336993</v>
      </c>
      <c r="C1671" t="s">
        <v>7</v>
      </c>
      <c r="D1671" t="s">
        <v>22</v>
      </c>
      <c r="E1671" t="s">
        <v>23</v>
      </c>
      <c r="F1671">
        <v>3782.77</v>
      </c>
      <c r="G1671">
        <f t="array" ref="G1671">SalesData!$I$2 - 'RFM Table'!B1671</f>
        <v>313</v>
      </c>
      <c r="H1671">
        <f t="array" ref="H1671">COUNTIF(A:A,A1671)</f>
        <v>9</v>
      </c>
      <c r="I1671">
        <f t="array" ref="I1671">SUMIF(A:A,A1671,F:F)</f>
        <v>32548.37</v>
      </c>
      <c r="J1671">
        <f t="array" ref="J1671">5 - INT(5 * (RANK(G1671,G:G, 1) - 1) / COUNT(G:G))</f>
        <v>3</v>
      </c>
      <c r="K1671">
        <f t="array" ref="K1671">INT(5 * (RANK(H1671,H:H, 0) - 1) / COUNT(H:H)) + 1</f>
        <v>2</v>
      </c>
      <c r="L1671">
        <f t="array" ref="L1671">INT(5 * (RANK(I1671,I:I, 0) - 1) / COUNT(I:I)) + 1</f>
        <v>3</v>
      </c>
      <c r="M1671" t="str">
        <f t="shared" si="52"/>
        <v>323</v>
      </c>
      <c r="N1671" s="6" t="str">
        <f t="shared" si="53"/>
        <v>Others</v>
      </c>
    </row>
    <row r="1672" spans="1:14" x14ac:dyDescent="0.35">
      <c r="A1672">
        <v>1152</v>
      </c>
      <c r="B1672" s="4">
        <v>45824.375085336993</v>
      </c>
      <c r="C1672" t="s">
        <v>6</v>
      </c>
      <c r="D1672" t="s">
        <v>18</v>
      </c>
      <c r="E1672" t="s">
        <v>24</v>
      </c>
      <c r="F1672">
        <v>5429.31</v>
      </c>
      <c r="G1672">
        <f t="array" ref="G1672">SalesData!$I$2 - 'RFM Table'!B1672</f>
        <v>312</v>
      </c>
      <c r="H1672">
        <f t="array" ref="H1672">COUNTIF(A:A,A1672)</f>
        <v>9</v>
      </c>
      <c r="I1672">
        <f t="array" ref="I1672">SUMIF(A:A,A1672,F:F)</f>
        <v>34982.139999999992</v>
      </c>
      <c r="J1672">
        <f t="array" ref="J1672">5 - INT(5 * (RANK(G1672,G:G, 1) - 1) / COUNT(G:G))</f>
        <v>3</v>
      </c>
      <c r="K1672">
        <f t="array" ref="K1672">INT(5 * (RANK(H1672,H:H, 0) - 1) / COUNT(H:H)) + 1</f>
        <v>2</v>
      </c>
      <c r="L1672">
        <f t="array" ref="L1672">INT(5 * (RANK(I1672,I:I, 0) - 1) / COUNT(I:I)) + 1</f>
        <v>3</v>
      </c>
      <c r="M1672" t="str">
        <f t="shared" si="52"/>
        <v>323</v>
      </c>
      <c r="N1672" s="6" t="str">
        <f t="shared" si="53"/>
        <v>Others</v>
      </c>
    </row>
    <row r="1673" spans="1:14" x14ac:dyDescent="0.35">
      <c r="A1673">
        <v>1388</v>
      </c>
      <c r="B1673" s="4">
        <v>45824.375085336993</v>
      </c>
      <c r="C1673" t="s">
        <v>15</v>
      </c>
      <c r="D1673" t="s">
        <v>22</v>
      </c>
      <c r="E1673" t="s">
        <v>25</v>
      </c>
      <c r="F1673">
        <v>7509.13</v>
      </c>
      <c r="G1673">
        <f t="array" ref="G1673">SalesData!$I$2 - 'RFM Table'!B1673</f>
        <v>312</v>
      </c>
      <c r="H1673">
        <f t="array" ref="H1673">COUNTIF(A:A,A1673)</f>
        <v>4</v>
      </c>
      <c r="I1673">
        <f t="array" ref="I1673">SUMIF(A:A,A1673,F:F)</f>
        <v>16140.15</v>
      </c>
      <c r="J1673">
        <f t="array" ref="J1673">5 - INT(5 * (RANK(G1673,G:G, 1) - 1) / COUNT(G:G))</f>
        <v>3</v>
      </c>
      <c r="K1673">
        <f t="array" ref="K1673">INT(5 * (RANK(H1673,H:H, 0) - 1) / COUNT(H:H)) + 1</f>
        <v>5</v>
      </c>
      <c r="L1673">
        <f t="array" ref="L1673">INT(5 * (RANK(I1673,I:I, 0) - 1) / COUNT(I:I)) + 1</f>
        <v>5</v>
      </c>
      <c r="M1673" t="str">
        <f t="shared" si="52"/>
        <v>355</v>
      </c>
      <c r="N1673" s="6" t="str">
        <f t="shared" si="53"/>
        <v>Others</v>
      </c>
    </row>
    <row r="1674" spans="1:14" x14ac:dyDescent="0.35">
      <c r="A1674">
        <v>1056</v>
      </c>
      <c r="B1674" s="4">
        <v>45824.375085336993</v>
      </c>
      <c r="C1674" t="s">
        <v>13</v>
      </c>
      <c r="D1674" t="s">
        <v>20</v>
      </c>
      <c r="E1674" t="s">
        <v>25</v>
      </c>
      <c r="F1674">
        <v>4077.14</v>
      </c>
      <c r="G1674">
        <f t="array" ref="G1674">SalesData!$I$2 - 'RFM Table'!B1674</f>
        <v>312</v>
      </c>
      <c r="H1674">
        <f t="array" ref="H1674">COUNTIF(A:A,A1674)</f>
        <v>3</v>
      </c>
      <c r="I1674">
        <f t="array" ref="I1674">SUMIF(A:A,A1674,F:F)</f>
        <v>7049.0300000000007</v>
      </c>
      <c r="J1674">
        <f t="array" ref="J1674">5 - INT(5 * (RANK(G1674,G:G, 1) - 1) / COUNT(G:G))</f>
        <v>3</v>
      </c>
      <c r="K1674">
        <f t="array" ref="K1674">INT(5 * (RANK(H1674,H:H, 0) - 1) / COUNT(H:H)) + 1</f>
        <v>5</v>
      </c>
      <c r="L1674">
        <f t="array" ref="L1674">INT(5 * (RANK(I1674,I:I, 0) - 1) / COUNT(I:I)) + 1</f>
        <v>5</v>
      </c>
      <c r="M1674" t="str">
        <f t="shared" si="52"/>
        <v>355</v>
      </c>
      <c r="N1674" s="6" t="str">
        <f t="shared" si="53"/>
        <v>Others</v>
      </c>
    </row>
    <row r="1675" spans="1:14" x14ac:dyDescent="0.35">
      <c r="A1675">
        <v>1356</v>
      </c>
      <c r="B1675" s="4">
        <v>45824.375085336993</v>
      </c>
      <c r="C1675" t="s">
        <v>11</v>
      </c>
      <c r="D1675" t="s">
        <v>17</v>
      </c>
      <c r="E1675" t="s">
        <v>24</v>
      </c>
      <c r="F1675">
        <v>6725.99</v>
      </c>
      <c r="G1675">
        <f t="array" ref="G1675">SalesData!$I$2 - 'RFM Table'!B1675</f>
        <v>312</v>
      </c>
      <c r="H1675">
        <f t="array" ref="H1675">COUNTIF(A:A,A1675)</f>
        <v>5</v>
      </c>
      <c r="I1675">
        <f t="array" ref="I1675">SUMIF(A:A,A1675,F:F)</f>
        <v>19401.64</v>
      </c>
      <c r="J1675">
        <f t="array" ref="J1675">5 - INT(5 * (RANK(G1675,G:G, 1) - 1) / COUNT(G:G))</f>
        <v>3</v>
      </c>
      <c r="K1675">
        <f t="array" ref="K1675">INT(5 * (RANK(H1675,H:H, 0) - 1) / COUNT(H:H)) + 1</f>
        <v>5</v>
      </c>
      <c r="L1675">
        <f t="array" ref="L1675">INT(5 * (RANK(I1675,I:I, 0) - 1) / COUNT(I:I)) + 1</f>
        <v>5</v>
      </c>
      <c r="M1675" t="str">
        <f t="shared" si="52"/>
        <v>355</v>
      </c>
      <c r="N1675" s="6" t="str">
        <f t="shared" si="53"/>
        <v>Others</v>
      </c>
    </row>
    <row r="1676" spans="1:14" x14ac:dyDescent="0.35">
      <c r="A1676">
        <v>1339</v>
      </c>
      <c r="B1676" s="4">
        <v>45824.375085336993</v>
      </c>
      <c r="C1676" t="s">
        <v>7</v>
      </c>
      <c r="D1676" t="s">
        <v>19</v>
      </c>
      <c r="E1676" t="s">
        <v>23</v>
      </c>
      <c r="F1676">
        <v>3205.57</v>
      </c>
      <c r="G1676">
        <f t="array" ref="G1676">SalesData!$I$2 - 'RFM Table'!B1676</f>
        <v>312</v>
      </c>
      <c r="H1676">
        <f t="array" ref="H1676">COUNTIF(A:A,A1676)</f>
        <v>8</v>
      </c>
      <c r="I1676">
        <f t="array" ref="I1676">SUMIF(A:A,A1676,F:F)</f>
        <v>30873.260000000002</v>
      </c>
      <c r="J1676">
        <f t="array" ref="J1676">5 - INT(5 * (RANK(G1676,G:G, 1) - 1) / COUNT(G:G))</f>
        <v>3</v>
      </c>
      <c r="K1676">
        <f t="array" ref="K1676">INT(5 * (RANK(H1676,H:H, 0) - 1) / COUNT(H:H)) + 1</f>
        <v>3</v>
      </c>
      <c r="L1676">
        <f t="array" ref="L1676">INT(5 * (RANK(I1676,I:I, 0) - 1) / COUNT(I:I)) + 1</f>
        <v>3</v>
      </c>
      <c r="M1676" t="str">
        <f t="shared" si="52"/>
        <v>333</v>
      </c>
      <c r="N1676" s="6" t="str">
        <f t="shared" si="53"/>
        <v>Others</v>
      </c>
    </row>
    <row r="1677" spans="1:14" x14ac:dyDescent="0.35">
      <c r="A1677">
        <v>1313</v>
      </c>
      <c r="B1677" s="4">
        <v>45824.375085336993</v>
      </c>
      <c r="C1677" t="s">
        <v>9</v>
      </c>
      <c r="D1677" t="s">
        <v>19</v>
      </c>
      <c r="E1677" t="s">
        <v>25</v>
      </c>
      <c r="F1677">
        <v>2898.86</v>
      </c>
      <c r="G1677">
        <f t="array" ref="G1677">SalesData!$I$2 - 'RFM Table'!B1677</f>
        <v>312</v>
      </c>
      <c r="H1677">
        <f t="array" ref="H1677">COUNTIF(A:A,A1677)</f>
        <v>9</v>
      </c>
      <c r="I1677">
        <f t="array" ref="I1677">SUMIF(A:A,A1677,F:F)</f>
        <v>35759.83</v>
      </c>
      <c r="J1677">
        <f t="array" ref="J1677">5 - INT(5 * (RANK(G1677,G:G, 1) - 1) / COUNT(G:G))</f>
        <v>3</v>
      </c>
      <c r="K1677">
        <f t="array" ref="K1677">INT(5 * (RANK(H1677,H:H, 0) - 1) / COUNT(H:H)) + 1</f>
        <v>2</v>
      </c>
      <c r="L1677">
        <f t="array" ref="L1677">INT(5 * (RANK(I1677,I:I, 0) - 1) / COUNT(I:I)) + 1</f>
        <v>3</v>
      </c>
      <c r="M1677" t="str">
        <f t="shared" si="52"/>
        <v>323</v>
      </c>
      <c r="N1677" s="6" t="str">
        <f t="shared" si="53"/>
        <v>Others</v>
      </c>
    </row>
    <row r="1678" spans="1:14" x14ac:dyDescent="0.35">
      <c r="A1678">
        <v>1216</v>
      </c>
      <c r="B1678" s="4">
        <v>45825.375085336993</v>
      </c>
      <c r="C1678" t="s">
        <v>12</v>
      </c>
      <c r="D1678" t="s">
        <v>20</v>
      </c>
      <c r="E1678" t="s">
        <v>23</v>
      </c>
      <c r="F1678">
        <v>10324.959999999999</v>
      </c>
      <c r="G1678">
        <f t="array" ref="G1678">SalesData!$I$2 - 'RFM Table'!B1678</f>
        <v>311</v>
      </c>
      <c r="H1678">
        <f t="array" ref="H1678">COUNTIF(A:A,A1678)</f>
        <v>10</v>
      </c>
      <c r="I1678">
        <f t="array" ref="I1678">SUMIF(A:A,A1678,F:F)</f>
        <v>38608.230000000003</v>
      </c>
      <c r="J1678">
        <f t="array" ref="J1678">5 - INT(5 * (RANK(G1678,G:G, 1) - 1) / COUNT(G:G))</f>
        <v>3</v>
      </c>
      <c r="K1678">
        <f t="array" ref="K1678">INT(5 * (RANK(H1678,H:H, 0) - 1) / COUNT(H:H)) + 1</f>
        <v>2</v>
      </c>
      <c r="L1678">
        <f t="array" ref="L1678">INT(5 * (RANK(I1678,I:I, 0) - 1) / COUNT(I:I)) + 1</f>
        <v>2</v>
      </c>
      <c r="M1678" t="str">
        <f t="shared" si="52"/>
        <v>322</v>
      </c>
      <c r="N1678" s="6" t="str">
        <f t="shared" si="53"/>
        <v>Others</v>
      </c>
    </row>
    <row r="1679" spans="1:14" x14ac:dyDescent="0.35">
      <c r="A1679">
        <v>1267</v>
      </c>
      <c r="B1679" s="4">
        <v>45825.375085336993</v>
      </c>
      <c r="C1679" t="s">
        <v>10</v>
      </c>
      <c r="D1679" t="s">
        <v>17</v>
      </c>
      <c r="E1679" t="s">
        <v>23</v>
      </c>
      <c r="F1679">
        <v>2623.55</v>
      </c>
      <c r="G1679">
        <f t="array" ref="G1679">SalesData!$I$2 - 'RFM Table'!B1679</f>
        <v>311</v>
      </c>
      <c r="H1679">
        <f t="array" ref="H1679">COUNTIF(A:A,A1679)</f>
        <v>9</v>
      </c>
      <c r="I1679">
        <f t="array" ref="I1679">SUMIF(A:A,A1679,F:F)</f>
        <v>39538.21</v>
      </c>
      <c r="J1679">
        <f t="array" ref="J1679">5 - INT(5 * (RANK(G1679,G:G, 1) - 1) / COUNT(G:G))</f>
        <v>3</v>
      </c>
      <c r="K1679">
        <f t="array" ref="K1679">INT(5 * (RANK(H1679,H:H, 0) - 1) / COUNT(H:H)) + 1</f>
        <v>2</v>
      </c>
      <c r="L1679">
        <f t="array" ref="L1679">INT(5 * (RANK(I1679,I:I, 0) - 1) / COUNT(I:I)) + 1</f>
        <v>2</v>
      </c>
      <c r="M1679" t="str">
        <f t="shared" si="52"/>
        <v>322</v>
      </c>
      <c r="N1679" s="6" t="str">
        <f t="shared" si="53"/>
        <v>Others</v>
      </c>
    </row>
    <row r="1680" spans="1:14" x14ac:dyDescent="0.35">
      <c r="A1680">
        <v>1301</v>
      </c>
      <c r="B1680" s="4">
        <v>45825.375085336993</v>
      </c>
      <c r="C1680" t="s">
        <v>6</v>
      </c>
      <c r="D1680" t="s">
        <v>22</v>
      </c>
      <c r="E1680" t="s">
        <v>23</v>
      </c>
      <c r="F1680">
        <v>3210.43</v>
      </c>
      <c r="G1680">
        <f t="array" ref="G1680">SalesData!$I$2 - 'RFM Table'!B1680</f>
        <v>311</v>
      </c>
      <c r="H1680">
        <f t="array" ref="H1680">COUNTIF(A:A,A1680)</f>
        <v>12</v>
      </c>
      <c r="I1680">
        <f t="array" ref="I1680">SUMIF(A:A,A1680,F:F)</f>
        <v>44897.450000000004</v>
      </c>
      <c r="J1680">
        <f t="array" ref="J1680">5 - INT(5 * (RANK(G1680,G:G, 1) - 1) / COUNT(G:G))</f>
        <v>3</v>
      </c>
      <c r="K1680">
        <f t="array" ref="K1680">INT(5 * (RANK(H1680,H:H, 0) - 1) / COUNT(H:H)) + 1</f>
        <v>1</v>
      </c>
      <c r="L1680">
        <f t="array" ref="L1680">INT(5 * (RANK(I1680,I:I, 0) - 1) / COUNT(I:I)) + 1</f>
        <v>1</v>
      </c>
      <c r="M1680" t="str">
        <f t="shared" si="52"/>
        <v>311</v>
      </c>
      <c r="N1680" s="6" t="str">
        <f t="shared" si="53"/>
        <v>Others</v>
      </c>
    </row>
    <row r="1681" spans="1:14" x14ac:dyDescent="0.35">
      <c r="A1681">
        <v>1288</v>
      </c>
      <c r="B1681" s="4">
        <v>45825.375085336993</v>
      </c>
      <c r="C1681" t="s">
        <v>10</v>
      </c>
      <c r="D1681" t="s">
        <v>22</v>
      </c>
      <c r="E1681" t="s">
        <v>23</v>
      </c>
      <c r="F1681">
        <v>4092.78</v>
      </c>
      <c r="G1681">
        <f t="array" ref="G1681">SalesData!$I$2 - 'RFM Table'!B1681</f>
        <v>311</v>
      </c>
      <c r="H1681">
        <f t="array" ref="H1681">COUNTIF(A:A,A1681)</f>
        <v>13</v>
      </c>
      <c r="I1681">
        <f t="array" ref="I1681">SUMIF(A:A,A1681,F:F)</f>
        <v>40219.18</v>
      </c>
      <c r="J1681">
        <f t="array" ref="J1681">5 - INT(5 * (RANK(G1681,G:G, 1) - 1) / COUNT(G:G))</f>
        <v>3</v>
      </c>
      <c r="K1681">
        <f t="array" ref="K1681">INT(5 * (RANK(H1681,H:H, 0) - 1) / COUNT(H:H)) + 1</f>
        <v>1</v>
      </c>
      <c r="L1681">
        <f t="array" ref="L1681">INT(5 * (RANK(I1681,I:I, 0) - 1) / COUNT(I:I)) + 1</f>
        <v>2</v>
      </c>
      <c r="M1681" t="str">
        <f t="shared" si="52"/>
        <v>312</v>
      </c>
      <c r="N1681" s="6" t="str">
        <f t="shared" si="53"/>
        <v>Others</v>
      </c>
    </row>
    <row r="1682" spans="1:14" x14ac:dyDescent="0.35">
      <c r="A1682">
        <v>1268</v>
      </c>
      <c r="B1682" s="4">
        <v>45825.375085336993</v>
      </c>
      <c r="C1682" t="s">
        <v>12</v>
      </c>
      <c r="D1682" t="s">
        <v>20</v>
      </c>
      <c r="E1682" t="s">
        <v>24</v>
      </c>
      <c r="F1682">
        <v>8898.59</v>
      </c>
      <c r="G1682">
        <f t="array" ref="G1682">SalesData!$I$2 - 'RFM Table'!B1682</f>
        <v>311</v>
      </c>
      <c r="H1682">
        <f t="array" ref="H1682">COUNTIF(A:A,A1682)</f>
        <v>8</v>
      </c>
      <c r="I1682">
        <f t="array" ref="I1682">SUMIF(A:A,A1682,F:F)</f>
        <v>48110.42</v>
      </c>
      <c r="J1682">
        <f t="array" ref="J1682">5 - INT(5 * (RANK(G1682,G:G, 1) - 1) / COUNT(G:G))</f>
        <v>3</v>
      </c>
      <c r="K1682">
        <f t="array" ref="K1682">INT(5 * (RANK(H1682,H:H, 0) - 1) / COUNT(H:H)) + 1</f>
        <v>3</v>
      </c>
      <c r="L1682">
        <f t="array" ref="L1682">INT(5 * (RANK(I1682,I:I, 0) - 1) / COUNT(I:I)) + 1</f>
        <v>1</v>
      </c>
      <c r="M1682" t="str">
        <f t="shared" si="52"/>
        <v>331</v>
      </c>
      <c r="N1682" s="6" t="str">
        <f t="shared" si="53"/>
        <v>Others</v>
      </c>
    </row>
    <row r="1683" spans="1:14" x14ac:dyDescent="0.35">
      <c r="A1683">
        <v>1095</v>
      </c>
      <c r="B1683" s="4">
        <v>45825.375085336993</v>
      </c>
      <c r="C1683" t="s">
        <v>13</v>
      </c>
      <c r="D1683" t="s">
        <v>21</v>
      </c>
      <c r="E1683" t="s">
        <v>23</v>
      </c>
      <c r="F1683">
        <v>1453.93</v>
      </c>
      <c r="G1683">
        <f t="array" ref="G1683">SalesData!$I$2 - 'RFM Table'!B1683</f>
        <v>311</v>
      </c>
      <c r="H1683">
        <f t="array" ref="H1683">COUNTIF(A:A,A1683)</f>
        <v>9</v>
      </c>
      <c r="I1683">
        <f t="array" ref="I1683">SUMIF(A:A,A1683,F:F)</f>
        <v>48530.240000000005</v>
      </c>
      <c r="J1683">
        <f t="array" ref="J1683">5 - INT(5 * (RANK(G1683,G:G, 1) - 1) / COUNT(G:G))</f>
        <v>3</v>
      </c>
      <c r="K1683">
        <f t="array" ref="K1683">INT(5 * (RANK(H1683,H:H, 0) - 1) / COUNT(H:H)) + 1</f>
        <v>2</v>
      </c>
      <c r="L1683">
        <f t="array" ref="L1683">INT(5 * (RANK(I1683,I:I, 0) - 1) / COUNT(I:I)) + 1</f>
        <v>1</v>
      </c>
      <c r="M1683" t="str">
        <f t="shared" si="52"/>
        <v>321</v>
      </c>
      <c r="N1683" s="6" t="str">
        <f t="shared" si="53"/>
        <v>Others</v>
      </c>
    </row>
    <row r="1684" spans="1:14" x14ac:dyDescent="0.35">
      <c r="A1684">
        <v>1068</v>
      </c>
      <c r="B1684" s="4">
        <v>45826.375085336993</v>
      </c>
      <c r="C1684" t="s">
        <v>15</v>
      </c>
      <c r="D1684" t="s">
        <v>20</v>
      </c>
      <c r="E1684" t="s">
        <v>25</v>
      </c>
      <c r="F1684">
        <v>557.27</v>
      </c>
      <c r="G1684">
        <f t="array" ref="G1684">SalesData!$I$2 - 'RFM Table'!B1684</f>
        <v>310</v>
      </c>
      <c r="H1684">
        <f t="array" ref="H1684">COUNTIF(A:A,A1684)</f>
        <v>10</v>
      </c>
      <c r="I1684">
        <f t="array" ref="I1684">SUMIF(A:A,A1684,F:F)</f>
        <v>47284.22</v>
      </c>
      <c r="J1684">
        <f t="array" ref="J1684">5 - INT(5 * (RANK(G1684,G:G, 1) - 1) / COUNT(G:G))</f>
        <v>3</v>
      </c>
      <c r="K1684">
        <f t="array" ref="K1684">INT(5 * (RANK(H1684,H:H, 0) - 1) / COUNT(H:H)) + 1</f>
        <v>2</v>
      </c>
      <c r="L1684">
        <f t="array" ref="L1684">INT(5 * (RANK(I1684,I:I, 0) - 1) / COUNT(I:I)) + 1</f>
        <v>1</v>
      </c>
      <c r="M1684" t="str">
        <f t="shared" si="52"/>
        <v>321</v>
      </c>
      <c r="N1684" s="6" t="str">
        <f t="shared" si="53"/>
        <v>Others</v>
      </c>
    </row>
    <row r="1685" spans="1:14" x14ac:dyDescent="0.35">
      <c r="A1685">
        <v>1193</v>
      </c>
      <c r="B1685" s="4">
        <v>45826.375085336993</v>
      </c>
      <c r="C1685" t="s">
        <v>11</v>
      </c>
      <c r="D1685" t="s">
        <v>21</v>
      </c>
      <c r="E1685" t="s">
        <v>25</v>
      </c>
      <c r="F1685">
        <v>2680.46</v>
      </c>
      <c r="G1685">
        <f t="array" ref="G1685">SalesData!$I$2 - 'RFM Table'!B1685</f>
        <v>310</v>
      </c>
      <c r="H1685">
        <f t="array" ref="H1685">COUNTIF(A:A,A1685)</f>
        <v>5</v>
      </c>
      <c r="I1685">
        <f t="array" ref="I1685">SUMIF(A:A,A1685,F:F)</f>
        <v>29762.12</v>
      </c>
      <c r="J1685">
        <f t="array" ref="J1685">5 - INT(5 * (RANK(G1685,G:G, 1) - 1) / COUNT(G:G))</f>
        <v>3</v>
      </c>
      <c r="K1685">
        <f t="array" ref="K1685">INT(5 * (RANK(H1685,H:H, 0) - 1) / COUNT(H:H)) + 1</f>
        <v>5</v>
      </c>
      <c r="L1685">
        <f t="array" ref="L1685">INT(5 * (RANK(I1685,I:I, 0) - 1) / COUNT(I:I)) + 1</f>
        <v>3</v>
      </c>
      <c r="M1685" t="str">
        <f t="shared" si="52"/>
        <v>353</v>
      </c>
      <c r="N1685" s="6" t="str">
        <f t="shared" si="53"/>
        <v>Others</v>
      </c>
    </row>
    <row r="1686" spans="1:14" x14ac:dyDescent="0.35">
      <c r="A1686">
        <v>1025</v>
      </c>
      <c r="B1686" s="4">
        <v>45826.375085336993</v>
      </c>
      <c r="C1686" t="s">
        <v>12</v>
      </c>
      <c r="D1686" t="s">
        <v>20</v>
      </c>
      <c r="E1686" t="s">
        <v>23</v>
      </c>
      <c r="F1686">
        <v>409.77</v>
      </c>
      <c r="G1686">
        <f t="array" ref="G1686">SalesData!$I$2 - 'RFM Table'!B1686</f>
        <v>310</v>
      </c>
      <c r="H1686">
        <f t="array" ref="H1686">COUNTIF(A:A,A1686)</f>
        <v>7</v>
      </c>
      <c r="I1686">
        <f t="array" ref="I1686">SUMIF(A:A,A1686,F:F)</f>
        <v>16120.029999999999</v>
      </c>
      <c r="J1686">
        <f t="array" ref="J1686">5 - INT(5 * (RANK(G1686,G:G, 1) - 1) / COUNT(G:G))</f>
        <v>3</v>
      </c>
      <c r="K1686">
        <f t="array" ref="K1686">INT(5 * (RANK(H1686,H:H, 0) - 1) / COUNT(H:H)) + 1</f>
        <v>4</v>
      </c>
      <c r="L1686">
        <f t="array" ref="L1686">INT(5 * (RANK(I1686,I:I, 0) - 1) / COUNT(I:I)) + 1</f>
        <v>5</v>
      </c>
      <c r="M1686" t="str">
        <f t="shared" si="52"/>
        <v>345</v>
      </c>
      <c r="N1686" s="6" t="str">
        <f t="shared" si="53"/>
        <v>Others</v>
      </c>
    </row>
    <row r="1687" spans="1:14" x14ac:dyDescent="0.35">
      <c r="A1687">
        <v>1179</v>
      </c>
      <c r="B1687" s="4">
        <v>45826.375085336993</v>
      </c>
      <c r="C1687" t="s">
        <v>15</v>
      </c>
      <c r="D1687" t="s">
        <v>16</v>
      </c>
      <c r="E1687" t="s">
        <v>24</v>
      </c>
      <c r="F1687">
        <v>1908.35</v>
      </c>
      <c r="G1687">
        <f t="array" ref="G1687">SalesData!$I$2 - 'RFM Table'!B1687</f>
        <v>310</v>
      </c>
      <c r="H1687">
        <f t="array" ref="H1687">COUNTIF(A:A,A1687)</f>
        <v>7</v>
      </c>
      <c r="I1687">
        <f t="array" ref="I1687">SUMIF(A:A,A1687,F:F)</f>
        <v>25906.9</v>
      </c>
      <c r="J1687">
        <f t="array" ref="J1687">5 - INT(5 * (RANK(G1687,G:G, 1) - 1) / COUNT(G:G))</f>
        <v>3</v>
      </c>
      <c r="K1687">
        <f t="array" ref="K1687">INT(5 * (RANK(H1687,H:H, 0) - 1) / COUNT(H:H)) + 1</f>
        <v>4</v>
      </c>
      <c r="L1687">
        <f t="array" ref="L1687">INT(5 * (RANK(I1687,I:I, 0) - 1) / COUNT(I:I)) + 1</f>
        <v>4</v>
      </c>
      <c r="M1687" t="str">
        <f t="shared" si="52"/>
        <v>344</v>
      </c>
      <c r="N1687" s="6" t="str">
        <f t="shared" si="53"/>
        <v>Others</v>
      </c>
    </row>
    <row r="1688" spans="1:14" x14ac:dyDescent="0.35">
      <c r="A1688">
        <v>1323</v>
      </c>
      <c r="B1688" s="4">
        <v>45826.375085336993</v>
      </c>
      <c r="C1688" t="s">
        <v>9</v>
      </c>
      <c r="D1688" t="s">
        <v>17</v>
      </c>
      <c r="E1688" t="s">
        <v>25</v>
      </c>
      <c r="F1688">
        <v>1031.5</v>
      </c>
      <c r="G1688">
        <f t="array" ref="G1688">SalesData!$I$2 - 'RFM Table'!B1688</f>
        <v>310</v>
      </c>
      <c r="H1688">
        <f t="array" ref="H1688">COUNTIF(A:A,A1688)</f>
        <v>9</v>
      </c>
      <c r="I1688">
        <f t="array" ref="I1688">SUMIF(A:A,A1688,F:F)</f>
        <v>39366.480000000003</v>
      </c>
      <c r="J1688">
        <f t="array" ref="J1688">5 - INT(5 * (RANK(G1688,G:G, 1) - 1) / COUNT(G:G))</f>
        <v>3</v>
      </c>
      <c r="K1688">
        <f t="array" ref="K1688">INT(5 * (RANK(H1688,H:H, 0) - 1) / COUNT(H:H)) + 1</f>
        <v>2</v>
      </c>
      <c r="L1688">
        <f t="array" ref="L1688">INT(5 * (RANK(I1688,I:I, 0) - 1) / COUNT(I:I)) + 1</f>
        <v>2</v>
      </c>
      <c r="M1688" t="str">
        <f t="shared" si="52"/>
        <v>322</v>
      </c>
      <c r="N1688" s="6" t="str">
        <f t="shared" si="53"/>
        <v>Others</v>
      </c>
    </row>
    <row r="1689" spans="1:14" x14ac:dyDescent="0.35">
      <c r="A1689">
        <v>1144</v>
      </c>
      <c r="B1689" s="4">
        <v>45827.375085336993</v>
      </c>
      <c r="C1689" t="s">
        <v>6</v>
      </c>
      <c r="D1689" t="s">
        <v>17</v>
      </c>
      <c r="E1689" t="s">
        <v>24</v>
      </c>
      <c r="F1689">
        <v>10799.73</v>
      </c>
      <c r="G1689">
        <f t="array" ref="G1689">SalesData!$I$2 - 'RFM Table'!B1689</f>
        <v>309</v>
      </c>
      <c r="H1689">
        <f t="array" ref="H1689">COUNTIF(A:A,A1689)</f>
        <v>11</v>
      </c>
      <c r="I1689">
        <f t="array" ref="I1689">SUMIF(A:A,A1689,F:F)</f>
        <v>62038.55</v>
      </c>
      <c r="J1689">
        <f t="array" ref="J1689">5 - INT(5 * (RANK(G1689,G:G, 1) - 1) / COUNT(G:G))</f>
        <v>3</v>
      </c>
      <c r="K1689">
        <f t="array" ref="K1689">INT(5 * (RANK(H1689,H:H, 0) - 1) / COUNT(H:H)) + 1</f>
        <v>1</v>
      </c>
      <c r="L1689">
        <f t="array" ref="L1689">INT(5 * (RANK(I1689,I:I, 0) - 1) / COUNT(I:I)) + 1</f>
        <v>1</v>
      </c>
      <c r="M1689" t="str">
        <f t="shared" si="52"/>
        <v>311</v>
      </c>
      <c r="N1689" s="6" t="str">
        <f t="shared" si="53"/>
        <v>Others</v>
      </c>
    </row>
    <row r="1690" spans="1:14" x14ac:dyDescent="0.35">
      <c r="A1690">
        <v>1291</v>
      </c>
      <c r="B1690" s="4">
        <v>45827.375085336993</v>
      </c>
      <c r="C1690" t="s">
        <v>8</v>
      </c>
      <c r="D1690" t="s">
        <v>17</v>
      </c>
      <c r="E1690" t="s">
        <v>25</v>
      </c>
      <c r="F1690">
        <v>2076.14</v>
      </c>
      <c r="G1690">
        <f t="array" ref="G1690">SalesData!$I$2 - 'RFM Table'!B1690</f>
        <v>309</v>
      </c>
      <c r="H1690">
        <f t="array" ref="H1690">COUNTIF(A:A,A1690)</f>
        <v>7</v>
      </c>
      <c r="I1690">
        <f t="array" ref="I1690">SUMIF(A:A,A1690,F:F)</f>
        <v>33778.21</v>
      </c>
      <c r="J1690">
        <f t="array" ref="J1690">5 - INT(5 * (RANK(G1690,G:G, 1) - 1) / COUNT(G:G))</f>
        <v>3</v>
      </c>
      <c r="K1690">
        <f t="array" ref="K1690">INT(5 * (RANK(H1690,H:H, 0) - 1) / COUNT(H:H)) + 1</f>
        <v>4</v>
      </c>
      <c r="L1690">
        <f t="array" ref="L1690">INT(5 * (RANK(I1690,I:I, 0) - 1) / COUNT(I:I)) + 1</f>
        <v>3</v>
      </c>
      <c r="M1690" t="str">
        <f t="shared" si="52"/>
        <v>343</v>
      </c>
      <c r="N1690" s="6" t="str">
        <f t="shared" si="53"/>
        <v>Others</v>
      </c>
    </row>
    <row r="1691" spans="1:14" x14ac:dyDescent="0.35">
      <c r="A1691">
        <v>1372</v>
      </c>
      <c r="B1691" s="4">
        <v>45827.375085336993</v>
      </c>
      <c r="C1691" t="s">
        <v>10</v>
      </c>
      <c r="D1691" t="s">
        <v>21</v>
      </c>
      <c r="E1691" t="s">
        <v>25</v>
      </c>
      <c r="F1691">
        <v>2201.0300000000002</v>
      </c>
      <c r="G1691">
        <f t="array" ref="G1691">SalesData!$I$2 - 'RFM Table'!B1691</f>
        <v>309</v>
      </c>
      <c r="H1691">
        <f t="array" ref="H1691">COUNTIF(A:A,A1691)</f>
        <v>9</v>
      </c>
      <c r="I1691">
        <f t="array" ref="I1691">SUMIF(A:A,A1691,F:F)</f>
        <v>32843.11</v>
      </c>
      <c r="J1691">
        <f t="array" ref="J1691">5 - INT(5 * (RANK(G1691,G:G, 1) - 1) / COUNT(G:G))</f>
        <v>3</v>
      </c>
      <c r="K1691">
        <f t="array" ref="K1691">INT(5 * (RANK(H1691,H:H, 0) - 1) / COUNT(H:H)) + 1</f>
        <v>2</v>
      </c>
      <c r="L1691">
        <f t="array" ref="L1691">INT(5 * (RANK(I1691,I:I, 0) - 1) / COUNT(I:I)) + 1</f>
        <v>3</v>
      </c>
      <c r="M1691" t="str">
        <f t="shared" si="52"/>
        <v>323</v>
      </c>
      <c r="N1691" s="6" t="str">
        <f t="shared" si="53"/>
        <v>Others</v>
      </c>
    </row>
    <row r="1692" spans="1:14" x14ac:dyDescent="0.35">
      <c r="A1692">
        <v>1051</v>
      </c>
      <c r="B1692" s="4">
        <v>45828.375085336993</v>
      </c>
      <c r="C1692" t="s">
        <v>15</v>
      </c>
      <c r="D1692" t="s">
        <v>17</v>
      </c>
      <c r="E1692" t="s">
        <v>25</v>
      </c>
      <c r="F1692">
        <v>3482.56</v>
      </c>
      <c r="G1692">
        <f t="array" ref="G1692">SalesData!$I$2 - 'RFM Table'!B1692</f>
        <v>308</v>
      </c>
      <c r="H1692">
        <f t="array" ref="H1692">COUNTIF(A:A,A1692)</f>
        <v>6</v>
      </c>
      <c r="I1692">
        <f t="array" ref="I1692">SUMIF(A:A,A1692,F:F)</f>
        <v>12660.78</v>
      </c>
      <c r="J1692">
        <f t="array" ref="J1692">5 - INT(5 * (RANK(G1692,G:G, 1) - 1) / COUNT(G:G))</f>
        <v>3</v>
      </c>
      <c r="K1692">
        <f t="array" ref="K1692">INT(5 * (RANK(H1692,H:H, 0) - 1) / COUNT(H:H)) + 1</f>
        <v>4</v>
      </c>
      <c r="L1692">
        <f t="array" ref="L1692">INT(5 * (RANK(I1692,I:I, 0) - 1) / COUNT(I:I)) + 1</f>
        <v>5</v>
      </c>
      <c r="M1692" t="str">
        <f t="shared" si="52"/>
        <v>345</v>
      </c>
      <c r="N1692" s="6" t="str">
        <f t="shared" si="53"/>
        <v>Others</v>
      </c>
    </row>
    <row r="1693" spans="1:14" x14ac:dyDescent="0.35">
      <c r="A1693">
        <v>1119</v>
      </c>
      <c r="B1693" s="4">
        <v>45828.375085336993</v>
      </c>
      <c r="C1693" t="s">
        <v>8</v>
      </c>
      <c r="D1693" t="s">
        <v>18</v>
      </c>
      <c r="E1693" t="s">
        <v>24</v>
      </c>
      <c r="F1693">
        <v>8902.06</v>
      </c>
      <c r="G1693">
        <f t="array" ref="G1693">SalesData!$I$2 - 'RFM Table'!B1693</f>
        <v>308</v>
      </c>
      <c r="H1693">
        <f t="array" ref="H1693">COUNTIF(A:A,A1693)</f>
        <v>8</v>
      </c>
      <c r="I1693">
        <f t="array" ref="I1693">SUMIF(A:A,A1693,F:F)</f>
        <v>33012.819999999992</v>
      </c>
      <c r="J1693">
        <f t="array" ref="J1693">5 - INT(5 * (RANK(G1693,G:G, 1) - 1) / COUNT(G:G))</f>
        <v>3</v>
      </c>
      <c r="K1693">
        <f t="array" ref="K1693">INT(5 * (RANK(H1693,H:H, 0) - 1) / COUNT(H:H)) + 1</f>
        <v>3</v>
      </c>
      <c r="L1693">
        <f t="array" ref="L1693">INT(5 * (RANK(I1693,I:I, 0) - 1) / COUNT(I:I)) + 1</f>
        <v>3</v>
      </c>
      <c r="M1693" t="str">
        <f t="shared" si="52"/>
        <v>333</v>
      </c>
      <c r="N1693" s="6" t="str">
        <f t="shared" si="53"/>
        <v>Others</v>
      </c>
    </row>
    <row r="1694" spans="1:14" x14ac:dyDescent="0.35">
      <c r="A1694">
        <v>1023</v>
      </c>
      <c r="B1694" s="4">
        <v>45828.375085336993</v>
      </c>
      <c r="C1694" t="s">
        <v>7</v>
      </c>
      <c r="D1694" t="s">
        <v>22</v>
      </c>
      <c r="E1694" t="s">
        <v>24</v>
      </c>
      <c r="F1694">
        <v>2701.08</v>
      </c>
      <c r="G1694">
        <f t="array" ref="G1694">SalesData!$I$2 - 'RFM Table'!B1694</f>
        <v>308</v>
      </c>
      <c r="H1694">
        <f t="array" ref="H1694">COUNTIF(A:A,A1694)</f>
        <v>3</v>
      </c>
      <c r="I1694">
        <f t="array" ref="I1694">SUMIF(A:A,A1694,F:F)</f>
        <v>14886.69</v>
      </c>
      <c r="J1694">
        <f t="array" ref="J1694">5 - INT(5 * (RANK(G1694,G:G, 1) - 1) / COUNT(G:G))</f>
        <v>3</v>
      </c>
      <c r="K1694">
        <f t="array" ref="K1694">INT(5 * (RANK(H1694,H:H, 0) - 1) / COUNT(H:H)) + 1</f>
        <v>5</v>
      </c>
      <c r="L1694">
        <f t="array" ref="L1694">INT(5 * (RANK(I1694,I:I, 0) - 1) / COUNT(I:I)) + 1</f>
        <v>5</v>
      </c>
      <c r="M1694" t="str">
        <f t="shared" si="52"/>
        <v>355</v>
      </c>
      <c r="N1694" s="6" t="str">
        <f t="shared" si="53"/>
        <v>Others</v>
      </c>
    </row>
    <row r="1695" spans="1:14" x14ac:dyDescent="0.35">
      <c r="A1695">
        <v>1096</v>
      </c>
      <c r="B1695" s="4">
        <v>45828.375085336993</v>
      </c>
      <c r="C1695" t="s">
        <v>14</v>
      </c>
      <c r="D1695" t="s">
        <v>16</v>
      </c>
      <c r="E1695" t="s">
        <v>25</v>
      </c>
      <c r="F1695">
        <v>1468.97</v>
      </c>
      <c r="G1695">
        <f t="array" ref="G1695">SalesData!$I$2 - 'RFM Table'!B1695</f>
        <v>308</v>
      </c>
      <c r="H1695">
        <f t="array" ref="H1695">COUNTIF(A:A,A1695)</f>
        <v>6</v>
      </c>
      <c r="I1695">
        <f t="array" ref="I1695">SUMIF(A:A,A1695,F:F)</f>
        <v>11900.869999999999</v>
      </c>
      <c r="J1695">
        <f t="array" ref="J1695">5 - INT(5 * (RANK(G1695,G:G, 1) - 1) / COUNT(G:G))</f>
        <v>3</v>
      </c>
      <c r="K1695">
        <f t="array" ref="K1695">INT(5 * (RANK(H1695,H:H, 0) - 1) / COUNT(H:H)) + 1</f>
        <v>4</v>
      </c>
      <c r="L1695">
        <f t="array" ref="L1695">INT(5 * (RANK(I1695,I:I, 0) - 1) / COUNT(I:I)) + 1</f>
        <v>5</v>
      </c>
      <c r="M1695" t="str">
        <f t="shared" si="52"/>
        <v>345</v>
      </c>
      <c r="N1695" s="6" t="str">
        <f t="shared" si="53"/>
        <v>Others</v>
      </c>
    </row>
    <row r="1696" spans="1:14" x14ac:dyDescent="0.35">
      <c r="A1696">
        <v>1097</v>
      </c>
      <c r="B1696" s="4">
        <v>45829.375085336993</v>
      </c>
      <c r="C1696" t="s">
        <v>10</v>
      </c>
      <c r="D1696" t="s">
        <v>16</v>
      </c>
      <c r="E1696" t="s">
        <v>25</v>
      </c>
      <c r="F1696">
        <v>4317.29</v>
      </c>
      <c r="G1696">
        <f t="array" ref="G1696">SalesData!$I$2 - 'RFM Table'!B1696</f>
        <v>307</v>
      </c>
      <c r="H1696">
        <f t="array" ref="H1696">COUNTIF(A:A,A1696)</f>
        <v>9</v>
      </c>
      <c r="I1696">
        <f t="array" ref="I1696">SUMIF(A:A,A1696,F:F)</f>
        <v>51674.6</v>
      </c>
      <c r="J1696">
        <f t="array" ref="J1696">5 - INT(5 * (RANK(G1696,G:G, 1) - 1) / COUNT(G:G))</f>
        <v>3</v>
      </c>
      <c r="K1696">
        <f t="array" ref="K1696">INT(5 * (RANK(H1696,H:H, 0) - 1) / COUNT(H:H)) + 1</f>
        <v>2</v>
      </c>
      <c r="L1696">
        <f t="array" ref="L1696">INT(5 * (RANK(I1696,I:I, 0) - 1) / COUNT(I:I)) + 1</f>
        <v>1</v>
      </c>
      <c r="M1696" t="str">
        <f t="shared" si="52"/>
        <v>321</v>
      </c>
      <c r="N1696" s="6" t="str">
        <f t="shared" si="53"/>
        <v>Others</v>
      </c>
    </row>
    <row r="1697" spans="1:14" x14ac:dyDescent="0.35">
      <c r="A1697">
        <v>1086</v>
      </c>
      <c r="B1697" s="4">
        <v>45829.375085336993</v>
      </c>
      <c r="C1697" t="s">
        <v>8</v>
      </c>
      <c r="D1697" t="s">
        <v>18</v>
      </c>
      <c r="E1697" t="s">
        <v>23</v>
      </c>
      <c r="F1697">
        <v>5663.47</v>
      </c>
      <c r="G1697">
        <f t="array" ref="G1697">SalesData!$I$2 - 'RFM Table'!B1697</f>
        <v>307</v>
      </c>
      <c r="H1697">
        <f t="array" ref="H1697">COUNTIF(A:A,A1697)</f>
        <v>6</v>
      </c>
      <c r="I1697">
        <f t="array" ref="I1697">SUMIF(A:A,A1697,F:F)</f>
        <v>18163.55</v>
      </c>
      <c r="J1697">
        <f t="array" ref="J1697">5 - INT(5 * (RANK(G1697,G:G, 1) - 1) / COUNT(G:G))</f>
        <v>3</v>
      </c>
      <c r="K1697">
        <f t="array" ref="K1697">INT(5 * (RANK(H1697,H:H, 0) - 1) / COUNT(H:H)) + 1</f>
        <v>4</v>
      </c>
      <c r="L1697">
        <f t="array" ref="L1697">INT(5 * (RANK(I1697,I:I, 0) - 1) / COUNT(I:I)) + 1</f>
        <v>5</v>
      </c>
      <c r="M1697" t="str">
        <f t="shared" si="52"/>
        <v>345</v>
      </c>
      <c r="N1697" s="6" t="str">
        <f t="shared" si="53"/>
        <v>Others</v>
      </c>
    </row>
    <row r="1698" spans="1:14" x14ac:dyDescent="0.35">
      <c r="A1698">
        <v>1117</v>
      </c>
      <c r="B1698" s="4">
        <v>45829.375085336993</v>
      </c>
      <c r="C1698" t="s">
        <v>10</v>
      </c>
      <c r="D1698" t="s">
        <v>21</v>
      </c>
      <c r="E1698" t="s">
        <v>23</v>
      </c>
      <c r="F1698">
        <v>5036.53</v>
      </c>
      <c r="G1698">
        <f t="array" ref="G1698">SalesData!$I$2 - 'RFM Table'!B1698</f>
        <v>307</v>
      </c>
      <c r="H1698">
        <f t="array" ref="H1698">COUNTIF(A:A,A1698)</f>
        <v>10</v>
      </c>
      <c r="I1698">
        <f t="array" ref="I1698">SUMIF(A:A,A1698,F:F)</f>
        <v>47973.33</v>
      </c>
      <c r="J1698">
        <f t="array" ref="J1698">5 - INT(5 * (RANK(G1698,G:G, 1) - 1) / COUNT(G:G))</f>
        <v>3</v>
      </c>
      <c r="K1698">
        <f t="array" ref="K1698">INT(5 * (RANK(H1698,H:H, 0) - 1) / COUNT(H:H)) + 1</f>
        <v>2</v>
      </c>
      <c r="L1698">
        <f t="array" ref="L1698">INT(5 * (RANK(I1698,I:I, 0) - 1) / COUNT(I:I)) + 1</f>
        <v>1</v>
      </c>
      <c r="M1698" t="str">
        <f t="shared" si="52"/>
        <v>321</v>
      </c>
      <c r="N1698" s="6" t="str">
        <f t="shared" si="53"/>
        <v>Others</v>
      </c>
    </row>
    <row r="1699" spans="1:14" x14ac:dyDescent="0.35">
      <c r="A1699">
        <v>1217</v>
      </c>
      <c r="B1699" s="4">
        <v>45829.375085336993</v>
      </c>
      <c r="C1699" t="s">
        <v>8</v>
      </c>
      <c r="D1699" t="s">
        <v>16</v>
      </c>
      <c r="E1699" t="s">
        <v>23</v>
      </c>
      <c r="F1699">
        <v>2438.69</v>
      </c>
      <c r="G1699">
        <f t="array" ref="G1699">SalesData!$I$2 - 'RFM Table'!B1699</f>
        <v>307</v>
      </c>
      <c r="H1699">
        <f t="array" ref="H1699">COUNTIF(A:A,A1699)</f>
        <v>9</v>
      </c>
      <c r="I1699">
        <f t="array" ref="I1699">SUMIF(A:A,A1699,F:F)</f>
        <v>33349.999999999993</v>
      </c>
      <c r="J1699">
        <f t="array" ref="J1699">5 - INT(5 * (RANK(G1699,G:G, 1) - 1) / COUNT(G:G))</f>
        <v>3</v>
      </c>
      <c r="K1699">
        <f t="array" ref="K1699">INT(5 * (RANK(H1699,H:H, 0) - 1) / COUNT(H:H)) + 1</f>
        <v>2</v>
      </c>
      <c r="L1699">
        <f t="array" ref="L1699">INT(5 * (RANK(I1699,I:I, 0) - 1) / COUNT(I:I)) + 1</f>
        <v>3</v>
      </c>
      <c r="M1699" t="str">
        <f t="shared" si="52"/>
        <v>323</v>
      </c>
      <c r="N1699" s="6" t="str">
        <f t="shared" si="53"/>
        <v>Others</v>
      </c>
    </row>
    <row r="1700" spans="1:14" x14ac:dyDescent="0.35">
      <c r="A1700">
        <v>1279</v>
      </c>
      <c r="B1700" s="4">
        <v>45829.375085336993</v>
      </c>
      <c r="C1700" t="s">
        <v>6</v>
      </c>
      <c r="D1700" t="s">
        <v>18</v>
      </c>
      <c r="E1700" t="s">
        <v>25</v>
      </c>
      <c r="F1700">
        <v>7092.62</v>
      </c>
      <c r="G1700">
        <f t="array" ref="G1700">SalesData!$I$2 - 'RFM Table'!B1700</f>
        <v>307</v>
      </c>
      <c r="H1700">
        <f t="array" ref="H1700">COUNTIF(A:A,A1700)</f>
        <v>8</v>
      </c>
      <c r="I1700">
        <f t="array" ref="I1700">SUMIF(A:A,A1700,F:F)</f>
        <v>28833.759999999998</v>
      </c>
      <c r="J1700">
        <f t="array" ref="J1700">5 - INT(5 * (RANK(G1700,G:G, 1) - 1) / COUNT(G:G))</f>
        <v>3</v>
      </c>
      <c r="K1700">
        <f t="array" ref="K1700">INT(5 * (RANK(H1700,H:H, 0) - 1) / COUNT(H:H)) + 1</f>
        <v>3</v>
      </c>
      <c r="L1700">
        <f t="array" ref="L1700">INT(5 * (RANK(I1700,I:I, 0) - 1) / COUNT(I:I)) + 1</f>
        <v>4</v>
      </c>
      <c r="M1700" t="str">
        <f t="shared" si="52"/>
        <v>334</v>
      </c>
      <c r="N1700" s="6" t="str">
        <f t="shared" si="53"/>
        <v>Others</v>
      </c>
    </row>
    <row r="1701" spans="1:14" x14ac:dyDescent="0.35">
      <c r="A1701">
        <v>1270</v>
      </c>
      <c r="B1701" s="4">
        <v>45829.375085336993</v>
      </c>
      <c r="C1701" t="s">
        <v>10</v>
      </c>
      <c r="D1701" t="s">
        <v>18</v>
      </c>
      <c r="E1701" t="s">
        <v>23</v>
      </c>
      <c r="F1701">
        <v>2706.42</v>
      </c>
      <c r="G1701">
        <f t="array" ref="G1701">SalesData!$I$2 - 'RFM Table'!B1701</f>
        <v>307</v>
      </c>
      <c r="H1701">
        <f t="array" ref="H1701">COUNTIF(A:A,A1701)</f>
        <v>10</v>
      </c>
      <c r="I1701">
        <f t="array" ref="I1701">SUMIF(A:A,A1701,F:F)</f>
        <v>34623.81</v>
      </c>
      <c r="J1701">
        <f t="array" ref="J1701">5 - INT(5 * (RANK(G1701,G:G, 1) - 1) / COUNT(G:G))</f>
        <v>3</v>
      </c>
      <c r="K1701">
        <f t="array" ref="K1701">INT(5 * (RANK(H1701,H:H, 0) - 1) / COUNT(H:H)) + 1</f>
        <v>2</v>
      </c>
      <c r="L1701">
        <f t="array" ref="L1701">INT(5 * (RANK(I1701,I:I, 0) - 1) / COUNT(I:I)) + 1</f>
        <v>3</v>
      </c>
      <c r="M1701" t="str">
        <f t="shared" si="52"/>
        <v>323</v>
      </c>
      <c r="N1701" s="6" t="str">
        <f t="shared" si="53"/>
        <v>Others</v>
      </c>
    </row>
    <row r="1702" spans="1:14" x14ac:dyDescent="0.35">
      <c r="A1702">
        <v>1004</v>
      </c>
      <c r="B1702" s="4">
        <v>45830.375085336993</v>
      </c>
      <c r="C1702" t="s">
        <v>14</v>
      </c>
      <c r="D1702" t="s">
        <v>19</v>
      </c>
      <c r="E1702" t="s">
        <v>23</v>
      </c>
      <c r="F1702">
        <v>1667.97</v>
      </c>
      <c r="G1702">
        <f t="array" ref="G1702">SalesData!$I$2 - 'RFM Table'!B1702</f>
        <v>306</v>
      </c>
      <c r="H1702">
        <f t="array" ref="H1702">COUNTIF(A:A,A1702)</f>
        <v>12</v>
      </c>
      <c r="I1702">
        <f t="array" ref="I1702">SUMIF(A:A,A1702,F:F)</f>
        <v>34222.5</v>
      </c>
      <c r="J1702">
        <f t="array" ref="J1702">5 - INT(5 * (RANK(G1702,G:G, 1) - 1) / COUNT(G:G))</f>
        <v>3</v>
      </c>
      <c r="K1702">
        <f t="array" ref="K1702">INT(5 * (RANK(H1702,H:H, 0) - 1) / COUNT(H:H)) + 1</f>
        <v>1</v>
      </c>
      <c r="L1702">
        <f t="array" ref="L1702">INT(5 * (RANK(I1702,I:I, 0) - 1) / COUNT(I:I)) + 1</f>
        <v>3</v>
      </c>
      <c r="M1702" t="str">
        <f t="shared" si="52"/>
        <v>313</v>
      </c>
      <c r="N1702" s="6" t="str">
        <f t="shared" si="53"/>
        <v>Others</v>
      </c>
    </row>
    <row r="1703" spans="1:14" x14ac:dyDescent="0.35">
      <c r="A1703">
        <v>1256</v>
      </c>
      <c r="B1703" s="4">
        <v>45830.375085336993</v>
      </c>
      <c r="C1703" t="s">
        <v>7</v>
      </c>
      <c r="D1703" t="s">
        <v>16</v>
      </c>
      <c r="E1703" t="s">
        <v>25</v>
      </c>
      <c r="F1703">
        <v>5309.32</v>
      </c>
      <c r="G1703">
        <f t="array" ref="G1703">SalesData!$I$2 - 'RFM Table'!B1703</f>
        <v>306</v>
      </c>
      <c r="H1703">
        <f t="array" ref="H1703">COUNTIF(A:A,A1703)</f>
        <v>8</v>
      </c>
      <c r="I1703">
        <f t="array" ref="I1703">SUMIF(A:A,A1703,F:F)</f>
        <v>29767.75</v>
      </c>
      <c r="J1703">
        <f t="array" ref="J1703">5 - INT(5 * (RANK(G1703,G:G, 1) - 1) / COUNT(G:G))</f>
        <v>3</v>
      </c>
      <c r="K1703">
        <f t="array" ref="K1703">INT(5 * (RANK(H1703,H:H, 0) - 1) / COUNT(H:H)) + 1</f>
        <v>3</v>
      </c>
      <c r="L1703">
        <f t="array" ref="L1703">INT(5 * (RANK(I1703,I:I, 0) - 1) / COUNT(I:I)) + 1</f>
        <v>3</v>
      </c>
      <c r="M1703" t="str">
        <f t="shared" si="52"/>
        <v>333</v>
      </c>
      <c r="N1703" s="6" t="str">
        <f t="shared" si="53"/>
        <v>Others</v>
      </c>
    </row>
    <row r="1704" spans="1:14" x14ac:dyDescent="0.35">
      <c r="A1704">
        <v>1088</v>
      </c>
      <c r="B1704" s="4">
        <v>45830.375085336993</v>
      </c>
      <c r="C1704" t="s">
        <v>8</v>
      </c>
      <c r="D1704" t="s">
        <v>16</v>
      </c>
      <c r="E1704" t="s">
        <v>25</v>
      </c>
      <c r="F1704">
        <v>2782.24</v>
      </c>
      <c r="G1704">
        <f t="array" ref="G1704">SalesData!$I$2 - 'RFM Table'!B1704</f>
        <v>306</v>
      </c>
      <c r="H1704">
        <f t="array" ref="H1704">COUNTIF(A:A,A1704)</f>
        <v>8</v>
      </c>
      <c r="I1704">
        <f t="array" ref="I1704">SUMIF(A:A,A1704,F:F)</f>
        <v>40213.310000000005</v>
      </c>
      <c r="J1704">
        <f t="array" ref="J1704">5 - INT(5 * (RANK(G1704,G:G, 1) - 1) / COUNT(G:G))</f>
        <v>3</v>
      </c>
      <c r="K1704">
        <f t="array" ref="K1704">INT(5 * (RANK(H1704,H:H, 0) - 1) / COUNT(H:H)) + 1</f>
        <v>3</v>
      </c>
      <c r="L1704">
        <f t="array" ref="L1704">INT(5 * (RANK(I1704,I:I, 0) - 1) / COUNT(I:I)) + 1</f>
        <v>2</v>
      </c>
      <c r="M1704" t="str">
        <f t="shared" si="52"/>
        <v>332</v>
      </c>
      <c r="N1704" s="6" t="str">
        <f t="shared" si="53"/>
        <v>Others</v>
      </c>
    </row>
    <row r="1705" spans="1:14" x14ac:dyDescent="0.35">
      <c r="A1705">
        <v>1194</v>
      </c>
      <c r="B1705" s="4">
        <v>45830.375085336993</v>
      </c>
      <c r="C1705" t="s">
        <v>6</v>
      </c>
      <c r="D1705" t="s">
        <v>17</v>
      </c>
      <c r="E1705" t="s">
        <v>23</v>
      </c>
      <c r="F1705">
        <v>6539.07</v>
      </c>
      <c r="G1705">
        <f t="array" ref="G1705">SalesData!$I$2 - 'RFM Table'!B1705</f>
        <v>306</v>
      </c>
      <c r="H1705">
        <f t="array" ref="H1705">COUNTIF(A:A,A1705)</f>
        <v>7</v>
      </c>
      <c r="I1705">
        <f t="array" ref="I1705">SUMIF(A:A,A1705,F:F)</f>
        <v>37031.050000000003</v>
      </c>
      <c r="J1705">
        <f t="array" ref="J1705">5 - INT(5 * (RANK(G1705,G:G, 1) - 1) / COUNT(G:G))</f>
        <v>3</v>
      </c>
      <c r="K1705">
        <f t="array" ref="K1705">INT(5 * (RANK(H1705,H:H, 0) - 1) / COUNT(H:H)) + 1</f>
        <v>4</v>
      </c>
      <c r="L1705">
        <f t="array" ref="L1705">INT(5 * (RANK(I1705,I:I, 0) - 1) / COUNT(I:I)) + 1</f>
        <v>2</v>
      </c>
      <c r="M1705" t="str">
        <f t="shared" si="52"/>
        <v>342</v>
      </c>
      <c r="N1705" s="6" t="str">
        <f t="shared" si="53"/>
        <v>Others</v>
      </c>
    </row>
    <row r="1706" spans="1:14" x14ac:dyDescent="0.35">
      <c r="A1706">
        <v>1180</v>
      </c>
      <c r="B1706" s="4">
        <v>45830.375085336993</v>
      </c>
      <c r="C1706" t="s">
        <v>6</v>
      </c>
      <c r="D1706" t="s">
        <v>19</v>
      </c>
      <c r="E1706" t="s">
        <v>23</v>
      </c>
      <c r="F1706">
        <v>1728.52</v>
      </c>
      <c r="G1706">
        <f t="array" ref="G1706">SalesData!$I$2 - 'RFM Table'!B1706</f>
        <v>306</v>
      </c>
      <c r="H1706">
        <f t="array" ref="H1706">COUNTIF(A:A,A1706)</f>
        <v>8</v>
      </c>
      <c r="I1706">
        <f t="array" ref="I1706">SUMIF(A:A,A1706,F:F)</f>
        <v>35247.5</v>
      </c>
      <c r="J1706">
        <f t="array" ref="J1706">5 - INT(5 * (RANK(G1706,G:G, 1) - 1) / COUNT(G:G))</f>
        <v>3</v>
      </c>
      <c r="K1706">
        <f t="array" ref="K1706">INT(5 * (RANK(H1706,H:H, 0) - 1) / COUNT(H:H)) + 1</f>
        <v>3</v>
      </c>
      <c r="L1706">
        <f t="array" ref="L1706">INT(5 * (RANK(I1706,I:I, 0) - 1) / COUNT(I:I)) + 1</f>
        <v>3</v>
      </c>
      <c r="M1706" t="str">
        <f t="shared" si="52"/>
        <v>333</v>
      </c>
      <c r="N1706" s="6" t="str">
        <f t="shared" si="53"/>
        <v>Others</v>
      </c>
    </row>
    <row r="1707" spans="1:14" x14ac:dyDescent="0.35">
      <c r="A1707">
        <v>1190</v>
      </c>
      <c r="B1707" s="4">
        <v>45831.375085336993</v>
      </c>
      <c r="C1707" t="s">
        <v>12</v>
      </c>
      <c r="D1707" t="s">
        <v>17</v>
      </c>
      <c r="E1707" t="s">
        <v>23</v>
      </c>
      <c r="F1707">
        <v>2467.35</v>
      </c>
      <c r="G1707">
        <f t="array" ref="G1707">SalesData!$I$2 - 'RFM Table'!B1707</f>
        <v>305</v>
      </c>
      <c r="H1707">
        <f t="array" ref="H1707">COUNTIF(A:A,A1707)</f>
        <v>7</v>
      </c>
      <c r="I1707">
        <f t="array" ref="I1707">SUMIF(A:A,A1707,F:F)</f>
        <v>21031.63</v>
      </c>
      <c r="J1707">
        <f t="array" ref="J1707">5 - INT(5 * (RANK(G1707,G:G, 1) - 1) / COUNT(G:G))</f>
        <v>3</v>
      </c>
      <c r="K1707">
        <f t="array" ref="K1707">INT(5 * (RANK(H1707,H:H, 0) - 1) / COUNT(H:H)) + 1</f>
        <v>4</v>
      </c>
      <c r="L1707">
        <f t="array" ref="L1707">INT(5 * (RANK(I1707,I:I, 0) - 1) / COUNT(I:I)) + 1</f>
        <v>5</v>
      </c>
      <c r="M1707" t="str">
        <f t="shared" si="52"/>
        <v>345</v>
      </c>
      <c r="N1707" s="6" t="str">
        <f t="shared" si="53"/>
        <v>Others</v>
      </c>
    </row>
    <row r="1708" spans="1:14" x14ac:dyDescent="0.35">
      <c r="A1708">
        <v>1339</v>
      </c>
      <c r="B1708" s="4">
        <v>45831.375085336993</v>
      </c>
      <c r="C1708" t="s">
        <v>6</v>
      </c>
      <c r="D1708" t="s">
        <v>21</v>
      </c>
      <c r="E1708" t="s">
        <v>25</v>
      </c>
      <c r="F1708">
        <v>6323.3</v>
      </c>
      <c r="G1708">
        <f t="array" ref="G1708">SalesData!$I$2 - 'RFM Table'!B1708</f>
        <v>305</v>
      </c>
      <c r="H1708">
        <f t="array" ref="H1708">COUNTIF(A:A,A1708)</f>
        <v>8</v>
      </c>
      <c r="I1708">
        <f t="array" ref="I1708">SUMIF(A:A,A1708,F:F)</f>
        <v>30873.260000000002</v>
      </c>
      <c r="J1708">
        <f t="array" ref="J1708">5 - INT(5 * (RANK(G1708,G:G, 1) - 1) / COUNT(G:G))</f>
        <v>3</v>
      </c>
      <c r="K1708">
        <f t="array" ref="K1708">INT(5 * (RANK(H1708,H:H, 0) - 1) / COUNT(H:H)) + 1</f>
        <v>3</v>
      </c>
      <c r="L1708">
        <f t="array" ref="L1708">INT(5 * (RANK(I1708,I:I, 0) - 1) / COUNT(I:I)) + 1</f>
        <v>3</v>
      </c>
      <c r="M1708" t="str">
        <f t="shared" si="52"/>
        <v>333</v>
      </c>
      <c r="N1708" s="6" t="str">
        <f t="shared" si="53"/>
        <v>Others</v>
      </c>
    </row>
    <row r="1709" spans="1:14" x14ac:dyDescent="0.35">
      <c r="A1709">
        <v>1190</v>
      </c>
      <c r="B1709" s="4">
        <v>45831.375085336993</v>
      </c>
      <c r="C1709" t="s">
        <v>7</v>
      </c>
      <c r="D1709" t="s">
        <v>22</v>
      </c>
      <c r="E1709" t="s">
        <v>25</v>
      </c>
      <c r="F1709">
        <v>2542.59</v>
      </c>
      <c r="G1709">
        <f t="array" ref="G1709">SalesData!$I$2 - 'RFM Table'!B1709</f>
        <v>305</v>
      </c>
      <c r="H1709">
        <f t="array" ref="H1709">COUNTIF(A:A,A1709)</f>
        <v>7</v>
      </c>
      <c r="I1709">
        <f t="array" ref="I1709">SUMIF(A:A,A1709,F:F)</f>
        <v>21031.63</v>
      </c>
      <c r="J1709">
        <f t="array" ref="J1709">5 - INT(5 * (RANK(G1709,G:G, 1) - 1) / COUNT(G:G))</f>
        <v>3</v>
      </c>
      <c r="K1709">
        <f t="array" ref="K1709">INT(5 * (RANK(H1709,H:H, 0) - 1) / COUNT(H:H)) + 1</f>
        <v>4</v>
      </c>
      <c r="L1709">
        <f t="array" ref="L1709">INT(5 * (RANK(I1709,I:I, 0) - 1) / COUNT(I:I)) + 1</f>
        <v>5</v>
      </c>
      <c r="M1709" t="str">
        <f t="shared" si="52"/>
        <v>345</v>
      </c>
      <c r="N1709" s="6" t="str">
        <f t="shared" si="53"/>
        <v>Others</v>
      </c>
    </row>
    <row r="1710" spans="1:14" x14ac:dyDescent="0.35">
      <c r="A1710">
        <v>1265</v>
      </c>
      <c r="B1710" s="4">
        <v>45831.375085336993</v>
      </c>
      <c r="C1710" t="s">
        <v>15</v>
      </c>
      <c r="D1710" t="s">
        <v>18</v>
      </c>
      <c r="E1710" t="s">
        <v>24</v>
      </c>
      <c r="F1710">
        <v>3356.04</v>
      </c>
      <c r="G1710">
        <f t="array" ref="G1710">SalesData!$I$2 - 'RFM Table'!B1710</f>
        <v>305</v>
      </c>
      <c r="H1710">
        <f t="array" ref="H1710">COUNTIF(A:A,A1710)</f>
        <v>7</v>
      </c>
      <c r="I1710">
        <f t="array" ref="I1710">SUMIF(A:A,A1710,F:F)</f>
        <v>24998.240000000005</v>
      </c>
      <c r="J1710">
        <f t="array" ref="J1710">5 - INT(5 * (RANK(G1710,G:G, 1) - 1) / COUNT(G:G))</f>
        <v>3</v>
      </c>
      <c r="K1710">
        <f t="array" ref="K1710">INT(5 * (RANK(H1710,H:H, 0) - 1) / COUNT(H:H)) + 1</f>
        <v>4</v>
      </c>
      <c r="L1710">
        <f t="array" ref="L1710">INT(5 * (RANK(I1710,I:I, 0) - 1) / COUNT(I:I)) + 1</f>
        <v>4</v>
      </c>
      <c r="M1710" t="str">
        <f t="shared" si="52"/>
        <v>344</v>
      </c>
      <c r="N1710" s="6" t="str">
        <f t="shared" si="53"/>
        <v>Others</v>
      </c>
    </row>
    <row r="1711" spans="1:14" x14ac:dyDescent="0.35">
      <c r="A1711">
        <v>1200</v>
      </c>
      <c r="B1711" s="4">
        <v>45831.375085336993</v>
      </c>
      <c r="C1711" t="s">
        <v>7</v>
      </c>
      <c r="D1711" t="s">
        <v>20</v>
      </c>
      <c r="E1711" t="s">
        <v>24</v>
      </c>
      <c r="F1711">
        <v>5006.32</v>
      </c>
      <c r="G1711">
        <f t="array" ref="G1711">SalesData!$I$2 - 'RFM Table'!B1711</f>
        <v>305</v>
      </c>
      <c r="H1711">
        <f t="array" ref="H1711">COUNTIF(A:A,A1711)</f>
        <v>6</v>
      </c>
      <c r="I1711">
        <f t="array" ref="I1711">SUMIF(A:A,A1711,F:F)</f>
        <v>24862.18</v>
      </c>
      <c r="J1711">
        <f t="array" ref="J1711">5 - INT(5 * (RANK(G1711,G:G, 1) - 1) / COUNT(G:G))</f>
        <v>3</v>
      </c>
      <c r="K1711">
        <f t="array" ref="K1711">INT(5 * (RANK(H1711,H:H, 0) - 1) / COUNT(H:H)) + 1</f>
        <v>4</v>
      </c>
      <c r="L1711">
        <f t="array" ref="L1711">INT(5 * (RANK(I1711,I:I, 0) - 1) / COUNT(I:I)) + 1</f>
        <v>4</v>
      </c>
      <c r="M1711" t="str">
        <f t="shared" si="52"/>
        <v>344</v>
      </c>
      <c r="N1711" s="6" t="str">
        <f t="shared" si="53"/>
        <v>Others</v>
      </c>
    </row>
    <row r="1712" spans="1:14" x14ac:dyDescent="0.35">
      <c r="A1712">
        <v>1395</v>
      </c>
      <c r="B1712" s="4">
        <v>45832.375085336993</v>
      </c>
      <c r="C1712" t="s">
        <v>12</v>
      </c>
      <c r="D1712" t="s">
        <v>20</v>
      </c>
      <c r="E1712" t="s">
        <v>24</v>
      </c>
      <c r="F1712">
        <v>4170.82</v>
      </c>
      <c r="G1712">
        <f t="array" ref="G1712">SalesData!$I$2 - 'RFM Table'!B1712</f>
        <v>304</v>
      </c>
      <c r="H1712">
        <f t="array" ref="H1712">COUNTIF(A:A,A1712)</f>
        <v>7</v>
      </c>
      <c r="I1712">
        <f t="array" ref="I1712">SUMIF(A:A,A1712,F:F)</f>
        <v>36778.530000000006</v>
      </c>
      <c r="J1712">
        <f t="array" ref="J1712">5 - INT(5 * (RANK(G1712,G:G, 1) - 1) / COUNT(G:G))</f>
        <v>3</v>
      </c>
      <c r="K1712">
        <f t="array" ref="K1712">INT(5 * (RANK(H1712,H:H, 0) - 1) / COUNT(H:H)) + 1</f>
        <v>4</v>
      </c>
      <c r="L1712">
        <f t="array" ref="L1712">INT(5 * (RANK(I1712,I:I, 0) - 1) / COUNT(I:I)) + 1</f>
        <v>3</v>
      </c>
      <c r="M1712" t="str">
        <f t="shared" si="52"/>
        <v>343</v>
      </c>
      <c r="N1712" s="6" t="str">
        <f t="shared" si="53"/>
        <v>Others</v>
      </c>
    </row>
    <row r="1713" spans="1:14" x14ac:dyDescent="0.35">
      <c r="A1713">
        <v>1038</v>
      </c>
      <c r="B1713" s="4">
        <v>45832.375085336993</v>
      </c>
      <c r="C1713" t="s">
        <v>9</v>
      </c>
      <c r="D1713" t="s">
        <v>22</v>
      </c>
      <c r="E1713" t="s">
        <v>23</v>
      </c>
      <c r="F1713">
        <v>4003.78</v>
      </c>
      <c r="G1713">
        <f t="array" ref="G1713">SalesData!$I$2 - 'RFM Table'!B1713</f>
        <v>304</v>
      </c>
      <c r="H1713">
        <f t="array" ref="H1713">COUNTIF(A:A,A1713)</f>
        <v>16</v>
      </c>
      <c r="I1713">
        <f t="array" ref="I1713">SUMIF(A:A,A1713,F:F)</f>
        <v>76962.720000000001</v>
      </c>
      <c r="J1713">
        <f t="array" ref="J1713">5 - INT(5 * (RANK(G1713,G:G, 1) - 1) / COUNT(G:G))</f>
        <v>3</v>
      </c>
      <c r="K1713">
        <f t="array" ref="K1713">INT(5 * (RANK(H1713,H:H, 0) - 1) / COUNT(H:H)) + 1</f>
        <v>1</v>
      </c>
      <c r="L1713">
        <f t="array" ref="L1713">INT(5 * (RANK(I1713,I:I, 0) - 1) / COUNT(I:I)) + 1</f>
        <v>1</v>
      </c>
      <c r="M1713" t="str">
        <f t="shared" si="52"/>
        <v>311</v>
      </c>
      <c r="N1713" s="6" t="str">
        <f t="shared" si="53"/>
        <v>Others</v>
      </c>
    </row>
    <row r="1714" spans="1:14" x14ac:dyDescent="0.35">
      <c r="A1714">
        <v>1361</v>
      </c>
      <c r="B1714" s="4">
        <v>45832.375085336993</v>
      </c>
      <c r="C1714" t="s">
        <v>8</v>
      </c>
      <c r="D1714" t="s">
        <v>20</v>
      </c>
      <c r="E1714" t="s">
        <v>23</v>
      </c>
      <c r="F1714">
        <v>4936.62</v>
      </c>
      <c r="G1714">
        <f t="array" ref="G1714">SalesData!$I$2 - 'RFM Table'!B1714</f>
        <v>304</v>
      </c>
      <c r="H1714">
        <f t="array" ref="H1714">COUNTIF(A:A,A1714)</f>
        <v>5</v>
      </c>
      <c r="I1714">
        <f t="array" ref="I1714">SUMIF(A:A,A1714,F:F)</f>
        <v>27766.260000000002</v>
      </c>
      <c r="J1714">
        <f t="array" ref="J1714">5 - INT(5 * (RANK(G1714,G:G, 1) - 1) / COUNT(G:G))</f>
        <v>3</v>
      </c>
      <c r="K1714">
        <f t="array" ref="K1714">INT(5 * (RANK(H1714,H:H, 0) - 1) / COUNT(H:H)) + 1</f>
        <v>5</v>
      </c>
      <c r="L1714">
        <f t="array" ref="L1714">INT(5 * (RANK(I1714,I:I, 0) - 1) / COUNT(I:I)) + 1</f>
        <v>4</v>
      </c>
      <c r="M1714" t="str">
        <f t="shared" si="52"/>
        <v>354</v>
      </c>
      <c r="N1714" s="6" t="str">
        <f t="shared" si="53"/>
        <v>Others</v>
      </c>
    </row>
    <row r="1715" spans="1:14" x14ac:dyDescent="0.35">
      <c r="A1715">
        <v>1294</v>
      </c>
      <c r="B1715" s="4">
        <v>45832.375085336993</v>
      </c>
      <c r="C1715" t="s">
        <v>6</v>
      </c>
      <c r="D1715" t="s">
        <v>20</v>
      </c>
      <c r="E1715" t="s">
        <v>24</v>
      </c>
      <c r="F1715">
        <v>1279.05</v>
      </c>
      <c r="G1715">
        <f t="array" ref="G1715">SalesData!$I$2 - 'RFM Table'!B1715</f>
        <v>304</v>
      </c>
      <c r="H1715">
        <f t="array" ref="H1715">COUNTIF(A:A,A1715)</f>
        <v>7</v>
      </c>
      <c r="I1715">
        <f t="array" ref="I1715">SUMIF(A:A,A1715,F:F)</f>
        <v>18314.88</v>
      </c>
      <c r="J1715">
        <f t="array" ref="J1715">5 - INT(5 * (RANK(G1715,G:G, 1) - 1) / COUNT(G:G))</f>
        <v>3</v>
      </c>
      <c r="K1715">
        <f t="array" ref="K1715">INT(5 * (RANK(H1715,H:H, 0) - 1) / COUNT(H:H)) + 1</f>
        <v>4</v>
      </c>
      <c r="L1715">
        <f t="array" ref="L1715">INT(5 * (RANK(I1715,I:I, 0) - 1) / COUNT(I:I)) + 1</f>
        <v>5</v>
      </c>
      <c r="M1715" t="str">
        <f t="shared" si="52"/>
        <v>345</v>
      </c>
      <c r="N1715" s="6" t="str">
        <f t="shared" si="53"/>
        <v>Others</v>
      </c>
    </row>
    <row r="1716" spans="1:14" x14ac:dyDescent="0.35">
      <c r="A1716">
        <v>1253</v>
      </c>
      <c r="B1716" s="4">
        <v>45833.375085336993</v>
      </c>
      <c r="C1716" t="s">
        <v>12</v>
      </c>
      <c r="D1716" t="s">
        <v>18</v>
      </c>
      <c r="E1716" t="s">
        <v>23</v>
      </c>
      <c r="F1716">
        <v>9840.98</v>
      </c>
      <c r="G1716">
        <f t="array" ref="G1716">SalesData!$I$2 - 'RFM Table'!B1716</f>
        <v>303</v>
      </c>
      <c r="H1716">
        <f t="array" ref="H1716">COUNTIF(A:A,A1716)</f>
        <v>7</v>
      </c>
      <c r="I1716">
        <f t="array" ref="I1716">SUMIF(A:A,A1716,F:F)</f>
        <v>47955.99</v>
      </c>
      <c r="J1716">
        <f t="array" ref="J1716">5 - INT(5 * (RANK(G1716,G:G, 1) - 1) / COUNT(G:G))</f>
        <v>3</v>
      </c>
      <c r="K1716">
        <f t="array" ref="K1716">INT(5 * (RANK(H1716,H:H, 0) - 1) / COUNT(H:H)) + 1</f>
        <v>4</v>
      </c>
      <c r="L1716">
        <f t="array" ref="L1716">INT(5 * (RANK(I1716,I:I, 0) - 1) / COUNT(I:I)) + 1</f>
        <v>1</v>
      </c>
      <c r="M1716" t="str">
        <f t="shared" si="52"/>
        <v>341</v>
      </c>
      <c r="N1716" s="6" t="str">
        <f t="shared" si="53"/>
        <v>Others</v>
      </c>
    </row>
    <row r="1717" spans="1:14" x14ac:dyDescent="0.35">
      <c r="A1717">
        <v>1281</v>
      </c>
      <c r="B1717" s="4">
        <v>45833.375085336993</v>
      </c>
      <c r="C1717" t="s">
        <v>14</v>
      </c>
      <c r="D1717" t="s">
        <v>16</v>
      </c>
      <c r="E1717" t="s">
        <v>25</v>
      </c>
      <c r="F1717">
        <v>1950.92</v>
      </c>
      <c r="G1717">
        <f t="array" ref="G1717">SalesData!$I$2 - 'RFM Table'!B1717</f>
        <v>303</v>
      </c>
      <c r="H1717">
        <f t="array" ref="H1717">COUNTIF(A:A,A1717)</f>
        <v>10</v>
      </c>
      <c r="I1717">
        <f t="array" ref="I1717">SUMIF(A:A,A1717,F:F)</f>
        <v>49420.710000000006</v>
      </c>
      <c r="J1717">
        <f t="array" ref="J1717">5 - INT(5 * (RANK(G1717,G:G, 1) - 1) / COUNT(G:G))</f>
        <v>3</v>
      </c>
      <c r="K1717">
        <f t="array" ref="K1717">INT(5 * (RANK(H1717,H:H, 0) - 1) / COUNT(H:H)) + 1</f>
        <v>2</v>
      </c>
      <c r="L1717">
        <f t="array" ref="L1717">INT(5 * (RANK(I1717,I:I, 0) - 1) / COUNT(I:I)) + 1</f>
        <v>1</v>
      </c>
      <c r="M1717" t="str">
        <f t="shared" si="52"/>
        <v>321</v>
      </c>
      <c r="N1717" s="6" t="str">
        <f t="shared" si="53"/>
        <v>Others</v>
      </c>
    </row>
    <row r="1718" spans="1:14" x14ac:dyDescent="0.35">
      <c r="A1718">
        <v>1047</v>
      </c>
      <c r="B1718" s="4">
        <v>45833.375085336993</v>
      </c>
      <c r="C1718" t="s">
        <v>10</v>
      </c>
      <c r="D1718" t="s">
        <v>17</v>
      </c>
      <c r="E1718" t="s">
        <v>23</v>
      </c>
      <c r="F1718">
        <v>4522.6099999999997</v>
      </c>
      <c r="G1718">
        <f t="array" ref="G1718">SalesData!$I$2 - 'RFM Table'!B1718</f>
        <v>303</v>
      </c>
      <c r="H1718">
        <f t="array" ref="H1718">COUNTIF(A:A,A1718)</f>
        <v>4</v>
      </c>
      <c r="I1718">
        <f t="array" ref="I1718">SUMIF(A:A,A1718,F:F)</f>
        <v>16102.51</v>
      </c>
      <c r="J1718">
        <f t="array" ref="J1718">5 - INT(5 * (RANK(G1718,G:G, 1) - 1) / COUNT(G:G))</f>
        <v>3</v>
      </c>
      <c r="K1718">
        <f t="array" ref="K1718">INT(5 * (RANK(H1718,H:H, 0) - 1) / COUNT(H:H)) + 1</f>
        <v>5</v>
      </c>
      <c r="L1718">
        <f t="array" ref="L1718">INT(5 * (RANK(I1718,I:I, 0) - 1) / COUNT(I:I)) + 1</f>
        <v>5</v>
      </c>
      <c r="M1718" t="str">
        <f t="shared" si="52"/>
        <v>355</v>
      </c>
      <c r="N1718" s="6" t="str">
        <f t="shared" si="53"/>
        <v>Others</v>
      </c>
    </row>
    <row r="1719" spans="1:14" x14ac:dyDescent="0.35">
      <c r="A1719">
        <v>1306</v>
      </c>
      <c r="B1719" s="4">
        <v>45833.375085336993</v>
      </c>
      <c r="C1719" t="s">
        <v>12</v>
      </c>
      <c r="D1719" t="s">
        <v>19</v>
      </c>
      <c r="E1719" t="s">
        <v>25</v>
      </c>
      <c r="F1719">
        <v>5706.43</v>
      </c>
      <c r="G1719">
        <f t="array" ref="G1719">SalesData!$I$2 - 'RFM Table'!B1719</f>
        <v>303</v>
      </c>
      <c r="H1719">
        <f t="array" ref="H1719">COUNTIF(A:A,A1719)</f>
        <v>4</v>
      </c>
      <c r="I1719">
        <f t="array" ref="I1719">SUMIF(A:A,A1719,F:F)</f>
        <v>21062.23</v>
      </c>
      <c r="J1719">
        <f t="array" ref="J1719">5 - INT(5 * (RANK(G1719,G:G, 1) - 1) / COUNT(G:G))</f>
        <v>3</v>
      </c>
      <c r="K1719">
        <f t="array" ref="K1719">INT(5 * (RANK(H1719,H:H, 0) - 1) / COUNT(H:H)) + 1</f>
        <v>5</v>
      </c>
      <c r="L1719">
        <f t="array" ref="L1719">INT(5 * (RANK(I1719,I:I, 0) - 1) / COUNT(I:I)) + 1</f>
        <v>5</v>
      </c>
      <c r="M1719" t="str">
        <f t="shared" si="52"/>
        <v>355</v>
      </c>
      <c r="N1719" s="6" t="str">
        <f t="shared" si="53"/>
        <v>Others</v>
      </c>
    </row>
    <row r="1720" spans="1:14" x14ac:dyDescent="0.35">
      <c r="A1720">
        <v>1213</v>
      </c>
      <c r="B1720" s="4">
        <v>45834.375085336993</v>
      </c>
      <c r="C1720" t="s">
        <v>8</v>
      </c>
      <c r="D1720" t="s">
        <v>22</v>
      </c>
      <c r="E1720" t="s">
        <v>23</v>
      </c>
      <c r="F1720">
        <v>2712.76</v>
      </c>
      <c r="G1720">
        <f t="array" ref="G1720">SalesData!$I$2 - 'RFM Table'!B1720</f>
        <v>302</v>
      </c>
      <c r="H1720">
        <f t="array" ref="H1720">COUNTIF(A:A,A1720)</f>
        <v>8</v>
      </c>
      <c r="I1720">
        <f t="array" ref="I1720">SUMIF(A:A,A1720,F:F)</f>
        <v>27291.54</v>
      </c>
      <c r="J1720">
        <f t="array" ref="J1720">5 - INT(5 * (RANK(G1720,G:G, 1) - 1) / COUNT(G:G))</f>
        <v>3</v>
      </c>
      <c r="K1720">
        <f t="array" ref="K1720">INT(5 * (RANK(H1720,H:H, 0) - 1) / COUNT(H:H)) + 1</f>
        <v>3</v>
      </c>
      <c r="L1720">
        <f t="array" ref="L1720">INT(5 * (RANK(I1720,I:I, 0) - 1) / COUNT(I:I)) + 1</f>
        <v>4</v>
      </c>
      <c r="M1720" t="str">
        <f t="shared" si="52"/>
        <v>334</v>
      </c>
      <c r="N1720" s="6" t="str">
        <f t="shared" si="53"/>
        <v>Others</v>
      </c>
    </row>
    <row r="1721" spans="1:14" x14ac:dyDescent="0.35">
      <c r="A1721">
        <v>1011</v>
      </c>
      <c r="B1721" s="4">
        <v>45834.375085336993</v>
      </c>
      <c r="C1721" t="s">
        <v>14</v>
      </c>
      <c r="D1721" t="s">
        <v>22</v>
      </c>
      <c r="E1721" t="s">
        <v>24</v>
      </c>
      <c r="F1721">
        <v>4596.6499999999996</v>
      </c>
      <c r="G1721">
        <f t="array" ref="G1721">SalesData!$I$2 - 'RFM Table'!B1721</f>
        <v>302</v>
      </c>
      <c r="H1721">
        <f t="array" ref="H1721">COUNTIF(A:A,A1721)</f>
        <v>16</v>
      </c>
      <c r="I1721">
        <f t="array" ref="I1721">SUMIF(A:A,A1721,F:F)</f>
        <v>58237.360000000008</v>
      </c>
      <c r="J1721">
        <f t="array" ref="J1721">5 - INT(5 * (RANK(G1721,G:G, 1) - 1) / COUNT(G:G))</f>
        <v>3</v>
      </c>
      <c r="K1721">
        <f t="array" ref="K1721">INT(5 * (RANK(H1721,H:H, 0) - 1) / COUNT(H:H)) + 1</f>
        <v>1</v>
      </c>
      <c r="L1721">
        <f t="array" ref="L1721">INT(5 * (RANK(I1721,I:I, 0) - 1) / COUNT(I:I)) + 1</f>
        <v>1</v>
      </c>
      <c r="M1721" t="str">
        <f t="shared" si="52"/>
        <v>311</v>
      </c>
      <c r="N1721" s="6" t="str">
        <f t="shared" si="53"/>
        <v>Others</v>
      </c>
    </row>
    <row r="1722" spans="1:14" x14ac:dyDescent="0.35">
      <c r="A1722">
        <v>1399</v>
      </c>
      <c r="B1722" s="4">
        <v>45834.375085336993</v>
      </c>
      <c r="C1722" t="s">
        <v>6</v>
      </c>
      <c r="D1722" t="s">
        <v>16</v>
      </c>
      <c r="E1722" t="s">
        <v>24</v>
      </c>
      <c r="F1722">
        <v>5597.63</v>
      </c>
      <c r="G1722">
        <f t="array" ref="G1722">SalesData!$I$2 - 'RFM Table'!B1722</f>
        <v>302</v>
      </c>
      <c r="H1722">
        <f t="array" ref="H1722">COUNTIF(A:A,A1722)</f>
        <v>9</v>
      </c>
      <c r="I1722">
        <f t="array" ref="I1722">SUMIF(A:A,A1722,F:F)</f>
        <v>34808.1</v>
      </c>
      <c r="J1722">
        <f t="array" ref="J1722">5 - INT(5 * (RANK(G1722,G:G, 1) - 1) / COUNT(G:G))</f>
        <v>3</v>
      </c>
      <c r="K1722">
        <f t="array" ref="K1722">INT(5 * (RANK(H1722,H:H, 0) - 1) / COUNT(H:H)) + 1</f>
        <v>2</v>
      </c>
      <c r="L1722">
        <f t="array" ref="L1722">INT(5 * (RANK(I1722,I:I, 0) - 1) / COUNT(I:I)) + 1</f>
        <v>3</v>
      </c>
      <c r="M1722" t="str">
        <f t="shared" si="52"/>
        <v>323</v>
      </c>
      <c r="N1722" s="6" t="str">
        <f t="shared" si="53"/>
        <v>Others</v>
      </c>
    </row>
    <row r="1723" spans="1:14" x14ac:dyDescent="0.35">
      <c r="A1723">
        <v>1251</v>
      </c>
      <c r="B1723" s="4">
        <v>45834.375085336993</v>
      </c>
      <c r="C1723" t="s">
        <v>9</v>
      </c>
      <c r="D1723" t="s">
        <v>22</v>
      </c>
      <c r="E1723" t="s">
        <v>25</v>
      </c>
      <c r="F1723">
        <v>5170.5200000000004</v>
      </c>
      <c r="G1723">
        <f t="array" ref="G1723">SalesData!$I$2 - 'RFM Table'!B1723</f>
        <v>302</v>
      </c>
      <c r="H1723">
        <f t="array" ref="H1723">COUNTIF(A:A,A1723)</f>
        <v>9</v>
      </c>
      <c r="I1723">
        <f t="array" ref="I1723">SUMIF(A:A,A1723,F:F)</f>
        <v>39183.29</v>
      </c>
      <c r="J1723">
        <f t="array" ref="J1723">5 - INT(5 * (RANK(G1723,G:G, 1) - 1) / COUNT(G:G))</f>
        <v>3</v>
      </c>
      <c r="K1723">
        <f t="array" ref="K1723">INT(5 * (RANK(H1723,H:H, 0) - 1) / COUNT(H:H)) + 1</f>
        <v>2</v>
      </c>
      <c r="L1723">
        <f t="array" ref="L1723">INT(5 * (RANK(I1723,I:I, 0) - 1) / COUNT(I:I)) + 1</f>
        <v>2</v>
      </c>
      <c r="M1723" t="str">
        <f t="shared" si="52"/>
        <v>322</v>
      </c>
      <c r="N1723" s="6" t="str">
        <f t="shared" si="53"/>
        <v>Others</v>
      </c>
    </row>
    <row r="1724" spans="1:14" x14ac:dyDescent="0.35">
      <c r="A1724">
        <v>1360</v>
      </c>
      <c r="B1724" s="4">
        <v>45834.375085336993</v>
      </c>
      <c r="C1724" t="s">
        <v>8</v>
      </c>
      <c r="D1724" t="s">
        <v>17</v>
      </c>
      <c r="E1724" t="s">
        <v>24</v>
      </c>
      <c r="F1724">
        <v>2299.69</v>
      </c>
      <c r="G1724">
        <f t="array" ref="G1724">SalesData!$I$2 - 'RFM Table'!B1724</f>
        <v>302</v>
      </c>
      <c r="H1724">
        <f t="array" ref="H1724">COUNTIF(A:A,A1724)</f>
        <v>8</v>
      </c>
      <c r="I1724">
        <f t="array" ref="I1724">SUMIF(A:A,A1724,F:F)</f>
        <v>31675.43</v>
      </c>
      <c r="J1724">
        <f t="array" ref="J1724">5 - INT(5 * (RANK(G1724,G:G, 1) - 1) / COUNT(G:G))</f>
        <v>3</v>
      </c>
      <c r="K1724">
        <f t="array" ref="K1724">INT(5 * (RANK(H1724,H:H, 0) - 1) / COUNT(H:H)) + 1</f>
        <v>3</v>
      </c>
      <c r="L1724">
        <f t="array" ref="L1724">INT(5 * (RANK(I1724,I:I, 0) - 1) / COUNT(I:I)) + 1</f>
        <v>3</v>
      </c>
      <c r="M1724" t="str">
        <f t="shared" si="52"/>
        <v>333</v>
      </c>
      <c r="N1724" s="6" t="str">
        <f t="shared" si="53"/>
        <v>Others</v>
      </c>
    </row>
    <row r="1725" spans="1:14" x14ac:dyDescent="0.35">
      <c r="A1725">
        <v>1169</v>
      </c>
      <c r="B1725" s="4">
        <v>45835.375085336993</v>
      </c>
      <c r="C1725" t="s">
        <v>7</v>
      </c>
      <c r="D1725" t="s">
        <v>16</v>
      </c>
      <c r="E1725" t="s">
        <v>25</v>
      </c>
      <c r="F1725">
        <v>2396.33</v>
      </c>
      <c r="G1725">
        <f t="array" ref="G1725">SalesData!$I$2 - 'RFM Table'!B1725</f>
        <v>301</v>
      </c>
      <c r="H1725">
        <f t="array" ref="H1725">COUNTIF(A:A,A1725)</f>
        <v>10</v>
      </c>
      <c r="I1725">
        <f t="array" ref="I1725">SUMIF(A:A,A1725,F:F)</f>
        <v>45640.06</v>
      </c>
      <c r="J1725">
        <f t="array" ref="J1725">5 - INT(5 * (RANK(G1725,G:G, 1) - 1) / COUNT(G:G))</f>
        <v>3</v>
      </c>
      <c r="K1725">
        <f t="array" ref="K1725">INT(5 * (RANK(H1725,H:H, 0) - 1) / COUNT(H:H)) + 1</f>
        <v>2</v>
      </c>
      <c r="L1725">
        <f t="array" ref="L1725">INT(5 * (RANK(I1725,I:I, 0) - 1) / COUNT(I:I)) + 1</f>
        <v>1</v>
      </c>
      <c r="M1725" t="str">
        <f t="shared" si="52"/>
        <v>321</v>
      </c>
      <c r="N1725" s="6" t="str">
        <f t="shared" si="53"/>
        <v>Others</v>
      </c>
    </row>
    <row r="1726" spans="1:14" x14ac:dyDescent="0.35">
      <c r="A1726">
        <v>1000</v>
      </c>
      <c r="B1726" s="4">
        <v>45835.375085336993</v>
      </c>
      <c r="C1726" t="s">
        <v>13</v>
      </c>
      <c r="D1726" t="s">
        <v>22</v>
      </c>
      <c r="E1726" t="s">
        <v>23</v>
      </c>
      <c r="F1726">
        <v>4218.3599999999997</v>
      </c>
      <c r="G1726">
        <f t="array" ref="G1726">SalesData!$I$2 - 'RFM Table'!B1726</f>
        <v>301</v>
      </c>
      <c r="H1726">
        <f t="array" ref="H1726">COUNTIF(A:A,A1726)</f>
        <v>11</v>
      </c>
      <c r="I1726">
        <f t="array" ref="I1726">SUMIF(A:A,A1726,F:F)</f>
        <v>62566.770000000004</v>
      </c>
      <c r="J1726">
        <f t="array" ref="J1726">5 - INT(5 * (RANK(G1726,G:G, 1) - 1) / COUNT(G:G))</f>
        <v>3</v>
      </c>
      <c r="K1726">
        <f t="array" ref="K1726">INT(5 * (RANK(H1726,H:H, 0) - 1) / COUNT(H:H)) + 1</f>
        <v>1</v>
      </c>
      <c r="L1726">
        <f t="array" ref="L1726">INT(5 * (RANK(I1726,I:I, 0) - 1) / COUNT(I:I)) + 1</f>
        <v>1</v>
      </c>
      <c r="M1726" t="str">
        <f t="shared" si="52"/>
        <v>311</v>
      </c>
      <c r="N1726" s="6" t="str">
        <f t="shared" si="53"/>
        <v>Others</v>
      </c>
    </row>
    <row r="1727" spans="1:14" x14ac:dyDescent="0.35">
      <c r="A1727">
        <v>1043</v>
      </c>
      <c r="B1727" s="4">
        <v>45836.375085336993</v>
      </c>
      <c r="C1727" t="s">
        <v>9</v>
      </c>
      <c r="D1727" t="s">
        <v>17</v>
      </c>
      <c r="E1727" t="s">
        <v>24</v>
      </c>
      <c r="F1727">
        <v>2773.89</v>
      </c>
      <c r="G1727">
        <f t="array" ref="G1727">SalesData!$I$2 - 'RFM Table'!B1727</f>
        <v>300</v>
      </c>
      <c r="H1727">
        <f t="array" ref="H1727">COUNTIF(A:A,A1727)</f>
        <v>7</v>
      </c>
      <c r="I1727">
        <f t="array" ref="I1727">SUMIF(A:A,A1727,F:F)</f>
        <v>20627.900000000001</v>
      </c>
      <c r="J1727">
        <f t="array" ref="J1727">5 - INT(5 * (RANK(G1727,G:G, 1) - 1) / COUNT(G:G))</f>
        <v>3</v>
      </c>
      <c r="K1727">
        <f t="array" ref="K1727">INT(5 * (RANK(H1727,H:H, 0) - 1) / COUNT(H:H)) + 1</f>
        <v>4</v>
      </c>
      <c r="L1727">
        <f t="array" ref="L1727">INT(5 * (RANK(I1727,I:I, 0) - 1) / COUNT(I:I)) + 1</f>
        <v>5</v>
      </c>
      <c r="M1727" t="str">
        <f t="shared" si="52"/>
        <v>345</v>
      </c>
      <c r="N1727" s="6" t="str">
        <f t="shared" si="53"/>
        <v>Others</v>
      </c>
    </row>
    <row r="1728" spans="1:14" x14ac:dyDescent="0.35">
      <c r="A1728">
        <v>1370</v>
      </c>
      <c r="B1728" s="4">
        <v>45836.375085336993</v>
      </c>
      <c r="C1728" t="s">
        <v>12</v>
      </c>
      <c r="D1728" t="s">
        <v>20</v>
      </c>
      <c r="E1728" t="s">
        <v>23</v>
      </c>
      <c r="F1728">
        <v>5481.27</v>
      </c>
      <c r="G1728">
        <f t="array" ref="G1728">SalesData!$I$2 - 'RFM Table'!B1728</f>
        <v>300</v>
      </c>
      <c r="H1728">
        <f t="array" ref="H1728">COUNTIF(A:A,A1728)</f>
        <v>12</v>
      </c>
      <c r="I1728">
        <f t="array" ref="I1728">SUMIF(A:A,A1728,F:F)</f>
        <v>46195.360000000001</v>
      </c>
      <c r="J1728">
        <f t="array" ref="J1728">5 - INT(5 * (RANK(G1728,G:G, 1) - 1) / COUNT(G:G))</f>
        <v>3</v>
      </c>
      <c r="K1728">
        <f t="array" ref="K1728">INT(5 * (RANK(H1728,H:H, 0) - 1) / COUNT(H:H)) + 1</f>
        <v>1</v>
      </c>
      <c r="L1728">
        <f t="array" ref="L1728">INT(5 * (RANK(I1728,I:I, 0) - 1) / COUNT(I:I)) + 1</f>
        <v>1</v>
      </c>
      <c r="M1728" t="str">
        <f t="shared" si="52"/>
        <v>311</v>
      </c>
      <c r="N1728" s="6" t="str">
        <f t="shared" si="53"/>
        <v>Others</v>
      </c>
    </row>
    <row r="1729" spans="1:14" x14ac:dyDescent="0.35">
      <c r="A1729">
        <v>1325</v>
      </c>
      <c r="B1729" s="4">
        <v>45836.375085336993</v>
      </c>
      <c r="C1729" t="s">
        <v>6</v>
      </c>
      <c r="D1729" t="s">
        <v>17</v>
      </c>
      <c r="E1729" t="s">
        <v>25</v>
      </c>
      <c r="F1729">
        <v>2369.12</v>
      </c>
      <c r="G1729">
        <f t="array" ref="G1729">SalesData!$I$2 - 'RFM Table'!B1729</f>
        <v>300</v>
      </c>
      <c r="H1729">
        <f t="array" ref="H1729">COUNTIF(A:A,A1729)</f>
        <v>9</v>
      </c>
      <c r="I1729">
        <f t="array" ref="I1729">SUMIF(A:A,A1729,F:F)</f>
        <v>38753.799999999988</v>
      </c>
      <c r="J1729">
        <f t="array" ref="J1729">5 - INT(5 * (RANK(G1729,G:G, 1) - 1) / COUNT(G:G))</f>
        <v>3</v>
      </c>
      <c r="K1729">
        <f t="array" ref="K1729">INT(5 * (RANK(H1729,H:H, 0) - 1) / COUNT(H:H)) + 1</f>
        <v>2</v>
      </c>
      <c r="L1729">
        <f t="array" ref="L1729">INT(5 * (RANK(I1729,I:I, 0) - 1) / COUNT(I:I)) + 1</f>
        <v>2</v>
      </c>
      <c r="M1729" t="str">
        <f t="shared" si="52"/>
        <v>322</v>
      </c>
      <c r="N1729" s="6" t="str">
        <f t="shared" si="53"/>
        <v>Others</v>
      </c>
    </row>
    <row r="1730" spans="1:14" x14ac:dyDescent="0.35">
      <c r="A1730">
        <v>1112</v>
      </c>
      <c r="B1730" s="4">
        <v>45836.375085336993</v>
      </c>
      <c r="C1730" t="s">
        <v>7</v>
      </c>
      <c r="D1730" t="s">
        <v>21</v>
      </c>
      <c r="E1730" t="s">
        <v>25</v>
      </c>
      <c r="F1730">
        <v>1587.12</v>
      </c>
      <c r="G1730">
        <f t="array" ref="G1730">SalesData!$I$2 - 'RFM Table'!B1730</f>
        <v>300</v>
      </c>
      <c r="H1730">
        <f t="array" ref="H1730">COUNTIF(A:A,A1730)</f>
        <v>12</v>
      </c>
      <c r="I1730">
        <f t="array" ref="I1730">SUMIF(A:A,A1730,F:F)</f>
        <v>38950.210000000006</v>
      </c>
      <c r="J1730">
        <f t="array" ref="J1730">5 - INT(5 * (RANK(G1730,G:G, 1) - 1) / COUNT(G:G))</f>
        <v>3</v>
      </c>
      <c r="K1730">
        <f t="array" ref="K1730">INT(5 * (RANK(H1730,H:H, 0) - 1) / COUNT(H:H)) + 1</f>
        <v>1</v>
      </c>
      <c r="L1730">
        <f t="array" ref="L1730">INT(5 * (RANK(I1730,I:I, 0) - 1) / COUNT(I:I)) + 1</f>
        <v>2</v>
      </c>
      <c r="M1730" t="str">
        <f t="shared" si="52"/>
        <v>312</v>
      </c>
      <c r="N1730" s="6" t="str">
        <f t="shared" si="53"/>
        <v>Others</v>
      </c>
    </row>
    <row r="1731" spans="1:14" x14ac:dyDescent="0.35">
      <c r="A1731">
        <v>1151</v>
      </c>
      <c r="B1731" s="4">
        <v>45836.375085336993</v>
      </c>
      <c r="C1731" t="s">
        <v>8</v>
      </c>
      <c r="D1731" t="s">
        <v>17</v>
      </c>
      <c r="E1731" t="s">
        <v>24</v>
      </c>
      <c r="F1731">
        <v>3139.96</v>
      </c>
      <c r="G1731">
        <f t="array" ref="G1731">SalesData!$I$2 - 'RFM Table'!B1731</f>
        <v>300</v>
      </c>
      <c r="H1731">
        <f t="array" ref="H1731">COUNTIF(A:A,A1731)</f>
        <v>13</v>
      </c>
      <c r="I1731">
        <f t="array" ref="I1731">SUMIF(A:A,A1731,F:F)</f>
        <v>49208.94</v>
      </c>
      <c r="J1731">
        <f t="array" ref="J1731">5 - INT(5 * (RANK(G1731,G:G, 1) - 1) / COUNT(G:G))</f>
        <v>3</v>
      </c>
      <c r="K1731">
        <f t="array" ref="K1731">INT(5 * (RANK(H1731,H:H, 0) - 1) / COUNT(H:H)) + 1</f>
        <v>1</v>
      </c>
      <c r="L1731">
        <f t="array" ref="L1731">INT(5 * (RANK(I1731,I:I, 0) - 1) / COUNT(I:I)) + 1</f>
        <v>1</v>
      </c>
      <c r="M1731" t="str">
        <f t="shared" ref="M1731:M1794" si="54">J1731 &amp; K1731 &amp; L1731</f>
        <v>311</v>
      </c>
      <c r="N1731" s="6" t="str">
        <f t="shared" ref="N1731:N1794" si="55">IF(AND(J1731&gt;=4,K1731&lt;=2),"New Customers",
IF(AND(J1731&lt;=2,K1731&gt;=3,L1731&gt;=3),"At Risk",
IF(AND(J1731&lt;=2,K1731&lt;=2,L1731&gt;=3),"Can't Lose Them",
IF(AND(J1731&lt;=2,K1731&lt;=2,L1731&lt;=2),"Lost",
"Others"))))</f>
        <v>Others</v>
      </c>
    </row>
    <row r="1732" spans="1:14" x14ac:dyDescent="0.35">
      <c r="A1732">
        <v>1181</v>
      </c>
      <c r="B1732" s="4">
        <v>45836.375085336993</v>
      </c>
      <c r="C1732" t="s">
        <v>12</v>
      </c>
      <c r="D1732" t="s">
        <v>20</v>
      </c>
      <c r="E1732" t="s">
        <v>24</v>
      </c>
      <c r="F1732">
        <v>2940.2</v>
      </c>
      <c r="G1732">
        <f t="array" ref="G1732">SalesData!$I$2 - 'RFM Table'!B1732</f>
        <v>300</v>
      </c>
      <c r="H1732">
        <f t="array" ref="H1732">COUNTIF(A:A,A1732)</f>
        <v>4</v>
      </c>
      <c r="I1732">
        <f t="array" ref="I1732">SUMIF(A:A,A1732,F:F)</f>
        <v>16982.739999999998</v>
      </c>
      <c r="J1732">
        <f t="array" ref="J1732">5 - INT(5 * (RANK(G1732,G:G, 1) - 1) / COUNT(G:G))</f>
        <v>3</v>
      </c>
      <c r="K1732">
        <f t="array" ref="K1732">INT(5 * (RANK(H1732,H:H, 0) - 1) / COUNT(H:H)) + 1</f>
        <v>5</v>
      </c>
      <c r="L1732">
        <f t="array" ref="L1732">INT(5 * (RANK(I1732,I:I, 0) - 1) / COUNT(I:I)) + 1</f>
        <v>5</v>
      </c>
      <c r="M1732" t="str">
        <f t="shared" si="54"/>
        <v>355</v>
      </c>
      <c r="N1732" s="6" t="str">
        <f t="shared" si="55"/>
        <v>Others</v>
      </c>
    </row>
    <row r="1733" spans="1:14" x14ac:dyDescent="0.35">
      <c r="A1733">
        <v>1241</v>
      </c>
      <c r="B1733" s="4">
        <v>45837.375085336993</v>
      </c>
      <c r="C1733" t="s">
        <v>12</v>
      </c>
      <c r="D1733" t="s">
        <v>22</v>
      </c>
      <c r="E1733" t="s">
        <v>23</v>
      </c>
      <c r="F1733">
        <v>2019.21</v>
      </c>
      <c r="G1733">
        <f t="array" ref="G1733">SalesData!$I$2 - 'RFM Table'!B1733</f>
        <v>299</v>
      </c>
      <c r="H1733">
        <f t="array" ref="H1733">COUNTIF(A:A,A1733)</f>
        <v>10</v>
      </c>
      <c r="I1733">
        <f t="array" ref="I1733">SUMIF(A:A,A1733,F:F)</f>
        <v>38069.94</v>
      </c>
      <c r="J1733">
        <f t="array" ref="J1733">5 - INT(5 * (RANK(G1733,G:G, 1) - 1) / COUNT(G:G))</f>
        <v>3</v>
      </c>
      <c r="K1733">
        <f t="array" ref="K1733">INT(5 * (RANK(H1733,H:H, 0) - 1) / COUNT(H:H)) + 1</f>
        <v>2</v>
      </c>
      <c r="L1733">
        <f t="array" ref="L1733">INT(5 * (RANK(I1733,I:I, 0) - 1) / COUNT(I:I)) + 1</f>
        <v>2</v>
      </c>
      <c r="M1733" t="str">
        <f t="shared" si="54"/>
        <v>322</v>
      </c>
      <c r="N1733" s="6" t="str">
        <f t="shared" si="55"/>
        <v>Others</v>
      </c>
    </row>
    <row r="1734" spans="1:14" x14ac:dyDescent="0.35">
      <c r="A1734">
        <v>1236</v>
      </c>
      <c r="B1734" s="4">
        <v>45837.375085336993</v>
      </c>
      <c r="C1734" t="s">
        <v>10</v>
      </c>
      <c r="D1734" t="s">
        <v>17</v>
      </c>
      <c r="E1734" t="s">
        <v>25</v>
      </c>
      <c r="F1734">
        <v>1534.56</v>
      </c>
      <c r="G1734">
        <f t="array" ref="G1734">SalesData!$I$2 - 'RFM Table'!B1734</f>
        <v>299</v>
      </c>
      <c r="H1734">
        <f t="array" ref="H1734">COUNTIF(A:A,A1734)</f>
        <v>10</v>
      </c>
      <c r="I1734">
        <f t="array" ref="I1734">SUMIF(A:A,A1734,F:F)</f>
        <v>40760.559999999998</v>
      </c>
      <c r="J1734">
        <f t="array" ref="J1734">5 - INT(5 * (RANK(G1734,G:G, 1) - 1) / COUNT(G:G))</f>
        <v>3</v>
      </c>
      <c r="K1734">
        <f t="array" ref="K1734">INT(5 * (RANK(H1734,H:H, 0) - 1) / COUNT(H:H)) + 1</f>
        <v>2</v>
      </c>
      <c r="L1734">
        <f t="array" ref="L1734">INT(5 * (RANK(I1734,I:I, 0) - 1) / COUNT(I:I)) + 1</f>
        <v>2</v>
      </c>
      <c r="M1734" t="str">
        <f t="shared" si="54"/>
        <v>322</v>
      </c>
      <c r="N1734" s="6" t="str">
        <f t="shared" si="55"/>
        <v>Others</v>
      </c>
    </row>
    <row r="1735" spans="1:14" x14ac:dyDescent="0.35">
      <c r="A1735">
        <v>1263</v>
      </c>
      <c r="B1735" s="4">
        <v>45837.375085336993</v>
      </c>
      <c r="C1735" t="s">
        <v>15</v>
      </c>
      <c r="D1735" t="s">
        <v>22</v>
      </c>
      <c r="E1735" t="s">
        <v>25</v>
      </c>
      <c r="F1735">
        <v>1609.88</v>
      </c>
      <c r="G1735">
        <f t="array" ref="G1735">SalesData!$I$2 - 'RFM Table'!B1735</f>
        <v>299</v>
      </c>
      <c r="H1735">
        <f t="array" ref="H1735">COUNTIF(A:A,A1735)</f>
        <v>15</v>
      </c>
      <c r="I1735">
        <f t="array" ref="I1735">SUMIF(A:A,A1735,F:F)</f>
        <v>55867.080000000016</v>
      </c>
      <c r="J1735">
        <f t="array" ref="J1735">5 - INT(5 * (RANK(G1735,G:G, 1) - 1) / COUNT(G:G))</f>
        <v>3</v>
      </c>
      <c r="K1735">
        <f t="array" ref="K1735">INT(5 * (RANK(H1735,H:H, 0) - 1) / COUNT(H:H)) + 1</f>
        <v>1</v>
      </c>
      <c r="L1735">
        <f t="array" ref="L1735">INT(5 * (RANK(I1735,I:I, 0) - 1) / COUNT(I:I)) + 1</f>
        <v>1</v>
      </c>
      <c r="M1735" t="str">
        <f t="shared" si="54"/>
        <v>311</v>
      </c>
      <c r="N1735" s="6" t="str">
        <f t="shared" si="55"/>
        <v>Others</v>
      </c>
    </row>
    <row r="1736" spans="1:14" x14ac:dyDescent="0.35">
      <c r="A1736">
        <v>1343</v>
      </c>
      <c r="B1736" s="4">
        <v>45837.375085336993</v>
      </c>
      <c r="C1736" t="s">
        <v>10</v>
      </c>
      <c r="D1736" t="s">
        <v>16</v>
      </c>
      <c r="E1736" t="s">
        <v>25</v>
      </c>
      <c r="F1736">
        <v>7563.36</v>
      </c>
      <c r="G1736">
        <f t="array" ref="G1736">SalesData!$I$2 - 'RFM Table'!B1736</f>
        <v>299</v>
      </c>
      <c r="H1736">
        <f t="array" ref="H1736">COUNTIF(A:A,A1736)</f>
        <v>9</v>
      </c>
      <c r="I1736">
        <f t="array" ref="I1736">SUMIF(A:A,A1736,F:F)</f>
        <v>40117.730000000003</v>
      </c>
      <c r="J1736">
        <f t="array" ref="J1736">5 - INT(5 * (RANK(G1736,G:G, 1) - 1) / COUNT(G:G))</f>
        <v>3</v>
      </c>
      <c r="K1736">
        <f t="array" ref="K1736">INT(5 * (RANK(H1736,H:H, 0) - 1) / COUNT(H:H)) + 1</f>
        <v>2</v>
      </c>
      <c r="L1736">
        <f t="array" ref="L1736">INT(5 * (RANK(I1736,I:I, 0) - 1) / COUNT(I:I)) + 1</f>
        <v>2</v>
      </c>
      <c r="M1736" t="str">
        <f t="shared" si="54"/>
        <v>322</v>
      </c>
      <c r="N1736" s="6" t="str">
        <f t="shared" si="55"/>
        <v>Others</v>
      </c>
    </row>
    <row r="1737" spans="1:14" x14ac:dyDescent="0.35">
      <c r="A1737">
        <v>1341</v>
      </c>
      <c r="B1737" s="4">
        <v>45838.375085336993</v>
      </c>
      <c r="C1737" t="s">
        <v>9</v>
      </c>
      <c r="D1737" t="s">
        <v>18</v>
      </c>
      <c r="E1737" t="s">
        <v>25</v>
      </c>
      <c r="F1737">
        <v>1764.01</v>
      </c>
      <c r="G1737">
        <f t="array" ref="G1737">SalesData!$I$2 - 'RFM Table'!B1737</f>
        <v>298</v>
      </c>
      <c r="H1737">
        <f t="array" ref="H1737">COUNTIF(A:A,A1737)</f>
        <v>11</v>
      </c>
      <c r="I1737">
        <f t="array" ref="I1737">SUMIF(A:A,A1737,F:F)</f>
        <v>45526.78</v>
      </c>
      <c r="J1737">
        <f t="array" ref="J1737">5 - INT(5 * (RANK(G1737,G:G, 1) - 1) / COUNT(G:G))</f>
        <v>3</v>
      </c>
      <c r="K1737">
        <f t="array" ref="K1737">INT(5 * (RANK(H1737,H:H, 0) - 1) / COUNT(H:H)) + 1</f>
        <v>1</v>
      </c>
      <c r="L1737">
        <f t="array" ref="L1737">INT(5 * (RANK(I1737,I:I, 0) - 1) / COUNT(I:I)) + 1</f>
        <v>1</v>
      </c>
      <c r="M1737" t="str">
        <f t="shared" si="54"/>
        <v>311</v>
      </c>
      <c r="N1737" s="6" t="str">
        <f t="shared" si="55"/>
        <v>Others</v>
      </c>
    </row>
    <row r="1738" spans="1:14" x14ac:dyDescent="0.35">
      <c r="A1738">
        <v>1032</v>
      </c>
      <c r="B1738" s="4">
        <v>45838.375085336993</v>
      </c>
      <c r="C1738" t="s">
        <v>8</v>
      </c>
      <c r="D1738" t="s">
        <v>22</v>
      </c>
      <c r="E1738" t="s">
        <v>23</v>
      </c>
      <c r="F1738">
        <v>7592.99</v>
      </c>
      <c r="G1738">
        <f t="array" ref="G1738">SalesData!$I$2 - 'RFM Table'!B1738</f>
        <v>298</v>
      </c>
      <c r="H1738">
        <f t="array" ref="H1738">COUNTIF(A:A,A1738)</f>
        <v>4</v>
      </c>
      <c r="I1738">
        <f t="array" ref="I1738">SUMIF(A:A,A1738,F:F)</f>
        <v>24173.510000000002</v>
      </c>
      <c r="J1738">
        <f t="array" ref="J1738">5 - INT(5 * (RANK(G1738,G:G, 1) - 1) / COUNT(G:G))</f>
        <v>3</v>
      </c>
      <c r="K1738">
        <f t="array" ref="K1738">INT(5 * (RANK(H1738,H:H, 0) - 1) / COUNT(H:H)) + 1</f>
        <v>5</v>
      </c>
      <c r="L1738">
        <f t="array" ref="L1738">INT(5 * (RANK(I1738,I:I, 0) - 1) / COUNT(I:I)) + 1</f>
        <v>4</v>
      </c>
      <c r="M1738" t="str">
        <f t="shared" si="54"/>
        <v>354</v>
      </c>
      <c r="N1738" s="6" t="str">
        <f t="shared" si="55"/>
        <v>Others</v>
      </c>
    </row>
    <row r="1739" spans="1:14" x14ac:dyDescent="0.35">
      <c r="A1739">
        <v>1287</v>
      </c>
      <c r="B1739" s="4">
        <v>45838.375085336993</v>
      </c>
      <c r="C1739" t="s">
        <v>12</v>
      </c>
      <c r="D1739" t="s">
        <v>21</v>
      </c>
      <c r="E1739" t="s">
        <v>23</v>
      </c>
      <c r="F1739">
        <v>9488.91</v>
      </c>
      <c r="G1739">
        <f t="array" ref="G1739">SalesData!$I$2 - 'RFM Table'!B1739</f>
        <v>298</v>
      </c>
      <c r="H1739">
        <f t="array" ref="H1739">COUNTIF(A:A,A1739)</f>
        <v>16</v>
      </c>
      <c r="I1739">
        <f t="array" ref="I1739">SUMIF(A:A,A1739,F:F)</f>
        <v>64716.249999999985</v>
      </c>
      <c r="J1739">
        <f t="array" ref="J1739">5 - INT(5 * (RANK(G1739,G:G, 1) - 1) / COUNT(G:G))</f>
        <v>3</v>
      </c>
      <c r="K1739">
        <f t="array" ref="K1739">INT(5 * (RANK(H1739,H:H, 0) - 1) / COUNT(H:H)) + 1</f>
        <v>1</v>
      </c>
      <c r="L1739">
        <f t="array" ref="L1739">INT(5 * (RANK(I1739,I:I, 0) - 1) / COUNT(I:I)) + 1</f>
        <v>1</v>
      </c>
      <c r="M1739" t="str">
        <f t="shared" si="54"/>
        <v>311</v>
      </c>
      <c r="N1739" s="6" t="str">
        <f t="shared" si="55"/>
        <v>Others</v>
      </c>
    </row>
    <row r="1740" spans="1:14" x14ac:dyDescent="0.35">
      <c r="A1740">
        <v>1334</v>
      </c>
      <c r="B1740" s="4">
        <v>45838.375085336993</v>
      </c>
      <c r="C1740" t="s">
        <v>15</v>
      </c>
      <c r="D1740" t="s">
        <v>19</v>
      </c>
      <c r="E1740" t="s">
        <v>25</v>
      </c>
      <c r="F1740">
        <v>1884.18</v>
      </c>
      <c r="G1740">
        <f t="array" ref="G1740">SalesData!$I$2 - 'RFM Table'!B1740</f>
        <v>298</v>
      </c>
      <c r="H1740">
        <f t="array" ref="H1740">COUNTIF(A:A,A1740)</f>
        <v>7</v>
      </c>
      <c r="I1740">
        <f t="array" ref="I1740">SUMIF(A:A,A1740,F:F)</f>
        <v>17825.52</v>
      </c>
      <c r="J1740">
        <f t="array" ref="J1740">5 - INT(5 * (RANK(G1740,G:G, 1) - 1) / COUNT(G:G))</f>
        <v>3</v>
      </c>
      <c r="K1740">
        <f t="array" ref="K1740">INT(5 * (RANK(H1740,H:H, 0) - 1) / COUNT(H:H)) + 1</f>
        <v>4</v>
      </c>
      <c r="L1740">
        <f t="array" ref="L1740">INT(5 * (RANK(I1740,I:I, 0) - 1) / COUNT(I:I)) + 1</f>
        <v>5</v>
      </c>
      <c r="M1740" t="str">
        <f t="shared" si="54"/>
        <v>345</v>
      </c>
      <c r="N1740" s="6" t="str">
        <f t="shared" si="55"/>
        <v>Others</v>
      </c>
    </row>
    <row r="1741" spans="1:14" x14ac:dyDescent="0.35">
      <c r="A1741">
        <v>1317</v>
      </c>
      <c r="B1741" s="4">
        <v>45839.375085336993</v>
      </c>
      <c r="C1741" t="s">
        <v>11</v>
      </c>
      <c r="D1741" t="s">
        <v>21</v>
      </c>
      <c r="E1741" t="s">
        <v>23</v>
      </c>
      <c r="F1741">
        <v>4326.58</v>
      </c>
      <c r="G1741">
        <f t="array" ref="G1741">SalesData!$I$2 - 'RFM Table'!B1741</f>
        <v>297</v>
      </c>
      <c r="H1741">
        <f t="array" ref="H1741">COUNTIF(A:A,A1741)</f>
        <v>12</v>
      </c>
      <c r="I1741">
        <f t="array" ref="I1741">SUMIF(A:A,A1741,F:F)</f>
        <v>43413.4</v>
      </c>
      <c r="J1741">
        <f t="array" ref="J1741">5 - INT(5 * (RANK(G1741,G:G, 1) - 1) / COUNT(G:G))</f>
        <v>3</v>
      </c>
      <c r="K1741">
        <f t="array" ref="K1741">INT(5 * (RANK(H1741,H:H, 0) - 1) / COUNT(H:H)) + 1</f>
        <v>1</v>
      </c>
      <c r="L1741">
        <f t="array" ref="L1741">INT(5 * (RANK(I1741,I:I, 0) - 1) / COUNT(I:I)) + 1</f>
        <v>2</v>
      </c>
      <c r="M1741" t="str">
        <f t="shared" si="54"/>
        <v>312</v>
      </c>
      <c r="N1741" s="6" t="str">
        <f t="shared" si="55"/>
        <v>Others</v>
      </c>
    </row>
    <row r="1742" spans="1:14" x14ac:dyDescent="0.35">
      <c r="A1742">
        <v>1236</v>
      </c>
      <c r="B1742" s="4">
        <v>45839.375085336993</v>
      </c>
      <c r="C1742" t="s">
        <v>10</v>
      </c>
      <c r="D1742" t="s">
        <v>16</v>
      </c>
      <c r="E1742" t="s">
        <v>25</v>
      </c>
      <c r="F1742">
        <v>2861.46</v>
      </c>
      <c r="G1742">
        <f t="array" ref="G1742">SalesData!$I$2 - 'RFM Table'!B1742</f>
        <v>297</v>
      </c>
      <c r="H1742">
        <f t="array" ref="H1742">COUNTIF(A:A,A1742)</f>
        <v>10</v>
      </c>
      <c r="I1742">
        <f t="array" ref="I1742">SUMIF(A:A,A1742,F:F)</f>
        <v>40760.559999999998</v>
      </c>
      <c r="J1742">
        <f t="array" ref="J1742">5 - INT(5 * (RANK(G1742,G:G, 1) - 1) / COUNT(G:G))</f>
        <v>3</v>
      </c>
      <c r="K1742">
        <f t="array" ref="K1742">INT(5 * (RANK(H1742,H:H, 0) - 1) / COUNT(H:H)) + 1</f>
        <v>2</v>
      </c>
      <c r="L1742">
        <f t="array" ref="L1742">INT(5 * (RANK(I1742,I:I, 0) - 1) / COUNT(I:I)) + 1</f>
        <v>2</v>
      </c>
      <c r="M1742" t="str">
        <f t="shared" si="54"/>
        <v>322</v>
      </c>
      <c r="N1742" s="6" t="str">
        <f t="shared" si="55"/>
        <v>Others</v>
      </c>
    </row>
    <row r="1743" spans="1:14" x14ac:dyDescent="0.35">
      <c r="A1743">
        <v>1063</v>
      </c>
      <c r="B1743" s="4">
        <v>45839.375085336993</v>
      </c>
      <c r="C1743" t="s">
        <v>15</v>
      </c>
      <c r="D1743" t="s">
        <v>19</v>
      </c>
      <c r="E1743" t="s">
        <v>23</v>
      </c>
      <c r="F1743">
        <v>11151.92</v>
      </c>
      <c r="G1743">
        <f t="array" ref="G1743">SalesData!$I$2 - 'RFM Table'!B1743</f>
        <v>297</v>
      </c>
      <c r="H1743">
        <f t="array" ref="H1743">COUNTIF(A:A,A1743)</f>
        <v>3</v>
      </c>
      <c r="I1743">
        <f t="array" ref="I1743">SUMIF(A:A,A1743,F:F)</f>
        <v>16888.900000000001</v>
      </c>
      <c r="J1743">
        <f t="array" ref="J1743">5 - INT(5 * (RANK(G1743,G:G, 1) - 1) / COUNT(G:G))</f>
        <v>3</v>
      </c>
      <c r="K1743">
        <f t="array" ref="K1743">INT(5 * (RANK(H1743,H:H, 0) - 1) / COUNT(H:H)) + 1</f>
        <v>5</v>
      </c>
      <c r="L1743">
        <f t="array" ref="L1743">INT(5 * (RANK(I1743,I:I, 0) - 1) / COUNT(I:I)) + 1</f>
        <v>5</v>
      </c>
      <c r="M1743" t="str">
        <f t="shared" si="54"/>
        <v>355</v>
      </c>
      <c r="N1743" s="6" t="str">
        <f t="shared" si="55"/>
        <v>Others</v>
      </c>
    </row>
    <row r="1744" spans="1:14" x14ac:dyDescent="0.35">
      <c r="A1744">
        <v>1283</v>
      </c>
      <c r="B1744" s="4">
        <v>45839.375085336993</v>
      </c>
      <c r="C1744" t="s">
        <v>13</v>
      </c>
      <c r="D1744" t="s">
        <v>16</v>
      </c>
      <c r="E1744" t="s">
        <v>24</v>
      </c>
      <c r="F1744">
        <v>8101.75</v>
      </c>
      <c r="G1744">
        <f t="array" ref="G1744">SalesData!$I$2 - 'RFM Table'!B1744</f>
        <v>297</v>
      </c>
      <c r="H1744">
        <f t="array" ref="H1744">COUNTIF(A:A,A1744)</f>
        <v>7</v>
      </c>
      <c r="I1744">
        <f t="array" ref="I1744">SUMIF(A:A,A1744,F:F)</f>
        <v>30708.170000000002</v>
      </c>
      <c r="J1744">
        <f t="array" ref="J1744">5 - INT(5 * (RANK(G1744,G:G, 1) - 1) / COUNT(G:G))</f>
        <v>3</v>
      </c>
      <c r="K1744">
        <f t="array" ref="K1744">INT(5 * (RANK(H1744,H:H, 0) - 1) / COUNT(H:H)) + 1</f>
        <v>4</v>
      </c>
      <c r="L1744">
        <f t="array" ref="L1744">INT(5 * (RANK(I1744,I:I, 0) - 1) / COUNT(I:I)) + 1</f>
        <v>3</v>
      </c>
      <c r="M1744" t="str">
        <f t="shared" si="54"/>
        <v>343</v>
      </c>
      <c r="N1744" s="6" t="str">
        <f t="shared" si="55"/>
        <v>Others</v>
      </c>
    </row>
    <row r="1745" spans="1:14" x14ac:dyDescent="0.35">
      <c r="A1745">
        <v>1001</v>
      </c>
      <c r="B1745" s="4">
        <v>45839.375085336993</v>
      </c>
      <c r="C1745" t="s">
        <v>14</v>
      </c>
      <c r="D1745" t="s">
        <v>20</v>
      </c>
      <c r="E1745" t="s">
        <v>25</v>
      </c>
      <c r="F1745">
        <v>3204.11</v>
      </c>
      <c r="G1745">
        <f t="array" ref="G1745">SalesData!$I$2 - 'RFM Table'!B1745</f>
        <v>297</v>
      </c>
      <c r="H1745">
        <f t="array" ref="H1745">COUNTIF(A:A,A1745)</f>
        <v>7</v>
      </c>
      <c r="I1745">
        <f t="array" ref="I1745">SUMIF(A:A,A1745,F:F)</f>
        <v>33081.189999999995</v>
      </c>
      <c r="J1745">
        <f t="array" ref="J1745">5 - INT(5 * (RANK(G1745,G:G, 1) - 1) / COUNT(G:G))</f>
        <v>3</v>
      </c>
      <c r="K1745">
        <f t="array" ref="K1745">INT(5 * (RANK(H1745,H:H, 0) - 1) / COUNT(H:H)) + 1</f>
        <v>4</v>
      </c>
      <c r="L1745">
        <f t="array" ref="L1745">INT(5 * (RANK(I1745,I:I, 0) - 1) / COUNT(I:I)) + 1</f>
        <v>3</v>
      </c>
      <c r="M1745" t="str">
        <f t="shared" si="54"/>
        <v>343</v>
      </c>
      <c r="N1745" s="6" t="str">
        <f t="shared" si="55"/>
        <v>Others</v>
      </c>
    </row>
    <row r="1746" spans="1:14" x14ac:dyDescent="0.35">
      <c r="A1746">
        <v>1075</v>
      </c>
      <c r="B1746" s="4">
        <v>45839.375085336993</v>
      </c>
      <c r="C1746" t="s">
        <v>10</v>
      </c>
      <c r="D1746" t="s">
        <v>21</v>
      </c>
      <c r="E1746" t="s">
        <v>24</v>
      </c>
      <c r="F1746">
        <v>4250.22</v>
      </c>
      <c r="G1746">
        <f t="array" ref="G1746">SalesData!$I$2 - 'RFM Table'!B1746</f>
        <v>297</v>
      </c>
      <c r="H1746">
        <f t="array" ref="H1746">COUNTIF(A:A,A1746)</f>
        <v>8</v>
      </c>
      <c r="I1746">
        <f t="array" ref="I1746">SUMIF(A:A,A1746,F:F)</f>
        <v>27084.66</v>
      </c>
      <c r="J1746">
        <f t="array" ref="J1746">5 - INT(5 * (RANK(G1746,G:G, 1) - 1) / COUNT(G:G))</f>
        <v>3</v>
      </c>
      <c r="K1746">
        <f t="array" ref="K1746">INT(5 * (RANK(H1746,H:H, 0) - 1) / COUNT(H:H)) + 1</f>
        <v>3</v>
      </c>
      <c r="L1746">
        <f t="array" ref="L1746">INT(5 * (RANK(I1746,I:I, 0) - 1) / COUNT(I:I)) + 1</f>
        <v>4</v>
      </c>
      <c r="M1746" t="str">
        <f t="shared" si="54"/>
        <v>334</v>
      </c>
      <c r="N1746" s="6" t="str">
        <f t="shared" si="55"/>
        <v>Others</v>
      </c>
    </row>
    <row r="1747" spans="1:14" x14ac:dyDescent="0.35">
      <c r="A1747">
        <v>1065</v>
      </c>
      <c r="B1747" s="4">
        <v>45840.375085336993</v>
      </c>
      <c r="C1747" t="s">
        <v>14</v>
      </c>
      <c r="D1747" t="s">
        <v>19</v>
      </c>
      <c r="E1747" t="s">
        <v>23</v>
      </c>
      <c r="F1747">
        <v>564.65</v>
      </c>
      <c r="G1747">
        <f t="array" ref="G1747">SalesData!$I$2 - 'RFM Table'!B1747</f>
        <v>296</v>
      </c>
      <c r="H1747">
        <f t="array" ref="H1747">COUNTIF(A:A,A1747)</f>
        <v>7</v>
      </c>
      <c r="I1747">
        <f t="array" ref="I1747">SUMIF(A:A,A1747,F:F)</f>
        <v>25155.31</v>
      </c>
      <c r="J1747">
        <f t="array" ref="J1747">5 - INT(5 * (RANK(G1747,G:G, 1) - 1) / COUNT(G:G))</f>
        <v>3</v>
      </c>
      <c r="K1747">
        <f t="array" ref="K1747">INT(5 * (RANK(H1747,H:H, 0) - 1) / COUNT(H:H)) + 1</f>
        <v>4</v>
      </c>
      <c r="L1747">
        <f t="array" ref="L1747">INT(5 * (RANK(I1747,I:I, 0) - 1) / COUNT(I:I)) + 1</f>
        <v>4</v>
      </c>
      <c r="M1747" t="str">
        <f t="shared" si="54"/>
        <v>344</v>
      </c>
      <c r="N1747" s="6" t="str">
        <f t="shared" si="55"/>
        <v>Others</v>
      </c>
    </row>
    <row r="1748" spans="1:14" x14ac:dyDescent="0.35">
      <c r="A1748">
        <v>1144</v>
      </c>
      <c r="B1748" s="4">
        <v>45840.375085336993</v>
      </c>
      <c r="C1748" t="s">
        <v>10</v>
      </c>
      <c r="D1748" t="s">
        <v>19</v>
      </c>
      <c r="E1748" t="s">
        <v>25</v>
      </c>
      <c r="F1748">
        <v>1082.83</v>
      </c>
      <c r="G1748">
        <f t="array" ref="G1748">SalesData!$I$2 - 'RFM Table'!B1748</f>
        <v>296</v>
      </c>
      <c r="H1748">
        <f t="array" ref="H1748">COUNTIF(A:A,A1748)</f>
        <v>11</v>
      </c>
      <c r="I1748">
        <f t="array" ref="I1748">SUMIF(A:A,A1748,F:F)</f>
        <v>62038.55</v>
      </c>
      <c r="J1748">
        <f t="array" ref="J1748">5 - INT(5 * (RANK(G1748,G:G, 1) - 1) / COUNT(G:G))</f>
        <v>3</v>
      </c>
      <c r="K1748">
        <f t="array" ref="K1748">INT(5 * (RANK(H1748,H:H, 0) - 1) / COUNT(H:H)) + 1</f>
        <v>1</v>
      </c>
      <c r="L1748">
        <f t="array" ref="L1748">INT(5 * (RANK(I1748,I:I, 0) - 1) / COUNT(I:I)) + 1</f>
        <v>1</v>
      </c>
      <c r="M1748" t="str">
        <f t="shared" si="54"/>
        <v>311</v>
      </c>
      <c r="N1748" s="6" t="str">
        <f t="shared" si="55"/>
        <v>Others</v>
      </c>
    </row>
    <row r="1749" spans="1:14" x14ac:dyDescent="0.35">
      <c r="A1749">
        <v>1148</v>
      </c>
      <c r="B1749" s="4">
        <v>45840.375085336993</v>
      </c>
      <c r="C1749" t="s">
        <v>10</v>
      </c>
      <c r="D1749" t="s">
        <v>22</v>
      </c>
      <c r="E1749" t="s">
        <v>25</v>
      </c>
      <c r="F1749">
        <v>10097.129999999999</v>
      </c>
      <c r="G1749">
        <f t="array" ref="G1749">SalesData!$I$2 - 'RFM Table'!B1749</f>
        <v>296</v>
      </c>
      <c r="H1749">
        <f t="array" ref="H1749">COUNTIF(A:A,A1749)</f>
        <v>12</v>
      </c>
      <c r="I1749">
        <f t="array" ref="I1749">SUMIF(A:A,A1749,F:F)</f>
        <v>83986.299999999988</v>
      </c>
      <c r="J1749">
        <f t="array" ref="J1749">5 - INT(5 * (RANK(G1749,G:G, 1) - 1) / COUNT(G:G))</f>
        <v>3</v>
      </c>
      <c r="K1749">
        <f t="array" ref="K1749">INT(5 * (RANK(H1749,H:H, 0) - 1) / COUNT(H:H)) + 1</f>
        <v>1</v>
      </c>
      <c r="L1749">
        <f t="array" ref="L1749">INT(5 * (RANK(I1749,I:I, 0) - 1) / COUNT(I:I)) + 1</f>
        <v>1</v>
      </c>
      <c r="M1749" t="str">
        <f t="shared" si="54"/>
        <v>311</v>
      </c>
      <c r="N1749" s="6" t="str">
        <f t="shared" si="55"/>
        <v>Others</v>
      </c>
    </row>
    <row r="1750" spans="1:14" x14ac:dyDescent="0.35">
      <c r="A1750">
        <v>1277</v>
      </c>
      <c r="B1750" s="4">
        <v>45841.375085336993</v>
      </c>
      <c r="C1750" t="s">
        <v>10</v>
      </c>
      <c r="D1750" t="s">
        <v>21</v>
      </c>
      <c r="E1750" t="s">
        <v>23</v>
      </c>
      <c r="F1750">
        <v>387.1</v>
      </c>
      <c r="G1750">
        <f t="array" ref="G1750">SalesData!$I$2 - 'RFM Table'!B1750</f>
        <v>295</v>
      </c>
      <c r="H1750">
        <f t="array" ref="H1750">COUNTIF(A:A,A1750)</f>
        <v>5</v>
      </c>
      <c r="I1750">
        <f t="array" ref="I1750">SUMIF(A:A,A1750,F:F)</f>
        <v>22112.27</v>
      </c>
      <c r="J1750">
        <f t="array" ref="J1750">5 - INT(5 * (RANK(G1750,G:G, 1) - 1) / COUNT(G:G))</f>
        <v>3</v>
      </c>
      <c r="K1750">
        <f t="array" ref="K1750">INT(5 * (RANK(H1750,H:H, 0) - 1) / COUNT(H:H)) + 1</f>
        <v>5</v>
      </c>
      <c r="L1750">
        <f t="array" ref="L1750">INT(5 * (RANK(I1750,I:I, 0) - 1) / COUNT(I:I)) + 1</f>
        <v>4</v>
      </c>
      <c r="M1750" t="str">
        <f t="shared" si="54"/>
        <v>354</v>
      </c>
      <c r="N1750" s="6" t="str">
        <f t="shared" si="55"/>
        <v>Others</v>
      </c>
    </row>
    <row r="1751" spans="1:14" x14ac:dyDescent="0.35">
      <c r="A1751">
        <v>1260</v>
      </c>
      <c r="B1751" s="4">
        <v>45841.375085336993</v>
      </c>
      <c r="C1751" t="s">
        <v>6</v>
      </c>
      <c r="D1751" t="s">
        <v>17</v>
      </c>
      <c r="E1751" t="s">
        <v>23</v>
      </c>
      <c r="F1751">
        <v>3196.11</v>
      </c>
      <c r="G1751">
        <f t="array" ref="G1751">SalesData!$I$2 - 'RFM Table'!B1751</f>
        <v>295</v>
      </c>
      <c r="H1751">
        <f t="array" ref="H1751">COUNTIF(A:A,A1751)</f>
        <v>10</v>
      </c>
      <c r="I1751">
        <f t="array" ref="I1751">SUMIF(A:A,A1751,F:F)</f>
        <v>67378.48000000001</v>
      </c>
      <c r="J1751">
        <f t="array" ref="J1751">5 - INT(5 * (RANK(G1751,G:G, 1) - 1) / COUNT(G:G))</f>
        <v>3</v>
      </c>
      <c r="K1751">
        <f t="array" ref="K1751">INT(5 * (RANK(H1751,H:H, 0) - 1) / COUNT(H:H)) + 1</f>
        <v>2</v>
      </c>
      <c r="L1751">
        <f t="array" ref="L1751">INT(5 * (RANK(I1751,I:I, 0) - 1) / COUNT(I:I)) + 1</f>
        <v>1</v>
      </c>
      <c r="M1751" t="str">
        <f t="shared" si="54"/>
        <v>321</v>
      </c>
      <c r="N1751" s="6" t="str">
        <f t="shared" si="55"/>
        <v>Others</v>
      </c>
    </row>
    <row r="1752" spans="1:14" x14ac:dyDescent="0.35">
      <c r="A1752">
        <v>1294</v>
      </c>
      <c r="B1752" s="4">
        <v>45841.375085336993</v>
      </c>
      <c r="C1752" t="s">
        <v>15</v>
      </c>
      <c r="D1752" t="s">
        <v>18</v>
      </c>
      <c r="E1752" t="s">
        <v>24</v>
      </c>
      <c r="F1752">
        <v>469.68</v>
      </c>
      <c r="G1752">
        <f t="array" ref="G1752">SalesData!$I$2 - 'RFM Table'!B1752</f>
        <v>295</v>
      </c>
      <c r="H1752">
        <f t="array" ref="H1752">COUNTIF(A:A,A1752)</f>
        <v>7</v>
      </c>
      <c r="I1752">
        <f t="array" ref="I1752">SUMIF(A:A,A1752,F:F)</f>
        <v>18314.88</v>
      </c>
      <c r="J1752">
        <f t="array" ref="J1752">5 - INT(5 * (RANK(G1752,G:G, 1) - 1) / COUNT(G:G))</f>
        <v>3</v>
      </c>
      <c r="K1752">
        <f t="array" ref="K1752">INT(5 * (RANK(H1752,H:H, 0) - 1) / COUNT(H:H)) + 1</f>
        <v>4</v>
      </c>
      <c r="L1752">
        <f t="array" ref="L1752">INT(5 * (RANK(I1752,I:I, 0) - 1) / COUNT(I:I)) + 1</f>
        <v>5</v>
      </c>
      <c r="M1752" t="str">
        <f t="shared" si="54"/>
        <v>345</v>
      </c>
      <c r="N1752" s="6" t="str">
        <f t="shared" si="55"/>
        <v>Others</v>
      </c>
    </row>
    <row r="1753" spans="1:14" x14ac:dyDescent="0.35">
      <c r="A1753">
        <v>1112</v>
      </c>
      <c r="B1753" s="4">
        <v>45841.375085336993</v>
      </c>
      <c r="C1753" t="s">
        <v>10</v>
      </c>
      <c r="D1753" t="s">
        <v>18</v>
      </c>
      <c r="E1753" t="s">
        <v>25</v>
      </c>
      <c r="F1753">
        <v>6906.44</v>
      </c>
      <c r="G1753">
        <f t="array" ref="G1753">SalesData!$I$2 - 'RFM Table'!B1753</f>
        <v>295</v>
      </c>
      <c r="H1753">
        <f t="array" ref="H1753">COUNTIF(A:A,A1753)</f>
        <v>12</v>
      </c>
      <c r="I1753">
        <f t="array" ref="I1753">SUMIF(A:A,A1753,F:F)</f>
        <v>38950.210000000006</v>
      </c>
      <c r="J1753">
        <f t="array" ref="J1753">5 - INT(5 * (RANK(G1753,G:G, 1) - 1) / COUNT(G:G))</f>
        <v>3</v>
      </c>
      <c r="K1753">
        <f t="array" ref="K1753">INT(5 * (RANK(H1753,H:H, 0) - 1) / COUNT(H:H)) + 1</f>
        <v>1</v>
      </c>
      <c r="L1753">
        <f t="array" ref="L1753">INT(5 * (RANK(I1753,I:I, 0) - 1) / COUNT(I:I)) + 1</f>
        <v>2</v>
      </c>
      <c r="M1753" t="str">
        <f t="shared" si="54"/>
        <v>312</v>
      </c>
      <c r="N1753" s="6" t="str">
        <f t="shared" si="55"/>
        <v>Others</v>
      </c>
    </row>
    <row r="1754" spans="1:14" x14ac:dyDescent="0.35">
      <c r="A1754">
        <v>1272</v>
      </c>
      <c r="B1754" s="4">
        <v>45842.375085336993</v>
      </c>
      <c r="C1754" t="s">
        <v>6</v>
      </c>
      <c r="D1754" t="s">
        <v>18</v>
      </c>
      <c r="E1754" t="s">
        <v>25</v>
      </c>
      <c r="F1754">
        <v>12225.4</v>
      </c>
      <c r="G1754">
        <f t="array" ref="G1754">SalesData!$I$2 - 'RFM Table'!B1754</f>
        <v>294</v>
      </c>
      <c r="H1754">
        <f t="array" ref="H1754">COUNTIF(A:A,A1754)</f>
        <v>10</v>
      </c>
      <c r="I1754">
        <f t="array" ref="I1754">SUMIF(A:A,A1754,F:F)</f>
        <v>54972.43</v>
      </c>
      <c r="J1754">
        <f t="array" ref="J1754">5 - INT(5 * (RANK(G1754,G:G, 1) - 1) / COUNT(G:G))</f>
        <v>3</v>
      </c>
      <c r="K1754">
        <f t="array" ref="K1754">INT(5 * (RANK(H1754,H:H, 0) - 1) / COUNT(H:H)) + 1</f>
        <v>2</v>
      </c>
      <c r="L1754">
        <f t="array" ref="L1754">INT(5 * (RANK(I1754,I:I, 0) - 1) / COUNT(I:I)) + 1</f>
        <v>1</v>
      </c>
      <c r="M1754" t="str">
        <f t="shared" si="54"/>
        <v>321</v>
      </c>
      <c r="N1754" s="6" t="str">
        <f t="shared" si="55"/>
        <v>Others</v>
      </c>
    </row>
    <row r="1755" spans="1:14" x14ac:dyDescent="0.35">
      <c r="A1755">
        <v>1296</v>
      </c>
      <c r="B1755" s="4">
        <v>45842.375085336993</v>
      </c>
      <c r="C1755" t="s">
        <v>12</v>
      </c>
      <c r="D1755" t="s">
        <v>16</v>
      </c>
      <c r="E1755" t="s">
        <v>25</v>
      </c>
      <c r="F1755">
        <v>6982.38</v>
      </c>
      <c r="G1755">
        <f t="array" ref="G1755">SalesData!$I$2 - 'RFM Table'!B1755</f>
        <v>294</v>
      </c>
      <c r="H1755">
        <f t="array" ref="H1755">COUNTIF(A:A,A1755)</f>
        <v>2</v>
      </c>
      <c r="I1755">
        <f t="array" ref="I1755">SUMIF(A:A,A1755,F:F)</f>
        <v>8127.38</v>
      </c>
      <c r="J1755">
        <f t="array" ref="J1755">5 - INT(5 * (RANK(G1755,G:G, 1) - 1) / COUNT(G:G))</f>
        <v>3</v>
      </c>
      <c r="K1755">
        <f t="array" ref="K1755">INT(5 * (RANK(H1755,H:H, 0) - 1) / COUNT(H:H)) + 1</f>
        <v>5</v>
      </c>
      <c r="L1755">
        <f t="array" ref="L1755">INT(5 * (RANK(I1755,I:I, 0) - 1) / COUNT(I:I)) + 1</f>
        <v>5</v>
      </c>
      <c r="M1755" t="str">
        <f t="shared" si="54"/>
        <v>355</v>
      </c>
      <c r="N1755" s="6" t="str">
        <f t="shared" si="55"/>
        <v>Others</v>
      </c>
    </row>
    <row r="1756" spans="1:14" x14ac:dyDescent="0.35">
      <c r="A1756">
        <v>1113</v>
      </c>
      <c r="B1756" s="4">
        <v>45842.375085336993</v>
      </c>
      <c r="C1756" t="s">
        <v>13</v>
      </c>
      <c r="D1756" t="s">
        <v>16</v>
      </c>
      <c r="E1756" t="s">
        <v>23</v>
      </c>
      <c r="F1756">
        <v>1119.45</v>
      </c>
      <c r="G1756">
        <f t="array" ref="G1756">SalesData!$I$2 - 'RFM Table'!B1756</f>
        <v>294</v>
      </c>
      <c r="H1756">
        <f t="array" ref="H1756">COUNTIF(A:A,A1756)</f>
        <v>7</v>
      </c>
      <c r="I1756">
        <f t="array" ref="I1756">SUMIF(A:A,A1756,F:F)</f>
        <v>17672.689999999999</v>
      </c>
      <c r="J1756">
        <f t="array" ref="J1756">5 - INT(5 * (RANK(G1756,G:G, 1) - 1) / COUNT(G:G))</f>
        <v>3</v>
      </c>
      <c r="K1756">
        <f t="array" ref="K1756">INT(5 * (RANK(H1756,H:H, 0) - 1) / COUNT(H:H)) + 1</f>
        <v>4</v>
      </c>
      <c r="L1756">
        <f t="array" ref="L1756">INT(5 * (RANK(I1756,I:I, 0) - 1) / COUNT(I:I)) + 1</f>
        <v>5</v>
      </c>
      <c r="M1756" t="str">
        <f t="shared" si="54"/>
        <v>345</v>
      </c>
      <c r="N1756" s="6" t="str">
        <f t="shared" si="55"/>
        <v>Others</v>
      </c>
    </row>
    <row r="1757" spans="1:14" x14ac:dyDescent="0.35">
      <c r="A1757">
        <v>1011</v>
      </c>
      <c r="B1757" s="4">
        <v>45843.375085336993</v>
      </c>
      <c r="C1757" t="s">
        <v>10</v>
      </c>
      <c r="D1757" t="s">
        <v>19</v>
      </c>
      <c r="E1757" t="s">
        <v>25</v>
      </c>
      <c r="F1757">
        <v>3060.51</v>
      </c>
      <c r="G1757">
        <f t="array" ref="G1757">SalesData!$I$2 - 'RFM Table'!B1757</f>
        <v>293</v>
      </c>
      <c r="H1757">
        <f t="array" ref="H1757">COUNTIF(A:A,A1757)</f>
        <v>16</v>
      </c>
      <c r="I1757">
        <f t="array" ref="I1757">SUMIF(A:A,A1757,F:F)</f>
        <v>58237.360000000008</v>
      </c>
      <c r="J1757">
        <f t="array" ref="J1757">5 - INT(5 * (RANK(G1757,G:G, 1) - 1) / COUNT(G:G))</f>
        <v>3</v>
      </c>
      <c r="K1757">
        <f t="array" ref="K1757">INT(5 * (RANK(H1757,H:H, 0) - 1) / COUNT(H:H)) + 1</f>
        <v>1</v>
      </c>
      <c r="L1757">
        <f t="array" ref="L1757">INT(5 * (RANK(I1757,I:I, 0) - 1) / COUNT(I:I)) + 1</f>
        <v>1</v>
      </c>
      <c r="M1757" t="str">
        <f t="shared" si="54"/>
        <v>311</v>
      </c>
      <c r="N1757" s="6" t="str">
        <f t="shared" si="55"/>
        <v>Others</v>
      </c>
    </row>
    <row r="1758" spans="1:14" x14ac:dyDescent="0.35">
      <c r="A1758">
        <v>1333</v>
      </c>
      <c r="B1758" s="4">
        <v>45843.375085336993</v>
      </c>
      <c r="C1758" t="s">
        <v>12</v>
      </c>
      <c r="D1758" t="s">
        <v>16</v>
      </c>
      <c r="E1758" t="s">
        <v>23</v>
      </c>
      <c r="F1758">
        <v>3179.84</v>
      </c>
      <c r="G1758">
        <f t="array" ref="G1758">SalesData!$I$2 - 'RFM Table'!B1758</f>
        <v>293</v>
      </c>
      <c r="H1758">
        <f t="array" ref="H1758">COUNTIF(A:A,A1758)</f>
        <v>6</v>
      </c>
      <c r="I1758">
        <f t="array" ref="I1758">SUMIF(A:A,A1758,F:F)</f>
        <v>12410.619999999999</v>
      </c>
      <c r="J1758">
        <f t="array" ref="J1758">5 - INT(5 * (RANK(G1758,G:G, 1) - 1) / COUNT(G:G))</f>
        <v>3</v>
      </c>
      <c r="K1758">
        <f t="array" ref="K1758">INT(5 * (RANK(H1758,H:H, 0) - 1) / COUNT(H:H)) + 1</f>
        <v>4</v>
      </c>
      <c r="L1758">
        <f t="array" ref="L1758">INT(5 * (RANK(I1758,I:I, 0) - 1) / COUNT(I:I)) + 1</f>
        <v>5</v>
      </c>
      <c r="M1758" t="str">
        <f t="shared" si="54"/>
        <v>345</v>
      </c>
      <c r="N1758" s="6" t="str">
        <f t="shared" si="55"/>
        <v>Others</v>
      </c>
    </row>
    <row r="1759" spans="1:14" x14ac:dyDescent="0.35">
      <c r="A1759">
        <v>1181</v>
      </c>
      <c r="B1759" s="4">
        <v>45843.375085336993</v>
      </c>
      <c r="C1759" t="s">
        <v>13</v>
      </c>
      <c r="D1759" t="s">
        <v>16</v>
      </c>
      <c r="E1759" t="s">
        <v>24</v>
      </c>
      <c r="F1759">
        <v>5754.8</v>
      </c>
      <c r="G1759">
        <f t="array" ref="G1759">SalesData!$I$2 - 'RFM Table'!B1759</f>
        <v>293</v>
      </c>
      <c r="H1759">
        <f t="array" ref="H1759">COUNTIF(A:A,A1759)</f>
        <v>4</v>
      </c>
      <c r="I1759">
        <f t="array" ref="I1759">SUMIF(A:A,A1759,F:F)</f>
        <v>16982.739999999998</v>
      </c>
      <c r="J1759">
        <f t="array" ref="J1759">5 - INT(5 * (RANK(G1759,G:G, 1) - 1) / COUNT(G:G))</f>
        <v>3</v>
      </c>
      <c r="K1759">
        <f t="array" ref="K1759">INT(5 * (RANK(H1759,H:H, 0) - 1) / COUNT(H:H)) + 1</f>
        <v>5</v>
      </c>
      <c r="L1759">
        <f t="array" ref="L1759">INT(5 * (RANK(I1759,I:I, 0) - 1) / COUNT(I:I)) + 1</f>
        <v>5</v>
      </c>
      <c r="M1759" t="str">
        <f t="shared" si="54"/>
        <v>355</v>
      </c>
      <c r="N1759" s="6" t="str">
        <f t="shared" si="55"/>
        <v>Others</v>
      </c>
    </row>
    <row r="1760" spans="1:14" x14ac:dyDescent="0.35">
      <c r="A1760">
        <v>1100</v>
      </c>
      <c r="B1760" s="4">
        <v>45843.375085336993</v>
      </c>
      <c r="C1760" t="s">
        <v>13</v>
      </c>
      <c r="D1760" t="s">
        <v>17</v>
      </c>
      <c r="E1760" t="s">
        <v>25</v>
      </c>
      <c r="F1760">
        <v>6264.73</v>
      </c>
      <c r="G1760">
        <f t="array" ref="G1760">SalesData!$I$2 - 'RFM Table'!B1760</f>
        <v>293</v>
      </c>
      <c r="H1760">
        <f t="array" ref="H1760">COUNTIF(A:A,A1760)</f>
        <v>12</v>
      </c>
      <c r="I1760">
        <f t="array" ref="I1760">SUMIF(A:A,A1760,F:F)</f>
        <v>54905.279999999992</v>
      </c>
      <c r="J1760">
        <f t="array" ref="J1760">5 - INT(5 * (RANK(G1760,G:G, 1) - 1) / COUNT(G:G))</f>
        <v>3</v>
      </c>
      <c r="K1760">
        <f t="array" ref="K1760">INT(5 * (RANK(H1760,H:H, 0) - 1) / COUNT(H:H)) + 1</f>
        <v>1</v>
      </c>
      <c r="L1760">
        <f t="array" ref="L1760">INT(5 * (RANK(I1760,I:I, 0) - 1) / COUNT(I:I)) + 1</f>
        <v>1</v>
      </c>
      <c r="M1760" t="str">
        <f t="shared" si="54"/>
        <v>311</v>
      </c>
      <c r="N1760" s="6" t="str">
        <f t="shared" si="55"/>
        <v>Others</v>
      </c>
    </row>
    <row r="1761" spans="1:14" x14ac:dyDescent="0.35">
      <c r="A1761">
        <v>1182</v>
      </c>
      <c r="B1761" s="4">
        <v>45843.375085336993</v>
      </c>
      <c r="C1761" t="s">
        <v>9</v>
      </c>
      <c r="D1761" t="s">
        <v>20</v>
      </c>
      <c r="E1761" t="s">
        <v>23</v>
      </c>
      <c r="F1761">
        <v>398.56</v>
      </c>
      <c r="G1761">
        <f t="array" ref="G1761">SalesData!$I$2 - 'RFM Table'!B1761</f>
        <v>293</v>
      </c>
      <c r="H1761">
        <f t="array" ref="H1761">COUNTIF(A:A,A1761)</f>
        <v>7</v>
      </c>
      <c r="I1761">
        <f t="array" ref="I1761">SUMIF(A:A,A1761,F:F)</f>
        <v>20657.780000000002</v>
      </c>
      <c r="J1761">
        <f t="array" ref="J1761">5 - INT(5 * (RANK(G1761,G:G, 1) - 1) / COUNT(G:G))</f>
        <v>3</v>
      </c>
      <c r="K1761">
        <f t="array" ref="K1761">INT(5 * (RANK(H1761,H:H, 0) - 1) / COUNT(H:H)) + 1</f>
        <v>4</v>
      </c>
      <c r="L1761">
        <f t="array" ref="L1761">INT(5 * (RANK(I1761,I:I, 0) - 1) / COUNT(I:I)) + 1</f>
        <v>5</v>
      </c>
      <c r="M1761" t="str">
        <f t="shared" si="54"/>
        <v>345</v>
      </c>
      <c r="N1761" s="6" t="str">
        <f t="shared" si="55"/>
        <v>Others</v>
      </c>
    </row>
    <row r="1762" spans="1:14" x14ac:dyDescent="0.35">
      <c r="A1762">
        <v>1041</v>
      </c>
      <c r="B1762" s="4">
        <v>45843.375085336993</v>
      </c>
      <c r="C1762" t="s">
        <v>7</v>
      </c>
      <c r="D1762" t="s">
        <v>20</v>
      </c>
      <c r="E1762" t="s">
        <v>23</v>
      </c>
      <c r="F1762">
        <v>5711.32</v>
      </c>
      <c r="G1762">
        <f t="array" ref="G1762">SalesData!$I$2 - 'RFM Table'!B1762</f>
        <v>293</v>
      </c>
      <c r="H1762">
        <f t="array" ref="H1762">COUNTIF(A:A,A1762)</f>
        <v>12</v>
      </c>
      <c r="I1762">
        <f t="array" ref="I1762">SUMIF(A:A,A1762,F:F)</f>
        <v>44894.799999999996</v>
      </c>
      <c r="J1762">
        <f t="array" ref="J1762">5 - INT(5 * (RANK(G1762,G:G, 1) - 1) / COUNT(G:G))</f>
        <v>3</v>
      </c>
      <c r="K1762">
        <f t="array" ref="K1762">INT(5 * (RANK(H1762,H:H, 0) - 1) / COUNT(H:H)) + 1</f>
        <v>1</v>
      </c>
      <c r="L1762">
        <f t="array" ref="L1762">INT(5 * (RANK(I1762,I:I, 0) - 1) / COUNT(I:I)) + 1</f>
        <v>1</v>
      </c>
      <c r="M1762" t="str">
        <f t="shared" si="54"/>
        <v>311</v>
      </c>
      <c r="N1762" s="6" t="str">
        <f t="shared" si="55"/>
        <v>Others</v>
      </c>
    </row>
    <row r="1763" spans="1:14" x14ac:dyDescent="0.35">
      <c r="A1763">
        <v>1041</v>
      </c>
      <c r="B1763" s="4">
        <v>45843.375085336993</v>
      </c>
      <c r="C1763" t="s">
        <v>10</v>
      </c>
      <c r="D1763" t="s">
        <v>20</v>
      </c>
      <c r="E1763" t="s">
        <v>23</v>
      </c>
      <c r="F1763">
        <v>3186.6</v>
      </c>
      <c r="G1763">
        <f t="array" ref="G1763">SalesData!$I$2 - 'RFM Table'!B1763</f>
        <v>293</v>
      </c>
      <c r="H1763">
        <f t="array" ref="H1763">COUNTIF(A:A,A1763)</f>
        <v>12</v>
      </c>
      <c r="I1763">
        <f t="array" ref="I1763">SUMIF(A:A,A1763,F:F)</f>
        <v>44894.799999999996</v>
      </c>
      <c r="J1763">
        <f t="array" ref="J1763">5 - INT(5 * (RANK(G1763,G:G, 1) - 1) / COUNT(G:G))</f>
        <v>3</v>
      </c>
      <c r="K1763">
        <f t="array" ref="K1763">INT(5 * (RANK(H1763,H:H, 0) - 1) / COUNT(H:H)) + 1</f>
        <v>1</v>
      </c>
      <c r="L1763">
        <f t="array" ref="L1763">INT(5 * (RANK(I1763,I:I, 0) - 1) / COUNT(I:I)) + 1</f>
        <v>1</v>
      </c>
      <c r="M1763" t="str">
        <f t="shared" si="54"/>
        <v>311</v>
      </c>
      <c r="N1763" s="6" t="str">
        <f t="shared" si="55"/>
        <v>Others</v>
      </c>
    </row>
    <row r="1764" spans="1:14" x14ac:dyDescent="0.35">
      <c r="A1764">
        <v>1324</v>
      </c>
      <c r="B1764" s="4">
        <v>45844.375085336993</v>
      </c>
      <c r="C1764" t="s">
        <v>11</v>
      </c>
      <c r="D1764" t="s">
        <v>17</v>
      </c>
      <c r="E1764" t="s">
        <v>24</v>
      </c>
      <c r="F1764">
        <v>6930.13</v>
      </c>
      <c r="G1764">
        <f t="array" ref="G1764">SalesData!$I$2 - 'RFM Table'!B1764</f>
        <v>292</v>
      </c>
      <c r="H1764">
        <f t="array" ref="H1764">COUNTIF(A:A,A1764)</f>
        <v>5</v>
      </c>
      <c r="I1764">
        <f t="array" ref="I1764">SUMIF(A:A,A1764,F:F)</f>
        <v>14663.54</v>
      </c>
      <c r="J1764">
        <f t="array" ref="J1764">5 - INT(5 * (RANK(G1764,G:G, 1) - 1) / COUNT(G:G))</f>
        <v>3</v>
      </c>
      <c r="K1764">
        <f t="array" ref="K1764">INT(5 * (RANK(H1764,H:H, 0) - 1) / COUNT(H:H)) + 1</f>
        <v>5</v>
      </c>
      <c r="L1764">
        <f t="array" ref="L1764">INT(5 * (RANK(I1764,I:I, 0) - 1) / COUNT(I:I)) + 1</f>
        <v>5</v>
      </c>
      <c r="M1764" t="str">
        <f t="shared" si="54"/>
        <v>355</v>
      </c>
      <c r="N1764" s="6" t="str">
        <f t="shared" si="55"/>
        <v>Others</v>
      </c>
    </row>
    <row r="1765" spans="1:14" x14ac:dyDescent="0.35">
      <c r="A1765">
        <v>1390</v>
      </c>
      <c r="B1765" s="4">
        <v>45844.375085336993</v>
      </c>
      <c r="C1765" t="s">
        <v>15</v>
      </c>
      <c r="D1765" t="s">
        <v>19</v>
      </c>
      <c r="E1765" t="s">
        <v>23</v>
      </c>
      <c r="F1765">
        <v>1710.75</v>
      </c>
      <c r="G1765">
        <f t="array" ref="G1765">SalesData!$I$2 - 'RFM Table'!B1765</f>
        <v>292</v>
      </c>
      <c r="H1765">
        <f t="array" ref="H1765">COUNTIF(A:A,A1765)</f>
        <v>8</v>
      </c>
      <c r="I1765">
        <f t="array" ref="I1765">SUMIF(A:A,A1765,F:F)</f>
        <v>37946.1</v>
      </c>
      <c r="J1765">
        <f t="array" ref="J1765">5 - INT(5 * (RANK(G1765,G:G, 1) - 1) / COUNT(G:G))</f>
        <v>3</v>
      </c>
      <c r="K1765">
        <f t="array" ref="K1765">INT(5 * (RANK(H1765,H:H, 0) - 1) / COUNT(H:H)) + 1</f>
        <v>3</v>
      </c>
      <c r="L1765">
        <f t="array" ref="L1765">INT(5 * (RANK(I1765,I:I, 0) - 1) / COUNT(I:I)) + 1</f>
        <v>2</v>
      </c>
      <c r="M1765" t="str">
        <f t="shared" si="54"/>
        <v>332</v>
      </c>
      <c r="N1765" s="6" t="str">
        <f t="shared" si="55"/>
        <v>Others</v>
      </c>
    </row>
    <row r="1766" spans="1:14" x14ac:dyDescent="0.35">
      <c r="A1766">
        <v>1159</v>
      </c>
      <c r="B1766" s="4">
        <v>45844.375085336993</v>
      </c>
      <c r="C1766" t="s">
        <v>6</v>
      </c>
      <c r="D1766" t="s">
        <v>19</v>
      </c>
      <c r="E1766" t="s">
        <v>25</v>
      </c>
      <c r="F1766">
        <v>5930.43</v>
      </c>
      <c r="G1766">
        <f t="array" ref="G1766">SalesData!$I$2 - 'RFM Table'!B1766</f>
        <v>292</v>
      </c>
      <c r="H1766">
        <f t="array" ref="H1766">COUNTIF(A:A,A1766)</f>
        <v>15</v>
      </c>
      <c r="I1766">
        <f t="array" ref="I1766">SUMIF(A:A,A1766,F:F)</f>
        <v>57217.139999999992</v>
      </c>
      <c r="J1766">
        <f t="array" ref="J1766">5 - INT(5 * (RANK(G1766,G:G, 1) - 1) / COUNT(G:G))</f>
        <v>3</v>
      </c>
      <c r="K1766">
        <f t="array" ref="K1766">INT(5 * (RANK(H1766,H:H, 0) - 1) / COUNT(H:H)) + 1</f>
        <v>1</v>
      </c>
      <c r="L1766">
        <f t="array" ref="L1766">INT(5 * (RANK(I1766,I:I, 0) - 1) / COUNT(I:I)) + 1</f>
        <v>1</v>
      </c>
      <c r="M1766" t="str">
        <f t="shared" si="54"/>
        <v>311</v>
      </c>
      <c r="N1766" s="6" t="str">
        <f t="shared" si="55"/>
        <v>Others</v>
      </c>
    </row>
    <row r="1767" spans="1:14" x14ac:dyDescent="0.35">
      <c r="A1767">
        <v>1132</v>
      </c>
      <c r="B1767" s="4">
        <v>45844.375085336993</v>
      </c>
      <c r="C1767" t="s">
        <v>13</v>
      </c>
      <c r="D1767" t="s">
        <v>16</v>
      </c>
      <c r="E1767" t="s">
        <v>25</v>
      </c>
      <c r="F1767">
        <v>1787.15</v>
      </c>
      <c r="G1767">
        <f t="array" ref="G1767">SalesData!$I$2 - 'RFM Table'!B1767</f>
        <v>292</v>
      </c>
      <c r="H1767">
        <f t="array" ref="H1767">COUNTIF(A:A,A1767)</f>
        <v>11</v>
      </c>
      <c r="I1767">
        <f t="array" ref="I1767">SUMIF(A:A,A1767,F:F)</f>
        <v>52771.959999999992</v>
      </c>
      <c r="J1767">
        <f t="array" ref="J1767">5 - INT(5 * (RANK(G1767,G:G, 1) - 1) / COUNT(G:G))</f>
        <v>3</v>
      </c>
      <c r="K1767">
        <f t="array" ref="K1767">INT(5 * (RANK(H1767,H:H, 0) - 1) / COUNT(H:H)) + 1</f>
        <v>1</v>
      </c>
      <c r="L1767">
        <f t="array" ref="L1767">INT(5 * (RANK(I1767,I:I, 0) - 1) / COUNT(I:I)) + 1</f>
        <v>1</v>
      </c>
      <c r="M1767" t="str">
        <f t="shared" si="54"/>
        <v>311</v>
      </c>
      <c r="N1767" s="6" t="str">
        <f t="shared" si="55"/>
        <v>Others</v>
      </c>
    </row>
    <row r="1768" spans="1:14" x14ac:dyDescent="0.35">
      <c r="A1768">
        <v>1330</v>
      </c>
      <c r="B1768" s="4">
        <v>45844.375085336993</v>
      </c>
      <c r="C1768" t="s">
        <v>8</v>
      </c>
      <c r="D1768" t="s">
        <v>22</v>
      </c>
      <c r="E1768" t="s">
        <v>25</v>
      </c>
      <c r="F1768">
        <v>182.44</v>
      </c>
      <c r="G1768">
        <f t="array" ref="G1768">SalesData!$I$2 - 'RFM Table'!B1768</f>
        <v>292</v>
      </c>
      <c r="H1768">
        <f t="array" ref="H1768">COUNTIF(A:A,A1768)</f>
        <v>6</v>
      </c>
      <c r="I1768">
        <f t="array" ref="I1768">SUMIF(A:A,A1768,F:F)</f>
        <v>16595.620000000003</v>
      </c>
      <c r="J1768">
        <f t="array" ref="J1768">5 - INT(5 * (RANK(G1768,G:G, 1) - 1) / COUNT(G:G))</f>
        <v>3</v>
      </c>
      <c r="K1768">
        <f t="array" ref="K1768">INT(5 * (RANK(H1768,H:H, 0) - 1) / COUNT(H:H)) + 1</f>
        <v>4</v>
      </c>
      <c r="L1768">
        <f t="array" ref="L1768">INT(5 * (RANK(I1768,I:I, 0) - 1) / COUNT(I:I)) + 1</f>
        <v>5</v>
      </c>
      <c r="M1768" t="str">
        <f t="shared" si="54"/>
        <v>345</v>
      </c>
      <c r="N1768" s="6" t="str">
        <f t="shared" si="55"/>
        <v>Others</v>
      </c>
    </row>
    <row r="1769" spans="1:14" x14ac:dyDescent="0.35">
      <c r="A1769">
        <v>1214</v>
      </c>
      <c r="B1769" s="4">
        <v>45845.375085336993</v>
      </c>
      <c r="C1769" t="s">
        <v>8</v>
      </c>
      <c r="D1769" t="s">
        <v>16</v>
      </c>
      <c r="E1769" t="s">
        <v>23</v>
      </c>
      <c r="F1769">
        <v>3436.87</v>
      </c>
      <c r="G1769">
        <f t="array" ref="G1769">SalesData!$I$2 - 'RFM Table'!B1769</f>
        <v>291</v>
      </c>
      <c r="H1769">
        <f t="array" ref="H1769">COUNTIF(A:A,A1769)</f>
        <v>12</v>
      </c>
      <c r="I1769">
        <f t="array" ref="I1769">SUMIF(A:A,A1769,F:F)</f>
        <v>49382.650000000009</v>
      </c>
      <c r="J1769">
        <f t="array" ref="J1769">5 - INT(5 * (RANK(G1769,G:G, 1) - 1) / COUNT(G:G))</f>
        <v>3</v>
      </c>
      <c r="K1769">
        <f t="array" ref="K1769">INT(5 * (RANK(H1769,H:H, 0) - 1) / COUNT(H:H)) + 1</f>
        <v>1</v>
      </c>
      <c r="L1769">
        <f t="array" ref="L1769">INT(5 * (RANK(I1769,I:I, 0) - 1) / COUNT(I:I)) + 1</f>
        <v>1</v>
      </c>
      <c r="M1769" t="str">
        <f t="shared" si="54"/>
        <v>311</v>
      </c>
      <c r="N1769" s="6" t="str">
        <f t="shared" si="55"/>
        <v>Others</v>
      </c>
    </row>
    <row r="1770" spans="1:14" x14ac:dyDescent="0.35">
      <c r="A1770">
        <v>1338</v>
      </c>
      <c r="B1770" s="4">
        <v>45845.375085336993</v>
      </c>
      <c r="C1770" t="s">
        <v>11</v>
      </c>
      <c r="D1770" t="s">
        <v>19</v>
      </c>
      <c r="E1770" t="s">
        <v>24</v>
      </c>
      <c r="F1770">
        <v>4676.57</v>
      </c>
      <c r="G1770">
        <f t="array" ref="G1770">SalesData!$I$2 - 'RFM Table'!B1770</f>
        <v>291</v>
      </c>
      <c r="H1770">
        <f t="array" ref="H1770">COUNTIF(A:A,A1770)</f>
        <v>5</v>
      </c>
      <c r="I1770">
        <f t="array" ref="I1770">SUMIF(A:A,A1770,F:F)</f>
        <v>21171.439999999999</v>
      </c>
      <c r="J1770">
        <f t="array" ref="J1770">5 - INT(5 * (RANK(G1770,G:G, 1) - 1) / COUNT(G:G))</f>
        <v>3</v>
      </c>
      <c r="K1770">
        <f t="array" ref="K1770">INT(5 * (RANK(H1770,H:H, 0) - 1) / COUNT(H:H)) + 1</f>
        <v>5</v>
      </c>
      <c r="L1770">
        <f t="array" ref="L1770">INT(5 * (RANK(I1770,I:I, 0) - 1) / COUNT(I:I)) + 1</f>
        <v>5</v>
      </c>
      <c r="M1770" t="str">
        <f t="shared" si="54"/>
        <v>355</v>
      </c>
      <c r="N1770" s="6" t="str">
        <f t="shared" si="55"/>
        <v>Others</v>
      </c>
    </row>
    <row r="1771" spans="1:14" x14ac:dyDescent="0.35">
      <c r="A1771">
        <v>1132</v>
      </c>
      <c r="B1771" s="4">
        <v>45846.375085336993</v>
      </c>
      <c r="C1771" t="s">
        <v>11</v>
      </c>
      <c r="D1771" t="s">
        <v>17</v>
      </c>
      <c r="E1771" t="s">
        <v>23</v>
      </c>
      <c r="F1771">
        <v>5088.78</v>
      </c>
      <c r="G1771">
        <f t="array" ref="G1771">SalesData!$I$2 - 'RFM Table'!B1771</f>
        <v>290</v>
      </c>
      <c r="H1771">
        <f t="array" ref="H1771">COUNTIF(A:A,A1771)</f>
        <v>11</v>
      </c>
      <c r="I1771">
        <f t="array" ref="I1771">SUMIF(A:A,A1771,F:F)</f>
        <v>52771.959999999992</v>
      </c>
      <c r="J1771">
        <f t="array" ref="J1771">5 - INT(5 * (RANK(G1771,G:G, 1) - 1) / COUNT(G:G))</f>
        <v>3</v>
      </c>
      <c r="K1771">
        <f t="array" ref="K1771">INT(5 * (RANK(H1771,H:H, 0) - 1) / COUNT(H:H)) + 1</f>
        <v>1</v>
      </c>
      <c r="L1771">
        <f t="array" ref="L1771">INT(5 * (RANK(I1771,I:I, 0) - 1) / COUNT(I:I)) + 1</f>
        <v>1</v>
      </c>
      <c r="M1771" t="str">
        <f t="shared" si="54"/>
        <v>311</v>
      </c>
      <c r="N1771" s="6" t="str">
        <f t="shared" si="55"/>
        <v>Others</v>
      </c>
    </row>
    <row r="1772" spans="1:14" x14ac:dyDescent="0.35">
      <c r="A1772">
        <v>1289</v>
      </c>
      <c r="B1772" s="4">
        <v>45846.375085336993</v>
      </c>
      <c r="C1772" t="s">
        <v>8</v>
      </c>
      <c r="D1772" t="s">
        <v>19</v>
      </c>
      <c r="E1772" t="s">
        <v>23</v>
      </c>
      <c r="F1772">
        <v>8639.23</v>
      </c>
      <c r="G1772">
        <f t="array" ref="G1772">SalesData!$I$2 - 'RFM Table'!B1772</f>
        <v>290</v>
      </c>
      <c r="H1772">
        <f t="array" ref="H1772">COUNTIF(A:A,A1772)</f>
        <v>5</v>
      </c>
      <c r="I1772">
        <f t="array" ref="I1772">SUMIF(A:A,A1772,F:F)</f>
        <v>21964.689999999995</v>
      </c>
      <c r="J1772">
        <f t="array" ref="J1772">5 - INT(5 * (RANK(G1772,G:G, 1) - 1) / COUNT(G:G))</f>
        <v>3</v>
      </c>
      <c r="K1772">
        <f t="array" ref="K1772">INT(5 * (RANK(H1772,H:H, 0) - 1) / COUNT(H:H)) + 1</f>
        <v>5</v>
      </c>
      <c r="L1772">
        <f t="array" ref="L1772">INT(5 * (RANK(I1772,I:I, 0) - 1) / COUNT(I:I)) + 1</f>
        <v>4</v>
      </c>
      <c r="M1772" t="str">
        <f t="shared" si="54"/>
        <v>354</v>
      </c>
      <c r="N1772" s="6" t="str">
        <f t="shared" si="55"/>
        <v>Others</v>
      </c>
    </row>
    <row r="1773" spans="1:14" x14ac:dyDescent="0.35">
      <c r="A1773">
        <v>1128</v>
      </c>
      <c r="B1773" s="4">
        <v>45846.375085336993</v>
      </c>
      <c r="C1773" t="s">
        <v>12</v>
      </c>
      <c r="D1773" t="s">
        <v>17</v>
      </c>
      <c r="E1773" t="s">
        <v>25</v>
      </c>
      <c r="F1773">
        <v>657.21</v>
      </c>
      <c r="G1773">
        <f t="array" ref="G1773">SalesData!$I$2 - 'RFM Table'!B1773</f>
        <v>290</v>
      </c>
      <c r="H1773">
        <f t="array" ref="H1773">COUNTIF(A:A,A1773)</f>
        <v>8</v>
      </c>
      <c r="I1773">
        <f t="array" ref="I1773">SUMIF(A:A,A1773,F:F)</f>
        <v>36475.079999999994</v>
      </c>
      <c r="J1773">
        <f t="array" ref="J1773">5 - INT(5 * (RANK(G1773,G:G, 1) - 1) / COUNT(G:G))</f>
        <v>3</v>
      </c>
      <c r="K1773">
        <f t="array" ref="K1773">INT(5 * (RANK(H1773,H:H, 0) - 1) / COUNT(H:H)) + 1</f>
        <v>3</v>
      </c>
      <c r="L1773">
        <f t="array" ref="L1773">INT(5 * (RANK(I1773,I:I, 0) - 1) / COUNT(I:I)) + 1</f>
        <v>3</v>
      </c>
      <c r="M1773" t="str">
        <f t="shared" si="54"/>
        <v>333</v>
      </c>
      <c r="N1773" s="6" t="str">
        <f t="shared" si="55"/>
        <v>Others</v>
      </c>
    </row>
    <row r="1774" spans="1:14" x14ac:dyDescent="0.35">
      <c r="A1774">
        <v>1074</v>
      </c>
      <c r="B1774" s="4">
        <v>45846.375085336993</v>
      </c>
      <c r="C1774" t="s">
        <v>6</v>
      </c>
      <c r="D1774" t="s">
        <v>17</v>
      </c>
      <c r="E1774" t="s">
        <v>24</v>
      </c>
      <c r="F1774">
        <v>2497.08</v>
      </c>
      <c r="G1774">
        <f t="array" ref="G1774">SalesData!$I$2 - 'RFM Table'!B1774</f>
        <v>290</v>
      </c>
      <c r="H1774">
        <f t="array" ref="H1774">COUNTIF(A:A,A1774)</f>
        <v>8</v>
      </c>
      <c r="I1774">
        <f t="array" ref="I1774">SUMIF(A:A,A1774,F:F)</f>
        <v>23394.15</v>
      </c>
      <c r="J1774">
        <f t="array" ref="J1774">5 - INT(5 * (RANK(G1774,G:G, 1) - 1) / COUNT(G:G))</f>
        <v>3</v>
      </c>
      <c r="K1774">
        <f t="array" ref="K1774">INT(5 * (RANK(H1774,H:H, 0) - 1) / COUNT(H:H)) + 1</f>
        <v>3</v>
      </c>
      <c r="L1774">
        <f t="array" ref="L1774">INT(5 * (RANK(I1774,I:I, 0) - 1) / COUNT(I:I)) + 1</f>
        <v>4</v>
      </c>
      <c r="M1774" t="str">
        <f t="shared" si="54"/>
        <v>334</v>
      </c>
      <c r="N1774" s="6" t="str">
        <f t="shared" si="55"/>
        <v>Others</v>
      </c>
    </row>
    <row r="1775" spans="1:14" x14ac:dyDescent="0.35">
      <c r="A1775">
        <v>1223</v>
      </c>
      <c r="B1775" s="4">
        <v>45846.375085336993</v>
      </c>
      <c r="C1775" t="s">
        <v>13</v>
      </c>
      <c r="D1775" t="s">
        <v>19</v>
      </c>
      <c r="E1775" t="s">
        <v>25</v>
      </c>
      <c r="F1775">
        <v>2593.31</v>
      </c>
      <c r="G1775">
        <f t="array" ref="G1775">SalesData!$I$2 - 'RFM Table'!B1775</f>
        <v>290</v>
      </c>
      <c r="H1775">
        <f t="array" ref="H1775">COUNTIF(A:A,A1775)</f>
        <v>12</v>
      </c>
      <c r="I1775">
        <f t="array" ref="I1775">SUMIF(A:A,A1775,F:F)</f>
        <v>40797.409999999996</v>
      </c>
      <c r="J1775">
        <f t="array" ref="J1775">5 - INT(5 * (RANK(G1775,G:G, 1) - 1) / COUNT(G:G))</f>
        <v>3</v>
      </c>
      <c r="K1775">
        <f t="array" ref="K1775">INT(5 * (RANK(H1775,H:H, 0) - 1) / COUNT(H:H)) + 1</f>
        <v>1</v>
      </c>
      <c r="L1775">
        <f t="array" ref="L1775">INT(5 * (RANK(I1775,I:I, 0) - 1) / COUNT(I:I)) + 1</f>
        <v>2</v>
      </c>
      <c r="M1775" t="str">
        <f t="shared" si="54"/>
        <v>312</v>
      </c>
      <c r="N1775" s="6" t="str">
        <f t="shared" si="55"/>
        <v>Others</v>
      </c>
    </row>
    <row r="1776" spans="1:14" x14ac:dyDescent="0.35">
      <c r="A1776">
        <v>1319</v>
      </c>
      <c r="B1776" s="4">
        <v>45846.375085336993</v>
      </c>
      <c r="C1776" t="s">
        <v>15</v>
      </c>
      <c r="D1776" t="s">
        <v>22</v>
      </c>
      <c r="E1776" t="s">
        <v>24</v>
      </c>
      <c r="F1776">
        <v>1510.54</v>
      </c>
      <c r="G1776">
        <f t="array" ref="G1776">SalesData!$I$2 - 'RFM Table'!B1776</f>
        <v>290</v>
      </c>
      <c r="H1776">
        <f t="array" ref="H1776">COUNTIF(A:A,A1776)</f>
        <v>10</v>
      </c>
      <c r="I1776">
        <f t="array" ref="I1776">SUMIF(A:A,A1776,F:F)</f>
        <v>39681.960000000006</v>
      </c>
      <c r="J1776">
        <f t="array" ref="J1776">5 - INT(5 * (RANK(G1776,G:G, 1) - 1) / COUNT(G:G))</f>
        <v>3</v>
      </c>
      <c r="K1776">
        <f t="array" ref="K1776">INT(5 * (RANK(H1776,H:H, 0) - 1) / COUNT(H:H)) + 1</f>
        <v>2</v>
      </c>
      <c r="L1776">
        <f t="array" ref="L1776">INT(5 * (RANK(I1776,I:I, 0) - 1) / COUNT(I:I)) + 1</f>
        <v>2</v>
      </c>
      <c r="M1776" t="str">
        <f t="shared" si="54"/>
        <v>322</v>
      </c>
      <c r="N1776" s="6" t="str">
        <f t="shared" si="55"/>
        <v>Others</v>
      </c>
    </row>
    <row r="1777" spans="1:14" x14ac:dyDescent="0.35">
      <c r="A1777">
        <v>1352</v>
      </c>
      <c r="B1777" s="4">
        <v>45847.375085336993</v>
      </c>
      <c r="C1777" t="s">
        <v>11</v>
      </c>
      <c r="D1777" t="s">
        <v>20</v>
      </c>
      <c r="E1777" t="s">
        <v>24</v>
      </c>
      <c r="F1777">
        <v>1528.62</v>
      </c>
      <c r="G1777">
        <f t="array" ref="G1777">SalesData!$I$2 - 'RFM Table'!B1777</f>
        <v>289</v>
      </c>
      <c r="H1777">
        <f t="array" ref="H1777">COUNTIF(A:A,A1777)</f>
        <v>8</v>
      </c>
      <c r="I1777">
        <f t="array" ref="I1777">SUMIF(A:A,A1777,F:F)</f>
        <v>35204.92</v>
      </c>
      <c r="J1777">
        <f t="array" ref="J1777">5 - INT(5 * (RANK(G1777,G:G, 1) - 1) / COUNT(G:G))</f>
        <v>3</v>
      </c>
      <c r="K1777">
        <f t="array" ref="K1777">INT(5 * (RANK(H1777,H:H, 0) - 1) / COUNT(H:H)) + 1</f>
        <v>3</v>
      </c>
      <c r="L1777">
        <f t="array" ref="L1777">INT(5 * (RANK(I1777,I:I, 0) - 1) / COUNT(I:I)) + 1</f>
        <v>3</v>
      </c>
      <c r="M1777" t="str">
        <f t="shared" si="54"/>
        <v>333</v>
      </c>
      <c r="N1777" s="6" t="str">
        <f t="shared" si="55"/>
        <v>Others</v>
      </c>
    </row>
    <row r="1778" spans="1:14" x14ac:dyDescent="0.35">
      <c r="A1778">
        <v>1374</v>
      </c>
      <c r="B1778" s="4">
        <v>45847.375085336993</v>
      </c>
      <c r="C1778" t="s">
        <v>10</v>
      </c>
      <c r="D1778" t="s">
        <v>18</v>
      </c>
      <c r="E1778" t="s">
        <v>23</v>
      </c>
      <c r="F1778">
        <v>5557.03</v>
      </c>
      <c r="G1778">
        <f t="array" ref="G1778">SalesData!$I$2 - 'RFM Table'!B1778</f>
        <v>289</v>
      </c>
      <c r="H1778">
        <f t="array" ref="H1778">COUNTIF(A:A,A1778)</f>
        <v>6</v>
      </c>
      <c r="I1778">
        <f t="array" ref="I1778">SUMIF(A:A,A1778,F:F)</f>
        <v>17843.009999999998</v>
      </c>
      <c r="J1778">
        <f t="array" ref="J1778">5 - INT(5 * (RANK(G1778,G:G, 1) - 1) / COUNT(G:G))</f>
        <v>3</v>
      </c>
      <c r="K1778">
        <f t="array" ref="K1778">INT(5 * (RANK(H1778,H:H, 0) - 1) / COUNT(H:H)) + 1</f>
        <v>4</v>
      </c>
      <c r="L1778">
        <f t="array" ref="L1778">INT(5 * (RANK(I1778,I:I, 0) - 1) / COUNT(I:I)) + 1</f>
        <v>5</v>
      </c>
      <c r="M1778" t="str">
        <f t="shared" si="54"/>
        <v>345</v>
      </c>
      <c r="N1778" s="6" t="str">
        <f t="shared" si="55"/>
        <v>Others</v>
      </c>
    </row>
    <row r="1779" spans="1:14" x14ac:dyDescent="0.35">
      <c r="A1779">
        <v>1185</v>
      </c>
      <c r="B1779" s="4">
        <v>45847.375085336993</v>
      </c>
      <c r="C1779" t="s">
        <v>13</v>
      </c>
      <c r="D1779" t="s">
        <v>22</v>
      </c>
      <c r="E1779" t="s">
        <v>23</v>
      </c>
      <c r="F1779">
        <v>8698.84</v>
      </c>
      <c r="G1779">
        <f t="array" ref="G1779">SalesData!$I$2 - 'RFM Table'!B1779</f>
        <v>289</v>
      </c>
      <c r="H1779">
        <f t="array" ref="H1779">COUNTIF(A:A,A1779)</f>
        <v>8</v>
      </c>
      <c r="I1779">
        <f t="array" ref="I1779">SUMIF(A:A,A1779,F:F)</f>
        <v>27805.74</v>
      </c>
      <c r="J1779">
        <f t="array" ref="J1779">5 - INT(5 * (RANK(G1779,G:G, 1) - 1) / COUNT(G:G))</f>
        <v>3</v>
      </c>
      <c r="K1779">
        <f t="array" ref="K1779">INT(5 * (RANK(H1779,H:H, 0) - 1) / COUNT(H:H)) + 1</f>
        <v>3</v>
      </c>
      <c r="L1779">
        <f t="array" ref="L1779">INT(5 * (RANK(I1779,I:I, 0) - 1) / COUNT(I:I)) + 1</f>
        <v>4</v>
      </c>
      <c r="M1779" t="str">
        <f t="shared" si="54"/>
        <v>334</v>
      </c>
      <c r="N1779" s="6" t="str">
        <f t="shared" si="55"/>
        <v>Others</v>
      </c>
    </row>
    <row r="1780" spans="1:14" x14ac:dyDescent="0.35">
      <c r="A1780">
        <v>1004</v>
      </c>
      <c r="B1780" s="4">
        <v>45848.375085336993</v>
      </c>
      <c r="C1780" t="s">
        <v>8</v>
      </c>
      <c r="D1780" t="s">
        <v>18</v>
      </c>
      <c r="E1780" t="s">
        <v>24</v>
      </c>
      <c r="F1780">
        <v>4440.6499999999996</v>
      </c>
      <c r="G1780">
        <f t="array" ref="G1780">SalesData!$I$2 - 'RFM Table'!B1780</f>
        <v>288</v>
      </c>
      <c r="H1780">
        <f t="array" ref="H1780">COUNTIF(A:A,A1780)</f>
        <v>12</v>
      </c>
      <c r="I1780">
        <f t="array" ref="I1780">SUMIF(A:A,A1780,F:F)</f>
        <v>34222.5</v>
      </c>
      <c r="J1780">
        <f t="array" ref="J1780">5 - INT(5 * (RANK(G1780,G:G, 1) - 1) / COUNT(G:G))</f>
        <v>3</v>
      </c>
      <c r="K1780">
        <f t="array" ref="K1780">INT(5 * (RANK(H1780,H:H, 0) - 1) / COUNT(H:H)) + 1</f>
        <v>1</v>
      </c>
      <c r="L1780">
        <f t="array" ref="L1780">INT(5 * (RANK(I1780,I:I, 0) - 1) / COUNT(I:I)) + 1</f>
        <v>3</v>
      </c>
      <c r="M1780" t="str">
        <f t="shared" si="54"/>
        <v>313</v>
      </c>
      <c r="N1780" s="6" t="str">
        <f t="shared" si="55"/>
        <v>Others</v>
      </c>
    </row>
    <row r="1781" spans="1:14" x14ac:dyDescent="0.35">
      <c r="A1781">
        <v>1335</v>
      </c>
      <c r="B1781" s="4">
        <v>45848.375085336993</v>
      </c>
      <c r="C1781" t="s">
        <v>9</v>
      </c>
      <c r="D1781" t="s">
        <v>16</v>
      </c>
      <c r="E1781" t="s">
        <v>25</v>
      </c>
      <c r="F1781">
        <v>2929.13</v>
      </c>
      <c r="G1781">
        <f t="array" ref="G1781">SalesData!$I$2 - 'RFM Table'!B1781</f>
        <v>288</v>
      </c>
      <c r="H1781">
        <f t="array" ref="H1781">COUNTIF(A:A,A1781)</f>
        <v>8</v>
      </c>
      <c r="I1781">
        <f t="array" ref="I1781">SUMIF(A:A,A1781,F:F)</f>
        <v>31568.060000000005</v>
      </c>
      <c r="J1781">
        <f t="array" ref="J1781">5 - INT(5 * (RANK(G1781,G:G, 1) - 1) / COUNT(G:G))</f>
        <v>3</v>
      </c>
      <c r="K1781">
        <f t="array" ref="K1781">INT(5 * (RANK(H1781,H:H, 0) - 1) / COUNT(H:H)) + 1</f>
        <v>3</v>
      </c>
      <c r="L1781">
        <f t="array" ref="L1781">INT(5 * (RANK(I1781,I:I, 0) - 1) / COUNT(I:I)) + 1</f>
        <v>3</v>
      </c>
      <c r="M1781" t="str">
        <f t="shared" si="54"/>
        <v>333</v>
      </c>
      <c r="N1781" s="6" t="str">
        <f t="shared" si="55"/>
        <v>Others</v>
      </c>
    </row>
    <row r="1782" spans="1:14" x14ac:dyDescent="0.35">
      <c r="A1782">
        <v>1384</v>
      </c>
      <c r="B1782" s="4">
        <v>45848.375085336993</v>
      </c>
      <c r="C1782" t="s">
        <v>6</v>
      </c>
      <c r="D1782" t="s">
        <v>20</v>
      </c>
      <c r="E1782" t="s">
        <v>25</v>
      </c>
      <c r="F1782">
        <v>4083.8</v>
      </c>
      <c r="G1782">
        <f t="array" ref="G1782">SalesData!$I$2 - 'RFM Table'!B1782</f>
        <v>288</v>
      </c>
      <c r="H1782">
        <f t="array" ref="H1782">COUNTIF(A:A,A1782)</f>
        <v>9</v>
      </c>
      <c r="I1782">
        <f t="array" ref="I1782">SUMIF(A:A,A1782,F:F)</f>
        <v>39434.269999999997</v>
      </c>
      <c r="J1782">
        <f t="array" ref="J1782">5 - INT(5 * (RANK(G1782,G:G, 1) - 1) / COUNT(G:G))</f>
        <v>3</v>
      </c>
      <c r="K1782">
        <f t="array" ref="K1782">INT(5 * (RANK(H1782,H:H, 0) - 1) / COUNT(H:H)) + 1</f>
        <v>2</v>
      </c>
      <c r="L1782">
        <f t="array" ref="L1782">INT(5 * (RANK(I1782,I:I, 0) - 1) / COUNT(I:I)) + 1</f>
        <v>2</v>
      </c>
      <c r="M1782" t="str">
        <f t="shared" si="54"/>
        <v>322</v>
      </c>
      <c r="N1782" s="6" t="str">
        <f t="shared" si="55"/>
        <v>Others</v>
      </c>
    </row>
    <row r="1783" spans="1:14" x14ac:dyDescent="0.35">
      <c r="A1783">
        <v>1252</v>
      </c>
      <c r="B1783" s="4">
        <v>45848.375085336993</v>
      </c>
      <c r="C1783" t="s">
        <v>14</v>
      </c>
      <c r="D1783" t="s">
        <v>19</v>
      </c>
      <c r="E1783" t="s">
        <v>23</v>
      </c>
      <c r="F1783">
        <v>2749.07</v>
      </c>
      <c r="G1783">
        <f t="array" ref="G1783">SalesData!$I$2 - 'RFM Table'!B1783</f>
        <v>288</v>
      </c>
      <c r="H1783">
        <f t="array" ref="H1783">COUNTIF(A:A,A1783)</f>
        <v>8</v>
      </c>
      <c r="I1783">
        <f t="array" ref="I1783">SUMIF(A:A,A1783,F:F)</f>
        <v>29088.159999999996</v>
      </c>
      <c r="J1783">
        <f t="array" ref="J1783">5 - INT(5 * (RANK(G1783,G:G, 1) - 1) / COUNT(G:G))</f>
        <v>3</v>
      </c>
      <c r="K1783">
        <f t="array" ref="K1783">INT(5 * (RANK(H1783,H:H, 0) - 1) / COUNT(H:H)) + 1</f>
        <v>3</v>
      </c>
      <c r="L1783">
        <f t="array" ref="L1783">INT(5 * (RANK(I1783,I:I, 0) - 1) / COUNT(I:I)) + 1</f>
        <v>4</v>
      </c>
      <c r="M1783" t="str">
        <f t="shared" si="54"/>
        <v>334</v>
      </c>
      <c r="N1783" s="6" t="str">
        <f t="shared" si="55"/>
        <v>Others</v>
      </c>
    </row>
    <row r="1784" spans="1:14" x14ac:dyDescent="0.35">
      <c r="A1784">
        <v>1003</v>
      </c>
      <c r="B1784" s="4">
        <v>45848.375085336993</v>
      </c>
      <c r="C1784" t="s">
        <v>10</v>
      </c>
      <c r="D1784" t="s">
        <v>22</v>
      </c>
      <c r="E1784" t="s">
        <v>23</v>
      </c>
      <c r="F1784">
        <v>5017.75</v>
      </c>
      <c r="G1784">
        <f t="array" ref="G1784">SalesData!$I$2 - 'RFM Table'!B1784</f>
        <v>288</v>
      </c>
      <c r="H1784">
        <f t="array" ref="H1784">COUNTIF(A:A,A1784)</f>
        <v>9</v>
      </c>
      <c r="I1784">
        <f t="array" ref="I1784">SUMIF(A:A,A1784,F:F)</f>
        <v>48978.57</v>
      </c>
      <c r="J1784">
        <f t="array" ref="J1784">5 - INT(5 * (RANK(G1784,G:G, 1) - 1) / COUNT(G:G))</f>
        <v>3</v>
      </c>
      <c r="K1784">
        <f t="array" ref="K1784">INT(5 * (RANK(H1784,H:H, 0) - 1) / COUNT(H:H)) + 1</f>
        <v>2</v>
      </c>
      <c r="L1784">
        <f t="array" ref="L1784">INT(5 * (RANK(I1784,I:I, 0) - 1) / COUNT(I:I)) + 1</f>
        <v>1</v>
      </c>
      <c r="M1784" t="str">
        <f t="shared" si="54"/>
        <v>321</v>
      </c>
      <c r="N1784" s="6" t="str">
        <f t="shared" si="55"/>
        <v>Others</v>
      </c>
    </row>
    <row r="1785" spans="1:14" x14ac:dyDescent="0.35">
      <c r="A1785">
        <v>1292</v>
      </c>
      <c r="B1785" s="4">
        <v>45848.375085336993</v>
      </c>
      <c r="C1785" t="s">
        <v>6</v>
      </c>
      <c r="D1785" t="s">
        <v>20</v>
      </c>
      <c r="E1785" t="s">
        <v>23</v>
      </c>
      <c r="F1785">
        <v>1210.04</v>
      </c>
      <c r="G1785">
        <f t="array" ref="G1785">SalesData!$I$2 - 'RFM Table'!B1785</f>
        <v>288</v>
      </c>
      <c r="H1785">
        <f t="array" ref="H1785">COUNTIF(A:A,A1785)</f>
        <v>15</v>
      </c>
      <c r="I1785">
        <f t="array" ref="I1785">SUMIF(A:A,A1785,F:F)</f>
        <v>49637.999999999993</v>
      </c>
      <c r="J1785">
        <f t="array" ref="J1785">5 - INT(5 * (RANK(G1785,G:G, 1) - 1) / COUNT(G:G))</f>
        <v>3</v>
      </c>
      <c r="K1785">
        <f t="array" ref="K1785">INT(5 * (RANK(H1785,H:H, 0) - 1) / COUNT(H:H)) + 1</f>
        <v>1</v>
      </c>
      <c r="L1785">
        <f t="array" ref="L1785">INT(5 * (RANK(I1785,I:I, 0) - 1) / COUNT(I:I)) + 1</f>
        <v>1</v>
      </c>
      <c r="M1785" t="str">
        <f t="shared" si="54"/>
        <v>311</v>
      </c>
      <c r="N1785" s="6" t="str">
        <f t="shared" si="55"/>
        <v>Others</v>
      </c>
    </row>
    <row r="1786" spans="1:14" x14ac:dyDescent="0.35">
      <c r="A1786">
        <v>1225</v>
      </c>
      <c r="B1786" s="4">
        <v>45848.375085336993</v>
      </c>
      <c r="C1786" t="s">
        <v>8</v>
      </c>
      <c r="D1786" t="s">
        <v>19</v>
      </c>
      <c r="E1786" t="s">
        <v>23</v>
      </c>
      <c r="F1786">
        <v>8503.15</v>
      </c>
      <c r="G1786">
        <f t="array" ref="G1786">SalesData!$I$2 - 'RFM Table'!B1786</f>
        <v>288</v>
      </c>
      <c r="H1786">
        <f t="array" ref="H1786">COUNTIF(A:A,A1786)</f>
        <v>12</v>
      </c>
      <c r="I1786">
        <f t="array" ref="I1786">SUMIF(A:A,A1786,F:F)</f>
        <v>42930.969999999994</v>
      </c>
      <c r="J1786">
        <f t="array" ref="J1786">5 - INT(5 * (RANK(G1786,G:G, 1) - 1) / COUNT(G:G))</f>
        <v>3</v>
      </c>
      <c r="K1786">
        <f t="array" ref="K1786">INT(5 * (RANK(H1786,H:H, 0) - 1) / COUNT(H:H)) + 1</f>
        <v>1</v>
      </c>
      <c r="L1786">
        <f t="array" ref="L1786">INT(5 * (RANK(I1786,I:I, 0) - 1) / COUNT(I:I)) + 1</f>
        <v>2</v>
      </c>
      <c r="M1786" t="str">
        <f t="shared" si="54"/>
        <v>312</v>
      </c>
      <c r="N1786" s="6" t="str">
        <f t="shared" si="55"/>
        <v>Others</v>
      </c>
    </row>
    <row r="1787" spans="1:14" x14ac:dyDescent="0.35">
      <c r="A1787">
        <v>1317</v>
      </c>
      <c r="B1787" s="4">
        <v>45849.375085336993</v>
      </c>
      <c r="C1787" t="s">
        <v>13</v>
      </c>
      <c r="D1787" t="s">
        <v>18</v>
      </c>
      <c r="E1787" t="s">
        <v>24</v>
      </c>
      <c r="F1787">
        <v>4509.7299999999996</v>
      </c>
      <c r="G1787">
        <f t="array" ref="G1787">SalesData!$I$2 - 'RFM Table'!B1787</f>
        <v>287</v>
      </c>
      <c r="H1787">
        <f t="array" ref="H1787">COUNTIF(A:A,A1787)</f>
        <v>12</v>
      </c>
      <c r="I1787">
        <f t="array" ref="I1787">SUMIF(A:A,A1787,F:F)</f>
        <v>43413.4</v>
      </c>
      <c r="J1787">
        <f t="array" ref="J1787">5 - INT(5 * (RANK(G1787,G:G, 1) - 1) / COUNT(G:G))</f>
        <v>3</v>
      </c>
      <c r="K1787">
        <f t="array" ref="K1787">INT(5 * (RANK(H1787,H:H, 0) - 1) / COUNT(H:H)) + 1</f>
        <v>1</v>
      </c>
      <c r="L1787">
        <f t="array" ref="L1787">INT(5 * (RANK(I1787,I:I, 0) - 1) / COUNT(I:I)) + 1</f>
        <v>2</v>
      </c>
      <c r="M1787" t="str">
        <f t="shared" si="54"/>
        <v>312</v>
      </c>
      <c r="N1787" s="6" t="str">
        <f t="shared" si="55"/>
        <v>Others</v>
      </c>
    </row>
    <row r="1788" spans="1:14" x14ac:dyDescent="0.35">
      <c r="A1788">
        <v>1116</v>
      </c>
      <c r="B1788" s="4">
        <v>45849.375085336993</v>
      </c>
      <c r="C1788" t="s">
        <v>14</v>
      </c>
      <c r="D1788" t="s">
        <v>20</v>
      </c>
      <c r="E1788" t="s">
        <v>25</v>
      </c>
      <c r="F1788">
        <v>1383.56</v>
      </c>
      <c r="G1788">
        <f t="array" ref="G1788">SalesData!$I$2 - 'RFM Table'!B1788</f>
        <v>287</v>
      </c>
      <c r="H1788">
        <f t="array" ref="H1788">COUNTIF(A:A,A1788)</f>
        <v>11</v>
      </c>
      <c r="I1788">
        <f t="array" ref="I1788">SUMIF(A:A,A1788,F:F)</f>
        <v>40714.880000000005</v>
      </c>
      <c r="J1788">
        <f t="array" ref="J1788">5 - INT(5 * (RANK(G1788,G:G, 1) - 1) / COUNT(G:G))</f>
        <v>3</v>
      </c>
      <c r="K1788">
        <f t="array" ref="K1788">INT(5 * (RANK(H1788,H:H, 0) - 1) / COUNT(H:H)) + 1</f>
        <v>1</v>
      </c>
      <c r="L1788">
        <f t="array" ref="L1788">INT(5 * (RANK(I1788,I:I, 0) - 1) / COUNT(I:I)) + 1</f>
        <v>2</v>
      </c>
      <c r="M1788" t="str">
        <f t="shared" si="54"/>
        <v>312</v>
      </c>
      <c r="N1788" s="6" t="str">
        <f t="shared" si="55"/>
        <v>Others</v>
      </c>
    </row>
    <row r="1789" spans="1:14" x14ac:dyDescent="0.35">
      <c r="A1789">
        <v>1143</v>
      </c>
      <c r="B1789" s="4">
        <v>45849.375085336993</v>
      </c>
      <c r="C1789" t="s">
        <v>11</v>
      </c>
      <c r="D1789" t="s">
        <v>22</v>
      </c>
      <c r="E1789" t="s">
        <v>24</v>
      </c>
      <c r="F1789">
        <v>3039.75</v>
      </c>
      <c r="G1789">
        <f t="array" ref="G1789">SalesData!$I$2 - 'RFM Table'!B1789</f>
        <v>287</v>
      </c>
      <c r="H1789">
        <f t="array" ref="H1789">COUNTIF(A:A,A1789)</f>
        <v>11</v>
      </c>
      <c r="I1789">
        <f t="array" ref="I1789">SUMIF(A:A,A1789,F:F)</f>
        <v>44004.459999999992</v>
      </c>
      <c r="J1789">
        <f t="array" ref="J1789">5 - INT(5 * (RANK(G1789,G:G, 1) - 1) / COUNT(G:G))</f>
        <v>3</v>
      </c>
      <c r="K1789">
        <f t="array" ref="K1789">INT(5 * (RANK(H1789,H:H, 0) - 1) / COUNT(H:H)) + 1</f>
        <v>1</v>
      </c>
      <c r="L1789">
        <f t="array" ref="L1789">INT(5 * (RANK(I1789,I:I, 0) - 1) / COUNT(I:I)) + 1</f>
        <v>2</v>
      </c>
      <c r="M1789" t="str">
        <f t="shared" si="54"/>
        <v>312</v>
      </c>
      <c r="N1789" s="6" t="str">
        <f t="shared" si="55"/>
        <v>Others</v>
      </c>
    </row>
    <row r="1790" spans="1:14" x14ac:dyDescent="0.35">
      <c r="A1790">
        <v>1039</v>
      </c>
      <c r="B1790" s="4">
        <v>45850.375085336993</v>
      </c>
      <c r="C1790" t="s">
        <v>9</v>
      </c>
      <c r="D1790" t="s">
        <v>17</v>
      </c>
      <c r="E1790" t="s">
        <v>25</v>
      </c>
      <c r="F1790">
        <v>2201.0700000000002</v>
      </c>
      <c r="G1790">
        <f t="array" ref="G1790">SalesData!$I$2 - 'RFM Table'!B1790</f>
        <v>286</v>
      </c>
      <c r="H1790">
        <f t="array" ref="H1790">COUNTIF(A:A,A1790)</f>
        <v>8</v>
      </c>
      <c r="I1790">
        <f t="array" ref="I1790">SUMIF(A:A,A1790,F:F)</f>
        <v>21286.739999999998</v>
      </c>
      <c r="J1790">
        <f t="array" ref="J1790">5 - INT(5 * (RANK(G1790,G:G, 1) - 1) / COUNT(G:G))</f>
        <v>3</v>
      </c>
      <c r="K1790">
        <f t="array" ref="K1790">INT(5 * (RANK(H1790,H:H, 0) - 1) / COUNT(H:H)) + 1</f>
        <v>3</v>
      </c>
      <c r="L1790">
        <f t="array" ref="L1790">INT(5 * (RANK(I1790,I:I, 0) - 1) / COUNT(I:I)) + 1</f>
        <v>5</v>
      </c>
      <c r="M1790" t="str">
        <f t="shared" si="54"/>
        <v>335</v>
      </c>
      <c r="N1790" s="6" t="str">
        <f t="shared" si="55"/>
        <v>Others</v>
      </c>
    </row>
    <row r="1791" spans="1:14" x14ac:dyDescent="0.35">
      <c r="A1791">
        <v>1172</v>
      </c>
      <c r="B1791" s="4">
        <v>45850.375085336993</v>
      </c>
      <c r="C1791" t="s">
        <v>11</v>
      </c>
      <c r="D1791" t="s">
        <v>21</v>
      </c>
      <c r="E1791" t="s">
        <v>23</v>
      </c>
      <c r="F1791">
        <v>3029.6</v>
      </c>
      <c r="G1791">
        <f t="array" ref="G1791">SalesData!$I$2 - 'RFM Table'!B1791</f>
        <v>286</v>
      </c>
      <c r="H1791">
        <f t="array" ref="H1791">COUNTIF(A:A,A1791)</f>
        <v>13</v>
      </c>
      <c r="I1791">
        <f t="array" ref="I1791">SUMIF(A:A,A1791,F:F)</f>
        <v>64175.24</v>
      </c>
      <c r="J1791">
        <f t="array" ref="J1791">5 - INT(5 * (RANK(G1791,G:G, 1) - 1) / COUNT(G:G))</f>
        <v>3</v>
      </c>
      <c r="K1791">
        <f t="array" ref="K1791">INT(5 * (RANK(H1791,H:H, 0) - 1) / COUNT(H:H)) + 1</f>
        <v>1</v>
      </c>
      <c r="L1791">
        <f t="array" ref="L1791">INT(5 * (RANK(I1791,I:I, 0) - 1) / COUNT(I:I)) + 1</f>
        <v>1</v>
      </c>
      <c r="M1791" t="str">
        <f t="shared" si="54"/>
        <v>311</v>
      </c>
      <c r="N1791" s="6" t="str">
        <f t="shared" si="55"/>
        <v>Others</v>
      </c>
    </row>
    <row r="1792" spans="1:14" x14ac:dyDescent="0.35">
      <c r="A1792">
        <v>1165</v>
      </c>
      <c r="B1792" s="4">
        <v>45850.375085336993</v>
      </c>
      <c r="C1792" t="s">
        <v>9</v>
      </c>
      <c r="D1792" t="s">
        <v>20</v>
      </c>
      <c r="E1792" t="s">
        <v>25</v>
      </c>
      <c r="F1792">
        <v>3819.14</v>
      </c>
      <c r="G1792">
        <f t="array" ref="G1792">SalesData!$I$2 - 'RFM Table'!B1792</f>
        <v>286</v>
      </c>
      <c r="H1792">
        <f t="array" ref="H1792">COUNTIF(A:A,A1792)</f>
        <v>6</v>
      </c>
      <c r="I1792">
        <f t="array" ref="I1792">SUMIF(A:A,A1792,F:F)</f>
        <v>25394.229999999996</v>
      </c>
      <c r="J1792">
        <f t="array" ref="J1792">5 - INT(5 * (RANK(G1792,G:G, 1) - 1) / COUNT(G:G))</f>
        <v>3</v>
      </c>
      <c r="K1792">
        <f t="array" ref="K1792">INT(5 * (RANK(H1792,H:H, 0) - 1) / COUNT(H:H)) + 1</f>
        <v>4</v>
      </c>
      <c r="L1792">
        <f t="array" ref="L1792">INT(5 * (RANK(I1792,I:I, 0) - 1) / COUNT(I:I)) + 1</f>
        <v>4</v>
      </c>
      <c r="M1792" t="str">
        <f t="shared" si="54"/>
        <v>344</v>
      </c>
      <c r="N1792" s="6" t="str">
        <f t="shared" si="55"/>
        <v>Others</v>
      </c>
    </row>
    <row r="1793" spans="1:14" x14ac:dyDescent="0.35">
      <c r="A1793">
        <v>1061</v>
      </c>
      <c r="B1793" s="4">
        <v>45850.375085336993</v>
      </c>
      <c r="C1793" t="s">
        <v>15</v>
      </c>
      <c r="D1793" t="s">
        <v>18</v>
      </c>
      <c r="E1793" t="s">
        <v>24</v>
      </c>
      <c r="F1793">
        <v>1981.19</v>
      </c>
      <c r="G1793">
        <f t="array" ref="G1793">SalesData!$I$2 - 'RFM Table'!B1793</f>
        <v>286</v>
      </c>
      <c r="H1793">
        <f t="array" ref="H1793">COUNTIF(A:A,A1793)</f>
        <v>9</v>
      </c>
      <c r="I1793">
        <f t="array" ref="I1793">SUMIF(A:A,A1793,F:F)</f>
        <v>24509.48</v>
      </c>
      <c r="J1793">
        <f t="array" ref="J1793">5 - INT(5 * (RANK(G1793,G:G, 1) - 1) / COUNT(G:G))</f>
        <v>3</v>
      </c>
      <c r="K1793">
        <f t="array" ref="K1793">INT(5 * (RANK(H1793,H:H, 0) - 1) / COUNT(H:H)) + 1</f>
        <v>2</v>
      </c>
      <c r="L1793">
        <f t="array" ref="L1793">INT(5 * (RANK(I1793,I:I, 0) - 1) / COUNT(I:I)) + 1</f>
        <v>4</v>
      </c>
      <c r="M1793" t="str">
        <f t="shared" si="54"/>
        <v>324</v>
      </c>
      <c r="N1793" s="6" t="str">
        <f t="shared" si="55"/>
        <v>Others</v>
      </c>
    </row>
    <row r="1794" spans="1:14" x14ac:dyDescent="0.35">
      <c r="A1794">
        <v>1062</v>
      </c>
      <c r="B1794" s="4">
        <v>45850.375085336993</v>
      </c>
      <c r="C1794" t="s">
        <v>12</v>
      </c>
      <c r="D1794" t="s">
        <v>16</v>
      </c>
      <c r="E1794" t="s">
        <v>24</v>
      </c>
      <c r="F1794">
        <v>1325.69</v>
      </c>
      <c r="G1794">
        <f t="array" ref="G1794">SalesData!$I$2 - 'RFM Table'!B1794</f>
        <v>286</v>
      </c>
      <c r="H1794">
        <f t="array" ref="H1794">COUNTIF(A:A,A1794)</f>
        <v>11</v>
      </c>
      <c r="I1794">
        <f t="array" ref="I1794">SUMIF(A:A,A1794,F:F)</f>
        <v>59377.640000000014</v>
      </c>
      <c r="J1794">
        <f t="array" ref="J1794">5 - INT(5 * (RANK(G1794,G:G, 1) - 1) / COUNT(G:G))</f>
        <v>3</v>
      </c>
      <c r="K1794">
        <f t="array" ref="K1794">INT(5 * (RANK(H1794,H:H, 0) - 1) / COUNT(H:H)) + 1</f>
        <v>1</v>
      </c>
      <c r="L1794">
        <f t="array" ref="L1794">INT(5 * (RANK(I1794,I:I, 0) - 1) / COUNT(I:I)) + 1</f>
        <v>1</v>
      </c>
      <c r="M1794" t="str">
        <f t="shared" si="54"/>
        <v>311</v>
      </c>
      <c r="N1794" s="6" t="str">
        <f t="shared" si="55"/>
        <v>Others</v>
      </c>
    </row>
    <row r="1795" spans="1:14" x14ac:dyDescent="0.35">
      <c r="A1795">
        <v>1095</v>
      </c>
      <c r="B1795" s="4">
        <v>45850.375085336993</v>
      </c>
      <c r="C1795" t="s">
        <v>12</v>
      </c>
      <c r="D1795" t="s">
        <v>20</v>
      </c>
      <c r="E1795" t="s">
        <v>25</v>
      </c>
      <c r="F1795">
        <v>9878.0400000000009</v>
      </c>
      <c r="G1795">
        <f t="array" ref="G1795">SalesData!$I$2 - 'RFM Table'!B1795</f>
        <v>286</v>
      </c>
      <c r="H1795">
        <f t="array" ref="H1795">COUNTIF(A:A,A1795)</f>
        <v>9</v>
      </c>
      <c r="I1795">
        <f t="array" ref="I1795">SUMIF(A:A,A1795,F:F)</f>
        <v>48530.240000000005</v>
      </c>
      <c r="J1795">
        <f t="array" ref="J1795">5 - INT(5 * (RANK(G1795,G:G, 1) - 1) / COUNT(G:G))</f>
        <v>3</v>
      </c>
      <c r="K1795">
        <f t="array" ref="K1795">INT(5 * (RANK(H1795,H:H, 0) - 1) / COUNT(H:H)) + 1</f>
        <v>2</v>
      </c>
      <c r="L1795">
        <f t="array" ref="L1795">INT(5 * (RANK(I1795,I:I, 0) - 1) / COUNT(I:I)) + 1</f>
        <v>1</v>
      </c>
      <c r="M1795" t="str">
        <f t="shared" ref="M1795:M1858" si="56">J1795 &amp; K1795 &amp; L1795</f>
        <v>321</v>
      </c>
      <c r="N1795" s="6" t="str">
        <f t="shared" ref="N1795:N1858" si="57">IF(AND(J1795&gt;=4,K1795&lt;=2),"New Customers",
IF(AND(J1795&lt;=2,K1795&gt;=3,L1795&gt;=3),"At Risk",
IF(AND(J1795&lt;=2,K1795&lt;=2,L1795&gt;=3),"Can't Lose Them",
IF(AND(J1795&lt;=2,K1795&lt;=2,L1795&lt;=2),"Lost",
"Others"))))</f>
        <v>Others</v>
      </c>
    </row>
    <row r="1796" spans="1:14" x14ac:dyDescent="0.35">
      <c r="A1796">
        <v>1256</v>
      </c>
      <c r="B1796" s="4">
        <v>45850.375085336993</v>
      </c>
      <c r="C1796" t="s">
        <v>8</v>
      </c>
      <c r="D1796" t="s">
        <v>22</v>
      </c>
      <c r="E1796" t="s">
        <v>25</v>
      </c>
      <c r="F1796">
        <v>1925.29</v>
      </c>
      <c r="G1796">
        <f t="array" ref="G1796">SalesData!$I$2 - 'RFM Table'!B1796</f>
        <v>286</v>
      </c>
      <c r="H1796">
        <f t="array" ref="H1796">COUNTIF(A:A,A1796)</f>
        <v>8</v>
      </c>
      <c r="I1796">
        <f t="array" ref="I1796">SUMIF(A:A,A1796,F:F)</f>
        <v>29767.75</v>
      </c>
      <c r="J1796">
        <f t="array" ref="J1796">5 - INT(5 * (RANK(G1796,G:G, 1) - 1) / COUNT(G:G))</f>
        <v>3</v>
      </c>
      <c r="K1796">
        <f t="array" ref="K1796">INT(5 * (RANK(H1796,H:H, 0) - 1) / COUNT(H:H)) + 1</f>
        <v>3</v>
      </c>
      <c r="L1796">
        <f t="array" ref="L1796">INT(5 * (RANK(I1796,I:I, 0) - 1) / COUNT(I:I)) + 1</f>
        <v>3</v>
      </c>
      <c r="M1796" t="str">
        <f t="shared" si="56"/>
        <v>333</v>
      </c>
      <c r="N1796" s="6" t="str">
        <f t="shared" si="57"/>
        <v>Others</v>
      </c>
    </row>
    <row r="1797" spans="1:14" x14ac:dyDescent="0.35">
      <c r="A1797">
        <v>1041</v>
      </c>
      <c r="B1797" s="4">
        <v>45851.375085336993</v>
      </c>
      <c r="C1797" t="s">
        <v>12</v>
      </c>
      <c r="D1797" t="s">
        <v>18</v>
      </c>
      <c r="E1797" t="s">
        <v>23</v>
      </c>
      <c r="F1797">
        <v>5935.78</v>
      </c>
      <c r="G1797">
        <f t="array" ref="G1797">SalesData!$I$2 - 'RFM Table'!B1797</f>
        <v>285</v>
      </c>
      <c r="H1797">
        <f t="array" ref="H1797">COUNTIF(A:A,A1797)</f>
        <v>12</v>
      </c>
      <c r="I1797">
        <f t="array" ref="I1797">SUMIF(A:A,A1797,F:F)</f>
        <v>44894.799999999996</v>
      </c>
      <c r="J1797">
        <f t="array" ref="J1797">5 - INT(5 * (RANK(G1797,G:G, 1) - 1) / COUNT(G:G))</f>
        <v>3</v>
      </c>
      <c r="K1797">
        <f t="array" ref="K1797">INT(5 * (RANK(H1797,H:H, 0) - 1) / COUNT(H:H)) + 1</f>
        <v>1</v>
      </c>
      <c r="L1797">
        <f t="array" ref="L1797">INT(5 * (RANK(I1797,I:I, 0) - 1) / COUNT(I:I)) + 1</f>
        <v>1</v>
      </c>
      <c r="M1797" t="str">
        <f t="shared" si="56"/>
        <v>311</v>
      </c>
      <c r="N1797" s="6" t="str">
        <f t="shared" si="57"/>
        <v>Others</v>
      </c>
    </row>
    <row r="1798" spans="1:14" x14ac:dyDescent="0.35">
      <c r="A1798">
        <v>1011</v>
      </c>
      <c r="B1798" s="4">
        <v>45851.375085336993</v>
      </c>
      <c r="C1798" t="s">
        <v>10</v>
      </c>
      <c r="D1798" t="s">
        <v>18</v>
      </c>
      <c r="E1798" t="s">
        <v>23</v>
      </c>
      <c r="F1798">
        <v>3167.24</v>
      </c>
      <c r="G1798">
        <f t="array" ref="G1798">SalesData!$I$2 - 'RFM Table'!B1798</f>
        <v>285</v>
      </c>
      <c r="H1798">
        <f t="array" ref="H1798">COUNTIF(A:A,A1798)</f>
        <v>16</v>
      </c>
      <c r="I1798">
        <f t="array" ref="I1798">SUMIF(A:A,A1798,F:F)</f>
        <v>58237.360000000008</v>
      </c>
      <c r="J1798">
        <f t="array" ref="J1798">5 - INT(5 * (RANK(G1798,G:G, 1) - 1) / COUNT(G:G))</f>
        <v>3</v>
      </c>
      <c r="K1798">
        <f t="array" ref="K1798">INT(5 * (RANK(H1798,H:H, 0) - 1) / COUNT(H:H)) + 1</f>
        <v>1</v>
      </c>
      <c r="L1798">
        <f t="array" ref="L1798">INT(5 * (RANK(I1798,I:I, 0) - 1) / COUNT(I:I)) + 1</f>
        <v>1</v>
      </c>
      <c r="M1798" t="str">
        <f t="shared" si="56"/>
        <v>311</v>
      </c>
      <c r="N1798" s="6" t="str">
        <f t="shared" si="57"/>
        <v>Others</v>
      </c>
    </row>
    <row r="1799" spans="1:14" x14ac:dyDescent="0.35">
      <c r="A1799">
        <v>1018</v>
      </c>
      <c r="B1799" s="4">
        <v>45851.375085336993</v>
      </c>
      <c r="C1799" t="s">
        <v>9</v>
      </c>
      <c r="D1799" t="s">
        <v>17</v>
      </c>
      <c r="E1799" t="s">
        <v>23</v>
      </c>
      <c r="F1799">
        <v>4961.1000000000004</v>
      </c>
      <c r="G1799">
        <f t="array" ref="G1799">SalesData!$I$2 - 'RFM Table'!B1799</f>
        <v>285</v>
      </c>
      <c r="H1799">
        <f t="array" ref="H1799">COUNTIF(A:A,A1799)</f>
        <v>7</v>
      </c>
      <c r="I1799">
        <f t="array" ref="I1799">SUMIF(A:A,A1799,F:F)</f>
        <v>25356.28</v>
      </c>
      <c r="J1799">
        <f t="array" ref="J1799">5 - INT(5 * (RANK(G1799,G:G, 1) - 1) / COUNT(G:G))</f>
        <v>3</v>
      </c>
      <c r="K1799">
        <f t="array" ref="K1799">INT(5 * (RANK(H1799,H:H, 0) - 1) / COUNT(H:H)) + 1</f>
        <v>4</v>
      </c>
      <c r="L1799">
        <f t="array" ref="L1799">INT(5 * (RANK(I1799,I:I, 0) - 1) / COUNT(I:I)) + 1</f>
        <v>4</v>
      </c>
      <c r="M1799" t="str">
        <f t="shared" si="56"/>
        <v>344</v>
      </c>
      <c r="N1799" s="6" t="str">
        <f t="shared" si="57"/>
        <v>Others</v>
      </c>
    </row>
    <row r="1800" spans="1:14" x14ac:dyDescent="0.35">
      <c r="A1800">
        <v>1110</v>
      </c>
      <c r="B1800" s="4">
        <v>45851.375085336993</v>
      </c>
      <c r="C1800" t="s">
        <v>10</v>
      </c>
      <c r="D1800" t="s">
        <v>19</v>
      </c>
      <c r="E1800" t="s">
        <v>23</v>
      </c>
      <c r="F1800">
        <v>2741.87</v>
      </c>
      <c r="G1800">
        <f t="array" ref="G1800">SalesData!$I$2 - 'RFM Table'!B1800</f>
        <v>285</v>
      </c>
      <c r="H1800">
        <f t="array" ref="H1800">COUNTIF(A:A,A1800)</f>
        <v>13</v>
      </c>
      <c r="I1800">
        <f t="array" ref="I1800">SUMIF(A:A,A1800,F:F)</f>
        <v>72511.88</v>
      </c>
      <c r="J1800">
        <f t="array" ref="J1800">5 - INT(5 * (RANK(G1800,G:G, 1) - 1) / COUNT(G:G))</f>
        <v>3</v>
      </c>
      <c r="K1800">
        <f t="array" ref="K1800">INT(5 * (RANK(H1800,H:H, 0) - 1) / COUNT(H:H)) + 1</f>
        <v>1</v>
      </c>
      <c r="L1800">
        <f t="array" ref="L1800">INT(5 * (RANK(I1800,I:I, 0) - 1) / COUNT(I:I)) + 1</f>
        <v>1</v>
      </c>
      <c r="M1800" t="str">
        <f t="shared" si="56"/>
        <v>311</v>
      </c>
      <c r="N1800" s="6" t="str">
        <f t="shared" si="57"/>
        <v>Others</v>
      </c>
    </row>
    <row r="1801" spans="1:14" x14ac:dyDescent="0.35">
      <c r="A1801">
        <v>1260</v>
      </c>
      <c r="B1801" s="4">
        <v>45851.375085336993</v>
      </c>
      <c r="C1801" t="s">
        <v>7</v>
      </c>
      <c r="D1801" t="s">
        <v>19</v>
      </c>
      <c r="E1801" t="s">
        <v>25</v>
      </c>
      <c r="F1801">
        <v>4804.5</v>
      </c>
      <c r="G1801">
        <f t="array" ref="G1801">SalesData!$I$2 - 'RFM Table'!B1801</f>
        <v>285</v>
      </c>
      <c r="H1801">
        <f t="array" ref="H1801">COUNTIF(A:A,A1801)</f>
        <v>10</v>
      </c>
      <c r="I1801">
        <f t="array" ref="I1801">SUMIF(A:A,A1801,F:F)</f>
        <v>67378.48000000001</v>
      </c>
      <c r="J1801">
        <f t="array" ref="J1801">5 - INT(5 * (RANK(G1801,G:G, 1) - 1) / COUNT(G:G))</f>
        <v>3</v>
      </c>
      <c r="K1801">
        <f t="array" ref="K1801">INT(5 * (RANK(H1801,H:H, 0) - 1) / COUNT(H:H)) + 1</f>
        <v>2</v>
      </c>
      <c r="L1801">
        <f t="array" ref="L1801">INT(5 * (RANK(I1801,I:I, 0) - 1) / COUNT(I:I)) + 1</f>
        <v>1</v>
      </c>
      <c r="M1801" t="str">
        <f t="shared" si="56"/>
        <v>321</v>
      </c>
      <c r="N1801" s="6" t="str">
        <f t="shared" si="57"/>
        <v>Others</v>
      </c>
    </row>
    <row r="1802" spans="1:14" x14ac:dyDescent="0.35">
      <c r="A1802">
        <v>1108</v>
      </c>
      <c r="B1802" s="4">
        <v>45852.375085336993</v>
      </c>
      <c r="C1802" t="s">
        <v>9</v>
      </c>
      <c r="D1802" t="s">
        <v>18</v>
      </c>
      <c r="E1802" t="s">
        <v>25</v>
      </c>
      <c r="F1802">
        <v>4554.03</v>
      </c>
      <c r="G1802">
        <f t="array" ref="G1802">SalesData!$I$2 - 'RFM Table'!B1802</f>
        <v>284</v>
      </c>
      <c r="H1802">
        <f t="array" ref="H1802">COUNTIF(A:A,A1802)</f>
        <v>5</v>
      </c>
      <c r="I1802">
        <f t="array" ref="I1802">SUMIF(A:A,A1802,F:F)</f>
        <v>22595.8</v>
      </c>
      <c r="J1802">
        <f t="array" ref="J1802">5 - INT(5 * (RANK(G1802,G:G, 1) - 1) / COUNT(G:G))</f>
        <v>4</v>
      </c>
      <c r="K1802">
        <f t="array" ref="K1802">INT(5 * (RANK(H1802,H:H, 0) - 1) / COUNT(H:H)) + 1</f>
        <v>5</v>
      </c>
      <c r="L1802">
        <f t="array" ref="L1802">INT(5 * (RANK(I1802,I:I, 0) - 1) / COUNT(I:I)) + 1</f>
        <v>4</v>
      </c>
      <c r="M1802" t="str">
        <f t="shared" si="56"/>
        <v>454</v>
      </c>
      <c r="N1802" s="6" t="str">
        <f t="shared" si="57"/>
        <v>Others</v>
      </c>
    </row>
    <row r="1803" spans="1:14" x14ac:dyDescent="0.35">
      <c r="A1803">
        <v>1302</v>
      </c>
      <c r="B1803" s="4">
        <v>45852.375085336993</v>
      </c>
      <c r="C1803" t="s">
        <v>15</v>
      </c>
      <c r="D1803" t="s">
        <v>21</v>
      </c>
      <c r="E1803" t="s">
        <v>25</v>
      </c>
      <c r="F1803">
        <v>2964.81</v>
      </c>
      <c r="G1803">
        <f t="array" ref="G1803">SalesData!$I$2 - 'RFM Table'!B1803</f>
        <v>284</v>
      </c>
      <c r="H1803">
        <f t="array" ref="H1803">COUNTIF(A:A,A1803)</f>
        <v>13</v>
      </c>
      <c r="I1803">
        <f t="array" ref="I1803">SUMIF(A:A,A1803,F:F)</f>
        <v>51409.87</v>
      </c>
      <c r="J1803">
        <f t="array" ref="J1803">5 - INT(5 * (RANK(G1803,G:G, 1) - 1) / COUNT(G:G))</f>
        <v>4</v>
      </c>
      <c r="K1803">
        <f t="array" ref="K1803">INT(5 * (RANK(H1803,H:H, 0) - 1) / COUNT(H:H)) + 1</f>
        <v>1</v>
      </c>
      <c r="L1803">
        <f t="array" ref="L1803">INT(5 * (RANK(I1803,I:I, 0) - 1) / COUNT(I:I)) + 1</f>
        <v>1</v>
      </c>
      <c r="M1803" t="str">
        <f t="shared" si="56"/>
        <v>411</v>
      </c>
      <c r="N1803" s="6" t="str">
        <f t="shared" si="57"/>
        <v>New Customers</v>
      </c>
    </row>
    <row r="1804" spans="1:14" x14ac:dyDescent="0.35">
      <c r="A1804">
        <v>1171</v>
      </c>
      <c r="B1804" s="4">
        <v>45852.375085336993</v>
      </c>
      <c r="C1804" t="s">
        <v>6</v>
      </c>
      <c r="D1804" t="s">
        <v>16</v>
      </c>
      <c r="E1804" t="s">
        <v>25</v>
      </c>
      <c r="F1804">
        <v>4999.1899999999996</v>
      </c>
      <c r="G1804">
        <f t="array" ref="G1804">SalesData!$I$2 - 'RFM Table'!B1804</f>
        <v>284</v>
      </c>
      <c r="H1804">
        <f t="array" ref="H1804">COUNTIF(A:A,A1804)</f>
        <v>9</v>
      </c>
      <c r="I1804">
        <f t="array" ref="I1804">SUMIF(A:A,A1804,F:F)</f>
        <v>40942.560000000005</v>
      </c>
      <c r="J1804">
        <f t="array" ref="J1804">5 - INT(5 * (RANK(G1804,G:G, 1) - 1) / COUNT(G:G))</f>
        <v>4</v>
      </c>
      <c r="K1804">
        <f t="array" ref="K1804">INT(5 * (RANK(H1804,H:H, 0) - 1) / COUNT(H:H)) + 1</f>
        <v>2</v>
      </c>
      <c r="L1804">
        <f t="array" ref="L1804">INT(5 * (RANK(I1804,I:I, 0) - 1) / COUNT(I:I)) + 1</f>
        <v>2</v>
      </c>
      <c r="M1804" t="str">
        <f t="shared" si="56"/>
        <v>422</v>
      </c>
      <c r="N1804" s="6" t="str">
        <f t="shared" si="57"/>
        <v>New Customers</v>
      </c>
    </row>
    <row r="1805" spans="1:14" x14ac:dyDescent="0.35">
      <c r="A1805">
        <v>1084</v>
      </c>
      <c r="B1805" s="4">
        <v>45852.375085336993</v>
      </c>
      <c r="C1805" t="s">
        <v>12</v>
      </c>
      <c r="D1805" t="s">
        <v>20</v>
      </c>
      <c r="E1805" t="s">
        <v>23</v>
      </c>
      <c r="F1805">
        <v>6245.59</v>
      </c>
      <c r="G1805">
        <f t="array" ref="G1805">SalesData!$I$2 - 'RFM Table'!B1805</f>
        <v>284</v>
      </c>
      <c r="H1805">
        <f t="array" ref="H1805">COUNTIF(A:A,A1805)</f>
        <v>4</v>
      </c>
      <c r="I1805">
        <f t="array" ref="I1805">SUMIF(A:A,A1805,F:F)</f>
        <v>12531.98</v>
      </c>
      <c r="J1805">
        <f t="array" ref="J1805">5 - INT(5 * (RANK(G1805,G:G, 1) - 1) / COUNT(G:G))</f>
        <v>4</v>
      </c>
      <c r="K1805">
        <f t="array" ref="K1805">INT(5 * (RANK(H1805,H:H, 0) - 1) / COUNT(H:H)) + 1</f>
        <v>5</v>
      </c>
      <c r="L1805">
        <f t="array" ref="L1805">INT(5 * (RANK(I1805,I:I, 0) - 1) / COUNT(I:I)) + 1</f>
        <v>5</v>
      </c>
      <c r="M1805" t="str">
        <f t="shared" si="56"/>
        <v>455</v>
      </c>
      <c r="N1805" s="6" t="str">
        <f t="shared" si="57"/>
        <v>Others</v>
      </c>
    </row>
    <row r="1806" spans="1:14" x14ac:dyDescent="0.35">
      <c r="A1806">
        <v>1009</v>
      </c>
      <c r="B1806" s="4">
        <v>45853.375085336993</v>
      </c>
      <c r="C1806" t="s">
        <v>11</v>
      </c>
      <c r="D1806" t="s">
        <v>22</v>
      </c>
      <c r="E1806" t="s">
        <v>23</v>
      </c>
      <c r="F1806">
        <v>4411.34</v>
      </c>
      <c r="G1806">
        <f t="array" ref="G1806">SalesData!$I$2 - 'RFM Table'!B1806</f>
        <v>283</v>
      </c>
      <c r="H1806">
        <f t="array" ref="H1806">COUNTIF(A:A,A1806)</f>
        <v>9</v>
      </c>
      <c r="I1806">
        <f t="array" ref="I1806">SUMIF(A:A,A1806,F:F)</f>
        <v>30047.29</v>
      </c>
      <c r="J1806">
        <f t="array" ref="J1806">5 - INT(5 * (RANK(G1806,G:G, 1) - 1) / COUNT(G:G))</f>
        <v>4</v>
      </c>
      <c r="K1806">
        <f t="array" ref="K1806">INT(5 * (RANK(H1806,H:H, 0) - 1) / COUNT(H:H)) + 1</f>
        <v>2</v>
      </c>
      <c r="L1806">
        <f t="array" ref="L1806">INT(5 * (RANK(I1806,I:I, 0) - 1) / COUNT(I:I)) + 1</f>
        <v>3</v>
      </c>
      <c r="M1806" t="str">
        <f t="shared" si="56"/>
        <v>423</v>
      </c>
      <c r="N1806" s="6" t="str">
        <f t="shared" si="57"/>
        <v>New Customers</v>
      </c>
    </row>
    <row r="1807" spans="1:14" x14ac:dyDescent="0.35">
      <c r="A1807">
        <v>1282</v>
      </c>
      <c r="B1807" s="4">
        <v>45853.375085336993</v>
      </c>
      <c r="C1807" t="s">
        <v>7</v>
      </c>
      <c r="D1807" t="s">
        <v>18</v>
      </c>
      <c r="E1807" t="s">
        <v>24</v>
      </c>
      <c r="F1807">
        <v>4228.91</v>
      </c>
      <c r="G1807">
        <f t="array" ref="G1807">SalesData!$I$2 - 'RFM Table'!B1807</f>
        <v>283</v>
      </c>
      <c r="H1807">
        <f t="array" ref="H1807">COUNTIF(A:A,A1807)</f>
        <v>7</v>
      </c>
      <c r="I1807">
        <f t="array" ref="I1807">SUMIF(A:A,A1807,F:F)</f>
        <v>37438.960000000006</v>
      </c>
      <c r="J1807">
        <f t="array" ref="J1807">5 - INT(5 * (RANK(G1807,G:G, 1) - 1) / COUNT(G:G))</f>
        <v>4</v>
      </c>
      <c r="K1807">
        <f t="array" ref="K1807">INT(5 * (RANK(H1807,H:H, 0) - 1) / COUNT(H:H)) + 1</f>
        <v>4</v>
      </c>
      <c r="L1807">
        <f t="array" ref="L1807">INT(5 * (RANK(I1807,I:I, 0) - 1) / COUNT(I:I)) + 1</f>
        <v>2</v>
      </c>
      <c r="M1807" t="str">
        <f t="shared" si="56"/>
        <v>442</v>
      </c>
      <c r="N1807" s="6" t="str">
        <f t="shared" si="57"/>
        <v>Others</v>
      </c>
    </row>
    <row r="1808" spans="1:14" x14ac:dyDescent="0.35">
      <c r="A1808">
        <v>1013</v>
      </c>
      <c r="B1808" s="4">
        <v>45853.375085336993</v>
      </c>
      <c r="C1808" t="s">
        <v>14</v>
      </c>
      <c r="D1808" t="s">
        <v>21</v>
      </c>
      <c r="E1808" t="s">
        <v>24</v>
      </c>
      <c r="F1808">
        <v>1649.13</v>
      </c>
      <c r="G1808">
        <f t="array" ref="G1808">SalesData!$I$2 - 'RFM Table'!B1808</f>
        <v>283</v>
      </c>
      <c r="H1808">
        <f t="array" ref="H1808">COUNTIF(A:A,A1808)</f>
        <v>14</v>
      </c>
      <c r="I1808">
        <f t="array" ref="I1808">SUMIF(A:A,A1808,F:F)</f>
        <v>60099.840000000004</v>
      </c>
      <c r="J1808">
        <f t="array" ref="J1808">5 - INT(5 * (RANK(G1808,G:G, 1) - 1) / COUNT(G:G))</f>
        <v>4</v>
      </c>
      <c r="K1808">
        <f t="array" ref="K1808">INT(5 * (RANK(H1808,H:H, 0) - 1) / COUNT(H:H)) + 1</f>
        <v>1</v>
      </c>
      <c r="L1808">
        <f t="array" ref="L1808">INT(5 * (RANK(I1808,I:I, 0) - 1) / COUNT(I:I)) + 1</f>
        <v>1</v>
      </c>
      <c r="M1808" t="str">
        <f t="shared" si="56"/>
        <v>411</v>
      </c>
      <c r="N1808" s="6" t="str">
        <f t="shared" si="57"/>
        <v>New Customers</v>
      </c>
    </row>
    <row r="1809" spans="1:14" x14ac:dyDescent="0.35">
      <c r="A1809">
        <v>1246</v>
      </c>
      <c r="B1809" s="4">
        <v>45854.375085336993</v>
      </c>
      <c r="C1809" t="s">
        <v>15</v>
      </c>
      <c r="D1809" t="s">
        <v>18</v>
      </c>
      <c r="E1809" t="s">
        <v>24</v>
      </c>
      <c r="F1809">
        <v>2433.84</v>
      </c>
      <c r="G1809">
        <f t="array" ref="G1809">SalesData!$I$2 - 'RFM Table'!B1809</f>
        <v>282</v>
      </c>
      <c r="H1809">
        <f t="array" ref="H1809">COUNTIF(A:A,A1809)</f>
        <v>9</v>
      </c>
      <c r="I1809">
        <f t="array" ref="I1809">SUMIF(A:A,A1809,F:F)</f>
        <v>38767.17</v>
      </c>
      <c r="J1809">
        <f t="array" ref="J1809">5 - INT(5 * (RANK(G1809,G:G, 1) - 1) / COUNT(G:G))</f>
        <v>4</v>
      </c>
      <c r="K1809">
        <f t="array" ref="K1809">INT(5 * (RANK(H1809,H:H, 0) - 1) / COUNT(H:H)) + 1</f>
        <v>2</v>
      </c>
      <c r="L1809">
        <f t="array" ref="L1809">INT(5 * (RANK(I1809,I:I, 0) - 1) / COUNT(I:I)) + 1</f>
        <v>2</v>
      </c>
      <c r="M1809" t="str">
        <f t="shared" si="56"/>
        <v>422</v>
      </c>
      <c r="N1809" s="6" t="str">
        <f t="shared" si="57"/>
        <v>New Customers</v>
      </c>
    </row>
    <row r="1810" spans="1:14" x14ac:dyDescent="0.35">
      <c r="A1810">
        <v>1203</v>
      </c>
      <c r="B1810" s="4">
        <v>45854.375085336993</v>
      </c>
      <c r="C1810" t="s">
        <v>10</v>
      </c>
      <c r="D1810" t="s">
        <v>18</v>
      </c>
      <c r="E1810" t="s">
        <v>25</v>
      </c>
      <c r="F1810">
        <v>5725.7</v>
      </c>
      <c r="G1810">
        <f t="array" ref="G1810">SalesData!$I$2 - 'RFM Table'!B1810</f>
        <v>282</v>
      </c>
      <c r="H1810">
        <f t="array" ref="H1810">COUNTIF(A:A,A1810)</f>
        <v>4</v>
      </c>
      <c r="I1810">
        <f t="array" ref="I1810">SUMIF(A:A,A1810,F:F)</f>
        <v>18725.21</v>
      </c>
      <c r="J1810">
        <f t="array" ref="J1810">5 - INT(5 * (RANK(G1810,G:G, 1) - 1) / COUNT(G:G))</f>
        <v>4</v>
      </c>
      <c r="K1810">
        <f t="array" ref="K1810">INT(5 * (RANK(H1810,H:H, 0) - 1) / COUNT(H:H)) + 1</f>
        <v>5</v>
      </c>
      <c r="L1810">
        <f t="array" ref="L1810">INT(5 * (RANK(I1810,I:I, 0) - 1) / COUNT(I:I)) + 1</f>
        <v>5</v>
      </c>
      <c r="M1810" t="str">
        <f t="shared" si="56"/>
        <v>455</v>
      </c>
      <c r="N1810" s="6" t="str">
        <f t="shared" si="57"/>
        <v>Others</v>
      </c>
    </row>
    <row r="1811" spans="1:14" x14ac:dyDescent="0.35">
      <c r="A1811">
        <v>1238</v>
      </c>
      <c r="B1811" s="4">
        <v>45854.375085336993</v>
      </c>
      <c r="C1811" t="s">
        <v>7</v>
      </c>
      <c r="D1811" t="s">
        <v>16</v>
      </c>
      <c r="E1811" t="s">
        <v>25</v>
      </c>
      <c r="F1811">
        <v>2460.94</v>
      </c>
      <c r="G1811">
        <f t="array" ref="G1811">SalesData!$I$2 - 'RFM Table'!B1811</f>
        <v>282</v>
      </c>
      <c r="H1811">
        <f t="array" ref="H1811">COUNTIF(A:A,A1811)</f>
        <v>10</v>
      </c>
      <c r="I1811">
        <f t="array" ref="I1811">SUMIF(A:A,A1811,F:F)</f>
        <v>42023.55</v>
      </c>
      <c r="J1811">
        <f t="array" ref="J1811">5 - INT(5 * (RANK(G1811,G:G, 1) - 1) / COUNT(G:G))</f>
        <v>4</v>
      </c>
      <c r="K1811">
        <f t="array" ref="K1811">INT(5 * (RANK(H1811,H:H, 0) - 1) / COUNT(H:H)) + 1</f>
        <v>2</v>
      </c>
      <c r="L1811">
        <f t="array" ref="L1811">INT(5 * (RANK(I1811,I:I, 0) - 1) / COUNT(I:I)) + 1</f>
        <v>2</v>
      </c>
      <c r="M1811" t="str">
        <f t="shared" si="56"/>
        <v>422</v>
      </c>
      <c r="N1811" s="6" t="str">
        <f t="shared" si="57"/>
        <v>New Customers</v>
      </c>
    </row>
    <row r="1812" spans="1:14" x14ac:dyDescent="0.35">
      <c r="A1812">
        <v>1024</v>
      </c>
      <c r="B1812" s="4">
        <v>45854.375085336993</v>
      </c>
      <c r="C1812" t="s">
        <v>11</v>
      </c>
      <c r="D1812" t="s">
        <v>22</v>
      </c>
      <c r="E1812" t="s">
        <v>23</v>
      </c>
      <c r="F1812">
        <v>7549.67</v>
      </c>
      <c r="G1812">
        <f t="array" ref="G1812">SalesData!$I$2 - 'RFM Table'!B1812</f>
        <v>282</v>
      </c>
      <c r="H1812">
        <f t="array" ref="H1812">COUNTIF(A:A,A1812)</f>
        <v>12</v>
      </c>
      <c r="I1812">
        <f t="array" ref="I1812">SUMIF(A:A,A1812,F:F)</f>
        <v>48008.159999999996</v>
      </c>
      <c r="J1812">
        <f t="array" ref="J1812">5 - INT(5 * (RANK(G1812,G:G, 1) - 1) / COUNT(G:G))</f>
        <v>4</v>
      </c>
      <c r="K1812">
        <f t="array" ref="K1812">INT(5 * (RANK(H1812,H:H, 0) - 1) / COUNT(H:H)) + 1</f>
        <v>1</v>
      </c>
      <c r="L1812">
        <f t="array" ref="L1812">INT(5 * (RANK(I1812,I:I, 0) - 1) / COUNT(I:I)) + 1</f>
        <v>1</v>
      </c>
      <c r="M1812" t="str">
        <f t="shared" si="56"/>
        <v>411</v>
      </c>
      <c r="N1812" s="6" t="str">
        <f t="shared" si="57"/>
        <v>New Customers</v>
      </c>
    </row>
    <row r="1813" spans="1:14" x14ac:dyDescent="0.35">
      <c r="A1813">
        <v>1159</v>
      </c>
      <c r="B1813" s="4">
        <v>45855.375085336993</v>
      </c>
      <c r="C1813" t="s">
        <v>9</v>
      </c>
      <c r="D1813" t="s">
        <v>17</v>
      </c>
      <c r="E1813" t="s">
        <v>24</v>
      </c>
      <c r="F1813">
        <v>1631.3</v>
      </c>
      <c r="G1813">
        <f t="array" ref="G1813">SalesData!$I$2 - 'RFM Table'!B1813</f>
        <v>281</v>
      </c>
      <c r="H1813">
        <f t="array" ref="H1813">COUNTIF(A:A,A1813)</f>
        <v>15</v>
      </c>
      <c r="I1813">
        <f t="array" ref="I1813">SUMIF(A:A,A1813,F:F)</f>
        <v>57217.139999999992</v>
      </c>
      <c r="J1813">
        <f t="array" ref="J1813">5 - INT(5 * (RANK(G1813,G:G, 1) - 1) / COUNT(G:G))</f>
        <v>4</v>
      </c>
      <c r="K1813">
        <f t="array" ref="K1813">INT(5 * (RANK(H1813,H:H, 0) - 1) / COUNT(H:H)) + 1</f>
        <v>1</v>
      </c>
      <c r="L1813">
        <f t="array" ref="L1813">INT(5 * (RANK(I1813,I:I, 0) - 1) / COUNT(I:I)) + 1</f>
        <v>1</v>
      </c>
      <c r="M1813" t="str">
        <f t="shared" si="56"/>
        <v>411</v>
      </c>
      <c r="N1813" s="6" t="str">
        <f t="shared" si="57"/>
        <v>New Customers</v>
      </c>
    </row>
    <row r="1814" spans="1:14" x14ac:dyDescent="0.35">
      <c r="A1814">
        <v>1239</v>
      </c>
      <c r="B1814" s="4">
        <v>45855.375085336993</v>
      </c>
      <c r="C1814" t="s">
        <v>8</v>
      </c>
      <c r="D1814" t="s">
        <v>19</v>
      </c>
      <c r="E1814" t="s">
        <v>25</v>
      </c>
      <c r="F1814">
        <v>6716.57</v>
      </c>
      <c r="G1814">
        <f t="array" ref="G1814">SalesData!$I$2 - 'RFM Table'!B1814</f>
        <v>281</v>
      </c>
      <c r="H1814">
        <f t="array" ref="H1814">COUNTIF(A:A,A1814)</f>
        <v>4</v>
      </c>
      <c r="I1814">
        <f t="array" ref="I1814">SUMIF(A:A,A1814,F:F)</f>
        <v>47975.93</v>
      </c>
      <c r="J1814">
        <f t="array" ref="J1814">5 - INT(5 * (RANK(G1814,G:G, 1) - 1) / COUNT(G:G))</f>
        <v>4</v>
      </c>
      <c r="K1814">
        <f t="array" ref="K1814">INT(5 * (RANK(H1814,H:H, 0) - 1) / COUNT(H:H)) + 1</f>
        <v>5</v>
      </c>
      <c r="L1814">
        <f t="array" ref="L1814">INT(5 * (RANK(I1814,I:I, 0) - 1) / COUNT(I:I)) + 1</f>
        <v>1</v>
      </c>
      <c r="M1814" t="str">
        <f t="shared" si="56"/>
        <v>451</v>
      </c>
      <c r="N1814" s="6" t="str">
        <f t="shared" si="57"/>
        <v>Others</v>
      </c>
    </row>
    <row r="1815" spans="1:14" x14ac:dyDescent="0.35">
      <c r="A1815">
        <v>1223</v>
      </c>
      <c r="B1815" s="4">
        <v>45855.375085336993</v>
      </c>
      <c r="C1815" t="s">
        <v>15</v>
      </c>
      <c r="D1815" t="s">
        <v>19</v>
      </c>
      <c r="E1815" t="s">
        <v>24</v>
      </c>
      <c r="F1815">
        <v>5317.25</v>
      </c>
      <c r="G1815">
        <f t="array" ref="G1815">SalesData!$I$2 - 'RFM Table'!B1815</f>
        <v>281</v>
      </c>
      <c r="H1815">
        <f t="array" ref="H1815">COUNTIF(A:A,A1815)</f>
        <v>12</v>
      </c>
      <c r="I1815">
        <f t="array" ref="I1815">SUMIF(A:A,A1815,F:F)</f>
        <v>40797.409999999996</v>
      </c>
      <c r="J1815">
        <f t="array" ref="J1815">5 - INT(5 * (RANK(G1815,G:G, 1) - 1) / COUNT(G:G))</f>
        <v>4</v>
      </c>
      <c r="K1815">
        <f t="array" ref="K1815">INT(5 * (RANK(H1815,H:H, 0) - 1) / COUNT(H:H)) + 1</f>
        <v>1</v>
      </c>
      <c r="L1815">
        <f t="array" ref="L1815">INT(5 * (RANK(I1815,I:I, 0) - 1) / COUNT(I:I)) + 1</f>
        <v>2</v>
      </c>
      <c r="M1815" t="str">
        <f t="shared" si="56"/>
        <v>412</v>
      </c>
      <c r="N1815" s="6" t="str">
        <f t="shared" si="57"/>
        <v>New Customers</v>
      </c>
    </row>
    <row r="1816" spans="1:14" x14ac:dyDescent="0.35">
      <c r="A1816">
        <v>1329</v>
      </c>
      <c r="B1816" s="4">
        <v>45855.375085336993</v>
      </c>
      <c r="C1816" t="s">
        <v>6</v>
      </c>
      <c r="D1816" t="s">
        <v>21</v>
      </c>
      <c r="E1816" t="s">
        <v>23</v>
      </c>
      <c r="F1816">
        <v>5449.65</v>
      </c>
      <c r="G1816">
        <f t="array" ref="G1816">SalesData!$I$2 - 'RFM Table'!B1816</f>
        <v>281</v>
      </c>
      <c r="H1816">
        <f t="array" ref="H1816">COUNTIF(A:A,A1816)</f>
        <v>9</v>
      </c>
      <c r="I1816">
        <f t="array" ref="I1816">SUMIF(A:A,A1816,F:F)</f>
        <v>27881.53</v>
      </c>
      <c r="J1816">
        <f t="array" ref="J1816">5 - INT(5 * (RANK(G1816,G:G, 1) - 1) / COUNT(G:G))</f>
        <v>4</v>
      </c>
      <c r="K1816">
        <f t="array" ref="K1816">INT(5 * (RANK(H1816,H:H, 0) - 1) / COUNT(H:H)) + 1</f>
        <v>2</v>
      </c>
      <c r="L1816">
        <f t="array" ref="L1816">INT(5 * (RANK(I1816,I:I, 0) - 1) / COUNT(I:I)) + 1</f>
        <v>4</v>
      </c>
      <c r="M1816" t="str">
        <f t="shared" si="56"/>
        <v>424</v>
      </c>
      <c r="N1816" s="6" t="str">
        <f t="shared" si="57"/>
        <v>New Customers</v>
      </c>
    </row>
    <row r="1817" spans="1:14" x14ac:dyDescent="0.35">
      <c r="A1817">
        <v>1252</v>
      </c>
      <c r="B1817" s="4">
        <v>45855.375085336993</v>
      </c>
      <c r="C1817" t="s">
        <v>13</v>
      </c>
      <c r="D1817" t="s">
        <v>21</v>
      </c>
      <c r="E1817" t="s">
        <v>23</v>
      </c>
      <c r="F1817">
        <v>2507.89</v>
      </c>
      <c r="G1817">
        <f t="array" ref="G1817">SalesData!$I$2 - 'RFM Table'!B1817</f>
        <v>281</v>
      </c>
      <c r="H1817">
        <f t="array" ref="H1817">COUNTIF(A:A,A1817)</f>
        <v>8</v>
      </c>
      <c r="I1817">
        <f t="array" ref="I1817">SUMIF(A:A,A1817,F:F)</f>
        <v>29088.159999999996</v>
      </c>
      <c r="J1817">
        <f t="array" ref="J1817">5 - INT(5 * (RANK(G1817,G:G, 1) - 1) / COUNT(G:G))</f>
        <v>4</v>
      </c>
      <c r="K1817">
        <f t="array" ref="K1817">INT(5 * (RANK(H1817,H:H, 0) - 1) / COUNT(H:H)) + 1</f>
        <v>3</v>
      </c>
      <c r="L1817">
        <f t="array" ref="L1817">INT(5 * (RANK(I1817,I:I, 0) - 1) / COUNT(I:I)) + 1</f>
        <v>4</v>
      </c>
      <c r="M1817" t="str">
        <f t="shared" si="56"/>
        <v>434</v>
      </c>
      <c r="N1817" s="6" t="str">
        <f t="shared" si="57"/>
        <v>Others</v>
      </c>
    </row>
    <row r="1818" spans="1:14" x14ac:dyDescent="0.35">
      <c r="A1818">
        <v>1337</v>
      </c>
      <c r="B1818" s="4">
        <v>45855.375085336993</v>
      </c>
      <c r="C1818" t="s">
        <v>8</v>
      </c>
      <c r="D1818" t="s">
        <v>21</v>
      </c>
      <c r="E1818" t="s">
        <v>25</v>
      </c>
      <c r="F1818">
        <v>7048.7</v>
      </c>
      <c r="G1818">
        <f t="array" ref="G1818">SalesData!$I$2 - 'RFM Table'!B1818</f>
        <v>281</v>
      </c>
      <c r="H1818">
        <f t="array" ref="H1818">COUNTIF(A:A,A1818)</f>
        <v>7</v>
      </c>
      <c r="I1818">
        <f t="array" ref="I1818">SUMIF(A:A,A1818,F:F)</f>
        <v>33899.22</v>
      </c>
      <c r="J1818">
        <f t="array" ref="J1818">5 - INT(5 * (RANK(G1818,G:G, 1) - 1) / COUNT(G:G))</f>
        <v>4</v>
      </c>
      <c r="K1818">
        <f t="array" ref="K1818">INT(5 * (RANK(H1818,H:H, 0) - 1) / COUNT(H:H)) + 1</f>
        <v>4</v>
      </c>
      <c r="L1818">
        <f t="array" ref="L1818">INT(5 * (RANK(I1818,I:I, 0) - 1) / COUNT(I:I)) + 1</f>
        <v>3</v>
      </c>
      <c r="M1818" t="str">
        <f t="shared" si="56"/>
        <v>443</v>
      </c>
      <c r="N1818" s="6" t="str">
        <f t="shared" si="57"/>
        <v>Others</v>
      </c>
    </row>
    <row r="1819" spans="1:14" x14ac:dyDescent="0.35">
      <c r="A1819">
        <v>1016</v>
      </c>
      <c r="B1819" s="4">
        <v>45855.375085336993</v>
      </c>
      <c r="C1819" t="s">
        <v>8</v>
      </c>
      <c r="D1819" t="s">
        <v>22</v>
      </c>
      <c r="E1819" t="s">
        <v>25</v>
      </c>
      <c r="F1819">
        <v>3418.79</v>
      </c>
      <c r="G1819">
        <f t="array" ref="G1819">SalesData!$I$2 - 'RFM Table'!B1819</f>
        <v>281</v>
      </c>
      <c r="H1819">
        <f t="array" ref="H1819">COUNTIF(A:A,A1819)</f>
        <v>9</v>
      </c>
      <c r="I1819">
        <f t="array" ref="I1819">SUMIF(A:A,A1819,F:F)</f>
        <v>37239.53</v>
      </c>
      <c r="J1819">
        <f t="array" ref="J1819">5 - INT(5 * (RANK(G1819,G:G, 1) - 1) / COUNT(G:G))</f>
        <v>4</v>
      </c>
      <c r="K1819">
        <f t="array" ref="K1819">INT(5 * (RANK(H1819,H:H, 0) - 1) / COUNT(H:H)) + 1</f>
        <v>2</v>
      </c>
      <c r="L1819">
        <f t="array" ref="L1819">INT(5 * (RANK(I1819,I:I, 0) - 1) / COUNT(I:I)) + 1</f>
        <v>2</v>
      </c>
      <c r="M1819" t="str">
        <f t="shared" si="56"/>
        <v>422</v>
      </c>
      <c r="N1819" s="6" t="str">
        <f t="shared" si="57"/>
        <v>New Customers</v>
      </c>
    </row>
    <row r="1820" spans="1:14" x14ac:dyDescent="0.35">
      <c r="A1820">
        <v>1069</v>
      </c>
      <c r="B1820" s="4">
        <v>45855.375085336993</v>
      </c>
      <c r="C1820" t="s">
        <v>15</v>
      </c>
      <c r="D1820" t="s">
        <v>22</v>
      </c>
      <c r="E1820" t="s">
        <v>23</v>
      </c>
      <c r="F1820">
        <v>6001.53</v>
      </c>
      <c r="G1820">
        <f t="array" ref="G1820">SalesData!$I$2 - 'RFM Table'!B1820</f>
        <v>281</v>
      </c>
      <c r="H1820">
        <f t="array" ref="H1820">COUNTIF(A:A,A1820)</f>
        <v>4</v>
      </c>
      <c r="I1820">
        <f t="array" ref="I1820">SUMIF(A:A,A1820,F:F)</f>
        <v>26120.1</v>
      </c>
      <c r="J1820">
        <f t="array" ref="J1820">5 - INT(5 * (RANK(G1820,G:G, 1) - 1) / COUNT(G:G))</f>
        <v>4</v>
      </c>
      <c r="K1820">
        <f t="array" ref="K1820">INT(5 * (RANK(H1820,H:H, 0) - 1) / COUNT(H:H)) + 1</f>
        <v>5</v>
      </c>
      <c r="L1820">
        <f t="array" ref="L1820">INT(5 * (RANK(I1820,I:I, 0) - 1) / COUNT(I:I)) + 1</f>
        <v>4</v>
      </c>
      <c r="M1820" t="str">
        <f t="shared" si="56"/>
        <v>454</v>
      </c>
      <c r="N1820" s="6" t="str">
        <f t="shared" si="57"/>
        <v>Others</v>
      </c>
    </row>
    <row r="1821" spans="1:14" x14ac:dyDescent="0.35">
      <c r="A1821">
        <v>1010</v>
      </c>
      <c r="B1821" s="4">
        <v>45856.375085336993</v>
      </c>
      <c r="C1821" t="s">
        <v>13</v>
      </c>
      <c r="D1821" t="s">
        <v>19</v>
      </c>
      <c r="E1821" t="s">
        <v>25</v>
      </c>
      <c r="F1821">
        <v>1511</v>
      </c>
      <c r="G1821">
        <f t="array" ref="G1821">SalesData!$I$2 - 'RFM Table'!B1821</f>
        <v>280</v>
      </c>
      <c r="H1821">
        <f t="array" ref="H1821">COUNTIF(A:A,A1821)</f>
        <v>7</v>
      </c>
      <c r="I1821">
        <f t="array" ref="I1821">SUMIF(A:A,A1821,F:F)</f>
        <v>26629.329999999998</v>
      </c>
      <c r="J1821">
        <f t="array" ref="J1821">5 - INT(5 * (RANK(G1821,G:G, 1) - 1) / COUNT(G:G))</f>
        <v>4</v>
      </c>
      <c r="K1821">
        <f t="array" ref="K1821">INT(5 * (RANK(H1821,H:H, 0) - 1) / COUNT(H:H)) + 1</f>
        <v>4</v>
      </c>
      <c r="L1821">
        <f t="array" ref="L1821">INT(5 * (RANK(I1821,I:I, 0) - 1) / COUNT(I:I)) + 1</f>
        <v>4</v>
      </c>
      <c r="M1821" t="str">
        <f t="shared" si="56"/>
        <v>444</v>
      </c>
      <c r="N1821" s="6" t="str">
        <f t="shared" si="57"/>
        <v>Others</v>
      </c>
    </row>
    <row r="1822" spans="1:14" x14ac:dyDescent="0.35">
      <c r="A1822">
        <v>1256</v>
      </c>
      <c r="B1822" s="4">
        <v>45856.375085336993</v>
      </c>
      <c r="C1822" t="s">
        <v>11</v>
      </c>
      <c r="D1822" t="s">
        <v>17</v>
      </c>
      <c r="E1822" t="s">
        <v>25</v>
      </c>
      <c r="F1822">
        <v>9146.5499999999993</v>
      </c>
      <c r="G1822">
        <f t="array" ref="G1822">SalesData!$I$2 - 'RFM Table'!B1822</f>
        <v>280</v>
      </c>
      <c r="H1822">
        <f t="array" ref="H1822">COUNTIF(A:A,A1822)</f>
        <v>8</v>
      </c>
      <c r="I1822">
        <f t="array" ref="I1822">SUMIF(A:A,A1822,F:F)</f>
        <v>29767.75</v>
      </c>
      <c r="J1822">
        <f t="array" ref="J1822">5 - INT(5 * (RANK(G1822,G:G, 1) - 1) / COUNT(G:G))</f>
        <v>4</v>
      </c>
      <c r="K1822">
        <f t="array" ref="K1822">INT(5 * (RANK(H1822,H:H, 0) - 1) / COUNT(H:H)) + 1</f>
        <v>3</v>
      </c>
      <c r="L1822">
        <f t="array" ref="L1822">INT(5 * (RANK(I1822,I:I, 0) - 1) / COUNT(I:I)) + 1</f>
        <v>3</v>
      </c>
      <c r="M1822" t="str">
        <f t="shared" si="56"/>
        <v>433</v>
      </c>
      <c r="N1822" s="6" t="str">
        <f t="shared" si="57"/>
        <v>Others</v>
      </c>
    </row>
    <row r="1823" spans="1:14" x14ac:dyDescent="0.35">
      <c r="A1823">
        <v>1216</v>
      </c>
      <c r="B1823" s="4">
        <v>45856.375085336993</v>
      </c>
      <c r="C1823" t="s">
        <v>7</v>
      </c>
      <c r="D1823" t="s">
        <v>21</v>
      </c>
      <c r="E1823" t="s">
        <v>25</v>
      </c>
      <c r="F1823">
        <v>2140.42</v>
      </c>
      <c r="G1823">
        <f t="array" ref="G1823">SalesData!$I$2 - 'RFM Table'!B1823</f>
        <v>280</v>
      </c>
      <c r="H1823">
        <f t="array" ref="H1823">COUNTIF(A:A,A1823)</f>
        <v>10</v>
      </c>
      <c r="I1823">
        <f t="array" ref="I1823">SUMIF(A:A,A1823,F:F)</f>
        <v>38608.230000000003</v>
      </c>
      <c r="J1823">
        <f t="array" ref="J1823">5 - INT(5 * (RANK(G1823,G:G, 1) - 1) / COUNT(G:G))</f>
        <v>4</v>
      </c>
      <c r="K1823">
        <f t="array" ref="K1823">INT(5 * (RANK(H1823,H:H, 0) - 1) / COUNT(H:H)) + 1</f>
        <v>2</v>
      </c>
      <c r="L1823">
        <f t="array" ref="L1823">INT(5 * (RANK(I1823,I:I, 0) - 1) / COUNT(I:I)) + 1</f>
        <v>2</v>
      </c>
      <c r="M1823" t="str">
        <f t="shared" si="56"/>
        <v>422</v>
      </c>
      <c r="N1823" s="6" t="str">
        <f t="shared" si="57"/>
        <v>New Customers</v>
      </c>
    </row>
    <row r="1824" spans="1:14" x14ac:dyDescent="0.35">
      <c r="A1824">
        <v>1029</v>
      </c>
      <c r="B1824" s="4">
        <v>45856.375085336993</v>
      </c>
      <c r="C1824" t="s">
        <v>10</v>
      </c>
      <c r="D1824" t="s">
        <v>17</v>
      </c>
      <c r="E1824" t="s">
        <v>23</v>
      </c>
      <c r="F1824">
        <v>3629.12</v>
      </c>
      <c r="G1824">
        <f t="array" ref="G1824">SalesData!$I$2 - 'RFM Table'!B1824</f>
        <v>280</v>
      </c>
      <c r="H1824">
        <f t="array" ref="H1824">COUNTIF(A:A,A1824)</f>
        <v>3</v>
      </c>
      <c r="I1824">
        <f t="array" ref="I1824">SUMIF(A:A,A1824,F:F)</f>
        <v>12121.1</v>
      </c>
      <c r="J1824">
        <f t="array" ref="J1824">5 - INT(5 * (RANK(G1824,G:G, 1) - 1) / COUNT(G:G))</f>
        <v>4</v>
      </c>
      <c r="K1824">
        <f t="array" ref="K1824">INT(5 * (RANK(H1824,H:H, 0) - 1) / COUNT(H:H)) + 1</f>
        <v>5</v>
      </c>
      <c r="L1824">
        <f t="array" ref="L1824">INT(5 * (RANK(I1824,I:I, 0) - 1) / COUNT(I:I)) + 1</f>
        <v>5</v>
      </c>
      <c r="M1824" t="str">
        <f t="shared" si="56"/>
        <v>455</v>
      </c>
      <c r="N1824" s="6" t="str">
        <f t="shared" si="57"/>
        <v>Others</v>
      </c>
    </row>
    <row r="1825" spans="1:14" x14ac:dyDescent="0.35">
      <c r="A1825">
        <v>1038</v>
      </c>
      <c r="B1825" s="4">
        <v>45856.375085336993</v>
      </c>
      <c r="C1825" t="s">
        <v>10</v>
      </c>
      <c r="D1825" t="s">
        <v>17</v>
      </c>
      <c r="E1825" t="s">
        <v>23</v>
      </c>
      <c r="F1825">
        <v>5789.22</v>
      </c>
      <c r="G1825">
        <f t="array" ref="G1825">SalesData!$I$2 - 'RFM Table'!B1825</f>
        <v>280</v>
      </c>
      <c r="H1825">
        <f t="array" ref="H1825">COUNTIF(A:A,A1825)</f>
        <v>16</v>
      </c>
      <c r="I1825">
        <f t="array" ref="I1825">SUMIF(A:A,A1825,F:F)</f>
        <v>76962.720000000001</v>
      </c>
      <c r="J1825">
        <f t="array" ref="J1825">5 - INT(5 * (RANK(G1825,G:G, 1) - 1) / COUNT(G:G))</f>
        <v>4</v>
      </c>
      <c r="K1825">
        <f t="array" ref="K1825">INT(5 * (RANK(H1825,H:H, 0) - 1) / COUNT(H:H)) + 1</f>
        <v>1</v>
      </c>
      <c r="L1825">
        <f t="array" ref="L1825">INT(5 * (RANK(I1825,I:I, 0) - 1) / COUNT(I:I)) + 1</f>
        <v>1</v>
      </c>
      <c r="M1825" t="str">
        <f t="shared" si="56"/>
        <v>411</v>
      </c>
      <c r="N1825" s="6" t="str">
        <f t="shared" si="57"/>
        <v>New Customers</v>
      </c>
    </row>
    <row r="1826" spans="1:14" x14ac:dyDescent="0.35">
      <c r="A1826">
        <v>1323</v>
      </c>
      <c r="B1826" s="4">
        <v>45856.375085336993</v>
      </c>
      <c r="C1826" t="s">
        <v>6</v>
      </c>
      <c r="D1826" t="s">
        <v>18</v>
      </c>
      <c r="E1826" t="s">
        <v>23</v>
      </c>
      <c r="F1826">
        <v>1800.28</v>
      </c>
      <c r="G1826">
        <f t="array" ref="G1826">SalesData!$I$2 - 'RFM Table'!B1826</f>
        <v>280</v>
      </c>
      <c r="H1826">
        <f t="array" ref="H1826">COUNTIF(A:A,A1826)</f>
        <v>9</v>
      </c>
      <c r="I1826">
        <f t="array" ref="I1826">SUMIF(A:A,A1826,F:F)</f>
        <v>39366.480000000003</v>
      </c>
      <c r="J1826">
        <f t="array" ref="J1826">5 - INT(5 * (RANK(G1826,G:G, 1) - 1) / COUNT(G:G))</f>
        <v>4</v>
      </c>
      <c r="K1826">
        <f t="array" ref="K1826">INT(5 * (RANK(H1826,H:H, 0) - 1) / COUNT(H:H)) + 1</f>
        <v>2</v>
      </c>
      <c r="L1826">
        <f t="array" ref="L1826">INT(5 * (RANK(I1826,I:I, 0) - 1) / COUNT(I:I)) + 1</f>
        <v>2</v>
      </c>
      <c r="M1826" t="str">
        <f t="shared" si="56"/>
        <v>422</v>
      </c>
      <c r="N1826" s="6" t="str">
        <f t="shared" si="57"/>
        <v>New Customers</v>
      </c>
    </row>
    <row r="1827" spans="1:14" x14ac:dyDescent="0.35">
      <c r="A1827">
        <v>1158</v>
      </c>
      <c r="B1827" s="4">
        <v>45856.375085336993</v>
      </c>
      <c r="C1827" t="s">
        <v>7</v>
      </c>
      <c r="D1827" t="s">
        <v>19</v>
      </c>
      <c r="E1827" t="s">
        <v>25</v>
      </c>
      <c r="F1827">
        <v>2328.25</v>
      </c>
      <c r="G1827">
        <f t="array" ref="G1827">SalesData!$I$2 - 'RFM Table'!B1827</f>
        <v>280</v>
      </c>
      <c r="H1827">
        <f t="array" ref="H1827">COUNTIF(A:A,A1827)</f>
        <v>5</v>
      </c>
      <c r="I1827">
        <f t="array" ref="I1827">SUMIF(A:A,A1827,F:F)</f>
        <v>14717.050000000001</v>
      </c>
      <c r="J1827">
        <f t="array" ref="J1827">5 - INT(5 * (RANK(G1827,G:G, 1) - 1) / COUNT(G:G))</f>
        <v>4</v>
      </c>
      <c r="K1827">
        <f t="array" ref="K1827">INT(5 * (RANK(H1827,H:H, 0) - 1) / COUNT(H:H)) + 1</f>
        <v>5</v>
      </c>
      <c r="L1827">
        <f t="array" ref="L1827">INT(5 * (RANK(I1827,I:I, 0) - 1) / COUNT(I:I)) + 1</f>
        <v>5</v>
      </c>
      <c r="M1827" t="str">
        <f t="shared" si="56"/>
        <v>455</v>
      </c>
      <c r="N1827" s="6" t="str">
        <f t="shared" si="57"/>
        <v>Others</v>
      </c>
    </row>
    <row r="1828" spans="1:14" x14ac:dyDescent="0.35">
      <c r="A1828">
        <v>1060</v>
      </c>
      <c r="B1828" s="4">
        <v>45857.375085336993</v>
      </c>
      <c r="C1828" t="s">
        <v>14</v>
      </c>
      <c r="D1828" t="s">
        <v>17</v>
      </c>
      <c r="E1828" t="s">
        <v>23</v>
      </c>
      <c r="F1828">
        <v>7001.8</v>
      </c>
      <c r="G1828">
        <f t="array" ref="G1828">SalesData!$I$2 - 'RFM Table'!B1828</f>
        <v>279</v>
      </c>
      <c r="H1828">
        <f t="array" ref="H1828">COUNTIF(A:A,A1828)</f>
        <v>5</v>
      </c>
      <c r="I1828">
        <f t="array" ref="I1828">SUMIF(A:A,A1828,F:F)</f>
        <v>21260</v>
      </c>
      <c r="J1828">
        <f t="array" ref="J1828">5 - INT(5 * (RANK(G1828,G:G, 1) - 1) / COUNT(G:G))</f>
        <v>4</v>
      </c>
      <c r="K1828">
        <f t="array" ref="K1828">INT(5 * (RANK(H1828,H:H, 0) - 1) / COUNT(H:H)) + 1</f>
        <v>5</v>
      </c>
      <c r="L1828">
        <f t="array" ref="L1828">INT(5 * (RANK(I1828,I:I, 0) - 1) / COUNT(I:I)) + 1</f>
        <v>5</v>
      </c>
      <c r="M1828" t="str">
        <f t="shared" si="56"/>
        <v>455</v>
      </c>
      <c r="N1828" s="6" t="str">
        <f t="shared" si="57"/>
        <v>Others</v>
      </c>
    </row>
    <row r="1829" spans="1:14" x14ac:dyDescent="0.35">
      <c r="A1829">
        <v>1311</v>
      </c>
      <c r="B1829" s="4">
        <v>45857.375085336993</v>
      </c>
      <c r="C1829" t="s">
        <v>12</v>
      </c>
      <c r="D1829" t="s">
        <v>17</v>
      </c>
      <c r="E1829" t="s">
        <v>25</v>
      </c>
      <c r="F1829">
        <v>12680.37</v>
      </c>
      <c r="G1829">
        <f t="array" ref="G1829">SalesData!$I$2 - 'RFM Table'!B1829</f>
        <v>279</v>
      </c>
      <c r="H1829">
        <f t="array" ref="H1829">COUNTIF(A:A,A1829)</f>
        <v>8</v>
      </c>
      <c r="I1829">
        <f t="array" ref="I1829">SUMIF(A:A,A1829,F:F)</f>
        <v>37668.22</v>
      </c>
      <c r="J1829">
        <f t="array" ref="J1829">5 - INT(5 * (RANK(G1829,G:G, 1) - 1) / COUNT(G:G))</f>
        <v>4</v>
      </c>
      <c r="K1829">
        <f t="array" ref="K1829">INT(5 * (RANK(H1829,H:H, 0) - 1) / COUNT(H:H)) + 1</f>
        <v>3</v>
      </c>
      <c r="L1829">
        <f t="array" ref="L1829">INT(5 * (RANK(I1829,I:I, 0) - 1) / COUNT(I:I)) + 1</f>
        <v>2</v>
      </c>
      <c r="M1829" t="str">
        <f t="shared" si="56"/>
        <v>432</v>
      </c>
      <c r="N1829" s="6" t="str">
        <f t="shared" si="57"/>
        <v>Others</v>
      </c>
    </row>
    <row r="1830" spans="1:14" x14ac:dyDescent="0.35">
      <c r="A1830">
        <v>1033</v>
      </c>
      <c r="B1830" s="4">
        <v>45857.375085336993</v>
      </c>
      <c r="C1830" t="s">
        <v>9</v>
      </c>
      <c r="D1830" t="s">
        <v>18</v>
      </c>
      <c r="E1830" t="s">
        <v>24</v>
      </c>
      <c r="F1830">
        <v>2955.44</v>
      </c>
      <c r="G1830">
        <f t="array" ref="G1830">SalesData!$I$2 - 'RFM Table'!B1830</f>
        <v>279</v>
      </c>
      <c r="H1830">
        <f t="array" ref="H1830">COUNTIF(A:A,A1830)</f>
        <v>7</v>
      </c>
      <c r="I1830">
        <f t="array" ref="I1830">SUMIF(A:A,A1830,F:F)</f>
        <v>18694.46</v>
      </c>
      <c r="J1830">
        <f t="array" ref="J1830">5 - INT(5 * (RANK(G1830,G:G, 1) - 1) / COUNT(G:G))</f>
        <v>4</v>
      </c>
      <c r="K1830">
        <f t="array" ref="K1830">INT(5 * (RANK(H1830,H:H, 0) - 1) / COUNT(H:H)) + 1</f>
        <v>4</v>
      </c>
      <c r="L1830">
        <f t="array" ref="L1830">INT(5 * (RANK(I1830,I:I, 0) - 1) / COUNT(I:I)) + 1</f>
        <v>5</v>
      </c>
      <c r="M1830" t="str">
        <f t="shared" si="56"/>
        <v>445</v>
      </c>
      <c r="N1830" s="6" t="str">
        <f t="shared" si="57"/>
        <v>Others</v>
      </c>
    </row>
    <row r="1831" spans="1:14" x14ac:dyDescent="0.35">
      <c r="A1831">
        <v>1375</v>
      </c>
      <c r="B1831" s="4">
        <v>45857.375085336993</v>
      </c>
      <c r="C1831" t="s">
        <v>6</v>
      </c>
      <c r="D1831" t="s">
        <v>16</v>
      </c>
      <c r="E1831" t="s">
        <v>24</v>
      </c>
      <c r="F1831">
        <v>1002.82</v>
      </c>
      <c r="G1831">
        <f t="array" ref="G1831">SalesData!$I$2 - 'RFM Table'!B1831</f>
        <v>279</v>
      </c>
      <c r="H1831">
        <f t="array" ref="H1831">COUNTIF(A:A,A1831)</f>
        <v>9</v>
      </c>
      <c r="I1831">
        <f t="array" ref="I1831">SUMIF(A:A,A1831,F:F)</f>
        <v>37215.54</v>
      </c>
      <c r="J1831">
        <f t="array" ref="J1831">5 - INT(5 * (RANK(G1831,G:G, 1) - 1) / COUNT(G:G))</f>
        <v>4</v>
      </c>
      <c r="K1831">
        <f t="array" ref="K1831">INT(5 * (RANK(H1831,H:H, 0) - 1) / COUNT(H:H)) + 1</f>
        <v>2</v>
      </c>
      <c r="L1831">
        <f t="array" ref="L1831">INT(5 * (RANK(I1831,I:I, 0) - 1) / COUNT(I:I)) + 1</f>
        <v>2</v>
      </c>
      <c r="M1831" t="str">
        <f t="shared" si="56"/>
        <v>422</v>
      </c>
      <c r="N1831" s="6" t="str">
        <f t="shared" si="57"/>
        <v>New Customers</v>
      </c>
    </row>
    <row r="1832" spans="1:14" x14ac:dyDescent="0.35">
      <c r="A1832">
        <v>1060</v>
      </c>
      <c r="B1832" s="4">
        <v>45857.375085336993</v>
      </c>
      <c r="C1832" t="s">
        <v>10</v>
      </c>
      <c r="D1832" t="s">
        <v>16</v>
      </c>
      <c r="E1832" t="s">
        <v>24</v>
      </c>
      <c r="F1832">
        <v>5666.85</v>
      </c>
      <c r="G1832">
        <f t="array" ref="G1832">SalesData!$I$2 - 'RFM Table'!B1832</f>
        <v>279</v>
      </c>
      <c r="H1832">
        <f t="array" ref="H1832">COUNTIF(A:A,A1832)</f>
        <v>5</v>
      </c>
      <c r="I1832">
        <f t="array" ref="I1832">SUMIF(A:A,A1832,F:F)</f>
        <v>21260</v>
      </c>
      <c r="J1832">
        <f t="array" ref="J1832">5 - INT(5 * (RANK(G1832,G:G, 1) - 1) / COUNT(G:G))</f>
        <v>4</v>
      </c>
      <c r="K1832">
        <f t="array" ref="K1832">INT(5 * (RANK(H1832,H:H, 0) - 1) / COUNT(H:H)) + 1</f>
        <v>5</v>
      </c>
      <c r="L1832">
        <f t="array" ref="L1832">INT(5 * (RANK(I1832,I:I, 0) - 1) / COUNT(I:I)) + 1</f>
        <v>5</v>
      </c>
      <c r="M1832" t="str">
        <f t="shared" si="56"/>
        <v>455</v>
      </c>
      <c r="N1832" s="6" t="str">
        <f t="shared" si="57"/>
        <v>Others</v>
      </c>
    </row>
    <row r="1833" spans="1:14" x14ac:dyDescent="0.35">
      <c r="A1833">
        <v>1192</v>
      </c>
      <c r="B1833" s="4">
        <v>45857.375085336993</v>
      </c>
      <c r="C1833" t="s">
        <v>15</v>
      </c>
      <c r="D1833" t="s">
        <v>17</v>
      </c>
      <c r="E1833" t="s">
        <v>23</v>
      </c>
      <c r="F1833">
        <v>3279.65</v>
      </c>
      <c r="G1833">
        <f t="array" ref="G1833">SalesData!$I$2 - 'RFM Table'!B1833</f>
        <v>279</v>
      </c>
      <c r="H1833">
        <f t="array" ref="H1833">COUNTIF(A:A,A1833)</f>
        <v>4</v>
      </c>
      <c r="I1833">
        <f t="array" ref="I1833">SUMIF(A:A,A1833,F:F)</f>
        <v>11604.15</v>
      </c>
      <c r="J1833">
        <f t="array" ref="J1833">5 - INT(5 * (RANK(G1833,G:G, 1) - 1) / COUNT(G:G))</f>
        <v>4</v>
      </c>
      <c r="K1833">
        <f t="array" ref="K1833">INT(5 * (RANK(H1833,H:H, 0) - 1) / COUNT(H:H)) + 1</f>
        <v>5</v>
      </c>
      <c r="L1833">
        <f t="array" ref="L1833">INT(5 * (RANK(I1833,I:I, 0) - 1) / COUNT(I:I)) + 1</f>
        <v>5</v>
      </c>
      <c r="M1833" t="str">
        <f t="shared" si="56"/>
        <v>455</v>
      </c>
      <c r="N1833" s="6" t="str">
        <f t="shared" si="57"/>
        <v>Others</v>
      </c>
    </row>
    <row r="1834" spans="1:14" x14ac:dyDescent="0.35">
      <c r="A1834">
        <v>1231</v>
      </c>
      <c r="B1834" s="4">
        <v>45857.375085336993</v>
      </c>
      <c r="C1834" t="s">
        <v>6</v>
      </c>
      <c r="D1834" t="s">
        <v>17</v>
      </c>
      <c r="E1834" t="s">
        <v>25</v>
      </c>
      <c r="F1834">
        <v>3973.62</v>
      </c>
      <c r="G1834">
        <f t="array" ref="G1834">SalesData!$I$2 - 'RFM Table'!B1834</f>
        <v>279</v>
      </c>
      <c r="H1834">
        <f t="array" ref="H1834">COUNTIF(A:A,A1834)</f>
        <v>6</v>
      </c>
      <c r="I1834">
        <f t="array" ref="I1834">SUMIF(A:A,A1834,F:F)</f>
        <v>19997.589999999997</v>
      </c>
      <c r="J1834">
        <f t="array" ref="J1834">5 - INT(5 * (RANK(G1834,G:G, 1) - 1) / COUNT(G:G))</f>
        <v>4</v>
      </c>
      <c r="K1834">
        <f t="array" ref="K1834">INT(5 * (RANK(H1834,H:H, 0) - 1) / COUNT(H:H)) + 1</f>
        <v>4</v>
      </c>
      <c r="L1834">
        <f t="array" ref="L1834">INT(5 * (RANK(I1834,I:I, 0) - 1) / COUNT(I:I)) + 1</f>
        <v>5</v>
      </c>
      <c r="M1834" t="str">
        <f t="shared" si="56"/>
        <v>445</v>
      </c>
      <c r="N1834" s="6" t="str">
        <f t="shared" si="57"/>
        <v>Others</v>
      </c>
    </row>
    <row r="1835" spans="1:14" x14ac:dyDescent="0.35">
      <c r="A1835">
        <v>1244</v>
      </c>
      <c r="B1835" s="4">
        <v>45858.375085336993</v>
      </c>
      <c r="C1835" t="s">
        <v>10</v>
      </c>
      <c r="D1835" t="s">
        <v>16</v>
      </c>
      <c r="E1835" t="s">
        <v>24</v>
      </c>
      <c r="F1835">
        <v>3525.66</v>
      </c>
      <c r="G1835">
        <f t="array" ref="G1835">SalesData!$I$2 - 'RFM Table'!B1835</f>
        <v>278</v>
      </c>
      <c r="H1835">
        <f t="array" ref="H1835">COUNTIF(A:A,A1835)</f>
        <v>3</v>
      </c>
      <c r="I1835">
        <f t="array" ref="I1835">SUMIF(A:A,A1835,F:F)</f>
        <v>9190.25</v>
      </c>
      <c r="J1835">
        <f t="array" ref="J1835">5 - INT(5 * (RANK(G1835,G:G, 1) - 1) / COUNT(G:G))</f>
        <v>4</v>
      </c>
      <c r="K1835">
        <f t="array" ref="K1835">INT(5 * (RANK(H1835,H:H, 0) - 1) / COUNT(H:H)) + 1</f>
        <v>5</v>
      </c>
      <c r="L1835">
        <f t="array" ref="L1835">INT(5 * (RANK(I1835,I:I, 0) - 1) / COUNT(I:I)) + 1</f>
        <v>5</v>
      </c>
      <c r="M1835" t="str">
        <f t="shared" si="56"/>
        <v>455</v>
      </c>
      <c r="N1835" s="6" t="str">
        <f t="shared" si="57"/>
        <v>Others</v>
      </c>
    </row>
    <row r="1836" spans="1:14" x14ac:dyDescent="0.35">
      <c r="A1836">
        <v>1335</v>
      </c>
      <c r="B1836" s="4">
        <v>45858.375085336993</v>
      </c>
      <c r="C1836" t="s">
        <v>15</v>
      </c>
      <c r="D1836" t="s">
        <v>16</v>
      </c>
      <c r="E1836" t="s">
        <v>25</v>
      </c>
      <c r="F1836">
        <v>3816.23</v>
      </c>
      <c r="G1836">
        <f t="array" ref="G1836">SalesData!$I$2 - 'RFM Table'!B1836</f>
        <v>278</v>
      </c>
      <c r="H1836">
        <f t="array" ref="H1836">COUNTIF(A:A,A1836)</f>
        <v>8</v>
      </c>
      <c r="I1836">
        <f t="array" ref="I1836">SUMIF(A:A,A1836,F:F)</f>
        <v>31568.060000000005</v>
      </c>
      <c r="J1836">
        <f t="array" ref="J1836">5 - INT(5 * (RANK(G1836,G:G, 1) - 1) / COUNT(G:G))</f>
        <v>4</v>
      </c>
      <c r="K1836">
        <f t="array" ref="K1836">INT(5 * (RANK(H1836,H:H, 0) - 1) / COUNT(H:H)) + 1</f>
        <v>3</v>
      </c>
      <c r="L1836">
        <f t="array" ref="L1836">INT(5 * (RANK(I1836,I:I, 0) - 1) / COUNT(I:I)) + 1</f>
        <v>3</v>
      </c>
      <c r="M1836" t="str">
        <f t="shared" si="56"/>
        <v>433</v>
      </c>
      <c r="N1836" s="6" t="str">
        <f t="shared" si="57"/>
        <v>Others</v>
      </c>
    </row>
    <row r="1837" spans="1:14" x14ac:dyDescent="0.35">
      <c r="A1837">
        <v>1197</v>
      </c>
      <c r="B1837" s="4">
        <v>45858.375085336993</v>
      </c>
      <c r="C1837" t="s">
        <v>12</v>
      </c>
      <c r="D1837" t="s">
        <v>19</v>
      </c>
      <c r="E1837" t="s">
        <v>24</v>
      </c>
      <c r="F1837">
        <v>6852.07</v>
      </c>
      <c r="G1837">
        <f t="array" ref="G1837">SalesData!$I$2 - 'RFM Table'!B1837</f>
        <v>278</v>
      </c>
      <c r="H1837">
        <f t="array" ref="H1837">COUNTIF(A:A,A1837)</f>
        <v>9</v>
      </c>
      <c r="I1837">
        <f t="array" ref="I1837">SUMIF(A:A,A1837,F:F)</f>
        <v>28813.449999999997</v>
      </c>
      <c r="J1837">
        <f t="array" ref="J1837">5 - INT(5 * (RANK(G1837,G:G, 1) - 1) / COUNT(G:G))</f>
        <v>4</v>
      </c>
      <c r="K1837">
        <f t="array" ref="K1837">INT(5 * (RANK(H1837,H:H, 0) - 1) / COUNT(H:H)) + 1</f>
        <v>2</v>
      </c>
      <c r="L1837">
        <f t="array" ref="L1837">INT(5 * (RANK(I1837,I:I, 0) - 1) / COUNT(I:I)) + 1</f>
        <v>4</v>
      </c>
      <c r="M1837" t="str">
        <f t="shared" si="56"/>
        <v>424</v>
      </c>
      <c r="N1837" s="6" t="str">
        <f t="shared" si="57"/>
        <v>New Customers</v>
      </c>
    </row>
    <row r="1838" spans="1:14" x14ac:dyDescent="0.35">
      <c r="A1838">
        <v>1202</v>
      </c>
      <c r="B1838" s="4">
        <v>45858.375085336993</v>
      </c>
      <c r="C1838" t="s">
        <v>7</v>
      </c>
      <c r="D1838" t="s">
        <v>18</v>
      </c>
      <c r="E1838" t="s">
        <v>23</v>
      </c>
      <c r="F1838">
        <v>1309.97</v>
      </c>
      <c r="G1838">
        <f t="array" ref="G1838">SalesData!$I$2 - 'RFM Table'!B1838</f>
        <v>278</v>
      </c>
      <c r="H1838">
        <f t="array" ref="H1838">COUNTIF(A:A,A1838)</f>
        <v>6</v>
      </c>
      <c r="I1838">
        <f t="array" ref="I1838">SUMIF(A:A,A1838,F:F)</f>
        <v>14707.359999999999</v>
      </c>
      <c r="J1838">
        <f t="array" ref="J1838">5 - INT(5 * (RANK(G1838,G:G, 1) - 1) / COUNT(G:G))</f>
        <v>4</v>
      </c>
      <c r="K1838">
        <f t="array" ref="K1838">INT(5 * (RANK(H1838,H:H, 0) - 1) / COUNT(H:H)) + 1</f>
        <v>4</v>
      </c>
      <c r="L1838">
        <f t="array" ref="L1838">INT(5 * (RANK(I1838,I:I, 0) - 1) / COUNT(I:I)) + 1</f>
        <v>5</v>
      </c>
      <c r="M1838" t="str">
        <f t="shared" si="56"/>
        <v>445</v>
      </c>
      <c r="N1838" s="6" t="str">
        <f t="shared" si="57"/>
        <v>Others</v>
      </c>
    </row>
    <row r="1839" spans="1:14" x14ac:dyDescent="0.35">
      <c r="A1839">
        <v>1218</v>
      </c>
      <c r="B1839" s="4">
        <v>45858.375085336993</v>
      </c>
      <c r="C1839" t="s">
        <v>7</v>
      </c>
      <c r="D1839" t="s">
        <v>21</v>
      </c>
      <c r="E1839" t="s">
        <v>23</v>
      </c>
      <c r="F1839">
        <v>4968.55</v>
      </c>
      <c r="G1839">
        <f t="array" ref="G1839">SalesData!$I$2 - 'RFM Table'!B1839</f>
        <v>278</v>
      </c>
      <c r="H1839">
        <f t="array" ref="H1839">COUNTIF(A:A,A1839)</f>
        <v>4</v>
      </c>
      <c r="I1839">
        <f t="array" ref="I1839">SUMIF(A:A,A1839,F:F)</f>
        <v>29501.85</v>
      </c>
      <c r="J1839">
        <f t="array" ref="J1839">5 - INT(5 * (RANK(G1839,G:G, 1) - 1) / COUNT(G:G))</f>
        <v>4</v>
      </c>
      <c r="K1839">
        <f t="array" ref="K1839">INT(5 * (RANK(H1839,H:H, 0) - 1) / COUNT(H:H)) + 1</f>
        <v>5</v>
      </c>
      <c r="L1839">
        <f t="array" ref="L1839">INT(5 * (RANK(I1839,I:I, 0) - 1) / COUNT(I:I)) + 1</f>
        <v>3</v>
      </c>
      <c r="M1839" t="str">
        <f t="shared" si="56"/>
        <v>453</v>
      </c>
      <c r="N1839" s="6" t="str">
        <f t="shared" si="57"/>
        <v>Others</v>
      </c>
    </row>
    <row r="1840" spans="1:14" x14ac:dyDescent="0.35">
      <c r="A1840">
        <v>1303</v>
      </c>
      <c r="B1840" s="4">
        <v>45859.375085336993</v>
      </c>
      <c r="C1840" t="s">
        <v>10</v>
      </c>
      <c r="D1840" t="s">
        <v>20</v>
      </c>
      <c r="E1840" t="s">
        <v>25</v>
      </c>
      <c r="F1840">
        <v>2098.36</v>
      </c>
      <c r="G1840">
        <f t="array" ref="G1840">SalesData!$I$2 - 'RFM Table'!B1840</f>
        <v>277</v>
      </c>
      <c r="H1840">
        <f t="array" ref="H1840">COUNTIF(A:A,A1840)</f>
        <v>9</v>
      </c>
      <c r="I1840">
        <f t="array" ref="I1840">SUMIF(A:A,A1840,F:F)</f>
        <v>27888.809999999998</v>
      </c>
      <c r="J1840">
        <f t="array" ref="J1840">5 - INT(5 * (RANK(G1840,G:G, 1) - 1) / COUNT(G:G))</f>
        <v>4</v>
      </c>
      <c r="K1840">
        <f t="array" ref="K1840">INT(5 * (RANK(H1840,H:H, 0) - 1) / COUNT(H:H)) + 1</f>
        <v>2</v>
      </c>
      <c r="L1840">
        <f t="array" ref="L1840">INT(5 * (RANK(I1840,I:I, 0) - 1) / COUNT(I:I)) + 1</f>
        <v>4</v>
      </c>
      <c r="M1840" t="str">
        <f t="shared" si="56"/>
        <v>424</v>
      </c>
      <c r="N1840" s="6" t="str">
        <f t="shared" si="57"/>
        <v>New Customers</v>
      </c>
    </row>
    <row r="1841" spans="1:14" x14ac:dyDescent="0.35">
      <c r="A1841">
        <v>1104</v>
      </c>
      <c r="B1841" s="4">
        <v>45859.375085336993</v>
      </c>
      <c r="C1841" t="s">
        <v>14</v>
      </c>
      <c r="D1841" t="s">
        <v>18</v>
      </c>
      <c r="E1841" t="s">
        <v>24</v>
      </c>
      <c r="F1841">
        <v>185.74</v>
      </c>
      <c r="G1841">
        <f t="array" ref="G1841">SalesData!$I$2 - 'RFM Table'!B1841</f>
        <v>277</v>
      </c>
      <c r="H1841">
        <f t="array" ref="H1841">COUNTIF(A:A,A1841)</f>
        <v>6</v>
      </c>
      <c r="I1841">
        <f t="array" ref="I1841">SUMIF(A:A,A1841,F:F)</f>
        <v>19427.86</v>
      </c>
      <c r="J1841">
        <f t="array" ref="J1841">5 - INT(5 * (RANK(G1841,G:G, 1) - 1) / COUNT(G:G))</f>
        <v>4</v>
      </c>
      <c r="K1841">
        <f t="array" ref="K1841">INT(5 * (RANK(H1841,H:H, 0) - 1) / COUNT(H:H)) + 1</f>
        <v>4</v>
      </c>
      <c r="L1841">
        <f t="array" ref="L1841">INT(5 * (RANK(I1841,I:I, 0) - 1) / COUNT(I:I)) + 1</f>
        <v>5</v>
      </c>
      <c r="M1841" t="str">
        <f t="shared" si="56"/>
        <v>445</v>
      </c>
      <c r="N1841" s="6" t="str">
        <f t="shared" si="57"/>
        <v>Others</v>
      </c>
    </row>
    <row r="1842" spans="1:14" x14ac:dyDescent="0.35">
      <c r="A1842">
        <v>1217</v>
      </c>
      <c r="B1842" s="4">
        <v>45859.375085336993</v>
      </c>
      <c r="C1842" t="s">
        <v>11</v>
      </c>
      <c r="D1842" t="s">
        <v>22</v>
      </c>
      <c r="E1842" t="s">
        <v>25</v>
      </c>
      <c r="F1842">
        <v>1831.8</v>
      </c>
      <c r="G1842">
        <f t="array" ref="G1842">SalesData!$I$2 - 'RFM Table'!B1842</f>
        <v>277</v>
      </c>
      <c r="H1842">
        <f t="array" ref="H1842">COUNTIF(A:A,A1842)</f>
        <v>9</v>
      </c>
      <c r="I1842">
        <f t="array" ref="I1842">SUMIF(A:A,A1842,F:F)</f>
        <v>33349.999999999993</v>
      </c>
      <c r="J1842">
        <f t="array" ref="J1842">5 - INT(5 * (RANK(G1842,G:G, 1) - 1) / COUNT(G:G))</f>
        <v>4</v>
      </c>
      <c r="K1842">
        <f t="array" ref="K1842">INT(5 * (RANK(H1842,H:H, 0) - 1) / COUNT(H:H)) + 1</f>
        <v>2</v>
      </c>
      <c r="L1842">
        <f t="array" ref="L1842">INT(5 * (RANK(I1842,I:I, 0) - 1) / COUNT(I:I)) + 1</f>
        <v>3</v>
      </c>
      <c r="M1842" t="str">
        <f t="shared" si="56"/>
        <v>423</v>
      </c>
      <c r="N1842" s="6" t="str">
        <f t="shared" si="57"/>
        <v>New Customers</v>
      </c>
    </row>
    <row r="1843" spans="1:14" x14ac:dyDescent="0.35">
      <c r="A1843">
        <v>1138</v>
      </c>
      <c r="B1843" s="4">
        <v>45859.375085336993</v>
      </c>
      <c r="C1843" t="s">
        <v>15</v>
      </c>
      <c r="D1843" t="s">
        <v>21</v>
      </c>
      <c r="E1843" t="s">
        <v>25</v>
      </c>
      <c r="F1843">
        <v>4333</v>
      </c>
      <c r="G1843">
        <f t="array" ref="G1843">SalesData!$I$2 - 'RFM Table'!B1843</f>
        <v>277</v>
      </c>
      <c r="H1843">
        <f t="array" ref="H1843">COUNTIF(A:A,A1843)</f>
        <v>3</v>
      </c>
      <c r="I1843">
        <f t="array" ref="I1843">SUMIF(A:A,A1843,F:F)</f>
        <v>24687.369999999995</v>
      </c>
      <c r="J1843">
        <f t="array" ref="J1843">5 - INT(5 * (RANK(G1843,G:G, 1) - 1) / COUNT(G:G))</f>
        <v>4</v>
      </c>
      <c r="K1843">
        <f t="array" ref="K1843">INT(5 * (RANK(H1843,H:H, 0) - 1) / COUNT(H:H)) + 1</f>
        <v>5</v>
      </c>
      <c r="L1843">
        <f t="array" ref="L1843">INT(5 * (RANK(I1843,I:I, 0) - 1) / COUNT(I:I)) + 1</f>
        <v>4</v>
      </c>
      <c r="M1843" t="str">
        <f t="shared" si="56"/>
        <v>454</v>
      </c>
      <c r="N1843" s="6" t="str">
        <f t="shared" si="57"/>
        <v>Others</v>
      </c>
    </row>
    <row r="1844" spans="1:14" x14ac:dyDescent="0.35">
      <c r="A1844">
        <v>1230</v>
      </c>
      <c r="B1844" s="4">
        <v>45860.375085336993</v>
      </c>
      <c r="C1844" t="s">
        <v>15</v>
      </c>
      <c r="D1844" t="s">
        <v>18</v>
      </c>
      <c r="E1844" t="s">
        <v>25</v>
      </c>
      <c r="F1844">
        <v>4162.91</v>
      </c>
      <c r="G1844">
        <f t="array" ref="G1844">SalesData!$I$2 - 'RFM Table'!B1844</f>
        <v>276</v>
      </c>
      <c r="H1844">
        <f t="array" ref="H1844">COUNTIF(A:A,A1844)</f>
        <v>11</v>
      </c>
      <c r="I1844">
        <f t="array" ref="I1844">SUMIF(A:A,A1844,F:F)</f>
        <v>29238.53</v>
      </c>
      <c r="J1844">
        <f t="array" ref="J1844">5 - INT(5 * (RANK(G1844,G:G, 1) - 1) / COUNT(G:G))</f>
        <v>4</v>
      </c>
      <c r="K1844">
        <f t="array" ref="K1844">INT(5 * (RANK(H1844,H:H, 0) - 1) / COUNT(H:H)) + 1</f>
        <v>1</v>
      </c>
      <c r="L1844">
        <f t="array" ref="L1844">INT(5 * (RANK(I1844,I:I, 0) - 1) / COUNT(I:I)) + 1</f>
        <v>4</v>
      </c>
      <c r="M1844" t="str">
        <f t="shared" si="56"/>
        <v>414</v>
      </c>
      <c r="N1844" s="6" t="str">
        <f t="shared" si="57"/>
        <v>New Customers</v>
      </c>
    </row>
    <row r="1845" spans="1:14" x14ac:dyDescent="0.35">
      <c r="A1845">
        <v>1143</v>
      </c>
      <c r="B1845" s="4">
        <v>45860.375085336993</v>
      </c>
      <c r="C1845" t="s">
        <v>10</v>
      </c>
      <c r="D1845" t="s">
        <v>19</v>
      </c>
      <c r="E1845" t="s">
        <v>25</v>
      </c>
      <c r="F1845">
        <v>2569.33</v>
      </c>
      <c r="G1845">
        <f t="array" ref="G1845">SalesData!$I$2 - 'RFM Table'!B1845</f>
        <v>276</v>
      </c>
      <c r="H1845">
        <f t="array" ref="H1845">COUNTIF(A:A,A1845)</f>
        <v>11</v>
      </c>
      <c r="I1845">
        <f t="array" ref="I1845">SUMIF(A:A,A1845,F:F)</f>
        <v>44004.459999999992</v>
      </c>
      <c r="J1845">
        <f t="array" ref="J1845">5 - INT(5 * (RANK(G1845,G:G, 1) - 1) / COUNT(G:G))</f>
        <v>4</v>
      </c>
      <c r="K1845">
        <f t="array" ref="K1845">INT(5 * (RANK(H1845,H:H, 0) - 1) / COUNT(H:H)) + 1</f>
        <v>1</v>
      </c>
      <c r="L1845">
        <f t="array" ref="L1845">INT(5 * (RANK(I1845,I:I, 0) - 1) / COUNT(I:I)) + 1</f>
        <v>2</v>
      </c>
      <c r="M1845" t="str">
        <f t="shared" si="56"/>
        <v>412</v>
      </c>
      <c r="N1845" s="6" t="str">
        <f t="shared" si="57"/>
        <v>New Customers</v>
      </c>
    </row>
    <row r="1846" spans="1:14" x14ac:dyDescent="0.35">
      <c r="A1846">
        <v>1149</v>
      </c>
      <c r="B1846" s="4">
        <v>45860.375085336993</v>
      </c>
      <c r="C1846" t="s">
        <v>11</v>
      </c>
      <c r="D1846" t="s">
        <v>22</v>
      </c>
      <c r="E1846" t="s">
        <v>25</v>
      </c>
      <c r="F1846">
        <v>3526.67</v>
      </c>
      <c r="G1846">
        <f t="array" ref="G1846">SalesData!$I$2 - 'RFM Table'!B1846</f>
        <v>276</v>
      </c>
      <c r="H1846">
        <f t="array" ref="H1846">COUNTIF(A:A,A1846)</f>
        <v>8</v>
      </c>
      <c r="I1846">
        <f t="array" ref="I1846">SUMIF(A:A,A1846,F:F)</f>
        <v>22978.19</v>
      </c>
      <c r="J1846">
        <f t="array" ref="J1846">5 - INT(5 * (RANK(G1846,G:G, 1) - 1) / COUNT(G:G))</f>
        <v>4</v>
      </c>
      <c r="K1846">
        <f t="array" ref="K1846">INT(5 * (RANK(H1846,H:H, 0) - 1) / COUNT(H:H)) + 1</f>
        <v>3</v>
      </c>
      <c r="L1846">
        <f t="array" ref="L1846">INT(5 * (RANK(I1846,I:I, 0) - 1) / COUNT(I:I)) + 1</f>
        <v>4</v>
      </c>
      <c r="M1846" t="str">
        <f t="shared" si="56"/>
        <v>434</v>
      </c>
      <c r="N1846" s="6" t="str">
        <f t="shared" si="57"/>
        <v>Others</v>
      </c>
    </row>
    <row r="1847" spans="1:14" x14ac:dyDescent="0.35">
      <c r="A1847">
        <v>1036</v>
      </c>
      <c r="B1847" s="4">
        <v>45860.375085336993</v>
      </c>
      <c r="C1847" t="s">
        <v>14</v>
      </c>
      <c r="D1847" t="s">
        <v>18</v>
      </c>
      <c r="E1847" t="s">
        <v>25</v>
      </c>
      <c r="F1847">
        <v>3586.85</v>
      </c>
      <c r="G1847">
        <f t="array" ref="G1847">SalesData!$I$2 - 'RFM Table'!B1847</f>
        <v>276</v>
      </c>
      <c r="H1847">
        <f t="array" ref="H1847">COUNTIF(A:A,A1847)</f>
        <v>6</v>
      </c>
      <c r="I1847">
        <f t="array" ref="I1847">SUMIF(A:A,A1847,F:F)</f>
        <v>18264</v>
      </c>
      <c r="J1847">
        <f t="array" ref="J1847">5 - INT(5 * (RANK(G1847,G:G, 1) - 1) / COUNT(G:G))</f>
        <v>4</v>
      </c>
      <c r="K1847">
        <f t="array" ref="K1847">INT(5 * (RANK(H1847,H:H, 0) - 1) / COUNT(H:H)) + 1</f>
        <v>4</v>
      </c>
      <c r="L1847">
        <f t="array" ref="L1847">INT(5 * (RANK(I1847,I:I, 0) - 1) / COUNT(I:I)) + 1</f>
        <v>5</v>
      </c>
      <c r="M1847" t="str">
        <f t="shared" si="56"/>
        <v>445</v>
      </c>
      <c r="N1847" s="6" t="str">
        <f t="shared" si="57"/>
        <v>Others</v>
      </c>
    </row>
    <row r="1848" spans="1:14" x14ac:dyDescent="0.35">
      <c r="A1848">
        <v>1393</v>
      </c>
      <c r="B1848" s="4">
        <v>45861.375085336993</v>
      </c>
      <c r="C1848" t="s">
        <v>11</v>
      </c>
      <c r="D1848" t="s">
        <v>19</v>
      </c>
      <c r="E1848" t="s">
        <v>24</v>
      </c>
      <c r="F1848">
        <v>2579.38</v>
      </c>
      <c r="G1848">
        <f t="array" ref="G1848">SalesData!$I$2 - 'RFM Table'!B1848</f>
        <v>275</v>
      </c>
      <c r="H1848">
        <f t="array" ref="H1848">COUNTIF(A:A,A1848)</f>
        <v>7</v>
      </c>
      <c r="I1848">
        <f t="array" ref="I1848">SUMIF(A:A,A1848,F:F)</f>
        <v>28804.870000000003</v>
      </c>
      <c r="J1848">
        <f t="array" ref="J1848">5 - INT(5 * (RANK(G1848,G:G, 1) - 1) / COUNT(G:G))</f>
        <v>4</v>
      </c>
      <c r="K1848">
        <f t="array" ref="K1848">INT(5 * (RANK(H1848,H:H, 0) - 1) / COUNT(H:H)) + 1</f>
        <v>4</v>
      </c>
      <c r="L1848">
        <f t="array" ref="L1848">INT(5 * (RANK(I1848,I:I, 0) - 1) / COUNT(I:I)) + 1</f>
        <v>4</v>
      </c>
      <c r="M1848" t="str">
        <f t="shared" si="56"/>
        <v>444</v>
      </c>
      <c r="N1848" s="6" t="str">
        <f t="shared" si="57"/>
        <v>Others</v>
      </c>
    </row>
    <row r="1849" spans="1:14" x14ac:dyDescent="0.35">
      <c r="A1849">
        <v>1160</v>
      </c>
      <c r="B1849" s="4">
        <v>45861.375085336993</v>
      </c>
      <c r="C1849" t="s">
        <v>7</v>
      </c>
      <c r="D1849" t="s">
        <v>20</v>
      </c>
      <c r="E1849" t="s">
        <v>25</v>
      </c>
      <c r="F1849">
        <v>3887.68</v>
      </c>
      <c r="G1849">
        <f t="array" ref="G1849">SalesData!$I$2 - 'RFM Table'!B1849</f>
        <v>275</v>
      </c>
      <c r="H1849">
        <f t="array" ref="H1849">COUNTIF(A:A,A1849)</f>
        <v>13</v>
      </c>
      <c r="I1849">
        <f t="array" ref="I1849">SUMIF(A:A,A1849,F:F)</f>
        <v>56128.799999999996</v>
      </c>
      <c r="J1849">
        <f t="array" ref="J1849">5 - INT(5 * (RANK(G1849,G:G, 1) - 1) / COUNT(G:G))</f>
        <v>4</v>
      </c>
      <c r="K1849">
        <f t="array" ref="K1849">INT(5 * (RANK(H1849,H:H, 0) - 1) / COUNT(H:H)) + 1</f>
        <v>1</v>
      </c>
      <c r="L1849">
        <f t="array" ref="L1849">INT(5 * (RANK(I1849,I:I, 0) - 1) / COUNT(I:I)) + 1</f>
        <v>1</v>
      </c>
      <c r="M1849" t="str">
        <f t="shared" si="56"/>
        <v>411</v>
      </c>
      <c r="N1849" s="6" t="str">
        <f t="shared" si="57"/>
        <v>New Customers</v>
      </c>
    </row>
    <row r="1850" spans="1:14" x14ac:dyDescent="0.35">
      <c r="A1850">
        <v>1212</v>
      </c>
      <c r="B1850" s="4">
        <v>45861.375085336993</v>
      </c>
      <c r="C1850" t="s">
        <v>14</v>
      </c>
      <c r="D1850" t="s">
        <v>18</v>
      </c>
      <c r="E1850" t="s">
        <v>23</v>
      </c>
      <c r="F1850">
        <v>1173.73</v>
      </c>
      <c r="G1850">
        <f t="array" ref="G1850">SalesData!$I$2 - 'RFM Table'!B1850</f>
        <v>275</v>
      </c>
      <c r="H1850">
        <f t="array" ref="H1850">COUNTIF(A:A,A1850)</f>
        <v>9</v>
      </c>
      <c r="I1850">
        <f t="array" ref="I1850">SUMIF(A:A,A1850,F:F)</f>
        <v>33311.4</v>
      </c>
      <c r="J1850">
        <f t="array" ref="J1850">5 - INT(5 * (RANK(G1850,G:G, 1) - 1) / COUNT(G:G))</f>
        <v>4</v>
      </c>
      <c r="K1850">
        <f t="array" ref="K1850">INT(5 * (RANK(H1850,H:H, 0) - 1) / COUNT(H:H)) + 1</f>
        <v>2</v>
      </c>
      <c r="L1850">
        <f t="array" ref="L1850">INT(5 * (RANK(I1850,I:I, 0) - 1) / COUNT(I:I)) + 1</f>
        <v>3</v>
      </c>
      <c r="M1850" t="str">
        <f t="shared" si="56"/>
        <v>423</v>
      </c>
      <c r="N1850" s="6" t="str">
        <f t="shared" si="57"/>
        <v>New Customers</v>
      </c>
    </row>
    <row r="1851" spans="1:14" x14ac:dyDescent="0.35">
      <c r="A1851">
        <v>1028</v>
      </c>
      <c r="B1851" s="4">
        <v>45861.375085336993</v>
      </c>
      <c r="C1851" t="s">
        <v>12</v>
      </c>
      <c r="D1851" t="s">
        <v>22</v>
      </c>
      <c r="E1851" t="s">
        <v>23</v>
      </c>
      <c r="F1851">
        <v>9491.35</v>
      </c>
      <c r="G1851">
        <f t="array" ref="G1851">SalesData!$I$2 - 'RFM Table'!B1851</f>
        <v>275</v>
      </c>
      <c r="H1851">
        <f t="array" ref="H1851">COUNTIF(A:A,A1851)</f>
        <v>10</v>
      </c>
      <c r="I1851">
        <f t="array" ref="I1851">SUMIF(A:A,A1851,F:F)</f>
        <v>37984.589999999997</v>
      </c>
      <c r="J1851">
        <f t="array" ref="J1851">5 - INT(5 * (RANK(G1851,G:G, 1) - 1) / COUNT(G:G))</f>
        <v>4</v>
      </c>
      <c r="K1851">
        <f t="array" ref="K1851">INT(5 * (RANK(H1851,H:H, 0) - 1) / COUNT(H:H)) + 1</f>
        <v>2</v>
      </c>
      <c r="L1851">
        <f t="array" ref="L1851">INT(5 * (RANK(I1851,I:I, 0) - 1) / COUNT(I:I)) + 1</f>
        <v>2</v>
      </c>
      <c r="M1851" t="str">
        <f t="shared" si="56"/>
        <v>422</v>
      </c>
      <c r="N1851" s="6" t="str">
        <f t="shared" si="57"/>
        <v>New Customers</v>
      </c>
    </row>
    <row r="1852" spans="1:14" x14ac:dyDescent="0.35">
      <c r="A1852">
        <v>1335</v>
      </c>
      <c r="B1852" s="4">
        <v>45861.375085336993</v>
      </c>
      <c r="C1852" t="s">
        <v>15</v>
      </c>
      <c r="D1852" t="s">
        <v>21</v>
      </c>
      <c r="E1852" t="s">
        <v>24</v>
      </c>
      <c r="F1852">
        <v>4380.7700000000004</v>
      </c>
      <c r="G1852">
        <f t="array" ref="G1852">SalesData!$I$2 - 'RFM Table'!B1852</f>
        <v>275</v>
      </c>
      <c r="H1852">
        <f t="array" ref="H1852">COUNTIF(A:A,A1852)</f>
        <v>8</v>
      </c>
      <c r="I1852">
        <f t="array" ref="I1852">SUMIF(A:A,A1852,F:F)</f>
        <v>31568.060000000005</v>
      </c>
      <c r="J1852">
        <f t="array" ref="J1852">5 - INT(5 * (RANK(G1852,G:G, 1) - 1) / COUNT(G:G))</f>
        <v>4</v>
      </c>
      <c r="K1852">
        <f t="array" ref="K1852">INT(5 * (RANK(H1852,H:H, 0) - 1) / COUNT(H:H)) + 1</f>
        <v>3</v>
      </c>
      <c r="L1852">
        <f t="array" ref="L1852">INT(5 * (RANK(I1852,I:I, 0) - 1) / COUNT(I:I)) + 1</f>
        <v>3</v>
      </c>
      <c r="M1852" t="str">
        <f t="shared" si="56"/>
        <v>433</v>
      </c>
      <c r="N1852" s="6" t="str">
        <f t="shared" si="57"/>
        <v>Others</v>
      </c>
    </row>
    <row r="1853" spans="1:14" x14ac:dyDescent="0.35">
      <c r="A1853">
        <v>1127</v>
      </c>
      <c r="B1853" s="4">
        <v>45862.375085336993</v>
      </c>
      <c r="C1853" t="s">
        <v>14</v>
      </c>
      <c r="D1853" t="s">
        <v>16</v>
      </c>
      <c r="E1853" t="s">
        <v>25</v>
      </c>
      <c r="F1853">
        <v>1612.73</v>
      </c>
      <c r="G1853">
        <f t="array" ref="G1853">SalesData!$I$2 - 'RFM Table'!B1853</f>
        <v>274</v>
      </c>
      <c r="H1853">
        <f t="array" ref="H1853">COUNTIF(A:A,A1853)</f>
        <v>9</v>
      </c>
      <c r="I1853">
        <f t="array" ref="I1853">SUMIF(A:A,A1853,F:F)</f>
        <v>30288.86</v>
      </c>
      <c r="J1853">
        <f t="array" ref="J1853">5 - INT(5 * (RANK(G1853,G:G, 1) - 1) / COUNT(G:G))</f>
        <v>4</v>
      </c>
      <c r="K1853">
        <f t="array" ref="K1853">INT(5 * (RANK(H1853,H:H, 0) - 1) / COUNT(H:H)) + 1</f>
        <v>2</v>
      </c>
      <c r="L1853">
        <f t="array" ref="L1853">INT(5 * (RANK(I1853,I:I, 0) - 1) / COUNT(I:I)) + 1</f>
        <v>3</v>
      </c>
      <c r="M1853" t="str">
        <f t="shared" si="56"/>
        <v>423</v>
      </c>
      <c r="N1853" s="6" t="str">
        <f t="shared" si="57"/>
        <v>New Customers</v>
      </c>
    </row>
    <row r="1854" spans="1:14" x14ac:dyDescent="0.35">
      <c r="A1854">
        <v>1007</v>
      </c>
      <c r="B1854" s="4">
        <v>45862.375085336993</v>
      </c>
      <c r="C1854" t="s">
        <v>9</v>
      </c>
      <c r="D1854" t="s">
        <v>22</v>
      </c>
      <c r="E1854" t="s">
        <v>25</v>
      </c>
      <c r="F1854">
        <v>9647.2900000000009</v>
      </c>
      <c r="G1854">
        <f t="array" ref="G1854">SalesData!$I$2 - 'RFM Table'!B1854</f>
        <v>274</v>
      </c>
      <c r="H1854">
        <f t="array" ref="H1854">COUNTIF(A:A,A1854)</f>
        <v>9</v>
      </c>
      <c r="I1854">
        <f t="array" ref="I1854">SUMIF(A:A,A1854,F:F)</f>
        <v>47571.369999999995</v>
      </c>
      <c r="J1854">
        <f t="array" ref="J1854">5 - INT(5 * (RANK(G1854,G:G, 1) - 1) / COUNT(G:G))</f>
        <v>4</v>
      </c>
      <c r="K1854">
        <f t="array" ref="K1854">INT(5 * (RANK(H1854,H:H, 0) - 1) / COUNT(H:H)) + 1</f>
        <v>2</v>
      </c>
      <c r="L1854">
        <f t="array" ref="L1854">INT(5 * (RANK(I1854,I:I, 0) - 1) / COUNT(I:I)) + 1</f>
        <v>1</v>
      </c>
      <c r="M1854" t="str">
        <f t="shared" si="56"/>
        <v>421</v>
      </c>
      <c r="N1854" s="6" t="str">
        <f t="shared" si="57"/>
        <v>New Customers</v>
      </c>
    </row>
    <row r="1855" spans="1:14" x14ac:dyDescent="0.35">
      <c r="A1855">
        <v>1232</v>
      </c>
      <c r="B1855" s="4">
        <v>45862.375085336993</v>
      </c>
      <c r="C1855" t="s">
        <v>12</v>
      </c>
      <c r="D1855" t="s">
        <v>16</v>
      </c>
      <c r="E1855" t="s">
        <v>25</v>
      </c>
      <c r="F1855">
        <v>3780.88</v>
      </c>
      <c r="G1855">
        <f t="array" ref="G1855">SalesData!$I$2 - 'RFM Table'!B1855</f>
        <v>274</v>
      </c>
      <c r="H1855">
        <f t="array" ref="H1855">COUNTIF(A:A,A1855)</f>
        <v>13</v>
      </c>
      <c r="I1855">
        <f t="array" ref="I1855">SUMIF(A:A,A1855,F:F)</f>
        <v>40298.450000000004</v>
      </c>
      <c r="J1855">
        <f t="array" ref="J1855">5 - INT(5 * (RANK(G1855,G:G, 1) - 1) / COUNT(G:G))</f>
        <v>4</v>
      </c>
      <c r="K1855">
        <f t="array" ref="K1855">INT(5 * (RANK(H1855,H:H, 0) - 1) / COUNT(H:H)) + 1</f>
        <v>1</v>
      </c>
      <c r="L1855">
        <f t="array" ref="L1855">INT(5 * (RANK(I1855,I:I, 0) - 1) / COUNT(I:I)) + 1</f>
        <v>2</v>
      </c>
      <c r="M1855" t="str">
        <f t="shared" si="56"/>
        <v>412</v>
      </c>
      <c r="N1855" s="6" t="str">
        <f t="shared" si="57"/>
        <v>New Customers</v>
      </c>
    </row>
    <row r="1856" spans="1:14" x14ac:dyDescent="0.35">
      <c r="A1856">
        <v>1292</v>
      </c>
      <c r="B1856" s="4">
        <v>45862.375085336993</v>
      </c>
      <c r="C1856" t="s">
        <v>6</v>
      </c>
      <c r="D1856" t="s">
        <v>19</v>
      </c>
      <c r="E1856" t="s">
        <v>25</v>
      </c>
      <c r="F1856">
        <v>709.44</v>
      </c>
      <c r="G1856">
        <f t="array" ref="G1856">SalesData!$I$2 - 'RFM Table'!B1856</f>
        <v>274</v>
      </c>
      <c r="H1856">
        <f t="array" ref="H1856">COUNTIF(A:A,A1856)</f>
        <v>15</v>
      </c>
      <c r="I1856">
        <f t="array" ref="I1856">SUMIF(A:A,A1856,F:F)</f>
        <v>49637.999999999993</v>
      </c>
      <c r="J1856">
        <f t="array" ref="J1856">5 - INT(5 * (RANK(G1856,G:G, 1) - 1) / COUNT(G:G))</f>
        <v>4</v>
      </c>
      <c r="K1856">
        <f t="array" ref="K1856">INT(5 * (RANK(H1856,H:H, 0) - 1) / COUNT(H:H)) + 1</f>
        <v>1</v>
      </c>
      <c r="L1856">
        <f t="array" ref="L1856">INT(5 * (RANK(I1856,I:I, 0) - 1) / COUNT(I:I)) + 1</f>
        <v>1</v>
      </c>
      <c r="M1856" t="str">
        <f t="shared" si="56"/>
        <v>411</v>
      </c>
      <c r="N1856" s="6" t="str">
        <f t="shared" si="57"/>
        <v>New Customers</v>
      </c>
    </row>
    <row r="1857" spans="1:14" x14ac:dyDescent="0.35">
      <c r="A1857">
        <v>1313</v>
      </c>
      <c r="B1857" s="4">
        <v>45862.375085336993</v>
      </c>
      <c r="C1857" t="s">
        <v>10</v>
      </c>
      <c r="D1857" t="s">
        <v>20</v>
      </c>
      <c r="E1857" t="s">
        <v>25</v>
      </c>
      <c r="F1857">
        <v>1117.81</v>
      </c>
      <c r="G1857">
        <f t="array" ref="G1857">SalesData!$I$2 - 'RFM Table'!B1857</f>
        <v>274</v>
      </c>
      <c r="H1857">
        <f t="array" ref="H1857">COUNTIF(A:A,A1857)</f>
        <v>9</v>
      </c>
      <c r="I1857">
        <f t="array" ref="I1857">SUMIF(A:A,A1857,F:F)</f>
        <v>35759.83</v>
      </c>
      <c r="J1857">
        <f t="array" ref="J1857">5 - INT(5 * (RANK(G1857,G:G, 1) - 1) / COUNT(G:G))</f>
        <v>4</v>
      </c>
      <c r="K1857">
        <f t="array" ref="K1857">INT(5 * (RANK(H1857,H:H, 0) - 1) / COUNT(H:H)) + 1</f>
        <v>2</v>
      </c>
      <c r="L1857">
        <f t="array" ref="L1857">INT(5 * (RANK(I1857,I:I, 0) - 1) / COUNT(I:I)) + 1</f>
        <v>3</v>
      </c>
      <c r="M1857" t="str">
        <f t="shared" si="56"/>
        <v>423</v>
      </c>
      <c r="N1857" s="6" t="str">
        <f t="shared" si="57"/>
        <v>New Customers</v>
      </c>
    </row>
    <row r="1858" spans="1:14" x14ac:dyDescent="0.35">
      <c r="A1858">
        <v>1212</v>
      </c>
      <c r="B1858" s="4">
        <v>45863.375085336993</v>
      </c>
      <c r="C1858" t="s">
        <v>13</v>
      </c>
      <c r="D1858" t="s">
        <v>21</v>
      </c>
      <c r="E1858" t="s">
        <v>23</v>
      </c>
      <c r="F1858">
        <v>4376.3</v>
      </c>
      <c r="G1858">
        <f t="array" ref="G1858">SalesData!$I$2 - 'RFM Table'!B1858</f>
        <v>273</v>
      </c>
      <c r="H1858">
        <f t="array" ref="H1858">COUNTIF(A:A,A1858)</f>
        <v>9</v>
      </c>
      <c r="I1858">
        <f t="array" ref="I1858">SUMIF(A:A,A1858,F:F)</f>
        <v>33311.4</v>
      </c>
      <c r="J1858">
        <f t="array" ref="J1858">5 - INT(5 * (RANK(G1858,G:G, 1) - 1) / COUNT(G:G))</f>
        <v>4</v>
      </c>
      <c r="K1858">
        <f t="array" ref="K1858">INT(5 * (RANK(H1858,H:H, 0) - 1) / COUNT(H:H)) + 1</f>
        <v>2</v>
      </c>
      <c r="L1858">
        <f t="array" ref="L1858">INT(5 * (RANK(I1858,I:I, 0) - 1) / COUNT(I:I)) + 1</f>
        <v>3</v>
      </c>
      <c r="M1858" t="str">
        <f t="shared" si="56"/>
        <v>423</v>
      </c>
      <c r="N1858" s="6" t="str">
        <f t="shared" si="57"/>
        <v>New Customers</v>
      </c>
    </row>
    <row r="1859" spans="1:14" x14ac:dyDescent="0.35">
      <c r="A1859">
        <v>1063</v>
      </c>
      <c r="B1859" s="4">
        <v>45863.375085336993</v>
      </c>
      <c r="C1859" t="s">
        <v>14</v>
      </c>
      <c r="D1859" t="s">
        <v>19</v>
      </c>
      <c r="E1859" t="s">
        <v>25</v>
      </c>
      <c r="F1859">
        <v>2311.17</v>
      </c>
      <c r="G1859">
        <f t="array" ref="G1859">SalesData!$I$2 - 'RFM Table'!B1859</f>
        <v>273</v>
      </c>
      <c r="H1859">
        <f t="array" ref="H1859">COUNTIF(A:A,A1859)</f>
        <v>3</v>
      </c>
      <c r="I1859">
        <f t="array" ref="I1859">SUMIF(A:A,A1859,F:F)</f>
        <v>16888.900000000001</v>
      </c>
      <c r="J1859">
        <f t="array" ref="J1859">5 - INT(5 * (RANK(G1859,G:G, 1) - 1) / COUNT(G:G))</f>
        <v>4</v>
      </c>
      <c r="K1859">
        <f t="array" ref="K1859">INT(5 * (RANK(H1859,H:H, 0) - 1) / COUNT(H:H)) + 1</f>
        <v>5</v>
      </c>
      <c r="L1859">
        <f t="array" ref="L1859">INT(5 * (RANK(I1859,I:I, 0) - 1) / COUNT(I:I)) + 1</f>
        <v>5</v>
      </c>
      <c r="M1859" t="str">
        <f t="shared" ref="M1859:M1922" si="58">J1859 &amp; K1859 &amp; L1859</f>
        <v>455</v>
      </c>
      <c r="N1859" s="6" t="str">
        <f t="shared" ref="N1859:N1922" si="59">IF(AND(J1859&gt;=4,K1859&lt;=2),"New Customers",
IF(AND(J1859&lt;=2,K1859&gt;=3,L1859&gt;=3),"At Risk",
IF(AND(J1859&lt;=2,K1859&lt;=2,L1859&gt;=3),"Can't Lose Them",
IF(AND(J1859&lt;=2,K1859&lt;=2,L1859&lt;=2),"Lost",
"Others"))))</f>
        <v>Others</v>
      </c>
    </row>
    <row r="1860" spans="1:14" x14ac:dyDescent="0.35">
      <c r="A1860">
        <v>1129</v>
      </c>
      <c r="B1860" s="4">
        <v>45863.375085336993</v>
      </c>
      <c r="C1860" t="s">
        <v>11</v>
      </c>
      <c r="D1860" t="s">
        <v>20</v>
      </c>
      <c r="E1860" t="s">
        <v>24</v>
      </c>
      <c r="F1860">
        <v>3719.33</v>
      </c>
      <c r="G1860">
        <f t="array" ref="G1860">SalesData!$I$2 - 'RFM Table'!B1860</f>
        <v>273</v>
      </c>
      <c r="H1860">
        <f t="array" ref="H1860">COUNTIF(A:A,A1860)</f>
        <v>14</v>
      </c>
      <c r="I1860">
        <f t="array" ref="I1860">SUMIF(A:A,A1860,F:F)</f>
        <v>53433.220000000008</v>
      </c>
      <c r="J1860">
        <f t="array" ref="J1860">5 - INT(5 * (RANK(G1860,G:G, 1) - 1) / COUNT(G:G))</f>
        <v>4</v>
      </c>
      <c r="K1860">
        <f t="array" ref="K1860">INT(5 * (RANK(H1860,H:H, 0) - 1) / COUNT(H:H)) + 1</f>
        <v>1</v>
      </c>
      <c r="L1860">
        <f t="array" ref="L1860">INT(5 * (RANK(I1860,I:I, 0) - 1) / COUNT(I:I)) + 1</f>
        <v>1</v>
      </c>
      <c r="M1860" t="str">
        <f t="shared" si="58"/>
        <v>411</v>
      </c>
      <c r="N1860" s="6" t="str">
        <f t="shared" si="59"/>
        <v>New Customers</v>
      </c>
    </row>
    <row r="1861" spans="1:14" x14ac:dyDescent="0.35">
      <c r="A1861">
        <v>1092</v>
      </c>
      <c r="B1861" s="4">
        <v>45863.375085336993</v>
      </c>
      <c r="C1861" t="s">
        <v>11</v>
      </c>
      <c r="D1861" t="s">
        <v>20</v>
      </c>
      <c r="E1861" t="s">
        <v>24</v>
      </c>
      <c r="F1861">
        <v>2841.01</v>
      </c>
      <c r="G1861">
        <f t="array" ref="G1861">SalesData!$I$2 - 'RFM Table'!B1861</f>
        <v>273</v>
      </c>
      <c r="H1861">
        <f t="array" ref="H1861">COUNTIF(A:A,A1861)</f>
        <v>6</v>
      </c>
      <c r="I1861">
        <f t="array" ref="I1861">SUMIF(A:A,A1861,F:F)</f>
        <v>21226.689999999995</v>
      </c>
      <c r="J1861">
        <f t="array" ref="J1861">5 - INT(5 * (RANK(G1861,G:G, 1) - 1) / COUNT(G:G))</f>
        <v>4</v>
      </c>
      <c r="K1861">
        <f t="array" ref="K1861">INT(5 * (RANK(H1861,H:H, 0) - 1) / COUNT(H:H)) + 1</f>
        <v>4</v>
      </c>
      <c r="L1861">
        <f t="array" ref="L1861">INT(5 * (RANK(I1861,I:I, 0) - 1) / COUNT(I:I)) + 1</f>
        <v>5</v>
      </c>
      <c r="M1861" t="str">
        <f t="shared" si="58"/>
        <v>445</v>
      </c>
      <c r="N1861" s="6" t="str">
        <f t="shared" si="59"/>
        <v>Others</v>
      </c>
    </row>
    <row r="1862" spans="1:14" x14ac:dyDescent="0.35">
      <c r="A1862">
        <v>1159</v>
      </c>
      <c r="B1862" s="4">
        <v>45864.375085336993</v>
      </c>
      <c r="C1862" t="s">
        <v>11</v>
      </c>
      <c r="D1862" t="s">
        <v>19</v>
      </c>
      <c r="E1862" t="s">
        <v>23</v>
      </c>
      <c r="F1862">
        <v>1952.85</v>
      </c>
      <c r="G1862">
        <f t="array" ref="G1862">SalesData!$I$2 - 'RFM Table'!B1862</f>
        <v>272</v>
      </c>
      <c r="H1862">
        <f t="array" ref="H1862">COUNTIF(A:A,A1862)</f>
        <v>15</v>
      </c>
      <c r="I1862">
        <f t="array" ref="I1862">SUMIF(A:A,A1862,F:F)</f>
        <v>57217.139999999992</v>
      </c>
      <c r="J1862">
        <f t="array" ref="J1862">5 - INT(5 * (RANK(G1862,G:G, 1) - 1) / COUNT(G:G))</f>
        <v>4</v>
      </c>
      <c r="K1862">
        <f t="array" ref="K1862">INT(5 * (RANK(H1862,H:H, 0) - 1) / COUNT(H:H)) + 1</f>
        <v>1</v>
      </c>
      <c r="L1862">
        <f t="array" ref="L1862">INT(5 * (RANK(I1862,I:I, 0) - 1) / COUNT(I:I)) + 1</f>
        <v>1</v>
      </c>
      <c r="M1862" t="str">
        <f t="shared" si="58"/>
        <v>411</v>
      </c>
      <c r="N1862" s="6" t="str">
        <f t="shared" si="59"/>
        <v>New Customers</v>
      </c>
    </row>
    <row r="1863" spans="1:14" x14ac:dyDescent="0.35">
      <c r="A1863">
        <v>1393</v>
      </c>
      <c r="B1863" s="4">
        <v>45864.375085336993</v>
      </c>
      <c r="C1863" t="s">
        <v>14</v>
      </c>
      <c r="D1863" t="s">
        <v>21</v>
      </c>
      <c r="E1863" t="s">
        <v>25</v>
      </c>
      <c r="F1863">
        <v>7956.77</v>
      </c>
      <c r="G1863">
        <f t="array" ref="G1863">SalesData!$I$2 - 'RFM Table'!B1863</f>
        <v>272</v>
      </c>
      <c r="H1863">
        <f t="array" ref="H1863">COUNTIF(A:A,A1863)</f>
        <v>7</v>
      </c>
      <c r="I1863">
        <f t="array" ref="I1863">SUMIF(A:A,A1863,F:F)</f>
        <v>28804.870000000003</v>
      </c>
      <c r="J1863">
        <f t="array" ref="J1863">5 - INT(5 * (RANK(G1863,G:G, 1) - 1) / COUNT(G:G))</f>
        <v>4</v>
      </c>
      <c r="K1863">
        <f t="array" ref="K1863">INT(5 * (RANK(H1863,H:H, 0) - 1) / COUNT(H:H)) + 1</f>
        <v>4</v>
      </c>
      <c r="L1863">
        <f t="array" ref="L1863">INT(5 * (RANK(I1863,I:I, 0) - 1) / COUNT(I:I)) + 1</f>
        <v>4</v>
      </c>
      <c r="M1863" t="str">
        <f t="shared" si="58"/>
        <v>444</v>
      </c>
      <c r="N1863" s="6" t="str">
        <f t="shared" si="59"/>
        <v>Others</v>
      </c>
    </row>
    <row r="1864" spans="1:14" x14ac:dyDescent="0.35">
      <c r="A1864">
        <v>1019</v>
      </c>
      <c r="B1864" s="4">
        <v>45864.375085336993</v>
      </c>
      <c r="C1864" t="s">
        <v>15</v>
      </c>
      <c r="D1864" t="s">
        <v>17</v>
      </c>
      <c r="E1864" t="s">
        <v>25</v>
      </c>
      <c r="F1864">
        <v>5711.89</v>
      </c>
      <c r="G1864">
        <f t="array" ref="G1864">SalesData!$I$2 - 'RFM Table'!B1864</f>
        <v>272</v>
      </c>
      <c r="H1864">
        <f t="array" ref="H1864">COUNTIF(A:A,A1864)</f>
        <v>11</v>
      </c>
      <c r="I1864">
        <f t="array" ref="I1864">SUMIF(A:A,A1864,F:F)</f>
        <v>37863.899999999994</v>
      </c>
      <c r="J1864">
        <f t="array" ref="J1864">5 - INT(5 * (RANK(G1864,G:G, 1) - 1) / COUNT(G:G))</f>
        <v>4</v>
      </c>
      <c r="K1864">
        <f t="array" ref="K1864">INT(5 * (RANK(H1864,H:H, 0) - 1) / COUNT(H:H)) + 1</f>
        <v>1</v>
      </c>
      <c r="L1864">
        <f t="array" ref="L1864">INT(5 * (RANK(I1864,I:I, 0) - 1) / COUNT(I:I)) + 1</f>
        <v>2</v>
      </c>
      <c r="M1864" t="str">
        <f t="shared" si="58"/>
        <v>412</v>
      </c>
      <c r="N1864" s="6" t="str">
        <f t="shared" si="59"/>
        <v>New Customers</v>
      </c>
    </row>
    <row r="1865" spans="1:14" x14ac:dyDescent="0.35">
      <c r="A1865">
        <v>1022</v>
      </c>
      <c r="B1865" s="4">
        <v>45864.375085336993</v>
      </c>
      <c r="C1865" t="s">
        <v>13</v>
      </c>
      <c r="D1865" t="s">
        <v>21</v>
      </c>
      <c r="E1865" t="s">
        <v>25</v>
      </c>
      <c r="F1865">
        <v>378.07</v>
      </c>
      <c r="G1865">
        <f t="array" ref="G1865">SalesData!$I$2 - 'RFM Table'!B1865</f>
        <v>272</v>
      </c>
      <c r="H1865">
        <f t="array" ref="H1865">COUNTIF(A:A,A1865)</f>
        <v>6</v>
      </c>
      <c r="I1865">
        <f t="array" ref="I1865">SUMIF(A:A,A1865,F:F)</f>
        <v>22201.78</v>
      </c>
      <c r="J1865">
        <f t="array" ref="J1865">5 - INT(5 * (RANK(G1865,G:G, 1) - 1) / COUNT(G:G))</f>
        <v>4</v>
      </c>
      <c r="K1865">
        <f t="array" ref="K1865">INT(5 * (RANK(H1865,H:H, 0) - 1) / COUNT(H:H)) + 1</f>
        <v>4</v>
      </c>
      <c r="L1865">
        <f t="array" ref="L1865">INT(5 * (RANK(I1865,I:I, 0) - 1) / COUNT(I:I)) + 1</f>
        <v>4</v>
      </c>
      <c r="M1865" t="str">
        <f t="shared" si="58"/>
        <v>444</v>
      </c>
      <c r="N1865" s="6" t="str">
        <f t="shared" si="59"/>
        <v>Others</v>
      </c>
    </row>
    <row r="1866" spans="1:14" x14ac:dyDescent="0.35">
      <c r="A1866">
        <v>1160</v>
      </c>
      <c r="B1866" s="4">
        <v>45865.375085336993</v>
      </c>
      <c r="C1866" t="s">
        <v>12</v>
      </c>
      <c r="D1866" t="s">
        <v>22</v>
      </c>
      <c r="E1866" t="s">
        <v>24</v>
      </c>
      <c r="F1866">
        <v>2085.14</v>
      </c>
      <c r="G1866">
        <f t="array" ref="G1866">SalesData!$I$2 - 'RFM Table'!B1866</f>
        <v>271</v>
      </c>
      <c r="H1866">
        <f t="array" ref="H1866">COUNTIF(A:A,A1866)</f>
        <v>13</v>
      </c>
      <c r="I1866">
        <f t="array" ref="I1866">SUMIF(A:A,A1866,F:F)</f>
        <v>56128.799999999996</v>
      </c>
      <c r="J1866">
        <f t="array" ref="J1866">5 - INT(5 * (RANK(G1866,G:G, 1) - 1) / COUNT(G:G))</f>
        <v>4</v>
      </c>
      <c r="K1866">
        <f t="array" ref="K1866">INT(5 * (RANK(H1866,H:H, 0) - 1) / COUNT(H:H)) + 1</f>
        <v>1</v>
      </c>
      <c r="L1866">
        <f t="array" ref="L1866">INT(5 * (RANK(I1866,I:I, 0) - 1) / COUNT(I:I)) + 1</f>
        <v>1</v>
      </c>
      <c r="M1866" t="str">
        <f t="shared" si="58"/>
        <v>411</v>
      </c>
      <c r="N1866" s="6" t="str">
        <f t="shared" si="59"/>
        <v>New Customers</v>
      </c>
    </row>
    <row r="1867" spans="1:14" x14ac:dyDescent="0.35">
      <c r="A1867">
        <v>1282</v>
      </c>
      <c r="B1867" s="4">
        <v>45865.375085336993</v>
      </c>
      <c r="C1867" t="s">
        <v>11</v>
      </c>
      <c r="D1867" t="s">
        <v>19</v>
      </c>
      <c r="E1867" t="s">
        <v>24</v>
      </c>
      <c r="F1867">
        <v>3618.17</v>
      </c>
      <c r="G1867">
        <f t="array" ref="G1867">SalesData!$I$2 - 'RFM Table'!B1867</f>
        <v>271</v>
      </c>
      <c r="H1867">
        <f t="array" ref="H1867">COUNTIF(A:A,A1867)</f>
        <v>7</v>
      </c>
      <c r="I1867">
        <f t="array" ref="I1867">SUMIF(A:A,A1867,F:F)</f>
        <v>37438.960000000006</v>
      </c>
      <c r="J1867">
        <f t="array" ref="J1867">5 - INT(5 * (RANK(G1867,G:G, 1) - 1) / COUNT(G:G))</f>
        <v>4</v>
      </c>
      <c r="K1867">
        <f t="array" ref="K1867">INT(5 * (RANK(H1867,H:H, 0) - 1) / COUNT(H:H)) + 1</f>
        <v>4</v>
      </c>
      <c r="L1867">
        <f t="array" ref="L1867">INT(5 * (RANK(I1867,I:I, 0) - 1) / COUNT(I:I)) + 1</f>
        <v>2</v>
      </c>
      <c r="M1867" t="str">
        <f t="shared" si="58"/>
        <v>442</v>
      </c>
      <c r="N1867" s="6" t="str">
        <f t="shared" si="59"/>
        <v>Others</v>
      </c>
    </row>
    <row r="1868" spans="1:14" x14ac:dyDescent="0.35">
      <c r="A1868">
        <v>1310</v>
      </c>
      <c r="B1868" s="4">
        <v>45865.375085336993</v>
      </c>
      <c r="C1868" t="s">
        <v>8</v>
      </c>
      <c r="D1868" t="s">
        <v>16</v>
      </c>
      <c r="E1868" t="s">
        <v>24</v>
      </c>
      <c r="F1868">
        <v>4798.12</v>
      </c>
      <c r="G1868">
        <f t="array" ref="G1868">SalesData!$I$2 - 'RFM Table'!B1868</f>
        <v>271</v>
      </c>
      <c r="H1868">
        <f t="array" ref="H1868">COUNTIF(A:A,A1868)</f>
        <v>9</v>
      </c>
      <c r="I1868">
        <f t="array" ref="I1868">SUMIF(A:A,A1868,F:F)</f>
        <v>45883.96</v>
      </c>
      <c r="J1868">
        <f t="array" ref="J1868">5 - INT(5 * (RANK(G1868,G:G, 1) - 1) / COUNT(G:G))</f>
        <v>4</v>
      </c>
      <c r="K1868">
        <f t="array" ref="K1868">INT(5 * (RANK(H1868,H:H, 0) - 1) / COUNT(H:H)) + 1</f>
        <v>2</v>
      </c>
      <c r="L1868">
        <f t="array" ref="L1868">INT(5 * (RANK(I1868,I:I, 0) - 1) / COUNT(I:I)) + 1</f>
        <v>1</v>
      </c>
      <c r="M1868" t="str">
        <f t="shared" si="58"/>
        <v>421</v>
      </c>
      <c r="N1868" s="6" t="str">
        <f t="shared" si="59"/>
        <v>New Customers</v>
      </c>
    </row>
    <row r="1869" spans="1:14" x14ac:dyDescent="0.35">
      <c r="A1869">
        <v>1285</v>
      </c>
      <c r="B1869" s="4">
        <v>45866.375085336993</v>
      </c>
      <c r="C1869" t="s">
        <v>15</v>
      </c>
      <c r="D1869" t="s">
        <v>17</v>
      </c>
      <c r="E1869" t="s">
        <v>25</v>
      </c>
      <c r="F1869">
        <v>3123.05</v>
      </c>
      <c r="G1869">
        <f t="array" ref="G1869">SalesData!$I$2 - 'RFM Table'!B1869</f>
        <v>270</v>
      </c>
      <c r="H1869">
        <f t="array" ref="H1869">COUNTIF(A:A,A1869)</f>
        <v>9</v>
      </c>
      <c r="I1869">
        <f t="array" ref="I1869">SUMIF(A:A,A1869,F:F)</f>
        <v>27990.980000000003</v>
      </c>
      <c r="J1869">
        <f t="array" ref="J1869">5 - INT(5 * (RANK(G1869,G:G, 1) - 1) / COUNT(G:G))</f>
        <v>4</v>
      </c>
      <c r="K1869">
        <f t="array" ref="K1869">INT(5 * (RANK(H1869,H:H, 0) - 1) / COUNT(H:H)) + 1</f>
        <v>2</v>
      </c>
      <c r="L1869">
        <f t="array" ref="L1869">INT(5 * (RANK(I1869,I:I, 0) - 1) / COUNT(I:I)) + 1</f>
        <v>4</v>
      </c>
      <c r="M1869" t="str">
        <f t="shared" si="58"/>
        <v>424</v>
      </c>
      <c r="N1869" s="6" t="str">
        <f t="shared" si="59"/>
        <v>New Customers</v>
      </c>
    </row>
    <row r="1870" spans="1:14" x14ac:dyDescent="0.35">
      <c r="A1870">
        <v>1170</v>
      </c>
      <c r="B1870" s="4">
        <v>45866.375085336993</v>
      </c>
      <c r="C1870" t="s">
        <v>10</v>
      </c>
      <c r="D1870" t="s">
        <v>22</v>
      </c>
      <c r="E1870" t="s">
        <v>25</v>
      </c>
      <c r="F1870">
        <v>1256.69</v>
      </c>
      <c r="G1870">
        <f t="array" ref="G1870">SalesData!$I$2 - 'RFM Table'!B1870</f>
        <v>270</v>
      </c>
      <c r="H1870">
        <f t="array" ref="H1870">COUNTIF(A:A,A1870)</f>
        <v>5</v>
      </c>
      <c r="I1870">
        <f t="array" ref="I1870">SUMIF(A:A,A1870,F:F)</f>
        <v>28709.97</v>
      </c>
      <c r="J1870">
        <f t="array" ref="J1870">5 - INT(5 * (RANK(G1870,G:G, 1) - 1) / COUNT(G:G))</f>
        <v>4</v>
      </c>
      <c r="K1870">
        <f t="array" ref="K1870">INT(5 * (RANK(H1870,H:H, 0) - 1) / COUNT(H:H)) + 1</f>
        <v>5</v>
      </c>
      <c r="L1870">
        <f t="array" ref="L1870">INT(5 * (RANK(I1870,I:I, 0) - 1) / COUNT(I:I)) + 1</f>
        <v>4</v>
      </c>
      <c r="M1870" t="str">
        <f t="shared" si="58"/>
        <v>454</v>
      </c>
      <c r="N1870" s="6" t="str">
        <f t="shared" si="59"/>
        <v>Others</v>
      </c>
    </row>
    <row r="1871" spans="1:14" x14ac:dyDescent="0.35">
      <c r="A1871">
        <v>1140</v>
      </c>
      <c r="B1871" s="4">
        <v>45867.375085336993</v>
      </c>
      <c r="C1871" t="s">
        <v>15</v>
      </c>
      <c r="D1871" t="s">
        <v>22</v>
      </c>
      <c r="E1871" t="s">
        <v>24</v>
      </c>
      <c r="F1871">
        <v>6896.04</v>
      </c>
      <c r="G1871">
        <f t="array" ref="G1871">SalesData!$I$2 - 'RFM Table'!B1871</f>
        <v>269</v>
      </c>
      <c r="H1871">
        <f t="array" ref="H1871">COUNTIF(A:A,A1871)</f>
        <v>9</v>
      </c>
      <c r="I1871">
        <f t="array" ref="I1871">SUMIF(A:A,A1871,F:F)</f>
        <v>45498.270000000004</v>
      </c>
      <c r="J1871">
        <f t="array" ref="J1871">5 - INT(5 * (RANK(G1871,G:G, 1) - 1) / COUNT(G:G))</f>
        <v>4</v>
      </c>
      <c r="K1871">
        <f t="array" ref="K1871">INT(5 * (RANK(H1871,H:H, 0) - 1) / COUNT(H:H)) + 1</f>
        <v>2</v>
      </c>
      <c r="L1871">
        <f t="array" ref="L1871">INT(5 * (RANK(I1871,I:I, 0) - 1) / COUNT(I:I)) + 1</f>
        <v>1</v>
      </c>
      <c r="M1871" t="str">
        <f t="shared" si="58"/>
        <v>421</v>
      </c>
      <c r="N1871" s="6" t="str">
        <f t="shared" si="59"/>
        <v>New Customers</v>
      </c>
    </row>
    <row r="1872" spans="1:14" x14ac:dyDescent="0.35">
      <c r="A1872">
        <v>1227</v>
      </c>
      <c r="B1872" s="4">
        <v>45867.375085336993</v>
      </c>
      <c r="C1872" t="s">
        <v>13</v>
      </c>
      <c r="D1872" t="s">
        <v>20</v>
      </c>
      <c r="E1872" t="s">
        <v>25</v>
      </c>
      <c r="F1872">
        <v>275.81</v>
      </c>
      <c r="G1872">
        <f t="array" ref="G1872">SalesData!$I$2 - 'RFM Table'!B1872</f>
        <v>269</v>
      </c>
      <c r="H1872">
        <f t="array" ref="H1872">COUNTIF(A:A,A1872)</f>
        <v>7</v>
      </c>
      <c r="I1872">
        <f t="array" ref="I1872">SUMIF(A:A,A1872,F:F)</f>
        <v>39486.589999999997</v>
      </c>
      <c r="J1872">
        <f t="array" ref="J1872">5 - INT(5 * (RANK(G1872,G:G, 1) - 1) / COUNT(G:G))</f>
        <v>4</v>
      </c>
      <c r="K1872">
        <f t="array" ref="K1872">INT(5 * (RANK(H1872,H:H, 0) - 1) / COUNT(H:H)) + 1</f>
        <v>4</v>
      </c>
      <c r="L1872">
        <f t="array" ref="L1872">INT(5 * (RANK(I1872,I:I, 0) - 1) / COUNT(I:I)) + 1</f>
        <v>2</v>
      </c>
      <c r="M1872" t="str">
        <f t="shared" si="58"/>
        <v>442</v>
      </c>
      <c r="N1872" s="6" t="str">
        <f t="shared" si="59"/>
        <v>Others</v>
      </c>
    </row>
    <row r="1873" spans="1:14" x14ac:dyDescent="0.35">
      <c r="A1873">
        <v>1385</v>
      </c>
      <c r="B1873" s="4">
        <v>45867.375085336993</v>
      </c>
      <c r="C1873" t="s">
        <v>11</v>
      </c>
      <c r="D1873" t="s">
        <v>17</v>
      </c>
      <c r="E1873" t="s">
        <v>25</v>
      </c>
      <c r="F1873">
        <v>6328.4</v>
      </c>
      <c r="G1873">
        <f t="array" ref="G1873">SalesData!$I$2 - 'RFM Table'!B1873</f>
        <v>269</v>
      </c>
      <c r="H1873">
        <f t="array" ref="H1873">COUNTIF(A:A,A1873)</f>
        <v>11</v>
      </c>
      <c r="I1873">
        <f t="array" ref="I1873">SUMIF(A:A,A1873,F:F)</f>
        <v>73437.08</v>
      </c>
      <c r="J1873">
        <f t="array" ref="J1873">5 - INT(5 * (RANK(G1873,G:G, 1) - 1) / COUNT(G:G))</f>
        <v>4</v>
      </c>
      <c r="K1873">
        <f t="array" ref="K1873">INT(5 * (RANK(H1873,H:H, 0) - 1) / COUNT(H:H)) + 1</f>
        <v>1</v>
      </c>
      <c r="L1873">
        <f t="array" ref="L1873">INT(5 * (RANK(I1873,I:I, 0) - 1) / COUNT(I:I)) + 1</f>
        <v>1</v>
      </c>
      <c r="M1873" t="str">
        <f t="shared" si="58"/>
        <v>411</v>
      </c>
      <c r="N1873" s="6" t="str">
        <f t="shared" si="59"/>
        <v>New Customers</v>
      </c>
    </row>
    <row r="1874" spans="1:14" x14ac:dyDescent="0.35">
      <c r="A1874">
        <v>1281</v>
      </c>
      <c r="B1874" s="4">
        <v>45868.375085336993</v>
      </c>
      <c r="C1874" t="s">
        <v>13</v>
      </c>
      <c r="D1874" t="s">
        <v>16</v>
      </c>
      <c r="E1874" t="s">
        <v>25</v>
      </c>
      <c r="F1874">
        <v>6058.71</v>
      </c>
      <c r="G1874">
        <f t="array" ref="G1874">SalesData!$I$2 - 'RFM Table'!B1874</f>
        <v>268</v>
      </c>
      <c r="H1874">
        <f t="array" ref="H1874">COUNTIF(A:A,A1874)</f>
        <v>10</v>
      </c>
      <c r="I1874">
        <f t="array" ref="I1874">SUMIF(A:A,A1874,F:F)</f>
        <v>49420.710000000006</v>
      </c>
      <c r="J1874">
        <f t="array" ref="J1874">5 - INT(5 * (RANK(G1874,G:G, 1) - 1) / COUNT(G:G))</f>
        <v>4</v>
      </c>
      <c r="K1874">
        <f t="array" ref="K1874">INT(5 * (RANK(H1874,H:H, 0) - 1) / COUNT(H:H)) + 1</f>
        <v>2</v>
      </c>
      <c r="L1874">
        <f t="array" ref="L1874">INT(5 * (RANK(I1874,I:I, 0) - 1) / COUNT(I:I)) + 1</f>
        <v>1</v>
      </c>
      <c r="M1874" t="str">
        <f t="shared" si="58"/>
        <v>421</v>
      </c>
      <c r="N1874" s="6" t="str">
        <f t="shared" si="59"/>
        <v>New Customers</v>
      </c>
    </row>
    <row r="1875" spans="1:14" x14ac:dyDescent="0.35">
      <c r="A1875">
        <v>1148</v>
      </c>
      <c r="B1875" s="4">
        <v>45869.375085336993</v>
      </c>
      <c r="C1875" t="s">
        <v>7</v>
      </c>
      <c r="D1875" t="s">
        <v>20</v>
      </c>
      <c r="E1875" t="s">
        <v>25</v>
      </c>
      <c r="F1875">
        <v>10505.17</v>
      </c>
      <c r="G1875">
        <f t="array" ref="G1875">SalesData!$I$2 - 'RFM Table'!B1875</f>
        <v>267</v>
      </c>
      <c r="H1875">
        <f t="array" ref="H1875">COUNTIF(A:A,A1875)</f>
        <v>12</v>
      </c>
      <c r="I1875">
        <f t="array" ref="I1875">SUMIF(A:A,A1875,F:F)</f>
        <v>83986.299999999988</v>
      </c>
      <c r="J1875">
        <f t="array" ref="J1875">5 - INT(5 * (RANK(G1875,G:G, 1) - 1) / COUNT(G:G))</f>
        <v>4</v>
      </c>
      <c r="K1875">
        <f t="array" ref="K1875">INT(5 * (RANK(H1875,H:H, 0) - 1) / COUNT(H:H)) + 1</f>
        <v>1</v>
      </c>
      <c r="L1875">
        <f t="array" ref="L1875">INT(5 * (RANK(I1875,I:I, 0) - 1) / COUNT(I:I)) + 1</f>
        <v>1</v>
      </c>
      <c r="M1875" t="str">
        <f t="shared" si="58"/>
        <v>411</v>
      </c>
      <c r="N1875" s="6" t="str">
        <f t="shared" si="59"/>
        <v>New Customers</v>
      </c>
    </row>
    <row r="1876" spans="1:14" x14ac:dyDescent="0.35">
      <c r="A1876">
        <v>1226</v>
      </c>
      <c r="B1876" s="4">
        <v>45869.375085336993</v>
      </c>
      <c r="C1876" t="s">
        <v>13</v>
      </c>
      <c r="D1876" t="s">
        <v>22</v>
      </c>
      <c r="E1876" t="s">
        <v>24</v>
      </c>
      <c r="F1876">
        <v>5275.89</v>
      </c>
      <c r="G1876">
        <f t="array" ref="G1876">SalesData!$I$2 - 'RFM Table'!B1876</f>
        <v>267</v>
      </c>
      <c r="H1876">
        <f t="array" ref="H1876">COUNTIF(A:A,A1876)</f>
        <v>13</v>
      </c>
      <c r="I1876">
        <f t="array" ref="I1876">SUMIF(A:A,A1876,F:F)</f>
        <v>49471.75</v>
      </c>
      <c r="J1876">
        <f t="array" ref="J1876">5 - INT(5 * (RANK(G1876,G:G, 1) - 1) / COUNT(G:G))</f>
        <v>4</v>
      </c>
      <c r="K1876">
        <f t="array" ref="K1876">INT(5 * (RANK(H1876,H:H, 0) - 1) / COUNT(H:H)) + 1</f>
        <v>1</v>
      </c>
      <c r="L1876">
        <f t="array" ref="L1876">INT(5 * (RANK(I1876,I:I, 0) - 1) / COUNT(I:I)) + 1</f>
        <v>1</v>
      </c>
      <c r="M1876" t="str">
        <f t="shared" si="58"/>
        <v>411</v>
      </c>
      <c r="N1876" s="6" t="str">
        <f t="shared" si="59"/>
        <v>New Customers</v>
      </c>
    </row>
    <row r="1877" spans="1:14" x14ac:dyDescent="0.35">
      <c r="A1877">
        <v>1334</v>
      </c>
      <c r="B1877" s="4">
        <v>45870.375085336993</v>
      </c>
      <c r="C1877" t="s">
        <v>14</v>
      </c>
      <c r="D1877" t="s">
        <v>20</v>
      </c>
      <c r="E1877" t="s">
        <v>24</v>
      </c>
      <c r="F1877">
        <v>1161.1400000000001</v>
      </c>
      <c r="G1877">
        <f t="array" ref="G1877">SalesData!$I$2 - 'RFM Table'!B1877</f>
        <v>266</v>
      </c>
      <c r="H1877">
        <f t="array" ref="H1877">COUNTIF(A:A,A1877)</f>
        <v>7</v>
      </c>
      <c r="I1877">
        <f t="array" ref="I1877">SUMIF(A:A,A1877,F:F)</f>
        <v>17825.52</v>
      </c>
      <c r="J1877">
        <f t="array" ref="J1877">5 - INT(5 * (RANK(G1877,G:G, 1) - 1) / COUNT(G:G))</f>
        <v>4</v>
      </c>
      <c r="K1877">
        <f t="array" ref="K1877">INT(5 * (RANK(H1877,H:H, 0) - 1) / COUNT(H:H)) + 1</f>
        <v>4</v>
      </c>
      <c r="L1877">
        <f t="array" ref="L1877">INT(5 * (RANK(I1877,I:I, 0) - 1) / COUNT(I:I)) + 1</f>
        <v>5</v>
      </c>
      <c r="M1877" t="str">
        <f t="shared" si="58"/>
        <v>445</v>
      </c>
      <c r="N1877" s="6" t="str">
        <f t="shared" si="59"/>
        <v>Others</v>
      </c>
    </row>
    <row r="1878" spans="1:14" x14ac:dyDescent="0.35">
      <c r="A1878">
        <v>1187</v>
      </c>
      <c r="B1878" s="4">
        <v>45870.375085336993</v>
      </c>
      <c r="C1878" t="s">
        <v>14</v>
      </c>
      <c r="D1878" t="s">
        <v>19</v>
      </c>
      <c r="E1878" t="s">
        <v>24</v>
      </c>
      <c r="F1878">
        <v>616.21</v>
      </c>
      <c r="G1878">
        <f t="array" ref="G1878">SalesData!$I$2 - 'RFM Table'!B1878</f>
        <v>266</v>
      </c>
      <c r="H1878">
        <f t="array" ref="H1878">COUNTIF(A:A,A1878)</f>
        <v>11</v>
      </c>
      <c r="I1878">
        <f t="array" ref="I1878">SUMIF(A:A,A1878,F:F)</f>
        <v>43247.159999999996</v>
      </c>
      <c r="J1878">
        <f t="array" ref="J1878">5 - INT(5 * (RANK(G1878,G:G, 1) - 1) / COUNT(G:G))</f>
        <v>4</v>
      </c>
      <c r="K1878">
        <f t="array" ref="K1878">INT(5 * (RANK(H1878,H:H, 0) - 1) / COUNT(H:H)) + 1</f>
        <v>1</v>
      </c>
      <c r="L1878">
        <f t="array" ref="L1878">INT(5 * (RANK(I1878,I:I, 0) - 1) / COUNT(I:I)) + 1</f>
        <v>2</v>
      </c>
      <c r="M1878" t="str">
        <f t="shared" si="58"/>
        <v>412</v>
      </c>
      <c r="N1878" s="6" t="str">
        <f t="shared" si="59"/>
        <v>New Customers</v>
      </c>
    </row>
    <row r="1879" spans="1:14" x14ac:dyDescent="0.35">
      <c r="A1879">
        <v>1341</v>
      </c>
      <c r="B1879" s="4">
        <v>45870.375085336993</v>
      </c>
      <c r="C1879" t="s">
        <v>10</v>
      </c>
      <c r="D1879" t="s">
        <v>20</v>
      </c>
      <c r="E1879" t="s">
        <v>23</v>
      </c>
      <c r="F1879">
        <v>4584.1499999999996</v>
      </c>
      <c r="G1879">
        <f t="array" ref="G1879">SalesData!$I$2 - 'RFM Table'!B1879</f>
        <v>266</v>
      </c>
      <c r="H1879">
        <f t="array" ref="H1879">COUNTIF(A:A,A1879)</f>
        <v>11</v>
      </c>
      <c r="I1879">
        <f t="array" ref="I1879">SUMIF(A:A,A1879,F:F)</f>
        <v>45526.78</v>
      </c>
      <c r="J1879">
        <f t="array" ref="J1879">5 - INT(5 * (RANK(G1879,G:G, 1) - 1) / COUNT(G:G))</f>
        <v>4</v>
      </c>
      <c r="K1879">
        <f t="array" ref="K1879">INT(5 * (RANK(H1879,H:H, 0) - 1) / COUNT(H:H)) + 1</f>
        <v>1</v>
      </c>
      <c r="L1879">
        <f t="array" ref="L1879">INT(5 * (RANK(I1879,I:I, 0) - 1) / COUNT(I:I)) + 1</f>
        <v>1</v>
      </c>
      <c r="M1879" t="str">
        <f t="shared" si="58"/>
        <v>411</v>
      </c>
      <c r="N1879" s="6" t="str">
        <f t="shared" si="59"/>
        <v>New Customers</v>
      </c>
    </row>
    <row r="1880" spans="1:14" x14ac:dyDescent="0.35">
      <c r="A1880">
        <v>1223</v>
      </c>
      <c r="B1880" s="4">
        <v>45870.375085336993</v>
      </c>
      <c r="C1880" t="s">
        <v>7</v>
      </c>
      <c r="D1880" t="s">
        <v>17</v>
      </c>
      <c r="E1880" t="s">
        <v>24</v>
      </c>
      <c r="F1880">
        <v>2217.3000000000002</v>
      </c>
      <c r="G1880">
        <f t="array" ref="G1880">SalesData!$I$2 - 'RFM Table'!B1880</f>
        <v>266</v>
      </c>
      <c r="H1880">
        <f t="array" ref="H1880">COUNTIF(A:A,A1880)</f>
        <v>12</v>
      </c>
      <c r="I1880">
        <f t="array" ref="I1880">SUMIF(A:A,A1880,F:F)</f>
        <v>40797.409999999996</v>
      </c>
      <c r="J1880">
        <f t="array" ref="J1880">5 - INT(5 * (RANK(G1880,G:G, 1) - 1) / COUNT(G:G))</f>
        <v>4</v>
      </c>
      <c r="K1880">
        <f t="array" ref="K1880">INT(5 * (RANK(H1880,H:H, 0) - 1) / COUNT(H:H)) + 1</f>
        <v>1</v>
      </c>
      <c r="L1880">
        <f t="array" ref="L1880">INT(5 * (RANK(I1880,I:I, 0) - 1) / COUNT(I:I)) + 1</f>
        <v>2</v>
      </c>
      <c r="M1880" t="str">
        <f t="shared" si="58"/>
        <v>412</v>
      </c>
      <c r="N1880" s="6" t="str">
        <f t="shared" si="59"/>
        <v>New Customers</v>
      </c>
    </row>
    <row r="1881" spans="1:14" x14ac:dyDescent="0.35">
      <c r="A1881">
        <v>1045</v>
      </c>
      <c r="B1881" s="4">
        <v>45870.375085336993</v>
      </c>
      <c r="C1881" t="s">
        <v>6</v>
      </c>
      <c r="D1881" t="s">
        <v>19</v>
      </c>
      <c r="E1881" t="s">
        <v>23</v>
      </c>
      <c r="F1881">
        <v>1133.24</v>
      </c>
      <c r="G1881">
        <f t="array" ref="G1881">SalesData!$I$2 - 'RFM Table'!B1881</f>
        <v>266</v>
      </c>
      <c r="H1881">
        <f t="array" ref="H1881">COUNTIF(A:A,A1881)</f>
        <v>7</v>
      </c>
      <c r="I1881">
        <f t="array" ref="I1881">SUMIF(A:A,A1881,F:F)</f>
        <v>27876.53</v>
      </c>
      <c r="J1881">
        <f t="array" ref="J1881">5 - INT(5 * (RANK(G1881,G:G, 1) - 1) / COUNT(G:G))</f>
        <v>4</v>
      </c>
      <c r="K1881">
        <f t="array" ref="K1881">INT(5 * (RANK(H1881,H:H, 0) - 1) / COUNT(H:H)) + 1</f>
        <v>4</v>
      </c>
      <c r="L1881">
        <f t="array" ref="L1881">INT(5 * (RANK(I1881,I:I, 0) - 1) / COUNT(I:I)) + 1</f>
        <v>4</v>
      </c>
      <c r="M1881" t="str">
        <f t="shared" si="58"/>
        <v>444</v>
      </c>
      <c r="N1881" s="6" t="str">
        <f t="shared" si="59"/>
        <v>Others</v>
      </c>
    </row>
    <row r="1882" spans="1:14" x14ac:dyDescent="0.35">
      <c r="A1882">
        <v>1184</v>
      </c>
      <c r="B1882" s="4">
        <v>45870.375085336993</v>
      </c>
      <c r="C1882" t="s">
        <v>11</v>
      </c>
      <c r="D1882" t="s">
        <v>17</v>
      </c>
      <c r="E1882" t="s">
        <v>24</v>
      </c>
      <c r="F1882">
        <v>2283.7199999999998</v>
      </c>
      <c r="G1882">
        <f t="array" ref="G1882">SalesData!$I$2 - 'RFM Table'!B1882</f>
        <v>266</v>
      </c>
      <c r="H1882">
        <f t="array" ref="H1882">COUNTIF(A:A,A1882)</f>
        <v>3</v>
      </c>
      <c r="I1882">
        <f t="array" ref="I1882">SUMIF(A:A,A1882,F:F)</f>
        <v>10924.82</v>
      </c>
      <c r="J1882">
        <f t="array" ref="J1882">5 - INT(5 * (RANK(G1882,G:G, 1) - 1) / COUNT(G:G))</f>
        <v>4</v>
      </c>
      <c r="K1882">
        <f t="array" ref="K1882">INT(5 * (RANK(H1882,H:H, 0) - 1) / COUNT(H:H)) + 1</f>
        <v>5</v>
      </c>
      <c r="L1882">
        <f t="array" ref="L1882">INT(5 * (RANK(I1882,I:I, 0) - 1) / COUNT(I:I)) + 1</f>
        <v>5</v>
      </c>
      <c r="M1882" t="str">
        <f t="shared" si="58"/>
        <v>455</v>
      </c>
      <c r="N1882" s="6" t="str">
        <f t="shared" si="59"/>
        <v>Others</v>
      </c>
    </row>
    <row r="1883" spans="1:14" x14ac:dyDescent="0.35">
      <c r="A1883">
        <v>1121</v>
      </c>
      <c r="B1883" s="4">
        <v>45871.375085336993</v>
      </c>
      <c r="C1883" t="s">
        <v>10</v>
      </c>
      <c r="D1883" t="s">
        <v>20</v>
      </c>
      <c r="E1883" t="s">
        <v>24</v>
      </c>
      <c r="F1883">
        <v>485.28</v>
      </c>
      <c r="G1883">
        <f t="array" ref="G1883">SalesData!$I$2 - 'RFM Table'!B1883</f>
        <v>265</v>
      </c>
      <c r="H1883">
        <f t="array" ref="H1883">COUNTIF(A:A,A1883)</f>
        <v>10</v>
      </c>
      <c r="I1883">
        <f t="array" ref="I1883">SUMIF(A:A,A1883,F:F)</f>
        <v>28216.130000000005</v>
      </c>
      <c r="J1883">
        <f t="array" ref="J1883">5 - INT(5 * (RANK(G1883,G:G, 1) - 1) / COUNT(G:G))</f>
        <v>4</v>
      </c>
      <c r="K1883">
        <f t="array" ref="K1883">INT(5 * (RANK(H1883,H:H, 0) - 1) / COUNT(H:H)) + 1</f>
        <v>2</v>
      </c>
      <c r="L1883">
        <f t="array" ref="L1883">INT(5 * (RANK(I1883,I:I, 0) - 1) / COUNT(I:I)) + 1</f>
        <v>4</v>
      </c>
      <c r="M1883" t="str">
        <f t="shared" si="58"/>
        <v>424</v>
      </c>
      <c r="N1883" s="6" t="str">
        <f t="shared" si="59"/>
        <v>New Customers</v>
      </c>
    </row>
    <row r="1884" spans="1:14" x14ac:dyDescent="0.35">
      <c r="A1884">
        <v>1057</v>
      </c>
      <c r="B1884" s="4">
        <v>45872.375085336993</v>
      </c>
      <c r="C1884" t="s">
        <v>14</v>
      </c>
      <c r="D1884" t="s">
        <v>20</v>
      </c>
      <c r="E1884" t="s">
        <v>23</v>
      </c>
      <c r="F1884">
        <v>1564.66</v>
      </c>
      <c r="G1884">
        <f t="array" ref="G1884">SalesData!$I$2 - 'RFM Table'!B1884</f>
        <v>264</v>
      </c>
      <c r="H1884">
        <f t="array" ref="H1884">COUNTIF(A:A,A1884)</f>
        <v>9</v>
      </c>
      <c r="I1884">
        <f t="array" ref="I1884">SUMIF(A:A,A1884,F:F)</f>
        <v>32930.549999999996</v>
      </c>
      <c r="J1884">
        <f t="array" ref="J1884">5 - INT(5 * (RANK(G1884,G:G, 1) - 1) / COUNT(G:G))</f>
        <v>4</v>
      </c>
      <c r="K1884">
        <f t="array" ref="K1884">INT(5 * (RANK(H1884,H:H, 0) - 1) / COUNT(H:H)) + 1</f>
        <v>2</v>
      </c>
      <c r="L1884">
        <f t="array" ref="L1884">INT(5 * (RANK(I1884,I:I, 0) - 1) / COUNT(I:I)) + 1</f>
        <v>3</v>
      </c>
      <c r="M1884" t="str">
        <f t="shared" si="58"/>
        <v>423</v>
      </c>
      <c r="N1884" s="6" t="str">
        <f t="shared" si="59"/>
        <v>New Customers</v>
      </c>
    </row>
    <row r="1885" spans="1:14" x14ac:dyDescent="0.35">
      <c r="A1885">
        <v>1099</v>
      </c>
      <c r="B1885" s="4">
        <v>45872.375085336993</v>
      </c>
      <c r="C1885" t="s">
        <v>9</v>
      </c>
      <c r="D1885" t="s">
        <v>18</v>
      </c>
      <c r="E1885" t="s">
        <v>23</v>
      </c>
      <c r="F1885">
        <v>2314.12</v>
      </c>
      <c r="G1885">
        <f t="array" ref="G1885">SalesData!$I$2 - 'RFM Table'!B1885</f>
        <v>264</v>
      </c>
      <c r="H1885">
        <f t="array" ref="H1885">COUNTIF(A:A,A1885)</f>
        <v>6</v>
      </c>
      <c r="I1885">
        <f t="array" ref="I1885">SUMIF(A:A,A1885,F:F)</f>
        <v>20804.55</v>
      </c>
      <c r="J1885">
        <f t="array" ref="J1885">5 - INT(5 * (RANK(G1885,G:G, 1) - 1) / COUNT(G:G))</f>
        <v>4</v>
      </c>
      <c r="K1885">
        <f t="array" ref="K1885">INT(5 * (RANK(H1885,H:H, 0) - 1) / COUNT(H:H)) + 1</f>
        <v>4</v>
      </c>
      <c r="L1885">
        <f t="array" ref="L1885">INT(5 * (RANK(I1885,I:I, 0) - 1) / COUNT(I:I)) + 1</f>
        <v>5</v>
      </c>
      <c r="M1885" t="str">
        <f t="shared" si="58"/>
        <v>445</v>
      </c>
      <c r="N1885" s="6" t="str">
        <f t="shared" si="59"/>
        <v>Others</v>
      </c>
    </row>
    <row r="1886" spans="1:14" x14ac:dyDescent="0.35">
      <c r="A1886">
        <v>1171</v>
      </c>
      <c r="B1886" s="4">
        <v>45873.375085336993</v>
      </c>
      <c r="C1886" t="s">
        <v>15</v>
      </c>
      <c r="D1886" t="s">
        <v>16</v>
      </c>
      <c r="E1886" t="s">
        <v>23</v>
      </c>
      <c r="F1886">
        <v>1732.73</v>
      </c>
      <c r="G1886">
        <f t="array" ref="G1886">SalesData!$I$2 - 'RFM Table'!B1886</f>
        <v>263</v>
      </c>
      <c r="H1886">
        <f t="array" ref="H1886">COUNTIF(A:A,A1886)</f>
        <v>9</v>
      </c>
      <c r="I1886">
        <f t="array" ref="I1886">SUMIF(A:A,A1886,F:F)</f>
        <v>40942.560000000005</v>
      </c>
      <c r="J1886">
        <f t="array" ref="J1886">5 - INT(5 * (RANK(G1886,G:G, 1) - 1) / COUNT(G:G))</f>
        <v>4</v>
      </c>
      <c r="K1886">
        <f t="array" ref="K1886">INT(5 * (RANK(H1886,H:H, 0) - 1) / COUNT(H:H)) + 1</f>
        <v>2</v>
      </c>
      <c r="L1886">
        <f t="array" ref="L1886">INT(5 * (RANK(I1886,I:I, 0) - 1) / COUNT(I:I)) + 1</f>
        <v>2</v>
      </c>
      <c r="M1886" t="str">
        <f t="shared" si="58"/>
        <v>422</v>
      </c>
      <c r="N1886" s="6" t="str">
        <f t="shared" si="59"/>
        <v>New Customers</v>
      </c>
    </row>
    <row r="1887" spans="1:14" x14ac:dyDescent="0.35">
      <c r="A1887">
        <v>1024</v>
      </c>
      <c r="B1887" s="4">
        <v>45873.375085336993</v>
      </c>
      <c r="C1887" t="s">
        <v>7</v>
      </c>
      <c r="D1887" t="s">
        <v>21</v>
      </c>
      <c r="E1887" t="s">
        <v>23</v>
      </c>
      <c r="F1887">
        <v>8020.54</v>
      </c>
      <c r="G1887">
        <f t="array" ref="G1887">SalesData!$I$2 - 'RFM Table'!B1887</f>
        <v>263</v>
      </c>
      <c r="H1887">
        <f t="array" ref="H1887">COUNTIF(A:A,A1887)</f>
        <v>12</v>
      </c>
      <c r="I1887">
        <f t="array" ref="I1887">SUMIF(A:A,A1887,F:F)</f>
        <v>48008.159999999996</v>
      </c>
      <c r="J1887">
        <f t="array" ref="J1887">5 - INT(5 * (RANK(G1887,G:G, 1) - 1) / COUNT(G:G))</f>
        <v>4</v>
      </c>
      <c r="K1887">
        <f t="array" ref="K1887">INT(5 * (RANK(H1887,H:H, 0) - 1) / COUNT(H:H)) + 1</f>
        <v>1</v>
      </c>
      <c r="L1887">
        <f t="array" ref="L1887">INT(5 * (RANK(I1887,I:I, 0) - 1) / COUNT(I:I)) + 1</f>
        <v>1</v>
      </c>
      <c r="M1887" t="str">
        <f t="shared" si="58"/>
        <v>411</v>
      </c>
      <c r="N1887" s="6" t="str">
        <f t="shared" si="59"/>
        <v>New Customers</v>
      </c>
    </row>
    <row r="1888" spans="1:14" x14ac:dyDescent="0.35">
      <c r="A1888">
        <v>1325</v>
      </c>
      <c r="B1888" s="4">
        <v>45873.375085336993</v>
      </c>
      <c r="C1888" t="s">
        <v>6</v>
      </c>
      <c r="D1888" t="s">
        <v>22</v>
      </c>
      <c r="E1888" t="s">
        <v>23</v>
      </c>
      <c r="F1888">
        <v>600.79999999999995</v>
      </c>
      <c r="G1888">
        <f t="array" ref="G1888">SalesData!$I$2 - 'RFM Table'!B1888</f>
        <v>263</v>
      </c>
      <c r="H1888">
        <f t="array" ref="H1888">COUNTIF(A:A,A1888)</f>
        <v>9</v>
      </c>
      <c r="I1888">
        <f t="array" ref="I1888">SUMIF(A:A,A1888,F:F)</f>
        <v>38753.799999999988</v>
      </c>
      <c r="J1888">
        <f t="array" ref="J1888">5 - INT(5 * (RANK(G1888,G:G, 1) - 1) / COUNT(G:G))</f>
        <v>4</v>
      </c>
      <c r="K1888">
        <f t="array" ref="K1888">INT(5 * (RANK(H1888,H:H, 0) - 1) / COUNT(H:H)) + 1</f>
        <v>2</v>
      </c>
      <c r="L1888">
        <f t="array" ref="L1888">INT(5 * (RANK(I1888,I:I, 0) - 1) / COUNT(I:I)) + 1</f>
        <v>2</v>
      </c>
      <c r="M1888" t="str">
        <f t="shared" si="58"/>
        <v>422</v>
      </c>
      <c r="N1888" s="6" t="str">
        <f t="shared" si="59"/>
        <v>New Customers</v>
      </c>
    </row>
    <row r="1889" spans="1:14" x14ac:dyDescent="0.35">
      <c r="A1889">
        <v>1243</v>
      </c>
      <c r="B1889" s="4">
        <v>45874.375085336993</v>
      </c>
      <c r="C1889" t="s">
        <v>7</v>
      </c>
      <c r="D1889" t="s">
        <v>19</v>
      </c>
      <c r="E1889" t="s">
        <v>25</v>
      </c>
      <c r="F1889">
        <v>2763.01</v>
      </c>
      <c r="G1889">
        <f t="array" ref="G1889">SalesData!$I$2 - 'RFM Table'!B1889</f>
        <v>262</v>
      </c>
      <c r="H1889">
        <f t="array" ref="H1889">COUNTIF(A:A,A1889)</f>
        <v>4</v>
      </c>
      <c r="I1889">
        <f t="array" ref="I1889">SUMIF(A:A,A1889,F:F)</f>
        <v>7830.67</v>
      </c>
      <c r="J1889">
        <f t="array" ref="J1889">5 - INT(5 * (RANK(G1889,G:G, 1) - 1) / COUNT(G:G))</f>
        <v>4</v>
      </c>
      <c r="K1889">
        <f t="array" ref="K1889">INT(5 * (RANK(H1889,H:H, 0) - 1) / COUNT(H:H)) + 1</f>
        <v>5</v>
      </c>
      <c r="L1889">
        <f t="array" ref="L1889">INT(5 * (RANK(I1889,I:I, 0) - 1) / COUNT(I:I)) + 1</f>
        <v>5</v>
      </c>
      <c r="M1889" t="str">
        <f t="shared" si="58"/>
        <v>455</v>
      </c>
      <c r="N1889" s="6" t="str">
        <f t="shared" si="59"/>
        <v>Others</v>
      </c>
    </row>
    <row r="1890" spans="1:14" x14ac:dyDescent="0.35">
      <c r="A1890">
        <v>1321</v>
      </c>
      <c r="B1890" s="4">
        <v>45874.375085336993</v>
      </c>
      <c r="C1890" t="s">
        <v>11</v>
      </c>
      <c r="D1890" t="s">
        <v>22</v>
      </c>
      <c r="E1890" t="s">
        <v>24</v>
      </c>
      <c r="F1890">
        <v>3390.15</v>
      </c>
      <c r="G1890">
        <f t="array" ref="G1890">SalesData!$I$2 - 'RFM Table'!B1890</f>
        <v>262</v>
      </c>
      <c r="H1890">
        <f t="array" ref="H1890">COUNTIF(A:A,A1890)</f>
        <v>3</v>
      </c>
      <c r="I1890">
        <f t="array" ref="I1890">SUMIF(A:A,A1890,F:F)</f>
        <v>5573.4400000000005</v>
      </c>
      <c r="J1890">
        <f t="array" ref="J1890">5 - INT(5 * (RANK(G1890,G:G, 1) - 1) / COUNT(G:G))</f>
        <v>4</v>
      </c>
      <c r="K1890">
        <f t="array" ref="K1890">INT(5 * (RANK(H1890,H:H, 0) - 1) / COUNT(H:H)) + 1</f>
        <v>5</v>
      </c>
      <c r="L1890">
        <f t="array" ref="L1890">INT(5 * (RANK(I1890,I:I, 0) - 1) / COUNT(I:I)) + 1</f>
        <v>5</v>
      </c>
      <c r="M1890" t="str">
        <f t="shared" si="58"/>
        <v>455</v>
      </c>
      <c r="N1890" s="6" t="str">
        <f t="shared" si="59"/>
        <v>Others</v>
      </c>
    </row>
    <row r="1891" spans="1:14" x14ac:dyDescent="0.35">
      <c r="A1891">
        <v>1153</v>
      </c>
      <c r="B1891" s="4">
        <v>45875.375085336993</v>
      </c>
      <c r="C1891" t="s">
        <v>15</v>
      </c>
      <c r="D1891" t="s">
        <v>17</v>
      </c>
      <c r="E1891" t="s">
        <v>23</v>
      </c>
      <c r="F1891">
        <v>1698.67</v>
      </c>
      <c r="G1891">
        <f t="array" ref="G1891">SalesData!$I$2 - 'RFM Table'!B1891</f>
        <v>261</v>
      </c>
      <c r="H1891">
        <f t="array" ref="H1891">COUNTIF(A:A,A1891)</f>
        <v>12</v>
      </c>
      <c r="I1891">
        <f t="array" ref="I1891">SUMIF(A:A,A1891,F:F)</f>
        <v>42146.06</v>
      </c>
      <c r="J1891">
        <f t="array" ref="J1891">5 - INT(5 * (RANK(G1891,G:G, 1) - 1) / COUNT(G:G))</f>
        <v>4</v>
      </c>
      <c r="K1891">
        <f t="array" ref="K1891">INT(5 * (RANK(H1891,H:H, 0) - 1) / COUNT(H:H)) + 1</f>
        <v>1</v>
      </c>
      <c r="L1891">
        <f t="array" ref="L1891">INT(5 * (RANK(I1891,I:I, 0) - 1) / COUNT(I:I)) + 1</f>
        <v>2</v>
      </c>
      <c r="M1891" t="str">
        <f t="shared" si="58"/>
        <v>412</v>
      </c>
      <c r="N1891" s="6" t="str">
        <f t="shared" si="59"/>
        <v>New Customers</v>
      </c>
    </row>
    <row r="1892" spans="1:14" x14ac:dyDescent="0.35">
      <c r="A1892">
        <v>1126</v>
      </c>
      <c r="B1892" s="4">
        <v>45876.375085336993</v>
      </c>
      <c r="C1892" t="s">
        <v>8</v>
      </c>
      <c r="D1892" t="s">
        <v>18</v>
      </c>
      <c r="E1892" t="s">
        <v>25</v>
      </c>
      <c r="F1892">
        <v>2126.65</v>
      </c>
      <c r="G1892">
        <f t="array" ref="G1892">SalesData!$I$2 - 'RFM Table'!B1892</f>
        <v>260</v>
      </c>
      <c r="H1892">
        <f t="array" ref="H1892">COUNTIF(A:A,A1892)</f>
        <v>5</v>
      </c>
      <c r="I1892">
        <f t="array" ref="I1892">SUMIF(A:A,A1892,F:F)</f>
        <v>16350.6</v>
      </c>
      <c r="J1892">
        <f t="array" ref="J1892">5 - INT(5 * (RANK(G1892,G:G, 1) - 1) / COUNT(G:G))</f>
        <v>4</v>
      </c>
      <c r="K1892">
        <f t="array" ref="K1892">INT(5 * (RANK(H1892,H:H, 0) - 1) / COUNT(H:H)) + 1</f>
        <v>5</v>
      </c>
      <c r="L1892">
        <f t="array" ref="L1892">INT(5 * (RANK(I1892,I:I, 0) - 1) / COUNT(I:I)) + 1</f>
        <v>5</v>
      </c>
      <c r="M1892" t="str">
        <f t="shared" si="58"/>
        <v>455</v>
      </c>
      <c r="N1892" s="6" t="str">
        <f t="shared" si="59"/>
        <v>Others</v>
      </c>
    </row>
    <row r="1893" spans="1:14" x14ac:dyDescent="0.35">
      <c r="A1893">
        <v>1335</v>
      </c>
      <c r="B1893" s="4">
        <v>45876.375085336993</v>
      </c>
      <c r="C1893" t="s">
        <v>15</v>
      </c>
      <c r="D1893" t="s">
        <v>20</v>
      </c>
      <c r="E1893" t="s">
        <v>24</v>
      </c>
      <c r="F1893">
        <v>1939.27</v>
      </c>
      <c r="G1893">
        <f t="array" ref="G1893">SalesData!$I$2 - 'RFM Table'!B1893</f>
        <v>260</v>
      </c>
      <c r="H1893">
        <f t="array" ref="H1893">COUNTIF(A:A,A1893)</f>
        <v>8</v>
      </c>
      <c r="I1893">
        <f t="array" ref="I1893">SUMIF(A:A,A1893,F:F)</f>
        <v>31568.060000000005</v>
      </c>
      <c r="J1893">
        <f t="array" ref="J1893">5 - INT(5 * (RANK(G1893,G:G, 1) - 1) / COUNT(G:G))</f>
        <v>4</v>
      </c>
      <c r="K1893">
        <f t="array" ref="K1893">INT(5 * (RANK(H1893,H:H, 0) - 1) / COUNT(H:H)) + 1</f>
        <v>3</v>
      </c>
      <c r="L1893">
        <f t="array" ref="L1893">INT(5 * (RANK(I1893,I:I, 0) - 1) / COUNT(I:I)) + 1</f>
        <v>3</v>
      </c>
      <c r="M1893" t="str">
        <f t="shared" si="58"/>
        <v>433</v>
      </c>
      <c r="N1893" s="6" t="str">
        <f t="shared" si="59"/>
        <v>Others</v>
      </c>
    </row>
    <row r="1894" spans="1:14" x14ac:dyDescent="0.35">
      <c r="A1894">
        <v>1300</v>
      </c>
      <c r="B1894" s="4">
        <v>45876.375085336993</v>
      </c>
      <c r="C1894" t="s">
        <v>8</v>
      </c>
      <c r="D1894" t="s">
        <v>22</v>
      </c>
      <c r="E1894" t="s">
        <v>24</v>
      </c>
      <c r="F1894">
        <v>4376.84</v>
      </c>
      <c r="G1894">
        <f t="array" ref="G1894">SalesData!$I$2 - 'RFM Table'!B1894</f>
        <v>260</v>
      </c>
      <c r="H1894">
        <f t="array" ref="H1894">COUNTIF(A:A,A1894)</f>
        <v>9</v>
      </c>
      <c r="I1894">
        <f t="array" ref="I1894">SUMIF(A:A,A1894,F:F)</f>
        <v>34007.68</v>
      </c>
      <c r="J1894">
        <f t="array" ref="J1894">5 - INT(5 * (RANK(G1894,G:G, 1) - 1) / COUNT(G:G))</f>
        <v>4</v>
      </c>
      <c r="K1894">
        <f t="array" ref="K1894">INT(5 * (RANK(H1894,H:H, 0) - 1) / COUNT(H:H)) + 1</f>
        <v>2</v>
      </c>
      <c r="L1894">
        <f t="array" ref="L1894">INT(5 * (RANK(I1894,I:I, 0) - 1) / COUNT(I:I)) + 1</f>
        <v>3</v>
      </c>
      <c r="M1894" t="str">
        <f t="shared" si="58"/>
        <v>423</v>
      </c>
      <c r="N1894" s="6" t="str">
        <f t="shared" si="59"/>
        <v>New Customers</v>
      </c>
    </row>
    <row r="1895" spans="1:14" x14ac:dyDescent="0.35">
      <c r="A1895">
        <v>1228</v>
      </c>
      <c r="B1895" s="4">
        <v>45876.375085336993</v>
      </c>
      <c r="C1895" t="s">
        <v>11</v>
      </c>
      <c r="D1895" t="s">
        <v>22</v>
      </c>
      <c r="E1895" t="s">
        <v>24</v>
      </c>
      <c r="F1895">
        <v>3599.02</v>
      </c>
      <c r="G1895">
        <f t="array" ref="G1895">SalesData!$I$2 - 'RFM Table'!B1895</f>
        <v>260</v>
      </c>
      <c r="H1895">
        <f t="array" ref="H1895">COUNTIF(A:A,A1895)</f>
        <v>13</v>
      </c>
      <c r="I1895">
        <f t="array" ref="I1895">SUMIF(A:A,A1895,F:F)</f>
        <v>47658.630000000005</v>
      </c>
      <c r="J1895">
        <f t="array" ref="J1895">5 - INT(5 * (RANK(G1895,G:G, 1) - 1) / COUNT(G:G))</f>
        <v>4</v>
      </c>
      <c r="K1895">
        <f t="array" ref="K1895">INT(5 * (RANK(H1895,H:H, 0) - 1) / COUNT(H:H)) + 1</f>
        <v>1</v>
      </c>
      <c r="L1895">
        <f t="array" ref="L1895">INT(5 * (RANK(I1895,I:I, 0) - 1) / COUNT(I:I)) + 1</f>
        <v>1</v>
      </c>
      <c r="M1895" t="str">
        <f t="shared" si="58"/>
        <v>411</v>
      </c>
      <c r="N1895" s="6" t="str">
        <f t="shared" si="59"/>
        <v>New Customers</v>
      </c>
    </row>
    <row r="1896" spans="1:14" x14ac:dyDescent="0.35">
      <c r="A1896">
        <v>1328</v>
      </c>
      <c r="B1896" s="4">
        <v>45876.375085336993</v>
      </c>
      <c r="C1896" t="s">
        <v>13</v>
      </c>
      <c r="D1896" t="s">
        <v>19</v>
      </c>
      <c r="E1896" t="s">
        <v>25</v>
      </c>
      <c r="F1896">
        <v>9782.58</v>
      </c>
      <c r="G1896">
        <f t="array" ref="G1896">SalesData!$I$2 - 'RFM Table'!B1896</f>
        <v>260</v>
      </c>
      <c r="H1896">
        <f t="array" ref="H1896">COUNTIF(A:A,A1896)</f>
        <v>5</v>
      </c>
      <c r="I1896">
        <f t="array" ref="I1896">SUMIF(A:A,A1896,F:F)</f>
        <v>21621.77</v>
      </c>
      <c r="J1896">
        <f t="array" ref="J1896">5 - INT(5 * (RANK(G1896,G:G, 1) - 1) / COUNT(G:G))</f>
        <v>4</v>
      </c>
      <c r="K1896">
        <f t="array" ref="K1896">INT(5 * (RANK(H1896,H:H, 0) - 1) / COUNT(H:H)) + 1</f>
        <v>5</v>
      </c>
      <c r="L1896">
        <f t="array" ref="L1896">INT(5 * (RANK(I1896,I:I, 0) - 1) / COUNT(I:I)) + 1</f>
        <v>5</v>
      </c>
      <c r="M1896" t="str">
        <f t="shared" si="58"/>
        <v>455</v>
      </c>
      <c r="N1896" s="6" t="str">
        <f t="shared" si="59"/>
        <v>Others</v>
      </c>
    </row>
    <row r="1897" spans="1:14" x14ac:dyDescent="0.35">
      <c r="A1897">
        <v>1174</v>
      </c>
      <c r="B1897" s="4">
        <v>45876.375085336993</v>
      </c>
      <c r="C1897" t="s">
        <v>8</v>
      </c>
      <c r="D1897" t="s">
        <v>17</v>
      </c>
      <c r="E1897" t="s">
        <v>24</v>
      </c>
      <c r="F1897">
        <v>3480.43</v>
      </c>
      <c r="G1897">
        <f t="array" ref="G1897">SalesData!$I$2 - 'RFM Table'!B1897</f>
        <v>260</v>
      </c>
      <c r="H1897">
        <f t="array" ref="H1897">COUNTIF(A:A,A1897)</f>
        <v>7</v>
      </c>
      <c r="I1897">
        <f t="array" ref="I1897">SUMIF(A:A,A1897,F:F)</f>
        <v>28777.9</v>
      </c>
      <c r="J1897">
        <f t="array" ref="J1897">5 - INT(5 * (RANK(G1897,G:G, 1) - 1) / COUNT(G:G))</f>
        <v>4</v>
      </c>
      <c r="K1897">
        <f t="array" ref="K1897">INT(5 * (RANK(H1897,H:H, 0) - 1) / COUNT(H:H)) + 1</f>
        <v>4</v>
      </c>
      <c r="L1897">
        <f t="array" ref="L1897">INT(5 * (RANK(I1897,I:I, 0) - 1) / COUNT(I:I)) + 1</f>
        <v>4</v>
      </c>
      <c r="M1897" t="str">
        <f t="shared" si="58"/>
        <v>444</v>
      </c>
      <c r="N1897" s="6" t="str">
        <f t="shared" si="59"/>
        <v>Others</v>
      </c>
    </row>
    <row r="1898" spans="1:14" x14ac:dyDescent="0.35">
      <c r="A1898">
        <v>1132</v>
      </c>
      <c r="B1898" s="4">
        <v>45876.375085336993</v>
      </c>
      <c r="C1898" t="s">
        <v>14</v>
      </c>
      <c r="D1898" t="s">
        <v>20</v>
      </c>
      <c r="E1898" t="s">
        <v>25</v>
      </c>
      <c r="F1898">
        <v>8207.1299999999992</v>
      </c>
      <c r="G1898">
        <f t="array" ref="G1898">SalesData!$I$2 - 'RFM Table'!B1898</f>
        <v>260</v>
      </c>
      <c r="H1898">
        <f t="array" ref="H1898">COUNTIF(A:A,A1898)</f>
        <v>11</v>
      </c>
      <c r="I1898">
        <f t="array" ref="I1898">SUMIF(A:A,A1898,F:F)</f>
        <v>52771.959999999992</v>
      </c>
      <c r="J1898">
        <f t="array" ref="J1898">5 - INT(5 * (RANK(G1898,G:G, 1) - 1) / COUNT(G:G))</f>
        <v>4</v>
      </c>
      <c r="K1898">
        <f t="array" ref="K1898">INT(5 * (RANK(H1898,H:H, 0) - 1) / COUNT(H:H)) + 1</f>
        <v>1</v>
      </c>
      <c r="L1898">
        <f t="array" ref="L1898">INT(5 * (RANK(I1898,I:I, 0) - 1) / COUNT(I:I)) + 1</f>
        <v>1</v>
      </c>
      <c r="M1898" t="str">
        <f t="shared" si="58"/>
        <v>411</v>
      </c>
      <c r="N1898" s="6" t="str">
        <f t="shared" si="59"/>
        <v>New Customers</v>
      </c>
    </row>
    <row r="1899" spans="1:14" x14ac:dyDescent="0.35">
      <c r="A1899">
        <v>1060</v>
      </c>
      <c r="B1899" s="4">
        <v>45876.375085336993</v>
      </c>
      <c r="C1899" t="s">
        <v>10</v>
      </c>
      <c r="D1899" t="s">
        <v>17</v>
      </c>
      <c r="E1899" t="s">
        <v>25</v>
      </c>
      <c r="F1899">
        <v>1341.73</v>
      </c>
      <c r="G1899">
        <f t="array" ref="G1899">SalesData!$I$2 - 'RFM Table'!B1899</f>
        <v>260</v>
      </c>
      <c r="H1899">
        <f t="array" ref="H1899">COUNTIF(A:A,A1899)</f>
        <v>5</v>
      </c>
      <c r="I1899">
        <f t="array" ref="I1899">SUMIF(A:A,A1899,F:F)</f>
        <v>21260</v>
      </c>
      <c r="J1899">
        <f t="array" ref="J1899">5 - INT(5 * (RANK(G1899,G:G, 1) - 1) / COUNT(G:G))</f>
        <v>4</v>
      </c>
      <c r="K1899">
        <f t="array" ref="K1899">INT(5 * (RANK(H1899,H:H, 0) - 1) / COUNT(H:H)) + 1</f>
        <v>5</v>
      </c>
      <c r="L1899">
        <f t="array" ref="L1899">INT(5 * (RANK(I1899,I:I, 0) - 1) / COUNT(I:I)) + 1</f>
        <v>5</v>
      </c>
      <c r="M1899" t="str">
        <f t="shared" si="58"/>
        <v>455</v>
      </c>
      <c r="N1899" s="6" t="str">
        <f t="shared" si="59"/>
        <v>Others</v>
      </c>
    </row>
    <row r="1900" spans="1:14" x14ac:dyDescent="0.35">
      <c r="A1900">
        <v>1062</v>
      </c>
      <c r="B1900" s="4">
        <v>45876.375085336993</v>
      </c>
      <c r="C1900" t="s">
        <v>15</v>
      </c>
      <c r="D1900" t="s">
        <v>19</v>
      </c>
      <c r="E1900" t="s">
        <v>25</v>
      </c>
      <c r="F1900">
        <v>5730.52</v>
      </c>
      <c r="G1900">
        <f t="array" ref="G1900">SalesData!$I$2 - 'RFM Table'!B1900</f>
        <v>260</v>
      </c>
      <c r="H1900">
        <f t="array" ref="H1900">COUNTIF(A:A,A1900)</f>
        <v>11</v>
      </c>
      <c r="I1900">
        <f t="array" ref="I1900">SUMIF(A:A,A1900,F:F)</f>
        <v>59377.640000000014</v>
      </c>
      <c r="J1900">
        <f t="array" ref="J1900">5 - INT(5 * (RANK(G1900,G:G, 1) - 1) / COUNT(G:G))</f>
        <v>4</v>
      </c>
      <c r="K1900">
        <f t="array" ref="K1900">INT(5 * (RANK(H1900,H:H, 0) - 1) / COUNT(H:H)) + 1</f>
        <v>1</v>
      </c>
      <c r="L1900">
        <f t="array" ref="L1900">INT(5 * (RANK(I1900,I:I, 0) - 1) / COUNT(I:I)) + 1</f>
        <v>1</v>
      </c>
      <c r="M1900" t="str">
        <f t="shared" si="58"/>
        <v>411</v>
      </c>
      <c r="N1900" s="6" t="str">
        <f t="shared" si="59"/>
        <v>New Customers</v>
      </c>
    </row>
    <row r="1901" spans="1:14" x14ac:dyDescent="0.35">
      <c r="A1901">
        <v>1265</v>
      </c>
      <c r="B1901" s="4">
        <v>45876.375085336993</v>
      </c>
      <c r="C1901" t="s">
        <v>15</v>
      </c>
      <c r="D1901" t="s">
        <v>16</v>
      </c>
      <c r="E1901" t="s">
        <v>23</v>
      </c>
      <c r="F1901">
        <v>5953.35</v>
      </c>
      <c r="G1901">
        <f t="array" ref="G1901">SalesData!$I$2 - 'RFM Table'!B1901</f>
        <v>260</v>
      </c>
      <c r="H1901">
        <f t="array" ref="H1901">COUNTIF(A:A,A1901)</f>
        <v>7</v>
      </c>
      <c r="I1901">
        <f t="array" ref="I1901">SUMIF(A:A,A1901,F:F)</f>
        <v>24998.240000000005</v>
      </c>
      <c r="J1901">
        <f t="array" ref="J1901">5 - INT(5 * (RANK(G1901,G:G, 1) - 1) / COUNT(G:G))</f>
        <v>4</v>
      </c>
      <c r="K1901">
        <f t="array" ref="K1901">INT(5 * (RANK(H1901,H:H, 0) - 1) / COUNT(H:H)) + 1</f>
        <v>4</v>
      </c>
      <c r="L1901">
        <f t="array" ref="L1901">INT(5 * (RANK(I1901,I:I, 0) - 1) / COUNT(I:I)) + 1</f>
        <v>4</v>
      </c>
      <c r="M1901" t="str">
        <f t="shared" si="58"/>
        <v>444</v>
      </c>
      <c r="N1901" s="6" t="str">
        <f t="shared" si="59"/>
        <v>Others</v>
      </c>
    </row>
    <row r="1902" spans="1:14" x14ac:dyDescent="0.35">
      <c r="A1902">
        <v>1360</v>
      </c>
      <c r="B1902" s="4">
        <v>45876.375085336993</v>
      </c>
      <c r="C1902" t="s">
        <v>15</v>
      </c>
      <c r="D1902" t="s">
        <v>21</v>
      </c>
      <c r="E1902" t="s">
        <v>23</v>
      </c>
      <c r="F1902">
        <v>5754.17</v>
      </c>
      <c r="G1902">
        <f t="array" ref="G1902">SalesData!$I$2 - 'RFM Table'!B1902</f>
        <v>260</v>
      </c>
      <c r="H1902">
        <f t="array" ref="H1902">COUNTIF(A:A,A1902)</f>
        <v>8</v>
      </c>
      <c r="I1902">
        <f t="array" ref="I1902">SUMIF(A:A,A1902,F:F)</f>
        <v>31675.43</v>
      </c>
      <c r="J1902">
        <f t="array" ref="J1902">5 - INT(5 * (RANK(G1902,G:G, 1) - 1) / COUNT(G:G))</f>
        <v>4</v>
      </c>
      <c r="K1902">
        <f t="array" ref="K1902">INT(5 * (RANK(H1902,H:H, 0) - 1) / COUNT(H:H)) + 1</f>
        <v>3</v>
      </c>
      <c r="L1902">
        <f t="array" ref="L1902">INT(5 * (RANK(I1902,I:I, 0) - 1) / COUNT(I:I)) + 1</f>
        <v>3</v>
      </c>
      <c r="M1902" t="str">
        <f t="shared" si="58"/>
        <v>433</v>
      </c>
      <c r="N1902" s="6" t="str">
        <f t="shared" si="59"/>
        <v>Others</v>
      </c>
    </row>
    <row r="1903" spans="1:14" x14ac:dyDescent="0.35">
      <c r="A1903">
        <v>1040</v>
      </c>
      <c r="B1903" s="4">
        <v>45877.375085336993</v>
      </c>
      <c r="C1903" t="s">
        <v>10</v>
      </c>
      <c r="D1903" t="s">
        <v>21</v>
      </c>
      <c r="E1903" t="s">
        <v>23</v>
      </c>
      <c r="F1903">
        <v>560.79</v>
      </c>
      <c r="G1903">
        <f t="array" ref="G1903">SalesData!$I$2 - 'RFM Table'!B1903</f>
        <v>259</v>
      </c>
      <c r="H1903">
        <f t="array" ref="H1903">COUNTIF(A:A,A1903)</f>
        <v>7</v>
      </c>
      <c r="I1903">
        <f t="array" ref="I1903">SUMIF(A:A,A1903,F:F)</f>
        <v>32869.479999999996</v>
      </c>
      <c r="J1903">
        <f t="array" ref="J1903">5 - INT(5 * (RANK(G1903,G:G, 1) - 1) / COUNT(G:G))</f>
        <v>4</v>
      </c>
      <c r="K1903">
        <f t="array" ref="K1903">INT(5 * (RANK(H1903,H:H, 0) - 1) / COUNT(H:H)) + 1</f>
        <v>4</v>
      </c>
      <c r="L1903">
        <f t="array" ref="L1903">INT(5 * (RANK(I1903,I:I, 0) - 1) / COUNT(I:I)) + 1</f>
        <v>3</v>
      </c>
      <c r="M1903" t="str">
        <f t="shared" si="58"/>
        <v>443</v>
      </c>
      <c r="N1903" s="6" t="str">
        <f t="shared" si="59"/>
        <v>Others</v>
      </c>
    </row>
    <row r="1904" spans="1:14" x14ac:dyDescent="0.35">
      <c r="A1904">
        <v>1395</v>
      </c>
      <c r="B1904" s="4">
        <v>45877.375085336993</v>
      </c>
      <c r="C1904" t="s">
        <v>10</v>
      </c>
      <c r="D1904" t="s">
        <v>20</v>
      </c>
      <c r="E1904" t="s">
        <v>24</v>
      </c>
      <c r="F1904">
        <v>6502.63</v>
      </c>
      <c r="G1904">
        <f t="array" ref="G1904">SalesData!$I$2 - 'RFM Table'!B1904</f>
        <v>259</v>
      </c>
      <c r="H1904">
        <f t="array" ref="H1904">COUNTIF(A:A,A1904)</f>
        <v>7</v>
      </c>
      <c r="I1904">
        <f t="array" ref="I1904">SUMIF(A:A,A1904,F:F)</f>
        <v>36778.530000000006</v>
      </c>
      <c r="J1904">
        <f t="array" ref="J1904">5 - INT(5 * (RANK(G1904,G:G, 1) - 1) / COUNT(G:G))</f>
        <v>4</v>
      </c>
      <c r="K1904">
        <f t="array" ref="K1904">INT(5 * (RANK(H1904,H:H, 0) - 1) / COUNT(H:H)) + 1</f>
        <v>4</v>
      </c>
      <c r="L1904">
        <f t="array" ref="L1904">INT(5 * (RANK(I1904,I:I, 0) - 1) / COUNT(I:I)) + 1</f>
        <v>3</v>
      </c>
      <c r="M1904" t="str">
        <f t="shared" si="58"/>
        <v>443</v>
      </c>
      <c r="N1904" s="6" t="str">
        <f t="shared" si="59"/>
        <v>Others</v>
      </c>
    </row>
    <row r="1905" spans="1:14" x14ac:dyDescent="0.35">
      <c r="A1905">
        <v>1207</v>
      </c>
      <c r="B1905" s="4">
        <v>45877.375085336993</v>
      </c>
      <c r="C1905" t="s">
        <v>14</v>
      </c>
      <c r="D1905" t="s">
        <v>21</v>
      </c>
      <c r="E1905" t="s">
        <v>24</v>
      </c>
      <c r="F1905">
        <v>2430.36</v>
      </c>
      <c r="G1905">
        <f t="array" ref="G1905">SalesData!$I$2 - 'RFM Table'!B1905</f>
        <v>259</v>
      </c>
      <c r="H1905">
        <f t="array" ref="H1905">COUNTIF(A:A,A1905)</f>
        <v>7</v>
      </c>
      <c r="I1905">
        <f t="array" ref="I1905">SUMIF(A:A,A1905,F:F)</f>
        <v>24204.07</v>
      </c>
      <c r="J1905">
        <f t="array" ref="J1905">5 - INT(5 * (RANK(G1905,G:G, 1) - 1) / COUNT(G:G))</f>
        <v>4</v>
      </c>
      <c r="K1905">
        <f t="array" ref="K1905">INT(5 * (RANK(H1905,H:H, 0) - 1) / COUNT(H:H)) + 1</f>
        <v>4</v>
      </c>
      <c r="L1905">
        <f t="array" ref="L1905">INT(5 * (RANK(I1905,I:I, 0) - 1) / COUNT(I:I)) + 1</f>
        <v>4</v>
      </c>
      <c r="M1905" t="str">
        <f t="shared" si="58"/>
        <v>444</v>
      </c>
      <c r="N1905" s="6" t="str">
        <f t="shared" si="59"/>
        <v>Others</v>
      </c>
    </row>
    <row r="1906" spans="1:14" x14ac:dyDescent="0.35">
      <c r="A1906">
        <v>1008</v>
      </c>
      <c r="B1906" s="4">
        <v>45878.375085336993</v>
      </c>
      <c r="C1906" t="s">
        <v>13</v>
      </c>
      <c r="D1906" t="s">
        <v>22</v>
      </c>
      <c r="E1906" t="s">
        <v>25</v>
      </c>
      <c r="F1906">
        <v>4094.5</v>
      </c>
      <c r="G1906">
        <f t="array" ref="G1906">SalesData!$I$2 - 'RFM Table'!B1906</f>
        <v>258</v>
      </c>
      <c r="H1906">
        <f t="array" ref="H1906">COUNTIF(A:A,A1906)</f>
        <v>9</v>
      </c>
      <c r="I1906">
        <f t="array" ref="I1906">SUMIF(A:A,A1906,F:F)</f>
        <v>32548.37</v>
      </c>
      <c r="J1906">
        <f t="array" ref="J1906">5 - INT(5 * (RANK(G1906,G:G, 1) - 1) / COUNT(G:G))</f>
        <v>4</v>
      </c>
      <c r="K1906">
        <f t="array" ref="K1906">INT(5 * (RANK(H1906,H:H, 0) - 1) / COUNT(H:H)) + 1</f>
        <v>2</v>
      </c>
      <c r="L1906">
        <f t="array" ref="L1906">INT(5 * (RANK(I1906,I:I, 0) - 1) / COUNT(I:I)) + 1</f>
        <v>3</v>
      </c>
      <c r="M1906" t="str">
        <f t="shared" si="58"/>
        <v>423</v>
      </c>
      <c r="N1906" s="6" t="str">
        <f t="shared" si="59"/>
        <v>New Customers</v>
      </c>
    </row>
    <row r="1907" spans="1:14" x14ac:dyDescent="0.35">
      <c r="A1907">
        <v>1232</v>
      </c>
      <c r="B1907" s="4">
        <v>45879.375085336993</v>
      </c>
      <c r="C1907" t="s">
        <v>10</v>
      </c>
      <c r="D1907" t="s">
        <v>19</v>
      </c>
      <c r="E1907" t="s">
        <v>24</v>
      </c>
      <c r="F1907">
        <v>1634.88</v>
      </c>
      <c r="G1907">
        <f t="array" ref="G1907">SalesData!$I$2 - 'RFM Table'!B1907</f>
        <v>257</v>
      </c>
      <c r="H1907">
        <f t="array" ref="H1907">COUNTIF(A:A,A1907)</f>
        <v>13</v>
      </c>
      <c r="I1907">
        <f t="array" ref="I1907">SUMIF(A:A,A1907,F:F)</f>
        <v>40298.450000000004</v>
      </c>
      <c r="J1907">
        <f t="array" ref="J1907">5 - INT(5 * (RANK(G1907,G:G, 1) - 1) / COUNT(G:G))</f>
        <v>4</v>
      </c>
      <c r="K1907">
        <f t="array" ref="K1907">INT(5 * (RANK(H1907,H:H, 0) - 1) / COUNT(H:H)) + 1</f>
        <v>1</v>
      </c>
      <c r="L1907">
        <f t="array" ref="L1907">INT(5 * (RANK(I1907,I:I, 0) - 1) / COUNT(I:I)) + 1</f>
        <v>2</v>
      </c>
      <c r="M1907" t="str">
        <f t="shared" si="58"/>
        <v>412</v>
      </c>
      <c r="N1907" s="6" t="str">
        <f t="shared" si="59"/>
        <v>New Customers</v>
      </c>
    </row>
    <row r="1908" spans="1:14" x14ac:dyDescent="0.35">
      <c r="A1908">
        <v>1199</v>
      </c>
      <c r="B1908" s="4">
        <v>45879.375085336993</v>
      </c>
      <c r="C1908" t="s">
        <v>7</v>
      </c>
      <c r="D1908" t="s">
        <v>19</v>
      </c>
      <c r="E1908" t="s">
        <v>24</v>
      </c>
      <c r="F1908">
        <v>325.45999999999998</v>
      </c>
      <c r="G1908">
        <f t="array" ref="G1908">SalesData!$I$2 - 'RFM Table'!B1908</f>
        <v>257</v>
      </c>
      <c r="H1908">
        <f t="array" ref="H1908">COUNTIF(A:A,A1908)</f>
        <v>5</v>
      </c>
      <c r="I1908">
        <f t="array" ref="I1908">SUMIF(A:A,A1908,F:F)</f>
        <v>17477.019999999997</v>
      </c>
      <c r="J1908">
        <f t="array" ref="J1908">5 - INT(5 * (RANK(G1908,G:G, 1) - 1) / COUNT(G:G))</f>
        <v>4</v>
      </c>
      <c r="K1908">
        <f t="array" ref="K1908">INT(5 * (RANK(H1908,H:H, 0) - 1) / COUNT(H:H)) + 1</f>
        <v>5</v>
      </c>
      <c r="L1908">
        <f t="array" ref="L1908">INT(5 * (RANK(I1908,I:I, 0) - 1) / COUNT(I:I)) + 1</f>
        <v>5</v>
      </c>
      <c r="M1908" t="str">
        <f t="shared" si="58"/>
        <v>455</v>
      </c>
      <c r="N1908" s="6" t="str">
        <f t="shared" si="59"/>
        <v>Others</v>
      </c>
    </row>
    <row r="1909" spans="1:14" x14ac:dyDescent="0.35">
      <c r="A1909">
        <v>1340</v>
      </c>
      <c r="B1909" s="4">
        <v>45879.375085336993</v>
      </c>
      <c r="C1909" t="s">
        <v>12</v>
      </c>
      <c r="D1909" t="s">
        <v>17</v>
      </c>
      <c r="E1909" t="s">
        <v>23</v>
      </c>
      <c r="F1909">
        <v>2556.41</v>
      </c>
      <c r="G1909">
        <f t="array" ref="G1909">SalesData!$I$2 - 'RFM Table'!B1909</f>
        <v>257</v>
      </c>
      <c r="H1909">
        <f t="array" ref="H1909">COUNTIF(A:A,A1909)</f>
        <v>6</v>
      </c>
      <c r="I1909">
        <f t="array" ref="I1909">SUMIF(A:A,A1909,F:F)</f>
        <v>22984.870000000003</v>
      </c>
      <c r="J1909">
        <f t="array" ref="J1909">5 - INT(5 * (RANK(G1909,G:G, 1) - 1) / COUNT(G:G))</f>
        <v>4</v>
      </c>
      <c r="K1909">
        <f t="array" ref="K1909">INT(5 * (RANK(H1909,H:H, 0) - 1) / COUNT(H:H)) + 1</f>
        <v>4</v>
      </c>
      <c r="L1909">
        <f t="array" ref="L1909">INT(5 * (RANK(I1909,I:I, 0) - 1) / COUNT(I:I)) + 1</f>
        <v>4</v>
      </c>
      <c r="M1909" t="str">
        <f t="shared" si="58"/>
        <v>444</v>
      </c>
      <c r="N1909" s="6" t="str">
        <f t="shared" si="59"/>
        <v>Others</v>
      </c>
    </row>
    <row r="1910" spans="1:14" x14ac:dyDescent="0.35">
      <c r="A1910">
        <v>1285</v>
      </c>
      <c r="B1910" s="4">
        <v>45879.375085336993</v>
      </c>
      <c r="C1910" t="s">
        <v>12</v>
      </c>
      <c r="D1910" t="s">
        <v>22</v>
      </c>
      <c r="E1910" t="s">
        <v>25</v>
      </c>
      <c r="F1910">
        <v>2445.69</v>
      </c>
      <c r="G1910">
        <f t="array" ref="G1910">SalesData!$I$2 - 'RFM Table'!B1910</f>
        <v>257</v>
      </c>
      <c r="H1910">
        <f t="array" ref="H1910">COUNTIF(A:A,A1910)</f>
        <v>9</v>
      </c>
      <c r="I1910">
        <f t="array" ref="I1910">SUMIF(A:A,A1910,F:F)</f>
        <v>27990.980000000003</v>
      </c>
      <c r="J1910">
        <f t="array" ref="J1910">5 - INT(5 * (RANK(G1910,G:G, 1) - 1) / COUNT(G:G))</f>
        <v>4</v>
      </c>
      <c r="K1910">
        <f t="array" ref="K1910">INT(5 * (RANK(H1910,H:H, 0) - 1) / COUNT(H:H)) + 1</f>
        <v>2</v>
      </c>
      <c r="L1910">
        <f t="array" ref="L1910">INT(5 * (RANK(I1910,I:I, 0) - 1) / COUNT(I:I)) + 1</f>
        <v>4</v>
      </c>
      <c r="M1910" t="str">
        <f t="shared" si="58"/>
        <v>424</v>
      </c>
      <c r="N1910" s="6" t="str">
        <f t="shared" si="59"/>
        <v>New Customers</v>
      </c>
    </row>
    <row r="1911" spans="1:14" x14ac:dyDescent="0.35">
      <c r="A1911">
        <v>1117</v>
      </c>
      <c r="B1911" s="4">
        <v>45879.375085336993</v>
      </c>
      <c r="C1911" t="s">
        <v>8</v>
      </c>
      <c r="D1911" t="s">
        <v>20</v>
      </c>
      <c r="E1911" t="s">
        <v>23</v>
      </c>
      <c r="F1911">
        <v>3378.87</v>
      </c>
      <c r="G1911">
        <f t="array" ref="G1911">SalesData!$I$2 - 'RFM Table'!B1911</f>
        <v>257</v>
      </c>
      <c r="H1911">
        <f t="array" ref="H1911">COUNTIF(A:A,A1911)</f>
        <v>10</v>
      </c>
      <c r="I1911">
        <f t="array" ref="I1911">SUMIF(A:A,A1911,F:F)</f>
        <v>47973.33</v>
      </c>
      <c r="J1911">
        <f t="array" ref="J1911">5 - INT(5 * (RANK(G1911,G:G, 1) - 1) / COUNT(G:G))</f>
        <v>4</v>
      </c>
      <c r="K1911">
        <f t="array" ref="K1911">INT(5 * (RANK(H1911,H:H, 0) - 1) / COUNT(H:H)) + 1</f>
        <v>2</v>
      </c>
      <c r="L1911">
        <f t="array" ref="L1911">INT(5 * (RANK(I1911,I:I, 0) - 1) / COUNT(I:I)) + 1</f>
        <v>1</v>
      </c>
      <c r="M1911" t="str">
        <f t="shared" si="58"/>
        <v>421</v>
      </c>
      <c r="N1911" s="6" t="str">
        <f t="shared" si="59"/>
        <v>New Customers</v>
      </c>
    </row>
    <row r="1912" spans="1:14" x14ac:dyDescent="0.35">
      <c r="A1912">
        <v>1180</v>
      </c>
      <c r="B1912" s="4">
        <v>45880.375085336993</v>
      </c>
      <c r="C1912" t="s">
        <v>10</v>
      </c>
      <c r="D1912" t="s">
        <v>16</v>
      </c>
      <c r="E1912" t="s">
        <v>24</v>
      </c>
      <c r="F1912">
        <v>2938.08</v>
      </c>
      <c r="G1912">
        <f t="array" ref="G1912">SalesData!$I$2 - 'RFM Table'!B1912</f>
        <v>256</v>
      </c>
      <c r="H1912">
        <f t="array" ref="H1912">COUNTIF(A:A,A1912)</f>
        <v>8</v>
      </c>
      <c r="I1912">
        <f t="array" ref="I1912">SUMIF(A:A,A1912,F:F)</f>
        <v>35247.5</v>
      </c>
      <c r="J1912">
        <f t="array" ref="J1912">5 - INT(5 * (RANK(G1912,G:G, 1) - 1) / COUNT(G:G))</f>
        <v>4</v>
      </c>
      <c r="K1912">
        <f t="array" ref="K1912">INT(5 * (RANK(H1912,H:H, 0) - 1) / COUNT(H:H)) + 1</f>
        <v>3</v>
      </c>
      <c r="L1912">
        <f t="array" ref="L1912">INT(5 * (RANK(I1912,I:I, 0) - 1) / COUNT(I:I)) + 1</f>
        <v>3</v>
      </c>
      <c r="M1912" t="str">
        <f t="shared" si="58"/>
        <v>433</v>
      </c>
      <c r="N1912" s="6" t="str">
        <f t="shared" si="59"/>
        <v>Others</v>
      </c>
    </row>
    <row r="1913" spans="1:14" x14ac:dyDescent="0.35">
      <c r="A1913">
        <v>1370</v>
      </c>
      <c r="B1913" s="4">
        <v>45880.375085336993</v>
      </c>
      <c r="C1913" t="s">
        <v>7</v>
      </c>
      <c r="D1913" t="s">
        <v>18</v>
      </c>
      <c r="E1913" t="s">
        <v>25</v>
      </c>
      <c r="F1913">
        <v>5254.88</v>
      </c>
      <c r="G1913">
        <f t="array" ref="G1913">SalesData!$I$2 - 'RFM Table'!B1913</f>
        <v>256</v>
      </c>
      <c r="H1913">
        <f t="array" ref="H1913">COUNTIF(A:A,A1913)</f>
        <v>12</v>
      </c>
      <c r="I1913">
        <f t="array" ref="I1913">SUMIF(A:A,A1913,F:F)</f>
        <v>46195.360000000001</v>
      </c>
      <c r="J1913">
        <f t="array" ref="J1913">5 - INT(5 * (RANK(G1913,G:G, 1) - 1) / COUNT(G:G))</f>
        <v>4</v>
      </c>
      <c r="K1913">
        <f t="array" ref="K1913">INT(5 * (RANK(H1913,H:H, 0) - 1) / COUNT(H:H)) + 1</f>
        <v>1</v>
      </c>
      <c r="L1913">
        <f t="array" ref="L1913">INT(5 * (RANK(I1913,I:I, 0) - 1) / COUNT(I:I)) + 1</f>
        <v>1</v>
      </c>
      <c r="M1913" t="str">
        <f t="shared" si="58"/>
        <v>411</v>
      </c>
      <c r="N1913" s="6" t="str">
        <f t="shared" si="59"/>
        <v>New Customers</v>
      </c>
    </row>
    <row r="1914" spans="1:14" x14ac:dyDescent="0.35">
      <c r="A1914">
        <v>1143</v>
      </c>
      <c r="B1914" s="4">
        <v>45881.375085336993</v>
      </c>
      <c r="C1914" t="s">
        <v>9</v>
      </c>
      <c r="D1914" t="s">
        <v>20</v>
      </c>
      <c r="E1914" t="s">
        <v>24</v>
      </c>
      <c r="F1914">
        <v>4969.34</v>
      </c>
      <c r="G1914">
        <f t="array" ref="G1914">SalesData!$I$2 - 'RFM Table'!B1914</f>
        <v>255</v>
      </c>
      <c r="H1914">
        <f t="array" ref="H1914">COUNTIF(A:A,A1914)</f>
        <v>11</v>
      </c>
      <c r="I1914">
        <f t="array" ref="I1914">SUMIF(A:A,A1914,F:F)</f>
        <v>44004.459999999992</v>
      </c>
      <c r="J1914">
        <f t="array" ref="J1914">5 - INT(5 * (RANK(G1914,G:G, 1) - 1) / COUNT(G:G))</f>
        <v>4</v>
      </c>
      <c r="K1914">
        <f t="array" ref="K1914">INT(5 * (RANK(H1914,H:H, 0) - 1) / COUNT(H:H)) + 1</f>
        <v>1</v>
      </c>
      <c r="L1914">
        <f t="array" ref="L1914">INT(5 * (RANK(I1914,I:I, 0) - 1) / COUNT(I:I)) + 1</f>
        <v>2</v>
      </c>
      <c r="M1914" t="str">
        <f t="shared" si="58"/>
        <v>412</v>
      </c>
      <c r="N1914" s="6" t="str">
        <f t="shared" si="59"/>
        <v>New Customers</v>
      </c>
    </row>
    <row r="1915" spans="1:14" x14ac:dyDescent="0.35">
      <c r="A1915">
        <v>1357</v>
      </c>
      <c r="B1915" s="4">
        <v>45881.375085336993</v>
      </c>
      <c r="C1915" t="s">
        <v>9</v>
      </c>
      <c r="D1915" t="s">
        <v>16</v>
      </c>
      <c r="E1915" t="s">
        <v>25</v>
      </c>
      <c r="F1915">
        <v>1321.8</v>
      </c>
      <c r="G1915">
        <f t="array" ref="G1915">SalesData!$I$2 - 'RFM Table'!B1915</f>
        <v>255</v>
      </c>
      <c r="H1915">
        <f t="array" ref="H1915">COUNTIF(A:A,A1915)</f>
        <v>3</v>
      </c>
      <c r="I1915">
        <f t="array" ref="I1915">SUMIF(A:A,A1915,F:F)</f>
        <v>8934.2099999999991</v>
      </c>
      <c r="J1915">
        <f t="array" ref="J1915">5 - INT(5 * (RANK(G1915,G:G, 1) - 1) / COUNT(G:G))</f>
        <v>4</v>
      </c>
      <c r="K1915">
        <f t="array" ref="K1915">INT(5 * (RANK(H1915,H:H, 0) - 1) / COUNT(H:H)) + 1</f>
        <v>5</v>
      </c>
      <c r="L1915">
        <f t="array" ref="L1915">INT(5 * (RANK(I1915,I:I, 0) - 1) / COUNT(I:I)) + 1</f>
        <v>5</v>
      </c>
      <c r="M1915" t="str">
        <f t="shared" si="58"/>
        <v>455</v>
      </c>
      <c r="N1915" s="6" t="str">
        <f t="shared" si="59"/>
        <v>Others</v>
      </c>
    </row>
    <row r="1916" spans="1:14" x14ac:dyDescent="0.35">
      <c r="A1916">
        <v>1112</v>
      </c>
      <c r="B1916" s="4">
        <v>45881.375085336993</v>
      </c>
      <c r="C1916" t="s">
        <v>8</v>
      </c>
      <c r="D1916" t="s">
        <v>16</v>
      </c>
      <c r="E1916" t="s">
        <v>23</v>
      </c>
      <c r="F1916">
        <v>4750.76</v>
      </c>
      <c r="G1916">
        <f t="array" ref="G1916">SalesData!$I$2 - 'RFM Table'!B1916</f>
        <v>255</v>
      </c>
      <c r="H1916">
        <f t="array" ref="H1916">COUNTIF(A:A,A1916)</f>
        <v>12</v>
      </c>
      <c r="I1916">
        <f t="array" ref="I1916">SUMIF(A:A,A1916,F:F)</f>
        <v>38950.210000000006</v>
      </c>
      <c r="J1916">
        <f t="array" ref="J1916">5 - INT(5 * (RANK(G1916,G:G, 1) - 1) / COUNT(G:G))</f>
        <v>4</v>
      </c>
      <c r="K1916">
        <f t="array" ref="K1916">INT(5 * (RANK(H1916,H:H, 0) - 1) / COUNT(H:H)) + 1</f>
        <v>1</v>
      </c>
      <c r="L1916">
        <f t="array" ref="L1916">INT(5 * (RANK(I1916,I:I, 0) - 1) / COUNT(I:I)) + 1</f>
        <v>2</v>
      </c>
      <c r="M1916" t="str">
        <f t="shared" si="58"/>
        <v>412</v>
      </c>
      <c r="N1916" s="6" t="str">
        <f t="shared" si="59"/>
        <v>New Customers</v>
      </c>
    </row>
    <row r="1917" spans="1:14" x14ac:dyDescent="0.35">
      <c r="A1917">
        <v>1151</v>
      </c>
      <c r="B1917" s="4">
        <v>45881.375085336993</v>
      </c>
      <c r="C1917" t="s">
        <v>7</v>
      </c>
      <c r="D1917" t="s">
        <v>21</v>
      </c>
      <c r="E1917" t="s">
        <v>24</v>
      </c>
      <c r="F1917">
        <v>6302.11</v>
      </c>
      <c r="G1917">
        <f t="array" ref="G1917">SalesData!$I$2 - 'RFM Table'!B1917</f>
        <v>255</v>
      </c>
      <c r="H1917">
        <f t="array" ref="H1917">COUNTIF(A:A,A1917)</f>
        <v>13</v>
      </c>
      <c r="I1917">
        <f t="array" ref="I1917">SUMIF(A:A,A1917,F:F)</f>
        <v>49208.94</v>
      </c>
      <c r="J1917">
        <f t="array" ref="J1917">5 - INT(5 * (RANK(G1917,G:G, 1) - 1) / COUNT(G:G))</f>
        <v>4</v>
      </c>
      <c r="K1917">
        <f t="array" ref="K1917">INT(5 * (RANK(H1917,H:H, 0) - 1) / COUNT(H:H)) + 1</f>
        <v>1</v>
      </c>
      <c r="L1917">
        <f t="array" ref="L1917">INT(5 * (RANK(I1917,I:I, 0) - 1) / COUNT(I:I)) + 1</f>
        <v>1</v>
      </c>
      <c r="M1917" t="str">
        <f t="shared" si="58"/>
        <v>411</v>
      </c>
      <c r="N1917" s="6" t="str">
        <f t="shared" si="59"/>
        <v>New Customers</v>
      </c>
    </row>
    <row r="1918" spans="1:14" x14ac:dyDescent="0.35">
      <c r="A1918">
        <v>1344</v>
      </c>
      <c r="B1918" s="4">
        <v>45881.375085336993</v>
      </c>
      <c r="C1918" t="s">
        <v>12</v>
      </c>
      <c r="D1918" t="s">
        <v>22</v>
      </c>
      <c r="E1918" t="s">
        <v>25</v>
      </c>
      <c r="F1918">
        <v>5247.46</v>
      </c>
      <c r="G1918">
        <f t="array" ref="G1918">SalesData!$I$2 - 'RFM Table'!B1918</f>
        <v>255</v>
      </c>
      <c r="H1918">
        <f t="array" ref="H1918">COUNTIF(A:A,A1918)</f>
        <v>9</v>
      </c>
      <c r="I1918">
        <f t="array" ref="I1918">SUMIF(A:A,A1918,F:F)</f>
        <v>23905.670000000002</v>
      </c>
      <c r="J1918">
        <f t="array" ref="J1918">5 - INT(5 * (RANK(G1918,G:G, 1) - 1) / COUNT(G:G))</f>
        <v>4</v>
      </c>
      <c r="K1918">
        <f t="array" ref="K1918">INT(5 * (RANK(H1918,H:H, 0) - 1) / COUNT(H:H)) + 1</f>
        <v>2</v>
      </c>
      <c r="L1918">
        <f t="array" ref="L1918">INT(5 * (RANK(I1918,I:I, 0) - 1) / COUNT(I:I)) + 1</f>
        <v>4</v>
      </c>
      <c r="M1918" t="str">
        <f t="shared" si="58"/>
        <v>424</v>
      </c>
      <c r="N1918" s="6" t="str">
        <f t="shared" si="59"/>
        <v>New Customers</v>
      </c>
    </row>
    <row r="1919" spans="1:14" x14ac:dyDescent="0.35">
      <c r="A1919">
        <v>1236</v>
      </c>
      <c r="B1919" s="4">
        <v>45882.375085336993</v>
      </c>
      <c r="C1919" t="s">
        <v>10</v>
      </c>
      <c r="D1919" t="s">
        <v>17</v>
      </c>
      <c r="E1919" t="s">
        <v>25</v>
      </c>
      <c r="F1919">
        <v>6738.25</v>
      </c>
      <c r="G1919">
        <f t="array" ref="G1919">SalesData!$I$2 - 'RFM Table'!B1919</f>
        <v>254</v>
      </c>
      <c r="H1919">
        <f t="array" ref="H1919">COUNTIF(A:A,A1919)</f>
        <v>10</v>
      </c>
      <c r="I1919">
        <f t="array" ref="I1919">SUMIF(A:A,A1919,F:F)</f>
        <v>40760.559999999998</v>
      </c>
      <c r="J1919">
        <f t="array" ref="J1919">5 - INT(5 * (RANK(G1919,G:G, 1) - 1) / COUNT(G:G))</f>
        <v>4</v>
      </c>
      <c r="K1919">
        <f t="array" ref="K1919">INT(5 * (RANK(H1919,H:H, 0) - 1) / COUNT(H:H)) + 1</f>
        <v>2</v>
      </c>
      <c r="L1919">
        <f t="array" ref="L1919">INT(5 * (RANK(I1919,I:I, 0) - 1) / COUNT(I:I)) + 1</f>
        <v>2</v>
      </c>
      <c r="M1919" t="str">
        <f t="shared" si="58"/>
        <v>422</v>
      </c>
      <c r="N1919" s="6" t="str">
        <f t="shared" si="59"/>
        <v>New Customers</v>
      </c>
    </row>
    <row r="1920" spans="1:14" x14ac:dyDescent="0.35">
      <c r="A1920">
        <v>1019</v>
      </c>
      <c r="B1920" s="4">
        <v>45882.375085336993</v>
      </c>
      <c r="C1920" t="s">
        <v>10</v>
      </c>
      <c r="D1920" t="s">
        <v>20</v>
      </c>
      <c r="E1920" t="s">
        <v>24</v>
      </c>
      <c r="F1920">
        <v>6775.48</v>
      </c>
      <c r="G1920">
        <f t="array" ref="G1920">SalesData!$I$2 - 'RFM Table'!B1920</f>
        <v>254</v>
      </c>
      <c r="H1920">
        <f t="array" ref="H1920">COUNTIF(A:A,A1920)</f>
        <v>11</v>
      </c>
      <c r="I1920">
        <f t="array" ref="I1920">SUMIF(A:A,A1920,F:F)</f>
        <v>37863.899999999994</v>
      </c>
      <c r="J1920">
        <f t="array" ref="J1920">5 - INT(5 * (RANK(G1920,G:G, 1) - 1) / COUNT(G:G))</f>
        <v>4</v>
      </c>
      <c r="K1920">
        <f t="array" ref="K1920">INT(5 * (RANK(H1920,H:H, 0) - 1) / COUNT(H:H)) + 1</f>
        <v>1</v>
      </c>
      <c r="L1920">
        <f t="array" ref="L1920">INT(5 * (RANK(I1920,I:I, 0) - 1) / COUNT(I:I)) + 1</f>
        <v>2</v>
      </c>
      <c r="M1920" t="str">
        <f t="shared" si="58"/>
        <v>412</v>
      </c>
      <c r="N1920" s="6" t="str">
        <f t="shared" si="59"/>
        <v>New Customers</v>
      </c>
    </row>
    <row r="1921" spans="1:14" x14ac:dyDescent="0.35">
      <c r="A1921">
        <v>1011</v>
      </c>
      <c r="B1921" s="4">
        <v>45882.375085336993</v>
      </c>
      <c r="C1921" t="s">
        <v>10</v>
      </c>
      <c r="D1921" t="s">
        <v>21</v>
      </c>
      <c r="E1921" t="s">
        <v>25</v>
      </c>
      <c r="F1921">
        <v>6255.37</v>
      </c>
      <c r="G1921">
        <f t="array" ref="G1921">SalesData!$I$2 - 'RFM Table'!B1921</f>
        <v>254</v>
      </c>
      <c r="H1921">
        <f t="array" ref="H1921">COUNTIF(A:A,A1921)</f>
        <v>16</v>
      </c>
      <c r="I1921">
        <f t="array" ref="I1921">SUMIF(A:A,A1921,F:F)</f>
        <v>58237.360000000008</v>
      </c>
      <c r="J1921">
        <f t="array" ref="J1921">5 - INT(5 * (RANK(G1921,G:G, 1) - 1) / COUNT(G:G))</f>
        <v>4</v>
      </c>
      <c r="K1921">
        <f t="array" ref="K1921">INT(5 * (RANK(H1921,H:H, 0) - 1) / COUNT(H:H)) + 1</f>
        <v>1</v>
      </c>
      <c r="L1921">
        <f t="array" ref="L1921">INT(5 * (RANK(I1921,I:I, 0) - 1) / COUNT(I:I)) + 1</f>
        <v>1</v>
      </c>
      <c r="M1921" t="str">
        <f t="shared" si="58"/>
        <v>411</v>
      </c>
      <c r="N1921" s="6" t="str">
        <f t="shared" si="59"/>
        <v>New Customers</v>
      </c>
    </row>
    <row r="1922" spans="1:14" x14ac:dyDescent="0.35">
      <c r="A1922">
        <v>1345</v>
      </c>
      <c r="B1922" s="4">
        <v>45882.375085336993</v>
      </c>
      <c r="C1922" t="s">
        <v>11</v>
      </c>
      <c r="D1922" t="s">
        <v>18</v>
      </c>
      <c r="E1922" t="s">
        <v>24</v>
      </c>
      <c r="F1922">
        <v>5496.77</v>
      </c>
      <c r="G1922">
        <f t="array" ref="G1922">SalesData!$I$2 - 'RFM Table'!B1922</f>
        <v>254</v>
      </c>
      <c r="H1922">
        <f t="array" ref="H1922">COUNTIF(A:A,A1922)</f>
        <v>9</v>
      </c>
      <c r="I1922">
        <f t="array" ref="I1922">SUMIF(A:A,A1922,F:F)</f>
        <v>35330.950000000004</v>
      </c>
      <c r="J1922">
        <f t="array" ref="J1922">5 - INT(5 * (RANK(G1922,G:G, 1) - 1) / COUNT(G:G))</f>
        <v>4</v>
      </c>
      <c r="K1922">
        <f t="array" ref="K1922">INT(5 * (RANK(H1922,H:H, 0) - 1) / COUNT(H:H)) + 1</f>
        <v>2</v>
      </c>
      <c r="L1922">
        <f t="array" ref="L1922">INT(5 * (RANK(I1922,I:I, 0) - 1) / COUNT(I:I)) + 1</f>
        <v>3</v>
      </c>
      <c r="M1922" t="str">
        <f t="shared" si="58"/>
        <v>423</v>
      </c>
      <c r="N1922" s="6" t="str">
        <f t="shared" si="59"/>
        <v>New Customers</v>
      </c>
    </row>
    <row r="1923" spans="1:14" x14ac:dyDescent="0.35">
      <c r="A1923">
        <v>1302</v>
      </c>
      <c r="B1923" s="4">
        <v>45883.375085336993</v>
      </c>
      <c r="C1923" t="s">
        <v>11</v>
      </c>
      <c r="D1923" t="s">
        <v>17</v>
      </c>
      <c r="E1923" t="s">
        <v>25</v>
      </c>
      <c r="F1923">
        <v>5306.5</v>
      </c>
      <c r="G1923">
        <f t="array" ref="G1923">SalesData!$I$2 - 'RFM Table'!B1923</f>
        <v>253</v>
      </c>
      <c r="H1923">
        <f t="array" ref="H1923">COUNTIF(A:A,A1923)</f>
        <v>13</v>
      </c>
      <c r="I1923">
        <f t="array" ref="I1923">SUMIF(A:A,A1923,F:F)</f>
        <v>51409.87</v>
      </c>
      <c r="J1923">
        <f t="array" ref="J1923">5 - INT(5 * (RANK(G1923,G:G, 1) - 1) / COUNT(G:G))</f>
        <v>4</v>
      </c>
      <c r="K1923">
        <f t="array" ref="K1923">INT(5 * (RANK(H1923,H:H, 0) - 1) / COUNT(H:H)) + 1</f>
        <v>1</v>
      </c>
      <c r="L1923">
        <f t="array" ref="L1923">INT(5 * (RANK(I1923,I:I, 0) - 1) / COUNT(I:I)) + 1</f>
        <v>1</v>
      </c>
      <c r="M1923" t="str">
        <f t="shared" ref="M1923:M1986" si="60">J1923 &amp; K1923 &amp; L1923</f>
        <v>411</v>
      </c>
      <c r="N1923" s="6" t="str">
        <f t="shared" ref="N1923:N1986" si="61">IF(AND(J1923&gt;=4,K1923&lt;=2),"New Customers",
IF(AND(J1923&lt;=2,K1923&gt;=3,L1923&gt;=3),"At Risk",
IF(AND(J1923&lt;=2,K1923&lt;=2,L1923&gt;=3),"Can't Lose Them",
IF(AND(J1923&lt;=2,K1923&lt;=2,L1923&lt;=2),"Lost",
"Others"))))</f>
        <v>New Customers</v>
      </c>
    </row>
    <row r="1924" spans="1:14" x14ac:dyDescent="0.35">
      <c r="A1924">
        <v>1013</v>
      </c>
      <c r="B1924" s="4">
        <v>45883.375085336993</v>
      </c>
      <c r="C1924" t="s">
        <v>15</v>
      </c>
      <c r="D1924" t="s">
        <v>17</v>
      </c>
      <c r="E1924" t="s">
        <v>24</v>
      </c>
      <c r="F1924">
        <v>11701.36</v>
      </c>
      <c r="G1924">
        <f t="array" ref="G1924">SalesData!$I$2 - 'RFM Table'!B1924</f>
        <v>253</v>
      </c>
      <c r="H1924">
        <f t="array" ref="H1924">COUNTIF(A:A,A1924)</f>
        <v>14</v>
      </c>
      <c r="I1924">
        <f t="array" ref="I1924">SUMIF(A:A,A1924,F:F)</f>
        <v>60099.840000000004</v>
      </c>
      <c r="J1924">
        <f t="array" ref="J1924">5 - INT(5 * (RANK(G1924,G:G, 1) - 1) / COUNT(G:G))</f>
        <v>4</v>
      </c>
      <c r="K1924">
        <f t="array" ref="K1924">INT(5 * (RANK(H1924,H:H, 0) - 1) / COUNT(H:H)) + 1</f>
        <v>1</v>
      </c>
      <c r="L1924">
        <f t="array" ref="L1924">INT(5 * (RANK(I1924,I:I, 0) - 1) / COUNT(I:I)) + 1</f>
        <v>1</v>
      </c>
      <c r="M1924" t="str">
        <f t="shared" si="60"/>
        <v>411</v>
      </c>
      <c r="N1924" s="6" t="str">
        <f t="shared" si="61"/>
        <v>New Customers</v>
      </c>
    </row>
    <row r="1925" spans="1:14" x14ac:dyDescent="0.35">
      <c r="A1925">
        <v>1343</v>
      </c>
      <c r="B1925" s="4">
        <v>45884.375085336993</v>
      </c>
      <c r="C1925" t="s">
        <v>14</v>
      </c>
      <c r="D1925" t="s">
        <v>19</v>
      </c>
      <c r="E1925" t="s">
        <v>24</v>
      </c>
      <c r="F1925">
        <v>4761.78</v>
      </c>
      <c r="G1925">
        <f t="array" ref="G1925">SalesData!$I$2 - 'RFM Table'!B1925</f>
        <v>252</v>
      </c>
      <c r="H1925">
        <f t="array" ref="H1925">COUNTIF(A:A,A1925)</f>
        <v>9</v>
      </c>
      <c r="I1925">
        <f t="array" ref="I1925">SUMIF(A:A,A1925,F:F)</f>
        <v>40117.730000000003</v>
      </c>
      <c r="J1925">
        <f t="array" ref="J1925">5 - INT(5 * (RANK(G1925,G:G, 1) - 1) / COUNT(G:G))</f>
        <v>4</v>
      </c>
      <c r="K1925">
        <f t="array" ref="K1925">INT(5 * (RANK(H1925,H:H, 0) - 1) / COUNT(H:H)) + 1</f>
        <v>2</v>
      </c>
      <c r="L1925">
        <f t="array" ref="L1925">INT(5 * (RANK(I1925,I:I, 0) - 1) / COUNT(I:I)) + 1</f>
        <v>2</v>
      </c>
      <c r="M1925" t="str">
        <f t="shared" si="60"/>
        <v>422</v>
      </c>
      <c r="N1925" s="6" t="str">
        <f t="shared" si="61"/>
        <v>New Customers</v>
      </c>
    </row>
    <row r="1926" spans="1:14" x14ac:dyDescent="0.35">
      <c r="A1926">
        <v>1108</v>
      </c>
      <c r="B1926" s="4">
        <v>45884.375085336993</v>
      </c>
      <c r="C1926" t="s">
        <v>6</v>
      </c>
      <c r="D1926" t="s">
        <v>21</v>
      </c>
      <c r="E1926" t="s">
        <v>23</v>
      </c>
      <c r="F1926">
        <v>5396.61</v>
      </c>
      <c r="G1926">
        <f t="array" ref="G1926">SalesData!$I$2 - 'RFM Table'!B1926</f>
        <v>252</v>
      </c>
      <c r="H1926">
        <f t="array" ref="H1926">COUNTIF(A:A,A1926)</f>
        <v>5</v>
      </c>
      <c r="I1926">
        <f t="array" ref="I1926">SUMIF(A:A,A1926,F:F)</f>
        <v>22595.8</v>
      </c>
      <c r="J1926">
        <f t="array" ref="J1926">5 - INT(5 * (RANK(G1926,G:G, 1) - 1) / COUNT(G:G))</f>
        <v>4</v>
      </c>
      <c r="K1926">
        <f t="array" ref="K1926">INT(5 * (RANK(H1926,H:H, 0) - 1) / COUNT(H:H)) + 1</f>
        <v>5</v>
      </c>
      <c r="L1926">
        <f t="array" ref="L1926">INT(5 * (RANK(I1926,I:I, 0) - 1) / COUNT(I:I)) + 1</f>
        <v>4</v>
      </c>
      <c r="M1926" t="str">
        <f t="shared" si="60"/>
        <v>454</v>
      </c>
      <c r="N1926" s="6" t="str">
        <f t="shared" si="61"/>
        <v>Others</v>
      </c>
    </row>
    <row r="1927" spans="1:14" x14ac:dyDescent="0.35">
      <c r="A1927">
        <v>1241</v>
      </c>
      <c r="B1927" s="4">
        <v>45884.375085336993</v>
      </c>
      <c r="C1927" t="s">
        <v>8</v>
      </c>
      <c r="D1927" t="s">
        <v>16</v>
      </c>
      <c r="E1927" t="s">
        <v>23</v>
      </c>
      <c r="F1927">
        <v>2635.47</v>
      </c>
      <c r="G1927">
        <f t="array" ref="G1927">SalesData!$I$2 - 'RFM Table'!B1927</f>
        <v>252</v>
      </c>
      <c r="H1927">
        <f t="array" ref="H1927">COUNTIF(A:A,A1927)</f>
        <v>10</v>
      </c>
      <c r="I1927">
        <f t="array" ref="I1927">SUMIF(A:A,A1927,F:F)</f>
        <v>38069.94</v>
      </c>
      <c r="J1927">
        <f t="array" ref="J1927">5 - INT(5 * (RANK(G1927,G:G, 1) - 1) / COUNT(G:G))</f>
        <v>4</v>
      </c>
      <c r="K1927">
        <f t="array" ref="K1927">INT(5 * (RANK(H1927,H:H, 0) - 1) / COUNT(H:H)) + 1</f>
        <v>2</v>
      </c>
      <c r="L1927">
        <f t="array" ref="L1927">INT(5 * (RANK(I1927,I:I, 0) - 1) / COUNT(I:I)) + 1</f>
        <v>2</v>
      </c>
      <c r="M1927" t="str">
        <f t="shared" si="60"/>
        <v>422</v>
      </c>
      <c r="N1927" s="6" t="str">
        <f t="shared" si="61"/>
        <v>New Customers</v>
      </c>
    </row>
    <row r="1928" spans="1:14" x14ac:dyDescent="0.35">
      <c r="A1928">
        <v>1385</v>
      </c>
      <c r="B1928" s="4">
        <v>45885.375085336993</v>
      </c>
      <c r="C1928" t="s">
        <v>14</v>
      </c>
      <c r="D1928" t="s">
        <v>18</v>
      </c>
      <c r="E1928" t="s">
        <v>25</v>
      </c>
      <c r="F1928">
        <v>11969.05</v>
      </c>
      <c r="G1928">
        <f t="array" ref="G1928">SalesData!$I$2 - 'RFM Table'!B1928</f>
        <v>251</v>
      </c>
      <c r="H1928">
        <f t="array" ref="H1928">COUNTIF(A:A,A1928)</f>
        <v>11</v>
      </c>
      <c r="I1928">
        <f t="array" ref="I1928">SUMIF(A:A,A1928,F:F)</f>
        <v>73437.08</v>
      </c>
      <c r="J1928">
        <f t="array" ref="J1928">5 - INT(5 * (RANK(G1928,G:G, 1) - 1) / COUNT(G:G))</f>
        <v>4</v>
      </c>
      <c r="K1928">
        <f t="array" ref="K1928">INT(5 * (RANK(H1928,H:H, 0) - 1) / COUNT(H:H)) + 1</f>
        <v>1</v>
      </c>
      <c r="L1928">
        <f t="array" ref="L1928">INT(5 * (RANK(I1928,I:I, 0) - 1) / COUNT(I:I)) + 1</f>
        <v>1</v>
      </c>
      <c r="M1928" t="str">
        <f t="shared" si="60"/>
        <v>411</v>
      </c>
      <c r="N1928" s="6" t="str">
        <f t="shared" si="61"/>
        <v>New Customers</v>
      </c>
    </row>
    <row r="1929" spans="1:14" x14ac:dyDescent="0.35">
      <c r="A1929">
        <v>1057</v>
      </c>
      <c r="B1929" s="4">
        <v>45885.375085336993</v>
      </c>
      <c r="C1929" t="s">
        <v>11</v>
      </c>
      <c r="D1929" t="s">
        <v>19</v>
      </c>
      <c r="E1929" t="s">
        <v>25</v>
      </c>
      <c r="F1929">
        <v>2133.19</v>
      </c>
      <c r="G1929">
        <f t="array" ref="G1929">SalesData!$I$2 - 'RFM Table'!B1929</f>
        <v>251</v>
      </c>
      <c r="H1929">
        <f t="array" ref="H1929">COUNTIF(A:A,A1929)</f>
        <v>9</v>
      </c>
      <c r="I1929">
        <f t="array" ref="I1929">SUMIF(A:A,A1929,F:F)</f>
        <v>32930.549999999996</v>
      </c>
      <c r="J1929">
        <f t="array" ref="J1929">5 - INT(5 * (RANK(G1929,G:G, 1) - 1) / COUNT(G:G))</f>
        <v>4</v>
      </c>
      <c r="K1929">
        <f t="array" ref="K1929">INT(5 * (RANK(H1929,H:H, 0) - 1) / COUNT(H:H)) + 1</f>
        <v>2</v>
      </c>
      <c r="L1929">
        <f t="array" ref="L1929">INT(5 * (RANK(I1929,I:I, 0) - 1) / COUNT(I:I)) + 1</f>
        <v>3</v>
      </c>
      <c r="M1929" t="str">
        <f t="shared" si="60"/>
        <v>423</v>
      </c>
      <c r="N1929" s="6" t="str">
        <f t="shared" si="61"/>
        <v>New Customers</v>
      </c>
    </row>
    <row r="1930" spans="1:14" x14ac:dyDescent="0.35">
      <c r="A1930">
        <v>1304</v>
      </c>
      <c r="B1930" s="4">
        <v>45885.375085336993</v>
      </c>
      <c r="C1930" t="s">
        <v>11</v>
      </c>
      <c r="D1930" t="s">
        <v>17</v>
      </c>
      <c r="E1930" t="s">
        <v>23</v>
      </c>
      <c r="F1930">
        <v>9487.84</v>
      </c>
      <c r="G1930">
        <f t="array" ref="G1930">SalesData!$I$2 - 'RFM Table'!B1930</f>
        <v>251</v>
      </c>
      <c r="H1930">
        <f t="array" ref="H1930">COUNTIF(A:A,A1930)</f>
        <v>10</v>
      </c>
      <c r="I1930">
        <f t="array" ref="I1930">SUMIF(A:A,A1930,F:F)</f>
        <v>39472.789999999994</v>
      </c>
      <c r="J1930">
        <f t="array" ref="J1930">5 - INT(5 * (RANK(G1930,G:G, 1) - 1) / COUNT(G:G))</f>
        <v>4</v>
      </c>
      <c r="K1930">
        <f t="array" ref="K1930">INT(5 * (RANK(H1930,H:H, 0) - 1) / COUNT(H:H)) + 1</f>
        <v>2</v>
      </c>
      <c r="L1930">
        <f t="array" ref="L1930">INT(5 * (RANK(I1930,I:I, 0) - 1) / COUNT(I:I)) + 1</f>
        <v>2</v>
      </c>
      <c r="M1930" t="str">
        <f t="shared" si="60"/>
        <v>422</v>
      </c>
      <c r="N1930" s="6" t="str">
        <f t="shared" si="61"/>
        <v>New Customers</v>
      </c>
    </row>
    <row r="1931" spans="1:14" x14ac:dyDescent="0.35">
      <c r="A1931">
        <v>1013</v>
      </c>
      <c r="B1931" s="4">
        <v>45885.375085336993</v>
      </c>
      <c r="C1931" t="s">
        <v>14</v>
      </c>
      <c r="D1931" t="s">
        <v>22</v>
      </c>
      <c r="E1931" t="s">
        <v>23</v>
      </c>
      <c r="F1931">
        <v>2853.13</v>
      </c>
      <c r="G1931">
        <f t="array" ref="G1931">SalesData!$I$2 - 'RFM Table'!B1931</f>
        <v>251</v>
      </c>
      <c r="H1931">
        <f t="array" ref="H1931">COUNTIF(A:A,A1931)</f>
        <v>14</v>
      </c>
      <c r="I1931">
        <f t="array" ref="I1931">SUMIF(A:A,A1931,F:F)</f>
        <v>60099.840000000004</v>
      </c>
      <c r="J1931">
        <f t="array" ref="J1931">5 - INT(5 * (RANK(G1931,G:G, 1) - 1) / COUNT(G:G))</f>
        <v>4</v>
      </c>
      <c r="K1931">
        <f t="array" ref="K1931">INT(5 * (RANK(H1931,H:H, 0) - 1) / COUNT(H:H)) + 1</f>
        <v>1</v>
      </c>
      <c r="L1931">
        <f t="array" ref="L1931">INT(5 * (RANK(I1931,I:I, 0) - 1) / COUNT(I:I)) + 1</f>
        <v>1</v>
      </c>
      <c r="M1931" t="str">
        <f t="shared" si="60"/>
        <v>411</v>
      </c>
      <c r="N1931" s="6" t="str">
        <f t="shared" si="61"/>
        <v>New Customers</v>
      </c>
    </row>
    <row r="1932" spans="1:14" x14ac:dyDescent="0.35">
      <c r="A1932">
        <v>1197</v>
      </c>
      <c r="B1932" s="4">
        <v>45885.375085336993</v>
      </c>
      <c r="C1932" t="s">
        <v>12</v>
      </c>
      <c r="D1932" t="s">
        <v>17</v>
      </c>
      <c r="E1932" t="s">
        <v>23</v>
      </c>
      <c r="F1932">
        <v>1964.48</v>
      </c>
      <c r="G1932">
        <f t="array" ref="G1932">SalesData!$I$2 - 'RFM Table'!B1932</f>
        <v>251</v>
      </c>
      <c r="H1932">
        <f t="array" ref="H1932">COUNTIF(A:A,A1932)</f>
        <v>9</v>
      </c>
      <c r="I1932">
        <f t="array" ref="I1932">SUMIF(A:A,A1932,F:F)</f>
        <v>28813.449999999997</v>
      </c>
      <c r="J1932">
        <f t="array" ref="J1932">5 - INT(5 * (RANK(G1932,G:G, 1) - 1) / COUNT(G:G))</f>
        <v>4</v>
      </c>
      <c r="K1932">
        <f t="array" ref="K1932">INT(5 * (RANK(H1932,H:H, 0) - 1) / COUNT(H:H)) + 1</f>
        <v>2</v>
      </c>
      <c r="L1932">
        <f t="array" ref="L1932">INT(5 * (RANK(I1932,I:I, 0) - 1) / COUNT(I:I)) + 1</f>
        <v>4</v>
      </c>
      <c r="M1932" t="str">
        <f t="shared" si="60"/>
        <v>424</v>
      </c>
      <c r="N1932" s="6" t="str">
        <f t="shared" si="61"/>
        <v>New Customers</v>
      </c>
    </row>
    <row r="1933" spans="1:14" x14ac:dyDescent="0.35">
      <c r="A1933">
        <v>1238</v>
      </c>
      <c r="B1933" s="4">
        <v>45885.375085336993</v>
      </c>
      <c r="C1933" t="s">
        <v>12</v>
      </c>
      <c r="D1933" t="s">
        <v>21</v>
      </c>
      <c r="E1933" t="s">
        <v>25</v>
      </c>
      <c r="F1933">
        <v>3137.01</v>
      </c>
      <c r="G1933">
        <f t="array" ref="G1933">SalesData!$I$2 - 'RFM Table'!B1933</f>
        <v>251</v>
      </c>
      <c r="H1933">
        <f t="array" ref="H1933">COUNTIF(A:A,A1933)</f>
        <v>10</v>
      </c>
      <c r="I1933">
        <f t="array" ref="I1933">SUMIF(A:A,A1933,F:F)</f>
        <v>42023.55</v>
      </c>
      <c r="J1933">
        <f t="array" ref="J1933">5 - INT(5 * (RANK(G1933,G:G, 1) - 1) / COUNT(G:G))</f>
        <v>4</v>
      </c>
      <c r="K1933">
        <f t="array" ref="K1933">INT(5 * (RANK(H1933,H:H, 0) - 1) / COUNT(H:H)) + 1</f>
        <v>2</v>
      </c>
      <c r="L1933">
        <f t="array" ref="L1933">INT(5 * (RANK(I1933,I:I, 0) - 1) / COUNT(I:I)) + 1</f>
        <v>2</v>
      </c>
      <c r="M1933" t="str">
        <f t="shared" si="60"/>
        <v>422</v>
      </c>
      <c r="N1933" s="6" t="str">
        <f t="shared" si="61"/>
        <v>New Customers</v>
      </c>
    </row>
    <row r="1934" spans="1:14" x14ac:dyDescent="0.35">
      <c r="A1934">
        <v>1178</v>
      </c>
      <c r="B1934" s="4">
        <v>45885.375085336993</v>
      </c>
      <c r="C1934" t="s">
        <v>10</v>
      </c>
      <c r="D1934" t="s">
        <v>18</v>
      </c>
      <c r="E1934" t="s">
        <v>23</v>
      </c>
      <c r="F1934">
        <v>6362.4</v>
      </c>
      <c r="G1934">
        <f t="array" ref="G1934">SalesData!$I$2 - 'RFM Table'!B1934</f>
        <v>251</v>
      </c>
      <c r="H1934">
        <f t="array" ref="H1934">COUNTIF(A:A,A1934)</f>
        <v>7</v>
      </c>
      <c r="I1934">
        <f t="array" ref="I1934">SUMIF(A:A,A1934,F:F)</f>
        <v>26651.280000000002</v>
      </c>
      <c r="J1934">
        <f t="array" ref="J1934">5 - INT(5 * (RANK(G1934,G:G, 1) - 1) / COUNT(G:G))</f>
        <v>4</v>
      </c>
      <c r="K1934">
        <f t="array" ref="K1934">INT(5 * (RANK(H1934,H:H, 0) - 1) / COUNT(H:H)) + 1</f>
        <v>4</v>
      </c>
      <c r="L1934">
        <f t="array" ref="L1934">INT(5 * (RANK(I1934,I:I, 0) - 1) / COUNT(I:I)) + 1</f>
        <v>4</v>
      </c>
      <c r="M1934" t="str">
        <f t="shared" si="60"/>
        <v>444</v>
      </c>
      <c r="N1934" s="6" t="str">
        <f t="shared" si="61"/>
        <v>Others</v>
      </c>
    </row>
    <row r="1935" spans="1:14" x14ac:dyDescent="0.35">
      <c r="A1935">
        <v>1384</v>
      </c>
      <c r="B1935" s="4">
        <v>45886.375085336993</v>
      </c>
      <c r="C1935" t="s">
        <v>8</v>
      </c>
      <c r="D1935" t="s">
        <v>21</v>
      </c>
      <c r="E1935" t="s">
        <v>23</v>
      </c>
      <c r="F1935">
        <v>525.24</v>
      </c>
      <c r="G1935">
        <f t="array" ref="G1935">SalesData!$I$2 - 'RFM Table'!B1935</f>
        <v>250</v>
      </c>
      <c r="H1935">
        <f t="array" ref="H1935">COUNTIF(A:A,A1935)</f>
        <v>9</v>
      </c>
      <c r="I1935">
        <f t="array" ref="I1935">SUMIF(A:A,A1935,F:F)</f>
        <v>39434.269999999997</v>
      </c>
      <c r="J1935">
        <f t="array" ref="J1935">5 - INT(5 * (RANK(G1935,G:G, 1) - 1) / COUNT(G:G))</f>
        <v>4</v>
      </c>
      <c r="K1935">
        <f t="array" ref="K1935">INT(5 * (RANK(H1935,H:H, 0) - 1) / COUNT(H:H)) + 1</f>
        <v>2</v>
      </c>
      <c r="L1935">
        <f t="array" ref="L1935">INT(5 * (RANK(I1935,I:I, 0) - 1) / COUNT(I:I)) + 1</f>
        <v>2</v>
      </c>
      <c r="M1935" t="str">
        <f t="shared" si="60"/>
        <v>422</v>
      </c>
      <c r="N1935" s="6" t="str">
        <f t="shared" si="61"/>
        <v>New Customers</v>
      </c>
    </row>
    <row r="1936" spans="1:14" x14ac:dyDescent="0.35">
      <c r="A1936">
        <v>1187</v>
      </c>
      <c r="B1936" s="4">
        <v>45886.375085336993</v>
      </c>
      <c r="C1936" t="s">
        <v>10</v>
      </c>
      <c r="D1936" t="s">
        <v>21</v>
      </c>
      <c r="E1936" t="s">
        <v>25</v>
      </c>
      <c r="F1936">
        <v>2705.84</v>
      </c>
      <c r="G1936">
        <f t="array" ref="G1936">SalesData!$I$2 - 'RFM Table'!B1936</f>
        <v>250</v>
      </c>
      <c r="H1936">
        <f t="array" ref="H1936">COUNTIF(A:A,A1936)</f>
        <v>11</v>
      </c>
      <c r="I1936">
        <f t="array" ref="I1936">SUMIF(A:A,A1936,F:F)</f>
        <v>43247.159999999996</v>
      </c>
      <c r="J1936">
        <f t="array" ref="J1936">5 - INT(5 * (RANK(G1936,G:G, 1) - 1) / COUNT(G:G))</f>
        <v>4</v>
      </c>
      <c r="K1936">
        <f t="array" ref="K1936">INT(5 * (RANK(H1936,H:H, 0) - 1) / COUNT(H:H)) + 1</f>
        <v>1</v>
      </c>
      <c r="L1936">
        <f t="array" ref="L1936">INT(5 * (RANK(I1936,I:I, 0) - 1) / COUNT(I:I)) + 1</f>
        <v>2</v>
      </c>
      <c r="M1936" t="str">
        <f t="shared" si="60"/>
        <v>412</v>
      </c>
      <c r="N1936" s="6" t="str">
        <f t="shared" si="61"/>
        <v>New Customers</v>
      </c>
    </row>
    <row r="1937" spans="1:14" x14ac:dyDescent="0.35">
      <c r="A1937">
        <v>1238</v>
      </c>
      <c r="B1937" s="4">
        <v>45886.375085336993</v>
      </c>
      <c r="C1937" t="s">
        <v>14</v>
      </c>
      <c r="D1937" t="s">
        <v>21</v>
      </c>
      <c r="E1937" t="s">
        <v>24</v>
      </c>
      <c r="F1937">
        <v>4314.07</v>
      </c>
      <c r="G1937">
        <f t="array" ref="G1937">SalesData!$I$2 - 'RFM Table'!B1937</f>
        <v>250</v>
      </c>
      <c r="H1937">
        <f t="array" ref="H1937">COUNTIF(A:A,A1937)</f>
        <v>10</v>
      </c>
      <c r="I1937">
        <f t="array" ref="I1937">SUMIF(A:A,A1937,F:F)</f>
        <v>42023.55</v>
      </c>
      <c r="J1937">
        <f t="array" ref="J1937">5 - INT(5 * (RANK(G1937,G:G, 1) - 1) / COUNT(G:G))</f>
        <v>4</v>
      </c>
      <c r="K1937">
        <f t="array" ref="K1937">INT(5 * (RANK(H1937,H:H, 0) - 1) / COUNT(H:H)) + 1</f>
        <v>2</v>
      </c>
      <c r="L1937">
        <f t="array" ref="L1937">INT(5 * (RANK(I1937,I:I, 0) - 1) / COUNT(I:I)) + 1</f>
        <v>2</v>
      </c>
      <c r="M1937" t="str">
        <f t="shared" si="60"/>
        <v>422</v>
      </c>
      <c r="N1937" s="6" t="str">
        <f t="shared" si="61"/>
        <v>New Customers</v>
      </c>
    </row>
    <row r="1938" spans="1:14" x14ac:dyDescent="0.35">
      <c r="A1938">
        <v>1305</v>
      </c>
      <c r="B1938" s="4">
        <v>45886.375085336993</v>
      </c>
      <c r="C1938" t="s">
        <v>11</v>
      </c>
      <c r="D1938" t="s">
        <v>16</v>
      </c>
      <c r="E1938" t="s">
        <v>25</v>
      </c>
      <c r="F1938">
        <v>4072.37</v>
      </c>
      <c r="G1938">
        <f t="array" ref="G1938">SalesData!$I$2 - 'RFM Table'!B1938</f>
        <v>250</v>
      </c>
      <c r="H1938">
        <f t="array" ref="H1938">COUNTIF(A:A,A1938)</f>
        <v>5</v>
      </c>
      <c r="I1938">
        <f t="array" ref="I1938">SUMIF(A:A,A1938,F:F)</f>
        <v>21192.55</v>
      </c>
      <c r="J1938">
        <f t="array" ref="J1938">5 - INT(5 * (RANK(G1938,G:G, 1) - 1) / COUNT(G:G))</f>
        <v>4</v>
      </c>
      <c r="K1938">
        <f t="array" ref="K1938">INT(5 * (RANK(H1938,H:H, 0) - 1) / COUNT(H:H)) + 1</f>
        <v>5</v>
      </c>
      <c r="L1938">
        <f t="array" ref="L1938">INT(5 * (RANK(I1938,I:I, 0) - 1) / COUNT(I:I)) + 1</f>
        <v>5</v>
      </c>
      <c r="M1938" t="str">
        <f t="shared" si="60"/>
        <v>455</v>
      </c>
      <c r="N1938" s="6" t="str">
        <f t="shared" si="61"/>
        <v>Others</v>
      </c>
    </row>
    <row r="1939" spans="1:14" x14ac:dyDescent="0.35">
      <c r="A1939">
        <v>1076</v>
      </c>
      <c r="B1939" s="4">
        <v>45886.375085336993</v>
      </c>
      <c r="C1939" t="s">
        <v>15</v>
      </c>
      <c r="D1939" t="s">
        <v>22</v>
      </c>
      <c r="E1939" t="s">
        <v>25</v>
      </c>
      <c r="F1939">
        <v>7698.35</v>
      </c>
      <c r="G1939">
        <f t="array" ref="G1939">SalesData!$I$2 - 'RFM Table'!B1939</f>
        <v>250</v>
      </c>
      <c r="H1939">
        <f t="array" ref="H1939">COUNTIF(A:A,A1939)</f>
        <v>5</v>
      </c>
      <c r="I1939">
        <f t="array" ref="I1939">SUMIF(A:A,A1939,F:F)</f>
        <v>19731.25</v>
      </c>
      <c r="J1939">
        <f t="array" ref="J1939">5 - INT(5 * (RANK(G1939,G:G, 1) - 1) / COUNT(G:G))</f>
        <v>4</v>
      </c>
      <c r="K1939">
        <f t="array" ref="K1939">INT(5 * (RANK(H1939,H:H, 0) - 1) / COUNT(H:H)) + 1</f>
        <v>5</v>
      </c>
      <c r="L1939">
        <f t="array" ref="L1939">INT(5 * (RANK(I1939,I:I, 0) - 1) / COUNT(I:I)) + 1</f>
        <v>5</v>
      </c>
      <c r="M1939" t="str">
        <f t="shared" si="60"/>
        <v>455</v>
      </c>
      <c r="N1939" s="6" t="str">
        <f t="shared" si="61"/>
        <v>Others</v>
      </c>
    </row>
    <row r="1940" spans="1:14" x14ac:dyDescent="0.35">
      <c r="A1940">
        <v>1313</v>
      </c>
      <c r="B1940" s="4">
        <v>45886.375085336993</v>
      </c>
      <c r="C1940" t="s">
        <v>11</v>
      </c>
      <c r="D1940" t="s">
        <v>19</v>
      </c>
      <c r="E1940" t="s">
        <v>23</v>
      </c>
      <c r="F1940">
        <v>6014.41</v>
      </c>
      <c r="G1940">
        <f t="array" ref="G1940">SalesData!$I$2 - 'RFM Table'!B1940</f>
        <v>250</v>
      </c>
      <c r="H1940">
        <f t="array" ref="H1940">COUNTIF(A:A,A1940)</f>
        <v>9</v>
      </c>
      <c r="I1940">
        <f t="array" ref="I1940">SUMIF(A:A,A1940,F:F)</f>
        <v>35759.83</v>
      </c>
      <c r="J1940">
        <f t="array" ref="J1940">5 - INT(5 * (RANK(G1940,G:G, 1) - 1) / COUNT(G:G))</f>
        <v>4</v>
      </c>
      <c r="K1940">
        <f t="array" ref="K1940">INT(5 * (RANK(H1940,H:H, 0) - 1) / COUNT(H:H)) + 1</f>
        <v>2</v>
      </c>
      <c r="L1940">
        <f t="array" ref="L1940">INT(5 * (RANK(I1940,I:I, 0) - 1) / COUNT(I:I)) + 1</f>
        <v>3</v>
      </c>
      <c r="M1940" t="str">
        <f t="shared" si="60"/>
        <v>423</v>
      </c>
      <c r="N1940" s="6" t="str">
        <f t="shared" si="61"/>
        <v>New Customers</v>
      </c>
    </row>
    <row r="1941" spans="1:14" x14ac:dyDescent="0.35">
      <c r="A1941">
        <v>1187</v>
      </c>
      <c r="B1941" s="4">
        <v>45886.375085336993</v>
      </c>
      <c r="C1941" t="s">
        <v>13</v>
      </c>
      <c r="D1941" t="s">
        <v>22</v>
      </c>
      <c r="E1941" t="s">
        <v>25</v>
      </c>
      <c r="F1941">
        <v>4705.29</v>
      </c>
      <c r="G1941">
        <f t="array" ref="G1941">SalesData!$I$2 - 'RFM Table'!B1941</f>
        <v>250</v>
      </c>
      <c r="H1941">
        <f t="array" ref="H1941">COUNTIF(A:A,A1941)</f>
        <v>11</v>
      </c>
      <c r="I1941">
        <f t="array" ref="I1941">SUMIF(A:A,A1941,F:F)</f>
        <v>43247.159999999996</v>
      </c>
      <c r="J1941">
        <f t="array" ref="J1941">5 - INT(5 * (RANK(G1941,G:G, 1) - 1) / COUNT(G:G))</f>
        <v>4</v>
      </c>
      <c r="K1941">
        <f t="array" ref="K1941">INT(5 * (RANK(H1941,H:H, 0) - 1) / COUNT(H:H)) + 1</f>
        <v>1</v>
      </c>
      <c r="L1941">
        <f t="array" ref="L1941">INT(5 * (RANK(I1941,I:I, 0) - 1) / COUNT(I:I)) + 1</f>
        <v>2</v>
      </c>
      <c r="M1941" t="str">
        <f t="shared" si="60"/>
        <v>412</v>
      </c>
      <c r="N1941" s="6" t="str">
        <f t="shared" si="61"/>
        <v>New Customers</v>
      </c>
    </row>
    <row r="1942" spans="1:14" x14ac:dyDescent="0.35">
      <c r="A1942">
        <v>1365</v>
      </c>
      <c r="B1942" s="4">
        <v>45887.375085336993</v>
      </c>
      <c r="C1942" t="s">
        <v>12</v>
      </c>
      <c r="D1942" t="s">
        <v>18</v>
      </c>
      <c r="E1942" t="s">
        <v>23</v>
      </c>
      <c r="F1942">
        <v>1349.75</v>
      </c>
      <c r="G1942">
        <f t="array" ref="G1942">SalesData!$I$2 - 'RFM Table'!B1942</f>
        <v>249</v>
      </c>
      <c r="H1942">
        <f t="array" ref="H1942">COUNTIF(A:A,A1942)</f>
        <v>6</v>
      </c>
      <c r="I1942">
        <f t="array" ref="I1942">SUMIF(A:A,A1942,F:F)</f>
        <v>28898.239999999998</v>
      </c>
      <c r="J1942">
        <f t="array" ref="J1942">5 - INT(5 * (RANK(G1942,G:G, 1) - 1) / COUNT(G:G))</f>
        <v>4</v>
      </c>
      <c r="K1942">
        <f t="array" ref="K1942">INT(5 * (RANK(H1942,H:H, 0) - 1) / COUNT(H:H)) + 1</f>
        <v>4</v>
      </c>
      <c r="L1942">
        <f t="array" ref="L1942">INT(5 * (RANK(I1942,I:I, 0) - 1) / COUNT(I:I)) + 1</f>
        <v>4</v>
      </c>
      <c r="M1942" t="str">
        <f t="shared" si="60"/>
        <v>444</v>
      </c>
      <c r="N1942" s="6" t="str">
        <f t="shared" si="61"/>
        <v>Others</v>
      </c>
    </row>
    <row r="1943" spans="1:14" x14ac:dyDescent="0.35">
      <c r="A1943">
        <v>1149</v>
      </c>
      <c r="B1943" s="4">
        <v>45887.375085336993</v>
      </c>
      <c r="C1943" t="s">
        <v>6</v>
      </c>
      <c r="D1943" t="s">
        <v>16</v>
      </c>
      <c r="E1943" t="s">
        <v>25</v>
      </c>
      <c r="F1943">
        <v>3008.08</v>
      </c>
      <c r="G1943">
        <f t="array" ref="G1943">SalesData!$I$2 - 'RFM Table'!B1943</f>
        <v>249</v>
      </c>
      <c r="H1943">
        <f t="array" ref="H1943">COUNTIF(A:A,A1943)</f>
        <v>8</v>
      </c>
      <c r="I1943">
        <f t="array" ref="I1943">SUMIF(A:A,A1943,F:F)</f>
        <v>22978.19</v>
      </c>
      <c r="J1943">
        <f t="array" ref="J1943">5 - INT(5 * (RANK(G1943,G:G, 1) - 1) / COUNT(G:G))</f>
        <v>4</v>
      </c>
      <c r="K1943">
        <f t="array" ref="K1943">INT(5 * (RANK(H1943,H:H, 0) - 1) / COUNT(H:H)) + 1</f>
        <v>3</v>
      </c>
      <c r="L1943">
        <f t="array" ref="L1943">INT(5 * (RANK(I1943,I:I, 0) - 1) / COUNT(I:I)) + 1</f>
        <v>4</v>
      </c>
      <c r="M1943" t="str">
        <f t="shared" si="60"/>
        <v>434</v>
      </c>
      <c r="N1943" s="6" t="str">
        <f t="shared" si="61"/>
        <v>Others</v>
      </c>
    </row>
    <row r="1944" spans="1:14" x14ac:dyDescent="0.35">
      <c r="A1944">
        <v>1067</v>
      </c>
      <c r="B1944" s="4">
        <v>45888.375085336993</v>
      </c>
      <c r="C1944" t="s">
        <v>7</v>
      </c>
      <c r="D1944" t="s">
        <v>22</v>
      </c>
      <c r="E1944" t="s">
        <v>25</v>
      </c>
      <c r="F1944">
        <v>2841.3</v>
      </c>
      <c r="G1944">
        <f t="array" ref="G1944">SalesData!$I$2 - 'RFM Table'!B1944</f>
        <v>248</v>
      </c>
      <c r="H1944">
        <f t="array" ref="H1944">COUNTIF(A:A,A1944)</f>
        <v>6</v>
      </c>
      <c r="I1944">
        <f t="array" ref="I1944">SUMIF(A:A,A1944,F:F)</f>
        <v>15612.87</v>
      </c>
      <c r="J1944">
        <f t="array" ref="J1944">5 - INT(5 * (RANK(G1944,G:G, 1) - 1) / COUNT(G:G))</f>
        <v>4</v>
      </c>
      <c r="K1944">
        <f t="array" ref="K1944">INT(5 * (RANK(H1944,H:H, 0) - 1) / COUNT(H:H)) + 1</f>
        <v>4</v>
      </c>
      <c r="L1944">
        <f t="array" ref="L1944">INT(5 * (RANK(I1944,I:I, 0) - 1) / COUNT(I:I)) + 1</f>
        <v>5</v>
      </c>
      <c r="M1944" t="str">
        <f t="shared" si="60"/>
        <v>445</v>
      </c>
      <c r="N1944" s="6" t="str">
        <f t="shared" si="61"/>
        <v>Others</v>
      </c>
    </row>
    <row r="1945" spans="1:14" x14ac:dyDescent="0.35">
      <c r="A1945">
        <v>1113</v>
      </c>
      <c r="B1945" s="4">
        <v>45888.375085336993</v>
      </c>
      <c r="C1945" t="s">
        <v>11</v>
      </c>
      <c r="D1945" t="s">
        <v>20</v>
      </c>
      <c r="E1945" t="s">
        <v>25</v>
      </c>
      <c r="F1945">
        <v>1462.63</v>
      </c>
      <c r="G1945">
        <f t="array" ref="G1945">SalesData!$I$2 - 'RFM Table'!B1945</f>
        <v>248</v>
      </c>
      <c r="H1945">
        <f t="array" ref="H1945">COUNTIF(A:A,A1945)</f>
        <v>7</v>
      </c>
      <c r="I1945">
        <f t="array" ref="I1945">SUMIF(A:A,A1945,F:F)</f>
        <v>17672.689999999999</v>
      </c>
      <c r="J1945">
        <f t="array" ref="J1945">5 - INT(5 * (RANK(G1945,G:G, 1) - 1) / COUNT(G:G))</f>
        <v>4</v>
      </c>
      <c r="K1945">
        <f t="array" ref="K1945">INT(5 * (RANK(H1945,H:H, 0) - 1) / COUNT(H:H)) + 1</f>
        <v>4</v>
      </c>
      <c r="L1945">
        <f t="array" ref="L1945">INT(5 * (RANK(I1945,I:I, 0) - 1) / COUNT(I:I)) + 1</f>
        <v>5</v>
      </c>
      <c r="M1945" t="str">
        <f t="shared" si="60"/>
        <v>445</v>
      </c>
      <c r="N1945" s="6" t="str">
        <f t="shared" si="61"/>
        <v>Others</v>
      </c>
    </row>
    <row r="1946" spans="1:14" x14ac:dyDescent="0.35">
      <c r="A1946">
        <v>1172</v>
      </c>
      <c r="B1946" s="4">
        <v>45888.375085336993</v>
      </c>
      <c r="C1946" t="s">
        <v>12</v>
      </c>
      <c r="D1946" t="s">
        <v>16</v>
      </c>
      <c r="E1946" t="s">
        <v>23</v>
      </c>
      <c r="F1946">
        <v>6851.95</v>
      </c>
      <c r="G1946">
        <f t="array" ref="G1946">SalesData!$I$2 - 'RFM Table'!B1946</f>
        <v>248</v>
      </c>
      <c r="H1946">
        <f t="array" ref="H1946">COUNTIF(A:A,A1946)</f>
        <v>13</v>
      </c>
      <c r="I1946">
        <f t="array" ref="I1946">SUMIF(A:A,A1946,F:F)</f>
        <v>64175.24</v>
      </c>
      <c r="J1946">
        <f t="array" ref="J1946">5 - INT(5 * (RANK(G1946,G:G, 1) - 1) / COUNT(G:G))</f>
        <v>4</v>
      </c>
      <c r="K1946">
        <f t="array" ref="K1946">INT(5 * (RANK(H1946,H:H, 0) - 1) / COUNT(H:H)) + 1</f>
        <v>1</v>
      </c>
      <c r="L1946">
        <f t="array" ref="L1946">INT(5 * (RANK(I1946,I:I, 0) - 1) / COUNT(I:I)) + 1</f>
        <v>1</v>
      </c>
      <c r="M1946" t="str">
        <f t="shared" si="60"/>
        <v>411</v>
      </c>
      <c r="N1946" s="6" t="str">
        <f t="shared" si="61"/>
        <v>New Customers</v>
      </c>
    </row>
    <row r="1947" spans="1:14" x14ac:dyDescent="0.35">
      <c r="A1947">
        <v>1393</v>
      </c>
      <c r="B1947" s="4">
        <v>45888.375085336993</v>
      </c>
      <c r="C1947" t="s">
        <v>12</v>
      </c>
      <c r="D1947" t="s">
        <v>17</v>
      </c>
      <c r="E1947" t="s">
        <v>24</v>
      </c>
      <c r="F1947">
        <v>4012.66</v>
      </c>
      <c r="G1947">
        <f t="array" ref="G1947">SalesData!$I$2 - 'RFM Table'!B1947</f>
        <v>248</v>
      </c>
      <c r="H1947">
        <f t="array" ref="H1947">COUNTIF(A:A,A1947)</f>
        <v>7</v>
      </c>
      <c r="I1947">
        <f t="array" ref="I1947">SUMIF(A:A,A1947,F:F)</f>
        <v>28804.870000000003</v>
      </c>
      <c r="J1947">
        <f t="array" ref="J1947">5 - INT(5 * (RANK(G1947,G:G, 1) - 1) / COUNT(G:G))</f>
        <v>4</v>
      </c>
      <c r="K1947">
        <f t="array" ref="K1947">INT(5 * (RANK(H1947,H:H, 0) - 1) / COUNT(H:H)) + 1</f>
        <v>4</v>
      </c>
      <c r="L1947">
        <f t="array" ref="L1947">INT(5 * (RANK(I1947,I:I, 0) - 1) / COUNT(I:I)) + 1</f>
        <v>4</v>
      </c>
      <c r="M1947" t="str">
        <f t="shared" si="60"/>
        <v>444</v>
      </c>
      <c r="N1947" s="6" t="str">
        <f t="shared" si="61"/>
        <v>Others</v>
      </c>
    </row>
    <row r="1948" spans="1:14" x14ac:dyDescent="0.35">
      <c r="A1948">
        <v>1222</v>
      </c>
      <c r="B1948" s="4">
        <v>45888.375085336993</v>
      </c>
      <c r="C1948" t="s">
        <v>15</v>
      </c>
      <c r="D1948" t="s">
        <v>19</v>
      </c>
      <c r="E1948" t="s">
        <v>24</v>
      </c>
      <c r="F1948">
        <v>10485.59</v>
      </c>
      <c r="G1948">
        <f t="array" ref="G1948">SalesData!$I$2 - 'RFM Table'!B1948</f>
        <v>248</v>
      </c>
      <c r="H1948">
        <f t="array" ref="H1948">COUNTIF(A:A,A1948)</f>
        <v>12</v>
      </c>
      <c r="I1948">
        <f t="array" ref="I1948">SUMIF(A:A,A1948,F:F)</f>
        <v>45191.609999999993</v>
      </c>
      <c r="J1948">
        <f t="array" ref="J1948">5 - INT(5 * (RANK(G1948,G:G, 1) - 1) / COUNT(G:G))</f>
        <v>4</v>
      </c>
      <c r="K1948">
        <f t="array" ref="K1948">INT(5 * (RANK(H1948,H:H, 0) - 1) / COUNT(H:H)) + 1</f>
        <v>1</v>
      </c>
      <c r="L1948">
        <f t="array" ref="L1948">INT(5 * (RANK(I1948,I:I, 0) - 1) / COUNT(I:I)) + 1</f>
        <v>1</v>
      </c>
      <c r="M1948" t="str">
        <f t="shared" si="60"/>
        <v>411</v>
      </c>
      <c r="N1948" s="6" t="str">
        <f t="shared" si="61"/>
        <v>New Customers</v>
      </c>
    </row>
    <row r="1949" spans="1:14" x14ac:dyDescent="0.35">
      <c r="A1949">
        <v>1000</v>
      </c>
      <c r="B1949" s="4">
        <v>45889.375085336993</v>
      </c>
      <c r="C1949" t="s">
        <v>12</v>
      </c>
      <c r="D1949" t="s">
        <v>18</v>
      </c>
      <c r="E1949" t="s">
        <v>23</v>
      </c>
      <c r="F1949">
        <v>786.4</v>
      </c>
      <c r="G1949">
        <f t="array" ref="G1949">SalesData!$I$2 - 'RFM Table'!B1949</f>
        <v>247</v>
      </c>
      <c r="H1949">
        <f t="array" ref="H1949">COUNTIF(A:A,A1949)</f>
        <v>11</v>
      </c>
      <c r="I1949">
        <f t="array" ref="I1949">SUMIF(A:A,A1949,F:F)</f>
        <v>62566.770000000004</v>
      </c>
      <c r="J1949">
        <f t="array" ref="J1949">5 - INT(5 * (RANK(G1949,G:G, 1) - 1) / COUNT(G:G))</f>
        <v>4</v>
      </c>
      <c r="K1949">
        <f t="array" ref="K1949">INT(5 * (RANK(H1949,H:H, 0) - 1) / COUNT(H:H)) + 1</f>
        <v>1</v>
      </c>
      <c r="L1949">
        <f t="array" ref="L1949">INT(5 * (RANK(I1949,I:I, 0) - 1) / COUNT(I:I)) + 1</f>
        <v>1</v>
      </c>
      <c r="M1949" t="str">
        <f t="shared" si="60"/>
        <v>411</v>
      </c>
      <c r="N1949" s="6" t="str">
        <f t="shared" si="61"/>
        <v>New Customers</v>
      </c>
    </row>
    <row r="1950" spans="1:14" x14ac:dyDescent="0.35">
      <c r="A1950">
        <v>1182</v>
      </c>
      <c r="B1950" s="4">
        <v>45889.375085336993</v>
      </c>
      <c r="C1950" t="s">
        <v>8</v>
      </c>
      <c r="D1950" t="s">
        <v>20</v>
      </c>
      <c r="E1950" t="s">
        <v>25</v>
      </c>
      <c r="F1950">
        <v>1424.86</v>
      </c>
      <c r="G1950">
        <f t="array" ref="G1950">SalesData!$I$2 - 'RFM Table'!B1950</f>
        <v>247</v>
      </c>
      <c r="H1950">
        <f t="array" ref="H1950">COUNTIF(A:A,A1950)</f>
        <v>7</v>
      </c>
      <c r="I1950">
        <f t="array" ref="I1950">SUMIF(A:A,A1950,F:F)</f>
        <v>20657.780000000002</v>
      </c>
      <c r="J1950">
        <f t="array" ref="J1950">5 - INT(5 * (RANK(G1950,G:G, 1) - 1) / COUNT(G:G))</f>
        <v>4</v>
      </c>
      <c r="K1950">
        <f t="array" ref="K1950">INT(5 * (RANK(H1950,H:H, 0) - 1) / COUNT(H:H)) + 1</f>
        <v>4</v>
      </c>
      <c r="L1950">
        <f t="array" ref="L1950">INT(5 * (RANK(I1950,I:I, 0) - 1) / COUNT(I:I)) + 1</f>
        <v>5</v>
      </c>
      <c r="M1950" t="str">
        <f t="shared" si="60"/>
        <v>445</v>
      </c>
      <c r="N1950" s="6" t="str">
        <f t="shared" si="61"/>
        <v>Others</v>
      </c>
    </row>
    <row r="1951" spans="1:14" x14ac:dyDescent="0.35">
      <c r="A1951">
        <v>1174</v>
      </c>
      <c r="B1951" s="4">
        <v>45890.375085336993</v>
      </c>
      <c r="C1951" t="s">
        <v>12</v>
      </c>
      <c r="D1951" t="s">
        <v>22</v>
      </c>
      <c r="E1951" t="s">
        <v>25</v>
      </c>
      <c r="F1951">
        <v>7593.57</v>
      </c>
      <c r="G1951">
        <f t="array" ref="G1951">SalesData!$I$2 - 'RFM Table'!B1951</f>
        <v>246</v>
      </c>
      <c r="H1951">
        <f t="array" ref="H1951">COUNTIF(A:A,A1951)</f>
        <v>7</v>
      </c>
      <c r="I1951">
        <f t="array" ref="I1951">SUMIF(A:A,A1951,F:F)</f>
        <v>28777.9</v>
      </c>
      <c r="J1951">
        <f t="array" ref="J1951">5 - INT(5 * (RANK(G1951,G:G, 1) - 1) / COUNT(G:G))</f>
        <v>4</v>
      </c>
      <c r="K1951">
        <f t="array" ref="K1951">INT(5 * (RANK(H1951,H:H, 0) - 1) / COUNT(H:H)) + 1</f>
        <v>4</v>
      </c>
      <c r="L1951">
        <f t="array" ref="L1951">INT(5 * (RANK(I1951,I:I, 0) - 1) / COUNT(I:I)) + 1</f>
        <v>4</v>
      </c>
      <c r="M1951" t="str">
        <f t="shared" si="60"/>
        <v>444</v>
      </c>
      <c r="N1951" s="6" t="str">
        <f t="shared" si="61"/>
        <v>Others</v>
      </c>
    </row>
    <row r="1952" spans="1:14" x14ac:dyDescent="0.35">
      <c r="A1952">
        <v>1115</v>
      </c>
      <c r="B1952" s="4">
        <v>45890.375085336993</v>
      </c>
      <c r="C1952" t="s">
        <v>12</v>
      </c>
      <c r="D1952" t="s">
        <v>22</v>
      </c>
      <c r="E1952" t="s">
        <v>23</v>
      </c>
      <c r="F1952">
        <v>2202.08</v>
      </c>
      <c r="G1952">
        <f t="array" ref="G1952">SalesData!$I$2 - 'RFM Table'!B1952</f>
        <v>246</v>
      </c>
      <c r="H1952">
        <f t="array" ref="H1952">COUNTIF(A:A,A1952)</f>
        <v>6</v>
      </c>
      <c r="I1952">
        <f t="array" ref="I1952">SUMIF(A:A,A1952,F:F)</f>
        <v>19413.5</v>
      </c>
      <c r="J1952">
        <f t="array" ref="J1952">5 - INT(5 * (RANK(G1952,G:G, 1) - 1) / COUNT(G:G))</f>
        <v>4</v>
      </c>
      <c r="K1952">
        <f t="array" ref="K1952">INT(5 * (RANK(H1952,H:H, 0) - 1) / COUNT(H:H)) + 1</f>
        <v>4</v>
      </c>
      <c r="L1952">
        <f t="array" ref="L1952">INT(5 * (RANK(I1952,I:I, 0) - 1) / COUNT(I:I)) + 1</f>
        <v>5</v>
      </c>
      <c r="M1952" t="str">
        <f t="shared" si="60"/>
        <v>445</v>
      </c>
      <c r="N1952" s="6" t="str">
        <f t="shared" si="61"/>
        <v>Others</v>
      </c>
    </row>
    <row r="1953" spans="1:14" x14ac:dyDescent="0.35">
      <c r="A1953">
        <v>1135</v>
      </c>
      <c r="B1953" s="4">
        <v>45890.375085336993</v>
      </c>
      <c r="C1953" t="s">
        <v>11</v>
      </c>
      <c r="D1953" t="s">
        <v>22</v>
      </c>
      <c r="E1953" t="s">
        <v>25</v>
      </c>
      <c r="F1953">
        <v>6918.76</v>
      </c>
      <c r="G1953">
        <f t="array" ref="G1953">SalesData!$I$2 - 'RFM Table'!B1953</f>
        <v>246</v>
      </c>
      <c r="H1953">
        <f t="array" ref="H1953">COUNTIF(A:A,A1953)</f>
        <v>10</v>
      </c>
      <c r="I1953">
        <f t="array" ref="I1953">SUMIF(A:A,A1953,F:F)</f>
        <v>31217.780000000002</v>
      </c>
      <c r="J1953">
        <f t="array" ref="J1953">5 - INT(5 * (RANK(G1953,G:G, 1) - 1) / COUNT(G:G))</f>
        <v>4</v>
      </c>
      <c r="K1953">
        <f t="array" ref="K1953">INT(5 * (RANK(H1953,H:H, 0) - 1) / COUNT(H:H)) + 1</f>
        <v>2</v>
      </c>
      <c r="L1953">
        <f t="array" ref="L1953">INT(5 * (RANK(I1953,I:I, 0) - 1) / COUNT(I:I)) + 1</f>
        <v>3</v>
      </c>
      <c r="M1953" t="str">
        <f t="shared" si="60"/>
        <v>423</v>
      </c>
      <c r="N1953" s="6" t="str">
        <f t="shared" si="61"/>
        <v>New Customers</v>
      </c>
    </row>
    <row r="1954" spans="1:14" x14ac:dyDescent="0.35">
      <c r="A1954">
        <v>1219</v>
      </c>
      <c r="B1954" s="4">
        <v>45890.375085336993</v>
      </c>
      <c r="C1954" t="s">
        <v>10</v>
      </c>
      <c r="D1954" t="s">
        <v>16</v>
      </c>
      <c r="E1954" t="s">
        <v>25</v>
      </c>
      <c r="F1954">
        <v>1042.3599999999999</v>
      </c>
      <c r="G1954">
        <f t="array" ref="G1954">SalesData!$I$2 - 'RFM Table'!B1954</f>
        <v>246</v>
      </c>
      <c r="H1954">
        <f t="array" ref="H1954">COUNTIF(A:A,A1954)</f>
        <v>11</v>
      </c>
      <c r="I1954">
        <f t="array" ref="I1954">SUMIF(A:A,A1954,F:F)</f>
        <v>38976.650000000009</v>
      </c>
      <c r="J1954">
        <f t="array" ref="J1954">5 - INT(5 * (RANK(G1954,G:G, 1) - 1) / COUNT(G:G))</f>
        <v>4</v>
      </c>
      <c r="K1954">
        <f t="array" ref="K1954">INT(5 * (RANK(H1954,H:H, 0) - 1) / COUNT(H:H)) + 1</f>
        <v>1</v>
      </c>
      <c r="L1954">
        <f t="array" ref="L1954">INT(5 * (RANK(I1954,I:I, 0) - 1) / COUNT(I:I)) + 1</f>
        <v>2</v>
      </c>
      <c r="M1954" t="str">
        <f t="shared" si="60"/>
        <v>412</v>
      </c>
      <c r="N1954" s="6" t="str">
        <f t="shared" si="61"/>
        <v>New Customers</v>
      </c>
    </row>
    <row r="1955" spans="1:14" x14ac:dyDescent="0.35">
      <c r="A1955">
        <v>1045</v>
      </c>
      <c r="B1955" s="4">
        <v>45890.375085336993</v>
      </c>
      <c r="C1955" t="s">
        <v>15</v>
      </c>
      <c r="D1955" t="s">
        <v>20</v>
      </c>
      <c r="E1955" t="s">
        <v>24</v>
      </c>
      <c r="F1955">
        <v>5189.45</v>
      </c>
      <c r="G1955">
        <f t="array" ref="G1955">SalesData!$I$2 - 'RFM Table'!B1955</f>
        <v>246</v>
      </c>
      <c r="H1955">
        <f t="array" ref="H1955">COUNTIF(A:A,A1955)</f>
        <v>7</v>
      </c>
      <c r="I1955">
        <f t="array" ref="I1955">SUMIF(A:A,A1955,F:F)</f>
        <v>27876.53</v>
      </c>
      <c r="J1955">
        <f t="array" ref="J1955">5 - INT(5 * (RANK(G1955,G:G, 1) - 1) / COUNT(G:G))</f>
        <v>4</v>
      </c>
      <c r="K1955">
        <f t="array" ref="K1955">INT(5 * (RANK(H1955,H:H, 0) - 1) / COUNT(H:H)) + 1</f>
        <v>4</v>
      </c>
      <c r="L1955">
        <f t="array" ref="L1955">INT(5 * (RANK(I1955,I:I, 0) - 1) / COUNT(I:I)) + 1</f>
        <v>4</v>
      </c>
      <c r="M1955" t="str">
        <f t="shared" si="60"/>
        <v>444</v>
      </c>
      <c r="N1955" s="6" t="str">
        <f t="shared" si="61"/>
        <v>Others</v>
      </c>
    </row>
    <row r="1956" spans="1:14" x14ac:dyDescent="0.35">
      <c r="A1956">
        <v>1012</v>
      </c>
      <c r="B1956" s="4">
        <v>45890.375085336993</v>
      </c>
      <c r="C1956" t="s">
        <v>11</v>
      </c>
      <c r="D1956" t="s">
        <v>20</v>
      </c>
      <c r="E1956" t="s">
        <v>23</v>
      </c>
      <c r="F1956">
        <v>2142.13</v>
      </c>
      <c r="G1956">
        <f t="array" ref="G1956">SalesData!$I$2 - 'RFM Table'!B1956</f>
        <v>246</v>
      </c>
      <c r="H1956">
        <f t="array" ref="H1956">COUNTIF(A:A,A1956)</f>
        <v>8</v>
      </c>
      <c r="I1956">
        <f t="array" ref="I1956">SUMIF(A:A,A1956,F:F)</f>
        <v>35967.03</v>
      </c>
      <c r="J1956">
        <f t="array" ref="J1956">5 - INT(5 * (RANK(G1956,G:G, 1) - 1) / COUNT(G:G))</f>
        <v>4</v>
      </c>
      <c r="K1956">
        <f t="array" ref="K1956">INT(5 * (RANK(H1956,H:H, 0) - 1) / COUNT(H:H)) + 1</f>
        <v>3</v>
      </c>
      <c r="L1956">
        <f t="array" ref="L1956">INT(5 * (RANK(I1956,I:I, 0) - 1) / COUNT(I:I)) + 1</f>
        <v>3</v>
      </c>
      <c r="M1956" t="str">
        <f t="shared" si="60"/>
        <v>433</v>
      </c>
      <c r="N1956" s="6" t="str">
        <f t="shared" si="61"/>
        <v>Others</v>
      </c>
    </row>
    <row r="1957" spans="1:14" x14ac:dyDescent="0.35">
      <c r="A1957">
        <v>1064</v>
      </c>
      <c r="B1957" s="4">
        <v>45890.375085336993</v>
      </c>
      <c r="C1957" t="s">
        <v>8</v>
      </c>
      <c r="D1957" t="s">
        <v>18</v>
      </c>
      <c r="E1957" t="s">
        <v>23</v>
      </c>
      <c r="F1957">
        <v>6525.94</v>
      </c>
      <c r="G1957">
        <f t="array" ref="G1957">SalesData!$I$2 - 'RFM Table'!B1957</f>
        <v>246</v>
      </c>
      <c r="H1957">
        <f t="array" ref="H1957">COUNTIF(A:A,A1957)</f>
        <v>6</v>
      </c>
      <c r="I1957">
        <f t="array" ref="I1957">SUMIF(A:A,A1957,F:F)</f>
        <v>30683.43</v>
      </c>
      <c r="J1957">
        <f t="array" ref="J1957">5 - INT(5 * (RANK(G1957,G:G, 1) - 1) / COUNT(G:G))</f>
        <v>4</v>
      </c>
      <c r="K1957">
        <f t="array" ref="K1957">INT(5 * (RANK(H1957,H:H, 0) - 1) / COUNT(H:H)) + 1</f>
        <v>4</v>
      </c>
      <c r="L1957">
        <f t="array" ref="L1957">INT(5 * (RANK(I1957,I:I, 0) - 1) / COUNT(I:I)) + 1</f>
        <v>3</v>
      </c>
      <c r="M1957" t="str">
        <f t="shared" si="60"/>
        <v>443</v>
      </c>
      <c r="N1957" s="6" t="str">
        <f t="shared" si="61"/>
        <v>Others</v>
      </c>
    </row>
    <row r="1958" spans="1:14" x14ac:dyDescent="0.35">
      <c r="A1958">
        <v>1398</v>
      </c>
      <c r="B1958" s="4">
        <v>45891.375085336993</v>
      </c>
      <c r="C1958" t="s">
        <v>13</v>
      </c>
      <c r="D1958" t="s">
        <v>17</v>
      </c>
      <c r="E1958" t="s">
        <v>23</v>
      </c>
      <c r="F1958">
        <v>4894.49</v>
      </c>
      <c r="G1958">
        <f t="array" ref="G1958">SalesData!$I$2 - 'RFM Table'!B1958</f>
        <v>245</v>
      </c>
      <c r="H1958">
        <f t="array" ref="H1958">COUNTIF(A:A,A1958)</f>
        <v>7</v>
      </c>
      <c r="I1958">
        <f t="array" ref="I1958">SUMIF(A:A,A1958,F:F)</f>
        <v>28040.249999999996</v>
      </c>
      <c r="J1958">
        <f t="array" ref="J1958">5 - INT(5 * (RANK(G1958,G:G, 1) - 1) / COUNT(G:G))</f>
        <v>4</v>
      </c>
      <c r="K1958">
        <f t="array" ref="K1958">INT(5 * (RANK(H1958,H:H, 0) - 1) / COUNT(H:H)) + 1</f>
        <v>4</v>
      </c>
      <c r="L1958">
        <f t="array" ref="L1958">INT(5 * (RANK(I1958,I:I, 0) - 1) / COUNT(I:I)) + 1</f>
        <v>4</v>
      </c>
      <c r="M1958" t="str">
        <f t="shared" si="60"/>
        <v>444</v>
      </c>
      <c r="N1958" s="6" t="str">
        <f t="shared" si="61"/>
        <v>Others</v>
      </c>
    </row>
    <row r="1959" spans="1:14" x14ac:dyDescent="0.35">
      <c r="A1959">
        <v>1234</v>
      </c>
      <c r="B1959" s="4">
        <v>45891.375085336993</v>
      </c>
      <c r="C1959" t="s">
        <v>7</v>
      </c>
      <c r="D1959" t="s">
        <v>16</v>
      </c>
      <c r="E1959" t="s">
        <v>25</v>
      </c>
      <c r="F1959">
        <v>365.16</v>
      </c>
      <c r="G1959">
        <f t="array" ref="G1959">SalesData!$I$2 - 'RFM Table'!B1959</f>
        <v>245</v>
      </c>
      <c r="H1959">
        <f t="array" ref="H1959">COUNTIF(A:A,A1959)</f>
        <v>5</v>
      </c>
      <c r="I1959">
        <f t="array" ref="I1959">SUMIF(A:A,A1959,F:F)</f>
        <v>18834.370000000003</v>
      </c>
      <c r="J1959">
        <f t="array" ref="J1959">5 - INT(5 * (RANK(G1959,G:G, 1) - 1) / COUNT(G:G))</f>
        <v>4</v>
      </c>
      <c r="K1959">
        <f t="array" ref="K1959">INT(5 * (RANK(H1959,H:H, 0) - 1) / COUNT(H:H)) + 1</f>
        <v>5</v>
      </c>
      <c r="L1959">
        <f t="array" ref="L1959">INT(5 * (RANK(I1959,I:I, 0) - 1) / COUNT(I:I)) + 1</f>
        <v>5</v>
      </c>
      <c r="M1959" t="str">
        <f t="shared" si="60"/>
        <v>455</v>
      </c>
      <c r="N1959" s="6" t="str">
        <f t="shared" si="61"/>
        <v>Others</v>
      </c>
    </row>
    <row r="1960" spans="1:14" x14ac:dyDescent="0.35">
      <c r="A1960">
        <v>1368</v>
      </c>
      <c r="B1960" s="4">
        <v>45891.375085336993</v>
      </c>
      <c r="C1960" t="s">
        <v>13</v>
      </c>
      <c r="D1960" t="s">
        <v>19</v>
      </c>
      <c r="E1960" t="s">
        <v>24</v>
      </c>
      <c r="F1960">
        <v>3121.16</v>
      </c>
      <c r="G1960">
        <f t="array" ref="G1960">SalesData!$I$2 - 'RFM Table'!B1960</f>
        <v>245</v>
      </c>
      <c r="H1960">
        <f t="array" ref="H1960">COUNTIF(A:A,A1960)</f>
        <v>8</v>
      </c>
      <c r="I1960">
        <f t="array" ref="I1960">SUMIF(A:A,A1960,F:F)</f>
        <v>26119.000000000004</v>
      </c>
      <c r="J1960">
        <f t="array" ref="J1960">5 - INT(5 * (RANK(G1960,G:G, 1) - 1) / COUNT(G:G))</f>
        <v>4</v>
      </c>
      <c r="K1960">
        <f t="array" ref="K1960">INT(5 * (RANK(H1960,H:H, 0) - 1) / COUNT(H:H)) + 1</f>
        <v>3</v>
      </c>
      <c r="L1960">
        <f t="array" ref="L1960">INT(5 * (RANK(I1960,I:I, 0) - 1) / COUNT(I:I)) + 1</f>
        <v>4</v>
      </c>
      <c r="M1960" t="str">
        <f t="shared" si="60"/>
        <v>434</v>
      </c>
      <c r="N1960" s="6" t="str">
        <f t="shared" si="61"/>
        <v>Others</v>
      </c>
    </row>
    <row r="1961" spans="1:14" x14ac:dyDescent="0.35">
      <c r="A1961">
        <v>1158</v>
      </c>
      <c r="B1961" s="4">
        <v>45891.375085336993</v>
      </c>
      <c r="C1961" t="s">
        <v>14</v>
      </c>
      <c r="D1961" t="s">
        <v>16</v>
      </c>
      <c r="E1961" t="s">
        <v>24</v>
      </c>
      <c r="F1961">
        <v>5585.45</v>
      </c>
      <c r="G1961">
        <f t="array" ref="G1961">SalesData!$I$2 - 'RFM Table'!B1961</f>
        <v>245</v>
      </c>
      <c r="H1961">
        <f t="array" ref="H1961">COUNTIF(A:A,A1961)</f>
        <v>5</v>
      </c>
      <c r="I1961">
        <f t="array" ref="I1961">SUMIF(A:A,A1961,F:F)</f>
        <v>14717.050000000001</v>
      </c>
      <c r="J1961">
        <f t="array" ref="J1961">5 - INT(5 * (RANK(G1961,G:G, 1) - 1) / COUNT(G:G))</f>
        <v>4</v>
      </c>
      <c r="K1961">
        <f t="array" ref="K1961">INT(5 * (RANK(H1961,H:H, 0) - 1) / COUNT(H:H)) + 1</f>
        <v>5</v>
      </c>
      <c r="L1961">
        <f t="array" ref="L1961">INT(5 * (RANK(I1961,I:I, 0) - 1) / COUNT(I:I)) + 1</f>
        <v>5</v>
      </c>
      <c r="M1961" t="str">
        <f t="shared" si="60"/>
        <v>455</v>
      </c>
      <c r="N1961" s="6" t="str">
        <f t="shared" si="61"/>
        <v>Others</v>
      </c>
    </row>
    <row r="1962" spans="1:14" x14ac:dyDescent="0.35">
      <c r="A1962">
        <v>1254</v>
      </c>
      <c r="B1962" s="4">
        <v>45891.375085336993</v>
      </c>
      <c r="C1962" t="s">
        <v>15</v>
      </c>
      <c r="D1962" t="s">
        <v>18</v>
      </c>
      <c r="E1962" t="s">
        <v>25</v>
      </c>
      <c r="F1962">
        <v>6426.53</v>
      </c>
      <c r="G1962">
        <f t="array" ref="G1962">SalesData!$I$2 - 'RFM Table'!B1962</f>
        <v>245</v>
      </c>
      <c r="H1962">
        <f t="array" ref="H1962">COUNTIF(A:A,A1962)</f>
        <v>5</v>
      </c>
      <c r="I1962">
        <f t="array" ref="I1962">SUMIF(A:A,A1962,F:F)</f>
        <v>26657.089999999997</v>
      </c>
      <c r="J1962">
        <f t="array" ref="J1962">5 - INT(5 * (RANK(G1962,G:G, 1) - 1) / COUNT(G:G))</f>
        <v>4</v>
      </c>
      <c r="K1962">
        <f t="array" ref="K1962">INT(5 * (RANK(H1962,H:H, 0) - 1) / COUNT(H:H)) + 1</f>
        <v>5</v>
      </c>
      <c r="L1962">
        <f t="array" ref="L1962">INT(5 * (RANK(I1962,I:I, 0) - 1) / COUNT(I:I)) + 1</f>
        <v>4</v>
      </c>
      <c r="M1962" t="str">
        <f t="shared" si="60"/>
        <v>454</v>
      </c>
      <c r="N1962" s="6" t="str">
        <f t="shared" si="61"/>
        <v>Others</v>
      </c>
    </row>
    <row r="1963" spans="1:14" x14ac:dyDescent="0.35">
      <c r="A1963">
        <v>1038</v>
      </c>
      <c r="B1963" s="4">
        <v>45892.375085336993</v>
      </c>
      <c r="C1963" t="s">
        <v>12</v>
      </c>
      <c r="D1963" t="s">
        <v>20</v>
      </c>
      <c r="E1963" t="s">
        <v>23</v>
      </c>
      <c r="F1963">
        <v>6752.39</v>
      </c>
      <c r="G1963">
        <f t="array" ref="G1963">SalesData!$I$2 - 'RFM Table'!B1963</f>
        <v>244</v>
      </c>
      <c r="H1963">
        <f t="array" ref="H1963">COUNTIF(A:A,A1963)</f>
        <v>16</v>
      </c>
      <c r="I1963">
        <f t="array" ref="I1963">SUMIF(A:A,A1963,F:F)</f>
        <v>76962.720000000001</v>
      </c>
      <c r="J1963">
        <f t="array" ref="J1963">5 - INT(5 * (RANK(G1963,G:G, 1) - 1) / COUNT(G:G))</f>
        <v>4</v>
      </c>
      <c r="K1963">
        <f t="array" ref="K1963">INT(5 * (RANK(H1963,H:H, 0) - 1) / COUNT(H:H)) + 1</f>
        <v>1</v>
      </c>
      <c r="L1963">
        <f t="array" ref="L1963">INT(5 * (RANK(I1963,I:I, 0) - 1) / COUNT(I:I)) + 1</f>
        <v>1</v>
      </c>
      <c r="M1963" t="str">
        <f t="shared" si="60"/>
        <v>411</v>
      </c>
      <c r="N1963" s="6" t="str">
        <f t="shared" si="61"/>
        <v>New Customers</v>
      </c>
    </row>
    <row r="1964" spans="1:14" x14ac:dyDescent="0.35">
      <c r="A1964">
        <v>1396</v>
      </c>
      <c r="B1964" s="4">
        <v>45892.375085336993</v>
      </c>
      <c r="C1964" t="s">
        <v>13</v>
      </c>
      <c r="D1964" t="s">
        <v>21</v>
      </c>
      <c r="E1964" t="s">
        <v>25</v>
      </c>
      <c r="F1964">
        <v>4683.49</v>
      </c>
      <c r="G1964">
        <f t="array" ref="G1964">SalesData!$I$2 - 'RFM Table'!B1964</f>
        <v>244</v>
      </c>
      <c r="H1964">
        <f t="array" ref="H1964">COUNTIF(A:A,A1964)</f>
        <v>11</v>
      </c>
      <c r="I1964">
        <f t="array" ref="I1964">SUMIF(A:A,A1964,F:F)</f>
        <v>54143.32</v>
      </c>
      <c r="J1964">
        <f t="array" ref="J1964">5 - INT(5 * (RANK(G1964,G:G, 1) - 1) / COUNT(G:G))</f>
        <v>4</v>
      </c>
      <c r="K1964">
        <f t="array" ref="K1964">INT(5 * (RANK(H1964,H:H, 0) - 1) / COUNT(H:H)) + 1</f>
        <v>1</v>
      </c>
      <c r="L1964">
        <f t="array" ref="L1964">INT(5 * (RANK(I1964,I:I, 0) - 1) / COUNT(I:I)) + 1</f>
        <v>1</v>
      </c>
      <c r="M1964" t="str">
        <f t="shared" si="60"/>
        <v>411</v>
      </c>
      <c r="N1964" s="6" t="str">
        <f t="shared" si="61"/>
        <v>New Customers</v>
      </c>
    </row>
    <row r="1965" spans="1:14" x14ac:dyDescent="0.35">
      <c r="A1965">
        <v>1271</v>
      </c>
      <c r="B1965" s="4">
        <v>45892.375085336993</v>
      </c>
      <c r="C1965" t="s">
        <v>7</v>
      </c>
      <c r="D1965" t="s">
        <v>17</v>
      </c>
      <c r="E1965" t="s">
        <v>23</v>
      </c>
      <c r="F1965">
        <v>2766.91</v>
      </c>
      <c r="G1965">
        <f t="array" ref="G1965">SalesData!$I$2 - 'RFM Table'!B1965</f>
        <v>244</v>
      </c>
      <c r="H1965">
        <f t="array" ref="H1965">COUNTIF(A:A,A1965)</f>
        <v>4</v>
      </c>
      <c r="I1965">
        <f t="array" ref="I1965">SUMIF(A:A,A1965,F:F)</f>
        <v>18876.47</v>
      </c>
      <c r="J1965">
        <f t="array" ref="J1965">5 - INT(5 * (RANK(G1965,G:G, 1) - 1) / COUNT(G:G))</f>
        <v>4</v>
      </c>
      <c r="K1965">
        <f t="array" ref="K1965">INT(5 * (RANK(H1965,H:H, 0) - 1) / COUNT(H:H)) + 1</f>
        <v>5</v>
      </c>
      <c r="L1965">
        <f t="array" ref="L1965">INT(5 * (RANK(I1965,I:I, 0) - 1) / COUNT(I:I)) + 1</f>
        <v>5</v>
      </c>
      <c r="M1965" t="str">
        <f t="shared" si="60"/>
        <v>455</v>
      </c>
      <c r="N1965" s="6" t="str">
        <f t="shared" si="61"/>
        <v>Others</v>
      </c>
    </row>
    <row r="1966" spans="1:14" x14ac:dyDescent="0.35">
      <c r="A1966">
        <v>1082</v>
      </c>
      <c r="B1966" s="4">
        <v>45893.375085336993</v>
      </c>
      <c r="C1966" t="s">
        <v>6</v>
      </c>
      <c r="D1966" t="s">
        <v>21</v>
      </c>
      <c r="E1966" t="s">
        <v>25</v>
      </c>
      <c r="F1966">
        <v>1465.52</v>
      </c>
      <c r="G1966">
        <f t="array" ref="G1966">SalesData!$I$2 - 'RFM Table'!B1966</f>
        <v>243</v>
      </c>
      <c r="H1966">
        <f t="array" ref="H1966">COUNTIF(A:A,A1966)</f>
        <v>3</v>
      </c>
      <c r="I1966">
        <f t="array" ref="I1966">SUMIF(A:A,A1966,F:F)</f>
        <v>16434.620000000003</v>
      </c>
      <c r="J1966">
        <f t="array" ref="J1966">5 - INT(5 * (RANK(G1966,G:G, 1) - 1) / COUNT(G:G))</f>
        <v>4</v>
      </c>
      <c r="K1966">
        <f t="array" ref="K1966">INT(5 * (RANK(H1966,H:H, 0) - 1) / COUNT(H:H)) + 1</f>
        <v>5</v>
      </c>
      <c r="L1966">
        <f t="array" ref="L1966">INT(5 * (RANK(I1966,I:I, 0) - 1) / COUNT(I:I)) + 1</f>
        <v>5</v>
      </c>
      <c r="M1966" t="str">
        <f t="shared" si="60"/>
        <v>455</v>
      </c>
      <c r="N1966" s="6" t="str">
        <f t="shared" si="61"/>
        <v>Others</v>
      </c>
    </row>
    <row r="1967" spans="1:14" x14ac:dyDescent="0.35">
      <c r="A1967">
        <v>1377</v>
      </c>
      <c r="B1967" s="4">
        <v>45893.375085336993</v>
      </c>
      <c r="C1967" t="s">
        <v>14</v>
      </c>
      <c r="D1967" t="s">
        <v>20</v>
      </c>
      <c r="E1967" t="s">
        <v>24</v>
      </c>
      <c r="F1967">
        <v>6183.83</v>
      </c>
      <c r="G1967">
        <f t="array" ref="G1967">SalesData!$I$2 - 'RFM Table'!B1967</f>
        <v>243</v>
      </c>
      <c r="H1967">
        <f t="array" ref="H1967">COUNTIF(A:A,A1967)</f>
        <v>6</v>
      </c>
      <c r="I1967">
        <f t="array" ref="I1967">SUMIF(A:A,A1967,F:F)</f>
        <v>39626.31</v>
      </c>
      <c r="J1967">
        <f t="array" ref="J1967">5 - INT(5 * (RANK(G1967,G:G, 1) - 1) / COUNT(G:G))</f>
        <v>4</v>
      </c>
      <c r="K1967">
        <f t="array" ref="K1967">INT(5 * (RANK(H1967,H:H, 0) - 1) / COUNT(H:H)) + 1</f>
        <v>4</v>
      </c>
      <c r="L1967">
        <f t="array" ref="L1967">INT(5 * (RANK(I1967,I:I, 0) - 1) / COUNT(I:I)) + 1</f>
        <v>2</v>
      </c>
      <c r="M1967" t="str">
        <f t="shared" si="60"/>
        <v>442</v>
      </c>
      <c r="N1967" s="6" t="str">
        <f t="shared" si="61"/>
        <v>Others</v>
      </c>
    </row>
    <row r="1968" spans="1:14" x14ac:dyDescent="0.35">
      <c r="A1968">
        <v>1052</v>
      </c>
      <c r="B1968" s="4">
        <v>45893.375085336993</v>
      </c>
      <c r="C1968" t="s">
        <v>7</v>
      </c>
      <c r="D1968" t="s">
        <v>21</v>
      </c>
      <c r="E1968" t="s">
        <v>25</v>
      </c>
      <c r="F1968">
        <v>4482.09</v>
      </c>
      <c r="G1968">
        <f t="array" ref="G1968">SalesData!$I$2 - 'RFM Table'!B1968</f>
        <v>243</v>
      </c>
      <c r="H1968">
        <f t="array" ref="H1968">COUNTIF(A:A,A1968)</f>
        <v>9</v>
      </c>
      <c r="I1968">
        <f t="array" ref="I1968">SUMIF(A:A,A1968,F:F)</f>
        <v>35283.15</v>
      </c>
      <c r="J1968">
        <f t="array" ref="J1968">5 - INT(5 * (RANK(G1968,G:G, 1) - 1) / COUNT(G:G))</f>
        <v>4</v>
      </c>
      <c r="K1968">
        <f t="array" ref="K1968">INT(5 * (RANK(H1968,H:H, 0) - 1) / COUNT(H:H)) + 1</f>
        <v>2</v>
      </c>
      <c r="L1968">
        <f t="array" ref="L1968">INT(5 * (RANK(I1968,I:I, 0) - 1) / COUNT(I:I)) + 1</f>
        <v>3</v>
      </c>
      <c r="M1968" t="str">
        <f t="shared" si="60"/>
        <v>423</v>
      </c>
      <c r="N1968" s="6" t="str">
        <f t="shared" si="61"/>
        <v>New Customers</v>
      </c>
    </row>
    <row r="1969" spans="1:14" x14ac:dyDescent="0.35">
      <c r="A1969">
        <v>1270</v>
      </c>
      <c r="B1969" s="4">
        <v>45893.375085336993</v>
      </c>
      <c r="C1969" t="s">
        <v>7</v>
      </c>
      <c r="D1969" t="s">
        <v>16</v>
      </c>
      <c r="E1969" t="s">
        <v>23</v>
      </c>
      <c r="F1969">
        <v>3474.27</v>
      </c>
      <c r="G1969">
        <f t="array" ref="G1969">SalesData!$I$2 - 'RFM Table'!B1969</f>
        <v>243</v>
      </c>
      <c r="H1969">
        <f t="array" ref="H1969">COUNTIF(A:A,A1969)</f>
        <v>10</v>
      </c>
      <c r="I1969">
        <f t="array" ref="I1969">SUMIF(A:A,A1969,F:F)</f>
        <v>34623.81</v>
      </c>
      <c r="J1969">
        <f t="array" ref="J1969">5 - INT(5 * (RANK(G1969,G:G, 1) - 1) / COUNT(G:G))</f>
        <v>4</v>
      </c>
      <c r="K1969">
        <f t="array" ref="K1969">INT(5 * (RANK(H1969,H:H, 0) - 1) / COUNT(H:H)) + 1</f>
        <v>2</v>
      </c>
      <c r="L1969">
        <f t="array" ref="L1969">INT(5 * (RANK(I1969,I:I, 0) - 1) / COUNT(I:I)) + 1</f>
        <v>3</v>
      </c>
      <c r="M1969" t="str">
        <f t="shared" si="60"/>
        <v>423</v>
      </c>
      <c r="N1969" s="6" t="str">
        <f t="shared" si="61"/>
        <v>New Customers</v>
      </c>
    </row>
    <row r="1970" spans="1:14" x14ac:dyDescent="0.35">
      <c r="A1970">
        <v>1153</v>
      </c>
      <c r="B1970" s="4">
        <v>45894.375085336993</v>
      </c>
      <c r="C1970" t="s">
        <v>12</v>
      </c>
      <c r="D1970" t="s">
        <v>22</v>
      </c>
      <c r="E1970" t="s">
        <v>23</v>
      </c>
      <c r="F1970">
        <v>2058.4299999999998</v>
      </c>
      <c r="G1970">
        <f t="array" ref="G1970">SalesData!$I$2 - 'RFM Table'!B1970</f>
        <v>242</v>
      </c>
      <c r="H1970">
        <f t="array" ref="H1970">COUNTIF(A:A,A1970)</f>
        <v>12</v>
      </c>
      <c r="I1970">
        <f t="array" ref="I1970">SUMIF(A:A,A1970,F:F)</f>
        <v>42146.06</v>
      </c>
      <c r="J1970">
        <f t="array" ref="J1970">5 - INT(5 * (RANK(G1970,G:G, 1) - 1) / COUNT(G:G))</f>
        <v>4</v>
      </c>
      <c r="K1970">
        <f t="array" ref="K1970">INT(5 * (RANK(H1970,H:H, 0) - 1) / COUNT(H:H)) + 1</f>
        <v>1</v>
      </c>
      <c r="L1970">
        <f t="array" ref="L1970">INT(5 * (RANK(I1970,I:I, 0) - 1) / COUNT(I:I)) + 1</f>
        <v>2</v>
      </c>
      <c r="M1970" t="str">
        <f t="shared" si="60"/>
        <v>412</v>
      </c>
      <c r="N1970" s="6" t="str">
        <f t="shared" si="61"/>
        <v>New Customers</v>
      </c>
    </row>
    <row r="1971" spans="1:14" x14ac:dyDescent="0.35">
      <c r="A1971">
        <v>1172</v>
      </c>
      <c r="B1971" s="4">
        <v>45894.375085336993</v>
      </c>
      <c r="C1971" t="s">
        <v>7</v>
      </c>
      <c r="D1971" t="s">
        <v>17</v>
      </c>
      <c r="E1971" t="s">
        <v>24</v>
      </c>
      <c r="F1971">
        <v>2888.69</v>
      </c>
      <c r="G1971">
        <f t="array" ref="G1971">SalesData!$I$2 - 'RFM Table'!B1971</f>
        <v>242</v>
      </c>
      <c r="H1971">
        <f t="array" ref="H1971">COUNTIF(A:A,A1971)</f>
        <v>13</v>
      </c>
      <c r="I1971">
        <f t="array" ref="I1971">SUMIF(A:A,A1971,F:F)</f>
        <v>64175.24</v>
      </c>
      <c r="J1971">
        <f t="array" ref="J1971">5 - INT(5 * (RANK(G1971,G:G, 1) - 1) / COUNT(G:G))</f>
        <v>4</v>
      </c>
      <c r="K1971">
        <f t="array" ref="K1971">INT(5 * (RANK(H1971,H:H, 0) - 1) / COUNT(H:H)) + 1</f>
        <v>1</v>
      </c>
      <c r="L1971">
        <f t="array" ref="L1971">INT(5 * (RANK(I1971,I:I, 0) - 1) / COUNT(I:I)) + 1</f>
        <v>1</v>
      </c>
      <c r="M1971" t="str">
        <f t="shared" si="60"/>
        <v>411</v>
      </c>
      <c r="N1971" s="6" t="str">
        <f t="shared" si="61"/>
        <v>New Customers</v>
      </c>
    </row>
    <row r="1972" spans="1:14" x14ac:dyDescent="0.35">
      <c r="A1972">
        <v>1363</v>
      </c>
      <c r="B1972" s="4">
        <v>45894.375085336993</v>
      </c>
      <c r="C1972" t="s">
        <v>7</v>
      </c>
      <c r="D1972" t="s">
        <v>17</v>
      </c>
      <c r="E1972" t="s">
        <v>24</v>
      </c>
      <c r="F1972">
        <v>4284.63</v>
      </c>
      <c r="G1972">
        <f t="array" ref="G1972">SalesData!$I$2 - 'RFM Table'!B1972</f>
        <v>242</v>
      </c>
      <c r="H1972">
        <f t="array" ref="H1972">COUNTIF(A:A,A1972)</f>
        <v>9</v>
      </c>
      <c r="I1972">
        <f t="array" ref="I1972">SUMIF(A:A,A1972,F:F)</f>
        <v>33344.57</v>
      </c>
      <c r="J1972">
        <f t="array" ref="J1972">5 - INT(5 * (RANK(G1972,G:G, 1) - 1) / COUNT(G:G))</f>
        <v>4</v>
      </c>
      <c r="K1972">
        <f t="array" ref="K1972">INT(5 * (RANK(H1972,H:H, 0) - 1) / COUNT(H:H)) + 1</f>
        <v>2</v>
      </c>
      <c r="L1972">
        <f t="array" ref="L1972">INT(5 * (RANK(I1972,I:I, 0) - 1) / COUNT(I:I)) + 1</f>
        <v>3</v>
      </c>
      <c r="M1972" t="str">
        <f t="shared" si="60"/>
        <v>423</v>
      </c>
      <c r="N1972" s="6" t="str">
        <f t="shared" si="61"/>
        <v>New Customers</v>
      </c>
    </row>
    <row r="1973" spans="1:14" x14ac:dyDescent="0.35">
      <c r="A1973">
        <v>1385</v>
      </c>
      <c r="B1973" s="4">
        <v>45894.375085336993</v>
      </c>
      <c r="C1973" t="s">
        <v>7</v>
      </c>
      <c r="D1973" t="s">
        <v>18</v>
      </c>
      <c r="E1973" t="s">
        <v>24</v>
      </c>
      <c r="F1973">
        <v>4074.11</v>
      </c>
      <c r="G1973">
        <f t="array" ref="G1973">SalesData!$I$2 - 'RFM Table'!B1973</f>
        <v>242</v>
      </c>
      <c r="H1973">
        <f t="array" ref="H1973">COUNTIF(A:A,A1973)</f>
        <v>11</v>
      </c>
      <c r="I1973">
        <f t="array" ref="I1973">SUMIF(A:A,A1973,F:F)</f>
        <v>73437.08</v>
      </c>
      <c r="J1973">
        <f t="array" ref="J1973">5 - INT(5 * (RANK(G1973,G:G, 1) - 1) / COUNT(G:G))</f>
        <v>4</v>
      </c>
      <c r="K1973">
        <f t="array" ref="K1973">INT(5 * (RANK(H1973,H:H, 0) - 1) / COUNT(H:H)) + 1</f>
        <v>1</v>
      </c>
      <c r="L1973">
        <f t="array" ref="L1973">INT(5 * (RANK(I1973,I:I, 0) - 1) / COUNT(I:I)) + 1</f>
        <v>1</v>
      </c>
      <c r="M1973" t="str">
        <f t="shared" si="60"/>
        <v>411</v>
      </c>
      <c r="N1973" s="6" t="str">
        <f t="shared" si="61"/>
        <v>New Customers</v>
      </c>
    </row>
    <row r="1974" spans="1:14" x14ac:dyDescent="0.35">
      <c r="A1974">
        <v>1103</v>
      </c>
      <c r="B1974" s="4">
        <v>45894.375085336993</v>
      </c>
      <c r="C1974" t="s">
        <v>14</v>
      </c>
      <c r="D1974" t="s">
        <v>16</v>
      </c>
      <c r="E1974" t="s">
        <v>24</v>
      </c>
      <c r="F1974">
        <v>3669.72</v>
      </c>
      <c r="G1974">
        <f t="array" ref="G1974">SalesData!$I$2 - 'RFM Table'!B1974</f>
        <v>242</v>
      </c>
      <c r="H1974">
        <f t="array" ref="H1974">COUNTIF(A:A,A1974)</f>
        <v>10</v>
      </c>
      <c r="I1974">
        <f t="array" ref="I1974">SUMIF(A:A,A1974,F:F)</f>
        <v>44305.600000000006</v>
      </c>
      <c r="J1974">
        <f t="array" ref="J1974">5 - INT(5 * (RANK(G1974,G:G, 1) - 1) / COUNT(G:G))</f>
        <v>4</v>
      </c>
      <c r="K1974">
        <f t="array" ref="K1974">INT(5 * (RANK(H1974,H:H, 0) - 1) / COUNT(H:H)) + 1</f>
        <v>2</v>
      </c>
      <c r="L1974">
        <f t="array" ref="L1974">INT(5 * (RANK(I1974,I:I, 0) - 1) / COUNT(I:I)) + 1</f>
        <v>2</v>
      </c>
      <c r="M1974" t="str">
        <f t="shared" si="60"/>
        <v>422</v>
      </c>
      <c r="N1974" s="6" t="str">
        <f t="shared" si="61"/>
        <v>New Customers</v>
      </c>
    </row>
    <row r="1975" spans="1:14" x14ac:dyDescent="0.35">
      <c r="A1975">
        <v>1076</v>
      </c>
      <c r="B1975" s="4">
        <v>45895.375085336993</v>
      </c>
      <c r="C1975" t="s">
        <v>15</v>
      </c>
      <c r="D1975" t="s">
        <v>20</v>
      </c>
      <c r="E1975" t="s">
        <v>23</v>
      </c>
      <c r="F1975">
        <v>2983.68</v>
      </c>
      <c r="G1975">
        <f t="array" ref="G1975">SalesData!$I$2 - 'RFM Table'!B1975</f>
        <v>241</v>
      </c>
      <c r="H1975">
        <f t="array" ref="H1975">COUNTIF(A:A,A1975)</f>
        <v>5</v>
      </c>
      <c r="I1975">
        <f t="array" ref="I1975">SUMIF(A:A,A1975,F:F)</f>
        <v>19731.25</v>
      </c>
      <c r="J1975">
        <f t="array" ref="J1975">5 - INT(5 * (RANK(G1975,G:G, 1) - 1) / COUNT(G:G))</f>
        <v>4</v>
      </c>
      <c r="K1975">
        <f t="array" ref="K1975">INT(5 * (RANK(H1975,H:H, 0) - 1) / COUNT(H:H)) + 1</f>
        <v>5</v>
      </c>
      <c r="L1975">
        <f t="array" ref="L1975">INT(5 * (RANK(I1975,I:I, 0) - 1) / COUNT(I:I)) + 1</f>
        <v>5</v>
      </c>
      <c r="M1975" t="str">
        <f t="shared" si="60"/>
        <v>455</v>
      </c>
      <c r="N1975" s="6" t="str">
        <f t="shared" si="61"/>
        <v>Others</v>
      </c>
    </row>
    <row r="1976" spans="1:14" x14ac:dyDescent="0.35">
      <c r="A1976">
        <v>1208</v>
      </c>
      <c r="B1976" s="4">
        <v>45895.375085336993</v>
      </c>
      <c r="C1976" t="s">
        <v>9</v>
      </c>
      <c r="D1976" t="s">
        <v>22</v>
      </c>
      <c r="E1976" t="s">
        <v>24</v>
      </c>
      <c r="F1976">
        <v>4660.47</v>
      </c>
      <c r="G1976">
        <f t="array" ref="G1976">SalesData!$I$2 - 'RFM Table'!B1976</f>
        <v>241</v>
      </c>
      <c r="H1976">
        <f t="array" ref="H1976">COUNTIF(A:A,A1976)</f>
        <v>5</v>
      </c>
      <c r="I1976">
        <f t="array" ref="I1976">SUMIF(A:A,A1976,F:F)</f>
        <v>25493.58</v>
      </c>
      <c r="J1976">
        <f t="array" ref="J1976">5 - INT(5 * (RANK(G1976,G:G, 1) - 1) / COUNT(G:G))</f>
        <v>4</v>
      </c>
      <c r="K1976">
        <f t="array" ref="K1976">INT(5 * (RANK(H1976,H:H, 0) - 1) / COUNT(H:H)) + 1</f>
        <v>5</v>
      </c>
      <c r="L1976">
        <f t="array" ref="L1976">INT(5 * (RANK(I1976,I:I, 0) - 1) / COUNT(I:I)) + 1</f>
        <v>4</v>
      </c>
      <c r="M1976" t="str">
        <f t="shared" si="60"/>
        <v>454</v>
      </c>
      <c r="N1976" s="6" t="str">
        <f t="shared" si="61"/>
        <v>Others</v>
      </c>
    </row>
    <row r="1977" spans="1:14" x14ac:dyDescent="0.35">
      <c r="A1977">
        <v>1286</v>
      </c>
      <c r="B1977" s="4">
        <v>45895.375085336993</v>
      </c>
      <c r="C1977" t="s">
        <v>10</v>
      </c>
      <c r="D1977" t="s">
        <v>22</v>
      </c>
      <c r="E1977" t="s">
        <v>23</v>
      </c>
      <c r="F1977">
        <v>6094.52</v>
      </c>
      <c r="G1977">
        <f t="array" ref="G1977">SalesData!$I$2 - 'RFM Table'!B1977</f>
        <v>241</v>
      </c>
      <c r="H1977">
        <f t="array" ref="H1977">COUNTIF(A:A,A1977)</f>
        <v>6</v>
      </c>
      <c r="I1977">
        <f t="array" ref="I1977">SUMIF(A:A,A1977,F:F)</f>
        <v>40190.459999999992</v>
      </c>
      <c r="J1977">
        <f t="array" ref="J1977">5 - INT(5 * (RANK(G1977,G:G, 1) - 1) / COUNT(G:G))</f>
        <v>4</v>
      </c>
      <c r="K1977">
        <f t="array" ref="K1977">INT(5 * (RANK(H1977,H:H, 0) - 1) / COUNT(H:H)) + 1</f>
        <v>4</v>
      </c>
      <c r="L1977">
        <f t="array" ref="L1977">INT(5 * (RANK(I1977,I:I, 0) - 1) / COUNT(I:I)) + 1</f>
        <v>2</v>
      </c>
      <c r="M1977" t="str">
        <f t="shared" si="60"/>
        <v>442</v>
      </c>
      <c r="N1977" s="6" t="str">
        <f t="shared" si="61"/>
        <v>Others</v>
      </c>
    </row>
    <row r="1978" spans="1:14" x14ac:dyDescent="0.35">
      <c r="A1978">
        <v>1364</v>
      </c>
      <c r="B1978" s="4">
        <v>45895.375085336993</v>
      </c>
      <c r="C1978" t="s">
        <v>10</v>
      </c>
      <c r="D1978" t="s">
        <v>17</v>
      </c>
      <c r="E1978" t="s">
        <v>23</v>
      </c>
      <c r="F1978">
        <v>1695.34</v>
      </c>
      <c r="G1978">
        <f t="array" ref="G1978">SalesData!$I$2 - 'RFM Table'!B1978</f>
        <v>241</v>
      </c>
      <c r="H1978">
        <f t="array" ref="H1978">COUNTIF(A:A,A1978)</f>
        <v>11</v>
      </c>
      <c r="I1978">
        <f t="array" ref="I1978">SUMIF(A:A,A1978,F:F)</f>
        <v>39674.43</v>
      </c>
      <c r="J1978">
        <f t="array" ref="J1978">5 - INT(5 * (RANK(G1978,G:G, 1) - 1) / COUNT(G:G))</f>
        <v>4</v>
      </c>
      <c r="K1978">
        <f t="array" ref="K1978">INT(5 * (RANK(H1978,H:H, 0) - 1) / COUNT(H:H)) + 1</f>
        <v>1</v>
      </c>
      <c r="L1978">
        <f t="array" ref="L1978">INT(5 * (RANK(I1978,I:I, 0) - 1) / COUNT(I:I)) + 1</f>
        <v>2</v>
      </c>
      <c r="M1978" t="str">
        <f t="shared" si="60"/>
        <v>412</v>
      </c>
      <c r="N1978" s="6" t="str">
        <f t="shared" si="61"/>
        <v>New Customers</v>
      </c>
    </row>
    <row r="1979" spans="1:14" x14ac:dyDescent="0.35">
      <c r="A1979">
        <v>1189</v>
      </c>
      <c r="B1979" s="4">
        <v>45895.375085336993</v>
      </c>
      <c r="C1979" t="s">
        <v>12</v>
      </c>
      <c r="D1979" t="s">
        <v>22</v>
      </c>
      <c r="E1979" t="s">
        <v>25</v>
      </c>
      <c r="F1979">
        <v>3741.01</v>
      </c>
      <c r="G1979">
        <f t="array" ref="G1979">SalesData!$I$2 - 'RFM Table'!B1979</f>
        <v>241</v>
      </c>
      <c r="H1979">
        <f t="array" ref="H1979">COUNTIF(A:A,A1979)</f>
        <v>10</v>
      </c>
      <c r="I1979">
        <f t="array" ref="I1979">SUMIF(A:A,A1979,F:F)</f>
        <v>29994.030000000002</v>
      </c>
      <c r="J1979">
        <f t="array" ref="J1979">5 - INT(5 * (RANK(G1979,G:G, 1) - 1) / COUNT(G:G))</f>
        <v>4</v>
      </c>
      <c r="K1979">
        <f t="array" ref="K1979">INT(5 * (RANK(H1979,H:H, 0) - 1) / COUNT(H:H)) + 1</f>
        <v>2</v>
      </c>
      <c r="L1979">
        <f t="array" ref="L1979">INT(5 * (RANK(I1979,I:I, 0) - 1) / COUNT(I:I)) + 1</f>
        <v>3</v>
      </c>
      <c r="M1979" t="str">
        <f t="shared" si="60"/>
        <v>423</v>
      </c>
      <c r="N1979" s="6" t="str">
        <f t="shared" si="61"/>
        <v>New Customers</v>
      </c>
    </row>
    <row r="1980" spans="1:14" x14ac:dyDescent="0.35">
      <c r="A1980">
        <v>1282</v>
      </c>
      <c r="B1980" s="4">
        <v>45895.375085336993</v>
      </c>
      <c r="C1980" t="s">
        <v>14</v>
      </c>
      <c r="D1980" t="s">
        <v>19</v>
      </c>
      <c r="E1980" t="s">
        <v>23</v>
      </c>
      <c r="F1980">
        <v>5534.8</v>
      </c>
      <c r="G1980">
        <f t="array" ref="G1980">SalesData!$I$2 - 'RFM Table'!B1980</f>
        <v>241</v>
      </c>
      <c r="H1980">
        <f t="array" ref="H1980">COUNTIF(A:A,A1980)</f>
        <v>7</v>
      </c>
      <c r="I1980">
        <f t="array" ref="I1980">SUMIF(A:A,A1980,F:F)</f>
        <v>37438.960000000006</v>
      </c>
      <c r="J1980">
        <f t="array" ref="J1980">5 - INT(5 * (RANK(G1980,G:G, 1) - 1) / COUNT(G:G))</f>
        <v>4</v>
      </c>
      <c r="K1980">
        <f t="array" ref="K1980">INT(5 * (RANK(H1980,H:H, 0) - 1) / COUNT(H:H)) + 1</f>
        <v>4</v>
      </c>
      <c r="L1980">
        <f t="array" ref="L1980">INT(5 * (RANK(I1980,I:I, 0) - 1) / COUNT(I:I)) + 1</f>
        <v>2</v>
      </c>
      <c r="M1980" t="str">
        <f t="shared" si="60"/>
        <v>442</v>
      </c>
      <c r="N1980" s="6" t="str">
        <f t="shared" si="61"/>
        <v>Others</v>
      </c>
    </row>
    <row r="1981" spans="1:14" x14ac:dyDescent="0.35">
      <c r="A1981">
        <v>1053</v>
      </c>
      <c r="B1981" s="4">
        <v>45895.375085336993</v>
      </c>
      <c r="C1981" t="s">
        <v>8</v>
      </c>
      <c r="D1981" t="s">
        <v>22</v>
      </c>
      <c r="E1981" t="s">
        <v>23</v>
      </c>
      <c r="F1981">
        <v>4023.3</v>
      </c>
      <c r="G1981">
        <f t="array" ref="G1981">SalesData!$I$2 - 'RFM Table'!B1981</f>
        <v>241</v>
      </c>
      <c r="H1981">
        <f t="array" ref="H1981">COUNTIF(A:A,A1981)</f>
        <v>10</v>
      </c>
      <c r="I1981">
        <f t="array" ref="I1981">SUMIF(A:A,A1981,F:F)</f>
        <v>44572.97</v>
      </c>
      <c r="J1981">
        <f t="array" ref="J1981">5 - INT(5 * (RANK(G1981,G:G, 1) - 1) / COUNT(G:G))</f>
        <v>4</v>
      </c>
      <c r="K1981">
        <f t="array" ref="K1981">INT(5 * (RANK(H1981,H:H, 0) - 1) / COUNT(H:H)) + 1</f>
        <v>2</v>
      </c>
      <c r="L1981">
        <f t="array" ref="L1981">INT(5 * (RANK(I1981,I:I, 0) - 1) / COUNT(I:I)) + 1</f>
        <v>2</v>
      </c>
      <c r="M1981" t="str">
        <f t="shared" si="60"/>
        <v>422</v>
      </c>
      <c r="N1981" s="6" t="str">
        <f t="shared" si="61"/>
        <v>New Customers</v>
      </c>
    </row>
    <row r="1982" spans="1:14" x14ac:dyDescent="0.35">
      <c r="A1982">
        <v>1137</v>
      </c>
      <c r="B1982" s="4">
        <v>45896.375085336993</v>
      </c>
      <c r="C1982" t="s">
        <v>8</v>
      </c>
      <c r="D1982" t="s">
        <v>16</v>
      </c>
      <c r="E1982" t="s">
        <v>23</v>
      </c>
      <c r="F1982">
        <v>1648.54</v>
      </c>
      <c r="G1982">
        <f t="array" ref="G1982">SalesData!$I$2 - 'RFM Table'!B1982</f>
        <v>240</v>
      </c>
      <c r="H1982">
        <f t="array" ref="H1982">COUNTIF(A:A,A1982)</f>
        <v>5</v>
      </c>
      <c r="I1982">
        <f t="array" ref="I1982">SUMIF(A:A,A1982,F:F)</f>
        <v>18024.71</v>
      </c>
      <c r="J1982">
        <f t="array" ref="J1982">5 - INT(5 * (RANK(G1982,G:G, 1) - 1) / COUNT(G:G))</f>
        <v>4</v>
      </c>
      <c r="K1982">
        <f t="array" ref="K1982">INT(5 * (RANK(H1982,H:H, 0) - 1) / COUNT(H:H)) + 1</f>
        <v>5</v>
      </c>
      <c r="L1982">
        <f t="array" ref="L1982">INT(5 * (RANK(I1982,I:I, 0) - 1) / COUNT(I:I)) + 1</f>
        <v>5</v>
      </c>
      <c r="M1982" t="str">
        <f t="shared" si="60"/>
        <v>455</v>
      </c>
      <c r="N1982" s="6" t="str">
        <f t="shared" si="61"/>
        <v>Others</v>
      </c>
    </row>
    <row r="1983" spans="1:14" x14ac:dyDescent="0.35">
      <c r="A1983">
        <v>1378</v>
      </c>
      <c r="B1983" s="4">
        <v>45896.375085336993</v>
      </c>
      <c r="C1983" t="s">
        <v>6</v>
      </c>
      <c r="D1983" t="s">
        <v>22</v>
      </c>
      <c r="E1983" t="s">
        <v>23</v>
      </c>
      <c r="F1983">
        <v>6538.25</v>
      </c>
      <c r="G1983">
        <f t="array" ref="G1983">SalesData!$I$2 - 'RFM Table'!B1983</f>
        <v>240</v>
      </c>
      <c r="H1983">
        <f t="array" ref="H1983">COUNTIF(A:A,A1983)</f>
        <v>11</v>
      </c>
      <c r="I1983">
        <f t="array" ref="I1983">SUMIF(A:A,A1983,F:F)</f>
        <v>58842.799999999996</v>
      </c>
      <c r="J1983">
        <f t="array" ref="J1983">5 - INT(5 * (RANK(G1983,G:G, 1) - 1) / COUNT(G:G))</f>
        <v>4</v>
      </c>
      <c r="K1983">
        <f t="array" ref="K1983">INT(5 * (RANK(H1983,H:H, 0) - 1) / COUNT(H:H)) + 1</f>
        <v>1</v>
      </c>
      <c r="L1983">
        <f t="array" ref="L1983">INT(5 * (RANK(I1983,I:I, 0) - 1) / COUNT(I:I)) + 1</f>
        <v>1</v>
      </c>
      <c r="M1983" t="str">
        <f t="shared" si="60"/>
        <v>411</v>
      </c>
      <c r="N1983" s="6" t="str">
        <f t="shared" si="61"/>
        <v>New Customers</v>
      </c>
    </row>
    <row r="1984" spans="1:14" x14ac:dyDescent="0.35">
      <c r="A1984">
        <v>1173</v>
      </c>
      <c r="B1984" s="4">
        <v>45896.375085336993</v>
      </c>
      <c r="C1984" t="s">
        <v>13</v>
      </c>
      <c r="D1984" t="s">
        <v>21</v>
      </c>
      <c r="E1984" t="s">
        <v>25</v>
      </c>
      <c r="F1984">
        <v>2749.74</v>
      </c>
      <c r="G1984">
        <f t="array" ref="G1984">SalesData!$I$2 - 'RFM Table'!B1984</f>
        <v>240</v>
      </c>
      <c r="H1984">
        <f t="array" ref="H1984">COUNTIF(A:A,A1984)</f>
        <v>5</v>
      </c>
      <c r="I1984">
        <f t="array" ref="I1984">SUMIF(A:A,A1984,F:F)</f>
        <v>17550.75</v>
      </c>
      <c r="J1984">
        <f t="array" ref="J1984">5 - INT(5 * (RANK(G1984,G:G, 1) - 1) / COUNT(G:G))</f>
        <v>4</v>
      </c>
      <c r="K1984">
        <f t="array" ref="K1984">INT(5 * (RANK(H1984,H:H, 0) - 1) / COUNT(H:H)) + 1</f>
        <v>5</v>
      </c>
      <c r="L1984">
        <f t="array" ref="L1984">INT(5 * (RANK(I1984,I:I, 0) - 1) / COUNT(I:I)) + 1</f>
        <v>5</v>
      </c>
      <c r="M1984" t="str">
        <f t="shared" si="60"/>
        <v>455</v>
      </c>
      <c r="N1984" s="6" t="str">
        <f t="shared" si="61"/>
        <v>Others</v>
      </c>
    </row>
    <row r="1985" spans="1:14" x14ac:dyDescent="0.35">
      <c r="A1985">
        <v>1120</v>
      </c>
      <c r="B1985" s="4">
        <v>45897.375085336993</v>
      </c>
      <c r="C1985" t="s">
        <v>14</v>
      </c>
      <c r="D1985" t="s">
        <v>22</v>
      </c>
      <c r="E1985" t="s">
        <v>24</v>
      </c>
      <c r="F1985">
        <v>793.6</v>
      </c>
      <c r="G1985">
        <f t="array" ref="G1985">SalesData!$I$2 - 'RFM Table'!B1985</f>
        <v>239</v>
      </c>
      <c r="H1985">
        <f t="array" ref="H1985">COUNTIF(A:A,A1985)</f>
        <v>7</v>
      </c>
      <c r="I1985">
        <f t="array" ref="I1985">SUMIF(A:A,A1985,F:F)</f>
        <v>12366.910000000002</v>
      </c>
      <c r="J1985">
        <f t="array" ref="J1985">5 - INT(5 * (RANK(G1985,G:G, 1) - 1) / COUNT(G:G))</f>
        <v>4</v>
      </c>
      <c r="K1985">
        <f t="array" ref="K1985">INT(5 * (RANK(H1985,H:H, 0) - 1) / COUNT(H:H)) + 1</f>
        <v>4</v>
      </c>
      <c r="L1985">
        <f t="array" ref="L1985">INT(5 * (RANK(I1985,I:I, 0) - 1) / COUNT(I:I)) + 1</f>
        <v>5</v>
      </c>
      <c r="M1985" t="str">
        <f t="shared" si="60"/>
        <v>445</v>
      </c>
      <c r="N1985" s="6" t="str">
        <f t="shared" si="61"/>
        <v>Others</v>
      </c>
    </row>
    <row r="1986" spans="1:14" x14ac:dyDescent="0.35">
      <c r="A1986">
        <v>1146</v>
      </c>
      <c r="B1986" s="4">
        <v>45897.375085336993</v>
      </c>
      <c r="C1986" t="s">
        <v>7</v>
      </c>
      <c r="D1986" t="s">
        <v>22</v>
      </c>
      <c r="E1986" t="s">
        <v>24</v>
      </c>
      <c r="F1986">
        <v>7542.93</v>
      </c>
      <c r="G1986">
        <f t="array" ref="G1986">SalesData!$I$2 - 'RFM Table'!B1986</f>
        <v>239</v>
      </c>
      <c r="H1986">
        <f t="array" ref="H1986">COUNTIF(A:A,A1986)</f>
        <v>11</v>
      </c>
      <c r="I1986">
        <f t="array" ref="I1986">SUMIF(A:A,A1986,F:F)</f>
        <v>43110.84</v>
      </c>
      <c r="J1986">
        <f t="array" ref="J1986">5 - INT(5 * (RANK(G1986,G:G, 1) - 1) / COUNT(G:G))</f>
        <v>4</v>
      </c>
      <c r="K1986">
        <f t="array" ref="K1986">INT(5 * (RANK(H1986,H:H, 0) - 1) / COUNT(H:H)) + 1</f>
        <v>1</v>
      </c>
      <c r="L1986">
        <f t="array" ref="L1986">INT(5 * (RANK(I1986,I:I, 0) - 1) / COUNT(I:I)) + 1</f>
        <v>2</v>
      </c>
      <c r="M1986" t="str">
        <f t="shared" si="60"/>
        <v>412</v>
      </c>
      <c r="N1986" s="6" t="str">
        <f t="shared" si="61"/>
        <v>New Customers</v>
      </c>
    </row>
    <row r="1987" spans="1:14" x14ac:dyDescent="0.35">
      <c r="A1987">
        <v>1267</v>
      </c>
      <c r="B1987" s="4">
        <v>45897.375085336993</v>
      </c>
      <c r="C1987" t="s">
        <v>9</v>
      </c>
      <c r="D1987" t="s">
        <v>18</v>
      </c>
      <c r="E1987" t="s">
        <v>25</v>
      </c>
      <c r="F1987">
        <v>3294.92</v>
      </c>
      <c r="G1987">
        <f t="array" ref="G1987">SalesData!$I$2 - 'RFM Table'!B1987</f>
        <v>239</v>
      </c>
      <c r="H1987">
        <f t="array" ref="H1987">COUNTIF(A:A,A1987)</f>
        <v>9</v>
      </c>
      <c r="I1987">
        <f t="array" ref="I1987">SUMIF(A:A,A1987,F:F)</f>
        <v>39538.21</v>
      </c>
      <c r="J1987">
        <f t="array" ref="J1987">5 - INT(5 * (RANK(G1987,G:G, 1) - 1) / COUNT(G:G))</f>
        <v>4</v>
      </c>
      <c r="K1987">
        <f t="array" ref="K1987">INT(5 * (RANK(H1987,H:H, 0) - 1) / COUNT(H:H)) + 1</f>
        <v>2</v>
      </c>
      <c r="L1987">
        <f t="array" ref="L1987">INT(5 * (RANK(I1987,I:I, 0) - 1) / COUNT(I:I)) + 1</f>
        <v>2</v>
      </c>
      <c r="M1987" t="str">
        <f t="shared" ref="M1987:M2050" si="62">J1987 &amp; K1987 &amp; L1987</f>
        <v>422</v>
      </c>
      <c r="N1987" s="6" t="str">
        <f t="shared" ref="N1987:N2050" si="63">IF(AND(J1987&gt;=4,K1987&lt;=2),"New Customers",
IF(AND(J1987&lt;=2,K1987&gt;=3,L1987&gt;=3),"At Risk",
IF(AND(J1987&lt;=2,K1987&lt;=2,L1987&gt;=3),"Can't Lose Them",
IF(AND(J1987&lt;=2,K1987&lt;=2,L1987&lt;=2),"Lost",
"Others"))))</f>
        <v>New Customers</v>
      </c>
    </row>
    <row r="1988" spans="1:14" x14ac:dyDescent="0.35">
      <c r="A1988">
        <v>1295</v>
      </c>
      <c r="B1988" s="4">
        <v>45897.375085336993</v>
      </c>
      <c r="C1988" t="s">
        <v>6</v>
      </c>
      <c r="D1988" t="s">
        <v>18</v>
      </c>
      <c r="E1988" t="s">
        <v>24</v>
      </c>
      <c r="F1988">
        <v>674.95</v>
      </c>
      <c r="G1988">
        <f t="array" ref="G1988">SalesData!$I$2 - 'RFM Table'!B1988</f>
        <v>239</v>
      </c>
      <c r="H1988">
        <f t="array" ref="H1988">COUNTIF(A:A,A1988)</f>
        <v>6</v>
      </c>
      <c r="I1988">
        <f t="array" ref="I1988">SUMIF(A:A,A1988,F:F)</f>
        <v>19844.169999999998</v>
      </c>
      <c r="J1988">
        <f t="array" ref="J1988">5 - INT(5 * (RANK(G1988,G:G, 1) - 1) / COUNT(G:G))</f>
        <v>4</v>
      </c>
      <c r="K1988">
        <f t="array" ref="K1988">INT(5 * (RANK(H1988,H:H, 0) - 1) / COUNT(H:H)) + 1</f>
        <v>4</v>
      </c>
      <c r="L1988">
        <f t="array" ref="L1988">INT(5 * (RANK(I1988,I:I, 0) - 1) / COUNT(I:I)) + 1</f>
        <v>5</v>
      </c>
      <c r="M1988" t="str">
        <f t="shared" si="62"/>
        <v>445</v>
      </c>
      <c r="N1988" s="6" t="str">
        <f t="shared" si="63"/>
        <v>Others</v>
      </c>
    </row>
    <row r="1989" spans="1:14" x14ac:dyDescent="0.35">
      <c r="A1989">
        <v>1396</v>
      </c>
      <c r="B1989" s="4">
        <v>45897.375085336993</v>
      </c>
      <c r="C1989" t="s">
        <v>15</v>
      </c>
      <c r="D1989" t="s">
        <v>20</v>
      </c>
      <c r="E1989" t="s">
        <v>23</v>
      </c>
      <c r="F1989">
        <v>1168.21</v>
      </c>
      <c r="G1989">
        <f t="array" ref="G1989">SalesData!$I$2 - 'RFM Table'!B1989</f>
        <v>239</v>
      </c>
      <c r="H1989">
        <f t="array" ref="H1989">COUNTIF(A:A,A1989)</f>
        <v>11</v>
      </c>
      <c r="I1989">
        <f t="array" ref="I1989">SUMIF(A:A,A1989,F:F)</f>
        <v>54143.32</v>
      </c>
      <c r="J1989">
        <f t="array" ref="J1989">5 - INT(5 * (RANK(G1989,G:G, 1) - 1) / COUNT(G:G))</f>
        <v>4</v>
      </c>
      <c r="K1989">
        <f t="array" ref="K1989">INT(5 * (RANK(H1989,H:H, 0) - 1) / COUNT(H:H)) + 1</f>
        <v>1</v>
      </c>
      <c r="L1989">
        <f t="array" ref="L1989">INT(5 * (RANK(I1989,I:I, 0) - 1) / COUNT(I:I)) + 1</f>
        <v>1</v>
      </c>
      <c r="M1989" t="str">
        <f t="shared" si="62"/>
        <v>411</v>
      </c>
      <c r="N1989" s="6" t="str">
        <f t="shared" si="63"/>
        <v>New Customers</v>
      </c>
    </row>
    <row r="1990" spans="1:14" x14ac:dyDescent="0.35">
      <c r="A1990">
        <v>1195</v>
      </c>
      <c r="B1990" s="4">
        <v>45898.375085336993</v>
      </c>
      <c r="C1990" t="s">
        <v>11</v>
      </c>
      <c r="D1990" t="s">
        <v>16</v>
      </c>
      <c r="E1990" t="s">
        <v>24</v>
      </c>
      <c r="F1990">
        <v>3537.67</v>
      </c>
      <c r="G1990">
        <f t="array" ref="G1990">SalesData!$I$2 - 'RFM Table'!B1990</f>
        <v>238</v>
      </c>
      <c r="H1990">
        <f t="array" ref="H1990">COUNTIF(A:A,A1990)</f>
        <v>7</v>
      </c>
      <c r="I1990">
        <f t="array" ref="I1990">SUMIF(A:A,A1990,F:F)</f>
        <v>22005.660000000003</v>
      </c>
      <c r="J1990">
        <f t="array" ref="J1990">5 - INT(5 * (RANK(G1990,G:G, 1) - 1) / COUNT(G:G))</f>
        <v>4</v>
      </c>
      <c r="K1990">
        <f t="array" ref="K1990">INT(5 * (RANK(H1990,H:H, 0) - 1) / COUNT(H:H)) + 1</f>
        <v>4</v>
      </c>
      <c r="L1990">
        <f t="array" ref="L1990">INT(5 * (RANK(I1990,I:I, 0) - 1) / COUNT(I:I)) + 1</f>
        <v>4</v>
      </c>
      <c r="M1990" t="str">
        <f t="shared" si="62"/>
        <v>444</v>
      </c>
      <c r="N1990" s="6" t="str">
        <f t="shared" si="63"/>
        <v>Others</v>
      </c>
    </row>
    <row r="1991" spans="1:14" x14ac:dyDescent="0.35">
      <c r="A1991">
        <v>1035</v>
      </c>
      <c r="B1991" s="4">
        <v>45898.375085336993</v>
      </c>
      <c r="C1991" t="s">
        <v>14</v>
      </c>
      <c r="D1991" t="s">
        <v>17</v>
      </c>
      <c r="E1991" t="s">
        <v>23</v>
      </c>
      <c r="F1991">
        <v>2866.79</v>
      </c>
      <c r="G1991">
        <f t="array" ref="G1991">SalesData!$I$2 - 'RFM Table'!B1991</f>
        <v>238</v>
      </c>
      <c r="H1991">
        <f t="array" ref="H1991">COUNTIF(A:A,A1991)</f>
        <v>9</v>
      </c>
      <c r="I1991">
        <f t="array" ref="I1991">SUMIF(A:A,A1991,F:F)</f>
        <v>33344.589999999997</v>
      </c>
      <c r="J1991">
        <f t="array" ref="J1991">5 - INT(5 * (RANK(G1991,G:G, 1) - 1) / COUNT(G:G))</f>
        <v>4</v>
      </c>
      <c r="K1991">
        <f t="array" ref="K1991">INT(5 * (RANK(H1991,H:H, 0) - 1) / COUNT(H:H)) + 1</f>
        <v>2</v>
      </c>
      <c r="L1991">
        <f t="array" ref="L1991">INT(5 * (RANK(I1991,I:I, 0) - 1) / COUNT(I:I)) + 1</f>
        <v>3</v>
      </c>
      <c r="M1991" t="str">
        <f t="shared" si="62"/>
        <v>423</v>
      </c>
      <c r="N1991" s="6" t="str">
        <f t="shared" si="63"/>
        <v>New Customers</v>
      </c>
    </row>
    <row r="1992" spans="1:14" x14ac:dyDescent="0.35">
      <c r="A1992">
        <v>1343</v>
      </c>
      <c r="B1992" s="4">
        <v>45898.375085336993</v>
      </c>
      <c r="C1992" t="s">
        <v>10</v>
      </c>
      <c r="D1992" t="s">
        <v>18</v>
      </c>
      <c r="E1992" t="s">
        <v>24</v>
      </c>
      <c r="F1992">
        <v>9442.58</v>
      </c>
      <c r="G1992">
        <f t="array" ref="G1992">SalesData!$I$2 - 'RFM Table'!B1992</f>
        <v>238</v>
      </c>
      <c r="H1992">
        <f t="array" ref="H1992">COUNTIF(A:A,A1992)</f>
        <v>9</v>
      </c>
      <c r="I1992">
        <f t="array" ref="I1992">SUMIF(A:A,A1992,F:F)</f>
        <v>40117.730000000003</v>
      </c>
      <c r="J1992">
        <f t="array" ref="J1992">5 - INT(5 * (RANK(G1992,G:G, 1) - 1) / COUNT(G:G))</f>
        <v>4</v>
      </c>
      <c r="K1992">
        <f t="array" ref="K1992">INT(5 * (RANK(H1992,H:H, 0) - 1) / COUNT(H:H)) + 1</f>
        <v>2</v>
      </c>
      <c r="L1992">
        <f t="array" ref="L1992">INT(5 * (RANK(I1992,I:I, 0) - 1) / COUNT(I:I)) + 1</f>
        <v>2</v>
      </c>
      <c r="M1992" t="str">
        <f t="shared" si="62"/>
        <v>422</v>
      </c>
      <c r="N1992" s="6" t="str">
        <f t="shared" si="63"/>
        <v>New Customers</v>
      </c>
    </row>
    <row r="1993" spans="1:14" x14ac:dyDescent="0.35">
      <c r="A1993">
        <v>1263</v>
      </c>
      <c r="B1993" s="4">
        <v>45899.375085336993</v>
      </c>
      <c r="C1993" t="s">
        <v>13</v>
      </c>
      <c r="D1993" t="s">
        <v>19</v>
      </c>
      <c r="E1993" t="s">
        <v>23</v>
      </c>
      <c r="F1993">
        <v>342.56</v>
      </c>
      <c r="G1993">
        <f t="array" ref="G1993">SalesData!$I$2 - 'RFM Table'!B1993</f>
        <v>237</v>
      </c>
      <c r="H1993">
        <f t="array" ref="H1993">COUNTIF(A:A,A1993)</f>
        <v>15</v>
      </c>
      <c r="I1993">
        <f t="array" ref="I1993">SUMIF(A:A,A1993,F:F)</f>
        <v>55867.080000000016</v>
      </c>
      <c r="J1993">
        <f t="array" ref="J1993">5 - INT(5 * (RANK(G1993,G:G, 1) - 1) / COUNT(G:G))</f>
        <v>4</v>
      </c>
      <c r="K1993">
        <f t="array" ref="K1993">INT(5 * (RANK(H1993,H:H, 0) - 1) / COUNT(H:H)) + 1</f>
        <v>1</v>
      </c>
      <c r="L1993">
        <f t="array" ref="L1993">INT(5 * (RANK(I1993,I:I, 0) - 1) / COUNT(I:I)) + 1</f>
        <v>1</v>
      </c>
      <c r="M1993" t="str">
        <f t="shared" si="62"/>
        <v>411</v>
      </c>
      <c r="N1993" s="6" t="str">
        <f t="shared" si="63"/>
        <v>New Customers</v>
      </c>
    </row>
    <row r="1994" spans="1:14" x14ac:dyDescent="0.35">
      <c r="A1994">
        <v>1260</v>
      </c>
      <c r="B1994" s="4">
        <v>45899.375085336993</v>
      </c>
      <c r="C1994" t="s">
        <v>6</v>
      </c>
      <c r="D1994" t="s">
        <v>22</v>
      </c>
      <c r="E1994" t="s">
        <v>23</v>
      </c>
      <c r="F1994">
        <v>10161.84</v>
      </c>
      <c r="G1994">
        <f t="array" ref="G1994">SalesData!$I$2 - 'RFM Table'!B1994</f>
        <v>237</v>
      </c>
      <c r="H1994">
        <f t="array" ref="H1994">COUNTIF(A:A,A1994)</f>
        <v>10</v>
      </c>
      <c r="I1994">
        <f t="array" ref="I1994">SUMIF(A:A,A1994,F:F)</f>
        <v>67378.48000000001</v>
      </c>
      <c r="J1994">
        <f t="array" ref="J1994">5 - INT(5 * (RANK(G1994,G:G, 1) - 1) / COUNT(G:G))</f>
        <v>4</v>
      </c>
      <c r="K1994">
        <f t="array" ref="K1994">INT(5 * (RANK(H1994,H:H, 0) - 1) / COUNT(H:H)) + 1</f>
        <v>2</v>
      </c>
      <c r="L1994">
        <f t="array" ref="L1994">INT(5 * (RANK(I1994,I:I, 0) - 1) / COUNT(I:I)) + 1</f>
        <v>1</v>
      </c>
      <c r="M1994" t="str">
        <f t="shared" si="62"/>
        <v>421</v>
      </c>
      <c r="N1994" s="6" t="str">
        <f t="shared" si="63"/>
        <v>New Customers</v>
      </c>
    </row>
    <row r="1995" spans="1:14" x14ac:dyDescent="0.35">
      <c r="A1995">
        <v>1091</v>
      </c>
      <c r="B1995" s="4">
        <v>45899.375085336993</v>
      </c>
      <c r="C1995" t="s">
        <v>7</v>
      </c>
      <c r="D1995" t="s">
        <v>18</v>
      </c>
      <c r="E1995" t="s">
        <v>24</v>
      </c>
      <c r="F1995">
        <v>5717.96</v>
      </c>
      <c r="G1995">
        <f t="array" ref="G1995">SalesData!$I$2 - 'RFM Table'!B1995</f>
        <v>237</v>
      </c>
      <c r="H1995">
        <f t="array" ref="H1995">COUNTIF(A:A,A1995)</f>
        <v>11</v>
      </c>
      <c r="I1995">
        <f t="array" ref="I1995">SUMIF(A:A,A1995,F:F)</f>
        <v>39808.47</v>
      </c>
      <c r="J1995">
        <f t="array" ref="J1995">5 - INT(5 * (RANK(G1995,G:G, 1) - 1) / COUNT(G:G))</f>
        <v>4</v>
      </c>
      <c r="K1995">
        <f t="array" ref="K1995">INT(5 * (RANK(H1995,H:H, 0) - 1) / COUNT(H:H)) + 1</f>
        <v>1</v>
      </c>
      <c r="L1995">
        <f t="array" ref="L1995">INT(5 * (RANK(I1995,I:I, 0) - 1) / COUNT(I:I)) + 1</f>
        <v>2</v>
      </c>
      <c r="M1995" t="str">
        <f t="shared" si="62"/>
        <v>412</v>
      </c>
      <c r="N1995" s="6" t="str">
        <f t="shared" si="63"/>
        <v>New Customers</v>
      </c>
    </row>
    <row r="1996" spans="1:14" x14ac:dyDescent="0.35">
      <c r="A1996">
        <v>1285</v>
      </c>
      <c r="B1996" s="4">
        <v>45899.375085336993</v>
      </c>
      <c r="C1996" t="s">
        <v>6</v>
      </c>
      <c r="D1996" t="s">
        <v>20</v>
      </c>
      <c r="E1996" t="s">
        <v>24</v>
      </c>
      <c r="F1996">
        <v>4398.28</v>
      </c>
      <c r="G1996">
        <f t="array" ref="G1996">SalesData!$I$2 - 'RFM Table'!B1996</f>
        <v>237</v>
      </c>
      <c r="H1996">
        <f t="array" ref="H1996">COUNTIF(A:A,A1996)</f>
        <v>9</v>
      </c>
      <c r="I1996">
        <f t="array" ref="I1996">SUMIF(A:A,A1996,F:F)</f>
        <v>27990.980000000003</v>
      </c>
      <c r="J1996">
        <f t="array" ref="J1996">5 - INT(5 * (RANK(G1996,G:G, 1) - 1) / COUNT(G:G))</f>
        <v>4</v>
      </c>
      <c r="K1996">
        <f t="array" ref="K1996">INT(5 * (RANK(H1996,H:H, 0) - 1) / COUNT(H:H)) + 1</f>
        <v>2</v>
      </c>
      <c r="L1996">
        <f t="array" ref="L1996">INT(5 * (RANK(I1996,I:I, 0) - 1) / COUNT(I:I)) + 1</f>
        <v>4</v>
      </c>
      <c r="M1996" t="str">
        <f t="shared" si="62"/>
        <v>424</v>
      </c>
      <c r="N1996" s="6" t="str">
        <f t="shared" si="63"/>
        <v>New Customers</v>
      </c>
    </row>
    <row r="1997" spans="1:14" x14ac:dyDescent="0.35">
      <c r="A1997">
        <v>1253</v>
      </c>
      <c r="B1997" s="4">
        <v>45899.375085336993</v>
      </c>
      <c r="C1997" t="s">
        <v>11</v>
      </c>
      <c r="D1997" t="s">
        <v>16</v>
      </c>
      <c r="E1997" t="s">
        <v>24</v>
      </c>
      <c r="F1997">
        <v>7844.59</v>
      </c>
      <c r="G1997">
        <f t="array" ref="G1997">SalesData!$I$2 - 'RFM Table'!B1997</f>
        <v>237</v>
      </c>
      <c r="H1997">
        <f t="array" ref="H1997">COUNTIF(A:A,A1997)</f>
        <v>7</v>
      </c>
      <c r="I1997">
        <f t="array" ref="I1997">SUMIF(A:A,A1997,F:F)</f>
        <v>47955.99</v>
      </c>
      <c r="J1997">
        <f t="array" ref="J1997">5 - INT(5 * (RANK(G1997,G:G, 1) - 1) / COUNT(G:G))</f>
        <v>4</v>
      </c>
      <c r="K1997">
        <f t="array" ref="K1997">INT(5 * (RANK(H1997,H:H, 0) - 1) / COUNT(H:H)) + 1</f>
        <v>4</v>
      </c>
      <c r="L1997">
        <f t="array" ref="L1997">INT(5 * (RANK(I1997,I:I, 0) - 1) / COUNT(I:I)) + 1</f>
        <v>1</v>
      </c>
      <c r="M1997" t="str">
        <f t="shared" si="62"/>
        <v>441</v>
      </c>
      <c r="N1997" s="6" t="str">
        <f t="shared" si="63"/>
        <v>Others</v>
      </c>
    </row>
    <row r="1998" spans="1:14" x14ac:dyDescent="0.35">
      <c r="A1998">
        <v>1254</v>
      </c>
      <c r="B1998" s="4">
        <v>45899.375085336993</v>
      </c>
      <c r="C1998" t="s">
        <v>9</v>
      </c>
      <c r="D1998" t="s">
        <v>19</v>
      </c>
      <c r="E1998" t="s">
        <v>24</v>
      </c>
      <c r="F1998">
        <v>5467.46</v>
      </c>
      <c r="G1998">
        <f t="array" ref="G1998">SalesData!$I$2 - 'RFM Table'!B1998</f>
        <v>237</v>
      </c>
      <c r="H1998">
        <f t="array" ref="H1998">COUNTIF(A:A,A1998)</f>
        <v>5</v>
      </c>
      <c r="I1998">
        <f t="array" ref="I1998">SUMIF(A:A,A1998,F:F)</f>
        <v>26657.089999999997</v>
      </c>
      <c r="J1998">
        <f t="array" ref="J1998">5 - INT(5 * (RANK(G1998,G:G, 1) - 1) / COUNT(G:G))</f>
        <v>4</v>
      </c>
      <c r="K1998">
        <f t="array" ref="K1998">INT(5 * (RANK(H1998,H:H, 0) - 1) / COUNT(H:H)) + 1</f>
        <v>5</v>
      </c>
      <c r="L1998">
        <f t="array" ref="L1998">INT(5 * (RANK(I1998,I:I, 0) - 1) / COUNT(I:I)) + 1</f>
        <v>4</v>
      </c>
      <c r="M1998" t="str">
        <f t="shared" si="62"/>
        <v>454</v>
      </c>
      <c r="N1998" s="6" t="str">
        <f t="shared" si="63"/>
        <v>Others</v>
      </c>
    </row>
    <row r="1999" spans="1:14" x14ac:dyDescent="0.35">
      <c r="A1999">
        <v>1256</v>
      </c>
      <c r="B1999" s="4">
        <v>45899.375085336993</v>
      </c>
      <c r="C1999" t="s">
        <v>14</v>
      </c>
      <c r="D1999" t="s">
        <v>19</v>
      </c>
      <c r="E1999" t="s">
        <v>25</v>
      </c>
      <c r="F1999">
        <v>3119.83</v>
      </c>
      <c r="G1999">
        <f t="array" ref="G1999">SalesData!$I$2 - 'RFM Table'!B1999</f>
        <v>237</v>
      </c>
      <c r="H1999">
        <f t="array" ref="H1999">COUNTIF(A:A,A1999)</f>
        <v>8</v>
      </c>
      <c r="I1999">
        <f t="array" ref="I1999">SUMIF(A:A,A1999,F:F)</f>
        <v>29767.75</v>
      </c>
      <c r="J1999">
        <f t="array" ref="J1999">5 - INT(5 * (RANK(G1999,G:G, 1) - 1) / COUNT(G:G))</f>
        <v>4</v>
      </c>
      <c r="K1999">
        <f t="array" ref="K1999">INT(5 * (RANK(H1999,H:H, 0) - 1) / COUNT(H:H)) + 1</f>
        <v>3</v>
      </c>
      <c r="L1999">
        <f t="array" ref="L1999">INT(5 * (RANK(I1999,I:I, 0) - 1) / COUNT(I:I)) + 1</f>
        <v>3</v>
      </c>
      <c r="M1999" t="str">
        <f t="shared" si="62"/>
        <v>433</v>
      </c>
      <c r="N1999" s="6" t="str">
        <f t="shared" si="63"/>
        <v>Others</v>
      </c>
    </row>
    <row r="2000" spans="1:14" x14ac:dyDescent="0.35">
      <c r="A2000">
        <v>1236</v>
      </c>
      <c r="B2000" s="4">
        <v>45899.375085336993</v>
      </c>
      <c r="C2000" t="s">
        <v>10</v>
      </c>
      <c r="D2000" t="s">
        <v>16</v>
      </c>
      <c r="E2000" t="s">
        <v>25</v>
      </c>
      <c r="F2000">
        <v>6599.37</v>
      </c>
      <c r="G2000">
        <f t="array" ref="G2000">SalesData!$I$2 - 'RFM Table'!B2000</f>
        <v>237</v>
      </c>
      <c r="H2000">
        <f t="array" ref="H2000">COUNTIF(A:A,A2000)</f>
        <v>10</v>
      </c>
      <c r="I2000">
        <f t="array" ref="I2000">SUMIF(A:A,A2000,F:F)</f>
        <v>40760.559999999998</v>
      </c>
      <c r="J2000">
        <f t="array" ref="J2000">5 - INT(5 * (RANK(G2000,G:G, 1) - 1) / COUNT(G:G))</f>
        <v>4</v>
      </c>
      <c r="K2000">
        <f t="array" ref="K2000">INT(5 * (RANK(H2000,H:H, 0) - 1) / COUNT(H:H)) + 1</f>
        <v>2</v>
      </c>
      <c r="L2000">
        <f t="array" ref="L2000">INT(5 * (RANK(I2000,I:I, 0) - 1) / COUNT(I:I)) + 1</f>
        <v>2</v>
      </c>
      <c r="M2000" t="str">
        <f t="shared" si="62"/>
        <v>422</v>
      </c>
      <c r="N2000" s="6" t="str">
        <f t="shared" si="63"/>
        <v>New Customers</v>
      </c>
    </row>
    <row r="2001" spans="1:14" x14ac:dyDescent="0.35">
      <c r="A2001">
        <v>1288</v>
      </c>
      <c r="B2001" s="4">
        <v>45899.375085336993</v>
      </c>
      <c r="C2001" t="s">
        <v>13</v>
      </c>
      <c r="D2001" t="s">
        <v>17</v>
      </c>
      <c r="E2001" t="s">
        <v>24</v>
      </c>
      <c r="F2001">
        <v>2683.16</v>
      </c>
      <c r="G2001">
        <f t="array" ref="G2001">SalesData!$I$2 - 'RFM Table'!B2001</f>
        <v>237</v>
      </c>
      <c r="H2001">
        <f t="array" ref="H2001">COUNTIF(A:A,A2001)</f>
        <v>13</v>
      </c>
      <c r="I2001">
        <f t="array" ref="I2001">SUMIF(A:A,A2001,F:F)</f>
        <v>40219.18</v>
      </c>
      <c r="J2001">
        <f t="array" ref="J2001">5 - INT(5 * (RANK(G2001,G:G, 1) - 1) / COUNT(G:G))</f>
        <v>4</v>
      </c>
      <c r="K2001">
        <f t="array" ref="K2001">INT(5 * (RANK(H2001,H:H, 0) - 1) / COUNT(H:H)) + 1</f>
        <v>1</v>
      </c>
      <c r="L2001">
        <f t="array" ref="L2001">INT(5 * (RANK(I2001,I:I, 0) - 1) / COUNT(I:I)) + 1</f>
        <v>2</v>
      </c>
      <c r="M2001" t="str">
        <f t="shared" si="62"/>
        <v>412</v>
      </c>
      <c r="N2001" s="6" t="str">
        <f t="shared" si="63"/>
        <v>New Customers</v>
      </c>
    </row>
    <row r="2002" spans="1:14" x14ac:dyDescent="0.35">
      <c r="A2002">
        <v>1379</v>
      </c>
      <c r="B2002" s="4">
        <v>45899.375085336993</v>
      </c>
      <c r="C2002" t="s">
        <v>14</v>
      </c>
      <c r="D2002" t="s">
        <v>22</v>
      </c>
      <c r="E2002" t="s">
        <v>25</v>
      </c>
      <c r="F2002">
        <v>1359.66</v>
      </c>
      <c r="G2002">
        <f t="array" ref="G2002">SalesData!$I$2 - 'RFM Table'!B2002</f>
        <v>237</v>
      </c>
      <c r="H2002">
        <f t="array" ref="H2002">COUNTIF(A:A,A2002)</f>
        <v>10</v>
      </c>
      <c r="I2002">
        <f t="array" ref="I2002">SUMIF(A:A,A2002,F:F)</f>
        <v>33545.49</v>
      </c>
      <c r="J2002">
        <f t="array" ref="J2002">5 - INT(5 * (RANK(G2002,G:G, 1) - 1) / COUNT(G:G))</f>
        <v>4</v>
      </c>
      <c r="K2002">
        <f t="array" ref="K2002">INT(5 * (RANK(H2002,H:H, 0) - 1) / COUNT(H:H)) + 1</f>
        <v>2</v>
      </c>
      <c r="L2002">
        <f t="array" ref="L2002">INT(5 * (RANK(I2002,I:I, 0) - 1) / COUNT(I:I)) + 1</f>
        <v>3</v>
      </c>
      <c r="M2002" t="str">
        <f t="shared" si="62"/>
        <v>423</v>
      </c>
      <c r="N2002" s="6" t="str">
        <f t="shared" si="63"/>
        <v>New Customers</v>
      </c>
    </row>
    <row r="2003" spans="1:14" x14ac:dyDescent="0.35">
      <c r="A2003">
        <v>1006</v>
      </c>
      <c r="B2003" s="4">
        <v>45900.375085336993</v>
      </c>
      <c r="C2003" t="s">
        <v>6</v>
      </c>
      <c r="D2003" t="s">
        <v>18</v>
      </c>
      <c r="E2003" t="s">
        <v>23</v>
      </c>
      <c r="F2003">
        <v>5332.82</v>
      </c>
      <c r="G2003">
        <f t="array" ref="G2003">SalesData!$I$2 - 'RFM Table'!B2003</f>
        <v>236</v>
      </c>
      <c r="H2003">
        <f t="array" ref="H2003">COUNTIF(A:A,A2003)</f>
        <v>9</v>
      </c>
      <c r="I2003">
        <f t="array" ref="I2003">SUMIF(A:A,A2003,F:F)</f>
        <v>44812.989999999991</v>
      </c>
      <c r="J2003">
        <f t="array" ref="J2003">5 - INT(5 * (RANK(G2003,G:G, 1) - 1) / COUNT(G:G))</f>
        <v>4</v>
      </c>
      <c r="K2003">
        <f t="array" ref="K2003">INT(5 * (RANK(H2003,H:H, 0) - 1) / COUNT(H:H)) + 1</f>
        <v>2</v>
      </c>
      <c r="L2003">
        <f t="array" ref="L2003">INT(5 * (RANK(I2003,I:I, 0) - 1) / COUNT(I:I)) + 1</f>
        <v>2</v>
      </c>
      <c r="M2003" t="str">
        <f t="shared" si="62"/>
        <v>422</v>
      </c>
      <c r="N2003" s="6" t="str">
        <f t="shared" si="63"/>
        <v>New Customers</v>
      </c>
    </row>
    <row r="2004" spans="1:14" x14ac:dyDescent="0.35">
      <c r="A2004">
        <v>1081</v>
      </c>
      <c r="B2004" s="4">
        <v>45900.375085336993</v>
      </c>
      <c r="C2004" t="s">
        <v>7</v>
      </c>
      <c r="D2004" t="s">
        <v>17</v>
      </c>
      <c r="E2004" t="s">
        <v>24</v>
      </c>
      <c r="F2004">
        <v>4310.84</v>
      </c>
      <c r="G2004">
        <f t="array" ref="G2004">SalesData!$I$2 - 'RFM Table'!B2004</f>
        <v>236</v>
      </c>
      <c r="H2004">
        <f t="array" ref="H2004">COUNTIF(A:A,A2004)</f>
        <v>8</v>
      </c>
      <c r="I2004">
        <f t="array" ref="I2004">SUMIF(A:A,A2004,F:F)</f>
        <v>29788.7</v>
      </c>
      <c r="J2004">
        <f t="array" ref="J2004">5 - INT(5 * (RANK(G2004,G:G, 1) - 1) / COUNT(G:G))</f>
        <v>4</v>
      </c>
      <c r="K2004">
        <f t="array" ref="K2004">INT(5 * (RANK(H2004,H:H, 0) - 1) / COUNT(H:H)) + 1</f>
        <v>3</v>
      </c>
      <c r="L2004">
        <f t="array" ref="L2004">INT(5 * (RANK(I2004,I:I, 0) - 1) / COUNT(I:I)) + 1</f>
        <v>3</v>
      </c>
      <c r="M2004" t="str">
        <f t="shared" si="62"/>
        <v>433</v>
      </c>
      <c r="N2004" s="6" t="str">
        <f t="shared" si="63"/>
        <v>Others</v>
      </c>
    </row>
    <row r="2005" spans="1:14" x14ac:dyDescent="0.35">
      <c r="A2005">
        <v>1301</v>
      </c>
      <c r="B2005" s="4">
        <v>45900.375085336993</v>
      </c>
      <c r="C2005" t="s">
        <v>14</v>
      </c>
      <c r="D2005" t="s">
        <v>20</v>
      </c>
      <c r="E2005" t="s">
        <v>23</v>
      </c>
      <c r="F2005">
        <v>4227.18</v>
      </c>
      <c r="G2005">
        <f t="array" ref="G2005">SalesData!$I$2 - 'RFM Table'!B2005</f>
        <v>236</v>
      </c>
      <c r="H2005">
        <f t="array" ref="H2005">COUNTIF(A:A,A2005)</f>
        <v>12</v>
      </c>
      <c r="I2005">
        <f t="array" ref="I2005">SUMIF(A:A,A2005,F:F)</f>
        <v>44897.450000000004</v>
      </c>
      <c r="J2005">
        <f t="array" ref="J2005">5 - INT(5 * (RANK(G2005,G:G, 1) - 1) / COUNT(G:G))</f>
        <v>4</v>
      </c>
      <c r="K2005">
        <f t="array" ref="K2005">INT(5 * (RANK(H2005,H:H, 0) - 1) / COUNT(H:H)) + 1</f>
        <v>1</v>
      </c>
      <c r="L2005">
        <f t="array" ref="L2005">INT(5 * (RANK(I2005,I:I, 0) - 1) / COUNT(I:I)) + 1</f>
        <v>1</v>
      </c>
      <c r="M2005" t="str">
        <f t="shared" si="62"/>
        <v>411</v>
      </c>
      <c r="N2005" s="6" t="str">
        <f t="shared" si="63"/>
        <v>New Customers</v>
      </c>
    </row>
    <row r="2006" spans="1:14" x14ac:dyDescent="0.35">
      <c r="A2006">
        <v>1030</v>
      </c>
      <c r="B2006" s="4">
        <v>45900.375085336993</v>
      </c>
      <c r="C2006" t="s">
        <v>9</v>
      </c>
      <c r="D2006" t="s">
        <v>17</v>
      </c>
      <c r="E2006" t="s">
        <v>25</v>
      </c>
      <c r="F2006">
        <v>1506.19</v>
      </c>
      <c r="G2006">
        <f t="array" ref="G2006">SalesData!$I$2 - 'RFM Table'!B2006</f>
        <v>236</v>
      </c>
      <c r="H2006">
        <f t="array" ref="H2006">COUNTIF(A:A,A2006)</f>
        <v>3</v>
      </c>
      <c r="I2006">
        <f t="array" ref="I2006">SUMIF(A:A,A2006,F:F)</f>
        <v>11089.06</v>
      </c>
      <c r="J2006">
        <f t="array" ref="J2006">5 - INT(5 * (RANK(G2006,G:G, 1) - 1) / COUNT(G:G))</f>
        <v>4</v>
      </c>
      <c r="K2006">
        <f t="array" ref="K2006">INT(5 * (RANK(H2006,H:H, 0) - 1) / COUNT(H:H)) + 1</f>
        <v>5</v>
      </c>
      <c r="L2006">
        <f t="array" ref="L2006">INT(5 * (RANK(I2006,I:I, 0) - 1) / COUNT(I:I)) + 1</f>
        <v>5</v>
      </c>
      <c r="M2006" t="str">
        <f t="shared" si="62"/>
        <v>455</v>
      </c>
      <c r="N2006" s="6" t="str">
        <f t="shared" si="63"/>
        <v>Others</v>
      </c>
    </row>
    <row r="2007" spans="1:14" x14ac:dyDescent="0.35">
      <c r="A2007">
        <v>1168</v>
      </c>
      <c r="B2007" s="4">
        <v>45900.375085336993</v>
      </c>
      <c r="C2007" t="s">
        <v>15</v>
      </c>
      <c r="D2007" t="s">
        <v>21</v>
      </c>
      <c r="E2007" t="s">
        <v>25</v>
      </c>
      <c r="F2007">
        <v>1037.93</v>
      </c>
      <c r="G2007">
        <f t="array" ref="G2007">SalesData!$I$2 - 'RFM Table'!B2007</f>
        <v>236</v>
      </c>
      <c r="H2007">
        <f t="array" ref="H2007">COUNTIF(A:A,A2007)</f>
        <v>4</v>
      </c>
      <c r="I2007">
        <f t="array" ref="I2007">SUMIF(A:A,A2007,F:F)</f>
        <v>6987.52</v>
      </c>
      <c r="J2007">
        <f t="array" ref="J2007">5 - INT(5 * (RANK(G2007,G:G, 1) - 1) / COUNT(G:G))</f>
        <v>4</v>
      </c>
      <c r="K2007">
        <f t="array" ref="K2007">INT(5 * (RANK(H2007,H:H, 0) - 1) / COUNT(H:H)) + 1</f>
        <v>5</v>
      </c>
      <c r="L2007">
        <f t="array" ref="L2007">INT(5 * (RANK(I2007,I:I, 0) - 1) / COUNT(I:I)) + 1</f>
        <v>5</v>
      </c>
      <c r="M2007" t="str">
        <f t="shared" si="62"/>
        <v>455</v>
      </c>
      <c r="N2007" s="6" t="str">
        <f t="shared" si="63"/>
        <v>Others</v>
      </c>
    </row>
    <row r="2008" spans="1:14" x14ac:dyDescent="0.35">
      <c r="A2008">
        <v>1027</v>
      </c>
      <c r="B2008" s="4">
        <v>45901.375085336993</v>
      </c>
      <c r="C2008" t="s">
        <v>10</v>
      </c>
      <c r="D2008" t="s">
        <v>18</v>
      </c>
      <c r="E2008" t="s">
        <v>24</v>
      </c>
      <c r="F2008">
        <v>2871.9</v>
      </c>
      <c r="G2008">
        <f t="array" ref="G2008">SalesData!$I$2 - 'RFM Table'!B2008</f>
        <v>235</v>
      </c>
      <c r="H2008">
        <f t="array" ref="H2008">COUNTIF(A:A,A2008)</f>
        <v>7</v>
      </c>
      <c r="I2008">
        <f t="array" ref="I2008">SUMIF(A:A,A2008,F:F)</f>
        <v>31771.820000000003</v>
      </c>
      <c r="J2008">
        <f t="array" ref="J2008">5 - INT(5 * (RANK(G2008,G:G, 1) - 1) / COUNT(G:G))</f>
        <v>4</v>
      </c>
      <c r="K2008">
        <f t="array" ref="K2008">INT(5 * (RANK(H2008,H:H, 0) - 1) / COUNT(H:H)) + 1</f>
        <v>4</v>
      </c>
      <c r="L2008">
        <f t="array" ref="L2008">INT(5 * (RANK(I2008,I:I, 0) - 1) / COUNT(I:I)) + 1</f>
        <v>3</v>
      </c>
      <c r="M2008" t="str">
        <f t="shared" si="62"/>
        <v>443</v>
      </c>
      <c r="N2008" s="6" t="str">
        <f t="shared" si="63"/>
        <v>Others</v>
      </c>
    </row>
    <row r="2009" spans="1:14" x14ac:dyDescent="0.35">
      <c r="A2009">
        <v>1006</v>
      </c>
      <c r="B2009" s="4">
        <v>45901.375085336993</v>
      </c>
      <c r="C2009" t="s">
        <v>9</v>
      </c>
      <c r="D2009" t="s">
        <v>22</v>
      </c>
      <c r="E2009" t="s">
        <v>23</v>
      </c>
      <c r="F2009">
        <v>3945.56</v>
      </c>
      <c r="G2009">
        <f t="array" ref="G2009">SalesData!$I$2 - 'RFM Table'!B2009</f>
        <v>235</v>
      </c>
      <c r="H2009">
        <f t="array" ref="H2009">COUNTIF(A:A,A2009)</f>
        <v>9</v>
      </c>
      <c r="I2009">
        <f t="array" ref="I2009">SUMIF(A:A,A2009,F:F)</f>
        <v>44812.989999999991</v>
      </c>
      <c r="J2009">
        <f t="array" ref="J2009">5 - INT(5 * (RANK(G2009,G:G, 1) - 1) / COUNT(G:G))</f>
        <v>4</v>
      </c>
      <c r="K2009">
        <f t="array" ref="K2009">INT(5 * (RANK(H2009,H:H, 0) - 1) / COUNT(H:H)) + 1</f>
        <v>2</v>
      </c>
      <c r="L2009">
        <f t="array" ref="L2009">INT(5 * (RANK(I2009,I:I, 0) - 1) / COUNT(I:I)) + 1</f>
        <v>2</v>
      </c>
      <c r="M2009" t="str">
        <f t="shared" si="62"/>
        <v>422</v>
      </c>
      <c r="N2009" s="6" t="str">
        <f t="shared" si="63"/>
        <v>New Customers</v>
      </c>
    </row>
    <row r="2010" spans="1:14" x14ac:dyDescent="0.35">
      <c r="A2010">
        <v>1262</v>
      </c>
      <c r="B2010" s="4">
        <v>45901.375085336993</v>
      </c>
      <c r="C2010" t="s">
        <v>7</v>
      </c>
      <c r="D2010" t="s">
        <v>20</v>
      </c>
      <c r="E2010" t="s">
        <v>25</v>
      </c>
      <c r="F2010">
        <v>2803.19</v>
      </c>
      <c r="G2010">
        <f t="array" ref="G2010">SalesData!$I$2 - 'RFM Table'!B2010</f>
        <v>235</v>
      </c>
      <c r="H2010">
        <f t="array" ref="H2010">COUNTIF(A:A,A2010)</f>
        <v>6</v>
      </c>
      <c r="I2010">
        <f t="array" ref="I2010">SUMIF(A:A,A2010,F:F)</f>
        <v>15936.029999999999</v>
      </c>
      <c r="J2010">
        <f t="array" ref="J2010">5 - INT(5 * (RANK(G2010,G:G, 1) - 1) / COUNT(G:G))</f>
        <v>4</v>
      </c>
      <c r="K2010">
        <f t="array" ref="K2010">INT(5 * (RANK(H2010,H:H, 0) - 1) / COUNT(H:H)) + 1</f>
        <v>4</v>
      </c>
      <c r="L2010">
        <f t="array" ref="L2010">INT(5 * (RANK(I2010,I:I, 0) - 1) / COUNT(I:I)) + 1</f>
        <v>5</v>
      </c>
      <c r="M2010" t="str">
        <f t="shared" si="62"/>
        <v>445</v>
      </c>
      <c r="N2010" s="6" t="str">
        <f t="shared" si="63"/>
        <v>Others</v>
      </c>
    </row>
    <row r="2011" spans="1:14" x14ac:dyDescent="0.35">
      <c r="A2011">
        <v>1392</v>
      </c>
      <c r="B2011" s="4">
        <v>45902.375085336993</v>
      </c>
      <c r="C2011" t="s">
        <v>6</v>
      </c>
      <c r="D2011" t="s">
        <v>19</v>
      </c>
      <c r="E2011" t="s">
        <v>23</v>
      </c>
      <c r="F2011">
        <v>2832.47</v>
      </c>
      <c r="G2011">
        <f t="array" ref="G2011">SalesData!$I$2 - 'RFM Table'!B2011</f>
        <v>234</v>
      </c>
      <c r="H2011">
        <f t="array" ref="H2011">COUNTIF(A:A,A2011)</f>
        <v>10</v>
      </c>
      <c r="I2011">
        <f t="array" ref="I2011">SUMIF(A:A,A2011,F:F)</f>
        <v>27910.07</v>
      </c>
      <c r="J2011">
        <f t="array" ref="J2011">5 - INT(5 * (RANK(G2011,G:G, 1) - 1) / COUNT(G:G))</f>
        <v>4</v>
      </c>
      <c r="K2011">
        <f t="array" ref="K2011">INT(5 * (RANK(H2011,H:H, 0) - 1) / COUNT(H:H)) + 1</f>
        <v>2</v>
      </c>
      <c r="L2011">
        <f t="array" ref="L2011">INT(5 * (RANK(I2011,I:I, 0) - 1) / COUNT(I:I)) + 1</f>
        <v>4</v>
      </c>
      <c r="M2011" t="str">
        <f t="shared" si="62"/>
        <v>424</v>
      </c>
      <c r="N2011" s="6" t="str">
        <f t="shared" si="63"/>
        <v>New Customers</v>
      </c>
    </row>
    <row r="2012" spans="1:14" x14ac:dyDescent="0.35">
      <c r="A2012">
        <v>1386</v>
      </c>
      <c r="B2012" s="4">
        <v>45902.375085336993</v>
      </c>
      <c r="C2012" t="s">
        <v>7</v>
      </c>
      <c r="D2012" t="s">
        <v>20</v>
      </c>
      <c r="E2012" t="s">
        <v>23</v>
      </c>
      <c r="F2012">
        <v>2518.54</v>
      </c>
      <c r="G2012">
        <f t="array" ref="G2012">SalesData!$I$2 - 'RFM Table'!B2012</f>
        <v>234</v>
      </c>
      <c r="H2012">
        <f t="array" ref="H2012">COUNTIF(A:A,A2012)</f>
        <v>8</v>
      </c>
      <c r="I2012">
        <f t="array" ref="I2012">SUMIF(A:A,A2012,F:F)</f>
        <v>32019.260000000006</v>
      </c>
      <c r="J2012">
        <f t="array" ref="J2012">5 - INT(5 * (RANK(G2012,G:G, 1) - 1) / COUNT(G:G))</f>
        <v>4</v>
      </c>
      <c r="K2012">
        <f t="array" ref="K2012">INT(5 * (RANK(H2012,H:H, 0) - 1) / COUNT(H:H)) + 1</f>
        <v>3</v>
      </c>
      <c r="L2012">
        <f t="array" ref="L2012">INT(5 * (RANK(I2012,I:I, 0) - 1) / COUNT(I:I)) + 1</f>
        <v>3</v>
      </c>
      <c r="M2012" t="str">
        <f t="shared" si="62"/>
        <v>433</v>
      </c>
      <c r="N2012" s="6" t="str">
        <f t="shared" si="63"/>
        <v>Others</v>
      </c>
    </row>
    <row r="2013" spans="1:14" x14ac:dyDescent="0.35">
      <c r="A2013">
        <v>1207</v>
      </c>
      <c r="B2013" s="4">
        <v>45903.375085336993</v>
      </c>
      <c r="C2013" t="s">
        <v>13</v>
      </c>
      <c r="D2013" t="s">
        <v>21</v>
      </c>
      <c r="E2013" t="s">
        <v>23</v>
      </c>
      <c r="F2013">
        <v>361.51</v>
      </c>
      <c r="G2013">
        <f t="array" ref="G2013">SalesData!$I$2 - 'RFM Table'!B2013</f>
        <v>233</v>
      </c>
      <c r="H2013">
        <f t="array" ref="H2013">COUNTIF(A:A,A2013)</f>
        <v>7</v>
      </c>
      <c r="I2013">
        <f t="array" ref="I2013">SUMIF(A:A,A2013,F:F)</f>
        <v>24204.07</v>
      </c>
      <c r="J2013">
        <f t="array" ref="J2013">5 - INT(5 * (RANK(G2013,G:G, 1) - 1) / COUNT(G:G))</f>
        <v>4</v>
      </c>
      <c r="K2013">
        <f t="array" ref="K2013">INT(5 * (RANK(H2013,H:H, 0) - 1) / COUNT(H:H)) + 1</f>
        <v>4</v>
      </c>
      <c r="L2013">
        <f t="array" ref="L2013">INT(5 * (RANK(I2013,I:I, 0) - 1) / COUNT(I:I)) + 1</f>
        <v>4</v>
      </c>
      <c r="M2013" t="str">
        <f t="shared" si="62"/>
        <v>444</v>
      </c>
      <c r="N2013" s="6" t="str">
        <f t="shared" si="63"/>
        <v>Others</v>
      </c>
    </row>
    <row r="2014" spans="1:14" x14ac:dyDescent="0.35">
      <c r="A2014">
        <v>1228</v>
      </c>
      <c r="B2014" s="4">
        <v>45904.375085336993</v>
      </c>
      <c r="C2014" t="s">
        <v>10</v>
      </c>
      <c r="D2014" t="s">
        <v>21</v>
      </c>
      <c r="E2014" t="s">
        <v>24</v>
      </c>
      <c r="F2014">
        <v>4246.05</v>
      </c>
      <c r="G2014">
        <f t="array" ref="G2014">SalesData!$I$2 - 'RFM Table'!B2014</f>
        <v>232</v>
      </c>
      <c r="H2014">
        <f t="array" ref="H2014">COUNTIF(A:A,A2014)</f>
        <v>13</v>
      </c>
      <c r="I2014">
        <f t="array" ref="I2014">SUMIF(A:A,A2014,F:F)</f>
        <v>47658.630000000005</v>
      </c>
      <c r="J2014">
        <f t="array" ref="J2014">5 - INT(5 * (RANK(G2014,G:G, 1) - 1) / COUNT(G:G))</f>
        <v>4</v>
      </c>
      <c r="K2014">
        <f t="array" ref="K2014">INT(5 * (RANK(H2014,H:H, 0) - 1) / COUNT(H:H)) + 1</f>
        <v>1</v>
      </c>
      <c r="L2014">
        <f t="array" ref="L2014">INT(5 * (RANK(I2014,I:I, 0) - 1) / COUNT(I:I)) + 1</f>
        <v>1</v>
      </c>
      <c r="M2014" t="str">
        <f t="shared" si="62"/>
        <v>411</v>
      </c>
      <c r="N2014" s="6" t="str">
        <f t="shared" si="63"/>
        <v>New Customers</v>
      </c>
    </row>
    <row r="2015" spans="1:14" x14ac:dyDescent="0.35">
      <c r="A2015">
        <v>1054</v>
      </c>
      <c r="B2015" s="4">
        <v>45904.375085336993</v>
      </c>
      <c r="C2015" t="s">
        <v>8</v>
      </c>
      <c r="D2015" t="s">
        <v>20</v>
      </c>
      <c r="E2015" t="s">
        <v>23</v>
      </c>
      <c r="F2015">
        <v>5781.8</v>
      </c>
      <c r="G2015">
        <f t="array" ref="G2015">SalesData!$I$2 - 'RFM Table'!B2015</f>
        <v>232</v>
      </c>
      <c r="H2015">
        <f t="array" ref="H2015">COUNTIF(A:A,A2015)</f>
        <v>7</v>
      </c>
      <c r="I2015">
        <f t="array" ref="I2015">SUMIF(A:A,A2015,F:F)</f>
        <v>21298.79</v>
      </c>
      <c r="J2015">
        <f t="array" ref="J2015">5 - INT(5 * (RANK(G2015,G:G, 1) - 1) / COUNT(G:G))</f>
        <v>4</v>
      </c>
      <c r="K2015">
        <f t="array" ref="K2015">INT(5 * (RANK(H2015,H:H, 0) - 1) / COUNT(H:H)) + 1</f>
        <v>4</v>
      </c>
      <c r="L2015">
        <f t="array" ref="L2015">INT(5 * (RANK(I2015,I:I, 0) - 1) / COUNT(I:I)) + 1</f>
        <v>5</v>
      </c>
      <c r="M2015" t="str">
        <f t="shared" si="62"/>
        <v>445</v>
      </c>
      <c r="N2015" s="6" t="str">
        <f t="shared" si="63"/>
        <v>Others</v>
      </c>
    </row>
    <row r="2016" spans="1:14" x14ac:dyDescent="0.35">
      <c r="A2016">
        <v>1049</v>
      </c>
      <c r="B2016" s="4">
        <v>45904.375085336993</v>
      </c>
      <c r="C2016" t="s">
        <v>14</v>
      </c>
      <c r="D2016" t="s">
        <v>18</v>
      </c>
      <c r="E2016" t="s">
        <v>23</v>
      </c>
      <c r="F2016">
        <v>834.87</v>
      </c>
      <c r="G2016">
        <f t="array" ref="G2016">SalesData!$I$2 - 'RFM Table'!B2016</f>
        <v>232</v>
      </c>
      <c r="H2016">
        <f t="array" ref="H2016">COUNTIF(A:A,A2016)</f>
        <v>6</v>
      </c>
      <c r="I2016">
        <f t="array" ref="I2016">SUMIF(A:A,A2016,F:F)</f>
        <v>21995.52</v>
      </c>
      <c r="J2016">
        <f t="array" ref="J2016">5 - INT(5 * (RANK(G2016,G:G, 1) - 1) / COUNT(G:G))</f>
        <v>4</v>
      </c>
      <c r="K2016">
        <f t="array" ref="K2016">INT(5 * (RANK(H2016,H:H, 0) - 1) / COUNT(H:H)) + 1</f>
        <v>4</v>
      </c>
      <c r="L2016">
        <f t="array" ref="L2016">INT(5 * (RANK(I2016,I:I, 0) - 1) / COUNT(I:I)) + 1</f>
        <v>4</v>
      </c>
      <c r="M2016" t="str">
        <f t="shared" si="62"/>
        <v>444</v>
      </c>
      <c r="N2016" s="6" t="str">
        <f t="shared" si="63"/>
        <v>Others</v>
      </c>
    </row>
    <row r="2017" spans="1:14" x14ac:dyDescent="0.35">
      <c r="A2017">
        <v>1162</v>
      </c>
      <c r="B2017" s="4">
        <v>45904.375085336993</v>
      </c>
      <c r="C2017" t="s">
        <v>14</v>
      </c>
      <c r="D2017" t="s">
        <v>19</v>
      </c>
      <c r="E2017" t="s">
        <v>25</v>
      </c>
      <c r="F2017">
        <v>9421.2099999999991</v>
      </c>
      <c r="G2017">
        <f t="array" ref="G2017">SalesData!$I$2 - 'RFM Table'!B2017</f>
        <v>232</v>
      </c>
      <c r="H2017">
        <f t="array" ref="H2017">COUNTIF(A:A,A2017)</f>
        <v>8</v>
      </c>
      <c r="I2017">
        <f t="array" ref="I2017">SUMIF(A:A,A2017,F:F)</f>
        <v>43723.900000000009</v>
      </c>
      <c r="J2017">
        <f t="array" ref="J2017">5 - INT(5 * (RANK(G2017,G:G, 1) - 1) / COUNT(G:G))</f>
        <v>4</v>
      </c>
      <c r="K2017">
        <f t="array" ref="K2017">INT(5 * (RANK(H2017,H:H, 0) - 1) / COUNT(H:H)) + 1</f>
        <v>3</v>
      </c>
      <c r="L2017">
        <f t="array" ref="L2017">INT(5 * (RANK(I2017,I:I, 0) - 1) / COUNT(I:I)) + 1</f>
        <v>2</v>
      </c>
      <c r="M2017" t="str">
        <f t="shared" si="62"/>
        <v>432</v>
      </c>
      <c r="N2017" s="6" t="str">
        <f t="shared" si="63"/>
        <v>Others</v>
      </c>
    </row>
    <row r="2018" spans="1:14" x14ac:dyDescent="0.35">
      <c r="A2018">
        <v>1250</v>
      </c>
      <c r="B2018" s="4">
        <v>45904.375085336993</v>
      </c>
      <c r="C2018" t="s">
        <v>13</v>
      </c>
      <c r="D2018" t="s">
        <v>18</v>
      </c>
      <c r="E2018" t="s">
        <v>23</v>
      </c>
      <c r="F2018">
        <v>2201.41</v>
      </c>
      <c r="G2018">
        <f t="array" ref="G2018">SalesData!$I$2 - 'RFM Table'!B2018</f>
        <v>232</v>
      </c>
      <c r="H2018">
        <f t="array" ref="H2018">COUNTIF(A:A,A2018)</f>
        <v>9</v>
      </c>
      <c r="I2018">
        <f t="array" ref="I2018">SUMIF(A:A,A2018,F:F)</f>
        <v>36713.85</v>
      </c>
      <c r="J2018">
        <f t="array" ref="J2018">5 - INT(5 * (RANK(G2018,G:G, 1) - 1) / COUNT(G:G))</f>
        <v>4</v>
      </c>
      <c r="K2018">
        <f t="array" ref="K2018">INT(5 * (RANK(H2018,H:H, 0) - 1) / COUNT(H:H)) + 1</f>
        <v>2</v>
      </c>
      <c r="L2018">
        <f t="array" ref="L2018">INT(5 * (RANK(I2018,I:I, 0) - 1) / COUNT(I:I)) + 1</f>
        <v>3</v>
      </c>
      <c r="M2018" t="str">
        <f t="shared" si="62"/>
        <v>423</v>
      </c>
      <c r="N2018" s="6" t="str">
        <f t="shared" si="63"/>
        <v>New Customers</v>
      </c>
    </row>
    <row r="2019" spans="1:14" x14ac:dyDescent="0.35">
      <c r="A2019">
        <v>1133</v>
      </c>
      <c r="B2019" s="4">
        <v>45904.375085336993</v>
      </c>
      <c r="C2019" t="s">
        <v>15</v>
      </c>
      <c r="D2019" t="s">
        <v>19</v>
      </c>
      <c r="E2019" t="s">
        <v>24</v>
      </c>
      <c r="F2019">
        <v>5264</v>
      </c>
      <c r="G2019">
        <f t="array" ref="G2019">SalesData!$I$2 - 'RFM Table'!B2019</f>
        <v>232</v>
      </c>
      <c r="H2019">
        <f t="array" ref="H2019">COUNTIF(A:A,A2019)</f>
        <v>8</v>
      </c>
      <c r="I2019">
        <f t="array" ref="I2019">SUMIF(A:A,A2019,F:F)</f>
        <v>34167.589999999997</v>
      </c>
      <c r="J2019">
        <f t="array" ref="J2019">5 - INT(5 * (RANK(G2019,G:G, 1) - 1) / COUNT(G:G))</f>
        <v>4</v>
      </c>
      <c r="K2019">
        <f t="array" ref="K2019">INT(5 * (RANK(H2019,H:H, 0) - 1) / COUNT(H:H)) + 1</f>
        <v>3</v>
      </c>
      <c r="L2019">
        <f t="array" ref="L2019">INT(5 * (RANK(I2019,I:I, 0) - 1) / COUNT(I:I)) + 1</f>
        <v>3</v>
      </c>
      <c r="M2019" t="str">
        <f t="shared" si="62"/>
        <v>433</v>
      </c>
      <c r="N2019" s="6" t="str">
        <f t="shared" si="63"/>
        <v>Others</v>
      </c>
    </row>
    <row r="2020" spans="1:14" x14ac:dyDescent="0.35">
      <c r="A2020">
        <v>1396</v>
      </c>
      <c r="B2020" s="4">
        <v>45904.375085336993</v>
      </c>
      <c r="C2020" t="s">
        <v>9</v>
      </c>
      <c r="D2020" t="s">
        <v>20</v>
      </c>
      <c r="E2020" t="s">
        <v>23</v>
      </c>
      <c r="F2020">
        <v>3275.38</v>
      </c>
      <c r="G2020">
        <f t="array" ref="G2020">SalesData!$I$2 - 'RFM Table'!B2020</f>
        <v>232</v>
      </c>
      <c r="H2020">
        <f t="array" ref="H2020">COUNTIF(A:A,A2020)</f>
        <v>11</v>
      </c>
      <c r="I2020">
        <f t="array" ref="I2020">SUMIF(A:A,A2020,F:F)</f>
        <v>54143.32</v>
      </c>
      <c r="J2020">
        <f t="array" ref="J2020">5 - INT(5 * (RANK(G2020,G:G, 1) - 1) / COUNT(G:G))</f>
        <v>4</v>
      </c>
      <c r="K2020">
        <f t="array" ref="K2020">INT(5 * (RANK(H2020,H:H, 0) - 1) / COUNT(H:H)) + 1</f>
        <v>1</v>
      </c>
      <c r="L2020">
        <f t="array" ref="L2020">INT(5 * (RANK(I2020,I:I, 0) - 1) / COUNT(I:I)) + 1</f>
        <v>1</v>
      </c>
      <c r="M2020" t="str">
        <f t="shared" si="62"/>
        <v>411</v>
      </c>
      <c r="N2020" s="6" t="str">
        <f t="shared" si="63"/>
        <v>New Customers</v>
      </c>
    </row>
    <row r="2021" spans="1:14" x14ac:dyDescent="0.35">
      <c r="A2021">
        <v>1057</v>
      </c>
      <c r="B2021" s="4">
        <v>45904.375085336993</v>
      </c>
      <c r="C2021" t="s">
        <v>10</v>
      </c>
      <c r="D2021" t="s">
        <v>21</v>
      </c>
      <c r="E2021" t="s">
        <v>24</v>
      </c>
      <c r="F2021">
        <v>2798.84</v>
      </c>
      <c r="G2021">
        <f t="array" ref="G2021">SalesData!$I$2 - 'RFM Table'!B2021</f>
        <v>232</v>
      </c>
      <c r="H2021">
        <f t="array" ref="H2021">COUNTIF(A:A,A2021)</f>
        <v>9</v>
      </c>
      <c r="I2021">
        <f t="array" ref="I2021">SUMIF(A:A,A2021,F:F)</f>
        <v>32930.549999999996</v>
      </c>
      <c r="J2021">
        <f t="array" ref="J2021">5 - INT(5 * (RANK(G2021,G:G, 1) - 1) / COUNT(G:G))</f>
        <v>4</v>
      </c>
      <c r="K2021">
        <f t="array" ref="K2021">INT(5 * (RANK(H2021,H:H, 0) - 1) / COUNT(H:H)) + 1</f>
        <v>2</v>
      </c>
      <c r="L2021">
        <f t="array" ref="L2021">INT(5 * (RANK(I2021,I:I, 0) - 1) / COUNT(I:I)) + 1</f>
        <v>3</v>
      </c>
      <c r="M2021" t="str">
        <f t="shared" si="62"/>
        <v>423</v>
      </c>
      <c r="N2021" s="6" t="str">
        <f t="shared" si="63"/>
        <v>New Customers</v>
      </c>
    </row>
    <row r="2022" spans="1:14" x14ac:dyDescent="0.35">
      <c r="A2022">
        <v>1231</v>
      </c>
      <c r="B2022" s="4">
        <v>45905.375085336993</v>
      </c>
      <c r="C2022" t="s">
        <v>13</v>
      </c>
      <c r="D2022" t="s">
        <v>17</v>
      </c>
      <c r="E2022" t="s">
        <v>25</v>
      </c>
      <c r="F2022">
        <v>4168.4399999999996</v>
      </c>
      <c r="G2022">
        <f t="array" ref="G2022">SalesData!$I$2 - 'RFM Table'!B2022</f>
        <v>231</v>
      </c>
      <c r="H2022">
        <f t="array" ref="H2022">COUNTIF(A:A,A2022)</f>
        <v>6</v>
      </c>
      <c r="I2022">
        <f t="array" ref="I2022">SUMIF(A:A,A2022,F:F)</f>
        <v>19997.589999999997</v>
      </c>
      <c r="J2022">
        <f t="array" ref="J2022">5 - INT(5 * (RANK(G2022,G:G, 1) - 1) / COUNT(G:G))</f>
        <v>4</v>
      </c>
      <c r="K2022">
        <f t="array" ref="K2022">INT(5 * (RANK(H2022,H:H, 0) - 1) / COUNT(H:H)) + 1</f>
        <v>4</v>
      </c>
      <c r="L2022">
        <f t="array" ref="L2022">INT(5 * (RANK(I2022,I:I, 0) - 1) / COUNT(I:I)) + 1</f>
        <v>5</v>
      </c>
      <c r="M2022" t="str">
        <f t="shared" si="62"/>
        <v>445</v>
      </c>
      <c r="N2022" s="6" t="str">
        <f t="shared" si="63"/>
        <v>Others</v>
      </c>
    </row>
    <row r="2023" spans="1:14" x14ac:dyDescent="0.35">
      <c r="A2023">
        <v>1273</v>
      </c>
      <c r="B2023" s="4">
        <v>45905.375085336993</v>
      </c>
      <c r="C2023" t="s">
        <v>8</v>
      </c>
      <c r="D2023" t="s">
        <v>18</v>
      </c>
      <c r="E2023" t="s">
        <v>23</v>
      </c>
      <c r="F2023">
        <v>8166.49</v>
      </c>
      <c r="G2023">
        <f t="array" ref="G2023">SalesData!$I$2 - 'RFM Table'!B2023</f>
        <v>231</v>
      </c>
      <c r="H2023">
        <f t="array" ref="H2023">COUNTIF(A:A,A2023)</f>
        <v>5</v>
      </c>
      <c r="I2023">
        <f t="array" ref="I2023">SUMIF(A:A,A2023,F:F)</f>
        <v>20536.82</v>
      </c>
      <c r="J2023">
        <f t="array" ref="J2023">5 - INT(5 * (RANK(G2023,G:G, 1) - 1) / COUNT(G:G))</f>
        <v>4</v>
      </c>
      <c r="K2023">
        <f t="array" ref="K2023">INT(5 * (RANK(H2023,H:H, 0) - 1) / COUNT(H:H)) + 1</f>
        <v>5</v>
      </c>
      <c r="L2023">
        <f t="array" ref="L2023">INT(5 * (RANK(I2023,I:I, 0) - 1) / COUNT(I:I)) + 1</f>
        <v>5</v>
      </c>
      <c r="M2023" t="str">
        <f t="shared" si="62"/>
        <v>455</v>
      </c>
      <c r="N2023" s="6" t="str">
        <f t="shared" si="63"/>
        <v>Others</v>
      </c>
    </row>
    <row r="2024" spans="1:14" x14ac:dyDescent="0.35">
      <c r="A2024">
        <v>1348</v>
      </c>
      <c r="B2024" s="4">
        <v>45905.375085336993</v>
      </c>
      <c r="C2024" t="s">
        <v>7</v>
      </c>
      <c r="D2024" t="s">
        <v>19</v>
      </c>
      <c r="E2024" t="s">
        <v>23</v>
      </c>
      <c r="F2024">
        <v>2680.42</v>
      </c>
      <c r="G2024">
        <f t="array" ref="G2024">SalesData!$I$2 - 'RFM Table'!B2024</f>
        <v>231</v>
      </c>
      <c r="H2024">
        <f t="array" ref="H2024">COUNTIF(A:A,A2024)</f>
        <v>12</v>
      </c>
      <c r="I2024">
        <f t="array" ref="I2024">SUMIF(A:A,A2024,F:F)</f>
        <v>27185.14</v>
      </c>
      <c r="J2024">
        <f t="array" ref="J2024">5 - INT(5 * (RANK(G2024,G:G, 1) - 1) / COUNT(G:G))</f>
        <v>4</v>
      </c>
      <c r="K2024">
        <f t="array" ref="K2024">INT(5 * (RANK(H2024,H:H, 0) - 1) / COUNT(H:H)) + 1</f>
        <v>1</v>
      </c>
      <c r="L2024">
        <f t="array" ref="L2024">INT(5 * (RANK(I2024,I:I, 0) - 1) / COUNT(I:I)) + 1</f>
        <v>4</v>
      </c>
      <c r="M2024" t="str">
        <f t="shared" si="62"/>
        <v>414</v>
      </c>
      <c r="N2024" s="6" t="str">
        <f t="shared" si="63"/>
        <v>New Customers</v>
      </c>
    </row>
    <row r="2025" spans="1:14" x14ac:dyDescent="0.35">
      <c r="A2025">
        <v>1040</v>
      </c>
      <c r="B2025" s="4">
        <v>45905.375085336993</v>
      </c>
      <c r="C2025" t="s">
        <v>13</v>
      </c>
      <c r="D2025" t="s">
        <v>21</v>
      </c>
      <c r="E2025" t="s">
        <v>24</v>
      </c>
      <c r="F2025">
        <v>6839.57</v>
      </c>
      <c r="G2025">
        <f t="array" ref="G2025">SalesData!$I$2 - 'RFM Table'!B2025</f>
        <v>231</v>
      </c>
      <c r="H2025">
        <f t="array" ref="H2025">COUNTIF(A:A,A2025)</f>
        <v>7</v>
      </c>
      <c r="I2025">
        <f t="array" ref="I2025">SUMIF(A:A,A2025,F:F)</f>
        <v>32869.479999999996</v>
      </c>
      <c r="J2025">
        <f t="array" ref="J2025">5 - INT(5 * (RANK(G2025,G:G, 1) - 1) / COUNT(G:G))</f>
        <v>4</v>
      </c>
      <c r="K2025">
        <f t="array" ref="K2025">INT(5 * (RANK(H2025,H:H, 0) - 1) / COUNT(H:H)) + 1</f>
        <v>4</v>
      </c>
      <c r="L2025">
        <f t="array" ref="L2025">INT(5 * (RANK(I2025,I:I, 0) - 1) / COUNT(I:I)) + 1</f>
        <v>3</v>
      </c>
      <c r="M2025" t="str">
        <f t="shared" si="62"/>
        <v>443</v>
      </c>
      <c r="N2025" s="6" t="str">
        <f t="shared" si="63"/>
        <v>Others</v>
      </c>
    </row>
    <row r="2026" spans="1:14" x14ac:dyDescent="0.35">
      <c r="A2026">
        <v>1373</v>
      </c>
      <c r="B2026" s="4">
        <v>45905.375085336993</v>
      </c>
      <c r="C2026" t="s">
        <v>8</v>
      </c>
      <c r="D2026" t="s">
        <v>20</v>
      </c>
      <c r="E2026" t="s">
        <v>23</v>
      </c>
      <c r="F2026">
        <v>1627.54</v>
      </c>
      <c r="G2026">
        <f t="array" ref="G2026">SalesData!$I$2 - 'RFM Table'!B2026</f>
        <v>231</v>
      </c>
      <c r="H2026">
        <f t="array" ref="H2026">COUNTIF(A:A,A2026)</f>
        <v>11</v>
      </c>
      <c r="I2026">
        <f t="array" ref="I2026">SUMIF(A:A,A2026,F:F)</f>
        <v>46795.570000000007</v>
      </c>
      <c r="J2026">
        <f t="array" ref="J2026">5 - INT(5 * (RANK(G2026,G:G, 1) - 1) / COUNT(G:G))</f>
        <v>4</v>
      </c>
      <c r="K2026">
        <f t="array" ref="K2026">INT(5 * (RANK(H2026,H:H, 0) - 1) / COUNT(H:H)) + 1</f>
        <v>1</v>
      </c>
      <c r="L2026">
        <f t="array" ref="L2026">INT(5 * (RANK(I2026,I:I, 0) - 1) / COUNT(I:I)) + 1</f>
        <v>1</v>
      </c>
      <c r="M2026" t="str">
        <f t="shared" si="62"/>
        <v>411</v>
      </c>
      <c r="N2026" s="6" t="str">
        <f t="shared" si="63"/>
        <v>New Customers</v>
      </c>
    </row>
    <row r="2027" spans="1:14" x14ac:dyDescent="0.35">
      <c r="A2027">
        <v>1090</v>
      </c>
      <c r="B2027" s="4">
        <v>45905.375085336993</v>
      </c>
      <c r="C2027" t="s">
        <v>14</v>
      </c>
      <c r="D2027" t="s">
        <v>22</v>
      </c>
      <c r="E2027" t="s">
        <v>25</v>
      </c>
      <c r="F2027">
        <v>4761.37</v>
      </c>
      <c r="G2027">
        <f t="array" ref="G2027">SalesData!$I$2 - 'RFM Table'!B2027</f>
        <v>231</v>
      </c>
      <c r="H2027">
        <f t="array" ref="H2027">COUNTIF(A:A,A2027)</f>
        <v>1</v>
      </c>
      <c r="I2027">
        <f t="array" ref="I2027">SUMIF(A:A,A2027,F:F)</f>
        <v>4761.37</v>
      </c>
      <c r="J2027">
        <f t="array" ref="J2027">5 - INT(5 * (RANK(G2027,G:G, 1) - 1) / COUNT(G:G))</f>
        <v>4</v>
      </c>
      <c r="K2027">
        <f t="array" ref="K2027">INT(5 * (RANK(H2027,H:H, 0) - 1) / COUNT(H:H)) + 1</f>
        <v>5</v>
      </c>
      <c r="L2027">
        <f t="array" ref="L2027">INT(5 * (RANK(I2027,I:I, 0) - 1) / COUNT(I:I)) + 1</f>
        <v>5</v>
      </c>
      <c r="M2027" t="str">
        <f t="shared" si="62"/>
        <v>455</v>
      </c>
      <c r="N2027" s="6" t="str">
        <f t="shared" si="63"/>
        <v>Others</v>
      </c>
    </row>
    <row r="2028" spans="1:14" x14ac:dyDescent="0.35">
      <c r="A2028">
        <v>1104</v>
      </c>
      <c r="B2028" s="4">
        <v>45906.375085336993</v>
      </c>
      <c r="C2028" t="s">
        <v>8</v>
      </c>
      <c r="D2028" t="s">
        <v>16</v>
      </c>
      <c r="E2028" t="s">
        <v>25</v>
      </c>
      <c r="F2028">
        <v>1167.05</v>
      </c>
      <c r="G2028">
        <f t="array" ref="G2028">SalesData!$I$2 - 'RFM Table'!B2028</f>
        <v>230</v>
      </c>
      <c r="H2028">
        <f t="array" ref="H2028">COUNTIF(A:A,A2028)</f>
        <v>6</v>
      </c>
      <c r="I2028">
        <f t="array" ref="I2028">SUMIF(A:A,A2028,F:F)</f>
        <v>19427.86</v>
      </c>
      <c r="J2028">
        <f t="array" ref="J2028">5 - INT(5 * (RANK(G2028,G:G, 1) - 1) / COUNT(G:G))</f>
        <v>4</v>
      </c>
      <c r="K2028">
        <f t="array" ref="K2028">INT(5 * (RANK(H2028,H:H, 0) - 1) / COUNT(H:H)) + 1</f>
        <v>4</v>
      </c>
      <c r="L2028">
        <f t="array" ref="L2028">INT(5 * (RANK(I2028,I:I, 0) - 1) / COUNT(I:I)) + 1</f>
        <v>5</v>
      </c>
      <c r="M2028" t="str">
        <f t="shared" si="62"/>
        <v>445</v>
      </c>
      <c r="N2028" s="6" t="str">
        <f t="shared" si="63"/>
        <v>Others</v>
      </c>
    </row>
    <row r="2029" spans="1:14" x14ac:dyDescent="0.35">
      <c r="A2029">
        <v>1132</v>
      </c>
      <c r="B2029" s="4">
        <v>45906.375085336993</v>
      </c>
      <c r="C2029" t="s">
        <v>11</v>
      </c>
      <c r="D2029" t="s">
        <v>18</v>
      </c>
      <c r="E2029" t="s">
        <v>23</v>
      </c>
      <c r="F2029">
        <v>2054.7199999999998</v>
      </c>
      <c r="G2029">
        <f t="array" ref="G2029">SalesData!$I$2 - 'RFM Table'!B2029</f>
        <v>230</v>
      </c>
      <c r="H2029">
        <f t="array" ref="H2029">COUNTIF(A:A,A2029)</f>
        <v>11</v>
      </c>
      <c r="I2029">
        <f t="array" ref="I2029">SUMIF(A:A,A2029,F:F)</f>
        <v>52771.959999999992</v>
      </c>
      <c r="J2029">
        <f t="array" ref="J2029">5 - INT(5 * (RANK(G2029,G:G, 1) - 1) / COUNT(G:G))</f>
        <v>4</v>
      </c>
      <c r="K2029">
        <f t="array" ref="K2029">INT(5 * (RANK(H2029,H:H, 0) - 1) / COUNT(H:H)) + 1</f>
        <v>1</v>
      </c>
      <c r="L2029">
        <f t="array" ref="L2029">INT(5 * (RANK(I2029,I:I, 0) - 1) / COUNT(I:I)) + 1</f>
        <v>1</v>
      </c>
      <c r="M2029" t="str">
        <f t="shared" si="62"/>
        <v>411</v>
      </c>
      <c r="N2029" s="6" t="str">
        <f t="shared" si="63"/>
        <v>New Customers</v>
      </c>
    </row>
    <row r="2030" spans="1:14" x14ac:dyDescent="0.35">
      <c r="A2030">
        <v>1157</v>
      </c>
      <c r="B2030" s="4">
        <v>45906.375085336993</v>
      </c>
      <c r="C2030" t="s">
        <v>6</v>
      </c>
      <c r="D2030" t="s">
        <v>22</v>
      </c>
      <c r="E2030" t="s">
        <v>24</v>
      </c>
      <c r="F2030">
        <v>2795.77</v>
      </c>
      <c r="G2030">
        <f t="array" ref="G2030">SalesData!$I$2 - 'RFM Table'!B2030</f>
        <v>230</v>
      </c>
      <c r="H2030">
        <f t="array" ref="H2030">COUNTIF(A:A,A2030)</f>
        <v>11</v>
      </c>
      <c r="I2030">
        <f t="array" ref="I2030">SUMIF(A:A,A2030,F:F)</f>
        <v>45651.77</v>
      </c>
      <c r="J2030">
        <f t="array" ref="J2030">5 - INT(5 * (RANK(G2030,G:G, 1) - 1) / COUNT(G:G))</f>
        <v>4</v>
      </c>
      <c r="K2030">
        <f t="array" ref="K2030">INT(5 * (RANK(H2030,H:H, 0) - 1) / COUNT(H:H)) + 1</f>
        <v>1</v>
      </c>
      <c r="L2030">
        <f t="array" ref="L2030">INT(5 * (RANK(I2030,I:I, 0) - 1) / COUNT(I:I)) + 1</f>
        <v>1</v>
      </c>
      <c r="M2030" t="str">
        <f t="shared" si="62"/>
        <v>411</v>
      </c>
      <c r="N2030" s="6" t="str">
        <f t="shared" si="63"/>
        <v>New Customers</v>
      </c>
    </row>
    <row r="2031" spans="1:14" x14ac:dyDescent="0.35">
      <c r="A2031">
        <v>1293</v>
      </c>
      <c r="B2031" s="4">
        <v>45907.375085336993</v>
      </c>
      <c r="C2031" t="s">
        <v>10</v>
      </c>
      <c r="D2031" t="s">
        <v>18</v>
      </c>
      <c r="E2031" t="s">
        <v>23</v>
      </c>
      <c r="F2031">
        <v>3497.75</v>
      </c>
      <c r="G2031">
        <f t="array" ref="G2031">SalesData!$I$2 - 'RFM Table'!B2031</f>
        <v>229</v>
      </c>
      <c r="H2031">
        <f t="array" ref="H2031">COUNTIF(A:A,A2031)</f>
        <v>7</v>
      </c>
      <c r="I2031">
        <f t="array" ref="I2031">SUMIF(A:A,A2031,F:F)</f>
        <v>27438.3</v>
      </c>
      <c r="J2031">
        <f t="array" ref="J2031">5 - INT(5 * (RANK(G2031,G:G, 1) - 1) / COUNT(G:G))</f>
        <v>4</v>
      </c>
      <c r="K2031">
        <f t="array" ref="K2031">INT(5 * (RANK(H2031,H:H, 0) - 1) / COUNT(H:H)) + 1</f>
        <v>4</v>
      </c>
      <c r="L2031">
        <f t="array" ref="L2031">INT(5 * (RANK(I2031,I:I, 0) - 1) / COUNT(I:I)) + 1</f>
        <v>4</v>
      </c>
      <c r="M2031" t="str">
        <f t="shared" si="62"/>
        <v>444</v>
      </c>
      <c r="N2031" s="6" t="str">
        <f t="shared" si="63"/>
        <v>Others</v>
      </c>
    </row>
    <row r="2032" spans="1:14" x14ac:dyDescent="0.35">
      <c r="A2032">
        <v>1093</v>
      </c>
      <c r="B2032" s="4">
        <v>45907.375085336993</v>
      </c>
      <c r="C2032" t="s">
        <v>12</v>
      </c>
      <c r="D2032" t="s">
        <v>19</v>
      </c>
      <c r="E2032" t="s">
        <v>23</v>
      </c>
      <c r="F2032">
        <v>5234.6400000000003</v>
      </c>
      <c r="G2032">
        <f t="array" ref="G2032">SalesData!$I$2 - 'RFM Table'!B2032</f>
        <v>229</v>
      </c>
      <c r="H2032">
        <f t="array" ref="H2032">COUNTIF(A:A,A2032)</f>
        <v>3</v>
      </c>
      <c r="I2032">
        <f t="array" ref="I2032">SUMIF(A:A,A2032,F:F)</f>
        <v>12014.18</v>
      </c>
      <c r="J2032">
        <f t="array" ref="J2032">5 - INT(5 * (RANK(G2032,G:G, 1) - 1) / COUNT(G:G))</f>
        <v>4</v>
      </c>
      <c r="K2032">
        <f t="array" ref="K2032">INT(5 * (RANK(H2032,H:H, 0) - 1) / COUNT(H:H)) + 1</f>
        <v>5</v>
      </c>
      <c r="L2032">
        <f t="array" ref="L2032">INT(5 * (RANK(I2032,I:I, 0) - 1) / COUNT(I:I)) + 1</f>
        <v>5</v>
      </c>
      <c r="M2032" t="str">
        <f t="shared" si="62"/>
        <v>455</v>
      </c>
      <c r="N2032" s="6" t="str">
        <f t="shared" si="63"/>
        <v>Others</v>
      </c>
    </row>
    <row r="2033" spans="1:14" x14ac:dyDescent="0.35">
      <c r="A2033">
        <v>1024</v>
      </c>
      <c r="B2033" s="4">
        <v>45908.375085336993</v>
      </c>
      <c r="C2033" t="s">
        <v>13</v>
      </c>
      <c r="D2033" t="s">
        <v>19</v>
      </c>
      <c r="E2033" t="s">
        <v>24</v>
      </c>
      <c r="F2033">
        <v>2342.31</v>
      </c>
      <c r="G2033">
        <f t="array" ref="G2033">SalesData!$I$2 - 'RFM Table'!B2033</f>
        <v>228</v>
      </c>
      <c r="H2033">
        <f t="array" ref="H2033">COUNTIF(A:A,A2033)</f>
        <v>12</v>
      </c>
      <c r="I2033">
        <f t="array" ref="I2033">SUMIF(A:A,A2033,F:F)</f>
        <v>48008.159999999996</v>
      </c>
      <c r="J2033">
        <f t="array" ref="J2033">5 - INT(5 * (RANK(G2033,G:G, 1) - 1) / COUNT(G:G))</f>
        <v>4</v>
      </c>
      <c r="K2033">
        <f t="array" ref="K2033">INT(5 * (RANK(H2033,H:H, 0) - 1) / COUNT(H:H)) + 1</f>
        <v>1</v>
      </c>
      <c r="L2033">
        <f t="array" ref="L2033">INT(5 * (RANK(I2033,I:I, 0) - 1) / COUNT(I:I)) + 1</f>
        <v>1</v>
      </c>
      <c r="M2033" t="str">
        <f t="shared" si="62"/>
        <v>411</v>
      </c>
      <c r="N2033" s="6" t="str">
        <f t="shared" si="63"/>
        <v>New Customers</v>
      </c>
    </row>
    <row r="2034" spans="1:14" x14ac:dyDescent="0.35">
      <c r="A2034">
        <v>1225</v>
      </c>
      <c r="B2034" s="4">
        <v>45908.375085336993</v>
      </c>
      <c r="C2034" t="s">
        <v>13</v>
      </c>
      <c r="D2034" t="s">
        <v>16</v>
      </c>
      <c r="E2034" t="s">
        <v>23</v>
      </c>
      <c r="F2034">
        <v>1260.3499999999999</v>
      </c>
      <c r="G2034">
        <f t="array" ref="G2034">SalesData!$I$2 - 'RFM Table'!B2034</f>
        <v>228</v>
      </c>
      <c r="H2034">
        <f t="array" ref="H2034">COUNTIF(A:A,A2034)</f>
        <v>12</v>
      </c>
      <c r="I2034">
        <f t="array" ref="I2034">SUMIF(A:A,A2034,F:F)</f>
        <v>42930.969999999994</v>
      </c>
      <c r="J2034">
        <f t="array" ref="J2034">5 - INT(5 * (RANK(G2034,G:G, 1) - 1) / COUNT(G:G))</f>
        <v>4</v>
      </c>
      <c r="K2034">
        <f t="array" ref="K2034">INT(5 * (RANK(H2034,H:H, 0) - 1) / COUNT(H:H)) + 1</f>
        <v>1</v>
      </c>
      <c r="L2034">
        <f t="array" ref="L2034">INT(5 * (RANK(I2034,I:I, 0) - 1) / COUNT(I:I)) + 1</f>
        <v>2</v>
      </c>
      <c r="M2034" t="str">
        <f t="shared" si="62"/>
        <v>412</v>
      </c>
      <c r="N2034" s="6" t="str">
        <f t="shared" si="63"/>
        <v>New Customers</v>
      </c>
    </row>
    <row r="2035" spans="1:14" x14ac:dyDescent="0.35">
      <c r="A2035">
        <v>1092</v>
      </c>
      <c r="B2035" s="4">
        <v>45908.375085336993</v>
      </c>
      <c r="C2035" t="s">
        <v>13</v>
      </c>
      <c r="D2035" t="s">
        <v>20</v>
      </c>
      <c r="E2035" t="s">
        <v>24</v>
      </c>
      <c r="F2035">
        <v>4833.7299999999996</v>
      </c>
      <c r="G2035">
        <f t="array" ref="G2035">SalesData!$I$2 - 'RFM Table'!B2035</f>
        <v>228</v>
      </c>
      <c r="H2035">
        <f t="array" ref="H2035">COUNTIF(A:A,A2035)</f>
        <v>6</v>
      </c>
      <c r="I2035">
        <f t="array" ref="I2035">SUMIF(A:A,A2035,F:F)</f>
        <v>21226.689999999995</v>
      </c>
      <c r="J2035">
        <f t="array" ref="J2035">5 - INT(5 * (RANK(G2035,G:G, 1) - 1) / COUNT(G:G))</f>
        <v>4</v>
      </c>
      <c r="K2035">
        <f t="array" ref="K2035">INT(5 * (RANK(H2035,H:H, 0) - 1) / COUNT(H:H)) + 1</f>
        <v>4</v>
      </c>
      <c r="L2035">
        <f t="array" ref="L2035">INT(5 * (RANK(I2035,I:I, 0) - 1) / COUNT(I:I)) + 1</f>
        <v>5</v>
      </c>
      <c r="M2035" t="str">
        <f t="shared" si="62"/>
        <v>445</v>
      </c>
      <c r="N2035" s="6" t="str">
        <f t="shared" si="63"/>
        <v>Others</v>
      </c>
    </row>
    <row r="2036" spans="1:14" x14ac:dyDescent="0.35">
      <c r="A2036">
        <v>1062</v>
      </c>
      <c r="B2036" s="4">
        <v>45908.375085336993</v>
      </c>
      <c r="C2036" t="s">
        <v>8</v>
      </c>
      <c r="D2036" t="s">
        <v>22</v>
      </c>
      <c r="E2036" t="s">
        <v>24</v>
      </c>
      <c r="F2036">
        <v>1954.41</v>
      </c>
      <c r="G2036">
        <f t="array" ref="G2036">SalesData!$I$2 - 'RFM Table'!B2036</f>
        <v>228</v>
      </c>
      <c r="H2036">
        <f t="array" ref="H2036">COUNTIF(A:A,A2036)</f>
        <v>11</v>
      </c>
      <c r="I2036">
        <f t="array" ref="I2036">SUMIF(A:A,A2036,F:F)</f>
        <v>59377.640000000014</v>
      </c>
      <c r="J2036">
        <f t="array" ref="J2036">5 - INT(5 * (RANK(G2036,G:G, 1) - 1) / COUNT(G:G))</f>
        <v>4</v>
      </c>
      <c r="K2036">
        <f t="array" ref="K2036">INT(5 * (RANK(H2036,H:H, 0) - 1) / COUNT(H:H)) + 1</f>
        <v>1</v>
      </c>
      <c r="L2036">
        <f t="array" ref="L2036">INT(5 * (RANK(I2036,I:I, 0) - 1) / COUNT(I:I)) + 1</f>
        <v>1</v>
      </c>
      <c r="M2036" t="str">
        <f t="shared" si="62"/>
        <v>411</v>
      </c>
      <c r="N2036" s="6" t="str">
        <f t="shared" si="63"/>
        <v>New Customers</v>
      </c>
    </row>
    <row r="2037" spans="1:14" x14ac:dyDescent="0.35">
      <c r="A2037">
        <v>1165</v>
      </c>
      <c r="B2037" s="4">
        <v>45909.375085336993</v>
      </c>
      <c r="C2037" t="s">
        <v>15</v>
      </c>
      <c r="D2037" t="s">
        <v>21</v>
      </c>
      <c r="E2037" t="s">
        <v>25</v>
      </c>
      <c r="F2037">
        <v>2780.35</v>
      </c>
      <c r="G2037">
        <f t="array" ref="G2037">SalesData!$I$2 - 'RFM Table'!B2037</f>
        <v>227</v>
      </c>
      <c r="H2037">
        <f t="array" ref="H2037">COUNTIF(A:A,A2037)</f>
        <v>6</v>
      </c>
      <c r="I2037">
        <f t="array" ref="I2037">SUMIF(A:A,A2037,F:F)</f>
        <v>25394.229999999996</v>
      </c>
      <c r="J2037">
        <f t="array" ref="J2037">5 - INT(5 * (RANK(G2037,G:G, 1) - 1) / COUNT(G:G))</f>
        <v>4</v>
      </c>
      <c r="K2037">
        <f t="array" ref="K2037">INT(5 * (RANK(H2037,H:H, 0) - 1) / COUNT(H:H)) + 1</f>
        <v>4</v>
      </c>
      <c r="L2037">
        <f t="array" ref="L2037">INT(5 * (RANK(I2037,I:I, 0) - 1) / COUNT(I:I)) + 1</f>
        <v>4</v>
      </c>
      <c r="M2037" t="str">
        <f t="shared" si="62"/>
        <v>444</v>
      </c>
      <c r="N2037" s="6" t="str">
        <f t="shared" si="63"/>
        <v>Others</v>
      </c>
    </row>
    <row r="2038" spans="1:14" x14ac:dyDescent="0.35">
      <c r="A2038">
        <v>1258</v>
      </c>
      <c r="B2038" s="4">
        <v>45909.375085336993</v>
      </c>
      <c r="C2038" t="s">
        <v>8</v>
      </c>
      <c r="D2038" t="s">
        <v>16</v>
      </c>
      <c r="E2038" t="s">
        <v>24</v>
      </c>
      <c r="F2038">
        <v>2063.06</v>
      </c>
      <c r="G2038">
        <f t="array" ref="G2038">SalesData!$I$2 - 'RFM Table'!B2038</f>
        <v>227</v>
      </c>
      <c r="H2038">
        <f t="array" ref="H2038">COUNTIF(A:A,A2038)</f>
        <v>8</v>
      </c>
      <c r="I2038">
        <f t="array" ref="I2038">SUMIF(A:A,A2038,F:F)</f>
        <v>28559.850000000002</v>
      </c>
      <c r="J2038">
        <f t="array" ref="J2038">5 - INT(5 * (RANK(G2038,G:G, 1) - 1) / COUNT(G:G))</f>
        <v>4</v>
      </c>
      <c r="K2038">
        <f t="array" ref="K2038">INT(5 * (RANK(H2038,H:H, 0) - 1) / COUNT(H:H)) + 1</f>
        <v>3</v>
      </c>
      <c r="L2038">
        <f t="array" ref="L2038">INT(5 * (RANK(I2038,I:I, 0) - 1) / COUNT(I:I)) + 1</f>
        <v>4</v>
      </c>
      <c r="M2038" t="str">
        <f t="shared" si="62"/>
        <v>434</v>
      </c>
      <c r="N2038" s="6" t="str">
        <f t="shared" si="63"/>
        <v>Others</v>
      </c>
    </row>
    <row r="2039" spans="1:14" x14ac:dyDescent="0.35">
      <c r="A2039">
        <v>1227</v>
      </c>
      <c r="B2039" s="4">
        <v>45909.375085336993</v>
      </c>
      <c r="C2039" t="s">
        <v>8</v>
      </c>
      <c r="D2039" t="s">
        <v>20</v>
      </c>
      <c r="E2039" t="s">
        <v>24</v>
      </c>
      <c r="F2039">
        <v>7612.45</v>
      </c>
      <c r="G2039">
        <f t="array" ref="G2039">SalesData!$I$2 - 'RFM Table'!B2039</f>
        <v>227</v>
      </c>
      <c r="H2039">
        <f t="array" ref="H2039">COUNTIF(A:A,A2039)</f>
        <v>7</v>
      </c>
      <c r="I2039">
        <f t="array" ref="I2039">SUMIF(A:A,A2039,F:F)</f>
        <v>39486.589999999997</v>
      </c>
      <c r="J2039">
        <f t="array" ref="J2039">5 - INT(5 * (RANK(G2039,G:G, 1) - 1) / COUNT(G:G))</f>
        <v>4</v>
      </c>
      <c r="K2039">
        <f t="array" ref="K2039">INT(5 * (RANK(H2039,H:H, 0) - 1) / COUNT(H:H)) + 1</f>
        <v>4</v>
      </c>
      <c r="L2039">
        <f t="array" ref="L2039">INT(5 * (RANK(I2039,I:I, 0) - 1) / COUNT(I:I)) + 1</f>
        <v>2</v>
      </c>
      <c r="M2039" t="str">
        <f t="shared" si="62"/>
        <v>442</v>
      </c>
      <c r="N2039" s="6" t="str">
        <f t="shared" si="63"/>
        <v>Others</v>
      </c>
    </row>
    <row r="2040" spans="1:14" x14ac:dyDescent="0.35">
      <c r="A2040">
        <v>1112</v>
      </c>
      <c r="B2040" s="4">
        <v>45909.375085336993</v>
      </c>
      <c r="C2040" t="s">
        <v>15</v>
      </c>
      <c r="D2040" t="s">
        <v>16</v>
      </c>
      <c r="E2040" t="s">
        <v>24</v>
      </c>
      <c r="F2040">
        <v>728.26</v>
      </c>
      <c r="G2040">
        <f t="array" ref="G2040">SalesData!$I$2 - 'RFM Table'!B2040</f>
        <v>227</v>
      </c>
      <c r="H2040">
        <f t="array" ref="H2040">COUNTIF(A:A,A2040)</f>
        <v>12</v>
      </c>
      <c r="I2040">
        <f t="array" ref="I2040">SUMIF(A:A,A2040,F:F)</f>
        <v>38950.210000000006</v>
      </c>
      <c r="J2040">
        <f t="array" ref="J2040">5 - INT(5 * (RANK(G2040,G:G, 1) - 1) / COUNT(G:G))</f>
        <v>4</v>
      </c>
      <c r="K2040">
        <f t="array" ref="K2040">INT(5 * (RANK(H2040,H:H, 0) - 1) / COUNT(H:H)) + 1</f>
        <v>1</v>
      </c>
      <c r="L2040">
        <f t="array" ref="L2040">INT(5 * (RANK(I2040,I:I, 0) - 1) / COUNT(I:I)) + 1</f>
        <v>2</v>
      </c>
      <c r="M2040" t="str">
        <f t="shared" si="62"/>
        <v>412</v>
      </c>
      <c r="N2040" s="6" t="str">
        <f t="shared" si="63"/>
        <v>New Customers</v>
      </c>
    </row>
    <row r="2041" spans="1:14" x14ac:dyDescent="0.35">
      <c r="A2041">
        <v>1191</v>
      </c>
      <c r="B2041" s="4">
        <v>45909.375085336993</v>
      </c>
      <c r="C2041" t="s">
        <v>9</v>
      </c>
      <c r="D2041" t="s">
        <v>22</v>
      </c>
      <c r="E2041" t="s">
        <v>23</v>
      </c>
      <c r="F2041">
        <v>4075.82</v>
      </c>
      <c r="G2041">
        <f t="array" ref="G2041">SalesData!$I$2 - 'RFM Table'!B2041</f>
        <v>227</v>
      </c>
      <c r="H2041">
        <f t="array" ref="H2041">COUNTIF(A:A,A2041)</f>
        <v>11</v>
      </c>
      <c r="I2041">
        <f t="array" ref="I2041">SUMIF(A:A,A2041,F:F)</f>
        <v>30527.53</v>
      </c>
      <c r="J2041">
        <f t="array" ref="J2041">5 - INT(5 * (RANK(G2041,G:G, 1) - 1) / COUNT(G:G))</f>
        <v>4</v>
      </c>
      <c r="K2041">
        <f t="array" ref="K2041">INT(5 * (RANK(H2041,H:H, 0) - 1) / COUNT(H:H)) + 1</f>
        <v>1</v>
      </c>
      <c r="L2041">
        <f t="array" ref="L2041">INT(5 * (RANK(I2041,I:I, 0) - 1) / COUNT(I:I)) + 1</f>
        <v>3</v>
      </c>
      <c r="M2041" t="str">
        <f t="shared" si="62"/>
        <v>413</v>
      </c>
      <c r="N2041" s="6" t="str">
        <f t="shared" si="63"/>
        <v>New Customers</v>
      </c>
    </row>
    <row r="2042" spans="1:14" x14ac:dyDescent="0.35">
      <c r="A2042">
        <v>1240</v>
      </c>
      <c r="B2042" s="4">
        <v>45909.375085336993</v>
      </c>
      <c r="C2042" t="s">
        <v>7</v>
      </c>
      <c r="D2042" t="s">
        <v>21</v>
      </c>
      <c r="E2042" t="s">
        <v>24</v>
      </c>
      <c r="F2042">
        <v>1907.41</v>
      </c>
      <c r="G2042">
        <f t="array" ref="G2042">SalesData!$I$2 - 'RFM Table'!B2042</f>
        <v>227</v>
      </c>
      <c r="H2042">
        <f t="array" ref="H2042">COUNTIF(A:A,A2042)</f>
        <v>5</v>
      </c>
      <c r="I2042">
        <f t="array" ref="I2042">SUMIF(A:A,A2042,F:F)</f>
        <v>17355.699999999997</v>
      </c>
      <c r="J2042">
        <f t="array" ref="J2042">5 - INT(5 * (RANK(G2042,G:G, 1) - 1) / COUNT(G:G))</f>
        <v>4</v>
      </c>
      <c r="K2042">
        <f t="array" ref="K2042">INT(5 * (RANK(H2042,H:H, 0) - 1) / COUNT(H:H)) + 1</f>
        <v>5</v>
      </c>
      <c r="L2042">
        <f t="array" ref="L2042">INT(5 * (RANK(I2042,I:I, 0) - 1) / COUNT(I:I)) + 1</f>
        <v>5</v>
      </c>
      <c r="M2042" t="str">
        <f t="shared" si="62"/>
        <v>455</v>
      </c>
      <c r="N2042" s="6" t="str">
        <f t="shared" si="63"/>
        <v>Others</v>
      </c>
    </row>
    <row r="2043" spans="1:14" x14ac:dyDescent="0.35">
      <c r="A2043">
        <v>1210</v>
      </c>
      <c r="B2043" s="4">
        <v>45909.375085336993</v>
      </c>
      <c r="C2043" t="s">
        <v>11</v>
      </c>
      <c r="D2043" t="s">
        <v>22</v>
      </c>
      <c r="E2043" t="s">
        <v>25</v>
      </c>
      <c r="F2043">
        <v>2450.79</v>
      </c>
      <c r="G2043">
        <f t="array" ref="G2043">SalesData!$I$2 - 'RFM Table'!B2043</f>
        <v>227</v>
      </c>
      <c r="H2043">
        <f t="array" ref="H2043">COUNTIF(A:A,A2043)</f>
        <v>4</v>
      </c>
      <c r="I2043">
        <f t="array" ref="I2043">SUMIF(A:A,A2043,F:F)</f>
        <v>9551.7100000000009</v>
      </c>
      <c r="J2043">
        <f t="array" ref="J2043">5 - INT(5 * (RANK(G2043,G:G, 1) - 1) / COUNT(G:G))</f>
        <v>4</v>
      </c>
      <c r="K2043">
        <f t="array" ref="K2043">INT(5 * (RANK(H2043,H:H, 0) - 1) / COUNT(H:H)) + 1</f>
        <v>5</v>
      </c>
      <c r="L2043">
        <f t="array" ref="L2043">INT(5 * (RANK(I2043,I:I, 0) - 1) / COUNT(I:I)) + 1</f>
        <v>5</v>
      </c>
      <c r="M2043" t="str">
        <f t="shared" si="62"/>
        <v>455</v>
      </c>
      <c r="N2043" s="6" t="str">
        <f t="shared" si="63"/>
        <v>Others</v>
      </c>
    </row>
    <row r="2044" spans="1:14" x14ac:dyDescent="0.35">
      <c r="A2044">
        <v>1084</v>
      </c>
      <c r="B2044" s="4">
        <v>45909.375085336993</v>
      </c>
      <c r="C2044" t="s">
        <v>15</v>
      </c>
      <c r="D2044" t="s">
        <v>17</v>
      </c>
      <c r="E2044" t="s">
        <v>25</v>
      </c>
      <c r="F2044">
        <v>2311.21</v>
      </c>
      <c r="G2044">
        <f t="array" ref="G2044">SalesData!$I$2 - 'RFM Table'!B2044</f>
        <v>227</v>
      </c>
      <c r="H2044">
        <f t="array" ref="H2044">COUNTIF(A:A,A2044)</f>
        <v>4</v>
      </c>
      <c r="I2044">
        <f t="array" ref="I2044">SUMIF(A:A,A2044,F:F)</f>
        <v>12531.98</v>
      </c>
      <c r="J2044">
        <f t="array" ref="J2044">5 - INT(5 * (RANK(G2044,G:G, 1) - 1) / COUNT(G:G))</f>
        <v>4</v>
      </c>
      <c r="K2044">
        <f t="array" ref="K2044">INT(5 * (RANK(H2044,H:H, 0) - 1) / COUNT(H:H)) + 1</f>
        <v>5</v>
      </c>
      <c r="L2044">
        <f t="array" ref="L2044">INT(5 * (RANK(I2044,I:I, 0) - 1) / COUNT(I:I)) + 1</f>
        <v>5</v>
      </c>
      <c r="M2044" t="str">
        <f t="shared" si="62"/>
        <v>455</v>
      </c>
      <c r="N2044" s="6" t="str">
        <f t="shared" si="63"/>
        <v>Others</v>
      </c>
    </row>
    <row r="2045" spans="1:14" x14ac:dyDescent="0.35">
      <c r="A2045">
        <v>1166</v>
      </c>
      <c r="B2045" s="4">
        <v>45910.375085336993</v>
      </c>
      <c r="C2045" t="s">
        <v>8</v>
      </c>
      <c r="D2045" t="s">
        <v>19</v>
      </c>
      <c r="E2045" t="s">
        <v>23</v>
      </c>
      <c r="F2045">
        <v>3243.83</v>
      </c>
      <c r="G2045">
        <f t="array" ref="G2045">SalesData!$I$2 - 'RFM Table'!B2045</f>
        <v>226</v>
      </c>
      <c r="H2045">
        <f t="array" ref="H2045">COUNTIF(A:A,A2045)</f>
        <v>5</v>
      </c>
      <c r="I2045">
        <f t="array" ref="I2045">SUMIF(A:A,A2045,F:F)</f>
        <v>23179.78</v>
      </c>
      <c r="J2045">
        <f t="array" ref="J2045">5 - INT(5 * (RANK(G2045,G:G, 1) - 1) / COUNT(G:G))</f>
        <v>4</v>
      </c>
      <c r="K2045">
        <f t="array" ref="K2045">INT(5 * (RANK(H2045,H:H, 0) - 1) / COUNT(H:H)) + 1</f>
        <v>5</v>
      </c>
      <c r="L2045">
        <f t="array" ref="L2045">INT(5 * (RANK(I2045,I:I, 0) - 1) / COUNT(I:I)) + 1</f>
        <v>4</v>
      </c>
      <c r="M2045" t="str">
        <f t="shared" si="62"/>
        <v>454</v>
      </c>
      <c r="N2045" s="6" t="str">
        <f t="shared" si="63"/>
        <v>Others</v>
      </c>
    </row>
    <row r="2046" spans="1:14" x14ac:dyDescent="0.35">
      <c r="A2046">
        <v>1261</v>
      </c>
      <c r="B2046" s="4">
        <v>45910.375085336993</v>
      </c>
      <c r="C2046" t="s">
        <v>11</v>
      </c>
      <c r="D2046" t="s">
        <v>22</v>
      </c>
      <c r="E2046" t="s">
        <v>23</v>
      </c>
      <c r="F2046">
        <v>1746.86</v>
      </c>
      <c r="G2046">
        <f t="array" ref="G2046">SalesData!$I$2 - 'RFM Table'!B2046</f>
        <v>226</v>
      </c>
      <c r="H2046">
        <f t="array" ref="H2046">COUNTIF(A:A,A2046)</f>
        <v>8</v>
      </c>
      <c r="I2046">
        <f t="array" ref="I2046">SUMIF(A:A,A2046,F:F)</f>
        <v>28310.01</v>
      </c>
      <c r="J2046">
        <f t="array" ref="J2046">5 - INT(5 * (RANK(G2046,G:G, 1) - 1) / COUNT(G:G))</f>
        <v>4</v>
      </c>
      <c r="K2046">
        <f t="array" ref="K2046">INT(5 * (RANK(H2046,H:H, 0) - 1) / COUNT(H:H)) + 1</f>
        <v>3</v>
      </c>
      <c r="L2046">
        <f t="array" ref="L2046">INT(5 * (RANK(I2046,I:I, 0) - 1) / COUNT(I:I)) + 1</f>
        <v>4</v>
      </c>
      <c r="M2046" t="str">
        <f t="shared" si="62"/>
        <v>434</v>
      </c>
      <c r="N2046" s="6" t="str">
        <f t="shared" si="63"/>
        <v>Others</v>
      </c>
    </row>
    <row r="2047" spans="1:14" x14ac:dyDescent="0.35">
      <c r="A2047">
        <v>1036</v>
      </c>
      <c r="B2047" s="4">
        <v>45910.375085336993</v>
      </c>
      <c r="C2047" t="s">
        <v>10</v>
      </c>
      <c r="D2047" t="s">
        <v>17</v>
      </c>
      <c r="E2047" t="s">
        <v>23</v>
      </c>
      <c r="F2047">
        <v>3766.23</v>
      </c>
      <c r="G2047">
        <f t="array" ref="G2047">SalesData!$I$2 - 'RFM Table'!B2047</f>
        <v>226</v>
      </c>
      <c r="H2047">
        <f t="array" ref="H2047">COUNTIF(A:A,A2047)</f>
        <v>6</v>
      </c>
      <c r="I2047">
        <f t="array" ref="I2047">SUMIF(A:A,A2047,F:F)</f>
        <v>18264</v>
      </c>
      <c r="J2047">
        <f t="array" ref="J2047">5 - INT(5 * (RANK(G2047,G:G, 1) - 1) / COUNT(G:G))</f>
        <v>4</v>
      </c>
      <c r="K2047">
        <f t="array" ref="K2047">INT(5 * (RANK(H2047,H:H, 0) - 1) / COUNT(H:H)) + 1</f>
        <v>4</v>
      </c>
      <c r="L2047">
        <f t="array" ref="L2047">INT(5 * (RANK(I2047,I:I, 0) - 1) / COUNT(I:I)) + 1</f>
        <v>5</v>
      </c>
      <c r="M2047" t="str">
        <f t="shared" si="62"/>
        <v>445</v>
      </c>
      <c r="N2047" s="6" t="str">
        <f t="shared" si="63"/>
        <v>Others</v>
      </c>
    </row>
    <row r="2048" spans="1:14" x14ac:dyDescent="0.35">
      <c r="A2048">
        <v>1250</v>
      </c>
      <c r="B2048" s="4">
        <v>45910.375085336993</v>
      </c>
      <c r="C2048" t="s">
        <v>9</v>
      </c>
      <c r="D2048" t="s">
        <v>22</v>
      </c>
      <c r="E2048" t="s">
        <v>24</v>
      </c>
      <c r="F2048">
        <v>4634.91</v>
      </c>
      <c r="G2048">
        <f t="array" ref="G2048">SalesData!$I$2 - 'RFM Table'!B2048</f>
        <v>226</v>
      </c>
      <c r="H2048">
        <f t="array" ref="H2048">COUNTIF(A:A,A2048)</f>
        <v>9</v>
      </c>
      <c r="I2048">
        <f t="array" ref="I2048">SUMIF(A:A,A2048,F:F)</f>
        <v>36713.85</v>
      </c>
      <c r="J2048">
        <f t="array" ref="J2048">5 - INT(5 * (RANK(G2048,G:G, 1) - 1) / COUNT(G:G))</f>
        <v>4</v>
      </c>
      <c r="K2048">
        <f t="array" ref="K2048">INT(5 * (RANK(H2048,H:H, 0) - 1) / COUNT(H:H)) + 1</f>
        <v>2</v>
      </c>
      <c r="L2048">
        <f t="array" ref="L2048">INT(5 * (RANK(I2048,I:I, 0) - 1) / COUNT(I:I)) + 1</f>
        <v>3</v>
      </c>
      <c r="M2048" t="str">
        <f t="shared" si="62"/>
        <v>423</v>
      </c>
      <c r="N2048" s="6" t="str">
        <f t="shared" si="63"/>
        <v>New Customers</v>
      </c>
    </row>
    <row r="2049" spans="1:14" x14ac:dyDescent="0.35">
      <c r="A2049">
        <v>1046</v>
      </c>
      <c r="B2049" s="4">
        <v>45910.375085336993</v>
      </c>
      <c r="C2049" t="s">
        <v>12</v>
      </c>
      <c r="D2049" t="s">
        <v>20</v>
      </c>
      <c r="E2049" t="s">
        <v>25</v>
      </c>
      <c r="F2049">
        <v>747.31</v>
      </c>
      <c r="G2049">
        <f t="array" ref="G2049">SalesData!$I$2 - 'RFM Table'!B2049</f>
        <v>226</v>
      </c>
      <c r="H2049">
        <f t="array" ref="H2049">COUNTIF(A:A,A2049)</f>
        <v>9</v>
      </c>
      <c r="I2049">
        <f t="array" ref="I2049">SUMIF(A:A,A2049,F:F)</f>
        <v>26580.030000000002</v>
      </c>
      <c r="J2049">
        <f t="array" ref="J2049">5 - INT(5 * (RANK(G2049,G:G, 1) - 1) / COUNT(G:G))</f>
        <v>4</v>
      </c>
      <c r="K2049">
        <f t="array" ref="K2049">INT(5 * (RANK(H2049,H:H, 0) - 1) / COUNT(H:H)) + 1</f>
        <v>2</v>
      </c>
      <c r="L2049">
        <f t="array" ref="L2049">INT(5 * (RANK(I2049,I:I, 0) - 1) / COUNT(I:I)) + 1</f>
        <v>4</v>
      </c>
      <c r="M2049" t="str">
        <f t="shared" si="62"/>
        <v>424</v>
      </c>
      <c r="N2049" s="6" t="str">
        <f t="shared" si="63"/>
        <v>New Customers</v>
      </c>
    </row>
    <row r="2050" spans="1:14" x14ac:dyDescent="0.35">
      <c r="A2050">
        <v>1077</v>
      </c>
      <c r="B2050" s="4">
        <v>45910.375085336993</v>
      </c>
      <c r="C2050" t="s">
        <v>6</v>
      </c>
      <c r="D2050" t="s">
        <v>16</v>
      </c>
      <c r="E2050" t="s">
        <v>24</v>
      </c>
      <c r="F2050">
        <v>456.26</v>
      </c>
      <c r="G2050">
        <f t="array" ref="G2050">SalesData!$I$2 - 'RFM Table'!B2050</f>
        <v>226</v>
      </c>
      <c r="H2050">
        <f t="array" ref="H2050">COUNTIF(A:A,A2050)</f>
        <v>8</v>
      </c>
      <c r="I2050">
        <f t="array" ref="I2050">SUMIF(A:A,A2050,F:F)</f>
        <v>28309.71</v>
      </c>
      <c r="J2050">
        <f t="array" ref="J2050">5 - INT(5 * (RANK(G2050,G:G, 1) - 1) / COUNT(G:G))</f>
        <v>4</v>
      </c>
      <c r="K2050">
        <f t="array" ref="K2050">INT(5 * (RANK(H2050,H:H, 0) - 1) / COUNT(H:H)) + 1</f>
        <v>3</v>
      </c>
      <c r="L2050">
        <f t="array" ref="L2050">INT(5 * (RANK(I2050,I:I, 0) - 1) / COUNT(I:I)) + 1</f>
        <v>4</v>
      </c>
      <c r="M2050" t="str">
        <f t="shared" si="62"/>
        <v>434</v>
      </c>
      <c r="N2050" s="6" t="str">
        <f t="shared" si="63"/>
        <v>Others</v>
      </c>
    </row>
    <row r="2051" spans="1:14" x14ac:dyDescent="0.35">
      <c r="A2051">
        <v>1395</v>
      </c>
      <c r="B2051" s="4">
        <v>45910.375085336993</v>
      </c>
      <c r="C2051" t="s">
        <v>14</v>
      </c>
      <c r="D2051" t="s">
        <v>22</v>
      </c>
      <c r="E2051" t="s">
        <v>23</v>
      </c>
      <c r="F2051">
        <v>4703.6499999999996</v>
      </c>
      <c r="G2051">
        <f t="array" ref="G2051">SalesData!$I$2 - 'RFM Table'!B2051</f>
        <v>226</v>
      </c>
      <c r="H2051">
        <f t="array" ref="H2051">COUNTIF(A:A,A2051)</f>
        <v>7</v>
      </c>
      <c r="I2051">
        <f t="array" ref="I2051">SUMIF(A:A,A2051,F:F)</f>
        <v>36778.530000000006</v>
      </c>
      <c r="J2051">
        <f t="array" ref="J2051">5 - INT(5 * (RANK(G2051,G:G, 1) - 1) / COUNT(G:G))</f>
        <v>4</v>
      </c>
      <c r="K2051">
        <f t="array" ref="K2051">INT(5 * (RANK(H2051,H:H, 0) - 1) / COUNT(H:H)) + 1</f>
        <v>4</v>
      </c>
      <c r="L2051">
        <f t="array" ref="L2051">INT(5 * (RANK(I2051,I:I, 0) - 1) / COUNT(I:I)) + 1</f>
        <v>3</v>
      </c>
      <c r="M2051" t="str">
        <f t="shared" ref="M2051:M2114" si="64">J2051 &amp; K2051 &amp; L2051</f>
        <v>443</v>
      </c>
      <c r="N2051" s="6" t="str">
        <f t="shared" ref="N2051:N2114" si="65">IF(AND(J2051&gt;=4,K2051&lt;=2),"New Customers",
IF(AND(J2051&lt;=2,K2051&gt;=3,L2051&gt;=3),"At Risk",
IF(AND(J2051&lt;=2,K2051&lt;=2,L2051&gt;=3),"Can't Lose Them",
IF(AND(J2051&lt;=2,K2051&lt;=2,L2051&lt;=2),"Lost",
"Others"))))</f>
        <v>Others</v>
      </c>
    </row>
    <row r="2052" spans="1:14" x14ac:dyDescent="0.35">
      <c r="A2052">
        <v>1018</v>
      </c>
      <c r="B2052" s="4">
        <v>45911.375085336993</v>
      </c>
      <c r="C2052" t="s">
        <v>12</v>
      </c>
      <c r="D2052" t="s">
        <v>20</v>
      </c>
      <c r="E2052" t="s">
        <v>25</v>
      </c>
      <c r="F2052">
        <v>5473.91</v>
      </c>
      <c r="G2052">
        <f t="array" ref="G2052">SalesData!$I$2 - 'RFM Table'!B2052</f>
        <v>225</v>
      </c>
      <c r="H2052">
        <f t="array" ref="H2052">COUNTIF(A:A,A2052)</f>
        <v>7</v>
      </c>
      <c r="I2052">
        <f t="array" ref="I2052">SUMIF(A:A,A2052,F:F)</f>
        <v>25356.28</v>
      </c>
      <c r="J2052">
        <f t="array" ref="J2052">5 - INT(5 * (RANK(G2052,G:G, 1) - 1) / COUNT(G:G))</f>
        <v>4</v>
      </c>
      <c r="K2052">
        <f t="array" ref="K2052">INT(5 * (RANK(H2052,H:H, 0) - 1) / COUNT(H:H)) + 1</f>
        <v>4</v>
      </c>
      <c r="L2052">
        <f t="array" ref="L2052">INT(5 * (RANK(I2052,I:I, 0) - 1) / COUNT(I:I)) + 1</f>
        <v>4</v>
      </c>
      <c r="M2052" t="str">
        <f t="shared" si="64"/>
        <v>444</v>
      </c>
      <c r="N2052" s="6" t="str">
        <f t="shared" si="65"/>
        <v>Others</v>
      </c>
    </row>
    <row r="2053" spans="1:14" x14ac:dyDescent="0.35">
      <c r="A2053">
        <v>1198</v>
      </c>
      <c r="B2053" s="4">
        <v>45911.375085336993</v>
      </c>
      <c r="C2053" t="s">
        <v>7</v>
      </c>
      <c r="D2053" t="s">
        <v>21</v>
      </c>
      <c r="E2053" t="s">
        <v>25</v>
      </c>
      <c r="F2053">
        <v>3228.74</v>
      </c>
      <c r="G2053">
        <f t="array" ref="G2053">SalesData!$I$2 - 'RFM Table'!B2053</f>
        <v>225</v>
      </c>
      <c r="H2053">
        <f t="array" ref="H2053">COUNTIF(A:A,A2053)</f>
        <v>5</v>
      </c>
      <c r="I2053">
        <f t="array" ref="I2053">SUMIF(A:A,A2053,F:F)</f>
        <v>25162.19</v>
      </c>
      <c r="J2053">
        <f t="array" ref="J2053">5 - INT(5 * (RANK(G2053,G:G, 1) - 1) / COUNT(G:G))</f>
        <v>4</v>
      </c>
      <c r="K2053">
        <f t="array" ref="K2053">INT(5 * (RANK(H2053,H:H, 0) - 1) / COUNT(H:H)) + 1</f>
        <v>5</v>
      </c>
      <c r="L2053">
        <f t="array" ref="L2053">INT(5 * (RANK(I2053,I:I, 0) - 1) / COUNT(I:I)) + 1</f>
        <v>4</v>
      </c>
      <c r="M2053" t="str">
        <f t="shared" si="64"/>
        <v>454</v>
      </c>
      <c r="N2053" s="6" t="str">
        <f t="shared" si="65"/>
        <v>Others</v>
      </c>
    </row>
    <row r="2054" spans="1:14" x14ac:dyDescent="0.35">
      <c r="A2054">
        <v>1388</v>
      </c>
      <c r="B2054" s="4">
        <v>45912.375085336993</v>
      </c>
      <c r="C2054" t="s">
        <v>11</v>
      </c>
      <c r="D2054" t="s">
        <v>21</v>
      </c>
      <c r="E2054" t="s">
        <v>25</v>
      </c>
      <c r="F2054">
        <v>3018.49</v>
      </c>
      <c r="G2054">
        <f t="array" ref="G2054">SalesData!$I$2 - 'RFM Table'!B2054</f>
        <v>224</v>
      </c>
      <c r="H2054">
        <f t="array" ref="H2054">COUNTIF(A:A,A2054)</f>
        <v>4</v>
      </c>
      <c r="I2054">
        <f t="array" ref="I2054">SUMIF(A:A,A2054,F:F)</f>
        <v>16140.15</v>
      </c>
      <c r="J2054">
        <f t="array" ref="J2054">5 - INT(5 * (RANK(G2054,G:G, 1) - 1) / COUNT(G:G))</f>
        <v>4</v>
      </c>
      <c r="K2054">
        <f t="array" ref="K2054">INT(5 * (RANK(H2054,H:H, 0) - 1) / COUNT(H:H)) + 1</f>
        <v>5</v>
      </c>
      <c r="L2054">
        <f t="array" ref="L2054">INT(5 * (RANK(I2054,I:I, 0) - 1) / COUNT(I:I)) + 1</f>
        <v>5</v>
      </c>
      <c r="M2054" t="str">
        <f t="shared" si="64"/>
        <v>455</v>
      </c>
      <c r="N2054" s="6" t="str">
        <f t="shared" si="65"/>
        <v>Others</v>
      </c>
    </row>
    <row r="2055" spans="1:14" x14ac:dyDescent="0.35">
      <c r="A2055">
        <v>1213</v>
      </c>
      <c r="B2055" s="4">
        <v>45912.375085336993</v>
      </c>
      <c r="C2055" t="s">
        <v>11</v>
      </c>
      <c r="D2055" t="s">
        <v>19</v>
      </c>
      <c r="E2055" t="s">
        <v>23</v>
      </c>
      <c r="F2055">
        <v>4089.04</v>
      </c>
      <c r="G2055">
        <f t="array" ref="G2055">SalesData!$I$2 - 'RFM Table'!B2055</f>
        <v>224</v>
      </c>
      <c r="H2055">
        <f t="array" ref="H2055">COUNTIF(A:A,A2055)</f>
        <v>8</v>
      </c>
      <c r="I2055">
        <f t="array" ref="I2055">SUMIF(A:A,A2055,F:F)</f>
        <v>27291.54</v>
      </c>
      <c r="J2055">
        <f t="array" ref="J2055">5 - INT(5 * (RANK(G2055,G:G, 1) - 1) / COUNT(G:G))</f>
        <v>4</v>
      </c>
      <c r="K2055">
        <f t="array" ref="K2055">INT(5 * (RANK(H2055,H:H, 0) - 1) / COUNT(H:H)) + 1</f>
        <v>3</v>
      </c>
      <c r="L2055">
        <f t="array" ref="L2055">INT(5 * (RANK(I2055,I:I, 0) - 1) / COUNT(I:I)) + 1</f>
        <v>4</v>
      </c>
      <c r="M2055" t="str">
        <f t="shared" si="64"/>
        <v>434</v>
      </c>
      <c r="N2055" s="6" t="str">
        <f t="shared" si="65"/>
        <v>Others</v>
      </c>
    </row>
    <row r="2056" spans="1:14" x14ac:dyDescent="0.35">
      <c r="A2056">
        <v>1360</v>
      </c>
      <c r="B2056" s="4">
        <v>45912.375085336993</v>
      </c>
      <c r="C2056" t="s">
        <v>13</v>
      </c>
      <c r="D2056" t="s">
        <v>20</v>
      </c>
      <c r="E2056" t="s">
        <v>23</v>
      </c>
      <c r="F2056">
        <v>1343.93</v>
      </c>
      <c r="G2056">
        <f t="array" ref="G2056">SalesData!$I$2 - 'RFM Table'!B2056</f>
        <v>224</v>
      </c>
      <c r="H2056">
        <f t="array" ref="H2056">COUNTIF(A:A,A2056)</f>
        <v>8</v>
      </c>
      <c r="I2056">
        <f t="array" ref="I2056">SUMIF(A:A,A2056,F:F)</f>
        <v>31675.43</v>
      </c>
      <c r="J2056">
        <f t="array" ref="J2056">5 - INT(5 * (RANK(G2056,G:G, 1) - 1) / COUNT(G:G))</f>
        <v>4</v>
      </c>
      <c r="K2056">
        <f t="array" ref="K2056">INT(5 * (RANK(H2056,H:H, 0) - 1) / COUNT(H:H)) + 1</f>
        <v>3</v>
      </c>
      <c r="L2056">
        <f t="array" ref="L2056">INT(5 * (RANK(I2056,I:I, 0) - 1) / COUNT(I:I)) + 1</f>
        <v>3</v>
      </c>
      <c r="M2056" t="str">
        <f t="shared" si="64"/>
        <v>433</v>
      </c>
      <c r="N2056" s="6" t="str">
        <f t="shared" si="65"/>
        <v>Others</v>
      </c>
    </row>
    <row r="2057" spans="1:14" x14ac:dyDescent="0.35">
      <c r="A2057">
        <v>1379</v>
      </c>
      <c r="B2057" s="4">
        <v>45912.375085336993</v>
      </c>
      <c r="C2057" t="s">
        <v>15</v>
      </c>
      <c r="D2057" t="s">
        <v>18</v>
      </c>
      <c r="E2057" t="s">
        <v>25</v>
      </c>
      <c r="F2057">
        <v>3311.26</v>
      </c>
      <c r="G2057">
        <f t="array" ref="G2057">SalesData!$I$2 - 'RFM Table'!B2057</f>
        <v>224</v>
      </c>
      <c r="H2057">
        <f t="array" ref="H2057">COUNTIF(A:A,A2057)</f>
        <v>10</v>
      </c>
      <c r="I2057">
        <f t="array" ref="I2057">SUMIF(A:A,A2057,F:F)</f>
        <v>33545.49</v>
      </c>
      <c r="J2057">
        <f t="array" ref="J2057">5 - INT(5 * (RANK(G2057,G:G, 1) - 1) / COUNT(G:G))</f>
        <v>4</v>
      </c>
      <c r="K2057">
        <f t="array" ref="K2057">INT(5 * (RANK(H2057,H:H, 0) - 1) / COUNT(H:H)) + 1</f>
        <v>2</v>
      </c>
      <c r="L2057">
        <f t="array" ref="L2057">INT(5 * (RANK(I2057,I:I, 0) - 1) / COUNT(I:I)) + 1</f>
        <v>3</v>
      </c>
      <c r="M2057" t="str">
        <f t="shared" si="64"/>
        <v>423</v>
      </c>
      <c r="N2057" s="6" t="str">
        <f t="shared" si="65"/>
        <v>New Customers</v>
      </c>
    </row>
    <row r="2058" spans="1:14" x14ac:dyDescent="0.35">
      <c r="A2058">
        <v>1359</v>
      </c>
      <c r="B2058" s="4">
        <v>45913.375085336993</v>
      </c>
      <c r="C2058" t="s">
        <v>13</v>
      </c>
      <c r="D2058" t="s">
        <v>22</v>
      </c>
      <c r="E2058" t="s">
        <v>23</v>
      </c>
      <c r="F2058">
        <v>81.040000000000006</v>
      </c>
      <c r="G2058">
        <f t="array" ref="G2058">SalesData!$I$2 - 'RFM Table'!B2058</f>
        <v>223</v>
      </c>
      <c r="H2058">
        <f t="array" ref="H2058">COUNTIF(A:A,A2058)</f>
        <v>13</v>
      </c>
      <c r="I2058">
        <f t="array" ref="I2058">SUMIF(A:A,A2058,F:F)</f>
        <v>40402.14</v>
      </c>
      <c r="J2058">
        <f t="array" ref="J2058">5 - INT(5 * (RANK(G2058,G:G, 1) - 1) / COUNT(G:G))</f>
        <v>4</v>
      </c>
      <c r="K2058">
        <f t="array" ref="K2058">INT(5 * (RANK(H2058,H:H, 0) - 1) / COUNT(H:H)) + 1</f>
        <v>1</v>
      </c>
      <c r="L2058">
        <f t="array" ref="L2058">INT(5 * (RANK(I2058,I:I, 0) - 1) / COUNT(I:I)) + 1</f>
        <v>2</v>
      </c>
      <c r="M2058" t="str">
        <f t="shared" si="64"/>
        <v>412</v>
      </c>
      <c r="N2058" s="6" t="str">
        <f t="shared" si="65"/>
        <v>New Customers</v>
      </c>
    </row>
    <row r="2059" spans="1:14" x14ac:dyDescent="0.35">
      <c r="A2059">
        <v>1248</v>
      </c>
      <c r="B2059" s="4">
        <v>45913.375085336993</v>
      </c>
      <c r="C2059" t="s">
        <v>11</v>
      </c>
      <c r="D2059" t="s">
        <v>19</v>
      </c>
      <c r="E2059" t="s">
        <v>24</v>
      </c>
      <c r="F2059">
        <v>2787.04</v>
      </c>
      <c r="G2059">
        <f t="array" ref="G2059">SalesData!$I$2 - 'RFM Table'!B2059</f>
        <v>223</v>
      </c>
      <c r="H2059">
        <f t="array" ref="H2059">COUNTIF(A:A,A2059)</f>
        <v>7</v>
      </c>
      <c r="I2059">
        <f t="array" ref="I2059">SUMIF(A:A,A2059,F:F)</f>
        <v>27796.990000000005</v>
      </c>
      <c r="J2059">
        <f t="array" ref="J2059">5 - INT(5 * (RANK(G2059,G:G, 1) - 1) / COUNT(G:G))</f>
        <v>4</v>
      </c>
      <c r="K2059">
        <f t="array" ref="K2059">INT(5 * (RANK(H2059,H:H, 0) - 1) / COUNT(H:H)) + 1</f>
        <v>4</v>
      </c>
      <c r="L2059">
        <f t="array" ref="L2059">INT(5 * (RANK(I2059,I:I, 0) - 1) / COUNT(I:I)) + 1</f>
        <v>4</v>
      </c>
      <c r="M2059" t="str">
        <f t="shared" si="64"/>
        <v>444</v>
      </c>
      <c r="N2059" s="6" t="str">
        <f t="shared" si="65"/>
        <v>Others</v>
      </c>
    </row>
    <row r="2060" spans="1:14" x14ac:dyDescent="0.35">
      <c r="A2060">
        <v>1363</v>
      </c>
      <c r="B2060" s="4">
        <v>45913.375085336993</v>
      </c>
      <c r="C2060" t="s">
        <v>9</v>
      </c>
      <c r="D2060" t="s">
        <v>17</v>
      </c>
      <c r="E2060" t="s">
        <v>23</v>
      </c>
      <c r="F2060">
        <v>1662.44</v>
      </c>
      <c r="G2060">
        <f t="array" ref="G2060">SalesData!$I$2 - 'RFM Table'!B2060</f>
        <v>223</v>
      </c>
      <c r="H2060">
        <f t="array" ref="H2060">COUNTIF(A:A,A2060)</f>
        <v>9</v>
      </c>
      <c r="I2060">
        <f t="array" ref="I2060">SUMIF(A:A,A2060,F:F)</f>
        <v>33344.57</v>
      </c>
      <c r="J2060">
        <f t="array" ref="J2060">5 - INT(5 * (RANK(G2060,G:G, 1) - 1) / COUNT(G:G))</f>
        <v>4</v>
      </c>
      <c r="K2060">
        <f t="array" ref="K2060">INT(5 * (RANK(H2060,H:H, 0) - 1) / COUNT(H:H)) + 1</f>
        <v>2</v>
      </c>
      <c r="L2060">
        <f t="array" ref="L2060">INT(5 * (RANK(I2060,I:I, 0) - 1) / COUNT(I:I)) + 1</f>
        <v>3</v>
      </c>
      <c r="M2060" t="str">
        <f t="shared" si="64"/>
        <v>423</v>
      </c>
      <c r="N2060" s="6" t="str">
        <f t="shared" si="65"/>
        <v>New Customers</v>
      </c>
    </row>
    <row r="2061" spans="1:14" x14ac:dyDescent="0.35">
      <c r="A2061">
        <v>1186</v>
      </c>
      <c r="B2061" s="4">
        <v>45913.375085336993</v>
      </c>
      <c r="C2061" t="s">
        <v>7</v>
      </c>
      <c r="D2061" t="s">
        <v>22</v>
      </c>
      <c r="E2061" t="s">
        <v>23</v>
      </c>
      <c r="F2061">
        <v>3143.52</v>
      </c>
      <c r="G2061">
        <f t="array" ref="G2061">SalesData!$I$2 - 'RFM Table'!B2061</f>
        <v>223</v>
      </c>
      <c r="H2061">
        <f t="array" ref="H2061">COUNTIF(A:A,A2061)</f>
        <v>7</v>
      </c>
      <c r="I2061">
        <f t="array" ref="I2061">SUMIF(A:A,A2061,F:F)</f>
        <v>18132.900000000001</v>
      </c>
      <c r="J2061">
        <f t="array" ref="J2061">5 - INT(5 * (RANK(G2061,G:G, 1) - 1) / COUNT(G:G))</f>
        <v>4</v>
      </c>
      <c r="K2061">
        <f t="array" ref="K2061">INT(5 * (RANK(H2061,H:H, 0) - 1) / COUNT(H:H)) + 1</f>
        <v>4</v>
      </c>
      <c r="L2061">
        <f t="array" ref="L2061">INT(5 * (RANK(I2061,I:I, 0) - 1) / COUNT(I:I)) + 1</f>
        <v>5</v>
      </c>
      <c r="M2061" t="str">
        <f t="shared" si="64"/>
        <v>445</v>
      </c>
      <c r="N2061" s="6" t="str">
        <f t="shared" si="65"/>
        <v>Others</v>
      </c>
    </row>
    <row r="2062" spans="1:14" x14ac:dyDescent="0.35">
      <c r="A2062">
        <v>1176</v>
      </c>
      <c r="B2062" s="4">
        <v>45913.375085336993</v>
      </c>
      <c r="C2062" t="s">
        <v>11</v>
      </c>
      <c r="D2062" t="s">
        <v>20</v>
      </c>
      <c r="E2062" t="s">
        <v>24</v>
      </c>
      <c r="F2062">
        <v>4201.16</v>
      </c>
      <c r="G2062">
        <f t="array" ref="G2062">SalesData!$I$2 - 'RFM Table'!B2062</f>
        <v>223</v>
      </c>
      <c r="H2062">
        <f t="array" ref="H2062">COUNTIF(A:A,A2062)</f>
        <v>9</v>
      </c>
      <c r="I2062">
        <f t="array" ref="I2062">SUMIF(A:A,A2062,F:F)</f>
        <v>30242.800000000003</v>
      </c>
      <c r="J2062">
        <f t="array" ref="J2062">5 - INT(5 * (RANK(G2062,G:G, 1) - 1) / COUNT(G:G))</f>
        <v>4</v>
      </c>
      <c r="K2062">
        <f t="array" ref="K2062">INT(5 * (RANK(H2062,H:H, 0) - 1) / COUNT(H:H)) + 1</f>
        <v>2</v>
      </c>
      <c r="L2062">
        <f t="array" ref="L2062">INT(5 * (RANK(I2062,I:I, 0) - 1) / COUNT(I:I)) + 1</f>
        <v>3</v>
      </c>
      <c r="M2062" t="str">
        <f t="shared" si="64"/>
        <v>423</v>
      </c>
      <c r="N2062" s="6" t="str">
        <f t="shared" si="65"/>
        <v>New Customers</v>
      </c>
    </row>
    <row r="2063" spans="1:14" x14ac:dyDescent="0.35">
      <c r="A2063">
        <v>1100</v>
      </c>
      <c r="B2063" s="4">
        <v>45914.375085336993</v>
      </c>
      <c r="C2063" t="s">
        <v>9</v>
      </c>
      <c r="D2063" t="s">
        <v>18</v>
      </c>
      <c r="E2063" t="s">
        <v>23</v>
      </c>
      <c r="F2063">
        <v>10568.3</v>
      </c>
      <c r="G2063">
        <f t="array" ref="G2063">SalesData!$I$2 - 'RFM Table'!B2063</f>
        <v>222</v>
      </c>
      <c r="H2063">
        <f t="array" ref="H2063">COUNTIF(A:A,A2063)</f>
        <v>12</v>
      </c>
      <c r="I2063">
        <f t="array" ref="I2063">SUMIF(A:A,A2063,F:F)</f>
        <v>54905.279999999992</v>
      </c>
      <c r="J2063">
        <f t="array" ref="J2063">5 - INT(5 * (RANK(G2063,G:G, 1) - 1) / COUNT(G:G))</f>
        <v>4</v>
      </c>
      <c r="K2063">
        <f t="array" ref="K2063">INT(5 * (RANK(H2063,H:H, 0) - 1) / COUNT(H:H)) + 1</f>
        <v>1</v>
      </c>
      <c r="L2063">
        <f t="array" ref="L2063">INT(5 * (RANK(I2063,I:I, 0) - 1) / COUNT(I:I)) + 1</f>
        <v>1</v>
      </c>
      <c r="M2063" t="str">
        <f t="shared" si="64"/>
        <v>411</v>
      </c>
      <c r="N2063" s="6" t="str">
        <f t="shared" si="65"/>
        <v>New Customers</v>
      </c>
    </row>
    <row r="2064" spans="1:14" x14ac:dyDescent="0.35">
      <c r="A2064">
        <v>1079</v>
      </c>
      <c r="B2064" s="4">
        <v>45914.375085336993</v>
      </c>
      <c r="C2064" t="s">
        <v>11</v>
      </c>
      <c r="D2064" t="s">
        <v>20</v>
      </c>
      <c r="E2064" t="s">
        <v>25</v>
      </c>
      <c r="F2064">
        <v>1608.86</v>
      </c>
      <c r="G2064">
        <f t="array" ref="G2064">SalesData!$I$2 - 'RFM Table'!B2064</f>
        <v>222</v>
      </c>
      <c r="H2064">
        <f t="array" ref="H2064">COUNTIF(A:A,A2064)</f>
        <v>5</v>
      </c>
      <c r="I2064">
        <f t="array" ref="I2064">SUMIF(A:A,A2064,F:F)</f>
        <v>20723.400000000001</v>
      </c>
      <c r="J2064">
        <f t="array" ref="J2064">5 - INT(5 * (RANK(G2064,G:G, 1) - 1) / COUNT(G:G))</f>
        <v>4</v>
      </c>
      <c r="K2064">
        <f t="array" ref="K2064">INT(5 * (RANK(H2064,H:H, 0) - 1) / COUNT(H:H)) + 1</f>
        <v>5</v>
      </c>
      <c r="L2064">
        <f t="array" ref="L2064">INT(5 * (RANK(I2064,I:I, 0) - 1) / COUNT(I:I)) + 1</f>
        <v>5</v>
      </c>
      <c r="M2064" t="str">
        <f t="shared" si="64"/>
        <v>455</v>
      </c>
      <c r="N2064" s="6" t="str">
        <f t="shared" si="65"/>
        <v>Others</v>
      </c>
    </row>
    <row r="2065" spans="1:14" x14ac:dyDescent="0.35">
      <c r="A2065">
        <v>1369</v>
      </c>
      <c r="B2065" s="4">
        <v>45914.375085336993</v>
      </c>
      <c r="C2065" t="s">
        <v>6</v>
      </c>
      <c r="D2065" t="s">
        <v>16</v>
      </c>
      <c r="E2065" t="s">
        <v>24</v>
      </c>
      <c r="F2065">
        <v>11849.22</v>
      </c>
      <c r="G2065">
        <f t="array" ref="G2065">SalesData!$I$2 - 'RFM Table'!B2065</f>
        <v>222</v>
      </c>
      <c r="H2065">
        <f t="array" ref="H2065">COUNTIF(A:A,A2065)</f>
        <v>6</v>
      </c>
      <c r="I2065">
        <f t="array" ref="I2065">SUMIF(A:A,A2065,F:F)</f>
        <v>32030.929999999997</v>
      </c>
      <c r="J2065">
        <f t="array" ref="J2065">5 - INT(5 * (RANK(G2065,G:G, 1) - 1) / COUNT(G:G))</f>
        <v>4</v>
      </c>
      <c r="K2065">
        <f t="array" ref="K2065">INT(5 * (RANK(H2065,H:H, 0) - 1) / COUNT(H:H)) + 1</f>
        <v>4</v>
      </c>
      <c r="L2065">
        <f t="array" ref="L2065">INT(5 * (RANK(I2065,I:I, 0) - 1) / COUNT(I:I)) + 1</f>
        <v>3</v>
      </c>
      <c r="M2065" t="str">
        <f t="shared" si="64"/>
        <v>443</v>
      </c>
      <c r="N2065" s="6" t="str">
        <f t="shared" si="65"/>
        <v>Others</v>
      </c>
    </row>
    <row r="2066" spans="1:14" x14ac:dyDescent="0.35">
      <c r="A2066">
        <v>1176</v>
      </c>
      <c r="B2066" s="4">
        <v>45914.375085336993</v>
      </c>
      <c r="C2066" t="s">
        <v>8</v>
      </c>
      <c r="D2066" t="s">
        <v>16</v>
      </c>
      <c r="E2066" t="s">
        <v>24</v>
      </c>
      <c r="F2066">
        <v>1223.56</v>
      </c>
      <c r="G2066">
        <f t="array" ref="G2066">SalesData!$I$2 - 'RFM Table'!B2066</f>
        <v>222</v>
      </c>
      <c r="H2066">
        <f t="array" ref="H2066">COUNTIF(A:A,A2066)</f>
        <v>9</v>
      </c>
      <c r="I2066">
        <f t="array" ref="I2066">SUMIF(A:A,A2066,F:F)</f>
        <v>30242.800000000003</v>
      </c>
      <c r="J2066">
        <f t="array" ref="J2066">5 - INT(5 * (RANK(G2066,G:G, 1) - 1) / COUNT(G:G))</f>
        <v>4</v>
      </c>
      <c r="K2066">
        <f t="array" ref="K2066">INT(5 * (RANK(H2066,H:H, 0) - 1) / COUNT(H:H)) + 1</f>
        <v>2</v>
      </c>
      <c r="L2066">
        <f t="array" ref="L2066">INT(5 * (RANK(I2066,I:I, 0) - 1) / COUNT(I:I)) + 1</f>
        <v>3</v>
      </c>
      <c r="M2066" t="str">
        <f t="shared" si="64"/>
        <v>423</v>
      </c>
      <c r="N2066" s="6" t="str">
        <f t="shared" si="65"/>
        <v>New Customers</v>
      </c>
    </row>
    <row r="2067" spans="1:14" x14ac:dyDescent="0.35">
      <c r="A2067">
        <v>1348</v>
      </c>
      <c r="B2067" s="4">
        <v>45914.375085336993</v>
      </c>
      <c r="C2067" t="s">
        <v>12</v>
      </c>
      <c r="D2067" t="s">
        <v>21</v>
      </c>
      <c r="E2067" t="s">
        <v>23</v>
      </c>
      <c r="F2067">
        <v>3782.71</v>
      </c>
      <c r="G2067">
        <f t="array" ref="G2067">SalesData!$I$2 - 'RFM Table'!B2067</f>
        <v>222</v>
      </c>
      <c r="H2067">
        <f t="array" ref="H2067">COUNTIF(A:A,A2067)</f>
        <v>12</v>
      </c>
      <c r="I2067">
        <f t="array" ref="I2067">SUMIF(A:A,A2067,F:F)</f>
        <v>27185.14</v>
      </c>
      <c r="J2067">
        <f t="array" ref="J2067">5 - INT(5 * (RANK(G2067,G:G, 1) - 1) / COUNT(G:G))</f>
        <v>4</v>
      </c>
      <c r="K2067">
        <f t="array" ref="K2067">INT(5 * (RANK(H2067,H:H, 0) - 1) / COUNT(H:H)) + 1</f>
        <v>1</v>
      </c>
      <c r="L2067">
        <f t="array" ref="L2067">INT(5 * (RANK(I2067,I:I, 0) - 1) / COUNT(I:I)) + 1</f>
        <v>4</v>
      </c>
      <c r="M2067" t="str">
        <f t="shared" si="64"/>
        <v>414</v>
      </c>
      <c r="N2067" s="6" t="str">
        <f t="shared" si="65"/>
        <v>New Customers</v>
      </c>
    </row>
    <row r="2068" spans="1:14" x14ac:dyDescent="0.35">
      <c r="A2068">
        <v>1192</v>
      </c>
      <c r="B2068" s="4">
        <v>45914.375085336993</v>
      </c>
      <c r="C2068" t="s">
        <v>12</v>
      </c>
      <c r="D2068" t="s">
        <v>20</v>
      </c>
      <c r="E2068" t="s">
        <v>25</v>
      </c>
      <c r="F2068">
        <v>928.89</v>
      </c>
      <c r="G2068">
        <f t="array" ref="G2068">SalesData!$I$2 - 'RFM Table'!B2068</f>
        <v>222</v>
      </c>
      <c r="H2068">
        <f t="array" ref="H2068">COUNTIF(A:A,A2068)</f>
        <v>4</v>
      </c>
      <c r="I2068">
        <f t="array" ref="I2068">SUMIF(A:A,A2068,F:F)</f>
        <v>11604.15</v>
      </c>
      <c r="J2068">
        <f t="array" ref="J2068">5 - INT(5 * (RANK(G2068,G:G, 1) - 1) / COUNT(G:G))</f>
        <v>4</v>
      </c>
      <c r="K2068">
        <f t="array" ref="K2068">INT(5 * (RANK(H2068,H:H, 0) - 1) / COUNT(H:H)) + 1</f>
        <v>5</v>
      </c>
      <c r="L2068">
        <f t="array" ref="L2068">INT(5 * (RANK(I2068,I:I, 0) - 1) / COUNT(I:I)) + 1</f>
        <v>5</v>
      </c>
      <c r="M2068" t="str">
        <f t="shared" si="64"/>
        <v>455</v>
      </c>
      <c r="N2068" s="6" t="str">
        <f t="shared" si="65"/>
        <v>Others</v>
      </c>
    </row>
    <row r="2069" spans="1:14" x14ac:dyDescent="0.35">
      <c r="A2069">
        <v>1347</v>
      </c>
      <c r="B2069" s="4">
        <v>45915.375085336993</v>
      </c>
      <c r="C2069" t="s">
        <v>9</v>
      </c>
      <c r="D2069" t="s">
        <v>21</v>
      </c>
      <c r="E2069" t="s">
        <v>23</v>
      </c>
      <c r="F2069">
        <v>5265.14</v>
      </c>
      <c r="G2069">
        <f t="array" ref="G2069">SalesData!$I$2 - 'RFM Table'!B2069</f>
        <v>221</v>
      </c>
      <c r="H2069">
        <f t="array" ref="H2069">COUNTIF(A:A,A2069)</f>
        <v>7</v>
      </c>
      <c r="I2069">
        <f t="array" ref="I2069">SUMIF(A:A,A2069,F:F)</f>
        <v>20951.28</v>
      </c>
      <c r="J2069">
        <f t="array" ref="J2069">5 - INT(5 * (RANK(G2069,G:G, 1) - 1) / COUNT(G:G))</f>
        <v>4</v>
      </c>
      <c r="K2069">
        <f t="array" ref="K2069">INT(5 * (RANK(H2069,H:H, 0) - 1) / COUNT(H:H)) + 1</f>
        <v>4</v>
      </c>
      <c r="L2069">
        <f t="array" ref="L2069">INT(5 * (RANK(I2069,I:I, 0) - 1) / COUNT(I:I)) + 1</f>
        <v>5</v>
      </c>
      <c r="M2069" t="str">
        <f t="shared" si="64"/>
        <v>445</v>
      </c>
      <c r="N2069" s="6" t="str">
        <f t="shared" si="65"/>
        <v>Others</v>
      </c>
    </row>
    <row r="2070" spans="1:14" x14ac:dyDescent="0.35">
      <c r="A2070">
        <v>1298</v>
      </c>
      <c r="B2070" s="4">
        <v>45916.375085336993</v>
      </c>
      <c r="C2070" t="s">
        <v>13</v>
      </c>
      <c r="D2070" t="s">
        <v>21</v>
      </c>
      <c r="E2070" t="s">
        <v>24</v>
      </c>
      <c r="F2070">
        <v>2092.0500000000002</v>
      </c>
      <c r="G2070">
        <f t="array" ref="G2070">SalesData!$I$2 - 'RFM Table'!B2070</f>
        <v>220</v>
      </c>
      <c r="H2070">
        <f t="array" ref="H2070">COUNTIF(A:A,A2070)</f>
        <v>3</v>
      </c>
      <c r="I2070">
        <f t="array" ref="I2070">SUMIF(A:A,A2070,F:F)</f>
        <v>10896.380000000001</v>
      </c>
      <c r="J2070">
        <f t="array" ref="J2070">5 - INT(5 * (RANK(G2070,G:G, 1) - 1) / COUNT(G:G))</f>
        <v>4</v>
      </c>
      <c r="K2070">
        <f t="array" ref="K2070">INT(5 * (RANK(H2070,H:H, 0) - 1) / COUNT(H:H)) + 1</f>
        <v>5</v>
      </c>
      <c r="L2070">
        <f t="array" ref="L2070">INT(5 * (RANK(I2070,I:I, 0) - 1) / COUNT(I:I)) + 1</f>
        <v>5</v>
      </c>
      <c r="M2070" t="str">
        <f t="shared" si="64"/>
        <v>455</v>
      </c>
      <c r="N2070" s="6" t="str">
        <f t="shared" si="65"/>
        <v>Others</v>
      </c>
    </row>
    <row r="2071" spans="1:14" x14ac:dyDescent="0.35">
      <c r="A2071">
        <v>1124</v>
      </c>
      <c r="B2071" s="4">
        <v>45916.375085336993</v>
      </c>
      <c r="C2071" t="s">
        <v>14</v>
      </c>
      <c r="D2071" t="s">
        <v>22</v>
      </c>
      <c r="E2071" t="s">
        <v>23</v>
      </c>
      <c r="F2071">
        <v>11508.1</v>
      </c>
      <c r="G2071">
        <f t="array" ref="G2071">SalesData!$I$2 - 'RFM Table'!B2071</f>
        <v>220</v>
      </c>
      <c r="H2071">
        <f t="array" ref="H2071">COUNTIF(A:A,A2071)</f>
        <v>5</v>
      </c>
      <c r="I2071">
        <f t="array" ref="I2071">SUMIF(A:A,A2071,F:F)</f>
        <v>29381.64</v>
      </c>
      <c r="J2071">
        <f t="array" ref="J2071">5 - INT(5 * (RANK(G2071,G:G, 1) - 1) / COUNT(G:G))</f>
        <v>4</v>
      </c>
      <c r="K2071">
        <f t="array" ref="K2071">INT(5 * (RANK(H2071,H:H, 0) - 1) / COUNT(H:H)) + 1</f>
        <v>5</v>
      </c>
      <c r="L2071">
        <f t="array" ref="L2071">INT(5 * (RANK(I2071,I:I, 0) - 1) / COUNT(I:I)) + 1</f>
        <v>4</v>
      </c>
      <c r="M2071" t="str">
        <f t="shared" si="64"/>
        <v>454</v>
      </c>
      <c r="N2071" s="6" t="str">
        <f t="shared" si="65"/>
        <v>Others</v>
      </c>
    </row>
    <row r="2072" spans="1:14" x14ac:dyDescent="0.35">
      <c r="A2072">
        <v>1029</v>
      </c>
      <c r="B2072" s="4">
        <v>45916.375085336993</v>
      </c>
      <c r="C2072" t="s">
        <v>7</v>
      </c>
      <c r="D2072" t="s">
        <v>21</v>
      </c>
      <c r="E2072" t="s">
        <v>25</v>
      </c>
      <c r="F2072">
        <v>7276.43</v>
      </c>
      <c r="G2072">
        <f t="array" ref="G2072">SalesData!$I$2 - 'RFM Table'!B2072</f>
        <v>220</v>
      </c>
      <c r="H2072">
        <f t="array" ref="H2072">COUNTIF(A:A,A2072)</f>
        <v>3</v>
      </c>
      <c r="I2072">
        <f t="array" ref="I2072">SUMIF(A:A,A2072,F:F)</f>
        <v>12121.1</v>
      </c>
      <c r="J2072">
        <f t="array" ref="J2072">5 - INT(5 * (RANK(G2072,G:G, 1) - 1) / COUNT(G:G))</f>
        <v>4</v>
      </c>
      <c r="K2072">
        <f t="array" ref="K2072">INT(5 * (RANK(H2072,H:H, 0) - 1) / COUNT(H:H)) + 1</f>
        <v>5</v>
      </c>
      <c r="L2072">
        <f t="array" ref="L2072">INT(5 * (RANK(I2072,I:I, 0) - 1) / COUNT(I:I)) + 1</f>
        <v>5</v>
      </c>
      <c r="M2072" t="str">
        <f t="shared" si="64"/>
        <v>455</v>
      </c>
      <c r="N2072" s="6" t="str">
        <f t="shared" si="65"/>
        <v>Others</v>
      </c>
    </row>
    <row r="2073" spans="1:14" x14ac:dyDescent="0.35">
      <c r="A2073">
        <v>1269</v>
      </c>
      <c r="B2073" s="4">
        <v>45916.375085336993</v>
      </c>
      <c r="C2073" t="s">
        <v>12</v>
      </c>
      <c r="D2073" t="s">
        <v>18</v>
      </c>
      <c r="E2073" t="s">
        <v>24</v>
      </c>
      <c r="F2073">
        <v>9176.67</v>
      </c>
      <c r="G2073">
        <f t="array" ref="G2073">SalesData!$I$2 - 'RFM Table'!B2073</f>
        <v>220</v>
      </c>
      <c r="H2073">
        <f t="array" ref="H2073">COUNTIF(A:A,A2073)</f>
        <v>6</v>
      </c>
      <c r="I2073">
        <f t="array" ref="I2073">SUMIF(A:A,A2073,F:F)</f>
        <v>25651.410000000003</v>
      </c>
      <c r="J2073">
        <f t="array" ref="J2073">5 - INT(5 * (RANK(G2073,G:G, 1) - 1) / COUNT(G:G))</f>
        <v>4</v>
      </c>
      <c r="K2073">
        <f t="array" ref="K2073">INT(5 * (RANK(H2073,H:H, 0) - 1) / COUNT(H:H)) + 1</f>
        <v>4</v>
      </c>
      <c r="L2073">
        <f t="array" ref="L2073">INT(5 * (RANK(I2073,I:I, 0) - 1) / COUNT(I:I)) + 1</f>
        <v>4</v>
      </c>
      <c r="M2073" t="str">
        <f t="shared" si="64"/>
        <v>444</v>
      </c>
      <c r="N2073" s="6" t="str">
        <f t="shared" si="65"/>
        <v>Others</v>
      </c>
    </row>
    <row r="2074" spans="1:14" x14ac:dyDescent="0.35">
      <c r="A2074">
        <v>1302</v>
      </c>
      <c r="B2074" s="4">
        <v>45916.375085336993</v>
      </c>
      <c r="C2074" t="s">
        <v>6</v>
      </c>
      <c r="D2074" t="s">
        <v>19</v>
      </c>
      <c r="E2074" t="s">
        <v>23</v>
      </c>
      <c r="F2074">
        <v>2893.01</v>
      </c>
      <c r="G2074">
        <f t="array" ref="G2074">SalesData!$I$2 - 'RFM Table'!B2074</f>
        <v>220</v>
      </c>
      <c r="H2074">
        <f t="array" ref="H2074">COUNTIF(A:A,A2074)</f>
        <v>13</v>
      </c>
      <c r="I2074">
        <f t="array" ref="I2074">SUMIF(A:A,A2074,F:F)</f>
        <v>51409.87</v>
      </c>
      <c r="J2074">
        <f t="array" ref="J2074">5 - INT(5 * (RANK(G2074,G:G, 1) - 1) / COUNT(G:G))</f>
        <v>4</v>
      </c>
      <c r="K2074">
        <f t="array" ref="K2074">INT(5 * (RANK(H2074,H:H, 0) - 1) / COUNT(H:H)) + 1</f>
        <v>1</v>
      </c>
      <c r="L2074">
        <f t="array" ref="L2074">INT(5 * (RANK(I2074,I:I, 0) - 1) / COUNT(I:I)) + 1</f>
        <v>1</v>
      </c>
      <c r="M2074" t="str">
        <f t="shared" si="64"/>
        <v>411</v>
      </c>
      <c r="N2074" s="6" t="str">
        <f t="shared" si="65"/>
        <v>New Customers</v>
      </c>
    </row>
    <row r="2075" spans="1:14" x14ac:dyDescent="0.35">
      <c r="A2075">
        <v>1290</v>
      </c>
      <c r="B2075" s="4">
        <v>45916.375085336993</v>
      </c>
      <c r="C2075" t="s">
        <v>12</v>
      </c>
      <c r="D2075" t="s">
        <v>17</v>
      </c>
      <c r="E2075" t="s">
        <v>23</v>
      </c>
      <c r="F2075">
        <v>2602.7800000000002</v>
      </c>
      <c r="G2075">
        <f t="array" ref="G2075">SalesData!$I$2 - 'RFM Table'!B2075</f>
        <v>220</v>
      </c>
      <c r="H2075">
        <f t="array" ref="H2075">COUNTIF(A:A,A2075)</f>
        <v>9</v>
      </c>
      <c r="I2075">
        <f t="array" ref="I2075">SUMIF(A:A,A2075,F:F)</f>
        <v>37864.199999999997</v>
      </c>
      <c r="J2075">
        <f t="array" ref="J2075">5 - INT(5 * (RANK(G2075,G:G, 1) - 1) / COUNT(G:G))</f>
        <v>4</v>
      </c>
      <c r="K2075">
        <f t="array" ref="K2075">INT(5 * (RANK(H2075,H:H, 0) - 1) / COUNT(H:H)) + 1</f>
        <v>2</v>
      </c>
      <c r="L2075">
        <f t="array" ref="L2075">INT(5 * (RANK(I2075,I:I, 0) - 1) / COUNT(I:I)) + 1</f>
        <v>2</v>
      </c>
      <c r="M2075" t="str">
        <f t="shared" si="64"/>
        <v>422</v>
      </c>
      <c r="N2075" s="6" t="str">
        <f t="shared" si="65"/>
        <v>New Customers</v>
      </c>
    </row>
    <row r="2076" spans="1:14" x14ac:dyDescent="0.35">
      <c r="A2076">
        <v>1327</v>
      </c>
      <c r="B2076" s="4">
        <v>45917.375085336993</v>
      </c>
      <c r="C2076" t="s">
        <v>9</v>
      </c>
      <c r="D2076" t="s">
        <v>20</v>
      </c>
      <c r="E2076" t="s">
        <v>25</v>
      </c>
      <c r="F2076">
        <v>3139.65</v>
      </c>
      <c r="G2076">
        <f t="array" ref="G2076">SalesData!$I$2 - 'RFM Table'!B2076</f>
        <v>219</v>
      </c>
      <c r="H2076">
        <f t="array" ref="H2076">COUNTIF(A:A,A2076)</f>
        <v>10</v>
      </c>
      <c r="I2076">
        <f t="array" ref="I2076">SUMIF(A:A,A2076,F:F)</f>
        <v>34265.79</v>
      </c>
      <c r="J2076">
        <f t="array" ref="J2076">5 - INT(5 * (RANK(G2076,G:G, 1) - 1) / COUNT(G:G))</f>
        <v>4</v>
      </c>
      <c r="K2076">
        <f t="array" ref="K2076">INT(5 * (RANK(H2076,H:H, 0) - 1) / COUNT(H:H)) + 1</f>
        <v>2</v>
      </c>
      <c r="L2076">
        <f t="array" ref="L2076">INT(5 * (RANK(I2076,I:I, 0) - 1) / COUNT(I:I)) + 1</f>
        <v>3</v>
      </c>
      <c r="M2076" t="str">
        <f t="shared" si="64"/>
        <v>423</v>
      </c>
      <c r="N2076" s="6" t="str">
        <f t="shared" si="65"/>
        <v>New Customers</v>
      </c>
    </row>
    <row r="2077" spans="1:14" x14ac:dyDescent="0.35">
      <c r="A2077">
        <v>1104</v>
      </c>
      <c r="B2077" s="4">
        <v>45917.375085336993</v>
      </c>
      <c r="C2077" t="s">
        <v>6</v>
      </c>
      <c r="D2077" t="s">
        <v>20</v>
      </c>
      <c r="E2077" t="s">
        <v>24</v>
      </c>
      <c r="F2077">
        <v>4561.1499999999996</v>
      </c>
      <c r="G2077">
        <f t="array" ref="G2077">SalesData!$I$2 - 'RFM Table'!B2077</f>
        <v>219</v>
      </c>
      <c r="H2077">
        <f t="array" ref="H2077">COUNTIF(A:A,A2077)</f>
        <v>6</v>
      </c>
      <c r="I2077">
        <f t="array" ref="I2077">SUMIF(A:A,A2077,F:F)</f>
        <v>19427.86</v>
      </c>
      <c r="J2077">
        <f t="array" ref="J2077">5 - INT(5 * (RANK(G2077,G:G, 1) - 1) / COUNT(G:G))</f>
        <v>4</v>
      </c>
      <c r="K2077">
        <f t="array" ref="K2077">INT(5 * (RANK(H2077,H:H, 0) - 1) / COUNT(H:H)) + 1</f>
        <v>4</v>
      </c>
      <c r="L2077">
        <f t="array" ref="L2077">INT(5 * (RANK(I2077,I:I, 0) - 1) / COUNT(I:I)) + 1</f>
        <v>5</v>
      </c>
      <c r="M2077" t="str">
        <f t="shared" si="64"/>
        <v>445</v>
      </c>
      <c r="N2077" s="6" t="str">
        <f t="shared" si="65"/>
        <v>Others</v>
      </c>
    </row>
    <row r="2078" spans="1:14" x14ac:dyDescent="0.35">
      <c r="A2078">
        <v>1025</v>
      </c>
      <c r="B2078" s="4">
        <v>45919.375085336993</v>
      </c>
      <c r="C2078" t="s">
        <v>12</v>
      </c>
      <c r="D2078" t="s">
        <v>17</v>
      </c>
      <c r="E2078" t="s">
        <v>24</v>
      </c>
      <c r="F2078">
        <v>486.11</v>
      </c>
      <c r="G2078">
        <f t="array" ref="G2078">SalesData!$I$2 - 'RFM Table'!B2078</f>
        <v>217</v>
      </c>
      <c r="H2078">
        <f t="array" ref="H2078">COUNTIF(A:A,A2078)</f>
        <v>7</v>
      </c>
      <c r="I2078">
        <f t="array" ref="I2078">SUMIF(A:A,A2078,F:F)</f>
        <v>16120.029999999999</v>
      </c>
      <c r="J2078">
        <f t="array" ref="J2078">5 - INT(5 * (RANK(G2078,G:G, 1) - 1) / COUNT(G:G))</f>
        <v>4</v>
      </c>
      <c r="K2078">
        <f t="array" ref="K2078">INT(5 * (RANK(H2078,H:H, 0) - 1) / COUNT(H:H)) + 1</f>
        <v>4</v>
      </c>
      <c r="L2078">
        <f t="array" ref="L2078">INT(5 * (RANK(I2078,I:I, 0) - 1) / COUNT(I:I)) + 1</f>
        <v>5</v>
      </c>
      <c r="M2078" t="str">
        <f t="shared" si="64"/>
        <v>445</v>
      </c>
      <c r="N2078" s="6" t="str">
        <f t="shared" si="65"/>
        <v>Others</v>
      </c>
    </row>
    <row r="2079" spans="1:14" x14ac:dyDescent="0.35">
      <c r="A2079">
        <v>1012</v>
      </c>
      <c r="B2079" s="4">
        <v>45919.375085336993</v>
      </c>
      <c r="C2079" t="s">
        <v>15</v>
      </c>
      <c r="D2079" t="s">
        <v>22</v>
      </c>
      <c r="E2079" t="s">
        <v>23</v>
      </c>
      <c r="F2079">
        <v>5952.2</v>
      </c>
      <c r="G2079">
        <f t="array" ref="G2079">SalesData!$I$2 - 'RFM Table'!B2079</f>
        <v>217</v>
      </c>
      <c r="H2079">
        <f t="array" ref="H2079">COUNTIF(A:A,A2079)</f>
        <v>8</v>
      </c>
      <c r="I2079">
        <f t="array" ref="I2079">SUMIF(A:A,A2079,F:F)</f>
        <v>35967.03</v>
      </c>
      <c r="J2079">
        <f t="array" ref="J2079">5 - INT(5 * (RANK(G2079,G:G, 1) - 1) / COUNT(G:G))</f>
        <v>4</v>
      </c>
      <c r="K2079">
        <f t="array" ref="K2079">INT(5 * (RANK(H2079,H:H, 0) - 1) / COUNT(H:H)) + 1</f>
        <v>3</v>
      </c>
      <c r="L2079">
        <f t="array" ref="L2079">INT(5 * (RANK(I2079,I:I, 0) - 1) / COUNT(I:I)) + 1</f>
        <v>3</v>
      </c>
      <c r="M2079" t="str">
        <f t="shared" si="64"/>
        <v>433</v>
      </c>
      <c r="N2079" s="6" t="str">
        <f t="shared" si="65"/>
        <v>Others</v>
      </c>
    </row>
    <row r="2080" spans="1:14" x14ac:dyDescent="0.35">
      <c r="A2080">
        <v>1265</v>
      </c>
      <c r="B2080" s="4">
        <v>45919.375085336993</v>
      </c>
      <c r="C2080" t="s">
        <v>12</v>
      </c>
      <c r="D2080" t="s">
        <v>18</v>
      </c>
      <c r="E2080" t="s">
        <v>23</v>
      </c>
      <c r="F2080">
        <v>4653.2</v>
      </c>
      <c r="G2080">
        <f t="array" ref="G2080">SalesData!$I$2 - 'RFM Table'!B2080</f>
        <v>217</v>
      </c>
      <c r="H2080">
        <f t="array" ref="H2080">COUNTIF(A:A,A2080)</f>
        <v>7</v>
      </c>
      <c r="I2080">
        <f t="array" ref="I2080">SUMIF(A:A,A2080,F:F)</f>
        <v>24998.240000000005</v>
      </c>
      <c r="J2080">
        <f t="array" ref="J2080">5 - INT(5 * (RANK(G2080,G:G, 1) - 1) / COUNT(G:G))</f>
        <v>4</v>
      </c>
      <c r="K2080">
        <f t="array" ref="K2080">INT(5 * (RANK(H2080,H:H, 0) - 1) / COUNT(H:H)) + 1</f>
        <v>4</v>
      </c>
      <c r="L2080">
        <f t="array" ref="L2080">INT(5 * (RANK(I2080,I:I, 0) - 1) / COUNT(I:I)) + 1</f>
        <v>4</v>
      </c>
      <c r="M2080" t="str">
        <f t="shared" si="64"/>
        <v>444</v>
      </c>
      <c r="N2080" s="6" t="str">
        <f t="shared" si="65"/>
        <v>Others</v>
      </c>
    </row>
    <row r="2081" spans="1:14" x14ac:dyDescent="0.35">
      <c r="A2081">
        <v>1389</v>
      </c>
      <c r="B2081" s="4">
        <v>45919.375085336993</v>
      </c>
      <c r="C2081" t="s">
        <v>15</v>
      </c>
      <c r="D2081" t="s">
        <v>17</v>
      </c>
      <c r="E2081" t="s">
        <v>23</v>
      </c>
      <c r="F2081">
        <v>3157.28</v>
      </c>
      <c r="G2081">
        <f t="array" ref="G2081">SalesData!$I$2 - 'RFM Table'!B2081</f>
        <v>217</v>
      </c>
      <c r="H2081">
        <f t="array" ref="H2081">COUNTIF(A:A,A2081)</f>
        <v>8</v>
      </c>
      <c r="I2081">
        <f t="array" ref="I2081">SUMIF(A:A,A2081,F:F)</f>
        <v>35723.81</v>
      </c>
      <c r="J2081">
        <f t="array" ref="J2081">5 - INT(5 * (RANK(G2081,G:G, 1) - 1) / COUNT(G:G))</f>
        <v>4</v>
      </c>
      <c r="K2081">
        <f t="array" ref="K2081">INT(5 * (RANK(H2081,H:H, 0) - 1) / COUNT(H:H)) + 1</f>
        <v>3</v>
      </c>
      <c r="L2081">
        <f t="array" ref="L2081">INT(5 * (RANK(I2081,I:I, 0) - 1) / COUNT(I:I)) + 1</f>
        <v>3</v>
      </c>
      <c r="M2081" t="str">
        <f t="shared" si="64"/>
        <v>433</v>
      </c>
      <c r="N2081" s="6" t="str">
        <f t="shared" si="65"/>
        <v>Others</v>
      </c>
    </row>
    <row r="2082" spans="1:14" x14ac:dyDescent="0.35">
      <c r="A2082">
        <v>1291</v>
      </c>
      <c r="B2082" s="4">
        <v>45919.375085336993</v>
      </c>
      <c r="C2082" t="s">
        <v>14</v>
      </c>
      <c r="D2082" t="s">
        <v>21</v>
      </c>
      <c r="E2082" t="s">
        <v>24</v>
      </c>
      <c r="F2082">
        <v>1618.06</v>
      </c>
      <c r="G2082">
        <f t="array" ref="G2082">SalesData!$I$2 - 'RFM Table'!B2082</f>
        <v>217</v>
      </c>
      <c r="H2082">
        <f t="array" ref="H2082">COUNTIF(A:A,A2082)</f>
        <v>7</v>
      </c>
      <c r="I2082">
        <f t="array" ref="I2082">SUMIF(A:A,A2082,F:F)</f>
        <v>33778.21</v>
      </c>
      <c r="J2082">
        <f t="array" ref="J2082">5 - INT(5 * (RANK(G2082,G:G, 1) - 1) / COUNT(G:G))</f>
        <v>4</v>
      </c>
      <c r="K2082">
        <f t="array" ref="K2082">INT(5 * (RANK(H2082,H:H, 0) - 1) / COUNT(H:H)) + 1</f>
        <v>4</v>
      </c>
      <c r="L2082">
        <f t="array" ref="L2082">INT(5 * (RANK(I2082,I:I, 0) - 1) / COUNT(I:I)) + 1</f>
        <v>3</v>
      </c>
      <c r="M2082" t="str">
        <f t="shared" si="64"/>
        <v>443</v>
      </c>
      <c r="N2082" s="6" t="str">
        <f t="shared" si="65"/>
        <v>Others</v>
      </c>
    </row>
    <row r="2083" spans="1:14" x14ac:dyDescent="0.35">
      <c r="A2083">
        <v>1313</v>
      </c>
      <c r="B2083" s="4">
        <v>45919.375085336993</v>
      </c>
      <c r="C2083" t="s">
        <v>13</v>
      </c>
      <c r="D2083" t="s">
        <v>21</v>
      </c>
      <c r="E2083" t="s">
        <v>23</v>
      </c>
      <c r="F2083">
        <v>4458.92</v>
      </c>
      <c r="G2083">
        <f t="array" ref="G2083">SalesData!$I$2 - 'RFM Table'!B2083</f>
        <v>217</v>
      </c>
      <c r="H2083">
        <f t="array" ref="H2083">COUNTIF(A:A,A2083)</f>
        <v>9</v>
      </c>
      <c r="I2083">
        <f t="array" ref="I2083">SUMIF(A:A,A2083,F:F)</f>
        <v>35759.83</v>
      </c>
      <c r="J2083">
        <f t="array" ref="J2083">5 - INT(5 * (RANK(G2083,G:G, 1) - 1) / COUNT(G:G))</f>
        <v>4</v>
      </c>
      <c r="K2083">
        <f t="array" ref="K2083">INT(5 * (RANK(H2083,H:H, 0) - 1) / COUNT(H:H)) + 1</f>
        <v>2</v>
      </c>
      <c r="L2083">
        <f t="array" ref="L2083">INT(5 * (RANK(I2083,I:I, 0) - 1) / COUNT(I:I)) + 1</f>
        <v>3</v>
      </c>
      <c r="M2083" t="str">
        <f t="shared" si="64"/>
        <v>423</v>
      </c>
      <c r="N2083" s="6" t="str">
        <f t="shared" si="65"/>
        <v>New Customers</v>
      </c>
    </row>
    <row r="2084" spans="1:14" x14ac:dyDescent="0.35">
      <c r="A2084">
        <v>1203</v>
      </c>
      <c r="B2084" s="4">
        <v>45919.375085336993</v>
      </c>
      <c r="C2084" t="s">
        <v>12</v>
      </c>
      <c r="D2084" t="s">
        <v>17</v>
      </c>
      <c r="E2084" t="s">
        <v>25</v>
      </c>
      <c r="F2084">
        <v>2569.2600000000002</v>
      </c>
      <c r="G2084">
        <f t="array" ref="G2084">SalesData!$I$2 - 'RFM Table'!B2084</f>
        <v>217</v>
      </c>
      <c r="H2084">
        <f t="array" ref="H2084">COUNTIF(A:A,A2084)</f>
        <v>4</v>
      </c>
      <c r="I2084">
        <f t="array" ref="I2084">SUMIF(A:A,A2084,F:F)</f>
        <v>18725.21</v>
      </c>
      <c r="J2084">
        <f t="array" ref="J2084">5 - INT(5 * (RANK(G2084,G:G, 1) - 1) / COUNT(G:G))</f>
        <v>4</v>
      </c>
      <c r="K2084">
        <f t="array" ref="K2084">INT(5 * (RANK(H2084,H:H, 0) - 1) / COUNT(H:H)) + 1</f>
        <v>5</v>
      </c>
      <c r="L2084">
        <f t="array" ref="L2084">INT(5 * (RANK(I2084,I:I, 0) - 1) / COUNT(I:I)) + 1</f>
        <v>5</v>
      </c>
      <c r="M2084" t="str">
        <f t="shared" si="64"/>
        <v>455</v>
      </c>
      <c r="N2084" s="6" t="str">
        <f t="shared" si="65"/>
        <v>Others</v>
      </c>
    </row>
    <row r="2085" spans="1:14" x14ac:dyDescent="0.35">
      <c r="A2085">
        <v>1124</v>
      </c>
      <c r="B2085" s="4">
        <v>45920.375085336993</v>
      </c>
      <c r="C2085" t="s">
        <v>9</v>
      </c>
      <c r="D2085" t="s">
        <v>21</v>
      </c>
      <c r="E2085" t="s">
        <v>24</v>
      </c>
      <c r="F2085">
        <v>6283</v>
      </c>
      <c r="G2085">
        <f t="array" ref="G2085">SalesData!$I$2 - 'RFM Table'!B2085</f>
        <v>216</v>
      </c>
      <c r="H2085">
        <f t="array" ref="H2085">COUNTIF(A:A,A2085)</f>
        <v>5</v>
      </c>
      <c r="I2085">
        <f t="array" ref="I2085">SUMIF(A:A,A2085,F:F)</f>
        <v>29381.64</v>
      </c>
      <c r="J2085">
        <f t="array" ref="J2085">5 - INT(5 * (RANK(G2085,G:G, 1) - 1) / COUNT(G:G))</f>
        <v>4</v>
      </c>
      <c r="K2085">
        <f t="array" ref="K2085">INT(5 * (RANK(H2085,H:H, 0) - 1) / COUNT(H:H)) + 1</f>
        <v>5</v>
      </c>
      <c r="L2085">
        <f t="array" ref="L2085">INT(5 * (RANK(I2085,I:I, 0) - 1) / COUNT(I:I)) + 1</f>
        <v>4</v>
      </c>
      <c r="M2085" t="str">
        <f t="shared" si="64"/>
        <v>454</v>
      </c>
      <c r="N2085" s="6" t="str">
        <f t="shared" si="65"/>
        <v>Others</v>
      </c>
    </row>
    <row r="2086" spans="1:14" x14ac:dyDescent="0.35">
      <c r="A2086">
        <v>1050</v>
      </c>
      <c r="B2086" s="4">
        <v>45920.375085336993</v>
      </c>
      <c r="C2086" t="s">
        <v>13</v>
      </c>
      <c r="D2086" t="s">
        <v>16</v>
      </c>
      <c r="E2086" t="s">
        <v>25</v>
      </c>
      <c r="F2086">
        <v>537.11</v>
      </c>
      <c r="G2086">
        <f t="array" ref="G2086">SalesData!$I$2 - 'RFM Table'!B2086</f>
        <v>216</v>
      </c>
      <c r="H2086">
        <f t="array" ref="H2086">COUNTIF(A:A,A2086)</f>
        <v>10</v>
      </c>
      <c r="I2086">
        <f t="array" ref="I2086">SUMIF(A:A,A2086,F:F)</f>
        <v>32732.979999999996</v>
      </c>
      <c r="J2086">
        <f t="array" ref="J2086">5 - INT(5 * (RANK(G2086,G:G, 1) - 1) / COUNT(G:G))</f>
        <v>4</v>
      </c>
      <c r="K2086">
        <f t="array" ref="K2086">INT(5 * (RANK(H2086,H:H, 0) - 1) / COUNT(H:H)) + 1</f>
        <v>2</v>
      </c>
      <c r="L2086">
        <f t="array" ref="L2086">INT(5 * (RANK(I2086,I:I, 0) - 1) / COUNT(I:I)) + 1</f>
        <v>3</v>
      </c>
      <c r="M2086" t="str">
        <f t="shared" si="64"/>
        <v>423</v>
      </c>
      <c r="N2086" s="6" t="str">
        <f t="shared" si="65"/>
        <v>New Customers</v>
      </c>
    </row>
    <row r="2087" spans="1:14" x14ac:dyDescent="0.35">
      <c r="A2087">
        <v>1153</v>
      </c>
      <c r="B2087" s="4">
        <v>45920.375085336993</v>
      </c>
      <c r="C2087" t="s">
        <v>9</v>
      </c>
      <c r="D2087" t="s">
        <v>21</v>
      </c>
      <c r="E2087" t="s">
        <v>25</v>
      </c>
      <c r="F2087">
        <v>2516.1999999999998</v>
      </c>
      <c r="G2087">
        <f t="array" ref="G2087">SalesData!$I$2 - 'RFM Table'!B2087</f>
        <v>216</v>
      </c>
      <c r="H2087">
        <f t="array" ref="H2087">COUNTIF(A:A,A2087)</f>
        <v>12</v>
      </c>
      <c r="I2087">
        <f t="array" ref="I2087">SUMIF(A:A,A2087,F:F)</f>
        <v>42146.06</v>
      </c>
      <c r="J2087">
        <f t="array" ref="J2087">5 - INT(5 * (RANK(G2087,G:G, 1) - 1) / COUNT(G:G))</f>
        <v>4</v>
      </c>
      <c r="K2087">
        <f t="array" ref="K2087">INT(5 * (RANK(H2087,H:H, 0) - 1) / COUNT(H:H)) + 1</f>
        <v>1</v>
      </c>
      <c r="L2087">
        <f t="array" ref="L2087">INT(5 * (RANK(I2087,I:I, 0) - 1) / COUNT(I:I)) + 1</f>
        <v>2</v>
      </c>
      <c r="M2087" t="str">
        <f t="shared" si="64"/>
        <v>412</v>
      </c>
      <c r="N2087" s="6" t="str">
        <f t="shared" si="65"/>
        <v>New Customers</v>
      </c>
    </row>
    <row r="2088" spans="1:14" x14ac:dyDescent="0.35">
      <c r="A2088">
        <v>1066</v>
      </c>
      <c r="B2088" s="4">
        <v>45920.375085336993</v>
      </c>
      <c r="C2088" t="s">
        <v>6</v>
      </c>
      <c r="D2088" t="s">
        <v>19</v>
      </c>
      <c r="E2088" t="s">
        <v>23</v>
      </c>
      <c r="F2088">
        <v>836.08</v>
      </c>
      <c r="G2088">
        <f t="array" ref="G2088">SalesData!$I$2 - 'RFM Table'!B2088</f>
        <v>216</v>
      </c>
      <c r="H2088">
        <f t="array" ref="H2088">COUNTIF(A:A,A2088)</f>
        <v>5</v>
      </c>
      <c r="I2088">
        <f t="array" ref="I2088">SUMIF(A:A,A2088,F:F)</f>
        <v>17833.57</v>
      </c>
      <c r="J2088">
        <f t="array" ref="J2088">5 - INT(5 * (RANK(G2088,G:G, 1) - 1) / COUNT(G:G))</f>
        <v>4</v>
      </c>
      <c r="K2088">
        <f t="array" ref="K2088">INT(5 * (RANK(H2088,H:H, 0) - 1) / COUNT(H:H)) + 1</f>
        <v>5</v>
      </c>
      <c r="L2088">
        <f t="array" ref="L2088">INT(5 * (RANK(I2088,I:I, 0) - 1) / COUNT(I:I)) + 1</f>
        <v>5</v>
      </c>
      <c r="M2088" t="str">
        <f t="shared" si="64"/>
        <v>455</v>
      </c>
      <c r="N2088" s="6" t="str">
        <f t="shared" si="65"/>
        <v>Others</v>
      </c>
    </row>
    <row r="2089" spans="1:14" x14ac:dyDescent="0.35">
      <c r="A2089">
        <v>1370</v>
      </c>
      <c r="B2089" s="4">
        <v>45921.375085336993</v>
      </c>
      <c r="C2089" t="s">
        <v>11</v>
      </c>
      <c r="D2089" t="s">
        <v>19</v>
      </c>
      <c r="E2089" t="s">
        <v>24</v>
      </c>
      <c r="F2089">
        <v>8335.7900000000009</v>
      </c>
      <c r="G2089">
        <f t="array" ref="G2089">SalesData!$I$2 - 'RFM Table'!B2089</f>
        <v>215</v>
      </c>
      <c r="H2089">
        <f t="array" ref="H2089">COUNTIF(A:A,A2089)</f>
        <v>12</v>
      </c>
      <c r="I2089">
        <f t="array" ref="I2089">SUMIF(A:A,A2089,F:F)</f>
        <v>46195.360000000001</v>
      </c>
      <c r="J2089">
        <f t="array" ref="J2089">5 - INT(5 * (RANK(G2089,G:G, 1) - 1) / COUNT(G:G))</f>
        <v>4</v>
      </c>
      <c r="K2089">
        <f t="array" ref="K2089">INT(5 * (RANK(H2089,H:H, 0) - 1) / COUNT(H:H)) + 1</f>
        <v>1</v>
      </c>
      <c r="L2089">
        <f t="array" ref="L2089">INT(5 * (RANK(I2089,I:I, 0) - 1) / COUNT(I:I)) + 1</f>
        <v>1</v>
      </c>
      <c r="M2089" t="str">
        <f t="shared" si="64"/>
        <v>411</v>
      </c>
      <c r="N2089" s="6" t="str">
        <f t="shared" si="65"/>
        <v>New Customers</v>
      </c>
    </row>
    <row r="2090" spans="1:14" x14ac:dyDescent="0.35">
      <c r="A2090">
        <v>1303</v>
      </c>
      <c r="B2090" s="4">
        <v>45921.375085336993</v>
      </c>
      <c r="C2090" t="s">
        <v>12</v>
      </c>
      <c r="D2090" t="s">
        <v>17</v>
      </c>
      <c r="E2090" t="s">
        <v>25</v>
      </c>
      <c r="F2090">
        <v>1622.07</v>
      </c>
      <c r="G2090">
        <f t="array" ref="G2090">SalesData!$I$2 - 'RFM Table'!B2090</f>
        <v>215</v>
      </c>
      <c r="H2090">
        <f t="array" ref="H2090">COUNTIF(A:A,A2090)</f>
        <v>9</v>
      </c>
      <c r="I2090">
        <f t="array" ref="I2090">SUMIF(A:A,A2090,F:F)</f>
        <v>27888.809999999998</v>
      </c>
      <c r="J2090">
        <f t="array" ref="J2090">5 - INT(5 * (RANK(G2090,G:G, 1) - 1) / COUNT(G:G))</f>
        <v>4</v>
      </c>
      <c r="K2090">
        <f t="array" ref="K2090">INT(5 * (RANK(H2090,H:H, 0) - 1) / COUNT(H:H)) + 1</f>
        <v>2</v>
      </c>
      <c r="L2090">
        <f t="array" ref="L2090">INT(5 * (RANK(I2090,I:I, 0) - 1) / COUNT(I:I)) + 1</f>
        <v>4</v>
      </c>
      <c r="M2090" t="str">
        <f t="shared" si="64"/>
        <v>424</v>
      </c>
      <c r="N2090" s="6" t="str">
        <f t="shared" si="65"/>
        <v>New Customers</v>
      </c>
    </row>
    <row r="2091" spans="1:14" x14ac:dyDescent="0.35">
      <c r="A2091">
        <v>1264</v>
      </c>
      <c r="B2091" s="4">
        <v>45921.375085336993</v>
      </c>
      <c r="C2091" t="s">
        <v>10</v>
      </c>
      <c r="D2091" t="s">
        <v>17</v>
      </c>
      <c r="E2091" t="s">
        <v>24</v>
      </c>
      <c r="F2091">
        <v>2244.06</v>
      </c>
      <c r="G2091">
        <f t="array" ref="G2091">SalesData!$I$2 - 'RFM Table'!B2091</f>
        <v>215</v>
      </c>
      <c r="H2091">
        <f t="array" ref="H2091">COUNTIF(A:A,A2091)</f>
        <v>4</v>
      </c>
      <c r="I2091">
        <f t="array" ref="I2091">SUMIF(A:A,A2091,F:F)</f>
        <v>16880.16</v>
      </c>
      <c r="J2091">
        <f t="array" ref="J2091">5 - INT(5 * (RANK(G2091,G:G, 1) - 1) / COUNT(G:G))</f>
        <v>4</v>
      </c>
      <c r="K2091">
        <f t="array" ref="K2091">INT(5 * (RANK(H2091,H:H, 0) - 1) / COUNT(H:H)) + 1</f>
        <v>5</v>
      </c>
      <c r="L2091">
        <f t="array" ref="L2091">INT(5 * (RANK(I2091,I:I, 0) - 1) / COUNT(I:I)) + 1</f>
        <v>5</v>
      </c>
      <c r="M2091" t="str">
        <f t="shared" si="64"/>
        <v>455</v>
      </c>
      <c r="N2091" s="6" t="str">
        <f t="shared" si="65"/>
        <v>Others</v>
      </c>
    </row>
    <row r="2092" spans="1:14" x14ac:dyDescent="0.35">
      <c r="A2092">
        <v>1019</v>
      </c>
      <c r="B2092" s="4">
        <v>45922.375085336993</v>
      </c>
      <c r="C2092" t="s">
        <v>10</v>
      </c>
      <c r="D2092" t="s">
        <v>21</v>
      </c>
      <c r="E2092" t="s">
        <v>25</v>
      </c>
      <c r="F2092">
        <v>4490.1099999999997</v>
      </c>
      <c r="G2092">
        <f t="array" ref="G2092">SalesData!$I$2 - 'RFM Table'!B2092</f>
        <v>214</v>
      </c>
      <c r="H2092">
        <f t="array" ref="H2092">COUNTIF(A:A,A2092)</f>
        <v>11</v>
      </c>
      <c r="I2092">
        <f t="array" ref="I2092">SUMIF(A:A,A2092,F:F)</f>
        <v>37863.899999999994</v>
      </c>
      <c r="J2092">
        <f t="array" ref="J2092">5 - INT(5 * (RANK(G2092,G:G, 1) - 1) / COUNT(G:G))</f>
        <v>4</v>
      </c>
      <c r="K2092">
        <f t="array" ref="K2092">INT(5 * (RANK(H2092,H:H, 0) - 1) / COUNT(H:H)) + 1</f>
        <v>1</v>
      </c>
      <c r="L2092">
        <f t="array" ref="L2092">INT(5 * (RANK(I2092,I:I, 0) - 1) / COUNT(I:I)) + 1</f>
        <v>2</v>
      </c>
      <c r="M2092" t="str">
        <f t="shared" si="64"/>
        <v>412</v>
      </c>
      <c r="N2092" s="6" t="str">
        <f t="shared" si="65"/>
        <v>New Customers</v>
      </c>
    </row>
    <row r="2093" spans="1:14" x14ac:dyDescent="0.35">
      <c r="A2093">
        <v>1220</v>
      </c>
      <c r="B2093" s="4">
        <v>45922.375085336993</v>
      </c>
      <c r="C2093" t="s">
        <v>6</v>
      </c>
      <c r="D2093" t="s">
        <v>22</v>
      </c>
      <c r="E2093" t="s">
        <v>23</v>
      </c>
      <c r="F2093">
        <v>3886.67</v>
      </c>
      <c r="G2093">
        <f t="array" ref="G2093">SalesData!$I$2 - 'RFM Table'!B2093</f>
        <v>214</v>
      </c>
      <c r="H2093">
        <f t="array" ref="H2093">COUNTIF(A:A,A2093)</f>
        <v>6</v>
      </c>
      <c r="I2093">
        <f t="array" ref="I2093">SUMIF(A:A,A2093,F:F)</f>
        <v>29693.030000000002</v>
      </c>
      <c r="J2093">
        <f t="array" ref="J2093">5 - INT(5 * (RANK(G2093,G:G, 1) - 1) / COUNT(G:G))</f>
        <v>4</v>
      </c>
      <c r="K2093">
        <f t="array" ref="K2093">INT(5 * (RANK(H2093,H:H, 0) - 1) / COUNT(H:H)) + 1</f>
        <v>4</v>
      </c>
      <c r="L2093">
        <f t="array" ref="L2093">INT(5 * (RANK(I2093,I:I, 0) - 1) / COUNT(I:I)) + 1</f>
        <v>3</v>
      </c>
      <c r="M2093" t="str">
        <f t="shared" si="64"/>
        <v>443</v>
      </c>
      <c r="N2093" s="6" t="str">
        <f t="shared" si="65"/>
        <v>Others</v>
      </c>
    </row>
    <row r="2094" spans="1:14" x14ac:dyDescent="0.35">
      <c r="A2094">
        <v>1035</v>
      </c>
      <c r="B2094" s="4">
        <v>45922.375085336993</v>
      </c>
      <c r="C2094" t="s">
        <v>6</v>
      </c>
      <c r="D2094" t="s">
        <v>16</v>
      </c>
      <c r="E2094" t="s">
        <v>24</v>
      </c>
      <c r="F2094">
        <v>2003.16</v>
      </c>
      <c r="G2094">
        <f t="array" ref="G2094">SalesData!$I$2 - 'RFM Table'!B2094</f>
        <v>214</v>
      </c>
      <c r="H2094">
        <f t="array" ref="H2094">COUNTIF(A:A,A2094)</f>
        <v>9</v>
      </c>
      <c r="I2094">
        <f t="array" ref="I2094">SUMIF(A:A,A2094,F:F)</f>
        <v>33344.589999999997</v>
      </c>
      <c r="J2094">
        <f t="array" ref="J2094">5 - INT(5 * (RANK(G2094,G:G, 1) - 1) / COUNT(G:G))</f>
        <v>4</v>
      </c>
      <c r="K2094">
        <f t="array" ref="K2094">INT(5 * (RANK(H2094,H:H, 0) - 1) / COUNT(H:H)) + 1</f>
        <v>2</v>
      </c>
      <c r="L2094">
        <f t="array" ref="L2094">INT(5 * (RANK(I2094,I:I, 0) - 1) / COUNT(I:I)) + 1</f>
        <v>3</v>
      </c>
      <c r="M2094" t="str">
        <f t="shared" si="64"/>
        <v>423</v>
      </c>
      <c r="N2094" s="6" t="str">
        <f t="shared" si="65"/>
        <v>New Customers</v>
      </c>
    </row>
    <row r="2095" spans="1:14" x14ac:dyDescent="0.35">
      <c r="A2095">
        <v>1035</v>
      </c>
      <c r="B2095" s="4">
        <v>45922.375085336993</v>
      </c>
      <c r="C2095" t="s">
        <v>8</v>
      </c>
      <c r="D2095" t="s">
        <v>18</v>
      </c>
      <c r="E2095" t="s">
        <v>23</v>
      </c>
      <c r="F2095">
        <v>3699.03</v>
      </c>
      <c r="G2095">
        <f t="array" ref="G2095">SalesData!$I$2 - 'RFM Table'!B2095</f>
        <v>214</v>
      </c>
      <c r="H2095">
        <f t="array" ref="H2095">COUNTIF(A:A,A2095)</f>
        <v>9</v>
      </c>
      <c r="I2095">
        <f t="array" ref="I2095">SUMIF(A:A,A2095,F:F)</f>
        <v>33344.589999999997</v>
      </c>
      <c r="J2095">
        <f t="array" ref="J2095">5 - INT(5 * (RANK(G2095,G:G, 1) - 1) / COUNT(G:G))</f>
        <v>4</v>
      </c>
      <c r="K2095">
        <f t="array" ref="K2095">INT(5 * (RANK(H2095,H:H, 0) - 1) / COUNT(H:H)) + 1</f>
        <v>2</v>
      </c>
      <c r="L2095">
        <f t="array" ref="L2095">INT(5 * (RANK(I2095,I:I, 0) - 1) / COUNT(I:I)) + 1</f>
        <v>3</v>
      </c>
      <c r="M2095" t="str">
        <f t="shared" si="64"/>
        <v>423</v>
      </c>
      <c r="N2095" s="6" t="str">
        <f t="shared" si="65"/>
        <v>New Customers</v>
      </c>
    </row>
    <row r="2096" spans="1:14" x14ac:dyDescent="0.35">
      <c r="A2096">
        <v>1301</v>
      </c>
      <c r="B2096" s="4">
        <v>45922.375085336993</v>
      </c>
      <c r="C2096" t="s">
        <v>13</v>
      </c>
      <c r="D2096" t="s">
        <v>17</v>
      </c>
      <c r="E2096" t="s">
        <v>24</v>
      </c>
      <c r="F2096">
        <v>1145.72</v>
      </c>
      <c r="G2096">
        <f t="array" ref="G2096">SalesData!$I$2 - 'RFM Table'!B2096</f>
        <v>214</v>
      </c>
      <c r="H2096">
        <f t="array" ref="H2096">COUNTIF(A:A,A2096)</f>
        <v>12</v>
      </c>
      <c r="I2096">
        <f t="array" ref="I2096">SUMIF(A:A,A2096,F:F)</f>
        <v>44897.450000000004</v>
      </c>
      <c r="J2096">
        <f t="array" ref="J2096">5 - INT(5 * (RANK(G2096,G:G, 1) - 1) / COUNT(G:G))</f>
        <v>4</v>
      </c>
      <c r="K2096">
        <f t="array" ref="K2096">INT(5 * (RANK(H2096,H:H, 0) - 1) / COUNT(H:H)) + 1</f>
        <v>1</v>
      </c>
      <c r="L2096">
        <f t="array" ref="L2096">INT(5 * (RANK(I2096,I:I, 0) - 1) / COUNT(I:I)) + 1</f>
        <v>1</v>
      </c>
      <c r="M2096" t="str">
        <f t="shared" si="64"/>
        <v>411</v>
      </c>
      <c r="N2096" s="6" t="str">
        <f t="shared" si="65"/>
        <v>New Customers</v>
      </c>
    </row>
    <row r="2097" spans="1:14" x14ac:dyDescent="0.35">
      <c r="A2097">
        <v>1155</v>
      </c>
      <c r="B2097" s="4">
        <v>45922.375085336993</v>
      </c>
      <c r="C2097" t="s">
        <v>11</v>
      </c>
      <c r="D2097" t="s">
        <v>22</v>
      </c>
      <c r="E2097" t="s">
        <v>24</v>
      </c>
      <c r="F2097">
        <v>2229.5700000000002</v>
      </c>
      <c r="G2097">
        <f t="array" ref="G2097">SalesData!$I$2 - 'RFM Table'!B2097</f>
        <v>214</v>
      </c>
      <c r="H2097">
        <f t="array" ref="H2097">COUNTIF(A:A,A2097)</f>
        <v>5</v>
      </c>
      <c r="I2097">
        <f t="array" ref="I2097">SUMIF(A:A,A2097,F:F)</f>
        <v>15744.06</v>
      </c>
      <c r="J2097">
        <f t="array" ref="J2097">5 - INT(5 * (RANK(G2097,G:G, 1) - 1) / COUNT(G:G))</f>
        <v>4</v>
      </c>
      <c r="K2097">
        <f t="array" ref="K2097">INT(5 * (RANK(H2097,H:H, 0) - 1) / COUNT(H:H)) + 1</f>
        <v>5</v>
      </c>
      <c r="L2097">
        <f t="array" ref="L2097">INT(5 * (RANK(I2097,I:I, 0) - 1) / COUNT(I:I)) + 1</f>
        <v>5</v>
      </c>
      <c r="M2097" t="str">
        <f t="shared" si="64"/>
        <v>455</v>
      </c>
      <c r="N2097" s="6" t="str">
        <f t="shared" si="65"/>
        <v>Others</v>
      </c>
    </row>
    <row r="2098" spans="1:14" x14ac:dyDescent="0.35">
      <c r="A2098">
        <v>1338</v>
      </c>
      <c r="B2098" s="4">
        <v>45923.375085336993</v>
      </c>
      <c r="C2098" t="s">
        <v>12</v>
      </c>
      <c r="D2098" t="s">
        <v>19</v>
      </c>
      <c r="E2098" t="s">
        <v>23</v>
      </c>
      <c r="F2098">
        <v>702.23</v>
      </c>
      <c r="G2098">
        <f t="array" ref="G2098">SalesData!$I$2 - 'RFM Table'!B2098</f>
        <v>213</v>
      </c>
      <c r="H2098">
        <f t="array" ref="H2098">COUNTIF(A:A,A2098)</f>
        <v>5</v>
      </c>
      <c r="I2098">
        <f t="array" ref="I2098">SUMIF(A:A,A2098,F:F)</f>
        <v>21171.439999999999</v>
      </c>
      <c r="J2098">
        <f t="array" ref="J2098">5 - INT(5 * (RANK(G2098,G:G, 1) - 1) / COUNT(G:G))</f>
        <v>4</v>
      </c>
      <c r="K2098">
        <f t="array" ref="K2098">INT(5 * (RANK(H2098,H:H, 0) - 1) / COUNT(H:H)) + 1</f>
        <v>5</v>
      </c>
      <c r="L2098">
        <f t="array" ref="L2098">INT(5 * (RANK(I2098,I:I, 0) - 1) / COUNT(I:I)) + 1</f>
        <v>5</v>
      </c>
      <c r="M2098" t="str">
        <f t="shared" si="64"/>
        <v>455</v>
      </c>
      <c r="N2098" s="6" t="str">
        <f t="shared" si="65"/>
        <v>Others</v>
      </c>
    </row>
    <row r="2099" spans="1:14" x14ac:dyDescent="0.35">
      <c r="A2099">
        <v>1037</v>
      </c>
      <c r="B2099" s="4">
        <v>45923.375085336993</v>
      </c>
      <c r="C2099" t="s">
        <v>8</v>
      </c>
      <c r="D2099" t="s">
        <v>20</v>
      </c>
      <c r="E2099" t="s">
        <v>23</v>
      </c>
      <c r="F2099">
        <v>5366.04</v>
      </c>
      <c r="G2099">
        <f t="array" ref="G2099">SalesData!$I$2 - 'RFM Table'!B2099</f>
        <v>213</v>
      </c>
      <c r="H2099">
        <f t="array" ref="H2099">COUNTIF(A:A,A2099)</f>
        <v>9</v>
      </c>
      <c r="I2099">
        <f t="array" ref="I2099">SUMIF(A:A,A2099,F:F)</f>
        <v>42109.760000000002</v>
      </c>
      <c r="J2099">
        <f t="array" ref="J2099">5 - INT(5 * (RANK(G2099,G:G, 1) - 1) / COUNT(G:G))</f>
        <v>4</v>
      </c>
      <c r="K2099">
        <f t="array" ref="K2099">INT(5 * (RANK(H2099,H:H, 0) - 1) / COUNT(H:H)) + 1</f>
        <v>2</v>
      </c>
      <c r="L2099">
        <f t="array" ref="L2099">INT(5 * (RANK(I2099,I:I, 0) - 1) / COUNT(I:I)) + 1</f>
        <v>2</v>
      </c>
      <c r="M2099" t="str">
        <f t="shared" si="64"/>
        <v>422</v>
      </c>
      <c r="N2099" s="6" t="str">
        <f t="shared" si="65"/>
        <v>New Customers</v>
      </c>
    </row>
    <row r="2100" spans="1:14" x14ac:dyDescent="0.35">
      <c r="A2100">
        <v>1173</v>
      </c>
      <c r="B2100" s="4">
        <v>45923.375085336993</v>
      </c>
      <c r="C2100" t="s">
        <v>7</v>
      </c>
      <c r="D2100" t="s">
        <v>18</v>
      </c>
      <c r="E2100" t="s">
        <v>23</v>
      </c>
      <c r="F2100">
        <v>2799.92</v>
      </c>
      <c r="G2100">
        <f t="array" ref="G2100">SalesData!$I$2 - 'RFM Table'!B2100</f>
        <v>213</v>
      </c>
      <c r="H2100">
        <f t="array" ref="H2100">COUNTIF(A:A,A2100)</f>
        <v>5</v>
      </c>
      <c r="I2100">
        <f t="array" ref="I2100">SUMIF(A:A,A2100,F:F)</f>
        <v>17550.75</v>
      </c>
      <c r="J2100">
        <f t="array" ref="J2100">5 - INT(5 * (RANK(G2100,G:G, 1) - 1) / COUNT(G:G))</f>
        <v>4</v>
      </c>
      <c r="K2100">
        <f t="array" ref="K2100">INT(5 * (RANK(H2100,H:H, 0) - 1) / COUNT(H:H)) + 1</f>
        <v>5</v>
      </c>
      <c r="L2100">
        <f t="array" ref="L2100">INT(5 * (RANK(I2100,I:I, 0) - 1) / COUNT(I:I)) + 1</f>
        <v>5</v>
      </c>
      <c r="M2100" t="str">
        <f t="shared" si="64"/>
        <v>455</v>
      </c>
      <c r="N2100" s="6" t="str">
        <f t="shared" si="65"/>
        <v>Others</v>
      </c>
    </row>
    <row r="2101" spans="1:14" x14ac:dyDescent="0.35">
      <c r="A2101">
        <v>1148</v>
      </c>
      <c r="B2101" s="4">
        <v>45924.375085336993</v>
      </c>
      <c r="C2101" t="s">
        <v>7</v>
      </c>
      <c r="D2101" t="s">
        <v>21</v>
      </c>
      <c r="E2101" t="s">
        <v>23</v>
      </c>
      <c r="F2101">
        <v>12314.14</v>
      </c>
      <c r="G2101">
        <f t="array" ref="G2101">SalesData!$I$2 - 'RFM Table'!B2101</f>
        <v>212</v>
      </c>
      <c r="H2101">
        <f t="array" ref="H2101">COUNTIF(A:A,A2101)</f>
        <v>12</v>
      </c>
      <c r="I2101">
        <f t="array" ref="I2101">SUMIF(A:A,A2101,F:F)</f>
        <v>83986.299999999988</v>
      </c>
      <c r="J2101">
        <f t="array" ref="J2101">5 - INT(5 * (RANK(G2101,G:G, 1) - 1) / COUNT(G:G))</f>
        <v>4</v>
      </c>
      <c r="K2101">
        <f t="array" ref="K2101">INT(5 * (RANK(H2101,H:H, 0) - 1) / COUNT(H:H)) + 1</f>
        <v>1</v>
      </c>
      <c r="L2101">
        <f t="array" ref="L2101">INT(5 * (RANK(I2101,I:I, 0) - 1) / COUNT(I:I)) + 1</f>
        <v>1</v>
      </c>
      <c r="M2101" t="str">
        <f t="shared" si="64"/>
        <v>411</v>
      </c>
      <c r="N2101" s="6" t="str">
        <f t="shared" si="65"/>
        <v>New Customers</v>
      </c>
    </row>
    <row r="2102" spans="1:14" x14ac:dyDescent="0.35">
      <c r="A2102">
        <v>1178</v>
      </c>
      <c r="B2102" s="4">
        <v>45924.375085336993</v>
      </c>
      <c r="C2102" t="s">
        <v>12</v>
      </c>
      <c r="D2102" t="s">
        <v>22</v>
      </c>
      <c r="E2102" t="s">
        <v>25</v>
      </c>
      <c r="F2102">
        <v>3892.78</v>
      </c>
      <c r="G2102">
        <f t="array" ref="G2102">SalesData!$I$2 - 'RFM Table'!B2102</f>
        <v>212</v>
      </c>
      <c r="H2102">
        <f t="array" ref="H2102">COUNTIF(A:A,A2102)</f>
        <v>7</v>
      </c>
      <c r="I2102">
        <f t="array" ref="I2102">SUMIF(A:A,A2102,F:F)</f>
        <v>26651.280000000002</v>
      </c>
      <c r="J2102">
        <f t="array" ref="J2102">5 - INT(5 * (RANK(G2102,G:G, 1) - 1) / COUNT(G:G))</f>
        <v>4</v>
      </c>
      <c r="K2102">
        <f t="array" ref="K2102">INT(5 * (RANK(H2102,H:H, 0) - 1) / COUNT(H:H)) + 1</f>
        <v>4</v>
      </c>
      <c r="L2102">
        <f t="array" ref="L2102">INT(5 * (RANK(I2102,I:I, 0) - 1) / COUNT(I:I)) + 1</f>
        <v>4</v>
      </c>
      <c r="M2102" t="str">
        <f t="shared" si="64"/>
        <v>444</v>
      </c>
      <c r="N2102" s="6" t="str">
        <f t="shared" si="65"/>
        <v>Others</v>
      </c>
    </row>
    <row r="2103" spans="1:14" x14ac:dyDescent="0.35">
      <c r="A2103">
        <v>1274</v>
      </c>
      <c r="B2103" s="4">
        <v>45924.375085336993</v>
      </c>
      <c r="C2103" t="s">
        <v>8</v>
      </c>
      <c r="D2103" t="s">
        <v>16</v>
      </c>
      <c r="E2103" t="s">
        <v>25</v>
      </c>
      <c r="F2103">
        <v>1749.43</v>
      </c>
      <c r="G2103">
        <f t="array" ref="G2103">SalesData!$I$2 - 'RFM Table'!B2103</f>
        <v>212</v>
      </c>
      <c r="H2103">
        <f t="array" ref="H2103">COUNTIF(A:A,A2103)</f>
        <v>5</v>
      </c>
      <c r="I2103">
        <f t="array" ref="I2103">SUMIF(A:A,A2103,F:F)</f>
        <v>19562.71</v>
      </c>
      <c r="J2103">
        <f t="array" ref="J2103">5 - INT(5 * (RANK(G2103,G:G, 1) - 1) / COUNT(G:G))</f>
        <v>4</v>
      </c>
      <c r="K2103">
        <f t="array" ref="K2103">INT(5 * (RANK(H2103,H:H, 0) - 1) / COUNT(H:H)) + 1</f>
        <v>5</v>
      </c>
      <c r="L2103">
        <f t="array" ref="L2103">INT(5 * (RANK(I2103,I:I, 0) - 1) / COUNT(I:I)) + 1</f>
        <v>5</v>
      </c>
      <c r="M2103" t="str">
        <f t="shared" si="64"/>
        <v>455</v>
      </c>
      <c r="N2103" s="6" t="str">
        <f t="shared" si="65"/>
        <v>Others</v>
      </c>
    </row>
    <row r="2104" spans="1:14" x14ac:dyDescent="0.35">
      <c r="A2104">
        <v>1080</v>
      </c>
      <c r="B2104" s="4">
        <v>45924.375085336993</v>
      </c>
      <c r="C2104" t="s">
        <v>13</v>
      </c>
      <c r="D2104" t="s">
        <v>21</v>
      </c>
      <c r="E2104" t="s">
        <v>24</v>
      </c>
      <c r="F2104">
        <v>419.98</v>
      </c>
      <c r="G2104">
        <f t="array" ref="G2104">SalesData!$I$2 - 'RFM Table'!B2104</f>
        <v>212</v>
      </c>
      <c r="H2104">
        <f t="array" ref="H2104">COUNTIF(A:A,A2104)</f>
        <v>7</v>
      </c>
      <c r="I2104">
        <f t="array" ref="I2104">SUMIF(A:A,A2104,F:F)</f>
        <v>28511.58</v>
      </c>
      <c r="J2104">
        <f t="array" ref="J2104">5 - INT(5 * (RANK(G2104,G:G, 1) - 1) / COUNT(G:G))</f>
        <v>4</v>
      </c>
      <c r="K2104">
        <f t="array" ref="K2104">INT(5 * (RANK(H2104,H:H, 0) - 1) / COUNT(H:H)) + 1</f>
        <v>4</v>
      </c>
      <c r="L2104">
        <f t="array" ref="L2104">INT(5 * (RANK(I2104,I:I, 0) - 1) / COUNT(I:I)) + 1</f>
        <v>4</v>
      </c>
      <c r="M2104" t="str">
        <f t="shared" si="64"/>
        <v>444</v>
      </c>
      <c r="N2104" s="6" t="str">
        <f t="shared" si="65"/>
        <v>Others</v>
      </c>
    </row>
    <row r="2105" spans="1:14" x14ac:dyDescent="0.35">
      <c r="A2105">
        <v>1324</v>
      </c>
      <c r="B2105" s="4">
        <v>45925.375085336993</v>
      </c>
      <c r="C2105" t="s">
        <v>14</v>
      </c>
      <c r="D2105" t="s">
        <v>16</v>
      </c>
      <c r="E2105" t="s">
        <v>25</v>
      </c>
      <c r="F2105">
        <v>3814.14</v>
      </c>
      <c r="G2105">
        <f t="array" ref="G2105">SalesData!$I$2 - 'RFM Table'!B2105</f>
        <v>211</v>
      </c>
      <c r="H2105">
        <f t="array" ref="H2105">COUNTIF(A:A,A2105)</f>
        <v>5</v>
      </c>
      <c r="I2105">
        <f t="array" ref="I2105">SUMIF(A:A,A2105,F:F)</f>
        <v>14663.54</v>
      </c>
      <c r="J2105">
        <f t="array" ref="J2105">5 - INT(5 * (RANK(G2105,G:G, 1) - 1) / COUNT(G:G))</f>
        <v>4</v>
      </c>
      <c r="K2105">
        <f t="array" ref="K2105">INT(5 * (RANK(H2105,H:H, 0) - 1) / COUNT(H:H)) + 1</f>
        <v>5</v>
      </c>
      <c r="L2105">
        <f t="array" ref="L2105">INT(5 * (RANK(I2105,I:I, 0) - 1) / COUNT(I:I)) + 1</f>
        <v>5</v>
      </c>
      <c r="M2105" t="str">
        <f t="shared" si="64"/>
        <v>455</v>
      </c>
      <c r="N2105" s="6" t="str">
        <f t="shared" si="65"/>
        <v>Others</v>
      </c>
    </row>
    <row r="2106" spans="1:14" x14ac:dyDescent="0.35">
      <c r="A2106">
        <v>1246</v>
      </c>
      <c r="B2106" s="4">
        <v>45925.375085336993</v>
      </c>
      <c r="C2106" t="s">
        <v>13</v>
      </c>
      <c r="D2106" t="s">
        <v>19</v>
      </c>
      <c r="E2106" t="s">
        <v>23</v>
      </c>
      <c r="F2106">
        <v>4587.6400000000003</v>
      </c>
      <c r="G2106">
        <f t="array" ref="G2106">SalesData!$I$2 - 'RFM Table'!B2106</f>
        <v>211</v>
      </c>
      <c r="H2106">
        <f t="array" ref="H2106">COUNTIF(A:A,A2106)</f>
        <v>9</v>
      </c>
      <c r="I2106">
        <f t="array" ref="I2106">SUMIF(A:A,A2106,F:F)</f>
        <v>38767.17</v>
      </c>
      <c r="J2106">
        <f t="array" ref="J2106">5 - INT(5 * (RANK(G2106,G:G, 1) - 1) / COUNT(G:G))</f>
        <v>4</v>
      </c>
      <c r="K2106">
        <f t="array" ref="K2106">INT(5 * (RANK(H2106,H:H, 0) - 1) / COUNT(H:H)) + 1</f>
        <v>2</v>
      </c>
      <c r="L2106">
        <f t="array" ref="L2106">INT(5 * (RANK(I2106,I:I, 0) - 1) / COUNT(I:I)) + 1</f>
        <v>2</v>
      </c>
      <c r="M2106" t="str">
        <f t="shared" si="64"/>
        <v>422</v>
      </c>
      <c r="N2106" s="6" t="str">
        <f t="shared" si="65"/>
        <v>New Customers</v>
      </c>
    </row>
    <row r="2107" spans="1:14" x14ac:dyDescent="0.35">
      <c r="A2107">
        <v>1288</v>
      </c>
      <c r="B2107" s="4">
        <v>45925.375085336993</v>
      </c>
      <c r="C2107" t="s">
        <v>13</v>
      </c>
      <c r="D2107" t="s">
        <v>18</v>
      </c>
      <c r="E2107" t="s">
        <v>25</v>
      </c>
      <c r="F2107">
        <v>3596.04</v>
      </c>
      <c r="G2107">
        <f t="array" ref="G2107">SalesData!$I$2 - 'RFM Table'!B2107</f>
        <v>211</v>
      </c>
      <c r="H2107">
        <f t="array" ref="H2107">COUNTIF(A:A,A2107)</f>
        <v>13</v>
      </c>
      <c r="I2107">
        <f t="array" ref="I2107">SUMIF(A:A,A2107,F:F)</f>
        <v>40219.18</v>
      </c>
      <c r="J2107">
        <f t="array" ref="J2107">5 - INT(5 * (RANK(G2107,G:G, 1) - 1) / COUNT(G:G))</f>
        <v>4</v>
      </c>
      <c r="K2107">
        <f t="array" ref="K2107">INT(5 * (RANK(H2107,H:H, 0) - 1) / COUNT(H:H)) + 1</f>
        <v>1</v>
      </c>
      <c r="L2107">
        <f t="array" ref="L2107">INT(5 * (RANK(I2107,I:I, 0) - 1) / COUNT(I:I)) + 1</f>
        <v>2</v>
      </c>
      <c r="M2107" t="str">
        <f t="shared" si="64"/>
        <v>412</v>
      </c>
      <c r="N2107" s="6" t="str">
        <f t="shared" si="65"/>
        <v>New Customers</v>
      </c>
    </row>
    <row r="2108" spans="1:14" x14ac:dyDescent="0.35">
      <c r="A2108">
        <v>1037</v>
      </c>
      <c r="B2108" s="4">
        <v>45925.375085336993</v>
      </c>
      <c r="C2108" t="s">
        <v>15</v>
      </c>
      <c r="D2108" t="s">
        <v>16</v>
      </c>
      <c r="E2108" t="s">
        <v>25</v>
      </c>
      <c r="F2108">
        <v>1979.67</v>
      </c>
      <c r="G2108">
        <f t="array" ref="G2108">SalesData!$I$2 - 'RFM Table'!B2108</f>
        <v>211</v>
      </c>
      <c r="H2108">
        <f t="array" ref="H2108">COUNTIF(A:A,A2108)</f>
        <v>9</v>
      </c>
      <c r="I2108">
        <f t="array" ref="I2108">SUMIF(A:A,A2108,F:F)</f>
        <v>42109.760000000002</v>
      </c>
      <c r="J2108">
        <f t="array" ref="J2108">5 - INT(5 * (RANK(G2108,G:G, 1) - 1) / COUNT(G:G))</f>
        <v>4</v>
      </c>
      <c r="K2108">
        <f t="array" ref="K2108">INT(5 * (RANK(H2108,H:H, 0) - 1) / COUNT(H:H)) + 1</f>
        <v>2</v>
      </c>
      <c r="L2108">
        <f t="array" ref="L2108">INT(5 * (RANK(I2108,I:I, 0) - 1) / COUNT(I:I)) + 1</f>
        <v>2</v>
      </c>
      <c r="M2108" t="str">
        <f t="shared" si="64"/>
        <v>422</v>
      </c>
      <c r="N2108" s="6" t="str">
        <f t="shared" si="65"/>
        <v>New Customers</v>
      </c>
    </row>
    <row r="2109" spans="1:14" x14ac:dyDescent="0.35">
      <c r="A2109">
        <v>1255</v>
      </c>
      <c r="B2109" s="4">
        <v>45925.375085336993</v>
      </c>
      <c r="C2109" t="s">
        <v>6</v>
      </c>
      <c r="D2109" t="s">
        <v>20</v>
      </c>
      <c r="E2109" t="s">
        <v>24</v>
      </c>
      <c r="F2109">
        <v>2448.1</v>
      </c>
      <c r="G2109">
        <f t="array" ref="G2109">SalesData!$I$2 - 'RFM Table'!B2109</f>
        <v>211</v>
      </c>
      <c r="H2109">
        <f t="array" ref="H2109">COUNTIF(A:A,A2109)</f>
        <v>8</v>
      </c>
      <c r="I2109">
        <f t="array" ref="I2109">SUMIF(A:A,A2109,F:F)</f>
        <v>33838.019999999997</v>
      </c>
      <c r="J2109">
        <f t="array" ref="J2109">5 - INT(5 * (RANK(G2109,G:G, 1) - 1) / COUNT(G:G))</f>
        <v>4</v>
      </c>
      <c r="K2109">
        <f t="array" ref="K2109">INT(5 * (RANK(H2109,H:H, 0) - 1) / COUNT(H:H)) + 1</f>
        <v>3</v>
      </c>
      <c r="L2109">
        <f t="array" ref="L2109">INT(5 * (RANK(I2109,I:I, 0) - 1) / COUNT(I:I)) + 1</f>
        <v>3</v>
      </c>
      <c r="M2109" t="str">
        <f t="shared" si="64"/>
        <v>433</v>
      </c>
      <c r="N2109" s="6" t="str">
        <f t="shared" si="65"/>
        <v>Others</v>
      </c>
    </row>
    <row r="2110" spans="1:14" x14ac:dyDescent="0.35">
      <c r="A2110">
        <v>1142</v>
      </c>
      <c r="B2110" s="4">
        <v>45925.375085336993</v>
      </c>
      <c r="C2110" t="s">
        <v>8</v>
      </c>
      <c r="D2110" t="s">
        <v>17</v>
      </c>
      <c r="E2110" t="s">
        <v>23</v>
      </c>
      <c r="F2110">
        <v>1854.25</v>
      </c>
      <c r="G2110">
        <f t="array" ref="G2110">SalesData!$I$2 - 'RFM Table'!B2110</f>
        <v>211</v>
      </c>
      <c r="H2110">
        <f t="array" ref="H2110">COUNTIF(A:A,A2110)</f>
        <v>10</v>
      </c>
      <c r="I2110">
        <f t="array" ref="I2110">SUMIF(A:A,A2110,F:F)</f>
        <v>45537.319999999992</v>
      </c>
      <c r="J2110">
        <f t="array" ref="J2110">5 - INT(5 * (RANK(G2110,G:G, 1) - 1) / COUNT(G:G))</f>
        <v>4</v>
      </c>
      <c r="K2110">
        <f t="array" ref="K2110">INT(5 * (RANK(H2110,H:H, 0) - 1) / COUNT(H:H)) + 1</f>
        <v>2</v>
      </c>
      <c r="L2110">
        <f t="array" ref="L2110">INT(5 * (RANK(I2110,I:I, 0) - 1) / COUNT(I:I)) + 1</f>
        <v>1</v>
      </c>
      <c r="M2110" t="str">
        <f t="shared" si="64"/>
        <v>421</v>
      </c>
      <c r="N2110" s="6" t="str">
        <f t="shared" si="65"/>
        <v>New Customers</v>
      </c>
    </row>
    <row r="2111" spans="1:14" x14ac:dyDescent="0.35">
      <c r="A2111">
        <v>1226</v>
      </c>
      <c r="B2111" s="4">
        <v>45925.375085336993</v>
      </c>
      <c r="C2111" t="s">
        <v>8</v>
      </c>
      <c r="D2111" t="s">
        <v>16</v>
      </c>
      <c r="E2111" t="s">
        <v>24</v>
      </c>
      <c r="F2111">
        <v>805.86</v>
      </c>
      <c r="G2111">
        <f t="array" ref="G2111">SalesData!$I$2 - 'RFM Table'!B2111</f>
        <v>211</v>
      </c>
      <c r="H2111">
        <f t="array" ref="H2111">COUNTIF(A:A,A2111)</f>
        <v>13</v>
      </c>
      <c r="I2111">
        <f t="array" ref="I2111">SUMIF(A:A,A2111,F:F)</f>
        <v>49471.75</v>
      </c>
      <c r="J2111">
        <f t="array" ref="J2111">5 - INT(5 * (RANK(G2111,G:G, 1) - 1) / COUNT(G:G))</f>
        <v>4</v>
      </c>
      <c r="K2111">
        <f t="array" ref="K2111">INT(5 * (RANK(H2111,H:H, 0) - 1) / COUNT(H:H)) + 1</f>
        <v>1</v>
      </c>
      <c r="L2111">
        <f t="array" ref="L2111">INT(5 * (RANK(I2111,I:I, 0) - 1) / COUNT(I:I)) + 1</f>
        <v>1</v>
      </c>
      <c r="M2111" t="str">
        <f t="shared" si="64"/>
        <v>411</v>
      </c>
      <c r="N2111" s="6" t="str">
        <f t="shared" si="65"/>
        <v>New Customers</v>
      </c>
    </row>
    <row r="2112" spans="1:14" x14ac:dyDescent="0.35">
      <c r="A2112">
        <v>1010</v>
      </c>
      <c r="B2112" s="4">
        <v>45926.375085336993</v>
      </c>
      <c r="C2112" t="s">
        <v>6</v>
      </c>
      <c r="D2112" t="s">
        <v>21</v>
      </c>
      <c r="E2112" t="s">
        <v>25</v>
      </c>
      <c r="F2112">
        <v>1524.57</v>
      </c>
      <c r="G2112">
        <f t="array" ref="G2112">SalesData!$I$2 - 'RFM Table'!B2112</f>
        <v>210</v>
      </c>
      <c r="H2112">
        <f t="array" ref="H2112">COUNTIF(A:A,A2112)</f>
        <v>7</v>
      </c>
      <c r="I2112">
        <f t="array" ref="I2112">SUMIF(A:A,A2112,F:F)</f>
        <v>26629.329999999998</v>
      </c>
      <c r="J2112">
        <f t="array" ref="J2112">5 - INT(5 * (RANK(G2112,G:G, 1) - 1) / COUNT(G:G))</f>
        <v>4</v>
      </c>
      <c r="K2112">
        <f t="array" ref="K2112">INT(5 * (RANK(H2112,H:H, 0) - 1) / COUNT(H:H)) + 1</f>
        <v>4</v>
      </c>
      <c r="L2112">
        <f t="array" ref="L2112">INT(5 * (RANK(I2112,I:I, 0) - 1) / COUNT(I:I)) + 1</f>
        <v>4</v>
      </c>
      <c r="M2112" t="str">
        <f t="shared" si="64"/>
        <v>444</v>
      </c>
      <c r="N2112" s="6" t="str">
        <f t="shared" si="65"/>
        <v>Others</v>
      </c>
    </row>
    <row r="2113" spans="1:14" x14ac:dyDescent="0.35">
      <c r="A2113">
        <v>1350</v>
      </c>
      <c r="B2113" s="4">
        <v>45928.375085336993</v>
      </c>
      <c r="C2113" t="s">
        <v>15</v>
      </c>
      <c r="D2113" t="s">
        <v>20</v>
      </c>
      <c r="E2113" t="s">
        <v>25</v>
      </c>
      <c r="F2113">
        <v>4810.6499999999996</v>
      </c>
      <c r="G2113">
        <f t="array" ref="G2113">SalesData!$I$2 - 'RFM Table'!B2113</f>
        <v>208</v>
      </c>
      <c r="H2113">
        <f t="array" ref="H2113">COUNTIF(A:A,A2113)</f>
        <v>4</v>
      </c>
      <c r="I2113">
        <f t="array" ref="I2113">SUMIF(A:A,A2113,F:F)</f>
        <v>18485.12</v>
      </c>
      <c r="J2113">
        <f t="array" ref="J2113">5 - INT(5 * (RANK(G2113,G:G, 1) - 1) / COUNT(G:G))</f>
        <v>4</v>
      </c>
      <c r="K2113">
        <f t="array" ref="K2113">INT(5 * (RANK(H2113,H:H, 0) - 1) / COUNT(H:H)) + 1</f>
        <v>5</v>
      </c>
      <c r="L2113">
        <f t="array" ref="L2113">INT(5 * (RANK(I2113,I:I, 0) - 1) / COUNT(I:I)) + 1</f>
        <v>5</v>
      </c>
      <c r="M2113" t="str">
        <f t="shared" si="64"/>
        <v>455</v>
      </c>
      <c r="N2113" s="6" t="str">
        <f t="shared" si="65"/>
        <v>Others</v>
      </c>
    </row>
    <row r="2114" spans="1:14" x14ac:dyDescent="0.35">
      <c r="A2114">
        <v>1186</v>
      </c>
      <c r="B2114" s="4">
        <v>45928.375085336993</v>
      </c>
      <c r="C2114" t="s">
        <v>10</v>
      </c>
      <c r="D2114" t="s">
        <v>20</v>
      </c>
      <c r="E2114" t="s">
        <v>25</v>
      </c>
      <c r="F2114">
        <v>1905.89</v>
      </c>
      <c r="G2114">
        <f t="array" ref="G2114">SalesData!$I$2 - 'RFM Table'!B2114</f>
        <v>208</v>
      </c>
      <c r="H2114">
        <f t="array" ref="H2114">COUNTIF(A:A,A2114)</f>
        <v>7</v>
      </c>
      <c r="I2114">
        <f t="array" ref="I2114">SUMIF(A:A,A2114,F:F)</f>
        <v>18132.900000000001</v>
      </c>
      <c r="J2114">
        <f t="array" ref="J2114">5 - INT(5 * (RANK(G2114,G:G, 1) - 1) / COUNT(G:G))</f>
        <v>4</v>
      </c>
      <c r="K2114">
        <f t="array" ref="K2114">INT(5 * (RANK(H2114,H:H, 0) - 1) / COUNT(H:H)) + 1</f>
        <v>4</v>
      </c>
      <c r="L2114">
        <f t="array" ref="L2114">INT(5 * (RANK(I2114,I:I, 0) - 1) / COUNT(I:I)) + 1</f>
        <v>5</v>
      </c>
      <c r="M2114" t="str">
        <f t="shared" si="64"/>
        <v>445</v>
      </c>
      <c r="N2114" s="6" t="str">
        <f t="shared" si="65"/>
        <v>Others</v>
      </c>
    </row>
    <row r="2115" spans="1:14" x14ac:dyDescent="0.35">
      <c r="A2115">
        <v>1374</v>
      </c>
      <c r="B2115" s="4">
        <v>45928.375085336993</v>
      </c>
      <c r="C2115" t="s">
        <v>15</v>
      </c>
      <c r="D2115" t="s">
        <v>20</v>
      </c>
      <c r="E2115" t="s">
        <v>24</v>
      </c>
      <c r="F2115">
        <v>2149.52</v>
      </c>
      <c r="G2115">
        <f t="array" ref="G2115">SalesData!$I$2 - 'RFM Table'!B2115</f>
        <v>208</v>
      </c>
      <c r="H2115">
        <f t="array" ref="H2115">COUNTIF(A:A,A2115)</f>
        <v>6</v>
      </c>
      <c r="I2115">
        <f t="array" ref="I2115">SUMIF(A:A,A2115,F:F)</f>
        <v>17843.009999999998</v>
      </c>
      <c r="J2115">
        <f t="array" ref="J2115">5 - INT(5 * (RANK(G2115,G:G, 1) - 1) / COUNT(G:G))</f>
        <v>4</v>
      </c>
      <c r="K2115">
        <f t="array" ref="K2115">INT(5 * (RANK(H2115,H:H, 0) - 1) / COUNT(H:H)) + 1</f>
        <v>4</v>
      </c>
      <c r="L2115">
        <f t="array" ref="L2115">INT(5 * (RANK(I2115,I:I, 0) - 1) / COUNT(I:I)) + 1</f>
        <v>5</v>
      </c>
      <c r="M2115" t="str">
        <f t="shared" ref="M2115:M2178" si="66">J2115 &amp; K2115 &amp; L2115</f>
        <v>445</v>
      </c>
      <c r="N2115" s="6" t="str">
        <f t="shared" ref="N2115:N2178" si="67">IF(AND(J2115&gt;=4,K2115&lt;=2),"New Customers",
IF(AND(J2115&lt;=2,K2115&gt;=3,L2115&gt;=3),"At Risk",
IF(AND(J2115&lt;=2,K2115&lt;=2,L2115&gt;=3),"Can't Lose Them",
IF(AND(J2115&lt;=2,K2115&lt;=2,L2115&lt;=2),"Lost",
"Others"))))</f>
        <v>Others</v>
      </c>
    </row>
    <row r="2116" spans="1:14" x14ac:dyDescent="0.35">
      <c r="A2116">
        <v>1117</v>
      </c>
      <c r="B2116" s="4">
        <v>45928.375085336993</v>
      </c>
      <c r="C2116" t="s">
        <v>15</v>
      </c>
      <c r="D2116" t="s">
        <v>22</v>
      </c>
      <c r="E2116" t="s">
        <v>24</v>
      </c>
      <c r="F2116">
        <v>2070.8200000000002</v>
      </c>
      <c r="G2116">
        <f t="array" ref="G2116">SalesData!$I$2 - 'RFM Table'!B2116</f>
        <v>208</v>
      </c>
      <c r="H2116">
        <f t="array" ref="H2116">COUNTIF(A:A,A2116)</f>
        <v>10</v>
      </c>
      <c r="I2116">
        <f t="array" ref="I2116">SUMIF(A:A,A2116,F:F)</f>
        <v>47973.33</v>
      </c>
      <c r="J2116">
        <f t="array" ref="J2116">5 - INT(5 * (RANK(G2116,G:G, 1) - 1) / COUNT(G:G))</f>
        <v>4</v>
      </c>
      <c r="K2116">
        <f t="array" ref="K2116">INT(5 * (RANK(H2116,H:H, 0) - 1) / COUNT(H:H)) + 1</f>
        <v>2</v>
      </c>
      <c r="L2116">
        <f t="array" ref="L2116">INT(5 * (RANK(I2116,I:I, 0) - 1) / COUNT(I:I)) + 1</f>
        <v>1</v>
      </c>
      <c r="M2116" t="str">
        <f t="shared" si="66"/>
        <v>421</v>
      </c>
      <c r="N2116" s="6" t="str">
        <f t="shared" si="67"/>
        <v>New Customers</v>
      </c>
    </row>
    <row r="2117" spans="1:14" x14ac:dyDescent="0.35">
      <c r="A2117">
        <v>1347</v>
      </c>
      <c r="B2117" s="4">
        <v>45929.375085336993</v>
      </c>
      <c r="C2117" t="s">
        <v>8</v>
      </c>
      <c r="D2117" t="s">
        <v>17</v>
      </c>
      <c r="E2117" t="s">
        <v>24</v>
      </c>
      <c r="F2117">
        <v>3708.85</v>
      </c>
      <c r="G2117">
        <f t="array" ref="G2117">SalesData!$I$2 - 'RFM Table'!B2117</f>
        <v>207</v>
      </c>
      <c r="H2117">
        <f t="array" ref="H2117">COUNTIF(A:A,A2117)</f>
        <v>7</v>
      </c>
      <c r="I2117">
        <f t="array" ref="I2117">SUMIF(A:A,A2117,F:F)</f>
        <v>20951.28</v>
      </c>
      <c r="J2117">
        <f t="array" ref="J2117">5 - INT(5 * (RANK(G2117,G:G, 1) - 1) / COUNT(G:G))</f>
        <v>4</v>
      </c>
      <c r="K2117">
        <f t="array" ref="K2117">INT(5 * (RANK(H2117,H:H, 0) - 1) / COUNT(H:H)) + 1</f>
        <v>4</v>
      </c>
      <c r="L2117">
        <f t="array" ref="L2117">INT(5 * (RANK(I2117,I:I, 0) - 1) / COUNT(I:I)) + 1</f>
        <v>5</v>
      </c>
      <c r="M2117" t="str">
        <f t="shared" si="66"/>
        <v>445</v>
      </c>
      <c r="N2117" s="6" t="str">
        <f t="shared" si="67"/>
        <v>Others</v>
      </c>
    </row>
    <row r="2118" spans="1:14" x14ac:dyDescent="0.35">
      <c r="A2118">
        <v>1123</v>
      </c>
      <c r="B2118" s="4">
        <v>45929.375085336993</v>
      </c>
      <c r="C2118" t="s">
        <v>14</v>
      </c>
      <c r="D2118" t="s">
        <v>17</v>
      </c>
      <c r="E2118" t="s">
        <v>23</v>
      </c>
      <c r="F2118">
        <v>2336.48</v>
      </c>
      <c r="G2118">
        <f t="array" ref="G2118">SalesData!$I$2 - 'RFM Table'!B2118</f>
        <v>207</v>
      </c>
      <c r="H2118">
        <f t="array" ref="H2118">COUNTIF(A:A,A2118)</f>
        <v>6</v>
      </c>
      <c r="I2118">
        <f t="array" ref="I2118">SUMIF(A:A,A2118,F:F)</f>
        <v>26817.25</v>
      </c>
      <c r="J2118">
        <f t="array" ref="J2118">5 - INT(5 * (RANK(G2118,G:G, 1) - 1) / COUNT(G:G))</f>
        <v>4</v>
      </c>
      <c r="K2118">
        <f t="array" ref="K2118">INT(5 * (RANK(H2118,H:H, 0) - 1) / COUNT(H:H)) + 1</f>
        <v>4</v>
      </c>
      <c r="L2118">
        <f t="array" ref="L2118">INT(5 * (RANK(I2118,I:I, 0) - 1) / COUNT(I:I)) + 1</f>
        <v>4</v>
      </c>
      <c r="M2118" t="str">
        <f t="shared" si="66"/>
        <v>444</v>
      </c>
      <c r="N2118" s="6" t="str">
        <f t="shared" si="67"/>
        <v>Others</v>
      </c>
    </row>
    <row r="2119" spans="1:14" x14ac:dyDescent="0.35">
      <c r="A2119">
        <v>1349</v>
      </c>
      <c r="B2119" s="4">
        <v>45930.375085336993</v>
      </c>
      <c r="C2119" t="s">
        <v>9</v>
      </c>
      <c r="D2119" t="s">
        <v>20</v>
      </c>
      <c r="E2119" t="s">
        <v>24</v>
      </c>
      <c r="F2119">
        <v>2989.51</v>
      </c>
      <c r="G2119">
        <f t="array" ref="G2119">SalesData!$I$2 - 'RFM Table'!B2119</f>
        <v>206</v>
      </c>
      <c r="H2119">
        <f t="array" ref="H2119">COUNTIF(A:A,A2119)</f>
        <v>8</v>
      </c>
      <c r="I2119">
        <f t="array" ref="I2119">SUMIF(A:A,A2119,F:F)</f>
        <v>24691.75</v>
      </c>
      <c r="J2119">
        <f t="array" ref="J2119">5 - INT(5 * (RANK(G2119,G:G, 1) - 1) / COUNT(G:G))</f>
        <v>4</v>
      </c>
      <c r="K2119">
        <f t="array" ref="K2119">INT(5 * (RANK(H2119,H:H, 0) - 1) / COUNT(H:H)) + 1</f>
        <v>3</v>
      </c>
      <c r="L2119">
        <f t="array" ref="L2119">INT(5 * (RANK(I2119,I:I, 0) - 1) / COUNT(I:I)) + 1</f>
        <v>4</v>
      </c>
      <c r="M2119" t="str">
        <f t="shared" si="66"/>
        <v>434</v>
      </c>
      <c r="N2119" s="6" t="str">
        <f t="shared" si="67"/>
        <v>Others</v>
      </c>
    </row>
    <row r="2120" spans="1:14" x14ac:dyDescent="0.35">
      <c r="A2120">
        <v>1314</v>
      </c>
      <c r="B2120" s="4">
        <v>45930.375085336993</v>
      </c>
      <c r="C2120" t="s">
        <v>8</v>
      </c>
      <c r="D2120" t="s">
        <v>16</v>
      </c>
      <c r="E2120" t="s">
        <v>23</v>
      </c>
      <c r="F2120">
        <v>7722.19</v>
      </c>
      <c r="G2120">
        <f t="array" ref="G2120">SalesData!$I$2 - 'RFM Table'!B2120</f>
        <v>206</v>
      </c>
      <c r="H2120">
        <f t="array" ref="H2120">COUNTIF(A:A,A2120)</f>
        <v>5</v>
      </c>
      <c r="I2120">
        <f t="array" ref="I2120">SUMIF(A:A,A2120,F:F)</f>
        <v>24865.420000000002</v>
      </c>
      <c r="J2120">
        <f t="array" ref="J2120">5 - INT(5 * (RANK(G2120,G:G, 1) - 1) / COUNT(G:G))</f>
        <v>4</v>
      </c>
      <c r="K2120">
        <f t="array" ref="K2120">INT(5 * (RANK(H2120,H:H, 0) - 1) / COUNT(H:H)) + 1</f>
        <v>5</v>
      </c>
      <c r="L2120">
        <f t="array" ref="L2120">INT(5 * (RANK(I2120,I:I, 0) - 1) / COUNT(I:I)) + 1</f>
        <v>4</v>
      </c>
      <c r="M2120" t="str">
        <f t="shared" si="66"/>
        <v>454</v>
      </c>
      <c r="N2120" s="6" t="str">
        <f t="shared" si="67"/>
        <v>Others</v>
      </c>
    </row>
    <row r="2121" spans="1:14" x14ac:dyDescent="0.35">
      <c r="A2121">
        <v>1236</v>
      </c>
      <c r="B2121" s="4">
        <v>45930.375085336993</v>
      </c>
      <c r="C2121" t="s">
        <v>6</v>
      </c>
      <c r="D2121" t="s">
        <v>18</v>
      </c>
      <c r="E2121" t="s">
        <v>25</v>
      </c>
      <c r="F2121">
        <v>7301.73</v>
      </c>
      <c r="G2121">
        <f t="array" ref="G2121">SalesData!$I$2 - 'RFM Table'!B2121</f>
        <v>206</v>
      </c>
      <c r="H2121">
        <f t="array" ref="H2121">COUNTIF(A:A,A2121)</f>
        <v>10</v>
      </c>
      <c r="I2121">
        <f t="array" ref="I2121">SUMIF(A:A,A2121,F:F)</f>
        <v>40760.559999999998</v>
      </c>
      <c r="J2121">
        <f t="array" ref="J2121">5 - INT(5 * (RANK(G2121,G:G, 1) - 1) / COUNT(G:G))</f>
        <v>4</v>
      </c>
      <c r="K2121">
        <f t="array" ref="K2121">INT(5 * (RANK(H2121,H:H, 0) - 1) / COUNT(H:H)) + 1</f>
        <v>2</v>
      </c>
      <c r="L2121">
        <f t="array" ref="L2121">INT(5 * (RANK(I2121,I:I, 0) - 1) / COUNT(I:I)) + 1</f>
        <v>2</v>
      </c>
      <c r="M2121" t="str">
        <f t="shared" si="66"/>
        <v>422</v>
      </c>
      <c r="N2121" s="6" t="str">
        <f t="shared" si="67"/>
        <v>New Customers</v>
      </c>
    </row>
    <row r="2122" spans="1:14" x14ac:dyDescent="0.35">
      <c r="A2122">
        <v>1311</v>
      </c>
      <c r="B2122" s="4">
        <v>45930.375085336993</v>
      </c>
      <c r="C2122" t="s">
        <v>14</v>
      </c>
      <c r="D2122" t="s">
        <v>17</v>
      </c>
      <c r="E2122" t="s">
        <v>24</v>
      </c>
      <c r="F2122">
        <v>2280.4699999999998</v>
      </c>
      <c r="G2122">
        <f t="array" ref="G2122">SalesData!$I$2 - 'RFM Table'!B2122</f>
        <v>206</v>
      </c>
      <c r="H2122">
        <f t="array" ref="H2122">COUNTIF(A:A,A2122)</f>
        <v>8</v>
      </c>
      <c r="I2122">
        <f t="array" ref="I2122">SUMIF(A:A,A2122,F:F)</f>
        <v>37668.22</v>
      </c>
      <c r="J2122">
        <f t="array" ref="J2122">5 - INT(5 * (RANK(G2122,G:G, 1) - 1) / COUNT(G:G))</f>
        <v>4</v>
      </c>
      <c r="K2122">
        <f t="array" ref="K2122">INT(5 * (RANK(H2122,H:H, 0) - 1) / COUNT(H:H)) + 1</f>
        <v>3</v>
      </c>
      <c r="L2122">
        <f t="array" ref="L2122">INT(5 * (RANK(I2122,I:I, 0) - 1) / COUNT(I:I)) + 1</f>
        <v>2</v>
      </c>
      <c r="M2122" t="str">
        <f t="shared" si="66"/>
        <v>432</v>
      </c>
      <c r="N2122" s="6" t="str">
        <f t="shared" si="67"/>
        <v>Others</v>
      </c>
    </row>
    <row r="2123" spans="1:14" x14ac:dyDescent="0.35">
      <c r="A2123">
        <v>1223</v>
      </c>
      <c r="B2123" s="4">
        <v>45930.375085336993</v>
      </c>
      <c r="C2123" t="s">
        <v>11</v>
      </c>
      <c r="D2123" t="s">
        <v>16</v>
      </c>
      <c r="E2123" t="s">
        <v>24</v>
      </c>
      <c r="F2123">
        <v>2972.73</v>
      </c>
      <c r="G2123">
        <f t="array" ref="G2123">SalesData!$I$2 - 'RFM Table'!B2123</f>
        <v>206</v>
      </c>
      <c r="H2123">
        <f t="array" ref="H2123">COUNTIF(A:A,A2123)</f>
        <v>12</v>
      </c>
      <c r="I2123">
        <f t="array" ref="I2123">SUMIF(A:A,A2123,F:F)</f>
        <v>40797.409999999996</v>
      </c>
      <c r="J2123">
        <f t="array" ref="J2123">5 - INT(5 * (RANK(G2123,G:G, 1) - 1) / COUNT(G:G))</f>
        <v>4</v>
      </c>
      <c r="K2123">
        <f t="array" ref="K2123">INT(5 * (RANK(H2123,H:H, 0) - 1) / COUNT(H:H)) + 1</f>
        <v>1</v>
      </c>
      <c r="L2123">
        <f t="array" ref="L2123">INT(5 * (RANK(I2123,I:I, 0) - 1) / COUNT(I:I)) + 1</f>
        <v>2</v>
      </c>
      <c r="M2123" t="str">
        <f t="shared" si="66"/>
        <v>412</v>
      </c>
      <c r="N2123" s="6" t="str">
        <f t="shared" si="67"/>
        <v>New Customers</v>
      </c>
    </row>
    <row r="2124" spans="1:14" x14ac:dyDescent="0.35">
      <c r="A2124">
        <v>1182</v>
      </c>
      <c r="B2124" s="4">
        <v>45931.375085336993</v>
      </c>
      <c r="C2124" t="s">
        <v>9</v>
      </c>
      <c r="D2124" t="s">
        <v>19</v>
      </c>
      <c r="E2124" t="s">
        <v>24</v>
      </c>
      <c r="F2124">
        <v>2032.88</v>
      </c>
      <c r="G2124">
        <f t="array" ref="G2124">SalesData!$I$2 - 'RFM Table'!B2124</f>
        <v>205</v>
      </c>
      <c r="H2124">
        <f t="array" ref="H2124">COUNTIF(A:A,A2124)</f>
        <v>7</v>
      </c>
      <c r="I2124">
        <f t="array" ref="I2124">SUMIF(A:A,A2124,F:F)</f>
        <v>20657.780000000002</v>
      </c>
      <c r="J2124">
        <f t="array" ref="J2124">5 - INT(5 * (RANK(G2124,G:G, 1) - 1) / COUNT(G:G))</f>
        <v>4</v>
      </c>
      <c r="K2124">
        <f t="array" ref="K2124">INT(5 * (RANK(H2124,H:H, 0) - 1) / COUNT(H:H)) + 1</f>
        <v>4</v>
      </c>
      <c r="L2124">
        <f t="array" ref="L2124">INT(5 * (RANK(I2124,I:I, 0) - 1) / COUNT(I:I)) + 1</f>
        <v>5</v>
      </c>
      <c r="M2124" t="str">
        <f t="shared" si="66"/>
        <v>445</v>
      </c>
      <c r="N2124" s="6" t="str">
        <f t="shared" si="67"/>
        <v>Others</v>
      </c>
    </row>
    <row r="2125" spans="1:14" x14ac:dyDescent="0.35">
      <c r="A2125">
        <v>1259</v>
      </c>
      <c r="B2125" s="4">
        <v>45931.375085336993</v>
      </c>
      <c r="C2125" t="s">
        <v>11</v>
      </c>
      <c r="D2125" t="s">
        <v>17</v>
      </c>
      <c r="E2125" t="s">
        <v>25</v>
      </c>
      <c r="F2125">
        <v>4447.8500000000004</v>
      </c>
      <c r="G2125">
        <f t="array" ref="G2125">SalesData!$I$2 - 'RFM Table'!B2125</f>
        <v>205</v>
      </c>
      <c r="H2125">
        <f t="array" ref="H2125">COUNTIF(A:A,A2125)</f>
        <v>6</v>
      </c>
      <c r="I2125">
        <f t="array" ref="I2125">SUMIF(A:A,A2125,F:F)</f>
        <v>21369.009999999995</v>
      </c>
      <c r="J2125">
        <f t="array" ref="J2125">5 - INT(5 * (RANK(G2125,G:G, 1) - 1) / COUNT(G:G))</f>
        <v>4</v>
      </c>
      <c r="K2125">
        <f t="array" ref="K2125">INT(5 * (RANK(H2125,H:H, 0) - 1) / COUNT(H:H)) + 1</f>
        <v>4</v>
      </c>
      <c r="L2125">
        <f t="array" ref="L2125">INT(5 * (RANK(I2125,I:I, 0) - 1) / COUNT(I:I)) + 1</f>
        <v>5</v>
      </c>
      <c r="M2125" t="str">
        <f t="shared" si="66"/>
        <v>445</v>
      </c>
      <c r="N2125" s="6" t="str">
        <f t="shared" si="67"/>
        <v>Others</v>
      </c>
    </row>
    <row r="2126" spans="1:14" x14ac:dyDescent="0.35">
      <c r="A2126">
        <v>1107</v>
      </c>
      <c r="B2126" s="4">
        <v>45931.375085336993</v>
      </c>
      <c r="C2126" t="s">
        <v>15</v>
      </c>
      <c r="D2126" t="s">
        <v>22</v>
      </c>
      <c r="E2126" t="s">
        <v>25</v>
      </c>
      <c r="F2126">
        <v>1931.04</v>
      </c>
      <c r="G2126">
        <f t="array" ref="G2126">SalesData!$I$2 - 'RFM Table'!B2126</f>
        <v>205</v>
      </c>
      <c r="H2126">
        <f t="array" ref="H2126">COUNTIF(A:A,A2126)</f>
        <v>9</v>
      </c>
      <c r="I2126">
        <f t="array" ref="I2126">SUMIF(A:A,A2126,F:F)</f>
        <v>56095.37999999999</v>
      </c>
      <c r="J2126">
        <f t="array" ref="J2126">5 - INT(5 * (RANK(G2126,G:G, 1) - 1) / COUNT(G:G))</f>
        <v>4</v>
      </c>
      <c r="K2126">
        <f t="array" ref="K2126">INT(5 * (RANK(H2126,H:H, 0) - 1) / COUNT(H:H)) + 1</f>
        <v>2</v>
      </c>
      <c r="L2126">
        <f t="array" ref="L2126">INT(5 * (RANK(I2126,I:I, 0) - 1) / COUNT(I:I)) + 1</f>
        <v>1</v>
      </c>
      <c r="M2126" t="str">
        <f t="shared" si="66"/>
        <v>421</v>
      </c>
      <c r="N2126" s="6" t="str">
        <f t="shared" si="67"/>
        <v>New Customers</v>
      </c>
    </row>
    <row r="2127" spans="1:14" x14ac:dyDescent="0.35">
      <c r="A2127">
        <v>1107</v>
      </c>
      <c r="B2127" s="4">
        <v>45932.375085336993</v>
      </c>
      <c r="C2127" t="s">
        <v>11</v>
      </c>
      <c r="D2127" t="s">
        <v>22</v>
      </c>
      <c r="E2127" t="s">
        <v>25</v>
      </c>
      <c r="F2127">
        <v>16658.509999999998</v>
      </c>
      <c r="G2127">
        <f t="array" ref="G2127">SalesData!$I$2 - 'RFM Table'!B2127</f>
        <v>204</v>
      </c>
      <c r="H2127">
        <f t="array" ref="H2127">COUNTIF(A:A,A2127)</f>
        <v>9</v>
      </c>
      <c r="I2127">
        <f t="array" ref="I2127">SUMIF(A:A,A2127,F:F)</f>
        <v>56095.37999999999</v>
      </c>
      <c r="J2127">
        <f t="array" ref="J2127">5 - INT(5 * (RANK(G2127,G:G, 1) - 1) / COUNT(G:G))</f>
        <v>4</v>
      </c>
      <c r="K2127">
        <f t="array" ref="K2127">INT(5 * (RANK(H2127,H:H, 0) - 1) / COUNT(H:H)) + 1</f>
        <v>2</v>
      </c>
      <c r="L2127">
        <f t="array" ref="L2127">INT(5 * (RANK(I2127,I:I, 0) - 1) / COUNT(I:I)) + 1</f>
        <v>1</v>
      </c>
      <c r="M2127" t="str">
        <f t="shared" si="66"/>
        <v>421</v>
      </c>
      <c r="N2127" s="6" t="str">
        <f t="shared" si="67"/>
        <v>New Customers</v>
      </c>
    </row>
    <row r="2128" spans="1:14" x14ac:dyDescent="0.35">
      <c r="A2128">
        <v>1058</v>
      </c>
      <c r="B2128" s="4">
        <v>45933.375085336993</v>
      </c>
      <c r="C2128" t="s">
        <v>11</v>
      </c>
      <c r="D2128" t="s">
        <v>16</v>
      </c>
      <c r="E2128" t="s">
        <v>24</v>
      </c>
      <c r="F2128">
        <v>2384.63</v>
      </c>
      <c r="G2128">
        <f t="array" ref="G2128">SalesData!$I$2 - 'RFM Table'!B2128</f>
        <v>203</v>
      </c>
      <c r="H2128">
        <f t="array" ref="H2128">COUNTIF(A:A,A2128)</f>
        <v>8</v>
      </c>
      <c r="I2128">
        <f t="array" ref="I2128">SUMIF(A:A,A2128,F:F)</f>
        <v>29892.99</v>
      </c>
      <c r="J2128">
        <f t="array" ref="J2128">5 - INT(5 * (RANK(G2128,G:G, 1) - 1) / COUNT(G:G))</f>
        <v>4</v>
      </c>
      <c r="K2128">
        <f t="array" ref="K2128">INT(5 * (RANK(H2128,H:H, 0) - 1) / COUNT(H:H)) + 1</f>
        <v>3</v>
      </c>
      <c r="L2128">
        <f t="array" ref="L2128">INT(5 * (RANK(I2128,I:I, 0) - 1) / COUNT(I:I)) + 1</f>
        <v>3</v>
      </c>
      <c r="M2128" t="str">
        <f t="shared" si="66"/>
        <v>433</v>
      </c>
      <c r="N2128" s="6" t="str">
        <f t="shared" si="67"/>
        <v>Others</v>
      </c>
    </row>
    <row r="2129" spans="1:14" x14ac:dyDescent="0.35">
      <c r="A2129">
        <v>1019</v>
      </c>
      <c r="B2129" s="4">
        <v>45933.375085336993</v>
      </c>
      <c r="C2129" t="s">
        <v>7</v>
      </c>
      <c r="D2129" t="s">
        <v>21</v>
      </c>
      <c r="E2129" t="s">
        <v>25</v>
      </c>
      <c r="F2129">
        <v>2507.29</v>
      </c>
      <c r="G2129">
        <f t="array" ref="G2129">SalesData!$I$2 - 'RFM Table'!B2129</f>
        <v>203</v>
      </c>
      <c r="H2129">
        <f t="array" ref="H2129">COUNTIF(A:A,A2129)</f>
        <v>11</v>
      </c>
      <c r="I2129">
        <f t="array" ref="I2129">SUMIF(A:A,A2129,F:F)</f>
        <v>37863.899999999994</v>
      </c>
      <c r="J2129">
        <f t="array" ref="J2129">5 - INT(5 * (RANK(G2129,G:G, 1) - 1) / COUNT(G:G))</f>
        <v>4</v>
      </c>
      <c r="K2129">
        <f t="array" ref="K2129">INT(5 * (RANK(H2129,H:H, 0) - 1) / COUNT(H:H)) + 1</f>
        <v>1</v>
      </c>
      <c r="L2129">
        <f t="array" ref="L2129">INT(5 * (RANK(I2129,I:I, 0) - 1) / COUNT(I:I)) + 1</f>
        <v>2</v>
      </c>
      <c r="M2129" t="str">
        <f t="shared" si="66"/>
        <v>412</v>
      </c>
      <c r="N2129" s="6" t="str">
        <f t="shared" si="67"/>
        <v>New Customers</v>
      </c>
    </row>
    <row r="2130" spans="1:14" x14ac:dyDescent="0.35">
      <c r="A2130">
        <v>1012</v>
      </c>
      <c r="B2130" s="4">
        <v>45933.375085336993</v>
      </c>
      <c r="C2130" t="s">
        <v>9</v>
      </c>
      <c r="D2130" t="s">
        <v>20</v>
      </c>
      <c r="E2130" t="s">
        <v>25</v>
      </c>
      <c r="F2130">
        <v>5630.36</v>
      </c>
      <c r="G2130">
        <f t="array" ref="G2130">SalesData!$I$2 - 'RFM Table'!B2130</f>
        <v>203</v>
      </c>
      <c r="H2130">
        <f t="array" ref="H2130">COUNTIF(A:A,A2130)</f>
        <v>8</v>
      </c>
      <c r="I2130">
        <f t="array" ref="I2130">SUMIF(A:A,A2130,F:F)</f>
        <v>35967.03</v>
      </c>
      <c r="J2130">
        <f t="array" ref="J2130">5 - INT(5 * (RANK(G2130,G:G, 1) - 1) / COUNT(G:G))</f>
        <v>4</v>
      </c>
      <c r="K2130">
        <f t="array" ref="K2130">INT(5 * (RANK(H2130,H:H, 0) - 1) / COUNT(H:H)) + 1</f>
        <v>3</v>
      </c>
      <c r="L2130">
        <f t="array" ref="L2130">INT(5 * (RANK(I2130,I:I, 0) - 1) / COUNT(I:I)) + 1</f>
        <v>3</v>
      </c>
      <c r="M2130" t="str">
        <f t="shared" si="66"/>
        <v>433</v>
      </c>
      <c r="N2130" s="6" t="str">
        <f t="shared" si="67"/>
        <v>Others</v>
      </c>
    </row>
    <row r="2131" spans="1:14" x14ac:dyDescent="0.35">
      <c r="A2131">
        <v>1121</v>
      </c>
      <c r="B2131" s="4">
        <v>45933.375085336993</v>
      </c>
      <c r="C2131" t="s">
        <v>6</v>
      </c>
      <c r="D2131" t="s">
        <v>18</v>
      </c>
      <c r="E2131" t="s">
        <v>23</v>
      </c>
      <c r="F2131">
        <v>8573.9699999999993</v>
      </c>
      <c r="G2131">
        <f t="array" ref="G2131">SalesData!$I$2 - 'RFM Table'!B2131</f>
        <v>203</v>
      </c>
      <c r="H2131">
        <f t="array" ref="H2131">COUNTIF(A:A,A2131)</f>
        <v>10</v>
      </c>
      <c r="I2131">
        <f t="array" ref="I2131">SUMIF(A:A,A2131,F:F)</f>
        <v>28216.130000000005</v>
      </c>
      <c r="J2131">
        <f t="array" ref="J2131">5 - INT(5 * (RANK(G2131,G:G, 1) - 1) / COUNT(G:G))</f>
        <v>4</v>
      </c>
      <c r="K2131">
        <f t="array" ref="K2131">INT(5 * (RANK(H2131,H:H, 0) - 1) / COUNT(H:H)) + 1</f>
        <v>2</v>
      </c>
      <c r="L2131">
        <f t="array" ref="L2131">INT(5 * (RANK(I2131,I:I, 0) - 1) / COUNT(I:I)) + 1</f>
        <v>4</v>
      </c>
      <c r="M2131" t="str">
        <f t="shared" si="66"/>
        <v>424</v>
      </c>
      <c r="N2131" s="6" t="str">
        <f t="shared" si="67"/>
        <v>New Customers</v>
      </c>
    </row>
    <row r="2132" spans="1:14" x14ac:dyDescent="0.35">
      <c r="A2132">
        <v>1150</v>
      </c>
      <c r="B2132" s="4">
        <v>45933.375085336993</v>
      </c>
      <c r="C2132" t="s">
        <v>11</v>
      </c>
      <c r="D2132" t="s">
        <v>18</v>
      </c>
      <c r="E2132" t="s">
        <v>23</v>
      </c>
      <c r="F2132">
        <v>1051.1600000000001</v>
      </c>
      <c r="G2132">
        <f t="array" ref="G2132">SalesData!$I$2 - 'RFM Table'!B2132</f>
        <v>203</v>
      </c>
      <c r="H2132">
        <f t="array" ref="H2132">COUNTIF(A:A,A2132)</f>
        <v>10</v>
      </c>
      <c r="I2132">
        <f t="array" ref="I2132">SUMIF(A:A,A2132,F:F)</f>
        <v>34643.039999999994</v>
      </c>
      <c r="J2132">
        <f t="array" ref="J2132">5 - INT(5 * (RANK(G2132,G:G, 1) - 1) / COUNT(G:G))</f>
        <v>4</v>
      </c>
      <c r="K2132">
        <f t="array" ref="K2132">INT(5 * (RANK(H2132,H:H, 0) - 1) / COUNT(H:H)) + 1</f>
        <v>2</v>
      </c>
      <c r="L2132">
        <f t="array" ref="L2132">INT(5 * (RANK(I2132,I:I, 0) - 1) / COUNT(I:I)) + 1</f>
        <v>3</v>
      </c>
      <c r="M2132" t="str">
        <f t="shared" si="66"/>
        <v>423</v>
      </c>
      <c r="N2132" s="6" t="str">
        <f t="shared" si="67"/>
        <v>New Customers</v>
      </c>
    </row>
    <row r="2133" spans="1:14" x14ac:dyDescent="0.35">
      <c r="A2133">
        <v>1397</v>
      </c>
      <c r="B2133" s="4">
        <v>45933.375085336993</v>
      </c>
      <c r="C2133" t="s">
        <v>11</v>
      </c>
      <c r="D2133" t="s">
        <v>20</v>
      </c>
      <c r="E2133" t="s">
        <v>23</v>
      </c>
      <c r="F2133">
        <v>2008.12</v>
      </c>
      <c r="G2133">
        <f t="array" ref="G2133">SalesData!$I$2 - 'RFM Table'!B2133</f>
        <v>203</v>
      </c>
      <c r="H2133">
        <f t="array" ref="H2133">COUNTIF(A:A,A2133)</f>
        <v>6</v>
      </c>
      <c r="I2133">
        <f t="array" ref="I2133">SUMIF(A:A,A2133,F:F)</f>
        <v>17195.870000000003</v>
      </c>
      <c r="J2133">
        <f t="array" ref="J2133">5 - INT(5 * (RANK(G2133,G:G, 1) - 1) / COUNT(G:G))</f>
        <v>4</v>
      </c>
      <c r="K2133">
        <f t="array" ref="K2133">INT(5 * (RANK(H2133,H:H, 0) - 1) / COUNT(H:H)) + 1</f>
        <v>4</v>
      </c>
      <c r="L2133">
        <f t="array" ref="L2133">INT(5 * (RANK(I2133,I:I, 0) - 1) / COUNT(I:I)) + 1</f>
        <v>5</v>
      </c>
      <c r="M2133" t="str">
        <f t="shared" si="66"/>
        <v>445</v>
      </c>
      <c r="N2133" s="6" t="str">
        <f t="shared" si="67"/>
        <v>Others</v>
      </c>
    </row>
    <row r="2134" spans="1:14" x14ac:dyDescent="0.35">
      <c r="A2134">
        <v>1148</v>
      </c>
      <c r="B2134" s="4">
        <v>45934.375085336993</v>
      </c>
      <c r="C2134" t="s">
        <v>10</v>
      </c>
      <c r="D2134" t="s">
        <v>19</v>
      </c>
      <c r="E2134" t="s">
        <v>23</v>
      </c>
      <c r="F2134">
        <v>3457.42</v>
      </c>
      <c r="G2134">
        <f t="array" ref="G2134">SalesData!$I$2 - 'RFM Table'!B2134</f>
        <v>202</v>
      </c>
      <c r="H2134">
        <f t="array" ref="H2134">COUNTIF(A:A,A2134)</f>
        <v>12</v>
      </c>
      <c r="I2134">
        <f t="array" ref="I2134">SUMIF(A:A,A2134,F:F)</f>
        <v>83986.299999999988</v>
      </c>
      <c r="J2134">
        <f t="array" ref="J2134">5 - INT(5 * (RANK(G2134,G:G, 1) - 1) / COUNT(G:G))</f>
        <v>4</v>
      </c>
      <c r="K2134">
        <f t="array" ref="K2134">INT(5 * (RANK(H2134,H:H, 0) - 1) / COUNT(H:H)) + 1</f>
        <v>1</v>
      </c>
      <c r="L2134">
        <f t="array" ref="L2134">INT(5 * (RANK(I2134,I:I, 0) - 1) / COUNT(I:I)) + 1</f>
        <v>1</v>
      </c>
      <c r="M2134" t="str">
        <f t="shared" si="66"/>
        <v>411</v>
      </c>
      <c r="N2134" s="6" t="str">
        <f t="shared" si="67"/>
        <v>New Customers</v>
      </c>
    </row>
    <row r="2135" spans="1:14" x14ac:dyDescent="0.35">
      <c r="A2135">
        <v>1075</v>
      </c>
      <c r="B2135" s="4">
        <v>45934.375085336993</v>
      </c>
      <c r="C2135" t="s">
        <v>14</v>
      </c>
      <c r="D2135" t="s">
        <v>16</v>
      </c>
      <c r="E2135" t="s">
        <v>23</v>
      </c>
      <c r="F2135">
        <v>1373.98</v>
      </c>
      <c r="G2135">
        <f t="array" ref="G2135">SalesData!$I$2 - 'RFM Table'!B2135</f>
        <v>202</v>
      </c>
      <c r="H2135">
        <f t="array" ref="H2135">COUNTIF(A:A,A2135)</f>
        <v>8</v>
      </c>
      <c r="I2135">
        <f t="array" ref="I2135">SUMIF(A:A,A2135,F:F)</f>
        <v>27084.66</v>
      </c>
      <c r="J2135">
        <f t="array" ref="J2135">5 - INT(5 * (RANK(G2135,G:G, 1) - 1) / COUNT(G:G))</f>
        <v>4</v>
      </c>
      <c r="K2135">
        <f t="array" ref="K2135">INT(5 * (RANK(H2135,H:H, 0) - 1) / COUNT(H:H)) + 1</f>
        <v>3</v>
      </c>
      <c r="L2135">
        <f t="array" ref="L2135">INT(5 * (RANK(I2135,I:I, 0) - 1) / COUNT(I:I)) + 1</f>
        <v>4</v>
      </c>
      <c r="M2135" t="str">
        <f t="shared" si="66"/>
        <v>434</v>
      </c>
      <c r="N2135" s="6" t="str">
        <f t="shared" si="67"/>
        <v>Others</v>
      </c>
    </row>
    <row r="2136" spans="1:14" x14ac:dyDescent="0.35">
      <c r="A2136">
        <v>1203</v>
      </c>
      <c r="B2136" s="4">
        <v>45934.375085336993</v>
      </c>
      <c r="C2136" t="s">
        <v>12</v>
      </c>
      <c r="D2136" t="s">
        <v>17</v>
      </c>
      <c r="E2136" t="s">
        <v>25</v>
      </c>
      <c r="F2136">
        <v>9228.7900000000009</v>
      </c>
      <c r="G2136">
        <f t="array" ref="G2136">SalesData!$I$2 - 'RFM Table'!B2136</f>
        <v>202</v>
      </c>
      <c r="H2136">
        <f t="array" ref="H2136">COUNTIF(A:A,A2136)</f>
        <v>4</v>
      </c>
      <c r="I2136">
        <f t="array" ref="I2136">SUMIF(A:A,A2136,F:F)</f>
        <v>18725.21</v>
      </c>
      <c r="J2136">
        <f t="array" ref="J2136">5 - INT(5 * (RANK(G2136,G:G, 1) - 1) / COUNT(G:G))</f>
        <v>4</v>
      </c>
      <c r="K2136">
        <f t="array" ref="K2136">INT(5 * (RANK(H2136,H:H, 0) - 1) / COUNT(H:H)) + 1</f>
        <v>5</v>
      </c>
      <c r="L2136">
        <f t="array" ref="L2136">INT(5 * (RANK(I2136,I:I, 0) - 1) / COUNT(I:I)) + 1</f>
        <v>5</v>
      </c>
      <c r="M2136" t="str">
        <f t="shared" si="66"/>
        <v>455</v>
      </c>
      <c r="N2136" s="6" t="str">
        <f t="shared" si="67"/>
        <v>Others</v>
      </c>
    </row>
    <row r="2137" spans="1:14" x14ac:dyDescent="0.35">
      <c r="A2137">
        <v>1371</v>
      </c>
      <c r="B2137" s="4">
        <v>45934.375085336993</v>
      </c>
      <c r="C2137" t="s">
        <v>7</v>
      </c>
      <c r="D2137" t="s">
        <v>16</v>
      </c>
      <c r="E2137" t="s">
        <v>23</v>
      </c>
      <c r="F2137">
        <v>1237.3699999999999</v>
      </c>
      <c r="G2137">
        <f t="array" ref="G2137">SalesData!$I$2 - 'RFM Table'!B2137</f>
        <v>202</v>
      </c>
      <c r="H2137">
        <f t="array" ref="H2137">COUNTIF(A:A,A2137)</f>
        <v>4</v>
      </c>
      <c r="I2137">
        <f t="array" ref="I2137">SUMIF(A:A,A2137,F:F)</f>
        <v>6852.89</v>
      </c>
      <c r="J2137">
        <f t="array" ref="J2137">5 - INT(5 * (RANK(G2137,G:G, 1) - 1) / COUNT(G:G))</f>
        <v>4</v>
      </c>
      <c r="K2137">
        <f t="array" ref="K2137">INT(5 * (RANK(H2137,H:H, 0) - 1) / COUNT(H:H)) + 1</f>
        <v>5</v>
      </c>
      <c r="L2137">
        <f t="array" ref="L2137">INT(5 * (RANK(I2137,I:I, 0) - 1) / COUNT(I:I)) + 1</f>
        <v>5</v>
      </c>
      <c r="M2137" t="str">
        <f t="shared" si="66"/>
        <v>455</v>
      </c>
      <c r="N2137" s="6" t="str">
        <f t="shared" si="67"/>
        <v>Others</v>
      </c>
    </row>
    <row r="2138" spans="1:14" x14ac:dyDescent="0.35">
      <c r="A2138">
        <v>1221</v>
      </c>
      <c r="B2138" s="4">
        <v>45934.375085336993</v>
      </c>
      <c r="C2138" t="s">
        <v>9</v>
      </c>
      <c r="D2138" t="s">
        <v>18</v>
      </c>
      <c r="E2138" t="s">
        <v>24</v>
      </c>
      <c r="F2138">
        <v>7122.6</v>
      </c>
      <c r="G2138">
        <f t="array" ref="G2138">SalesData!$I$2 - 'RFM Table'!B2138</f>
        <v>202</v>
      </c>
      <c r="H2138">
        <f t="array" ref="H2138">COUNTIF(A:A,A2138)</f>
        <v>8</v>
      </c>
      <c r="I2138">
        <f t="array" ref="I2138">SUMIF(A:A,A2138,F:F)</f>
        <v>38894.44</v>
      </c>
      <c r="J2138">
        <f t="array" ref="J2138">5 - INT(5 * (RANK(G2138,G:G, 1) - 1) / COUNT(G:G))</f>
        <v>4</v>
      </c>
      <c r="K2138">
        <f t="array" ref="K2138">INT(5 * (RANK(H2138,H:H, 0) - 1) / COUNT(H:H)) + 1</f>
        <v>3</v>
      </c>
      <c r="L2138">
        <f t="array" ref="L2138">INT(5 * (RANK(I2138,I:I, 0) - 1) / COUNT(I:I)) + 1</f>
        <v>2</v>
      </c>
      <c r="M2138" t="str">
        <f t="shared" si="66"/>
        <v>432</v>
      </c>
      <c r="N2138" s="6" t="str">
        <f t="shared" si="67"/>
        <v>Others</v>
      </c>
    </row>
    <row r="2139" spans="1:14" x14ac:dyDescent="0.35">
      <c r="A2139">
        <v>1089</v>
      </c>
      <c r="B2139" s="4">
        <v>45934.375085336993</v>
      </c>
      <c r="C2139" t="s">
        <v>15</v>
      </c>
      <c r="D2139" t="s">
        <v>19</v>
      </c>
      <c r="E2139" t="s">
        <v>24</v>
      </c>
      <c r="F2139">
        <v>3649.4</v>
      </c>
      <c r="G2139">
        <f t="array" ref="G2139">SalesData!$I$2 - 'RFM Table'!B2139</f>
        <v>202</v>
      </c>
      <c r="H2139">
        <f t="array" ref="H2139">COUNTIF(A:A,A2139)</f>
        <v>10</v>
      </c>
      <c r="I2139">
        <f t="array" ref="I2139">SUMIF(A:A,A2139,F:F)</f>
        <v>36855.5</v>
      </c>
      <c r="J2139">
        <f t="array" ref="J2139">5 - INT(5 * (RANK(G2139,G:G, 1) - 1) / COUNT(G:G))</f>
        <v>4</v>
      </c>
      <c r="K2139">
        <f t="array" ref="K2139">INT(5 * (RANK(H2139,H:H, 0) - 1) / COUNT(H:H)) + 1</f>
        <v>2</v>
      </c>
      <c r="L2139">
        <f t="array" ref="L2139">INT(5 * (RANK(I2139,I:I, 0) - 1) / COUNT(I:I)) + 1</f>
        <v>2</v>
      </c>
      <c r="M2139" t="str">
        <f t="shared" si="66"/>
        <v>422</v>
      </c>
      <c r="N2139" s="6" t="str">
        <f t="shared" si="67"/>
        <v>New Customers</v>
      </c>
    </row>
    <row r="2140" spans="1:14" x14ac:dyDescent="0.35">
      <c r="A2140">
        <v>1137</v>
      </c>
      <c r="B2140" s="4">
        <v>45935.375085336993</v>
      </c>
      <c r="C2140" t="s">
        <v>11</v>
      </c>
      <c r="D2140" t="s">
        <v>20</v>
      </c>
      <c r="E2140" t="s">
        <v>25</v>
      </c>
      <c r="F2140">
        <v>5505.03</v>
      </c>
      <c r="G2140">
        <f t="array" ref="G2140">SalesData!$I$2 - 'RFM Table'!B2140</f>
        <v>201</v>
      </c>
      <c r="H2140">
        <f t="array" ref="H2140">COUNTIF(A:A,A2140)</f>
        <v>5</v>
      </c>
      <c r="I2140">
        <f t="array" ref="I2140">SUMIF(A:A,A2140,F:F)</f>
        <v>18024.71</v>
      </c>
      <c r="J2140">
        <f t="array" ref="J2140">5 - INT(5 * (RANK(G2140,G:G, 1) - 1) / COUNT(G:G))</f>
        <v>4</v>
      </c>
      <c r="K2140">
        <f t="array" ref="K2140">INT(5 * (RANK(H2140,H:H, 0) - 1) / COUNT(H:H)) + 1</f>
        <v>5</v>
      </c>
      <c r="L2140">
        <f t="array" ref="L2140">INT(5 * (RANK(I2140,I:I, 0) - 1) / COUNT(I:I)) + 1</f>
        <v>5</v>
      </c>
      <c r="M2140" t="str">
        <f t="shared" si="66"/>
        <v>455</v>
      </c>
      <c r="N2140" s="6" t="str">
        <f t="shared" si="67"/>
        <v>Others</v>
      </c>
    </row>
    <row r="2141" spans="1:14" x14ac:dyDescent="0.35">
      <c r="A2141">
        <v>1123</v>
      </c>
      <c r="B2141" s="4">
        <v>45935.375085336993</v>
      </c>
      <c r="C2141" t="s">
        <v>6</v>
      </c>
      <c r="D2141" t="s">
        <v>21</v>
      </c>
      <c r="E2141" t="s">
        <v>25</v>
      </c>
      <c r="F2141">
        <v>6119.33</v>
      </c>
      <c r="G2141">
        <f t="array" ref="G2141">SalesData!$I$2 - 'RFM Table'!B2141</f>
        <v>201</v>
      </c>
      <c r="H2141">
        <f t="array" ref="H2141">COUNTIF(A:A,A2141)</f>
        <v>6</v>
      </c>
      <c r="I2141">
        <f t="array" ref="I2141">SUMIF(A:A,A2141,F:F)</f>
        <v>26817.25</v>
      </c>
      <c r="J2141">
        <f t="array" ref="J2141">5 - INT(5 * (RANK(G2141,G:G, 1) - 1) / COUNT(G:G))</f>
        <v>4</v>
      </c>
      <c r="K2141">
        <f t="array" ref="K2141">INT(5 * (RANK(H2141,H:H, 0) - 1) / COUNT(H:H)) + 1</f>
        <v>4</v>
      </c>
      <c r="L2141">
        <f t="array" ref="L2141">INT(5 * (RANK(I2141,I:I, 0) - 1) / COUNT(I:I)) + 1</f>
        <v>4</v>
      </c>
      <c r="M2141" t="str">
        <f t="shared" si="66"/>
        <v>444</v>
      </c>
      <c r="N2141" s="6" t="str">
        <f t="shared" si="67"/>
        <v>Others</v>
      </c>
    </row>
    <row r="2142" spans="1:14" x14ac:dyDescent="0.35">
      <c r="A2142">
        <v>1356</v>
      </c>
      <c r="B2142" s="4">
        <v>45935.375085336993</v>
      </c>
      <c r="C2142" t="s">
        <v>14</v>
      </c>
      <c r="D2142" t="s">
        <v>17</v>
      </c>
      <c r="E2142" t="s">
        <v>25</v>
      </c>
      <c r="F2142">
        <v>2435.96</v>
      </c>
      <c r="G2142">
        <f t="array" ref="G2142">SalesData!$I$2 - 'RFM Table'!B2142</f>
        <v>201</v>
      </c>
      <c r="H2142">
        <f t="array" ref="H2142">COUNTIF(A:A,A2142)</f>
        <v>5</v>
      </c>
      <c r="I2142">
        <f t="array" ref="I2142">SUMIF(A:A,A2142,F:F)</f>
        <v>19401.64</v>
      </c>
      <c r="J2142">
        <f t="array" ref="J2142">5 - INT(5 * (RANK(G2142,G:G, 1) - 1) / COUNT(G:G))</f>
        <v>4</v>
      </c>
      <c r="K2142">
        <f t="array" ref="K2142">INT(5 * (RANK(H2142,H:H, 0) - 1) / COUNT(H:H)) + 1</f>
        <v>5</v>
      </c>
      <c r="L2142">
        <f t="array" ref="L2142">INT(5 * (RANK(I2142,I:I, 0) - 1) / COUNT(I:I)) + 1</f>
        <v>5</v>
      </c>
      <c r="M2142" t="str">
        <f t="shared" si="66"/>
        <v>455</v>
      </c>
      <c r="N2142" s="6" t="str">
        <f t="shared" si="67"/>
        <v>Others</v>
      </c>
    </row>
    <row r="2143" spans="1:14" x14ac:dyDescent="0.35">
      <c r="A2143">
        <v>1013</v>
      </c>
      <c r="B2143" s="4">
        <v>45935.375085336993</v>
      </c>
      <c r="C2143" t="s">
        <v>12</v>
      </c>
      <c r="D2143" t="s">
        <v>22</v>
      </c>
      <c r="E2143" t="s">
        <v>25</v>
      </c>
      <c r="F2143">
        <v>10860.64</v>
      </c>
      <c r="G2143">
        <f t="array" ref="G2143">SalesData!$I$2 - 'RFM Table'!B2143</f>
        <v>201</v>
      </c>
      <c r="H2143">
        <f t="array" ref="H2143">COUNTIF(A:A,A2143)</f>
        <v>14</v>
      </c>
      <c r="I2143">
        <f t="array" ref="I2143">SUMIF(A:A,A2143,F:F)</f>
        <v>60099.840000000004</v>
      </c>
      <c r="J2143">
        <f t="array" ref="J2143">5 - INT(5 * (RANK(G2143,G:G, 1) - 1) / COUNT(G:G))</f>
        <v>4</v>
      </c>
      <c r="K2143">
        <f t="array" ref="K2143">INT(5 * (RANK(H2143,H:H, 0) - 1) / COUNT(H:H)) + 1</f>
        <v>1</v>
      </c>
      <c r="L2143">
        <f t="array" ref="L2143">INT(5 * (RANK(I2143,I:I, 0) - 1) / COUNT(I:I)) + 1</f>
        <v>1</v>
      </c>
      <c r="M2143" t="str">
        <f t="shared" si="66"/>
        <v>411</v>
      </c>
      <c r="N2143" s="6" t="str">
        <f t="shared" si="67"/>
        <v>New Customers</v>
      </c>
    </row>
    <row r="2144" spans="1:14" x14ac:dyDescent="0.35">
      <c r="A2144">
        <v>1064</v>
      </c>
      <c r="B2144" s="4">
        <v>45935.375085336993</v>
      </c>
      <c r="C2144" t="s">
        <v>6</v>
      </c>
      <c r="D2144" t="s">
        <v>17</v>
      </c>
      <c r="E2144" t="s">
        <v>24</v>
      </c>
      <c r="F2144">
        <v>5784.21</v>
      </c>
      <c r="G2144">
        <f t="array" ref="G2144">SalesData!$I$2 - 'RFM Table'!B2144</f>
        <v>201</v>
      </c>
      <c r="H2144">
        <f t="array" ref="H2144">COUNTIF(A:A,A2144)</f>
        <v>6</v>
      </c>
      <c r="I2144">
        <f t="array" ref="I2144">SUMIF(A:A,A2144,F:F)</f>
        <v>30683.43</v>
      </c>
      <c r="J2144">
        <f t="array" ref="J2144">5 - INT(5 * (RANK(G2144,G:G, 1) - 1) / COUNT(G:G))</f>
        <v>4</v>
      </c>
      <c r="K2144">
        <f t="array" ref="K2144">INT(5 * (RANK(H2144,H:H, 0) - 1) / COUNT(H:H)) + 1</f>
        <v>4</v>
      </c>
      <c r="L2144">
        <f t="array" ref="L2144">INT(5 * (RANK(I2144,I:I, 0) - 1) / COUNT(I:I)) + 1</f>
        <v>3</v>
      </c>
      <c r="M2144" t="str">
        <f t="shared" si="66"/>
        <v>443</v>
      </c>
      <c r="N2144" s="6" t="str">
        <f t="shared" si="67"/>
        <v>Others</v>
      </c>
    </row>
    <row r="2145" spans="1:14" x14ac:dyDescent="0.35">
      <c r="A2145">
        <v>1335</v>
      </c>
      <c r="B2145" s="4">
        <v>45936.375085336993</v>
      </c>
      <c r="C2145" t="s">
        <v>6</v>
      </c>
      <c r="D2145" t="s">
        <v>21</v>
      </c>
      <c r="E2145" t="s">
        <v>23</v>
      </c>
      <c r="F2145">
        <v>9634.35</v>
      </c>
      <c r="G2145">
        <f t="array" ref="G2145">SalesData!$I$2 - 'RFM Table'!B2145</f>
        <v>200</v>
      </c>
      <c r="H2145">
        <f t="array" ref="H2145">COUNTIF(A:A,A2145)</f>
        <v>8</v>
      </c>
      <c r="I2145">
        <f t="array" ref="I2145">SUMIF(A:A,A2145,F:F)</f>
        <v>31568.060000000005</v>
      </c>
      <c r="J2145">
        <f t="array" ref="J2145">5 - INT(5 * (RANK(G2145,G:G, 1) - 1) / COUNT(G:G))</f>
        <v>4</v>
      </c>
      <c r="K2145">
        <f t="array" ref="K2145">INT(5 * (RANK(H2145,H:H, 0) - 1) / COUNT(H:H)) + 1</f>
        <v>3</v>
      </c>
      <c r="L2145">
        <f t="array" ref="L2145">INT(5 * (RANK(I2145,I:I, 0) - 1) / COUNT(I:I)) + 1</f>
        <v>3</v>
      </c>
      <c r="M2145" t="str">
        <f t="shared" si="66"/>
        <v>433</v>
      </c>
      <c r="N2145" s="6" t="str">
        <f t="shared" si="67"/>
        <v>Others</v>
      </c>
    </row>
    <row r="2146" spans="1:14" x14ac:dyDescent="0.35">
      <c r="A2146">
        <v>1224</v>
      </c>
      <c r="B2146" s="4">
        <v>45937.375085336993</v>
      </c>
      <c r="C2146" t="s">
        <v>12</v>
      </c>
      <c r="D2146" t="s">
        <v>17</v>
      </c>
      <c r="E2146" t="s">
        <v>23</v>
      </c>
      <c r="F2146">
        <v>2838.92</v>
      </c>
      <c r="G2146">
        <f t="array" ref="G2146">SalesData!$I$2 - 'RFM Table'!B2146</f>
        <v>199</v>
      </c>
      <c r="H2146">
        <f t="array" ref="H2146">COUNTIF(A:A,A2146)</f>
        <v>7</v>
      </c>
      <c r="I2146">
        <f t="array" ref="I2146">SUMIF(A:A,A2146,F:F)</f>
        <v>24825.78</v>
      </c>
      <c r="J2146">
        <f t="array" ref="J2146">5 - INT(5 * (RANK(G2146,G:G, 1) - 1) / COUNT(G:G))</f>
        <v>4</v>
      </c>
      <c r="K2146">
        <f t="array" ref="K2146">INT(5 * (RANK(H2146,H:H, 0) - 1) / COUNT(H:H)) + 1</f>
        <v>4</v>
      </c>
      <c r="L2146">
        <f t="array" ref="L2146">INT(5 * (RANK(I2146,I:I, 0) - 1) / COUNT(I:I)) + 1</f>
        <v>4</v>
      </c>
      <c r="M2146" t="str">
        <f t="shared" si="66"/>
        <v>444</v>
      </c>
      <c r="N2146" s="6" t="str">
        <f t="shared" si="67"/>
        <v>Others</v>
      </c>
    </row>
    <row r="2147" spans="1:14" x14ac:dyDescent="0.35">
      <c r="A2147">
        <v>1043</v>
      </c>
      <c r="B2147" s="4">
        <v>45937.375085336993</v>
      </c>
      <c r="C2147" t="s">
        <v>12</v>
      </c>
      <c r="D2147" t="s">
        <v>19</v>
      </c>
      <c r="E2147" t="s">
        <v>23</v>
      </c>
      <c r="F2147">
        <v>4755.62</v>
      </c>
      <c r="G2147">
        <f t="array" ref="G2147">SalesData!$I$2 - 'RFM Table'!B2147</f>
        <v>199</v>
      </c>
      <c r="H2147">
        <f t="array" ref="H2147">COUNTIF(A:A,A2147)</f>
        <v>7</v>
      </c>
      <c r="I2147">
        <f t="array" ref="I2147">SUMIF(A:A,A2147,F:F)</f>
        <v>20627.900000000001</v>
      </c>
      <c r="J2147">
        <f t="array" ref="J2147">5 - INT(5 * (RANK(G2147,G:G, 1) - 1) / COUNT(G:G))</f>
        <v>4</v>
      </c>
      <c r="K2147">
        <f t="array" ref="K2147">INT(5 * (RANK(H2147,H:H, 0) - 1) / COUNT(H:H)) + 1</f>
        <v>4</v>
      </c>
      <c r="L2147">
        <f t="array" ref="L2147">INT(5 * (RANK(I2147,I:I, 0) - 1) / COUNT(I:I)) + 1</f>
        <v>5</v>
      </c>
      <c r="M2147" t="str">
        <f t="shared" si="66"/>
        <v>445</v>
      </c>
      <c r="N2147" s="6" t="str">
        <f t="shared" si="67"/>
        <v>Others</v>
      </c>
    </row>
    <row r="2148" spans="1:14" x14ac:dyDescent="0.35">
      <c r="A2148">
        <v>1152</v>
      </c>
      <c r="B2148" s="4">
        <v>45937.375085336993</v>
      </c>
      <c r="C2148" t="s">
        <v>15</v>
      </c>
      <c r="D2148" t="s">
        <v>18</v>
      </c>
      <c r="E2148" t="s">
        <v>23</v>
      </c>
      <c r="F2148">
        <v>2019.19</v>
      </c>
      <c r="G2148">
        <f t="array" ref="G2148">SalesData!$I$2 - 'RFM Table'!B2148</f>
        <v>199</v>
      </c>
      <c r="H2148">
        <f t="array" ref="H2148">COUNTIF(A:A,A2148)</f>
        <v>9</v>
      </c>
      <c r="I2148">
        <f t="array" ref="I2148">SUMIF(A:A,A2148,F:F)</f>
        <v>34982.139999999992</v>
      </c>
      <c r="J2148">
        <f t="array" ref="J2148">5 - INT(5 * (RANK(G2148,G:G, 1) - 1) / COUNT(G:G))</f>
        <v>4</v>
      </c>
      <c r="K2148">
        <f t="array" ref="K2148">INT(5 * (RANK(H2148,H:H, 0) - 1) / COUNT(H:H)) + 1</f>
        <v>2</v>
      </c>
      <c r="L2148">
        <f t="array" ref="L2148">INT(5 * (RANK(I2148,I:I, 0) - 1) / COUNT(I:I)) + 1</f>
        <v>3</v>
      </c>
      <c r="M2148" t="str">
        <f t="shared" si="66"/>
        <v>423</v>
      </c>
      <c r="N2148" s="6" t="str">
        <f t="shared" si="67"/>
        <v>New Customers</v>
      </c>
    </row>
    <row r="2149" spans="1:14" x14ac:dyDescent="0.35">
      <c r="A2149">
        <v>1255</v>
      </c>
      <c r="B2149" s="4">
        <v>45937.375085336993</v>
      </c>
      <c r="C2149" t="s">
        <v>12</v>
      </c>
      <c r="D2149" t="s">
        <v>20</v>
      </c>
      <c r="E2149" t="s">
        <v>24</v>
      </c>
      <c r="F2149">
        <v>1312.04</v>
      </c>
      <c r="G2149">
        <f t="array" ref="G2149">SalesData!$I$2 - 'RFM Table'!B2149</f>
        <v>199</v>
      </c>
      <c r="H2149">
        <f t="array" ref="H2149">COUNTIF(A:A,A2149)</f>
        <v>8</v>
      </c>
      <c r="I2149">
        <f t="array" ref="I2149">SUMIF(A:A,A2149,F:F)</f>
        <v>33838.019999999997</v>
      </c>
      <c r="J2149">
        <f t="array" ref="J2149">5 - INT(5 * (RANK(G2149,G:G, 1) - 1) / COUNT(G:G))</f>
        <v>4</v>
      </c>
      <c r="K2149">
        <f t="array" ref="K2149">INT(5 * (RANK(H2149,H:H, 0) - 1) / COUNT(H:H)) + 1</f>
        <v>3</v>
      </c>
      <c r="L2149">
        <f t="array" ref="L2149">INT(5 * (RANK(I2149,I:I, 0) - 1) / COUNT(I:I)) + 1</f>
        <v>3</v>
      </c>
      <c r="M2149" t="str">
        <f t="shared" si="66"/>
        <v>433</v>
      </c>
      <c r="N2149" s="6" t="str">
        <f t="shared" si="67"/>
        <v>Others</v>
      </c>
    </row>
    <row r="2150" spans="1:14" x14ac:dyDescent="0.35">
      <c r="A2150">
        <v>1147</v>
      </c>
      <c r="B2150" s="4">
        <v>45938.375085336993</v>
      </c>
      <c r="C2150" t="s">
        <v>11</v>
      </c>
      <c r="D2150" t="s">
        <v>22</v>
      </c>
      <c r="E2150" t="s">
        <v>24</v>
      </c>
      <c r="F2150">
        <v>4870.3100000000004</v>
      </c>
      <c r="G2150">
        <f t="array" ref="G2150">SalesData!$I$2 - 'RFM Table'!B2150</f>
        <v>198</v>
      </c>
      <c r="H2150">
        <f t="array" ref="H2150">COUNTIF(A:A,A2150)</f>
        <v>9</v>
      </c>
      <c r="I2150">
        <f t="array" ref="I2150">SUMIF(A:A,A2150,F:F)</f>
        <v>31221.600000000002</v>
      </c>
      <c r="J2150">
        <f t="array" ref="J2150">5 - INT(5 * (RANK(G2150,G:G, 1) - 1) / COUNT(G:G))</f>
        <v>4</v>
      </c>
      <c r="K2150">
        <f t="array" ref="K2150">INT(5 * (RANK(H2150,H:H, 0) - 1) / COUNT(H:H)) + 1</f>
        <v>2</v>
      </c>
      <c r="L2150">
        <f t="array" ref="L2150">INT(5 * (RANK(I2150,I:I, 0) - 1) / COUNT(I:I)) + 1</f>
        <v>3</v>
      </c>
      <c r="M2150" t="str">
        <f t="shared" si="66"/>
        <v>423</v>
      </c>
      <c r="N2150" s="6" t="str">
        <f t="shared" si="67"/>
        <v>New Customers</v>
      </c>
    </row>
    <row r="2151" spans="1:14" x14ac:dyDescent="0.35">
      <c r="A2151">
        <v>1179</v>
      </c>
      <c r="B2151" s="4">
        <v>45938.375085336993</v>
      </c>
      <c r="C2151" t="s">
        <v>7</v>
      </c>
      <c r="D2151" t="s">
        <v>22</v>
      </c>
      <c r="E2151" t="s">
        <v>25</v>
      </c>
      <c r="F2151">
        <v>5822.65</v>
      </c>
      <c r="G2151">
        <f t="array" ref="G2151">SalesData!$I$2 - 'RFM Table'!B2151</f>
        <v>198</v>
      </c>
      <c r="H2151">
        <f t="array" ref="H2151">COUNTIF(A:A,A2151)</f>
        <v>7</v>
      </c>
      <c r="I2151">
        <f t="array" ref="I2151">SUMIF(A:A,A2151,F:F)</f>
        <v>25906.9</v>
      </c>
      <c r="J2151">
        <f t="array" ref="J2151">5 - INT(5 * (RANK(G2151,G:G, 1) - 1) / COUNT(G:G))</f>
        <v>4</v>
      </c>
      <c r="K2151">
        <f t="array" ref="K2151">INT(5 * (RANK(H2151,H:H, 0) - 1) / COUNT(H:H)) + 1</f>
        <v>4</v>
      </c>
      <c r="L2151">
        <f t="array" ref="L2151">INT(5 * (RANK(I2151,I:I, 0) - 1) / COUNT(I:I)) + 1</f>
        <v>4</v>
      </c>
      <c r="M2151" t="str">
        <f t="shared" si="66"/>
        <v>444</v>
      </c>
      <c r="N2151" s="6" t="str">
        <f t="shared" si="67"/>
        <v>Others</v>
      </c>
    </row>
    <row r="2152" spans="1:14" x14ac:dyDescent="0.35">
      <c r="A2152">
        <v>1110</v>
      </c>
      <c r="B2152" s="4">
        <v>45938.375085336993</v>
      </c>
      <c r="C2152" t="s">
        <v>15</v>
      </c>
      <c r="D2152" t="s">
        <v>20</v>
      </c>
      <c r="E2152" t="s">
        <v>24</v>
      </c>
      <c r="F2152">
        <v>4655.5600000000004</v>
      </c>
      <c r="G2152">
        <f t="array" ref="G2152">SalesData!$I$2 - 'RFM Table'!B2152</f>
        <v>198</v>
      </c>
      <c r="H2152">
        <f t="array" ref="H2152">COUNTIF(A:A,A2152)</f>
        <v>13</v>
      </c>
      <c r="I2152">
        <f t="array" ref="I2152">SUMIF(A:A,A2152,F:F)</f>
        <v>72511.88</v>
      </c>
      <c r="J2152">
        <f t="array" ref="J2152">5 - INT(5 * (RANK(G2152,G:G, 1) - 1) / COUNT(G:G))</f>
        <v>4</v>
      </c>
      <c r="K2152">
        <f t="array" ref="K2152">INT(5 * (RANK(H2152,H:H, 0) - 1) / COUNT(H:H)) + 1</f>
        <v>1</v>
      </c>
      <c r="L2152">
        <f t="array" ref="L2152">INT(5 * (RANK(I2152,I:I, 0) - 1) / COUNT(I:I)) + 1</f>
        <v>1</v>
      </c>
      <c r="M2152" t="str">
        <f t="shared" si="66"/>
        <v>411</v>
      </c>
      <c r="N2152" s="6" t="str">
        <f t="shared" si="67"/>
        <v>New Customers</v>
      </c>
    </row>
    <row r="2153" spans="1:14" x14ac:dyDescent="0.35">
      <c r="A2153">
        <v>1190</v>
      </c>
      <c r="B2153" s="4">
        <v>45938.375085336993</v>
      </c>
      <c r="C2153" t="s">
        <v>13</v>
      </c>
      <c r="D2153" t="s">
        <v>20</v>
      </c>
      <c r="E2153" t="s">
        <v>24</v>
      </c>
      <c r="F2153">
        <v>2811.13</v>
      </c>
      <c r="G2153">
        <f t="array" ref="G2153">SalesData!$I$2 - 'RFM Table'!B2153</f>
        <v>198</v>
      </c>
      <c r="H2153">
        <f t="array" ref="H2153">COUNTIF(A:A,A2153)</f>
        <v>7</v>
      </c>
      <c r="I2153">
        <f t="array" ref="I2153">SUMIF(A:A,A2153,F:F)</f>
        <v>21031.63</v>
      </c>
      <c r="J2153">
        <f t="array" ref="J2153">5 - INT(5 * (RANK(G2153,G:G, 1) - 1) / COUNT(G:G))</f>
        <v>4</v>
      </c>
      <c r="K2153">
        <f t="array" ref="K2153">INT(5 * (RANK(H2153,H:H, 0) - 1) / COUNT(H:H)) + 1</f>
        <v>4</v>
      </c>
      <c r="L2153">
        <f t="array" ref="L2153">INT(5 * (RANK(I2153,I:I, 0) - 1) / COUNT(I:I)) + 1</f>
        <v>5</v>
      </c>
      <c r="M2153" t="str">
        <f t="shared" si="66"/>
        <v>445</v>
      </c>
      <c r="N2153" s="6" t="str">
        <f t="shared" si="67"/>
        <v>Others</v>
      </c>
    </row>
    <row r="2154" spans="1:14" x14ac:dyDescent="0.35">
      <c r="A2154">
        <v>1371</v>
      </c>
      <c r="B2154" s="4">
        <v>45938.375085336993</v>
      </c>
      <c r="C2154" t="s">
        <v>6</v>
      </c>
      <c r="D2154" t="s">
        <v>16</v>
      </c>
      <c r="E2154" t="s">
        <v>23</v>
      </c>
      <c r="F2154">
        <v>3804.14</v>
      </c>
      <c r="G2154">
        <f t="array" ref="G2154">SalesData!$I$2 - 'RFM Table'!B2154</f>
        <v>198</v>
      </c>
      <c r="H2154">
        <f t="array" ref="H2154">COUNTIF(A:A,A2154)</f>
        <v>4</v>
      </c>
      <c r="I2154">
        <f t="array" ref="I2154">SUMIF(A:A,A2154,F:F)</f>
        <v>6852.89</v>
      </c>
      <c r="J2154">
        <f t="array" ref="J2154">5 - INT(5 * (RANK(G2154,G:G, 1) - 1) / COUNT(G:G))</f>
        <v>4</v>
      </c>
      <c r="K2154">
        <f t="array" ref="K2154">INT(5 * (RANK(H2154,H:H, 0) - 1) / COUNT(H:H)) + 1</f>
        <v>5</v>
      </c>
      <c r="L2154">
        <f t="array" ref="L2154">INT(5 * (RANK(I2154,I:I, 0) - 1) / COUNT(I:I)) + 1</f>
        <v>5</v>
      </c>
      <c r="M2154" t="str">
        <f t="shared" si="66"/>
        <v>455</v>
      </c>
      <c r="N2154" s="6" t="str">
        <f t="shared" si="67"/>
        <v>Others</v>
      </c>
    </row>
    <row r="2155" spans="1:14" x14ac:dyDescent="0.35">
      <c r="A2155">
        <v>1339</v>
      </c>
      <c r="B2155" s="4">
        <v>45938.375085336993</v>
      </c>
      <c r="C2155" t="s">
        <v>12</v>
      </c>
      <c r="D2155" t="s">
        <v>17</v>
      </c>
      <c r="E2155" t="s">
        <v>25</v>
      </c>
      <c r="F2155">
        <v>4961.18</v>
      </c>
      <c r="G2155">
        <f t="array" ref="G2155">SalesData!$I$2 - 'RFM Table'!B2155</f>
        <v>198</v>
      </c>
      <c r="H2155">
        <f t="array" ref="H2155">COUNTIF(A:A,A2155)</f>
        <v>8</v>
      </c>
      <c r="I2155">
        <f t="array" ref="I2155">SUMIF(A:A,A2155,F:F)</f>
        <v>30873.260000000002</v>
      </c>
      <c r="J2155">
        <f t="array" ref="J2155">5 - INT(5 * (RANK(G2155,G:G, 1) - 1) / COUNT(G:G))</f>
        <v>4</v>
      </c>
      <c r="K2155">
        <f t="array" ref="K2155">INT(5 * (RANK(H2155,H:H, 0) - 1) / COUNT(H:H)) + 1</f>
        <v>3</v>
      </c>
      <c r="L2155">
        <f t="array" ref="L2155">INT(5 * (RANK(I2155,I:I, 0) - 1) / COUNT(I:I)) + 1</f>
        <v>3</v>
      </c>
      <c r="M2155" t="str">
        <f t="shared" si="66"/>
        <v>433</v>
      </c>
      <c r="N2155" s="6" t="str">
        <f t="shared" si="67"/>
        <v>Others</v>
      </c>
    </row>
    <row r="2156" spans="1:14" x14ac:dyDescent="0.35">
      <c r="A2156">
        <v>1157</v>
      </c>
      <c r="B2156" s="4">
        <v>45938.375085336993</v>
      </c>
      <c r="C2156" t="s">
        <v>9</v>
      </c>
      <c r="D2156" t="s">
        <v>22</v>
      </c>
      <c r="E2156" t="s">
        <v>23</v>
      </c>
      <c r="F2156">
        <v>7865.24</v>
      </c>
      <c r="G2156">
        <f t="array" ref="G2156">SalesData!$I$2 - 'RFM Table'!B2156</f>
        <v>198</v>
      </c>
      <c r="H2156">
        <f t="array" ref="H2156">COUNTIF(A:A,A2156)</f>
        <v>11</v>
      </c>
      <c r="I2156">
        <f t="array" ref="I2156">SUMIF(A:A,A2156,F:F)</f>
        <v>45651.77</v>
      </c>
      <c r="J2156">
        <f t="array" ref="J2156">5 - INT(5 * (RANK(G2156,G:G, 1) - 1) / COUNT(G:G))</f>
        <v>4</v>
      </c>
      <c r="K2156">
        <f t="array" ref="K2156">INT(5 * (RANK(H2156,H:H, 0) - 1) / COUNT(H:H)) + 1</f>
        <v>1</v>
      </c>
      <c r="L2156">
        <f t="array" ref="L2156">INT(5 * (RANK(I2156,I:I, 0) - 1) / COUNT(I:I)) + 1</f>
        <v>1</v>
      </c>
      <c r="M2156" t="str">
        <f t="shared" si="66"/>
        <v>411</v>
      </c>
      <c r="N2156" s="6" t="str">
        <f t="shared" si="67"/>
        <v>New Customers</v>
      </c>
    </row>
    <row r="2157" spans="1:14" x14ac:dyDescent="0.35">
      <c r="A2157">
        <v>1135</v>
      </c>
      <c r="B2157" s="4">
        <v>45938.375085336993</v>
      </c>
      <c r="C2157" t="s">
        <v>7</v>
      </c>
      <c r="D2157" t="s">
        <v>17</v>
      </c>
      <c r="E2157" t="s">
        <v>24</v>
      </c>
      <c r="F2157">
        <v>1386.02</v>
      </c>
      <c r="G2157">
        <f t="array" ref="G2157">SalesData!$I$2 - 'RFM Table'!B2157</f>
        <v>198</v>
      </c>
      <c r="H2157">
        <f t="array" ref="H2157">COUNTIF(A:A,A2157)</f>
        <v>10</v>
      </c>
      <c r="I2157">
        <f t="array" ref="I2157">SUMIF(A:A,A2157,F:F)</f>
        <v>31217.780000000002</v>
      </c>
      <c r="J2157">
        <f t="array" ref="J2157">5 - INT(5 * (RANK(G2157,G:G, 1) - 1) / COUNT(G:G))</f>
        <v>4</v>
      </c>
      <c r="K2157">
        <f t="array" ref="K2157">INT(5 * (RANK(H2157,H:H, 0) - 1) / COUNT(H:H)) + 1</f>
        <v>2</v>
      </c>
      <c r="L2157">
        <f t="array" ref="L2157">INT(5 * (RANK(I2157,I:I, 0) - 1) / COUNT(I:I)) + 1</f>
        <v>3</v>
      </c>
      <c r="M2157" t="str">
        <f t="shared" si="66"/>
        <v>423</v>
      </c>
      <c r="N2157" s="6" t="str">
        <f t="shared" si="67"/>
        <v>New Customers</v>
      </c>
    </row>
    <row r="2158" spans="1:14" x14ac:dyDescent="0.35">
      <c r="A2158">
        <v>1210</v>
      </c>
      <c r="B2158" s="4">
        <v>45939.375085336993</v>
      </c>
      <c r="C2158" t="s">
        <v>12</v>
      </c>
      <c r="D2158" t="s">
        <v>21</v>
      </c>
      <c r="E2158" t="s">
        <v>23</v>
      </c>
      <c r="F2158">
        <v>1491.07</v>
      </c>
      <c r="G2158">
        <f t="array" ref="G2158">SalesData!$I$2 - 'RFM Table'!B2158</f>
        <v>197</v>
      </c>
      <c r="H2158">
        <f t="array" ref="H2158">COUNTIF(A:A,A2158)</f>
        <v>4</v>
      </c>
      <c r="I2158">
        <f t="array" ref="I2158">SUMIF(A:A,A2158,F:F)</f>
        <v>9551.7100000000009</v>
      </c>
      <c r="J2158">
        <f t="array" ref="J2158">5 - INT(5 * (RANK(G2158,G:G, 1) - 1) / COUNT(G:G))</f>
        <v>4</v>
      </c>
      <c r="K2158">
        <f t="array" ref="K2158">INT(5 * (RANK(H2158,H:H, 0) - 1) / COUNT(H:H)) + 1</f>
        <v>5</v>
      </c>
      <c r="L2158">
        <f t="array" ref="L2158">INT(5 * (RANK(I2158,I:I, 0) - 1) / COUNT(I:I)) + 1</f>
        <v>5</v>
      </c>
      <c r="M2158" t="str">
        <f t="shared" si="66"/>
        <v>455</v>
      </c>
      <c r="N2158" s="6" t="str">
        <f t="shared" si="67"/>
        <v>Others</v>
      </c>
    </row>
    <row r="2159" spans="1:14" x14ac:dyDescent="0.35">
      <c r="A2159">
        <v>1026</v>
      </c>
      <c r="B2159" s="4">
        <v>45939.375085336993</v>
      </c>
      <c r="C2159" t="s">
        <v>10</v>
      </c>
      <c r="D2159" t="s">
        <v>20</v>
      </c>
      <c r="E2159" t="s">
        <v>25</v>
      </c>
      <c r="F2159">
        <v>1011.77</v>
      </c>
      <c r="G2159">
        <f t="array" ref="G2159">SalesData!$I$2 - 'RFM Table'!B2159</f>
        <v>197</v>
      </c>
      <c r="H2159">
        <f t="array" ref="H2159">COUNTIF(A:A,A2159)</f>
        <v>7</v>
      </c>
      <c r="I2159">
        <f t="array" ref="I2159">SUMIF(A:A,A2159,F:F)</f>
        <v>24873.88</v>
      </c>
      <c r="J2159">
        <f t="array" ref="J2159">5 - INT(5 * (RANK(G2159,G:G, 1) - 1) / COUNT(G:G))</f>
        <v>4</v>
      </c>
      <c r="K2159">
        <f t="array" ref="K2159">INT(5 * (RANK(H2159,H:H, 0) - 1) / COUNT(H:H)) + 1</f>
        <v>4</v>
      </c>
      <c r="L2159">
        <f t="array" ref="L2159">INT(5 * (RANK(I2159,I:I, 0) - 1) / COUNT(I:I)) + 1</f>
        <v>4</v>
      </c>
      <c r="M2159" t="str">
        <f t="shared" si="66"/>
        <v>444</v>
      </c>
      <c r="N2159" s="6" t="str">
        <f t="shared" si="67"/>
        <v>Others</v>
      </c>
    </row>
    <row r="2160" spans="1:14" x14ac:dyDescent="0.35">
      <c r="A2160">
        <v>1146</v>
      </c>
      <c r="B2160" s="4">
        <v>45939.375085336993</v>
      </c>
      <c r="C2160" t="s">
        <v>8</v>
      </c>
      <c r="D2160" t="s">
        <v>19</v>
      </c>
      <c r="E2160" t="s">
        <v>25</v>
      </c>
      <c r="F2160">
        <v>4824.72</v>
      </c>
      <c r="G2160">
        <f t="array" ref="G2160">SalesData!$I$2 - 'RFM Table'!B2160</f>
        <v>197</v>
      </c>
      <c r="H2160">
        <f t="array" ref="H2160">COUNTIF(A:A,A2160)</f>
        <v>11</v>
      </c>
      <c r="I2160">
        <f t="array" ref="I2160">SUMIF(A:A,A2160,F:F)</f>
        <v>43110.84</v>
      </c>
      <c r="J2160">
        <f t="array" ref="J2160">5 - INT(5 * (RANK(G2160,G:G, 1) - 1) / COUNT(G:G))</f>
        <v>4</v>
      </c>
      <c r="K2160">
        <f t="array" ref="K2160">INT(5 * (RANK(H2160,H:H, 0) - 1) / COUNT(H:H)) + 1</f>
        <v>1</v>
      </c>
      <c r="L2160">
        <f t="array" ref="L2160">INT(5 * (RANK(I2160,I:I, 0) - 1) / COUNT(I:I)) + 1</f>
        <v>2</v>
      </c>
      <c r="M2160" t="str">
        <f t="shared" si="66"/>
        <v>412</v>
      </c>
      <c r="N2160" s="6" t="str">
        <f t="shared" si="67"/>
        <v>New Customers</v>
      </c>
    </row>
    <row r="2161" spans="1:14" x14ac:dyDescent="0.35">
      <c r="A2161">
        <v>1143</v>
      </c>
      <c r="B2161" s="4">
        <v>45939.375085336993</v>
      </c>
      <c r="C2161" t="s">
        <v>6</v>
      </c>
      <c r="D2161" t="s">
        <v>16</v>
      </c>
      <c r="E2161" t="s">
        <v>23</v>
      </c>
      <c r="F2161">
        <v>7969.79</v>
      </c>
      <c r="G2161">
        <f t="array" ref="G2161">SalesData!$I$2 - 'RFM Table'!B2161</f>
        <v>197</v>
      </c>
      <c r="H2161">
        <f t="array" ref="H2161">COUNTIF(A:A,A2161)</f>
        <v>11</v>
      </c>
      <c r="I2161">
        <f t="array" ref="I2161">SUMIF(A:A,A2161,F:F)</f>
        <v>44004.459999999992</v>
      </c>
      <c r="J2161">
        <f t="array" ref="J2161">5 - INT(5 * (RANK(G2161,G:G, 1) - 1) / COUNT(G:G))</f>
        <v>4</v>
      </c>
      <c r="K2161">
        <f t="array" ref="K2161">INT(5 * (RANK(H2161,H:H, 0) - 1) / COUNT(H:H)) + 1</f>
        <v>1</v>
      </c>
      <c r="L2161">
        <f t="array" ref="L2161">INT(5 * (RANK(I2161,I:I, 0) - 1) / COUNT(I:I)) + 1</f>
        <v>2</v>
      </c>
      <c r="M2161" t="str">
        <f t="shared" si="66"/>
        <v>412</v>
      </c>
      <c r="N2161" s="6" t="str">
        <f t="shared" si="67"/>
        <v>New Customers</v>
      </c>
    </row>
    <row r="2162" spans="1:14" x14ac:dyDescent="0.35">
      <c r="A2162">
        <v>1185</v>
      </c>
      <c r="B2162" s="4">
        <v>45940.375085336993</v>
      </c>
      <c r="C2162" t="s">
        <v>14</v>
      </c>
      <c r="D2162" t="s">
        <v>22</v>
      </c>
      <c r="E2162" t="s">
        <v>24</v>
      </c>
      <c r="F2162">
        <v>1796.04</v>
      </c>
      <c r="G2162">
        <f t="array" ref="G2162">SalesData!$I$2 - 'RFM Table'!B2162</f>
        <v>196</v>
      </c>
      <c r="H2162">
        <f t="array" ref="H2162">COUNTIF(A:A,A2162)</f>
        <v>8</v>
      </c>
      <c r="I2162">
        <f t="array" ref="I2162">SUMIF(A:A,A2162,F:F)</f>
        <v>27805.74</v>
      </c>
      <c r="J2162">
        <f t="array" ref="J2162">5 - INT(5 * (RANK(G2162,G:G, 1) - 1) / COUNT(G:G))</f>
        <v>4</v>
      </c>
      <c r="K2162">
        <f t="array" ref="K2162">INT(5 * (RANK(H2162,H:H, 0) - 1) / COUNT(H:H)) + 1</f>
        <v>3</v>
      </c>
      <c r="L2162">
        <f t="array" ref="L2162">INT(5 * (RANK(I2162,I:I, 0) - 1) / COUNT(I:I)) + 1</f>
        <v>4</v>
      </c>
      <c r="M2162" t="str">
        <f t="shared" si="66"/>
        <v>434</v>
      </c>
      <c r="N2162" s="6" t="str">
        <f t="shared" si="67"/>
        <v>Others</v>
      </c>
    </row>
    <row r="2163" spans="1:14" x14ac:dyDescent="0.35">
      <c r="A2163">
        <v>1117</v>
      </c>
      <c r="B2163" s="4">
        <v>45940.375085336993</v>
      </c>
      <c r="C2163" t="s">
        <v>6</v>
      </c>
      <c r="D2163" t="s">
        <v>20</v>
      </c>
      <c r="E2163" t="s">
        <v>25</v>
      </c>
      <c r="F2163">
        <v>7709.1</v>
      </c>
      <c r="G2163">
        <f t="array" ref="G2163">SalesData!$I$2 - 'RFM Table'!B2163</f>
        <v>196</v>
      </c>
      <c r="H2163">
        <f t="array" ref="H2163">COUNTIF(A:A,A2163)</f>
        <v>10</v>
      </c>
      <c r="I2163">
        <f t="array" ref="I2163">SUMIF(A:A,A2163,F:F)</f>
        <v>47973.33</v>
      </c>
      <c r="J2163">
        <f t="array" ref="J2163">5 - INT(5 * (RANK(G2163,G:G, 1) - 1) / COUNT(G:G))</f>
        <v>4</v>
      </c>
      <c r="K2163">
        <f t="array" ref="K2163">INT(5 * (RANK(H2163,H:H, 0) - 1) / COUNT(H:H)) + 1</f>
        <v>2</v>
      </c>
      <c r="L2163">
        <f t="array" ref="L2163">INT(5 * (RANK(I2163,I:I, 0) - 1) / COUNT(I:I)) + 1</f>
        <v>1</v>
      </c>
      <c r="M2163" t="str">
        <f t="shared" si="66"/>
        <v>421</v>
      </c>
      <c r="N2163" s="6" t="str">
        <f t="shared" si="67"/>
        <v>New Customers</v>
      </c>
    </row>
    <row r="2164" spans="1:14" x14ac:dyDescent="0.35">
      <c r="A2164">
        <v>1013</v>
      </c>
      <c r="B2164" s="4">
        <v>45941.375085336993</v>
      </c>
      <c r="C2164" t="s">
        <v>6</v>
      </c>
      <c r="D2164" t="s">
        <v>18</v>
      </c>
      <c r="E2164" t="s">
        <v>24</v>
      </c>
      <c r="F2164">
        <v>1339.94</v>
      </c>
      <c r="G2164">
        <f t="array" ref="G2164">SalesData!$I$2 - 'RFM Table'!B2164</f>
        <v>195</v>
      </c>
      <c r="H2164">
        <f t="array" ref="H2164">COUNTIF(A:A,A2164)</f>
        <v>14</v>
      </c>
      <c r="I2164">
        <f t="array" ref="I2164">SUMIF(A:A,A2164,F:F)</f>
        <v>60099.840000000004</v>
      </c>
      <c r="J2164">
        <f t="array" ref="J2164">5 - INT(5 * (RANK(G2164,G:G, 1) - 1) / COUNT(G:G))</f>
        <v>4</v>
      </c>
      <c r="K2164">
        <f t="array" ref="K2164">INT(5 * (RANK(H2164,H:H, 0) - 1) / COUNT(H:H)) + 1</f>
        <v>1</v>
      </c>
      <c r="L2164">
        <f t="array" ref="L2164">INT(5 * (RANK(I2164,I:I, 0) - 1) / COUNT(I:I)) + 1</f>
        <v>1</v>
      </c>
      <c r="M2164" t="str">
        <f t="shared" si="66"/>
        <v>411</v>
      </c>
      <c r="N2164" s="6" t="str">
        <f t="shared" si="67"/>
        <v>New Customers</v>
      </c>
    </row>
    <row r="2165" spans="1:14" x14ac:dyDescent="0.35">
      <c r="A2165">
        <v>1030</v>
      </c>
      <c r="B2165" s="4">
        <v>45941.375085336993</v>
      </c>
      <c r="C2165" t="s">
        <v>12</v>
      </c>
      <c r="D2165" t="s">
        <v>18</v>
      </c>
      <c r="E2165" t="s">
        <v>23</v>
      </c>
      <c r="F2165">
        <v>3567.66</v>
      </c>
      <c r="G2165">
        <f t="array" ref="G2165">SalesData!$I$2 - 'RFM Table'!B2165</f>
        <v>195</v>
      </c>
      <c r="H2165">
        <f t="array" ref="H2165">COUNTIF(A:A,A2165)</f>
        <v>3</v>
      </c>
      <c r="I2165">
        <f t="array" ref="I2165">SUMIF(A:A,A2165,F:F)</f>
        <v>11089.06</v>
      </c>
      <c r="J2165">
        <f t="array" ref="J2165">5 - INT(5 * (RANK(G2165,G:G, 1) - 1) / COUNT(G:G))</f>
        <v>4</v>
      </c>
      <c r="K2165">
        <f t="array" ref="K2165">INT(5 * (RANK(H2165,H:H, 0) - 1) / COUNT(H:H)) + 1</f>
        <v>5</v>
      </c>
      <c r="L2165">
        <f t="array" ref="L2165">INT(5 * (RANK(I2165,I:I, 0) - 1) / COUNT(I:I)) + 1</f>
        <v>5</v>
      </c>
      <c r="M2165" t="str">
        <f t="shared" si="66"/>
        <v>455</v>
      </c>
      <c r="N2165" s="6" t="str">
        <f t="shared" si="67"/>
        <v>Others</v>
      </c>
    </row>
    <row r="2166" spans="1:14" x14ac:dyDescent="0.35">
      <c r="A2166">
        <v>1270</v>
      </c>
      <c r="B2166" s="4">
        <v>45941.375085336993</v>
      </c>
      <c r="C2166" t="s">
        <v>13</v>
      </c>
      <c r="D2166" t="s">
        <v>16</v>
      </c>
      <c r="E2166" t="s">
        <v>24</v>
      </c>
      <c r="F2166">
        <v>1351.75</v>
      </c>
      <c r="G2166">
        <f t="array" ref="G2166">SalesData!$I$2 - 'RFM Table'!B2166</f>
        <v>195</v>
      </c>
      <c r="H2166">
        <f t="array" ref="H2166">COUNTIF(A:A,A2166)</f>
        <v>10</v>
      </c>
      <c r="I2166">
        <f t="array" ref="I2166">SUMIF(A:A,A2166,F:F)</f>
        <v>34623.81</v>
      </c>
      <c r="J2166">
        <f t="array" ref="J2166">5 - INT(5 * (RANK(G2166,G:G, 1) - 1) / COUNT(G:G))</f>
        <v>4</v>
      </c>
      <c r="K2166">
        <f t="array" ref="K2166">INT(5 * (RANK(H2166,H:H, 0) - 1) / COUNT(H:H)) + 1</f>
        <v>2</v>
      </c>
      <c r="L2166">
        <f t="array" ref="L2166">INT(5 * (RANK(I2166,I:I, 0) - 1) / COUNT(I:I)) + 1</f>
        <v>3</v>
      </c>
      <c r="M2166" t="str">
        <f t="shared" si="66"/>
        <v>423</v>
      </c>
      <c r="N2166" s="6" t="str">
        <f t="shared" si="67"/>
        <v>New Customers</v>
      </c>
    </row>
    <row r="2167" spans="1:14" x14ac:dyDescent="0.35">
      <c r="A2167">
        <v>1263</v>
      </c>
      <c r="B2167" s="4">
        <v>45941.375085336993</v>
      </c>
      <c r="C2167" t="s">
        <v>6</v>
      </c>
      <c r="D2167" t="s">
        <v>19</v>
      </c>
      <c r="E2167" t="s">
        <v>25</v>
      </c>
      <c r="F2167">
        <v>5155.68</v>
      </c>
      <c r="G2167">
        <f t="array" ref="G2167">SalesData!$I$2 - 'RFM Table'!B2167</f>
        <v>195</v>
      </c>
      <c r="H2167">
        <f t="array" ref="H2167">COUNTIF(A:A,A2167)</f>
        <v>15</v>
      </c>
      <c r="I2167">
        <f t="array" ref="I2167">SUMIF(A:A,A2167,F:F)</f>
        <v>55867.080000000016</v>
      </c>
      <c r="J2167">
        <f t="array" ref="J2167">5 - INT(5 * (RANK(G2167,G:G, 1) - 1) / COUNT(G:G))</f>
        <v>4</v>
      </c>
      <c r="K2167">
        <f t="array" ref="K2167">INT(5 * (RANK(H2167,H:H, 0) - 1) / COUNT(H:H)) + 1</f>
        <v>1</v>
      </c>
      <c r="L2167">
        <f t="array" ref="L2167">INT(5 * (RANK(I2167,I:I, 0) - 1) / COUNT(I:I)) + 1</f>
        <v>1</v>
      </c>
      <c r="M2167" t="str">
        <f t="shared" si="66"/>
        <v>411</v>
      </c>
      <c r="N2167" s="6" t="str">
        <f t="shared" si="67"/>
        <v>New Customers</v>
      </c>
    </row>
    <row r="2168" spans="1:14" x14ac:dyDescent="0.35">
      <c r="A2168">
        <v>1054</v>
      </c>
      <c r="B2168" s="4">
        <v>45941.375085336993</v>
      </c>
      <c r="C2168" t="s">
        <v>14</v>
      </c>
      <c r="D2168" t="s">
        <v>18</v>
      </c>
      <c r="E2168" t="s">
        <v>25</v>
      </c>
      <c r="F2168">
        <v>2537.5</v>
      </c>
      <c r="G2168">
        <f t="array" ref="G2168">SalesData!$I$2 - 'RFM Table'!B2168</f>
        <v>195</v>
      </c>
      <c r="H2168">
        <f t="array" ref="H2168">COUNTIF(A:A,A2168)</f>
        <v>7</v>
      </c>
      <c r="I2168">
        <f t="array" ref="I2168">SUMIF(A:A,A2168,F:F)</f>
        <v>21298.79</v>
      </c>
      <c r="J2168">
        <f t="array" ref="J2168">5 - INT(5 * (RANK(G2168,G:G, 1) - 1) / COUNT(G:G))</f>
        <v>4</v>
      </c>
      <c r="K2168">
        <f t="array" ref="K2168">INT(5 * (RANK(H2168,H:H, 0) - 1) / COUNT(H:H)) + 1</f>
        <v>4</v>
      </c>
      <c r="L2168">
        <f t="array" ref="L2168">INT(5 * (RANK(I2168,I:I, 0) - 1) / COUNT(I:I)) + 1</f>
        <v>5</v>
      </c>
      <c r="M2168" t="str">
        <f t="shared" si="66"/>
        <v>445</v>
      </c>
      <c r="N2168" s="6" t="str">
        <f t="shared" si="67"/>
        <v>Others</v>
      </c>
    </row>
    <row r="2169" spans="1:14" x14ac:dyDescent="0.35">
      <c r="A2169">
        <v>1399</v>
      </c>
      <c r="B2169" s="4">
        <v>45942.375085336993</v>
      </c>
      <c r="C2169" t="s">
        <v>14</v>
      </c>
      <c r="D2169" t="s">
        <v>18</v>
      </c>
      <c r="E2169" t="s">
        <v>24</v>
      </c>
      <c r="F2169">
        <v>3782</v>
      </c>
      <c r="G2169">
        <f t="array" ref="G2169">SalesData!$I$2 - 'RFM Table'!B2169</f>
        <v>194</v>
      </c>
      <c r="H2169">
        <f t="array" ref="H2169">COUNTIF(A:A,A2169)</f>
        <v>9</v>
      </c>
      <c r="I2169">
        <f t="array" ref="I2169">SUMIF(A:A,A2169,F:F)</f>
        <v>34808.1</v>
      </c>
      <c r="J2169">
        <f t="array" ref="J2169">5 - INT(5 * (RANK(G2169,G:G, 1) - 1) / COUNT(G:G))</f>
        <v>4</v>
      </c>
      <c r="K2169">
        <f t="array" ref="K2169">INT(5 * (RANK(H2169,H:H, 0) - 1) / COUNT(H:H)) + 1</f>
        <v>2</v>
      </c>
      <c r="L2169">
        <f t="array" ref="L2169">INT(5 * (RANK(I2169,I:I, 0) - 1) / COUNT(I:I)) + 1</f>
        <v>3</v>
      </c>
      <c r="M2169" t="str">
        <f t="shared" si="66"/>
        <v>423</v>
      </c>
      <c r="N2169" s="6" t="str">
        <f t="shared" si="67"/>
        <v>New Customers</v>
      </c>
    </row>
    <row r="2170" spans="1:14" x14ac:dyDescent="0.35">
      <c r="A2170">
        <v>1020</v>
      </c>
      <c r="B2170" s="4">
        <v>45942.375085336993</v>
      </c>
      <c r="C2170" t="s">
        <v>9</v>
      </c>
      <c r="D2170" t="s">
        <v>18</v>
      </c>
      <c r="E2170" t="s">
        <v>25</v>
      </c>
      <c r="F2170">
        <v>4629.29</v>
      </c>
      <c r="G2170">
        <f t="array" ref="G2170">SalesData!$I$2 - 'RFM Table'!B2170</f>
        <v>194</v>
      </c>
      <c r="H2170">
        <f t="array" ref="H2170">COUNTIF(A:A,A2170)</f>
        <v>6</v>
      </c>
      <c r="I2170">
        <f t="array" ref="I2170">SUMIF(A:A,A2170,F:F)</f>
        <v>22687.77</v>
      </c>
      <c r="J2170">
        <f t="array" ref="J2170">5 - INT(5 * (RANK(G2170,G:G, 1) - 1) / COUNT(G:G))</f>
        <v>4</v>
      </c>
      <c r="K2170">
        <f t="array" ref="K2170">INT(5 * (RANK(H2170,H:H, 0) - 1) / COUNT(H:H)) + 1</f>
        <v>4</v>
      </c>
      <c r="L2170">
        <f t="array" ref="L2170">INT(5 * (RANK(I2170,I:I, 0) - 1) / COUNT(I:I)) + 1</f>
        <v>4</v>
      </c>
      <c r="M2170" t="str">
        <f t="shared" si="66"/>
        <v>444</v>
      </c>
      <c r="N2170" s="6" t="str">
        <f t="shared" si="67"/>
        <v>Others</v>
      </c>
    </row>
    <row r="2171" spans="1:14" x14ac:dyDescent="0.35">
      <c r="A2171">
        <v>1129</v>
      </c>
      <c r="B2171" s="4">
        <v>45942.375085336993</v>
      </c>
      <c r="C2171" t="s">
        <v>11</v>
      </c>
      <c r="D2171" t="s">
        <v>20</v>
      </c>
      <c r="E2171" t="s">
        <v>24</v>
      </c>
      <c r="F2171">
        <v>1717.23</v>
      </c>
      <c r="G2171">
        <f t="array" ref="G2171">SalesData!$I$2 - 'RFM Table'!B2171</f>
        <v>194</v>
      </c>
      <c r="H2171">
        <f t="array" ref="H2171">COUNTIF(A:A,A2171)</f>
        <v>14</v>
      </c>
      <c r="I2171">
        <f t="array" ref="I2171">SUMIF(A:A,A2171,F:F)</f>
        <v>53433.220000000008</v>
      </c>
      <c r="J2171">
        <f t="array" ref="J2171">5 - INT(5 * (RANK(G2171,G:G, 1) - 1) / COUNT(G:G))</f>
        <v>4</v>
      </c>
      <c r="K2171">
        <f t="array" ref="K2171">INT(5 * (RANK(H2171,H:H, 0) - 1) / COUNT(H:H)) + 1</f>
        <v>1</v>
      </c>
      <c r="L2171">
        <f t="array" ref="L2171">INT(5 * (RANK(I2171,I:I, 0) - 1) / COUNT(I:I)) + 1</f>
        <v>1</v>
      </c>
      <c r="M2171" t="str">
        <f t="shared" si="66"/>
        <v>411</v>
      </c>
      <c r="N2171" s="6" t="str">
        <f t="shared" si="67"/>
        <v>New Customers</v>
      </c>
    </row>
    <row r="2172" spans="1:14" x14ac:dyDescent="0.35">
      <c r="A2172">
        <v>1143</v>
      </c>
      <c r="B2172" s="4">
        <v>45942.375085336993</v>
      </c>
      <c r="C2172" t="s">
        <v>11</v>
      </c>
      <c r="D2172" t="s">
        <v>21</v>
      </c>
      <c r="E2172" t="s">
        <v>25</v>
      </c>
      <c r="F2172">
        <v>1241.27</v>
      </c>
      <c r="G2172">
        <f t="array" ref="G2172">SalesData!$I$2 - 'RFM Table'!B2172</f>
        <v>194</v>
      </c>
      <c r="H2172">
        <f t="array" ref="H2172">COUNTIF(A:A,A2172)</f>
        <v>11</v>
      </c>
      <c r="I2172">
        <f t="array" ref="I2172">SUMIF(A:A,A2172,F:F)</f>
        <v>44004.459999999992</v>
      </c>
      <c r="J2172">
        <f t="array" ref="J2172">5 - INT(5 * (RANK(G2172,G:G, 1) - 1) / COUNT(G:G))</f>
        <v>4</v>
      </c>
      <c r="K2172">
        <f t="array" ref="K2172">INT(5 * (RANK(H2172,H:H, 0) - 1) / COUNT(H:H)) + 1</f>
        <v>1</v>
      </c>
      <c r="L2172">
        <f t="array" ref="L2172">INT(5 * (RANK(I2172,I:I, 0) - 1) / COUNT(I:I)) + 1</f>
        <v>2</v>
      </c>
      <c r="M2172" t="str">
        <f t="shared" si="66"/>
        <v>412</v>
      </c>
      <c r="N2172" s="6" t="str">
        <f t="shared" si="67"/>
        <v>New Customers</v>
      </c>
    </row>
    <row r="2173" spans="1:14" x14ac:dyDescent="0.35">
      <c r="A2173">
        <v>1337</v>
      </c>
      <c r="B2173" s="4">
        <v>45942.375085336993</v>
      </c>
      <c r="C2173" t="s">
        <v>9</v>
      </c>
      <c r="D2173" t="s">
        <v>18</v>
      </c>
      <c r="E2173" t="s">
        <v>23</v>
      </c>
      <c r="F2173">
        <v>7022.1</v>
      </c>
      <c r="G2173">
        <f t="array" ref="G2173">SalesData!$I$2 - 'RFM Table'!B2173</f>
        <v>194</v>
      </c>
      <c r="H2173">
        <f t="array" ref="H2173">COUNTIF(A:A,A2173)</f>
        <v>7</v>
      </c>
      <c r="I2173">
        <f t="array" ref="I2173">SUMIF(A:A,A2173,F:F)</f>
        <v>33899.22</v>
      </c>
      <c r="J2173">
        <f t="array" ref="J2173">5 - INT(5 * (RANK(G2173,G:G, 1) - 1) / COUNT(G:G))</f>
        <v>4</v>
      </c>
      <c r="K2173">
        <f t="array" ref="K2173">INT(5 * (RANK(H2173,H:H, 0) - 1) / COUNT(H:H)) + 1</f>
        <v>4</v>
      </c>
      <c r="L2173">
        <f t="array" ref="L2173">INT(5 * (RANK(I2173,I:I, 0) - 1) / COUNT(I:I)) + 1</f>
        <v>3</v>
      </c>
      <c r="M2173" t="str">
        <f t="shared" si="66"/>
        <v>443</v>
      </c>
      <c r="N2173" s="6" t="str">
        <f t="shared" si="67"/>
        <v>Others</v>
      </c>
    </row>
    <row r="2174" spans="1:14" x14ac:dyDescent="0.35">
      <c r="A2174">
        <v>1129</v>
      </c>
      <c r="B2174" s="4">
        <v>45943.375085336993</v>
      </c>
      <c r="C2174" t="s">
        <v>10</v>
      </c>
      <c r="D2174" t="s">
        <v>20</v>
      </c>
      <c r="E2174" t="s">
        <v>23</v>
      </c>
      <c r="F2174">
        <v>6696.37</v>
      </c>
      <c r="G2174">
        <f t="array" ref="G2174">SalesData!$I$2 - 'RFM Table'!B2174</f>
        <v>193</v>
      </c>
      <c r="H2174">
        <f t="array" ref="H2174">COUNTIF(A:A,A2174)</f>
        <v>14</v>
      </c>
      <c r="I2174">
        <f t="array" ref="I2174">SUMIF(A:A,A2174,F:F)</f>
        <v>53433.220000000008</v>
      </c>
      <c r="J2174">
        <f t="array" ref="J2174">5 - INT(5 * (RANK(G2174,G:G, 1) - 1) / COUNT(G:G))</f>
        <v>4</v>
      </c>
      <c r="K2174">
        <f t="array" ref="K2174">INT(5 * (RANK(H2174,H:H, 0) - 1) / COUNT(H:H)) + 1</f>
        <v>1</v>
      </c>
      <c r="L2174">
        <f t="array" ref="L2174">INT(5 * (RANK(I2174,I:I, 0) - 1) / COUNT(I:I)) + 1</f>
        <v>1</v>
      </c>
      <c r="M2174" t="str">
        <f t="shared" si="66"/>
        <v>411</v>
      </c>
      <c r="N2174" s="6" t="str">
        <f t="shared" si="67"/>
        <v>New Customers</v>
      </c>
    </row>
    <row r="2175" spans="1:14" x14ac:dyDescent="0.35">
      <c r="A2175">
        <v>1344</v>
      </c>
      <c r="B2175" s="4">
        <v>45945.375085336993</v>
      </c>
      <c r="C2175" t="s">
        <v>12</v>
      </c>
      <c r="D2175" t="s">
        <v>21</v>
      </c>
      <c r="E2175" t="s">
        <v>25</v>
      </c>
      <c r="F2175">
        <v>1764.25</v>
      </c>
      <c r="G2175">
        <f t="array" ref="G2175">SalesData!$I$2 - 'RFM Table'!B2175</f>
        <v>191</v>
      </c>
      <c r="H2175">
        <f t="array" ref="H2175">COUNTIF(A:A,A2175)</f>
        <v>9</v>
      </c>
      <c r="I2175">
        <f t="array" ref="I2175">SUMIF(A:A,A2175,F:F)</f>
        <v>23905.670000000002</v>
      </c>
      <c r="J2175">
        <f t="array" ref="J2175">5 - INT(5 * (RANK(G2175,G:G, 1) - 1) / COUNT(G:G))</f>
        <v>4</v>
      </c>
      <c r="K2175">
        <f t="array" ref="K2175">INT(5 * (RANK(H2175,H:H, 0) - 1) / COUNT(H:H)) + 1</f>
        <v>2</v>
      </c>
      <c r="L2175">
        <f t="array" ref="L2175">INT(5 * (RANK(I2175,I:I, 0) - 1) / COUNT(I:I)) + 1</f>
        <v>4</v>
      </c>
      <c r="M2175" t="str">
        <f t="shared" si="66"/>
        <v>424</v>
      </c>
      <c r="N2175" s="6" t="str">
        <f t="shared" si="67"/>
        <v>New Customers</v>
      </c>
    </row>
    <row r="2176" spans="1:14" x14ac:dyDescent="0.35">
      <c r="A2176">
        <v>1024</v>
      </c>
      <c r="B2176" s="4">
        <v>45945.375085336993</v>
      </c>
      <c r="C2176" t="s">
        <v>10</v>
      </c>
      <c r="D2176" t="s">
        <v>18</v>
      </c>
      <c r="E2176" t="s">
        <v>25</v>
      </c>
      <c r="F2176">
        <v>3295.52</v>
      </c>
      <c r="G2176">
        <f t="array" ref="G2176">SalesData!$I$2 - 'RFM Table'!B2176</f>
        <v>191</v>
      </c>
      <c r="H2176">
        <f t="array" ref="H2176">COUNTIF(A:A,A2176)</f>
        <v>12</v>
      </c>
      <c r="I2176">
        <f t="array" ref="I2176">SUMIF(A:A,A2176,F:F)</f>
        <v>48008.159999999996</v>
      </c>
      <c r="J2176">
        <f t="array" ref="J2176">5 - INT(5 * (RANK(G2176,G:G, 1) - 1) / COUNT(G:G))</f>
        <v>4</v>
      </c>
      <c r="K2176">
        <f t="array" ref="K2176">INT(5 * (RANK(H2176,H:H, 0) - 1) / COUNT(H:H)) + 1</f>
        <v>1</v>
      </c>
      <c r="L2176">
        <f t="array" ref="L2176">INT(5 * (RANK(I2176,I:I, 0) - 1) / COUNT(I:I)) + 1</f>
        <v>1</v>
      </c>
      <c r="M2176" t="str">
        <f t="shared" si="66"/>
        <v>411</v>
      </c>
      <c r="N2176" s="6" t="str">
        <f t="shared" si="67"/>
        <v>New Customers</v>
      </c>
    </row>
    <row r="2177" spans="1:14" x14ac:dyDescent="0.35">
      <c r="A2177">
        <v>1317</v>
      </c>
      <c r="B2177" s="4">
        <v>45945.375085336993</v>
      </c>
      <c r="C2177" t="s">
        <v>6</v>
      </c>
      <c r="D2177" t="s">
        <v>22</v>
      </c>
      <c r="E2177" t="s">
        <v>25</v>
      </c>
      <c r="F2177">
        <v>2818.44</v>
      </c>
      <c r="G2177">
        <f t="array" ref="G2177">SalesData!$I$2 - 'RFM Table'!B2177</f>
        <v>191</v>
      </c>
      <c r="H2177">
        <f t="array" ref="H2177">COUNTIF(A:A,A2177)</f>
        <v>12</v>
      </c>
      <c r="I2177">
        <f t="array" ref="I2177">SUMIF(A:A,A2177,F:F)</f>
        <v>43413.4</v>
      </c>
      <c r="J2177">
        <f t="array" ref="J2177">5 - INT(5 * (RANK(G2177,G:G, 1) - 1) / COUNT(G:G))</f>
        <v>4</v>
      </c>
      <c r="K2177">
        <f t="array" ref="K2177">INT(5 * (RANK(H2177,H:H, 0) - 1) / COUNT(H:H)) + 1</f>
        <v>1</v>
      </c>
      <c r="L2177">
        <f t="array" ref="L2177">INT(5 * (RANK(I2177,I:I, 0) - 1) / COUNT(I:I)) + 1</f>
        <v>2</v>
      </c>
      <c r="M2177" t="str">
        <f t="shared" si="66"/>
        <v>412</v>
      </c>
      <c r="N2177" s="6" t="str">
        <f t="shared" si="67"/>
        <v>New Customers</v>
      </c>
    </row>
    <row r="2178" spans="1:14" x14ac:dyDescent="0.35">
      <c r="A2178">
        <v>1372</v>
      </c>
      <c r="B2178" s="4">
        <v>45945.375085336993</v>
      </c>
      <c r="C2178" t="s">
        <v>11</v>
      </c>
      <c r="D2178" t="s">
        <v>22</v>
      </c>
      <c r="E2178" t="s">
        <v>25</v>
      </c>
      <c r="F2178">
        <v>5551.27</v>
      </c>
      <c r="G2178">
        <f t="array" ref="G2178">SalesData!$I$2 - 'RFM Table'!B2178</f>
        <v>191</v>
      </c>
      <c r="H2178">
        <f t="array" ref="H2178">COUNTIF(A:A,A2178)</f>
        <v>9</v>
      </c>
      <c r="I2178">
        <f t="array" ref="I2178">SUMIF(A:A,A2178,F:F)</f>
        <v>32843.11</v>
      </c>
      <c r="J2178">
        <f t="array" ref="J2178">5 - INT(5 * (RANK(G2178,G:G, 1) - 1) / COUNT(G:G))</f>
        <v>4</v>
      </c>
      <c r="K2178">
        <f t="array" ref="K2178">INT(5 * (RANK(H2178,H:H, 0) - 1) / COUNT(H:H)) + 1</f>
        <v>2</v>
      </c>
      <c r="L2178">
        <f t="array" ref="L2178">INT(5 * (RANK(I2178,I:I, 0) - 1) / COUNT(I:I)) + 1</f>
        <v>3</v>
      </c>
      <c r="M2178" t="str">
        <f t="shared" si="66"/>
        <v>423</v>
      </c>
      <c r="N2178" s="6" t="str">
        <f t="shared" si="67"/>
        <v>New Customers</v>
      </c>
    </row>
    <row r="2179" spans="1:14" x14ac:dyDescent="0.35">
      <c r="A2179">
        <v>1370</v>
      </c>
      <c r="B2179" s="4">
        <v>45945.375085336993</v>
      </c>
      <c r="C2179" t="s">
        <v>10</v>
      </c>
      <c r="D2179" t="s">
        <v>19</v>
      </c>
      <c r="E2179" t="s">
        <v>23</v>
      </c>
      <c r="F2179">
        <v>2693.99</v>
      </c>
      <c r="G2179">
        <f t="array" ref="G2179">SalesData!$I$2 - 'RFM Table'!B2179</f>
        <v>191</v>
      </c>
      <c r="H2179">
        <f t="array" ref="H2179">COUNTIF(A:A,A2179)</f>
        <v>12</v>
      </c>
      <c r="I2179">
        <f t="array" ref="I2179">SUMIF(A:A,A2179,F:F)</f>
        <v>46195.360000000001</v>
      </c>
      <c r="J2179">
        <f t="array" ref="J2179">5 - INT(5 * (RANK(G2179,G:G, 1) - 1) / COUNT(G:G))</f>
        <v>4</v>
      </c>
      <c r="K2179">
        <f t="array" ref="K2179">INT(5 * (RANK(H2179,H:H, 0) - 1) / COUNT(H:H)) + 1</f>
        <v>1</v>
      </c>
      <c r="L2179">
        <f t="array" ref="L2179">INT(5 * (RANK(I2179,I:I, 0) - 1) / COUNT(I:I)) + 1</f>
        <v>1</v>
      </c>
      <c r="M2179" t="str">
        <f t="shared" ref="M2179:M2242" si="68">J2179 &amp; K2179 &amp; L2179</f>
        <v>411</v>
      </c>
      <c r="N2179" s="6" t="str">
        <f t="shared" ref="N2179:N2242" si="69">IF(AND(J2179&gt;=4,K2179&lt;=2),"New Customers",
IF(AND(J2179&lt;=2,K2179&gt;=3,L2179&gt;=3),"At Risk",
IF(AND(J2179&lt;=2,K2179&lt;=2,L2179&gt;=3),"Can't Lose Them",
IF(AND(J2179&lt;=2,K2179&lt;=2,L2179&lt;=2),"Lost",
"Others"))))</f>
        <v>New Customers</v>
      </c>
    </row>
    <row r="2180" spans="1:14" x14ac:dyDescent="0.35">
      <c r="A2180">
        <v>1334</v>
      </c>
      <c r="B2180" s="4">
        <v>45945.375085336993</v>
      </c>
      <c r="C2180" t="s">
        <v>6</v>
      </c>
      <c r="D2180" t="s">
        <v>21</v>
      </c>
      <c r="E2180" t="s">
        <v>25</v>
      </c>
      <c r="F2180">
        <v>1816.64</v>
      </c>
      <c r="G2180">
        <f t="array" ref="G2180">SalesData!$I$2 - 'RFM Table'!B2180</f>
        <v>191</v>
      </c>
      <c r="H2180">
        <f t="array" ref="H2180">COUNTIF(A:A,A2180)</f>
        <v>7</v>
      </c>
      <c r="I2180">
        <f t="array" ref="I2180">SUMIF(A:A,A2180,F:F)</f>
        <v>17825.52</v>
      </c>
      <c r="J2180">
        <f t="array" ref="J2180">5 - INT(5 * (RANK(G2180,G:G, 1) - 1) / COUNT(G:G))</f>
        <v>4</v>
      </c>
      <c r="K2180">
        <f t="array" ref="K2180">INT(5 * (RANK(H2180,H:H, 0) - 1) / COUNT(H:H)) + 1</f>
        <v>4</v>
      </c>
      <c r="L2180">
        <f t="array" ref="L2180">INT(5 * (RANK(I2180,I:I, 0) - 1) / COUNT(I:I)) + 1</f>
        <v>5</v>
      </c>
      <c r="M2180" t="str">
        <f t="shared" si="68"/>
        <v>445</v>
      </c>
      <c r="N2180" s="6" t="str">
        <f t="shared" si="69"/>
        <v>Others</v>
      </c>
    </row>
    <row r="2181" spans="1:14" x14ac:dyDescent="0.35">
      <c r="A2181">
        <v>1369</v>
      </c>
      <c r="B2181" s="4">
        <v>45945.375085336993</v>
      </c>
      <c r="C2181" t="s">
        <v>13</v>
      </c>
      <c r="D2181" t="s">
        <v>19</v>
      </c>
      <c r="E2181" t="s">
        <v>25</v>
      </c>
      <c r="F2181">
        <v>5242.28</v>
      </c>
      <c r="G2181">
        <f t="array" ref="G2181">SalesData!$I$2 - 'RFM Table'!B2181</f>
        <v>191</v>
      </c>
      <c r="H2181">
        <f t="array" ref="H2181">COUNTIF(A:A,A2181)</f>
        <v>6</v>
      </c>
      <c r="I2181">
        <f t="array" ref="I2181">SUMIF(A:A,A2181,F:F)</f>
        <v>32030.929999999997</v>
      </c>
      <c r="J2181">
        <f t="array" ref="J2181">5 - INT(5 * (RANK(G2181,G:G, 1) - 1) / COUNT(G:G))</f>
        <v>4</v>
      </c>
      <c r="K2181">
        <f t="array" ref="K2181">INT(5 * (RANK(H2181,H:H, 0) - 1) / COUNT(H:H)) + 1</f>
        <v>4</v>
      </c>
      <c r="L2181">
        <f t="array" ref="L2181">INT(5 * (RANK(I2181,I:I, 0) - 1) / COUNT(I:I)) + 1</f>
        <v>3</v>
      </c>
      <c r="M2181" t="str">
        <f t="shared" si="68"/>
        <v>443</v>
      </c>
      <c r="N2181" s="6" t="str">
        <f t="shared" si="69"/>
        <v>Others</v>
      </c>
    </row>
    <row r="2182" spans="1:14" x14ac:dyDescent="0.35">
      <c r="A2182">
        <v>1089</v>
      </c>
      <c r="B2182" s="4">
        <v>45945.375085336993</v>
      </c>
      <c r="C2182" t="s">
        <v>12</v>
      </c>
      <c r="D2182" t="s">
        <v>19</v>
      </c>
      <c r="E2182" t="s">
        <v>24</v>
      </c>
      <c r="F2182">
        <v>8173.23</v>
      </c>
      <c r="G2182">
        <f t="array" ref="G2182">SalesData!$I$2 - 'RFM Table'!B2182</f>
        <v>191</v>
      </c>
      <c r="H2182">
        <f t="array" ref="H2182">COUNTIF(A:A,A2182)</f>
        <v>10</v>
      </c>
      <c r="I2182">
        <f t="array" ref="I2182">SUMIF(A:A,A2182,F:F)</f>
        <v>36855.5</v>
      </c>
      <c r="J2182">
        <f t="array" ref="J2182">5 - INT(5 * (RANK(G2182,G:G, 1) - 1) / COUNT(G:G))</f>
        <v>4</v>
      </c>
      <c r="K2182">
        <f t="array" ref="K2182">INT(5 * (RANK(H2182,H:H, 0) - 1) / COUNT(H:H)) + 1</f>
        <v>2</v>
      </c>
      <c r="L2182">
        <f t="array" ref="L2182">INT(5 * (RANK(I2182,I:I, 0) - 1) / COUNT(I:I)) + 1</f>
        <v>2</v>
      </c>
      <c r="M2182" t="str">
        <f t="shared" si="68"/>
        <v>422</v>
      </c>
      <c r="N2182" s="6" t="str">
        <f t="shared" si="69"/>
        <v>New Customers</v>
      </c>
    </row>
    <row r="2183" spans="1:14" x14ac:dyDescent="0.35">
      <c r="A2183">
        <v>1235</v>
      </c>
      <c r="B2183" s="4">
        <v>45945.375085336993</v>
      </c>
      <c r="C2183" t="s">
        <v>11</v>
      </c>
      <c r="D2183" t="s">
        <v>17</v>
      </c>
      <c r="E2183" t="s">
        <v>25</v>
      </c>
      <c r="F2183">
        <v>2160.15</v>
      </c>
      <c r="G2183">
        <f t="array" ref="G2183">SalesData!$I$2 - 'RFM Table'!B2183</f>
        <v>191</v>
      </c>
      <c r="H2183">
        <f t="array" ref="H2183">COUNTIF(A:A,A2183)</f>
        <v>9</v>
      </c>
      <c r="I2183">
        <f t="array" ref="I2183">SUMIF(A:A,A2183,F:F)</f>
        <v>30846.7</v>
      </c>
      <c r="J2183">
        <f t="array" ref="J2183">5 - INT(5 * (RANK(G2183,G:G, 1) - 1) / COUNT(G:G))</f>
        <v>4</v>
      </c>
      <c r="K2183">
        <f t="array" ref="K2183">INT(5 * (RANK(H2183,H:H, 0) - 1) / COUNT(H:H)) + 1</f>
        <v>2</v>
      </c>
      <c r="L2183">
        <f t="array" ref="L2183">INT(5 * (RANK(I2183,I:I, 0) - 1) / COUNT(I:I)) + 1</f>
        <v>3</v>
      </c>
      <c r="M2183" t="str">
        <f t="shared" si="68"/>
        <v>423</v>
      </c>
      <c r="N2183" s="6" t="str">
        <f t="shared" si="69"/>
        <v>New Customers</v>
      </c>
    </row>
    <row r="2184" spans="1:14" x14ac:dyDescent="0.35">
      <c r="A2184">
        <v>1354</v>
      </c>
      <c r="B2184" s="4">
        <v>45946.375085336993</v>
      </c>
      <c r="C2184" t="s">
        <v>8</v>
      </c>
      <c r="D2184" t="s">
        <v>18</v>
      </c>
      <c r="E2184" t="s">
        <v>24</v>
      </c>
      <c r="F2184">
        <v>3141.66</v>
      </c>
      <c r="G2184">
        <f t="array" ref="G2184">SalesData!$I$2 - 'RFM Table'!B2184</f>
        <v>190</v>
      </c>
      <c r="H2184">
        <f t="array" ref="H2184">COUNTIF(A:A,A2184)</f>
        <v>7</v>
      </c>
      <c r="I2184">
        <f t="array" ref="I2184">SUMIF(A:A,A2184,F:F)</f>
        <v>30282.260000000002</v>
      </c>
      <c r="J2184">
        <f t="array" ref="J2184">5 - INT(5 * (RANK(G2184,G:G, 1) - 1) / COUNT(G:G))</f>
        <v>4</v>
      </c>
      <c r="K2184">
        <f t="array" ref="K2184">INT(5 * (RANK(H2184,H:H, 0) - 1) / COUNT(H:H)) + 1</f>
        <v>4</v>
      </c>
      <c r="L2184">
        <f t="array" ref="L2184">INT(5 * (RANK(I2184,I:I, 0) - 1) / COUNT(I:I)) + 1</f>
        <v>3</v>
      </c>
      <c r="M2184" t="str">
        <f t="shared" si="68"/>
        <v>443</v>
      </c>
      <c r="N2184" s="6" t="str">
        <f t="shared" si="69"/>
        <v>Others</v>
      </c>
    </row>
    <row r="2185" spans="1:14" x14ac:dyDescent="0.35">
      <c r="A2185">
        <v>1085</v>
      </c>
      <c r="B2185" s="4">
        <v>45946.375085336993</v>
      </c>
      <c r="C2185" t="s">
        <v>15</v>
      </c>
      <c r="D2185" t="s">
        <v>22</v>
      </c>
      <c r="E2185" t="s">
        <v>24</v>
      </c>
      <c r="F2185">
        <v>10614.64</v>
      </c>
      <c r="G2185">
        <f t="array" ref="G2185">SalesData!$I$2 - 'RFM Table'!B2185</f>
        <v>190</v>
      </c>
      <c r="H2185">
        <f t="array" ref="H2185">COUNTIF(A:A,A2185)</f>
        <v>10</v>
      </c>
      <c r="I2185">
        <f t="array" ref="I2185">SUMIF(A:A,A2185,F:F)</f>
        <v>50122.659999999996</v>
      </c>
      <c r="J2185">
        <f t="array" ref="J2185">5 - INT(5 * (RANK(G2185,G:G, 1) - 1) / COUNT(G:G))</f>
        <v>4</v>
      </c>
      <c r="K2185">
        <f t="array" ref="K2185">INT(5 * (RANK(H2185,H:H, 0) - 1) / COUNT(H:H)) + 1</f>
        <v>2</v>
      </c>
      <c r="L2185">
        <f t="array" ref="L2185">INT(5 * (RANK(I2185,I:I, 0) - 1) / COUNT(I:I)) + 1</f>
        <v>1</v>
      </c>
      <c r="M2185" t="str">
        <f t="shared" si="68"/>
        <v>421</v>
      </c>
      <c r="N2185" s="6" t="str">
        <f t="shared" si="69"/>
        <v>New Customers</v>
      </c>
    </row>
    <row r="2186" spans="1:14" x14ac:dyDescent="0.35">
      <c r="A2186">
        <v>1026</v>
      </c>
      <c r="B2186" s="4">
        <v>45946.375085336993</v>
      </c>
      <c r="C2186" t="s">
        <v>13</v>
      </c>
      <c r="D2186" t="s">
        <v>19</v>
      </c>
      <c r="E2186" t="s">
        <v>25</v>
      </c>
      <c r="F2186">
        <v>1054.68</v>
      </c>
      <c r="G2186">
        <f t="array" ref="G2186">SalesData!$I$2 - 'RFM Table'!B2186</f>
        <v>190</v>
      </c>
      <c r="H2186">
        <f t="array" ref="H2186">COUNTIF(A:A,A2186)</f>
        <v>7</v>
      </c>
      <c r="I2186">
        <f t="array" ref="I2186">SUMIF(A:A,A2186,F:F)</f>
        <v>24873.88</v>
      </c>
      <c r="J2186">
        <f t="array" ref="J2186">5 - INT(5 * (RANK(G2186,G:G, 1) - 1) / COUNT(G:G))</f>
        <v>4</v>
      </c>
      <c r="K2186">
        <f t="array" ref="K2186">INT(5 * (RANK(H2186,H:H, 0) - 1) / COUNT(H:H)) + 1</f>
        <v>4</v>
      </c>
      <c r="L2186">
        <f t="array" ref="L2186">INT(5 * (RANK(I2186,I:I, 0) - 1) / COUNT(I:I)) + 1</f>
        <v>4</v>
      </c>
      <c r="M2186" t="str">
        <f t="shared" si="68"/>
        <v>444</v>
      </c>
      <c r="N2186" s="6" t="str">
        <f t="shared" si="69"/>
        <v>Others</v>
      </c>
    </row>
    <row r="2187" spans="1:14" x14ac:dyDescent="0.35">
      <c r="A2187">
        <v>1039</v>
      </c>
      <c r="B2187" s="4">
        <v>45946.375085336993</v>
      </c>
      <c r="C2187" t="s">
        <v>8</v>
      </c>
      <c r="D2187" t="s">
        <v>19</v>
      </c>
      <c r="E2187" t="s">
        <v>25</v>
      </c>
      <c r="F2187">
        <v>3967.59</v>
      </c>
      <c r="G2187">
        <f t="array" ref="G2187">SalesData!$I$2 - 'RFM Table'!B2187</f>
        <v>190</v>
      </c>
      <c r="H2187">
        <f t="array" ref="H2187">COUNTIF(A:A,A2187)</f>
        <v>8</v>
      </c>
      <c r="I2187">
        <f t="array" ref="I2187">SUMIF(A:A,A2187,F:F)</f>
        <v>21286.739999999998</v>
      </c>
      <c r="J2187">
        <f t="array" ref="J2187">5 - INT(5 * (RANK(G2187,G:G, 1) - 1) / COUNT(G:G))</f>
        <v>4</v>
      </c>
      <c r="K2187">
        <f t="array" ref="K2187">INT(5 * (RANK(H2187,H:H, 0) - 1) / COUNT(H:H)) + 1</f>
        <v>3</v>
      </c>
      <c r="L2187">
        <f t="array" ref="L2187">INT(5 * (RANK(I2187,I:I, 0) - 1) / COUNT(I:I)) + 1</f>
        <v>5</v>
      </c>
      <c r="M2187" t="str">
        <f t="shared" si="68"/>
        <v>435</v>
      </c>
      <c r="N2187" s="6" t="str">
        <f t="shared" si="69"/>
        <v>Others</v>
      </c>
    </row>
    <row r="2188" spans="1:14" x14ac:dyDescent="0.35">
      <c r="A2188">
        <v>1201</v>
      </c>
      <c r="B2188" s="4">
        <v>45947.375085336993</v>
      </c>
      <c r="C2188" t="s">
        <v>13</v>
      </c>
      <c r="D2188" t="s">
        <v>18</v>
      </c>
      <c r="E2188" t="s">
        <v>25</v>
      </c>
      <c r="F2188">
        <v>5745.31</v>
      </c>
      <c r="G2188">
        <f t="array" ref="G2188">SalesData!$I$2 - 'RFM Table'!B2188</f>
        <v>189</v>
      </c>
      <c r="H2188">
        <f t="array" ref="H2188">COUNTIF(A:A,A2188)</f>
        <v>10</v>
      </c>
      <c r="I2188">
        <f t="array" ref="I2188">SUMIF(A:A,A2188,F:F)</f>
        <v>30897.65</v>
      </c>
      <c r="J2188">
        <f t="array" ref="J2188">5 - INT(5 * (RANK(G2188,G:G, 1) - 1) / COUNT(G:G))</f>
        <v>4</v>
      </c>
      <c r="K2188">
        <f t="array" ref="K2188">INT(5 * (RANK(H2188,H:H, 0) - 1) / COUNT(H:H)) + 1</f>
        <v>2</v>
      </c>
      <c r="L2188">
        <f t="array" ref="L2188">INT(5 * (RANK(I2188,I:I, 0) - 1) / COUNT(I:I)) + 1</f>
        <v>3</v>
      </c>
      <c r="M2188" t="str">
        <f t="shared" si="68"/>
        <v>423</v>
      </c>
      <c r="N2188" s="6" t="str">
        <f t="shared" si="69"/>
        <v>New Customers</v>
      </c>
    </row>
    <row r="2189" spans="1:14" x14ac:dyDescent="0.35">
      <c r="A2189">
        <v>1207</v>
      </c>
      <c r="B2189" s="4">
        <v>45947.375085336993</v>
      </c>
      <c r="C2189" t="s">
        <v>10</v>
      </c>
      <c r="D2189" t="s">
        <v>16</v>
      </c>
      <c r="E2189" t="s">
        <v>25</v>
      </c>
      <c r="F2189">
        <v>4394.57</v>
      </c>
      <c r="G2189">
        <f t="array" ref="G2189">SalesData!$I$2 - 'RFM Table'!B2189</f>
        <v>189</v>
      </c>
      <c r="H2189">
        <f t="array" ref="H2189">COUNTIF(A:A,A2189)</f>
        <v>7</v>
      </c>
      <c r="I2189">
        <f t="array" ref="I2189">SUMIF(A:A,A2189,F:F)</f>
        <v>24204.07</v>
      </c>
      <c r="J2189">
        <f t="array" ref="J2189">5 - INT(5 * (RANK(G2189,G:G, 1) - 1) / COUNT(G:G))</f>
        <v>4</v>
      </c>
      <c r="K2189">
        <f t="array" ref="K2189">INT(5 * (RANK(H2189,H:H, 0) - 1) / COUNT(H:H)) + 1</f>
        <v>4</v>
      </c>
      <c r="L2189">
        <f t="array" ref="L2189">INT(5 * (RANK(I2189,I:I, 0) - 1) / COUNT(I:I)) + 1</f>
        <v>4</v>
      </c>
      <c r="M2189" t="str">
        <f t="shared" si="68"/>
        <v>444</v>
      </c>
      <c r="N2189" s="6" t="str">
        <f t="shared" si="69"/>
        <v>Others</v>
      </c>
    </row>
    <row r="2190" spans="1:14" x14ac:dyDescent="0.35">
      <c r="A2190">
        <v>1119</v>
      </c>
      <c r="B2190" s="4">
        <v>45947.375085336993</v>
      </c>
      <c r="C2190" t="s">
        <v>13</v>
      </c>
      <c r="D2190" t="s">
        <v>19</v>
      </c>
      <c r="E2190" t="s">
        <v>25</v>
      </c>
      <c r="F2190">
        <v>5100.62</v>
      </c>
      <c r="G2190">
        <f t="array" ref="G2190">SalesData!$I$2 - 'RFM Table'!B2190</f>
        <v>189</v>
      </c>
      <c r="H2190">
        <f t="array" ref="H2190">COUNTIF(A:A,A2190)</f>
        <v>8</v>
      </c>
      <c r="I2190">
        <f t="array" ref="I2190">SUMIF(A:A,A2190,F:F)</f>
        <v>33012.819999999992</v>
      </c>
      <c r="J2190">
        <f t="array" ref="J2190">5 - INT(5 * (RANK(G2190,G:G, 1) - 1) / COUNT(G:G))</f>
        <v>4</v>
      </c>
      <c r="K2190">
        <f t="array" ref="K2190">INT(5 * (RANK(H2190,H:H, 0) - 1) / COUNT(H:H)) + 1</f>
        <v>3</v>
      </c>
      <c r="L2190">
        <f t="array" ref="L2190">INT(5 * (RANK(I2190,I:I, 0) - 1) / COUNT(I:I)) + 1</f>
        <v>3</v>
      </c>
      <c r="M2190" t="str">
        <f t="shared" si="68"/>
        <v>433</v>
      </c>
      <c r="N2190" s="6" t="str">
        <f t="shared" si="69"/>
        <v>Others</v>
      </c>
    </row>
    <row r="2191" spans="1:14" x14ac:dyDescent="0.35">
      <c r="A2191">
        <v>1098</v>
      </c>
      <c r="B2191" s="4">
        <v>45947.375085336993</v>
      </c>
      <c r="C2191" t="s">
        <v>7</v>
      </c>
      <c r="D2191" t="s">
        <v>16</v>
      </c>
      <c r="E2191" t="s">
        <v>23</v>
      </c>
      <c r="F2191">
        <v>3503.18</v>
      </c>
      <c r="G2191">
        <f t="array" ref="G2191">SalesData!$I$2 - 'RFM Table'!B2191</f>
        <v>189</v>
      </c>
      <c r="H2191">
        <f t="array" ref="H2191">COUNTIF(A:A,A2191)</f>
        <v>12</v>
      </c>
      <c r="I2191">
        <f t="array" ref="I2191">SUMIF(A:A,A2191,F:F)</f>
        <v>36909.899999999994</v>
      </c>
      <c r="J2191">
        <f t="array" ref="J2191">5 - INT(5 * (RANK(G2191,G:G, 1) - 1) / COUNT(G:G))</f>
        <v>4</v>
      </c>
      <c r="K2191">
        <f t="array" ref="K2191">INT(5 * (RANK(H2191,H:H, 0) - 1) / COUNT(H:H)) + 1</f>
        <v>1</v>
      </c>
      <c r="L2191">
        <f t="array" ref="L2191">INT(5 * (RANK(I2191,I:I, 0) - 1) / COUNT(I:I)) + 1</f>
        <v>2</v>
      </c>
      <c r="M2191" t="str">
        <f t="shared" si="68"/>
        <v>412</v>
      </c>
      <c r="N2191" s="6" t="str">
        <f t="shared" si="69"/>
        <v>New Customers</v>
      </c>
    </row>
    <row r="2192" spans="1:14" x14ac:dyDescent="0.35">
      <c r="A2192">
        <v>1151</v>
      </c>
      <c r="B2192" s="4">
        <v>45947.375085336993</v>
      </c>
      <c r="C2192" t="s">
        <v>10</v>
      </c>
      <c r="D2192" t="s">
        <v>18</v>
      </c>
      <c r="E2192" t="s">
        <v>23</v>
      </c>
      <c r="F2192">
        <v>7084.85</v>
      </c>
      <c r="G2192">
        <f t="array" ref="G2192">SalesData!$I$2 - 'RFM Table'!B2192</f>
        <v>189</v>
      </c>
      <c r="H2192">
        <f t="array" ref="H2192">COUNTIF(A:A,A2192)</f>
        <v>13</v>
      </c>
      <c r="I2192">
        <f t="array" ref="I2192">SUMIF(A:A,A2192,F:F)</f>
        <v>49208.94</v>
      </c>
      <c r="J2192">
        <f t="array" ref="J2192">5 - INT(5 * (RANK(G2192,G:G, 1) - 1) / COUNT(G:G))</f>
        <v>4</v>
      </c>
      <c r="K2192">
        <f t="array" ref="K2192">INT(5 * (RANK(H2192,H:H, 0) - 1) / COUNT(H:H)) + 1</f>
        <v>1</v>
      </c>
      <c r="L2192">
        <f t="array" ref="L2192">INT(5 * (RANK(I2192,I:I, 0) - 1) / COUNT(I:I)) + 1</f>
        <v>1</v>
      </c>
      <c r="M2192" t="str">
        <f t="shared" si="68"/>
        <v>411</v>
      </c>
      <c r="N2192" s="6" t="str">
        <f t="shared" si="69"/>
        <v>New Customers</v>
      </c>
    </row>
    <row r="2193" spans="1:14" x14ac:dyDescent="0.35">
      <c r="A2193">
        <v>1338</v>
      </c>
      <c r="B2193" s="4">
        <v>45947.375085336993</v>
      </c>
      <c r="C2193" t="s">
        <v>14</v>
      </c>
      <c r="D2193" t="s">
        <v>20</v>
      </c>
      <c r="E2193" t="s">
        <v>24</v>
      </c>
      <c r="F2193">
        <v>6405.12</v>
      </c>
      <c r="G2193">
        <f t="array" ref="G2193">SalesData!$I$2 - 'RFM Table'!B2193</f>
        <v>189</v>
      </c>
      <c r="H2193">
        <f t="array" ref="H2193">COUNTIF(A:A,A2193)</f>
        <v>5</v>
      </c>
      <c r="I2193">
        <f t="array" ref="I2193">SUMIF(A:A,A2193,F:F)</f>
        <v>21171.439999999999</v>
      </c>
      <c r="J2193">
        <f t="array" ref="J2193">5 - INT(5 * (RANK(G2193,G:G, 1) - 1) / COUNT(G:G))</f>
        <v>4</v>
      </c>
      <c r="K2193">
        <f t="array" ref="K2193">INT(5 * (RANK(H2193,H:H, 0) - 1) / COUNT(H:H)) + 1</f>
        <v>5</v>
      </c>
      <c r="L2193">
        <f t="array" ref="L2193">INT(5 * (RANK(I2193,I:I, 0) - 1) / COUNT(I:I)) + 1</f>
        <v>5</v>
      </c>
      <c r="M2193" t="str">
        <f t="shared" si="68"/>
        <v>455</v>
      </c>
      <c r="N2193" s="6" t="str">
        <f t="shared" si="69"/>
        <v>Others</v>
      </c>
    </row>
    <row r="2194" spans="1:14" x14ac:dyDescent="0.35">
      <c r="A2194">
        <v>1145</v>
      </c>
      <c r="B2194" s="4">
        <v>45948.375085336993</v>
      </c>
      <c r="C2194" t="s">
        <v>7</v>
      </c>
      <c r="D2194" t="s">
        <v>17</v>
      </c>
      <c r="E2194" t="s">
        <v>25</v>
      </c>
      <c r="F2194">
        <v>2577.11</v>
      </c>
      <c r="G2194">
        <f t="array" ref="G2194">SalesData!$I$2 - 'RFM Table'!B2194</f>
        <v>188</v>
      </c>
      <c r="H2194">
        <f t="array" ref="H2194">COUNTIF(A:A,A2194)</f>
        <v>9</v>
      </c>
      <c r="I2194">
        <f t="array" ref="I2194">SUMIF(A:A,A2194,F:F)</f>
        <v>36233.340000000004</v>
      </c>
      <c r="J2194">
        <f t="array" ref="J2194">5 - INT(5 * (RANK(G2194,G:G, 1) - 1) / COUNT(G:G))</f>
        <v>4</v>
      </c>
      <c r="K2194">
        <f t="array" ref="K2194">INT(5 * (RANK(H2194,H:H, 0) - 1) / COUNT(H:H)) + 1</f>
        <v>2</v>
      </c>
      <c r="L2194">
        <f t="array" ref="L2194">INT(5 * (RANK(I2194,I:I, 0) - 1) / COUNT(I:I)) + 1</f>
        <v>3</v>
      </c>
      <c r="M2194" t="str">
        <f t="shared" si="68"/>
        <v>423</v>
      </c>
      <c r="N2194" s="6" t="str">
        <f t="shared" si="69"/>
        <v>New Customers</v>
      </c>
    </row>
    <row r="2195" spans="1:14" x14ac:dyDescent="0.35">
      <c r="A2195">
        <v>1303</v>
      </c>
      <c r="B2195" s="4">
        <v>45948.375085336993</v>
      </c>
      <c r="C2195" t="s">
        <v>12</v>
      </c>
      <c r="D2195" t="s">
        <v>19</v>
      </c>
      <c r="E2195" t="s">
        <v>24</v>
      </c>
      <c r="F2195">
        <v>3255.49</v>
      </c>
      <c r="G2195">
        <f t="array" ref="G2195">SalesData!$I$2 - 'RFM Table'!B2195</f>
        <v>188</v>
      </c>
      <c r="H2195">
        <f t="array" ref="H2195">COUNTIF(A:A,A2195)</f>
        <v>9</v>
      </c>
      <c r="I2195">
        <f t="array" ref="I2195">SUMIF(A:A,A2195,F:F)</f>
        <v>27888.809999999998</v>
      </c>
      <c r="J2195">
        <f t="array" ref="J2195">5 - INT(5 * (RANK(G2195,G:G, 1) - 1) / COUNT(G:G))</f>
        <v>4</v>
      </c>
      <c r="K2195">
        <f t="array" ref="K2195">INT(5 * (RANK(H2195,H:H, 0) - 1) / COUNT(H:H)) + 1</f>
        <v>2</v>
      </c>
      <c r="L2195">
        <f t="array" ref="L2195">INT(5 * (RANK(I2195,I:I, 0) - 1) / COUNT(I:I)) + 1</f>
        <v>4</v>
      </c>
      <c r="M2195" t="str">
        <f t="shared" si="68"/>
        <v>424</v>
      </c>
      <c r="N2195" s="6" t="str">
        <f t="shared" si="69"/>
        <v>New Customers</v>
      </c>
    </row>
    <row r="2196" spans="1:14" x14ac:dyDescent="0.35">
      <c r="A2196">
        <v>1288</v>
      </c>
      <c r="B2196" s="4">
        <v>45949.375085336993</v>
      </c>
      <c r="C2196" t="s">
        <v>12</v>
      </c>
      <c r="D2196" t="s">
        <v>18</v>
      </c>
      <c r="E2196" t="s">
        <v>23</v>
      </c>
      <c r="F2196">
        <v>4782.8500000000004</v>
      </c>
      <c r="G2196">
        <f t="array" ref="G2196">SalesData!$I$2 - 'RFM Table'!B2196</f>
        <v>187</v>
      </c>
      <c r="H2196">
        <f t="array" ref="H2196">COUNTIF(A:A,A2196)</f>
        <v>13</v>
      </c>
      <c r="I2196">
        <f t="array" ref="I2196">SUMIF(A:A,A2196,F:F)</f>
        <v>40219.18</v>
      </c>
      <c r="J2196">
        <f t="array" ref="J2196">5 - INT(5 * (RANK(G2196,G:G, 1) - 1) / COUNT(G:G))</f>
        <v>4</v>
      </c>
      <c r="K2196">
        <f t="array" ref="K2196">INT(5 * (RANK(H2196,H:H, 0) - 1) / COUNT(H:H)) + 1</f>
        <v>1</v>
      </c>
      <c r="L2196">
        <f t="array" ref="L2196">INT(5 * (RANK(I2196,I:I, 0) - 1) / COUNT(I:I)) + 1</f>
        <v>2</v>
      </c>
      <c r="M2196" t="str">
        <f t="shared" si="68"/>
        <v>412</v>
      </c>
      <c r="N2196" s="6" t="str">
        <f t="shared" si="69"/>
        <v>New Customers</v>
      </c>
    </row>
    <row r="2197" spans="1:14" x14ac:dyDescent="0.35">
      <c r="A2197">
        <v>1355</v>
      </c>
      <c r="B2197" s="4">
        <v>45949.375085336993</v>
      </c>
      <c r="C2197" t="s">
        <v>10</v>
      </c>
      <c r="D2197" t="s">
        <v>21</v>
      </c>
      <c r="E2197" t="s">
        <v>23</v>
      </c>
      <c r="F2197">
        <v>726.03</v>
      </c>
      <c r="G2197">
        <f t="array" ref="G2197">SalesData!$I$2 - 'RFM Table'!B2197</f>
        <v>187</v>
      </c>
      <c r="H2197">
        <f t="array" ref="H2197">COUNTIF(A:A,A2197)</f>
        <v>6</v>
      </c>
      <c r="I2197">
        <f t="array" ref="I2197">SUMIF(A:A,A2197,F:F)</f>
        <v>21250.21</v>
      </c>
      <c r="J2197">
        <f t="array" ref="J2197">5 - INT(5 * (RANK(G2197,G:G, 1) - 1) / COUNT(G:G))</f>
        <v>4</v>
      </c>
      <c r="K2197">
        <f t="array" ref="K2197">INT(5 * (RANK(H2197,H:H, 0) - 1) / COUNT(H:H)) + 1</f>
        <v>4</v>
      </c>
      <c r="L2197">
        <f t="array" ref="L2197">INT(5 * (RANK(I2197,I:I, 0) - 1) / COUNT(I:I)) + 1</f>
        <v>5</v>
      </c>
      <c r="M2197" t="str">
        <f t="shared" si="68"/>
        <v>445</v>
      </c>
      <c r="N2197" s="6" t="str">
        <f t="shared" si="69"/>
        <v>Others</v>
      </c>
    </row>
    <row r="2198" spans="1:14" x14ac:dyDescent="0.35">
      <c r="A2198">
        <v>1370</v>
      </c>
      <c r="B2198" s="4">
        <v>45949.375085336993</v>
      </c>
      <c r="C2198" t="s">
        <v>13</v>
      </c>
      <c r="D2198" t="s">
        <v>16</v>
      </c>
      <c r="E2198" t="s">
        <v>25</v>
      </c>
      <c r="F2198">
        <v>1805.68</v>
      </c>
      <c r="G2198">
        <f t="array" ref="G2198">SalesData!$I$2 - 'RFM Table'!B2198</f>
        <v>187</v>
      </c>
      <c r="H2198">
        <f t="array" ref="H2198">COUNTIF(A:A,A2198)</f>
        <v>12</v>
      </c>
      <c r="I2198">
        <f t="array" ref="I2198">SUMIF(A:A,A2198,F:F)</f>
        <v>46195.360000000001</v>
      </c>
      <c r="J2198">
        <f t="array" ref="J2198">5 - INT(5 * (RANK(G2198,G:G, 1) - 1) / COUNT(G:G))</f>
        <v>4</v>
      </c>
      <c r="K2198">
        <f t="array" ref="K2198">INT(5 * (RANK(H2198,H:H, 0) - 1) / COUNT(H:H)) + 1</f>
        <v>1</v>
      </c>
      <c r="L2198">
        <f t="array" ref="L2198">INT(5 * (RANK(I2198,I:I, 0) - 1) / COUNT(I:I)) + 1</f>
        <v>1</v>
      </c>
      <c r="M2198" t="str">
        <f t="shared" si="68"/>
        <v>411</v>
      </c>
      <c r="N2198" s="6" t="str">
        <f t="shared" si="69"/>
        <v>New Customers</v>
      </c>
    </row>
    <row r="2199" spans="1:14" x14ac:dyDescent="0.35">
      <c r="A2199">
        <v>1096</v>
      </c>
      <c r="B2199" s="4">
        <v>45949.375085336993</v>
      </c>
      <c r="C2199" t="s">
        <v>12</v>
      </c>
      <c r="D2199" t="s">
        <v>21</v>
      </c>
      <c r="E2199" t="s">
        <v>23</v>
      </c>
      <c r="F2199">
        <v>2774.83</v>
      </c>
      <c r="G2199">
        <f t="array" ref="G2199">SalesData!$I$2 - 'RFM Table'!B2199</f>
        <v>187</v>
      </c>
      <c r="H2199">
        <f t="array" ref="H2199">COUNTIF(A:A,A2199)</f>
        <v>6</v>
      </c>
      <c r="I2199">
        <f t="array" ref="I2199">SUMIF(A:A,A2199,F:F)</f>
        <v>11900.869999999999</v>
      </c>
      <c r="J2199">
        <f t="array" ref="J2199">5 - INT(5 * (RANK(G2199,G:G, 1) - 1) / COUNT(G:G))</f>
        <v>4</v>
      </c>
      <c r="K2199">
        <f t="array" ref="K2199">INT(5 * (RANK(H2199,H:H, 0) - 1) / COUNT(H:H)) + 1</f>
        <v>4</v>
      </c>
      <c r="L2199">
        <f t="array" ref="L2199">INT(5 * (RANK(I2199,I:I, 0) - 1) / COUNT(I:I)) + 1</f>
        <v>5</v>
      </c>
      <c r="M2199" t="str">
        <f t="shared" si="68"/>
        <v>445</v>
      </c>
      <c r="N2199" s="6" t="str">
        <f t="shared" si="69"/>
        <v>Others</v>
      </c>
    </row>
    <row r="2200" spans="1:14" x14ac:dyDescent="0.35">
      <c r="A2200">
        <v>1135</v>
      </c>
      <c r="B2200" s="4">
        <v>45949.375085336993</v>
      </c>
      <c r="C2200" t="s">
        <v>6</v>
      </c>
      <c r="D2200" t="s">
        <v>21</v>
      </c>
      <c r="E2200" t="s">
        <v>25</v>
      </c>
      <c r="F2200">
        <v>5765.2</v>
      </c>
      <c r="G2200">
        <f t="array" ref="G2200">SalesData!$I$2 - 'RFM Table'!B2200</f>
        <v>187</v>
      </c>
      <c r="H2200">
        <f t="array" ref="H2200">COUNTIF(A:A,A2200)</f>
        <v>10</v>
      </c>
      <c r="I2200">
        <f t="array" ref="I2200">SUMIF(A:A,A2200,F:F)</f>
        <v>31217.780000000002</v>
      </c>
      <c r="J2200">
        <f t="array" ref="J2200">5 - INT(5 * (RANK(G2200,G:G, 1) - 1) / COUNT(G:G))</f>
        <v>4</v>
      </c>
      <c r="K2200">
        <f t="array" ref="K2200">INT(5 * (RANK(H2200,H:H, 0) - 1) / COUNT(H:H)) + 1</f>
        <v>2</v>
      </c>
      <c r="L2200">
        <f t="array" ref="L2200">INT(5 * (RANK(I2200,I:I, 0) - 1) / COUNT(I:I)) + 1</f>
        <v>3</v>
      </c>
      <c r="M2200" t="str">
        <f t="shared" si="68"/>
        <v>423</v>
      </c>
      <c r="N2200" s="6" t="str">
        <f t="shared" si="69"/>
        <v>New Customers</v>
      </c>
    </row>
    <row r="2201" spans="1:14" x14ac:dyDescent="0.35">
      <c r="A2201">
        <v>1339</v>
      </c>
      <c r="B2201" s="4">
        <v>45951.375085336993</v>
      </c>
      <c r="C2201" t="s">
        <v>15</v>
      </c>
      <c r="D2201" t="s">
        <v>16</v>
      </c>
      <c r="E2201" t="s">
        <v>23</v>
      </c>
      <c r="F2201">
        <v>9886.4500000000007</v>
      </c>
      <c r="G2201">
        <f t="array" ref="G2201">SalesData!$I$2 - 'RFM Table'!B2201</f>
        <v>185</v>
      </c>
      <c r="H2201">
        <f t="array" ref="H2201">COUNTIF(A:A,A2201)</f>
        <v>8</v>
      </c>
      <c r="I2201">
        <f t="array" ref="I2201">SUMIF(A:A,A2201,F:F)</f>
        <v>30873.260000000002</v>
      </c>
      <c r="J2201">
        <f t="array" ref="J2201">5 - INT(5 * (RANK(G2201,G:G, 1) - 1) / COUNT(G:G))</f>
        <v>4</v>
      </c>
      <c r="K2201">
        <f t="array" ref="K2201">INT(5 * (RANK(H2201,H:H, 0) - 1) / COUNT(H:H)) + 1</f>
        <v>3</v>
      </c>
      <c r="L2201">
        <f t="array" ref="L2201">INT(5 * (RANK(I2201,I:I, 0) - 1) / COUNT(I:I)) + 1</f>
        <v>3</v>
      </c>
      <c r="M2201" t="str">
        <f t="shared" si="68"/>
        <v>433</v>
      </c>
      <c r="N2201" s="6" t="str">
        <f t="shared" si="69"/>
        <v>Others</v>
      </c>
    </row>
    <row r="2202" spans="1:14" x14ac:dyDescent="0.35">
      <c r="A2202">
        <v>1318</v>
      </c>
      <c r="B2202" s="4">
        <v>45951.375085336993</v>
      </c>
      <c r="C2202" t="s">
        <v>13</v>
      </c>
      <c r="D2202" t="s">
        <v>17</v>
      </c>
      <c r="E2202" t="s">
        <v>23</v>
      </c>
      <c r="F2202">
        <v>1996.85</v>
      </c>
      <c r="G2202">
        <f t="array" ref="G2202">SalesData!$I$2 - 'RFM Table'!B2202</f>
        <v>185</v>
      </c>
      <c r="H2202">
        <f t="array" ref="H2202">COUNTIF(A:A,A2202)</f>
        <v>8</v>
      </c>
      <c r="I2202">
        <f t="array" ref="I2202">SUMIF(A:A,A2202,F:F)</f>
        <v>45571.029999999992</v>
      </c>
      <c r="J2202">
        <f t="array" ref="J2202">5 - INT(5 * (RANK(G2202,G:G, 1) - 1) / COUNT(G:G))</f>
        <v>4</v>
      </c>
      <c r="K2202">
        <f t="array" ref="K2202">INT(5 * (RANK(H2202,H:H, 0) - 1) / COUNT(H:H)) + 1</f>
        <v>3</v>
      </c>
      <c r="L2202">
        <f t="array" ref="L2202">INT(5 * (RANK(I2202,I:I, 0) - 1) / COUNT(I:I)) + 1</f>
        <v>1</v>
      </c>
      <c r="M2202" t="str">
        <f t="shared" si="68"/>
        <v>431</v>
      </c>
      <c r="N2202" s="6" t="str">
        <f t="shared" si="69"/>
        <v>Others</v>
      </c>
    </row>
    <row r="2203" spans="1:14" x14ac:dyDescent="0.35">
      <c r="A2203">
        <v>1372</v>
      </c>
      <c r="B2203" s="4">
        <v>45952.375085336993</v>
      </c>
      <c r="C2203" t="s">
        <v>15</v>
      </c>
      <c r="D2203" t="s">
        <v>17</v>
      </c>
      <c r="E2203" t="s">
        <v>25</v>
      </c>
      <c r="F2203">
        <v>663.65</v>
      </c>
      <c r="G2203">
        <f t="array" ref="G2203">SalesData!$I$2 - 'RFM Table'!B2203</f>
        <v>184</v>
      </c>
      <c r="H2203">
        <f t="array" ref="H2203">COUNTIF(A:A,A2203)</f>
        <v>9</v>
      </c>
      <c r="I2203">
        <f t="array" ref="I2203">SUMIF(A:A,A2203,F:F)</f>
        <v>32843.11</v>
      </c>
      <c r="J2203">
        <f t="array" ref="J2203">5 - INT(5 * (RANK(G2203,G:G, 1) - 1) / COUNT(G:G))</f>
        <v>4</v>
      </c>
      <c r="K2203">
        <f t="array" ref="K2203">INT(5 * (RANK(H2203,H:H, 0) - 1) / COUNT(H:H)) + 1</f>
        <v>2</v>
      </c>
      <c r="L2203">
        <f t="array" ref="L2203">INT(5 * (RANK(I2203,I:I, 0) - 1) / COUNT(I:I)) + 1</f>
        <v>3</v>
      </c>
      <c r="M2203" t="str">
        <f t="shared" si="68"/>
        <v>423</v>
      </c>
      <c r="N2203" s="6" t="str">
        <f t="shared" si="69"/>
        <v>New Customers</v>
      </c>
    </row>
    <row r="2204" spans="1:14" x14ac:dyDescent="0.35">
      <c r="A2204">
        <v>1091</v>
      </c>
      <c r="B2204" s="4">
        <v>45952.375085336993</v>
      </c>
      <c r="C2204" t="s">
        <v>6</v>
      </c>
      <c r="D2204" t="s">
        <v>18</v>
      </c>
      <c r="E2204" t="s">
        <v>23</v>
      </c>
      <c r="F2204">
        <v>1741.07</v>
      </c>
      <c r="G2204">
        <f t="array" ref="G2204">SalesData!$I$2 - 'RFM Table'!B2204</f>
        <v>184</v>
      </c>
      <c r="H2204">
        <f t="array" ref="H2204">COUNTIF(A:A,A2204)</f>
        <v>11</v>
      </c>
      <c r="I2204">
        <f t="array" ref="I2204">SUMIF(A:A,A2204,F:F)</f>
        <v>39808.47</v>
      </c>
      <c r="J2204">
        <f t="array" ref="J2204">5 - INT(5 * (RANK(G2204,G:G, 1) - 1) / COUNT(G:G))</f>
        <v>4</v>
      </c>
      <c r="K2204">
        <f t="array" ref="K2204">INT(5 * (RANK(H2204,H:H, 0) - 1) / COUNT(H:H)) + 1</f>
        <v>1</v>
      </c>
      <c r="L2204">
        <f t="array" ref="L2204">INT(5 * (RANK(I2204,I:I, 0) - 1) / COUNT(I:I)) + 1</f>
        <v>2</v>
      </c>
      <c r="M2204" t="str">
        <f t="shared" si="68"/>
        <v>412</v>
      </c>
      <c r="N2204" s="6" t="str">
        <f t="shared" si="69"/>
        <v>New Customers</v>
      </c>
    </row>
    <row r="2205" spans="1:14" x14ac:dyDescent="0.35">
      <c r="A2205">
        <v>1098</v>
      </c>
      <c r="B2205" s="4">
        <v>45952.375085336993</v>
      </c>
      <c r="C2205" t="s">
        <v>13</v>
      </c>
      <c r="D2205" t="s">
        <v>19</v>
      </c>
      <c r="E2205" t="s">
        <v>24</v>
      </c>
      <c r="F2205">
        <v>5049.51</v>
      </c>
      <c r="G2205">
        <f t="array" ref="G2205">SalesData!$I$2 - 'RFM Table'!B2205</f>
        <v>184</v>
      </c>
      <c r="H2205">
        <f t="array" ref="H2205">COUNTIF(A:A,A2205)</f>
        <v>12</v>
      </c>
      <c r="I2205">
        <f t="array" ref="I2205">SUMIF(A:A,A2205,F:F)</f>
        <v>36909.899999999994</v>
      </c>
      <c r="J2205">
        <f t="array" ref="J2205">5 - INT(5 * (RANK(G2205,G:G, 1) - 1) / COUNT(G:G))</f>
        <v>4</v>
      </c>
      <c r="K2205">
        <f t="array" ref="K2205">INT(5 * (RANK(H2205,H:H, 0) - 1) / COUNT(H:H)) + 1</f>
        <v>1</v>
      </c>
      <c r="L2205">
        <f t="array" ref="L2205">INT(5 * (RANK(I2205,I:I, 0) - 1) / COUNT(I:I)) + 1</f>
        <v>2</v>
      </c>
      <c r="M2205" t="str">
        <f t="shared" si="68"/>
        <v>412</v>
      </c>
      <c r="N2205" s="6" t="str">
        <f t="shared" si="69"/>
        <v>New Customers</v>
      </c>
    </row>
    <row r="2206" spans="1:14" x14ac:dyDescent="0.35">
      <c r="A2206">
        <v>1038</v>
      </c>
      <c r="B2206" s="4">
        <v>45952.375085336993</v>
      </c>
      <c r="C2206" t="s">
        <v>8</v>
      </c>
      <c r="D2206" t="s">
        <v>20</v>
      </c>
      <c r="E2206" t="s">
        <v>23</v>
      </c>
      <c r="F2206">
        <v>3545.01</v>
      </c>
      <c r="G2206">
        <f t="array" ref="G2206">SalesData!$I$2 - 'RFM Table'!B2206</f>
        <v>184</v>
      </c>
      <c r="H2206">
        <f t="array" ref="H2206">COUNTIF(A:A,A2206)</f>
        <v>16</v>
      </c>
      <c r="I2206">
        <f t="array" ref="I2206">SUMIF(A:A,A2206,F:F)</f>
        <v>76962.720000000001</v>
      </c>
      <c r="J2206">
        <f t="array" ref="J2206">5 - INT(5 * (RANK(G2206,G:G, 1) - 1) / COUNT(G:G))</f>
        <v>4</v>
      </c>
      <c r="K2206">
        <f t="array" ref="K2206">INT(5 * (RANK(H2206,H:H, 0) - 1) / COUNT(H:H)) + 1</f>
        <v>1</v>
      </c>
      <c r="L2206">
        <f t="array" ref="L2206">INT(5 * (RANK(I2206,I:I, 0) - 1) / COUNT(I:I)) + 1</f>
        <v>1</v>
      </c>
      <c r="M2206" t="str">
        <f t="shared" si="68"/>
        <v>411</v>
      </c>
      <c r="N2206" s="6" t="str">
        <f t="shared" si="69"/>
        <v>New Customers</v>
      </c>
    </row>
    <row r="2207" spans="1:14" x14ac:dyDescent="0.35">
      <c r="A2207">
        <v>1362</v>
      </c>
      <c r="B2207" s="4">
        <v>45952.375085336993</v>
      </c>
      <c r="C2207" t="s">
        <v>14</v>
      </c>
      <c r="D2207" t="s">
        <v>22</v>
      </c>
      <c r="E2207" t="s">
        <v>25</v>
      </c>
      <c r="F2207">
        <v>7903.47</v>
      </c>
      <c r="G2207">
        <f t="array" ref="G2207">SalesData!$I$2 - 'RFM Table'!B2207</f>
        <v>184</v>
      </c>
      <c r="H2207">
        <f t="array" ref="H2207">COUNTIF(A:A,A2207)</f>
        <v>5</v>
      </c>
      <c r="I2207">
        <f t="array" ref="I2207">SUMIF(A:A,A2207,F:F)</f>
        <v>30121.440000000002</v>
      </c>
      <c r="J2207">
        <f t="array" ref="J2207">5 - INT(5 * (RANK(G2207,G:G, 1) - 1) / COUNT(G:G))</f>
        <v>4</v>
      </c>
      <c r="K2207">
        <f t="array" ref="K2207">INT(5 * (RANK(H2207,H:H, 0) - 1) / COUNT(H:H)) + 1</f>
        <v>5</v>
      </c>
      <c r="L2207">
        <f t="array" ref="L2207">INT(5 * (RANK(I2207,I:I, 0) - 1) / COUNT(I:I)) + 1</f>
        <v>3</v>
      </c>
      <c r="M2207" t="str">
        <f t="shared" si="68"/>
        <v>453</v>
      </c>
      <c r="N2207" s="6" t="str">
        <f t="shared" si="69"/>
        <v>Others</v>
      </c>
    </row>
    <row r="2208" spans="1:14" x14ac:dyDescent="0.35">
      <c r="A2208">
        <v>1146</v>
      </c>
      <c r="B2208" s="4">
        <v>45953.375085336993</v>
      </c>
      <c r="C2208" t="s">
        <v>12</v>
      </c>
      <c r="D2208" t="s">
        <v>16</v>
      </c>
      <c r="E2208" t="s">
        <v>25</v>
      </c>
      <c r="F2208">
        <v>1712.38</v>
      </c>
      <c r="G2208">
        <f t="array" ref="G2208">SalesData!$I$2 - 'RFM Table'!B2208</f>
        <v>183</v>
      </c>
      <c r="H2208">
        <f t="array" ref="H2208">COUNTIF(A:A,A2208)</f>
        <v>11</v>
      </c>
      <c r="I2208">
        <f t="array" ref="I2208">SUMIF(A:A,A2208,F:F)</f>
        <v>43110.84</v>
      </c>
      <c r="J2208">
        <f t="array" ref="J2208">5 - INT(5 * (RANK(G2208,G:G, 1) - 1) / COUNT(G:G))</f>
        <v>4</v>
      </c>
      <c r="K2208">
        <f t="array" ref="K2208">INT(5 * (RANK(H2208,H:H, 0) - 1) / COUNT(H:H)) + 1</f>
        <v>1</v>
      </c>
      <c r="L2208">
        <f t="array" ref="L2208">INT(5 * (RANK(I2208,I:I, 0) - 1) / COUNT(I:I)) + 1</f>
        <v>2</v>
      </c>
      <c r="M2208" t="str">
        <f t="shared" si="68"/>
        <v>412</v>
      </c>
      <c r="N2208" s="6" t="str">
        <f t="shared" si="69"/>
        <v>New Customers</v>
      </c>
    </row>
    <row r="2209" spans="1:14" x14ac:dyDescent="0.35">
      <c r="A2209">
        <v>1251</v>
      </c>
      <c r="B2209" s="4">
        <v>45953.375085336993</v>
      </c>
      <c r="C2209" t="s">
        <v>13</v>
      </c>
      <c r="D2209" t="s">
        <v>20</v>
      </c>
      <c r="E2209" t="s">
        <v>23</v>
      </c>
      <c r="F2209">
        <v>9312.16</v>
      </c>
      <c r="G2209">
        <f t="array" ref="G2209">SalesData!$I$2 - 'RFM Table'!B2209</f>
        <v>183</v>
      </c>
      <c r="H2209">
        <f t="array" ref="H2209">COUNTIF(A:A,A2209)</f>
        <v>9</v>
      </c>
      <c r="I2209">
        <f t="array" ref="I2209">SUMIF(A:A,A2209,F:F)</f>
        <v>39183.29</v>
      </c>
      <c r="J2209">
        <f t="array" ref="J2209">5 - INT(5 * (RANK(G2209,G:G, 1) - 1) / COUNT(G:G))</f>
        <v>4</v>
      </c>
      <c r="K2209">
        <f t="array" ref="K2209">INT(5 * (RANK(H2209,H:H, 0) - 1) / COUNT(H:H)) + 1</f>
        <v>2</v>
      </c>
      <c r="L2209">
        <f t="array" ref="L2209">INT(5 * (RANK(I2209,I:I, 0) - 1) / COUNT(I:I)) + 1</f>
        <v>2</v>
      </c>
      <c r="M2209" t="str">
        <f t="shared" si="68"/>
        <v>422</v>
      </c>
      <c r="N2209" s="6" t="str">
        <f t="shared" si="69"/>
        <v>New Customers</v>
      </c>
    </row>
    <row r="2210" spans="1:14" x14ac:dyDescent="0.35">
      <c r="A2210">
        <v>1375</v>
      </c>
      <c r="B2210" s="4">
        <v>45953.375085336993</v>
      </c>
      <c r="C2210" t="s">
        <v>11</v>
      </c>
      <c r="D2210" t="s">
        <v>21</v>
      </c>
      <c r="E2210" t="s">
        <v>24</v>
      </c>
      <c r="F2210">
        <v>3519.83</v>
      </c>
      <c r="G2210">
        <f t="array" ref="G2210">SalesData!$I$2 - 'RFM Table'!B2210</f>
        <v>183</v>
      </c>
      <c r="H2210">
        <f t="array" ref="H2210">COUNTIF(A:A,A2210)</f>
        <v>9</v>
      </c>
      <c r="I2210">
        <f t="array" ref="I2210">SUMIF(A:A,A2210,F:F)</f>
        <v>37215.54</v>
      </c>
      <c r="J2210">
        <f t="array" ref="J2210">5 - INT(5 * (RANK(G2210,G:G, 1) - 1) / COUNT(G:G))</f>
        <v>4</v>
      </c>
      <c r="K2210">
        <f t="array" ref="K2210">INT(5 * (RANK(H2210,H:H, 0) - 1) / COUNT(H:H)) + 1</f>
        <v>2</v>
      </c>
      <c r="L2210">
        <f t="array" ref="L2210">INT(5 * (RANK(I2210,I:I, 0) - 1) / COUNT(I:I)) + 1</f>
        <v>2</v>
      </c>
      <c r="M2210" t="str">
        <f t="shared" si="68"/>
        <v>422</v>
      </c>
      <c r="N2210" s="6" t="str">
        <f t="shared" si="69"/>
        <v>New Customers</v>
      </c>
    </row>
    <row r="2211" spans="1:14" x14ac:dyDescent="0.35">
      <c r="A2211">
        <v>1093</v>
      </c>
      <c r="B2211" s="4">
        <v>45954.375085336993</v>
      </c>
      <c r="C2211" t="s">
        <v>7</v>
      </c>
      <c r="D2211" t="s">
        <v>18</v>
      </c>
      <c r="E2211" t="s">
        <v>23</v>
      </c>
      <c r="F2211">
        <v>639.1</v>
      </c>
      <c r="G2211">
        <f t="array" ref="G2211">SalesData!$I$2 - 'RFM Table'!B2211</f>
        <v>182</v>
      </c>
      <c r="H2211">
        <f t="array" ref="H2211">COUNTIF(A:A,A2211)</f>
        <v>3</v>
      </c>
      <c r="I2211">
        <f t="array" ref="I2211">SUMIF(A:A,A2211,F:F)</f>
        <v>12014.18</v>
      </c>
      <c r="J2211">
        <f t="array" ref="J2211">5 - INT(5 * (RANK(G2211,G:G, 1) - 1) / COUNT(G:G))</f>
        <v>4</v>
      </c>
      <c r="K2211">
        <f t="array" ref="K2211">INT(5 * (RANK(H2211,H:H, 0) - 1) / COUNT(H:H)) + 1</f>
        <v>5</v>
      </c>
      <c r="L2211">
        <f t="array" ref="L2211">INT(5 * (RANK(I2211,I:I, 0) - 1) / COUNT(I:I)) + 1</f>
        <v>5</v>
      </c>
      <c r="M2211" t="str">
        <f t="shared" si="68"/>
        <v>455</v>
      </c>
      <c r="N2211" s="6" t="str">
        <f t="shared" si="69"/>
        <v>Others</v>
      </c>
    </row>
    <row r="2212" spans="1:14" x14ac:dyDescent="0.35">
      <c r="A2212">
        <v>1328</v>
      </c>
      <c r="B2212" s="4">
        <v>45954.375085336993</v>
      </c>
      <c r="C2212" t="s">
        <v>13</v>
      </c>
      <c r="D2212" t="s">
        <v>21</v>
      </c>
      <c r="E2212" t="s">
        <v>25</v>
      </c>
      <c r="F2212">
        <v>931.79</v>
      </c>
      <c r="G2212">
        <f t="array" ref="G2212">SalesData!$I$2 - 'RFM Table'!B2212</f>
        <v>182</v>
      </c>
      <c r="H2212">
        <f t="array" ref="H2212">COUNTIF(A:A,A2212)</f>
        <v>5</v>
      </c>
      <c r="I2212">
        <f t="array" ref="I2212">SUMIF(A:A,A2212,F:F)</f>
        <v>21621.77</v>
      </c>
      <c r="J2212">
        <f t="array" ref="J2212">5 - INT(5 * (RANK(G2212,G:G, 1) - 1) / COUNT(G:G))</f>
        <v>4</v>
      </c>
      <c r="K2212">
        <f t="array" ref="K2212">INT(5 * (RANK(H2212,H:H, 0) - 1) / COUNT(H:H)) + 1</f>
        <v>5</v>
      </c>
      <c r="L2212">
        <f t="array" ref="L2212">INT(5 * (RANK(I2212,I:I, 0) - 1) / COUNT(I:I)) + 1</f>
        <v>5</v>
      </c>
      <c r="M2212" t="str">
        <f t="shared" si="68"/>
        <v>455</v>
      </c>
      <c r="N2212" s="6" t="str">
        <f t="shared" si="69"/>
        <v>Others</v>
      </c>
    </row>
    <row r="2213" spans="1:14" x14ac:dyDescent="0.35">
      <c r="A2213">
        <v>1341</v>
      </c>
      <c r="B2213" s="4">
        <v>45954.375085336993</v>
      </c>
      <c r="C2213" t="s">
        <v>15</v>
      </c>
      <c r="D2213" t="s">
        <v>20</v>
      </c>
      <c r="E2213" t="s">
        <v>24</v>
      </c>
      <c r="F2213">
        <v>3936.89</v>
      </c>
      <c r="G2213">
        <f t="array" ref="G2213">SalesData!$I$2 - 'RFM Table'!B2213</f>
        <v>182</v>
      </c>
      <c r="H2213">
        <f t="array" ref="H2213">COUNTIF(A:A,A2213)</f>
        <v>11</v>
      </c>
      <c r="I2213">
        <f t="array" ref="I2213">SUMIF(A:A,A2213,F:F)</f>
        <v>45526.78</v>
      </c>
      <c r="J2213">
        <f t="array" ref="J2213">5 - INT(5 * (RANK(G2213,G:G, 1) - 1) / COUNT(G:G))</f>
        <v>4</v>
      </c>
      <c r="K2213">
        <f t="array" ref="K2213">INT(5 * (RANK(H2213,H:H, 0) - 1) / COUNT(H:H)) + 1</f>
        <v>1</v>
      </c>
      <c r="L2213">
        <f t="array" ref="L2213">INT(5 * (RANK(I2213,I:I, 0) - 1) / COUNT(I:I)) + 1</f>
        <v>1</v>
      </c>
      <c r="M2213" t="str">
        <f t="shared" si="68"/>
        <v>411</v>
      </c>
      <c r="N2213" s="6" t="str">
        <f t="shared" si="69"/>
        <v>New Customers</v>
      </c>
    </row>
    <row r="2214" spans="1:14" x14ac:dyDescent="0.35">
      <c r="A2214">
        <v>1320</v>
      </c>
      <c r="B2214" s="4">
        <v>45954.375085336993</v>
      </c>
      <c r="C2214" t="s">
        <v>11</v>
      </c>
      <c r="D2214" t="s">
        <v>17</v>
      </c>
      <c r="E2214" t="s">
        <v>25</v>
      </c>
      <c r="F2214">
        <v>11328.63</v>
      </c>
      <c r="G2214">
        <f t="array" ref="G2214">SalesData!$I$2 - 'RFM Table'!B2214</f>
        <v>182</v>
      </c>
      <c r="H2214">
        <f t="array" ref="H2214">COUNTIF(A:A,A2214)</f>
        <v>6</v>
      </c>
      <c r="I2214">
        <f t="array" ref="I2214">SUMIF(A:A,A2214,F:F)</f>
        <v>32825.340000000004</v>
      </c>
      <c r="J2214">
        <f t="array" ref="J2214">5 - INT(5 * (RANK(G2214,G:G, 1) - 1) / COUNT(G:G))</f>
        <v>4</v>
      </c>
      <c r="K2214">
        <f t="array" ref="K2214">INT(5 * (RANK(H2214,H:H, 0) - 1) / COUNT(H:H)) + 1</f>
        <v>4</v>
      </c>
      <c r="L2214">
        <f t="array" ref="L2214">INT(5 * (RANK(I2214,I:I, 0) - 1) / COUNT(I:I)) + 1</f>
        <v>3</v>
      </c>
      <c r="M2214" t="str">
        <f t="shared" si="68"/>
        <v>443</v>
      </c>
      <c r="N2214" s="6" t="str">
        <f t="shared" si="69"/>
        <v>Others</v>
      </c>
    </row>
    <row r="2215" spans="1:14" x14ac:dyDescent="0.35">
      <c r="A2215">
        <v>1000</v>
      </c>
      <c r="B2215" s="4">
        <v>45954.375085336993</v>
      </c>
      <c r="C2215" t="s">
        <v>6</v>
      </c>
      <c r="D2215" t="s">
        <v>22</v>
      </c>
      <c r="E2215" t="s">
        <v>25</v>
      </c>
      <c r="F2215">
        <v>4134.3</v>
      </c>
      <c r="G2215">
        <f t="array" ref="G2215">SalesData!$I$2 - 'RFM Table'!B2215</f>
        <v>182</v>
      </c>
      <c r="H2215">
        <f t="array" ref="H2215">COUNTIF(A:A,A2215)</f>
        <v>11</v>
      </c>
      <c r="I2215">
        <f t="array" ref="I2215">SUMIF(A:A,A2215,F:F)</f>
        <v>62566.770000000004</v>
      </c>
      <c r="J2215">
        <f t="array" ref="J2215">5 - INT(5 * (RANK(G2215,G:G, 1) - 1) / COUNT(G:G))</f>
        <v>4</v>
      </c>
      <c r="K2215">
        <f t="array" ref="K2215">INT(5 * (RANK(H2215,H:H, 0) - 1) / COUNT(H:H)) + 1</f>
        <v>1</v>
      </c>
      <c r="L2215">
        <f t="array" ref="L2215">INT(5 * (RANK(I2215,I:I, 0) - 1) / COUNT(I:I)) + 1</f>
        <v>1</v>
      </c>
      <c r="M2215" t="str">
        <f t="shared" si="68"/>
        <v>411</v>
      </c>
      <c r="N2215" s="6" t="str">
        <f t="shared" si="69"/>
        <v>New Customers</v>
      </c>
    </row>
    <row r="2216" spans="1:14" x14ac:dyDescent="0.35">
      <c r="A2216">
        <v>1172</v>
      </c>
      <c r="B2216" s="4">
        <v>45954.375085336993</v>
      </c>
      <c r="C2216" t="s">
        <v>10</v>
      </c>
      <c r="D2216" t="s">
        <v>21</v>
      </c>
      <c r="E2216" t="s">
        <v>24</v>
      </c>
      <c r="F2216">
        <v>5196.29</v>
      </c>
      <c r="G2216">
        <f t="array" ref="G2216">SalesData!$I$2 - 'RFM Table'!B2216</f>
        <v>182</v>
      </c>
      <c r="H2216">
        <f t="array" ref="H2216">COUNTIF(A:A,A2216)</f>
        <v>13</v>
      </c>
      <c r="I2216">
        <f t="array" ref="I2216">SUMIF(A:A,A2216,F:F)</f>
        <v>64175.24</v>
      </c>
      <c r="J2216">
        <f t="array" ref="J2216">5 - INT(5 * (RANK(G2216,G:G, 1) - 1) / COUNT(G:G))</f>
        <v>4</v>
      </c>
      <c r="K2216">
        <f t="array" ref="K2216">INT(5 * (RANK(H2216,H:H, 0) - 1) / COUNT(H:H)) + 1</f>
        <v>1</v>
      </c>
      <c r="L2216">
        <f t="array" ref="L2216">INT(5 * (RANK(I2216,I:I, 0) - 1) / COUNT(I:I)) + 1</f>
        <v>1</v>
      </c>
      <c r="M2216" t="str">
        <f t="shared" si="68"/>
        <v>411</v>
      </c>
      <c r="N2216" s="6" t="str">
        <f t="shared" si="69"/>
        <v>New Customers</v>
      </c>
    </row>
    <row r="2217" spans="1:14" x14ac:dyDescent="0.35">
      <c r="A2217">
        <v>1060</v>
      </c>
      <c r="B2217" s="4">
        <v>45954.375085336993</v>
      </c>
      <c r="C2217" t="s">
        <v>15</v>
      </c>
      <c r="D2217" t="s">
        <v>22</v>
      </c>
      <c r="E2217" t="s">
        <v>25</v>
      </c>
      <c r="F2217">
        <v>1867.19</v>
      </c>
      <c r="G2217">
        <f t="array" ref="G2217">SalesData!$I$2 - 'RFM Table'!B2217</f>
        <v>182</v>
      </c>
      <c r="H2217">
        <f t="array" ref="H2217">COUNTIF(A:A,A2217)</f>
        <v>5</v>
      </c>
      <c r="I2217">
        <f t="array" ref="I2217">SUMIF(A:A,A2217,F:F)</f>
        <v>21260</v>
      </c>
      <c r="J2217">
        <f t="array" ref="J2217">5 - INT(5 * (RANK(G2217,G:G, 1) - 1) / COUNT(G:G))</f>
        <v>4</v>
      </c>
      <c r="K2217">
        <f t="array" ref="K2217">INT(5 * (RANK(H2217,H:H, 0) - 1) / COUNT(H:H)) + 1</f>
        <v>5</v>
      </c>
      <c r="L2217">
        <f t="array" ref="L2217">INT(5 * (RANK(I2217,I:I, 0) - 1) / COUNT(I:I)) + 1</f>
        <v>5</v>
      </c>
      <c r="M2217" t="str">
        <f t="shared" si="68"/>
        <v>455</v>
      </c>
      <c r="N2217" s="6" t="str">
        <f t="shared" si="69"/>
        <v>Others</v>
      </c>
    </row>
    <row r="2218" spans="1:14" x14ac:dyDescent="0.35">
      <c r="A2218">
        <v>1363</v>
      </c>
      <c r="B2218" s="4">
        <v>45955.375085336993</v>
      </c>
      <c r="C2218" t="s">
        <v>6</v>
      </c>
      <c r="D2218" t="s">
        <v>18</v>
      </c>
      <c r="E2218" t="s">
        <v>23</v>
      </c>
      <c r="F2218">
        <v>7378.25</v>
      </c>
      <c r="G2218">
        <f t="array" ref="G2218">SalesData!$I$2 - 'RFM Table'!B2218</f>
        <v>181</v>
      </c>
      <c r="H2218">
        <f t="array" ref="H2218">COUNTIF(A:A,A2218)</f>
        <v>9</v>
      </c>
      <c r="I2218">
        <f t="array" ref="I2218">SUMIF(A:A,A2218,F:F)</f>
        <v>33344.57</v>
      </c>
      <c r="J2218">
        <f t="array" ref="J2218">5 - INT(5 * (RANK(G2218,G:G, 1) - 1) / COUNT(G:G))</f>
        <v>4</v>
      </c>
      <c r="K2218">
        <f t="array" ref="K2218">INT(5 * (RANK(H2218,H:H, 0) - 1) / COUNT(H:H)) + 1</f>
        <v>2</v>
      </c>
      <c r="L2218">
        <f t="array" ref="L2218">INT(5 * (RANK(I2218,I:I, 0) - 1) / COUNT(I:I)) + 1</f>
        <v>3</v>
      </c>
      <c r="M2218" t="str">
        <f t="shared" si="68"/>
        <v>423</v>
      </c>
      <c r="N2218" s="6" t="str">
        <f t="shared" si="69"/>
        <v>New Customers</v>
      </c>
    </row>
    <row r="2219" spans="1:14" x14ac:dyDescent="0.35">
      <c r="A2219">
        <v>1242</v>
      </c>
      <c r="B2219" s="4">
        <v>45955.375085336993</v>
      </c>
      <c r="C2219" t="s">
        <v>10</v>
      </c>
      <c r="D2219" t="s">
        <v>18</v>
      </c>
      <c r="E2219" t="s">
        <v>24</v>
      </c>
      <c r="F2219">
        <v>3965.89</v>
      </c>
      <c r="G2219">
        <f t="array" ref="G2219">SalesData!$I$2 - 'RFM Table'!B2219</f>
        <v>181</v>
      </c>
      <c r="H2219">
        <f t="array" ref="H2219">COUNTIF(A:A,A2219)</f>
        <v>8</v>
      </c>
      <c r="I2219">
        <f t="array" ref="I2219">SUMIF(A:A,A2219,F:F)</f>
        <v>26424.119999999995</v>
      </c>
      <c r="J2219">
        <f t="array" ref="J2219">5 - INT(5 * (RANK(G2219,G:G, 1) - 1) / COUNT(G:G))</f>
        <v>4</v>
      </c>
      <c r="K2219">
        <f t="array" ref="K2219">INT(5 * (RANK(H2219,H:H, 0) - 1) / COUNT(H:H)) + 1</f>
        <v>3</v>
      </c>
      <c r="L2219">
        <f t="array" ref="L2219">INT(5 * (RANK(I2219,I:I, 0) - 1) / COUNT(I:I)) + 1</f>
        <v>4</v>
      </c>
      <c r="M2219" t="str">
        <f t="shared" si="68"/>
        <v>434</v>
      </c>
      <c r="N2219" s="6" t="str">
        <f t="shared" si="69"/>
        <v>Others</v>
      </c>
    </row>
    <row r="2220" spans="1:14" x14ac:dyDescent="0.35">
      <c r="A2220">
        <v>1016</v>
      </c>
      <c r="B2220" s="4">
        <v>45955.375085336993</v>
      </c>
      <c r="C2220" t="s">
        <v>13</v>
      </c>
      <c r="D2220" t="s">
        <v>19</v>
      </c>
      <c r="E2220" t="s">
        <v>25</v>
      </c>
      <c r="F2220">
        <v>9661.4599999999991</v>
      </c>
      <c r="G2220">
        <f t="array" ref="G2220">SalesData!$I$2 - 'RFM Table'!B2220</f>
        <v>181</v>
      </c>
      <c r="H2220">
        <f t="array" ref="H2220">COUNTIF(A:A,A2220)</f>
        <v>9</v>
      </c>
      <c r="I2220">
        <f t="array" ref="I2220">SUMIF(A:A,A2220,F:F)</f>
        <v>37239.53</v>
      </c>
      <c r="J2220">
        <f t="array" ref="J2220">5 - INT(5 * (RANK(G2220,G:G, 1) - 1) / COUNT(G:G))</f>
        <v>4</v>
      </c>
      <c r="K2220">
        <f t="array" ref="K2220">INT(5 * (RANK(H2220,H:H, 0) - 1) / COUNT(H:H)) + 1</f>
        <v>2</v>
      </c>
      <c r="L2220">
        <f t="array" ref="L2220">INT(5 * (RANK(I2220,I:I, 0) - 1) / COUNT(I:I)) + 1</f>
        <v>2</v>
      </c>
      <c r="M2220" t="str">
        <f t="shared" si="68"/>
        <v>422</v>
      </c>
      <c r="N2220" s="6" t="str">
        <f t="shared" si="69"/>
        <v>New Customers</v>
      </c>
    </row>
    <row r="2221" spans="1:14" x14ac:dyDescent="0.35">
      <c r="A2221">
        <v>1349</v>
      </c>
      <c r="B2221" s="4">
        <v>45955.375085336993</v>
      </c>
      <c r="C2221" t="s">
        <v>14</v>
      </c>
      <c r="D2221" t="s">
        <v>20</v>
      </c>
      <c r="E2221" t="s">
        <v>25</v>
      </c>
      <c r="F2221">
        <v>3552.77</v>
      </c>
      <c r="G2221">
        <f t="array" ref="G2221">SalesData!$I$2 - 'RFM Table'!B2221</f>
        <v>181</v>
      </c>
      <c r="H2221">
        <f t="array" ref="H2221">COUNTIF(A:A,A2221)</f>
        <v>8</v>
      </c>
      <c r="I2221">
        <f t="array" ref="I2221">SUMIF(A:A,A2221,F:F)</f>
        <v>24691.75</v>
      </c>
      <c r="J2221">
        <f t="array" ref="J2221">5 - INT(5 * (RANK(G2221,G:G, 1) - 1) / COUNT(G:G))</f>
        <v>4</v>
      </c>
      <c r="K2221">
        <f t="array" ref="K2221">INT(5 * (RANK(H2221,H:H, 0) - 1) / COUNT(H:H)) + 1</f>
        <v>3</v>
      </c>
      <c r="L2221">
        <f t="array" ref="L2221">INT(5 * (RANK(I2221,I:I, 0) - 1) / COUNT(I:I)) + 1</f>
        <v>4</v>
      </c>
      <c r="M2221" t="str">
        <f t="shared" si="68"/>
        <v>434</v>
      </c>
      <c r="N2221" s="6" t="str">
        <f t="shared" si="69"/>
        <v>Others</v>
      </c>
    </row>
    <row r="2222" spans="1:14" x14ac:dyDescent="0.35">
      <c r="A2222">
        <v>1242</v>
      </c>
      <c r="B2222" s="4">
        <v>45955.375085336993</v>
      </c>
      <c r="C2222" t="s">
        <v>7</v>
      </c>
      <c r="D2222" t="s">
        <v>22</v>
      </c>
      <c r="E2222" t="s">
        <v>23</v>
      </c>
      <c r="F2222">
        <v>1094.71</v>
      </c>
      <c r="G2222">
        <f t="array" ref="G2222">SalesData!$I$2 - 'RFM Table'!B2222</f>
        <v>181</v>
      </c>
      <c r="H2222">
        <f t="array" ref="H2222">COUNTIF(A:A,A2222)</f>
        <v>8</v>
      </c>
      <c r="I2222">
        <f t="array" ref="I2222">SUMIF(A:A,A2222,F:F)</f>
        <v>26424.119999999995</v>
      </c>
      <c r="J2222">
        <f t="array" ref="J2222">5 - INT(5 * (RANK(G2222,G:G, 1) - 1) / COUNT(G:G))</f>
        <v>4</v>
      </c>
      <c r="K2222">
        <f t="array" ref="K2222">INT(5 * (RANK(H2222,H:H, 0) - 1) / COUNT(H:H)) + 1</f>
        <v>3</v>
      </c>
      <c r="L2222">
        <f t="array" ref="L2222">INT(5 * (RANK(I2222,I:I, 0) - 1) / COUNT(I:I)) + 1</f>
        <v>4</v>
      </c>
      <c r="M2222" t="str">
        <f t="shared" si="68"/>
        <v>434</v>
      </c>
      <c r="N2222" s="6" t="str">
        <f t="shared" si="69"/>
        <v>Others</v>
      </c>
    </row>
    <row r="2223" spans="1:14" x14ac:dyDescent="0.35">
      <c r="A2223">
        <v>1148</v>
      </c>
      <c r="B2223" s="4">
        <v>45955.375085336993</v>
      </c>
      <c r="C2223" t="s">
        <v>13</v>
      </c>
      <c r="D2223" t="s">
        <v>20</v>
      </c>
      <c r="E2223" t="s">
        <v>23</v>
      </c>
      <c r="F2223">
        <v>322.08999999999997</v>
      </c>
      <c r="G2223">
        <f t="array" ref="G2223">SalesData!$I$2 - 'RFM Table'!B2223</f>
        <v>181</v>
      </c>
      <c r="H2223">
        <f t="array" ref="H2223">COUNTIF(A:A,A2223)</f>
        <v>12</v>
      </c>
      <c r="I2223">
        <f t="array" ref="I2223">SUMIF(A:A,A2223,F:F)</f>
        <v>83986.299999999988</v>
      </c>
      <c r="J2223">
        <f t="array" ref="J2223">5 - INT(5 * (RANK(G2223,G:G, 1) - 1) / COUNT(G:G))</f>
        <v>4</v>
      </c>
      <c r="K2223">
        <f t="array" ref="K2223">INT(5 * (RANK(H2223,H:H, 0) - 1) / COUNT(H:H)) + 1</f>
        <v>1</v>
      </c>
      <c r="L2223">
        <f t="array" ref="L2223">INT(5 * (RANK(I2223,I:I, 0) - 1) / COUNT(I:I)) + 1</f>
        <v>1</v>
      </c>
      <c r="M2223" t="str">
        <f t="shared" si="68"/>
        <v>411</v>
      </c>
      <c r="N2223" s="6" t="str">
        <f t="shared" si="69"/>
        <v>New Customers</v>
      </c>
    </row>
    <row r="2224" spans="1:14" x14ac:dyDescent="0.35">
      <c r="A2224">
        <v>1225</v>
      </c>
      <c r="B2224" s="4">
        <v>45956.375085336993</v>
      </c>
      <c r="C2224" t="s">
        <v>8</v>
      </c>
      <c r="D2224" t="s">
        <v>21</v>
      </c>
      <c r="E2224" t="s">
        <v>23</v>
      </c>
      <c r="F2224">
        <v>6547.07</v>
      </c>
      <c r="G2224">
        <f t="array" ref="G2224">SalesData!$I$2 - 'RFM Table'!B2224</f>
        <v>180</v>
      </c>
      <c r="H2224">
        <f t="array" ref="H2224">COUNTIF(A:A,A2224)</f>
        <v>12</v>
      </c>
      <c r="I2224">
        <f t="array" ref="I2224">SUMIF(A:A,A2224,F:F)</f>
        <v>42930.969999999994</v>
      </c>
      <c r="J2224">
        <f t="array" ref="J2224">5 - INT(5 * (RANK(G2224,G:G, 1) - 1) / COUNT(G:G))</f>
        <v>4</v>
      </c>
      <c r="K2224">
        <f t="array" ref="K2224">INT(5 * (RANK(H2224,H:H, 0) - 1) / COUNT(H:H)) + 1</f>
        <v>1</v>
      </c>
      <c r="L2224">
        <f t="array" ref="L2224">INT(5 * (RANK(I2224,I:I, 0) - 1) / COUNT(I:I)) + 1</f>
        <v>2</v>
      </c>
      <c r="M2224" t="str">
        <f t="shared" si="68"/>
        <v>412</v>
      </c>
      <c r="N2224" s="6" t="str">
        <f t="shared" si="69"/>
        <v>New Customers</v>
      </c>
    </row>
    <row r="2225" spans="1:14" x14ac:dyDescent="0.35">
      <c r="A2225">
        <v>1092</v>
      </c>
      <c r="B2225" s="4">
        <v>45956.375085336993</v>
      </c>
      <c r="C2225" t="s">
        <v>9</v>
      </c>
      <c r="D2225" t="s">
        <v>19</v>
      </c>
      <c r="E2225" t="s">
        <v>25</v>
      </c>
      <c r="F2225">
        <v>2306.7399999999998</v>
      </c>
      <c r="G2225">
        <f t="array" ref="G2225">SalesData!$I$2 - 'RFM Table'!B2225</f>
        <v>180</v>
      </c>
      <c r="H2225">
        <f t="array" ref="H2225">COUNTIF(A:A,A2225)</f>
        <v>6</v>
      </c>
      <c r="I2225">
        <f t="array" ref="I2225">SUMIF(A:A,A2225,F:F)</f>
        <v>21226.689999999995</v>
      </c>
      <c r="J2225">
        <f t="array" ref="J2225">5 - INT(5 * (RANK(G2225,G:G, 1) - 1) / COUNT(G:G))</f>
        <v>4</v>
      </c>
      <c r="K2225">
        <f t="array" ref="K2225">INT(5 * (RANK(H2225,H:H, 0) - 1) / COUNT(H:H)) + 1</f>
        <v>4</v>
      </c>
      <c r="L2225">
        <f t="array" ref="L2225">INT(5 * (RANK(I2225,I:I, 0) - 1) / COUNT(I:I)) + 1</f>
        <v>5</v>
      </c>
      <c r="M2225" t="str">
        <f t="shared" si="68"/>
        <v>445</v>
      </c>
      <c r="N2225" s="6" t="str">
        <f t="shared" si="69"/>
        <v>Others</v>
      </c>
    </row>
    <row r="2226" spans="1:14" x14ac:dyDescent="0.35">
      <c r="A2226">
        <v>1160</v>
      </c>
      <c r="B2226" s="4">
        <v>45956.375085336993</v>
      </c>
      <c r="C2226" t="s">
        <v>6</v>
      </c>
      <c r="D2226" t="s">
        <v>17</v>
      </c>
      <c r="E2226" t="s">
        <v>23</v>
      </c>
      <c r="F2226">
        <v>5748.89</v>
      </c>
      <c r="G2226">
        <f t="array" ref="G2226">SalesData!$I$2 - 'RFM Table'!B2226</f>
        <v>180</v>
      </c>
      <c r="H2226">
        <f t="array" ref="H2226">COUNTIF(A:A,A2226)</f>
        <v>13</v>
      </c>
      <c r="I2226">
        <f t="array" ref="I2226">SUMIF(A:A,A2226,F:F)</f>
        <v>56128.799999999996</v>
      </c>
      <c r="J2226">
        <f t="array" ref="J2226">5 - INT(5 * (RANK(G2226,G:G, 1) - 1) / COUNT(G:G))</f>
        <v>4</v>
      </c>
      <c r="K2226">
        <f t="array" ref="K2226">INT(5 * (RANK(H2226,H:H, 0) - 1) / COUNT(H:H)) + 1</f>
        <v>1</v>
      </c>
      <c r="L2226">
        <f t="array" ref="L2226">INT(5 * (RANK(I2226,I:I, 0) - 1) / COUNT(I:I)) + 1</f>
        <v>1</v>
      </c>
      <c r="M2226" t="str">
        <f t="shared" si="68"/>
        <v>411</v>
      </c>
      <c r="N2226" s="6" t="str">
        <f t="shared" si="69"/>
        <v>New Customers</v>
      </c>
    </row>
    <row r="2227" spans="1:14" x14ac:dyDescent="0.35">
      <c r="A2227">
        <v>1335</v>
      </c>
      <c r="B2227" s="4">
        <v>45956.375085336993</v>
      </c>
      <c r="C2227" t="s">
        <v>10</v>
      </c>
      <c r="D2227" t="s">
        <v>19</v>
      </c>
      <c r="E2227" t="s">
        <v>23</v>
      </c>
      <c r="F2227">
        <v>6274.22</v>
      </c>
      <c r="G2227">
        <f t="array" ref="G2227">SalesData!$I$2 - 'RFM Table'!B2227</f>
        <v>180</v>
      </c>
      <c r="H2227">
        <f t="array" ref="H2227">COUNTIF(A:A,A2227)</f>
        <v>8</v>
      </c>
      <c r="I2227">
        <f t="array" ref="I2227">SUMIF(A:A,A2227,F:F)</f>
        <v>31568.060000000005</v>
      </c>
      <c r="J2227">
        <f t="array" ref="J2227">5 - INT(5 * (RANK(G2227,G:G, 1) - 1) / COUNT(G:G))</f>
        <v>4</v>
      </c>
      <c r="K2227">
        <f t="array" ref="K2227">INT(5 * (RANK(H2227,H:H, 0) - 1) / COUNT(H:H)) + 1</f>
        <v>3</v>
      </c>
      <c r="L2227">
        <f t="array" ref="L2227">INT(5 * (RANK(I2227,I:I, 0) - 1) / COUNT(I:I)) + 1</f>
        <v>3</v>
      </c>
      <c r="M2227" t="str">
        <f t="shared" si="68"/>
        <v>433</v>
      </c>
      <c r="N2227" s="6" t="str">
        <f t="shared" si="69"/>
        <v>Others</v>
      </c>
    </row>
    <row r="2228" spans="1:14" x14ac:dyDescent="0.35">
      <c r="A2228">
        <v>1038</v>
      </c>
      <c r="B2228" s="4">
        <v>45956.375085336993</v>
      </c>
      <c r="C2228" t="s">
        <v>10</v>
      </c>
      <c r="D2228" t="s">
        <v>17</v>
      </c>
      <c r="E2228" t="s">
        <v>23</v>
      </c>
      <c r="F2228">
        <v>2198.4499999999998</v>
      </c>
      <c r="G2228">
        <f t="array" ref="G2228">SalesData!$I$2 - 'RFM Table'!B2228</f>
        <v>180</v>
      </c>
      <c r="H2228">
        <f t="array" ref="H2228">COUNTIF(A:A,A2228)</f>
        <v>16</v>
      </c>
      <c r="I2228">
        <f t="array" ref="I2228">SUMIF(A:A,A2228,F:F)</f>
        <v>76962.720000000001</v>
      </c>
      <c r="J2228">
        <f t="array" ref="J2228">5 - INT(5 * (RANK(G2228,G:G, 1) - 1) / COUNT(G:G))</f>
        <v>4</v>
      </c>
      <c r="K2228">
        <f t="array" ref="K2228">INT(5 * (RANK(H2228,H:H, 0) - 1) / COUNT(H:H)) + 1</f>
        <v>1</v>
      </c>
      <c r="L2228">
        <f t="array" ref="L2228">INT(5 * (RANK(I2228,I:I, 0) - 1) / COUNT(I:I)) + 1</f>
        <v>1</v>
      </c>
      <c r="M2228" t="str">
        <f t="shared" si="68"/>
        <v>411</v>
      </c>
      <c r="N2228" s="6" t="str">
        <f t="shared" si="69"/>
        <v>New Customers</v>
      </c>
    </row>
    <row r="2229" spans="1:14" x14ac:dyDescent="0.35">
      <c r="A2229">
        <v>1042</v>
      </c>
      <c r="B2229" s="4">
        <v>45957.375085336993</v>
      </c>
      <c r="C2229" t="s">
        <v>15</v>
      </c>
      <c r="D2229" t="s">
        <v>19</v>
      </c>
      <c r="E2229" t="s">
        <v>25</v>
      </c>
      <c r="F2229">
        <v>2765.98</v>
      </c>
      <c r="G2229">
        <f t="array" ref="G2229">SalesData!$I$2 - 'RFM Table'!B2229</f>
        <v>179</v>
      </c>
      <c r="H2229">
        <f t="array" ref="H2229">COUNTIF(A:A,A2229)</f>
        <v>5</v>
      </c>
      <c r="I2229">
        <f t="array" ref="I2229">SUMIF(A:A,A2229,F:F)</f>
        <v>18557.84</v>
      </c>
      <c r="J2229">
        <f t="array" ref="J2229">5 - INT(5 * (RANK(G2229,G:G, 1) - 1) / COUNT(G:G))</f>
        <v>4</v>
      </c>
      <c r="K2229">
        <f t="array" ref="K2229">INT(5 * (RANK(H2229,H:H, 0) - 1) / COUNT(H:H)) + 1</f>
        <v>5</v>
      </c>
      <c r="L2229">
        <f t="array" ref="L2229">INT(5 * (RANK(I2229,I:I, 0) - 1) / COUNT(I:I)) + 1</f>
        <v>5</v>
      </c>
      <c r="M2229" t="str">
        <f t="shared" si="68"/>
        <v>455</v>
      </c>
      <c r="N2229" s="6" t="str">
        <f t="shared" si="69"/>
        <v>Others</v>
      </c>
    </row>
    <row r="2230" spans="1:14" x14ac:dyDescent="0.35">
      <c r="A2230">
        <v>1346</v>
      </c>
      <c r="B2230" s="4">
        <v>45957.375085336993</v>
      </c>
      <c r="C2230" t="s">
        <v>6</v>
      </c>
      <c r="D2230" t="s">
        <v>16</v>
      </c>
      <c r="E2230" t="s">
        <v>23</v>
      </c>
      <c r="F2230">
        <v>1257.27</v>
      </c>
      <c r="G2230">
        <f t="array" ref="G2230">SalesData!$I$2 - 'RFM Table'!B2230</f>
        <v>179</v>
      </c>
      <c r="H2230">
        <f t="array" ref="H2230">COUNTIF(A:A,A2230)</f>
        <v>6</v>
      </c>
      <c r="I2230">
        <f t="array" ref="I2230">SUMIF(A:A,A2230,F:F)</f>
        <v>23326.76</v>
      </c>
      <c r="J2230">
        <f t="array" ref="J2230">5 - INT(5 * (RANK(G2230,G:G, 1) - 1) / COUNT(G:G))</f>
        <v>4</v>
      </c>
      <c r="K2230">
        <f t="array" ref="K2230">INT(5 * (RANK(H2230,H:H, 0) - 1) / COUNT(H:H)) + 1</f>
        <v>4</v>
      </c>
      <c r="L2230">
        <f t="array" ref="L2230">INT(5 * (RANK(I2230,I:I, 0) - 1) / COUNT(I:I)) + 1</f>
        <v>4</v>
      </c>
      <c r="M2230" t="str">
        <f t="shared" si="68"/>
        <v>444</v>
      </c>
      <c r="N2230" s="6" t="str">
        <f t="shared" si="69"/>
        <v>Others</v>
      </c>
    </row>
    <row r="2231" spans="1:14" x14ac:dyDescent="0.35">
      <c r="A2231">
        <v>1326</v>
      </c>
      <c r="B2231" s="4">
        <v>45957.375085336993</v>
      </c>
      <c r="C2231" t="s">
        <v>12</v>
      </c>
      <c r="D2231" t="s">
        <v>22</v>
      </c>
      <c r="E2231" t="s">
        <v>25</v>
      </c>
      <c r="F2231">
        <v>4405.3</v>
      </c>
      <c r="G2231">
        <f t="array" ref="G2231">SalesData!$I$2 - 'RFM Table'!B2231</f>
        <v>179</v>
      </c>
      <c r="H2231">
        <f t="array" ref="H2231">COUNTIF(A:A,A2231)</f>
        <v>4</v>
      </c>
      <c r="I2231">
        <f t="array" ref="I2231">SUMIF(A:A,A2231,F:F)</f>
        <v>10665.94</v>
      </c>
      <c r="J2231">
        <f t="array" ref="J2231">5 - INT(5 * (RANK(G2231,G:G, 1) - 1) / COUNT(G:G))</f>
        <v>4</v>
      </c>
      <c r="K2231">
        <f t="array" ref="K2231">INT(5 * (RANK(H2231,H:H, 0) - 1) / COUNT(H:H)) + 1</f>
        <v>5</v>
      </c>
      <c r="L2231">
        <f t="array" ref="L2231">INT(5 * (RANK(I2231,I:I, 0) - 1) / COUNT(I:I)) + 1</f>
        <v>5</v>
      </c>
      <c r="M2231" t="str">
        <f t="shared" si="68"/>
        <v>455</v>
      </c>
      <c r="N2231" s="6" t="str">
        <f t="shared" si="69"/>
        <v>Others</v>
      </c>
    </row>
    <row r="2232" spans="1:14" x14ac:dyDescent="0.35">
      <c r="A2232">
        <v>1237</v>
      </c>
      <c r="B2232" s="4">
        <v>45958.375085336993</v>
      </c>
      <c r="C2232" t="s">
        <v>15</v>
      </c>
      <c r="D2232" t="s">
        <v>21</v>
      </c>
      <c r="E2232" t="s">
        <v>23</v>
      </c>
      <c r="F2232">
        <v>7465.03</v>
      </c>
      <c r="G2232">
        <f t="array" ref="G2232">SalesData!$I$2 - 'RFM Table'!B2232</f>
        <v>178</v>
      </c>
      <c r="H2232">
        <f t="array" ref="H2232">COUNTIF(A:A,A2232)</f>
        <v>6</v>
      </c>
      <c r="I2232">
        <f t="array" ref="I2232">SUMIF(A:A,A2232,F:F)</f>
        <v>33607.29</v>
      </c>
      <c r="J2232">
        <f t="array" ref="J2232">5 - INT(5 * (RANK(G2232,G:G, 1) - 1) / COUNT(G:G))</f>
        <v>4</v>
      </c>
      <c r="K2232">
        <f t="array" ref="K2232">INT(5 * (RANK(H2232,H:H, 0) - 1) / COUNT(H:H)) + 1</f>
        <v>4</v>
      </c>
      <c r="L2232">
        <f t="array" ref="L2232">INT(5 * (RANK(I2232,I:I, 0) - 1) / COUNT(I:I)) + 1</f>
        <v>3</v>
      </c>
      <c r="M2232" t="str">
        <f t="shared" si="68"/>
        <v>443</v>
      </c>
      <c r="N2232" s="6" t="str">
        <f t="shared" si="69"/>
        <v>Others</v>
      </c>
    </row>
    <row r="2233" spans="1:14" x14ac:dyDescent="0.35">
      <c r="A2233">
        <v>1014</v>
      </c>
      <c r="B2233" s="4">
        <v>45958.375085336993</v>
      </c>
      <c r="C2233" t="s">
        <v>9</v>
      </c>
      <c r="D2233" t="s">
        <v>21</v>
      </c>
      <c r="E2233" t="s">
        <v>25</v>
      </c>
      <c r="F2233">
        <v>7525.57</v>
      </c>
      <c r="G2233">
        <f t="array" ref="G2233">SalesData!$I$2 - 'RFM Table'!B2233</f>
        <v>178</v>
      </c>
      <c r="H2233">
        <f t="array" ref="H2233">COUNTIF(A:A,A2233)</f>
        <v>8</v>
      </c>
      <c r="I2233">
        <f t="array" ref="I2233">SUMIF(A:A,A2233,F:F)</f>
        <v>27090.329999999998</v>
      </c>
      <c r="J2233">
        <f t="array" ref="J2233">5 - INT(5 * (RANK(G2233,G:G, 1) - 1) / COUNT(G:G))</f>
        <v>4</v>
      </c>
      <c r="K2233">
        <f t="array" ref="K2233">INT(5 * (RANK(H2233,H:H, 0) - 1) / COUNT(H:H)) + 1</f>
        <v>3</v>
      </c>
      <c r="L2233">
        <f t="array" ref="L2233">INT(5 * (RANK(I2233,I:I, 0) - 1) / COUNT(I:I)) + 1</f>
        <v>4</v>
      </c>
      <c r="M2233" t="str">
        <f t="shared" si="68"/>
        <v>434</v>
      </c>
      <c r="N2233" s="6" t="str">
        <f t="shared" si="69"/>
        <v>Others</v>
      </c>
    </row>
    <row r="2234" spans="1:14" x14ac:dyDescent="0.35">
      <c r="A2234">
        <v>1284</v>
      </c>
      <c r="B2234" s="4">
        <v>45958.375085336993</v>
      </c>
      <c r="C2234" t="s">
        <v>6</v>
      </c>
      <c r="D2234" t="s">
        <v>21</v>
      </c>
      <c r="E2234" t="s">
        <v>25</v>
      </c>
      <c r="F2234">
        <v>4168.03</v>
      </c>
      <c r="G2234">
        <f t="array" ref="G2234">SalesData!$I$2 - 'RFM Table'!B2234</f>
        <v>178</v>
      </c>
      <c r="H2234">
        <f t="array" ref="H2234">COUNTIF(A:A,A2234)</f>
        <v>12</v>
      </c>
      <c r="I2234">
        <f t="array" ref="I2234">SUMIF(A:A,A2234,F:F)</f>
        <v>49930.359999999993</v>
      </c>
      <c r="J2234">
        <f t="array" ref="J2234">5 - INT(5 * (RANK(G2234,G:G, 1) - 1) / COUNT(G:G))</f>
        <v>4</v>
      </c>
      <c r="K2234">
        <f t="array" ref="K2234">INT(5 * (RANK(H2234,H:H, 0) - 1) / COUNT(H:H)) + 1</f>
        <v>1</v>
      </c>
      <c r="L2234">
        <f t="array" ref="L2234">INT(5 * (RANK(I2234,I:I, 0) - 1) / COUNT(I:I)) + 1</f>
        <v>1</v>
      </c>
      <c r="M2234" t="str">
        <f t="shared" si="68"/>
        <v>411</v>
      </c>
      <c r="N2234" s="6" t="str">
        <f t="shared" si="69"/>
        <v>New Customers</v>
      </c>
    </row>
    <row r="2235" spans="1:14" x14ac:dyDescent="0.35">
      <c r="A2235">
        <v>1175</v>
      </c>
      <c r="B2235" s="4">
        <v>45958.375085336993</v>
      </c>
      <c r="C2235" t="s">
        <v>10</v>
      </c>
      <c r="D2235" t="s">
        <v>21</v>
      </c>
      <c r="E2235" t="s">
        <v>23</v>
      </c>
      <c r="F2235">
        <v>6029.74</v>
      </c>
      <c r="G2235">
        <f t="array" ref="G2235">SalesData!$I$2 - 'RFM Table'!B2235</f>
        <v>178</v>
      </c>
      <c r="H2235">
        <f t="array" ref="H2235">COUNTIF(A:A,A2235)</f>
        <v>6</v>
      </c>
      <c r="I2235">
        <f t="array" ref="I2235">SUMIF(A:A,A2235,F:F)</f>
        <v>26179.75</v>
      </c>
      <c r="J2235">
        <f t="array" ref="J2235">5 - INT(5 * (RANK(G2235,G:G, 1) - 1) / COUNT(G:G))</f>
        <v>4</v>
      </c>
      <c r="K2235">
        <f t="array" ref="K2235">INT(5 * (RANK(H2235,H:H, 0) - 1) / COUNT(H:H)) + 1</f>
        <v>4</v>
      </c>
      <c r="L2235">
        <f t="array" ref="L2235">INT(5 * (RANK(I2235,I:I, 0) - 1) / COUNT(I:I)) + 1</f>
        <v>4</v>
      </c>
      <c r="M2235" t="str">
        <f t="shared" si="68"/>
        <v>444</v>
      </c>
      <c r="N2235" s="6" t="str">
        <f t="shared" si="69"/>
        <v>Others</v>
      </c>
    </row>
    <row r="2236" spans="1:14" x14ac:dyDescent="0.35">
      <c r="A2236">
        <v>1052</v>
      </c>
      <c r="B2236" s="4">
        <v>45959.375085336993</v>
      </c>
      <c r="C2236" t="s">
        <v>11</v>
      </c>
      <c r="D2236" t="s">
        <v>17</v>
      </c>
      <c r="E2236" t="s">
        <v>24</v>
      </c>
      <c r="F2236">
        <v>3824.76</v>
      </c>
      <c r="G2236">
        <f t="array" ref="G2236">SalesData!$I$2 - 'RFM Table'!B2236</f>
        <v>177</v>
      </c>
      <c r="H2236">
        <f t="array" ref="H2236">COUNTIF(A:A,A2236)</f>
        <v>9</v>
      </c>
      <c r="I2236">
        <f t="array" ref="I2236">SUMIF(A:A,A2236,F:F)</f>
        <v>35283.15</v>
      </c>
      <c r="J2236">
        <f t="array" ref="J2236">5 - INT(5 * (RANK(G2236,G:G, 1) - 1) / COUNT(G:G))</f>
        <v>4</v>
      </c>
      <c r="K2236">
        <f t="array" ref="K2236">INT(5 * (RANK(H2236,H:H, 0) - 1) / COUNT(H:H)) + 1</f>
        <v>2</v>
      </c>
      <c r="L2236">
        <f t="array" ref="L2236">INT(5 * (RANK(I2236,I:I, 0) - 1) / COUNT(I:I)) + 1</f>
        <v>3</v>
      </c>
      <c r="M2236" t="str">
        <f t="shared" si="68"/>
        <v>423</v>
      </c>
      <c r="N2236" s="6" t="str">
        <f t="shared" si="69"/>
        <v>New Customers</v>
      </c>
    </row>
    <row r="2237" spans="1:14" x14ac:dyDescent="0.35">
      <c r="A2237">
        <v>1147</v>
      </c>
      <c r="B2237" s="4">
        <v>45959.375085336993</v>
      </c>
      <c r="C2237" t="s">
        <v>10</v>
      </c>
      <c r="D2237" t="s">
        <v>19</v>
      </c>
      <c r="E2237" t="s">
        <v>25</v>
      </c>
      <c r="F2237">
        <v>2704.34</v>
      </c>
      <c r="G2237">
        <f t="array" ref="G2237">SalesData!$I$2 - 'RFM Table'!B2237</f>
        <v>177</v>
      </c>
      <c r="H2237">
        <f t="array" ref="H2237">COUNTIF(A:A,A2237)</f>
        <v>9</v>
      </c>
      <c r="I2237">
        <f t="array" ref="I2237">SUMIF(A:A,A2237,F:F)</f>
        <v>31221.600000000002</v>
      </c>
      <c r="J2237">
        <f t="array" ref="J2237">5 - INT(5 * (RANK(G2237,G:G, 1) - 1) / COUNT(G:G))</f>
        <v>4</v>
      </c>
      <c r="K2237">
        <f t="array" ref="K2237">INT(5 * (RANK(H2237,H:H, 0) - 1) / COUNT(H:H)) + 1</f>
        <v>2</v>
      </c>
      <c r="L2237">
        <f t="array" ref="L2237">INT(5 * (RANK(I2237,I:I, 0) - 1) / COUNT(I:I)) + 1</f>
        <v>3</v>
      </c>
      <c r="M2237" t="str">
        <f t="shared" si="68"/>
        <v>423</v>
      </c>
      <c r="N2237" s="6" t="str">
        <f t="shared" si="69"/>
        <v>New Customers</v>
      </c>
    </row>
    <row r="2238" spans="1:14" x14ac:dyDescent="0.35">
      <c r="A2238">
        <v>1095</v>
      </c>
      <c r="B2238" s="4">
        <v>45959.375085336993</v>
      </c>
      <c r="C2238" t="s">
        <v>8</v>
      </c>
      <c r="D2238" t="s">
        <v>18</v>
      </c>
      <c r="E2238" t="s">
        <v>24</v>
      </c>
      <c r="F2238">
        <v>2597.12</v>
      </c>
      <c r="G2238">
        <f t="array" ref="G2238">SalesData!$I$2 - 'RFM Table'!B2238</f>
        <v>177</v>
      </c>
      <c r="H2238">
        <f t="array" ref="H2238">COUNTIF(A:A,A2238)</f>
        <v>9</v>
      </c>
      <c r="I2238">
        <f t="array" ref="I2238">SUMIF(A:A,A2238,F:F)</f>
        <v>48530.240000000005</v>
      </c>
      <c r="J2238">
        <f t="array" ref="J2238">5 - INT(5 * (RANK(G2238,G:G, 1) - 1) / COUNT(G:G))</f>
        <v>4</v>
      </c>
      <c r="K2238">
        <f t="array" ref="K2238">INT(5 * (RANK(H2238,H:H, 0) - 1) / COUNT(H:H)) + 1</f>
        <v>2</v>
      </c>
      <c r="L2238">
        <f t="array" ref="L2238">INT(5 * (RANK(I2238,I:I, 0) - 1) / COUNT(I:I)) + 1</f>
        <v>1</v>
      </c>
      <c r="M2238" t="str">
        <f t="shared" si="68"/>
        <v>421</v>
      </c>
      <c r="N2238" s="6" t="str">
        <f t="shared" si="69"/>
        <v>New Customers</v>
      </c>
    </row>
    <row r="2239" spans="1:14" x14ac:dyDescent="0.35">
      <c r="A2239">
        <v>1348</v>
      </c>
      <c r="B2239" s="4">
        <v>45960.375085336993</v>
      </c>
      <c r="C2239" t="s">
        <v>8</v>
      </c>
      <c r="D2239" t="s">
        <v>22</v>
      </c>
      <c r="E2239" t="s">
        <v>25</v>
      </c>
      <c r="F2239">
        <v>3736.45</v>
      </c>
      <c r="G2239">
        <f t="array" ref="G2239">SalesData!$I$2 - 'RFM Table'!B2239</f>
        <v>176</v>
      </c>
      <c r="H2239">
        <f t="array" ref="H2239">COUNTIF(A:A,A2239)</f>
        <v>12</v>
      </c>
      <c r="I2239">
        <f t="array" ref="I2239">SUMIF(A:A,A2239,F:F)</f>
        <v>27185.14</v>
      </c>
      <c r="J2239">
        <f t="array" ref="J2239">5 - INT(5 * (RANK(G2239,G:G, 1) - 1) / COUNT(G:G))</f>
        <v>4</v>
      </c>
      <c r="K2239">
        <f t="array" ref="K2239">INT(5 * (RANK(H2239,H:H, 0) - 1) / COUNT(H:H)) + 1</f>
        <v>1</v>
      </c>
      <c r="L2239">
        <f t="array" ref="L2239">INT(5 * (RANK(I2239,I:I, 0) - 1) / COUNT(I:I)) + 1</f>
        <v>4</v>
      </c>
      <c r="M2239" t="str">
        <f t="shared" si="68"/>
        <v>414</v>
      </c>
      <c r="N2239" s="6" t="str">
        <f t="shared" si="69"/>
        <v>New Customers</v>
      </c>
    </row>
    <row r="2240" spans="1:14" x14ac:dyDescent="0.35">
      <c r="A2240">
        <v>1139</v>
      </c>
      <c r="B2240" s="4">
        <v>45960.375085336993</v>
      </c>
      <c r="C2240" t="s">
        <v>7</v>
      </c>
      <c r="D2240" t="s">
        <v>19</v>
      </c>
      <c r="E2240" t="s">
        <v>24</v>
      </c>
      <c r="F2240">
        <v>6268.36</v>
      </c>
      <c r="G2240">
        <f t="array" ref="G2240">SalesData!$I$2 - 'RFM Table'!B2240</f>
        <v>176</v>
      </c>
      <c r="H2240">
        <f t="array" ref="H2240">COUNTIF(A:A,A2240)</f>
        <v>4</v>
      </c>
      <c r="I2240">
        <f t="array" ref="I2240">SUMIF(A:A,A2240,F:F)</f>
        <v>13576.4</v>
      </c>
      <c r="J2240">
        <f t="array" ref="J2240">5 - INT(5 * (RANK(G2240,G:G, 1) - 1) / COUNT(G:G))</f>
        <v>4</v>
      </c>
      <c r="K2240">
        <f t="array" ref="K2240">INT(5 * (RANK(H2240,H:H, 0) - 1) / COUNT(H:H)) + 1</f>
        <v>5</v>
      </c>
      <c r="L2240">
        <f t="array" ref="L2240">INT(5 * (RANK(I2240,I:I, 0) - 1) / COUNT(I:I)) + 1</f>
        <v>5</v>
      </c>
      <c r="M2240" t="str">
        <f t="shared" si="68"/>
        <v>455</v>
      </c>
      <c r="N2240" s="6" t="str">
        <f t="shared" si="69"/>
        <v>Others</v>
      </c>
    </row>
    <row r="2241" spans="1:14" x14ac:dyDescent="0.35">
      <c r="A2241">
        <v>1045</v>
      </c>
      <c r="B2241" s="4">
        <v>45960.375085336993</v>
      </c>
      <c r="C2241" t="s">
        <v>15</v>
      </c>
      <c r="D2241" t="s">
        <v>18</v>
      </c>
      <c r="E2241" t="s">
        <v>23</v>
      </c>
      <c r="F2241">
        <v>1219.4100000000001</v>
      </c>
      <c r="G2241">
        <f t="array" ref="G2241">SalesData!$I$2 - 'RFM Table'!B2241</f>
        <v>176</v>
      </c>
      <c r="H2241">
        <f t="array" ref="H2241">COUNTIF(A:A,A2241)</f>
        <v>7</v>
      </c>
      <c r="I2241">
        <f t="array" ref="I2241">SUMIF(A:A,A2241,F:F)</f>
        <v>27876.53</v>
      </c>
      <c r="J2241">
        <f t="array" ref="J2241">5 - INT(5 * (RANK(G2241,G:G, 1) - 1) / COUNT(G:G))</f>
        <v>4</v>
      </c>
      <c r="K2241">
        <f t="array" ref="K2241">INT(5 * (RANK(H2241,H:H, 0) - 1) / COUNT(H:H)) + 1</f>
        <v>4</v>
      </c>
      <c r="L2241">
        <f t="array" ref="L2241">INT(5 * (RANK(I2241,I:I, 0) - 1) / COUNT(I:I)) + 1</f>
        <v>4</v>
      </c>
      <c r="M2241" t="str">
        <f t="shared" si="68"/>
        <v>444</v>
      </c>
      <c r="N2241" s="6" t="str">
        <f t="shared" si="69"/>
        <v>Others</v>
      </c>
    </row>
    <row r="2242" spans="1:14" x14ac:dyDescent="0.35">
      <c r="A2242">
        <v>1237</v>
      </c>
      <c r="B2242" s="4">
        <v>45960.375085336993</v>
      </c>
      <c r="C2242" t="s">
        <v>11</v>
      </c>
      <c r="D2242" t="s">
        <v>18</v>
      </c>
      <c r="E2242" t="s">
        <v>25</v>
      </c>
      <c r="F2242">
        <v>4333.68</v>
      </c>
      <c r="G2242">
        <f t="array" ref="G2242">SalesData!$I$2 - 'RFM Table'!B2242</f>
        <v>176</v>
      </c>
      <c r="H2242">
        <f t="array" ref="H2242">COUNTIF(A:A,A2242)</f>
        <v>6</v>
      </c>
      <c r="I2242">
        <f t="array" ref="I2242">SUMIF(A:A,A2242,F:F)</f>
        <v>33607.29</v>
      </c>
      <c r="J2242">
        <f t="array" ref="J2242">5 - INT(5 * (RANK(G2242,G:G, 1) - 1) / COUNT(G:G))</f>
        <v>4</v>
      </c>
      <c r="K2242">
        <f t="array" ref="K2242">INT(5 * (RANK(H2242,H:H, 0) - 1) / COUNT(H:H)) + 1</f>
        <v>4</v>
      </c>
      <c r="L2242">
        <f t="array" ref="L2242">INT(5 * (RANK(I2242,I:I, 0) - 1) / COUNT(I:I)) + 1</f>
        <v>3</v>
      </c>
      <c r="M2242" t="str">
        <f t="shared" si="68"/>
        <v>443</v>
      </c>
      <c r="N2242" s="6" t="str">
        <f t="shared" si="69"/>
        <v>Others</v>
      </c>
    </row>
    <row r="2243" spans="1:14" x14ac:dyDescent="0.35">
      <c r="A2243">
        <v>1245</v>
      </c>
      <c r="B2243" s="4">
        <v>45961.375085336993</v>
      </c>
      <c r="C2243" t="s">
        <v>15</v>
      </c>
      <c r="D2243" t="s">
        <v>18</v>
      </c>
      <c r="E2243" t="s">
        <v>25</v>
      </c>
      <c r="F2243">
        <v>1791.22</v>
      </c>
      <c r="G2243">
        <f t="array" ref="G2243">SalesData!$I$2 - 'RFM Table'!B2243</f>
        <v>175</v>
      </c>
      <c r="H2243">
        <f t="array" ref="H2243">COUNTIF(A:A,A2243)</f>
        <v>6</v>
      </c>
      <c r="I2243">
        <f t="array" ref="I2243">SUMIF(A:A,A2243,F:F)</f>
        <v>17570.61</v>
      </c>
      <c r="J2243">
        <f t="array" ref="J2243">5 - INT(5 * (RANK(G2243,G:G, 1) - 1) / COUNT(G:G))</f>
        <v>4</v>
      </c>
      <c r="K2243">
        <f t="array" ref="K2243">INT(5 * (RANK(H2243,H:H, 0) - 1) / COUNT(H:H)) + 1</f>
        <v>4</v>
      </c>
      <c r="L2243">
        <f t="array" ref="L2243">INT(5 * (RANK(I2243,I:I, 0) - 1) / COUNT(I:I)) + 1</f>
        <v>5</v>
      </c>
      <c r="M2243" t="str">
        <f t="shared" ref="M2243:M2306" si="70">J2243 &amp; K2243 &amp; L2243</f>
        <v>445</v>
      </c>
      <c r="N2243" s="6" t="str">
        <f t="shared" ref="N2243:N2306" si="71">IF(AND(J2243&gt;=4,K2243&lt;=2),"New Customers",
IF(AND(J2243&lt;=2,K2243&gt;=3,L2243&gt;=3),"At Risk",
IF(AND(J2243&lt;=2,K2243&lt;=2,L2243&gt;=3),"Can't Lose Them",
IF(AND(J2243&lt;=2,K2243&lt;=2,L2243&lt;=2),"Lost",
"Others"))))</f>
        <v>Others</v>
      </c>
    </row>
    <row r="2244" spans="1:14" x14ac:dyDescent="0.35">
      <c r="A2244">
        <v>1300</v>
      </c>
      <c r="B2244" s="4">
        <v>45961.375085336993</v>
      </c>
      <c r="C2244" t="s">
        <v>15</v>
      </c>
      <c r="D2244" t="s">
        <v>17</v>
      </c>
      <c r="E2244" t="s">
        <v>25</v>
      </c>
      <c r="F2244">
        <v>4052.25</v>
      </c>
      <c r="G2244">
        <f t="array" ref="G2244">SalesData!$I$2 - 'RFM Table'!B2244</f>
        <v>175</v>
      </c>
      <c r="H2244">
        <f t="array" ref="H2244">COUNTIF(A:A,A2244)</f>
        <v>9</v>
      </c>
      <c r="I2244">
        <f t="array" ref="I2244">SUMIF(A:A,A2244,F:F)</f>
        <v>34007.68</v>
      </c>
      <c r="J2244">
        <f t="array" ref="J2244">5 - INT(5 * (RANK(G2244,G:G, 1) - 1) / COUNT(G:G))</f>
        <v>4</v>
      </c>
      <c r="K2244">
        <f t="array" ref="K2244">INT(5 * (RANK(H2244,H:H, 0) - 1) / COUNT(H:H)) + 1</f>
        <v>2</v>
      </c>
      <c r="L2244">
        <f t="array" ref="L2244">INT(5 * (RANK(I2244,I:I, 0) - 1) / COUNT(I:I)) + 1</f>
        <v>3</v>
      </c>
      <c r="M2244" t="str">
        <f t="shared" si="70"/>
        <v>423</v>
      </c>
      <c r="N2244" s="6" t="str">
        <f t="shared" si="71"/>
        <v>New Customers</v>
      </c>
    </row>
    <row r="2245" spans="1:14" x14ac:dyDescent="0.35">
      <c r="A2245">
        <v>1225</v>
      </c>
      <c r="B2245" s="4">
        <v>45961.375085336993</v>
      </c>
      <c r="C2245" t="s">
        <v>10</v>
      </c>
      <c r="D2245" t="s">
        <v>21</v>
      </c>
      <c r="E2245" t="s">
        <v>24</v>
      </c>
      <c r="F2245">
        <v>3247.71</v>
      </c>
      <c r="G2245">
        <f t="array" ref="G2245">SalesData!$I$2 - 'RFM Table'!B2245</f>
        <v>175</v>
      </c>
      <c r="H2245">
        <f t="array" ref="H2245">COUNTIF(A:A,A2245)</f>
        <v>12</v>
      </c>
      <c r="I2245">
        <f t="array" ref="I2245">SUMIF(A:A,A2245,F:F)</f>
        <v>42930.969999999994</v>
      </c>
      <c r="J2245">
        <f t="array" ref="J2245">5 - INT(5 * (RANK(G2245,G:G, 1) - 1) / COUNT(G:G))</f>
        <v>4</v>
      </c>
      <c r="K2245">
        <f t="array" ref="K2245">INT(5 * (RANK(H2245,H:H, 0) - 1) / COUNT(H:H)) + 1</f>
        <v>1</v>
      </c>
      <c r="L2245">
        <f t="array" ref="L2245">INT(5 * (RANK(I2245,I:I, 0) - 1) / COUNT(I:I)) + 1</f>
        <v>2</v>
      </c>
      <c r="M2245" t="str">
        <f t="shared" si="70"/>
        <v>412</v>
      </c>
      <c r="N2245" s="6" t="str">
        <f t="shared" si="71"/>
        <v>New Customers</v>
      </c>
    </row>
    <row r="2246" spans="1:14" x14ac:dyDescent="0.35">
      <c r="A2246">
        <v>1009</v>
      </c>
      <c r="B2246" s="4">
        <v>45962.375085336993</v>
      </c>
      <c r="C2246" t="s">
        <v>11</v>
      </c>
      <c r="D2246" t="s">
        <v>21</v>
      </c>
      <c r="E2246" t="s">
        <v>25</v>
      </c>
      <c r="F2246">
        <v>3748.93</v>
      </c>
      <c r="G2246">
        <f t="array" ref="G2246">SalesData!$I$2 - 'RFM Table'!B2246</f>
        <v>174</v>
      </c>
      <c r="H2246">
        <f t="array" ref="H2246">COUNTIF(A:A,A2246)</f>
        <v>9</v>
      </c>
      <c r="I2246">
        <f t="array" ref="I2246">SUMIF(A:A,A2246,F:F)</f>
        <v>30047.29</v>
      </c>
      <c r="J2246">
        <f t="array" ref="J2246">5 - INT(5 * (RANK(G2246,G:G, 1) - 1) / COUNT(G:G))</f>
        <v>4</v>
      </c>
      <c r="K2246">
        <f t="array" ref="K2246">INT(5 * (RANK(H2246,H:H, 0) - 1) / COUNT(H:H)) + 1</f>
        <v>2</v>
      </c>
      <c r="L2246">
        <f t="array" ref="L2246">INT(5 * (RANK(I2246,I:I, 0) - 1) / COUNT(I:I)) + 1</f>
        <v>3</v>
      </c>
      <c r="M2246" t="str">
        <f t="shared" si="70"/>
        <v>423</v>
      </c>
      <c r="N2246" s="6" t="str">
        <f t="shared" si="71"/>
        <v>New Customers</v>
      </c>
    </row>
    <row r="2247" spans="1:14" x14ac:dyDescent="0.35">
      <c r="A2247">
        <v>1173</v>
      </c>
      <c r="B2247" s="4">
        <v>45962.375085336993</v>
      </c>
      <c r="C2247" t="s">
        <v>9</v>
      </c>
      <c r="D2247" t="s">
        <v>19</v>
      </c>
      <c r="E2247" t="s">
        <v>25</v>
      </c>
      <c r="F2247">
        <v>2692.32</v>
      </c>
      <c r="G2247">
        <f t="array" ref="G2247">SalesData!$I$2 - 'RFM Table'!B2247</f>
        <v>174</v>
      </c>
      <c r="H2247">
        <f t="array" ref="H2247">COUNTIF(A:A,A2247)</f>
        <v>5</v>
      </c>
      <c r="I2247">
        <f t="array" ref="I2247">SUMIF(A:A,A2247,F:F)</f>
        <v>17550.75</v>
      </c>
      <c r="J2247">
        <f t="array" ref="J2247">5 - INT(5 * (RANK(G2247,G:G, 1) - 1) / COUNT(G:G))</f>
        <v>4</v>
      </c>
      <c r="K2247">
        <f t="array" ref="K2247">INT(5 * (RANK(H2247,H:H, 0) - 1) / COUNT(H:H)) + 1</f>
        <v>5</v>
      </c>
      <c r="L2247">
        <f t="array" ref="L2247">INT(5 * (RANK(I2247,I:I, 0) - 1) / COUNT(I:I)) + 1</f>
        <v>5</v>
      </c>
      <c r="M2247" t="str">
        <f t="shared" si="70"/>
        <v>455</v>
      </c>
      <c r="N2247" s="6" t="str">
        <f t="shared" si="71"/>
        <v>Others</v>
      </c>
    </row>
    <row r="2248" spans="1:14" x14ac:dyDescent="0.35">
      <c r="A2248">
        <v>1240</v>
      </c>
      <c r="B2248" s="4">
        <v>45962.375085336993</v>
      </c>
      <c r="C2248" t="s">
        <v>14</v>
      </c>
      <c r="D2248" t="s">
        <v>17</v>
      </c>
      <c r="E2248" t="s">
        <v>24</v>
      </c>
      <c r="F2248">
        <v>3421.74</v>
      </c>
      <c r="G2248">
        <f t="array" ref="G2248">SalesData!$I$2 - 'RFM Table'!B2248</f>
        <v>174</v>
      </c>
      <c r="H2248">
        <f t="array" ref="H2248">COUNTIF(A:A,A2248)</f>
        <v>5</v>
      </c>
      <c r="I2248">
        <f t="array" ref="I2248">SUMIF(A:A,A2248,F:F)</f>
        <v>17355.699999999997</v>
      </c>
      <c r="J2248">
        <f t="array" ref="J2248">5 - INT(5 * (RANK(G2248,G:G, 1) - 1) / COUNT(G:G))</f>
        <v>4</v>
      </c>
      <c r="K2248">
        <f t="array" ref="K2248">INT(5 * (RANK(H2248,H:H, 0) - 1) / COUNT(H:H)) + 1</f>
        <v>5</v>
      </c>
      <c r="L2248">
        <f t="array" ref="L2248">INT(5 * (RANK(I2248,I:I, 0) - 1) / COUNT(I:I)) + 1</f>
        <v>5</v>
      </c>
      <c r="M2248" t="str">
        <f t="shared" si="70"/>
        <v>455</v>
      </c>
      <c r="N2248" s="6" t="str">
        <f t="shared" si="71"/>
        <v>Others</v>
      </c>
    </row>
    <row r="2249" spans="1:14" x14ac:dyDescent="0.35">
      <c r="A2249">
        <v>1045</v>
      </c>
      <c r="B2249" s="4">
        <v>45962.375085336993</v>
      </c>
      <c r="C2249" t="s">
        <v>10</v>
      </c>
      <c r="D2249" t="s">
        <v>21</v>
      </c>
      <c r="E2249" t="s">
        <v>24</v>
      </c>
      <c r="F2249">
        <v>7004.18</v>
      </c>
      <c r="G2249">
        <f t="array" ref="G2249">SalesData!$I$2 - 'RFM Table'!B2249</f>
        <v>174</v>
      </c>
      <c r="H2249">
        <f t="array" ref="H2249">COUNTIF(A:A,A2249)</f>
        <v>7</v>
      </c>
      <c r="I2249">
        <f t="array" ref="I2249">SUMIF(A:A,A2249,F:F)</f>
        <v>27876.53</v>
      </c>
      <c r="J2249">
        <f t="array" ref="J2249">5 - INT(5 * (RANK(G2249,G:G, 1) - 1) / COUNT(G:G))</f>
        <v>4</v>
      </c>
      <c r="K2249">
        <f t="array" ref="K2249">INT(5 * (RANK(H2249,H:H, 0) - 1) / COUNT(H:H)) + 1</f>
        <v>4</v>
      </c>
      <c r="L2249">
        <f t="array" ref="L2249">INT(5 * (RANK(I2249,I:I, 0) - 1) / COUNT(I:I)) + 1</f>
        <v>4</v>
      </c>
      <c r="M2249" t="str">
        <f t="shared" si="70"/>
        <v>444</v>
      </c>
      <c r="N2249" s="6" t="str">
        <f t="shared" si="71"/>
        <v>Others</v>
      </c>
    </row>
    <row r="2250" spans="1:14" x14ac:dyDescent="0.35">
      <c r="A2250">
        <v>1112</v>
      </c>
      <c r="B2250" s="4">
        <v>45962.375085336993</v>
      </c>
      <c r="C2250" t="s">
        <v>9</v>
      </c>
      <c r="D2250" t="s">
        <v>16</v>
      </c>
      <c r="E2250" t="s">
        <v>24</v>
      </c>
      <c r="F2250">
        <v>7690.5</v>
      </c>
      <c r="G2250">
        <f t="array" ref="G2250">SalesData!$I$2 - 'RFM Table'!B2250</f>
        <v>174</v>
      </c>
      <c r="H2250">
        <f t="array" ref="H2250">COUNTIF(A:A,A2250)</f>
        <v>12</v>
      </c>
      <c r="I2250">
        <f t="array" ref="I2250">SUMIF(A:A,A2250,F:F)</f>
        <v>38950.210000000006</v>
      </c>
      <c r="J2250">
        <f t="array" ref="J2250">5 - INT(5 * (RANK(G2250,G:G, 1) - 1) / COUNT(G:G))</f>
        <v>4</v>
      </c>
      <c r="K2250">
        <f t="array" ref="K2250">INT(5 * (RANK(H2250,H:H, 0) - 1) / COUNT(H:H)) + 1</f>
        <v>1</v>
      </c>
      <c r="L2250">
        <f t="array" ref="L2250">INT(5 * (RANK(I2250,I:I, 0) - 1) / COUNT(I:I)) + 1</f>
        <v>2</v>
      </c>
      <c r="M2250" t="str">
        <f t="shared" si="70"/>
        <v>412</v>
      </c>
      <c r="N2250" s="6" t="str">
        <f t="shared" si="71"/>
        <v>New Customers</v>
      </c>
    </row>
    <row r="2251" spans="1:14" x14ac:dyDescent="0.35">
      <c r="A2251">
        <v>1157</v>
      </c>
      <c r="B2251" s="4">
        <v>45963.375085336993</v>
      </c>
      <c r="C2251" t="s">
        <v>6</v>
      </c>
      <c r="D2251" t="s">
        <v>18</v>
      </c>
      <c r="E2251" t="s">
        <v>23</v>
      </c>
      <c r="F2251">
        <v>2578.12</v>
      </c>
      <c r="G2251">
        <f t="array" ref="G2251">SalesData!$I$2 - 'RFM Table'!B2251</f>
        <v>173</v>
      </c>
      <c r="H2251">
        <f t="array" ref="H2251">COUNTIF(A:A,A2251)</f>
        <v>11</v>
      </c>
      <c r="I2251">
        <f t="array" ref="I2251">SUMIF(A:A,A2251,F:F)</f>
        <v>45651.77</v>
      </c>
      <c r="J2251">
        <f t="array" ref="J2251">5 - INT(5 * (RANK(G2251,G:G, 1) - 1) / COUNT(G:G))</f>
        <v>4</v>
      </c>
      <c r="K2251">
        <f t="array" ref="K2251">INT(5 * (RANK(H2251,H:H, 0) - 1) / COUNT(H:H)) + 1</f>
        <v>1</v>
      </c>
      <c r="L2251">
        <f t="array" ref="L2251">INT(5 * (RANK(I2251,I:I, 0) - 1) / COUNT(I:I)) + 1</f>
        <v>1</v>
      </c>
      <c r="M2251" t="str">
        <f t="shared" si="70"/>
        <v>411</v>
      </c>
      <c r="N2251" s="6" t="str">
        <f t="shared" si="71"/>
        <v>New Customers</v>
      </c>
    </row>
    <row r="2252" spans="1:14" x14ac:dyDescent="0.35">
      <c r="A2252">
        <v>1017</v>
      </c>
      <c r="B2252" s="4">
        <v>45963.375085336993</v>
      </c>
      <c r="C2252" t="s">
        <v>13</v>
      </c>
      <c r="D2252" t="s">
        <v>20</v>
      </c>
      <c r="E2252" t="s">
        <v>25</v>
      </c>
      <c r="F2252">
        <v>1497.37</v>
      </c>
      <c r="G2252">
        <f t="array" ref="G2252">SalesData!$I$2 - 'RFM Table'!B2252</f>
        <v>173</v>
      </c>
      <c r="H2252">
        <f t="array" ref="H2252">COUNTIF(A:A,A2252)</f>
        <v>4</v>
      </c>
      <c r="I2252">
        <f t="array" ref="I2252">SUMIF(A:A,A2252,F:F)</f>
        <v>13232.439999999999</v>
      </c>
      <c r="J2252">
        <f t="array" ref="J2252">5 - INT(5 * (RANK(G2252,G:G, 1) - 1) / COUNT(G:G))</f>
        <v>4</v>
      </c>
      <c r="K2252">
        <f t="array" ref="K2252">INT(5 * (RANK(H2252,H:H, 0) - 1) / COUNT(H:H)) + 1</f>
        <v>5</v>
      </c>
      <c r="L2252">
        <f t="array" ref="L2252">INT(5 * (RANK(I2252,I:I, 0) - 1) / COUNT(I:I)) + 1</f>
        <v>5</v>
      </c>
      <c r="M2252" t="str">
        <f t="shared" si="70"/>
        <v>455</v>
      </c>
      <c r="N2252" s="6" t="str">
        <f t="shared" si="71"/>
        <v>Others</v>
      </c>
    </row>
    <row r="2253" spans="1:14" x14ac:dyDescent="0.35">
      <c r="A2253">
        <v>1121</v>
      </c>
      <c r="B2253" s="4">
        <v>45963.375085336993</v>
      </c>
      <c r="C2253" t="s">
        <v>12</v>
      </c>
      <c r="D2253" t="s">
        <v>21</v>
      </c>
      <c r="E2253" t="s">
        <v>25</v>
      </c>
      <c r="F2253">
        <v>4257.95</v>
      </c>
      <c r="G2253">
        <f t="array" ref="G2253">SalesData!$I$2 - 'RFM Table'!B2253</f>
        <v>173</v>
      </c>
      <c r="H2253">
        <f t="array" ref="H2253">COUNTIF(A:A,A2253)</f>
        <v>10</v>
      </c>
      <c r="I2253">
        <f t="array" ref="I2253">SUMIF(A:A,A2253,F:F)</f>
        <v>28216.130000000005</v>
      </c>
      <c r="J2253">
        <f t="array" ref="J2253">5 - INT(5 * (RANK(G2253,G:G, 1) - 1) / COUNT(G:G))</f>
        <v>4</v>
      </c>
      <c r="K2253">
        <f t="array" ref="K2253">INT(5 * (RANK(H2253,H:H, 0) - 1) / COUNT(H:H)) + 1</f>
        <v>2</v>
      </c>
      <c r="L2253">
        <f t="array" ref="L2253">INT(5 * (RANK(I2253,I:I, 0) - 1) / COUNT(I:I)) + 1</f>
        <v>4</v>
      </c>
      <c r="M2253" t="str">
        <f t="shared" si="70"/>
        <v>424</v>
      </c>
      <c r="N2253" s="6" t="str">
        <f t="shared" si="71"/>
        <v>New Customers</v>
      </c>
    </row>
    <row r="2254" spans="1:14" x14ac:dyDescent="0.35">
      <c r="A2254">
        <v>1038</v>
      </c>
      <c r="B2254" s="4">
        <v>45963.375085336993</v>
      </c>
      <c r="C2254" t="s">
        <v>7</v>
      </c>
      <c r="D2254" t="s">
        <v>17</v>
      </c>
      <c r="E2254" t="s">
        <v>23</v>
      </c>
      <c r="F2254">
        <v>4046.93</v>
      </c>
      <c r="G2254">
        <f t="array" ref="G2254">SalesData!$I$2 - 'RFM Table'!B2254</f>
        <v>173</v>
      </c>
      <c r="H2254">
        <f t="array" ref="H2254">COUNTIF(A:A,A2254)</f>
        <v>16</v>
      </c>
      <c r="I2254">
        <f t="array" ref="I2254">SUMIF(A:A,A2254,F:F)</f>
        <v>76962.720000000001</v>
      </c>
      <c r="J2254">
        <f t="array" ref="J2254">5 - INT(5 * (RANK(G2254,G:G, 1) - 1) / COUNT(G:G))</f>
        <v>4</v>
      </c>
      <c r="K2254">
        <f t="array" ref="K2254">INT(5 * (RANK(H2254,H:H, 0) - 1) / COUNT(H:H)) + 1</f>
        <v>1</v>
      </c>
      <c r="L2254">
        <f t="array" ref="L2254">INT(5 * (RANK(I2254,I:I, 0) - 1) / COUNT(I:I)) + 1</f>
        <v>1</v>
      </c>
      <c r="M2254" t="str">
        <f t="shared" si="70"/>
        <v>411</v>
      </c>
      <c r="N2254" s="6" t="str">
        <f t="shared" si="71"/>
        <v>New Customers</v>
      </c>
    </row>
    <row r="2255" spans="1:14" x14ac:dyDescent="0.35">
      <c r="A2255">
        <v>1003</v>
      </c>
      <c r="B2255" s="4">
        <v>45963.375085336993</v>
      </c>
      <c r="C2255" t="s">
        <v>13</v>
      </c>
      <c r="D2255" t="s">
        <v>18</v>
      </c>
      <c r="E2255" t="s">
        <v>24</v>
      </c>
      <c r="F2255">
        <v>6474.62</v>
      </c>
      <c r="G2255">
        <f t="array" ref="G2255">SalesData!$I$2 - 'RFM Table'!B2255</f>
        <v>173</v>
      </c>
      <c r="H2255">
        <f t="array" ref="H2255">COUNTIF(A:A,A2255)</f>
        <v>9</v>
      </c>
      <c r="I2255">
        <f t="array" ref="I2255">SUMIF(A:A,A2255,F:F)</f>
        <v>48978.57</v>
      </c>
      <c r="J2255">
        <f t="array" ref="J2255">5 - INT(5 * (RANK(G2255,G:G, 1) - 1) / COUNT(G:G))</f>
        <v>4</v>
      </c>
      <c r="K2255">
        <f t="array" ref="K2255">INT(5 * (RANK(H2255,H:H, 0) - 1) / COUNT(H:H)) + 1</f>
        <v>2</v>
      </c>
      <c r="L2255">
        <f t="array" ref="L2255">INT(5 * (RANK(I2255,I:I, 0) - 1) / COUNT(I:I)) + 1</f>
        <v>1</v>
      </c>
      <c r="M2255" t="str">
        <f t="shared" si="70"/>
        <v>421</v>
      </c>
      <c r="N2255" s="6" t="str">
        <f t="shared" si="71"/>
        <v>New Customers</v>
      </c>
    </row>
    <row r="2256" spans="1:14" x14ac:dyDescent="0.35">
      <c r="A2256">
        <v>1048</v>
      </c>
      <c r="B2256" s="4">
        <v>45963.375085336993</v>
      </c>
      <c r="C2256" t="s">
        <v>11</v>
      </c>
      <c r="D2256" t="s">
        <v>20</v>
      </c>
      <c r="E2256" t="s">
        <v>25</v>
      </c>
      <c r="F2256">
        <v>6923.4</v>
      </c>
      <c r="G2256">
        <f t="array" ref="G2256">SalesData!$I$2 - 'RFM Table'!B2256</f>
        <v>173</v>
      </c>
      <c r="H2256">
        <f t="array" ref="H2256">COUNTIF(A:A,A2256)</f>
        <v>9</v>
      </c>
      <c r="I2256">
        <f t="array" ref="I2256">SUMIF(A:A,A2256,F:F)</f>
        <v>34800.239999999998</v>
      </c>
      <c r="J2256">
        <f t="array" ref="J2256">5 - INT(5 * (RANK(G2256,G:G, 1) - 1) / COUNT(G:G))</f>
        <v>4</v>
      </c>
      <c r="K2256">
        <f t="array" ref="K2256">INT(5 * (RANK(H2256,H:H, 0) - 1) / COUNT(H:H)) + 1</f>
        <v>2</v>
      </c>
      <c r="L2256">
        <f t="array" ref="L2256">INT(5 * (RANK(I2256,I:I, 0) - 1) / COUNT(I:I)) + 1</f>
        <v>3</v>
      </c>
      <c r="M2256" t="str">
        <f t="shared" si="70"/>
        <v>423</v>
      </c>
      <c r="N2256" s="6" t="str">
        <f t="shared" si="71"/>
        <v>New Customers</v>
      </c>
    </row>
    <row r="2257" spans="1:14" x14ac:dyDescent="0.35">
      <c r="A2257">
        <v>1249</v>
      </c>
      <c r="B2257" s="4">
        <v>45963.375085336993</v>
      </c>
      <c r="C2257" t="s">
        <v>9</v>
      </c>
      <c r="D2257" t="s">
        <v>18</v>
      </c>
      <c r="E2257" t="s">
        <v>23</v>
      </c>
      <c r="F2257">
        <v>1404.75</v>
      </c>
      <c r="G2257">
        <f t="array" ref="G2257">SalesData!$I$2 - 'RFM Table'!B2257</f>
        <v>173</v>
      </c>
      <c r="H2257">
        <f t="array" ref="H2257">COUNTIF(A:A,A2257)</f>
        <v>6</v>
      </c>
      <c r="I2257">
        <f t="array" ref="I2257">SUMIF(A:A,A2257,F:F)</f>
        <v>29261.35</v>
      </c>
      <c r="J2257">
        <f t="array" ref="J2257">5 - INT(5 * (RANK(G2257,G:G, 1) - 1) / COUNT(G:G))</f>
        <v>4</v>
      </c>
      <c r="K2257">
        <f t="array" ref="K2257">INT(5 * (RANK(H2257,H:H, 0) - 1) / COUNT(H:H)) + 1</f>
        <v>4</v>
      </c>
      <c r="L2257">
        <f t="array" ref="L2257">INT(5 * (RANK(I2257,I:I, 0) - 1) / COUNT(I:I)) + 1</f>
        <v>4</v>
      </c>
      <c r="M2257" t="str">
        <f t="shared" si="70"/>
        <v>444</v>
      </c>
      <c r="N2257" s="6" t="str">
        <f t="shared" si="71"/>
        <v>Others</v>
      </c>
    </row>
    <row r="2258" spans="1:14" x14ac:dyDescent="0.35">
      <c r="A2258">
        <v>1258</v>
      </c>
      <c r="B2258" s="4">
        <v>45964.375085336993</v>
      </c>
      <c r="C2258" t="s">
        <v>14</v>
      </c>
      <c r="D2258" t="s">
        <v>19</v>
      </c>
      <c r="E2258" t="s">
        <v>23</v>
      </c>
      <c r="F2258">
        <v>6153.65</v>
      </c>
      <c r="G2258">
        <f t="array" ref="G2258">SalesData!$I$2 - 'RFM Table'!B2258</f>
        <v>172</v>
      </c>
      <c r="H2258">
        <f t="array" ref="H2258">COUNTIF(A:A,A2258)</f>
        <v>8</v>
      </c>
      <c r="I2258">
        <f t="array" ref="I2258">SUMIF(A:A,A2258,F:F)</f>
        <v>28559.850000000002</v>
      </c>
      <c r="J2258">
        <f t="array" ref="J2258">5 - INT(5 * (RANK(G2258,G:G, 1) - 1) / COUNT(G:G))</f>
        <v>4</v>
      </c>
      <c r="K2258">
        <f t="array" ref="K2258">INT(5 * (RANK(H2258,H:H, 0) - 1) / COUNT(H:H)) + 1</f>
        <v>3</v>
      </c>
      <c r="L2258">
        <f t="array" ref="L2258">INT(5 * (RANK(I2258,I:I, 0) - 1) / COUNT(I:I)) + 1</f>
        <v>4</v>
      </c>
      <c r="M2258" t="str">
        <f t="shared" si="70"/>
        <v>434</v>
      </c>
      <c r="N2258" s="6" t="str">
        <f t="shared" si="71"/>
        <v>Others</v>
      </c>
    </row>
    <row r="2259" spans="1:14" x14ac:dyDescent="0.35">
      <c r="A2259">
        <v>1243</v>
      </c>
      <c r="B2259" s="4">
        <v>45964.375085336993</v>
      </c>
      <c r="C2259" t="s">
        <v>9</v>
      </c>
      <c r="D2259" t="s">
        <v>22</v>
      </c>
      <c r="E2259" t="s">
        <v>23</v>
      </c>
      <c r="F2259">
        <v>2328.83</v>
      </c>
      <c r="G2259">
        <f t="array" ref="G2259">SalesData!$I$2 - 'RFM Table'!B2259</f>
        <v>172</v>
      </c>
      <c r="H2259">
        <f t="array" ref="H2259">COUNTIF(A:A,A2259)</f>
        <v>4</v>
      </c>
      <c r="I2259">
        <f t="array" ref="I2259">SUMIF(A:A,A2259,F:F)</f>
        <v>7830.67</v>
      </c>
      <c r="J2259">
        <f t="array" ref="J2259">5 - INT(5 * (RANK(G2259,G:G, 1) - 1) / COUNT(G:G))</f>
        <v>4</v>
      </c>
      <c r="K2259">
        <f t="array" ref="K2259">INT(5 * (RANK(H2259,H:H, 0) - 1) / COUNT(H:H)) + 1</f>
        <v>5</v>
      </c>
      <c r="L2259">
        <f t="array" ref="L2259">INT(5 * (RANK(I2259,I:I, 0) - 1) / COUNT(I:I)) + 1</f>
        <v>5</v>
      </c>
      <c r="M2259" t="str">
        <f t="shared" si="70"/>
        <v>455</v>
      </c>
      <c r="N2259" s="6" t="str">
        <f t="shared" si="71"/>
        <v>Others</v>
      </c>
    </row>
    <row r="2260" spans="1:14" x14ac:dyDescent="0.35">
      <c r="A2260">
        <v>1224</v>
      </c>
      <c r="B2260" s="4">
        <v>45964.375085336993</v>
      </c>
      <c r="C2260" t="s">
        <v>9</v>
      </c>
      <c r="D2260" t="s">
        <v>22</v>
      </c>
      <c r="E2260" t="s">
        <v>25</v>
      </c>
      <c r="F2260">
        <v>4485.03</v>
      </c>
      <c r="G2260">
        <f t="array" ref="G2260">SalesData!$I$2 - 'RFM Table'!B2260</f>
        <v>172</v>
      </c>
      <c r="H2260">
        <f t="array" ref="H2260">COUNTIF(A:A,A2260)</f>
        <v>7</v>
      </c>
      <c r="I2260">
        <f t="array" ref="I2260">SUMIF(A:A,A2260,F:F)</f>
        <v>24825.78</v>
      </c>
      <c r="J2260">
        <f t="array" ref="J2260">5 - INT(5 * (RANK(G2260,G:G, 1) - 1) / COUNT(G:G))</f>
        <v>4</v>
      </c>
      <c r="K2260">
        <f t="array" ref="K2260">INT(5 * (RANK(H2260,H:H, 0) - 1) / COUNT(H:H)) + 1</f>
        <v>4</v>
      </c>
      <c r="L2260">
        <f t="array" ref="L2260">INT(5 * (RANK(I2260,I:I, 0) - 1) / COUNT(I:I)) + 1</f>
        <v>4</v>
      </c>
      <c r="M2260" t="str">
        <f t="shared" si="70"/>
        <v>444</v>
      </c>
      <c r="N2260" s="6" t="str">
        <f t="shared" si="71"/>
        <v>Others</v>
      </c>
    </row>
    <row r="2261" spans="1:14" x14ac:dyDescent="0.35">
      <c r="A2261">
        <v>1128</v>
      </c>
      <c r="B2261" s="4">
        <v>45964.375085336993</v>
      </c>
      <c r="C2261" t="s">
        <v>8</v>
      </c>
      <c r="D2261" t="s">
        <v>17</v>
      </c>
      <c r="E2261" t="s">
        <v>24</v>
      </c>
      <c r="F2261">
        <v>8696.24</v>
      </c>
      <c r="G2261">
        <f t="array" ref="G2261">SalesData!$I$2 - 'RFM Table'!B2261</f>
        <v>172</v>
      </c>
      <c r="H2261">
        <f t="array" ref="H2261">COUNTIF(A:A,A2261)</f>
        <v>8</v>
      </c>
      <c r="I2261">
        <f t="array" ref="I2261">SUMIF(A:A,A2261,F:F)</f>
        <v>36475.079999999994</v>
      </c>
      <c r="J2261">
        <f t="array" ref="J2261">5 - INT(5 * (RANK(G2261,G:G, 1) - 1) / COUNT(G:G))</f>
        <v>4</v>
      </c>
      <c r="K2261">
        <f t="array" ref="K2261">INT(5 * (RANK(H2261,H:H, 0) - 1) / COUNT(H:H)) + 1</f>
        <v>3</v>
      </c>
      <c r="L2261">
        <f t="array" ref="L2261">INT(5 * (RANK(I2261,I:I, 0) - 1) / COUNT(I:I)) + 1</f>
        <v>3</v>
      </c>
      <c r="M2261" t="str">
        <f t="shared" si="70"/>
        <v>433</v>
      </c>
      <c r="N2261" s="6" t="str">
        <f t="shared" si="71"/>
        <v>Others</v>
      </c>
    </row>
    <row r="2262" spans="1:14" x14ac:dyDescent="0.35">
      <c r="A2262">
        <v>1070</v>
      </c>
      <c r="B2262" s="4">
        <v>45964.375085336993</v>
      </c>
      <c r="C2262" t="s">
        <v>6</v>
      </c>
      <c r="D2262" t="s">
        <v>20</v>
      </c>
      <c r="E2262" t="s">
        <v>25</v>
      </c>
      <c r="F2262">
        <v>5129.8999999999996</v>
      </c>
      <c r="G2262">
        <f t="array" ref="G2262">SalesData!$I$2 - 'RFM Table'!B2262</f>
        <v>172</v>
      </c>
      <c r="H2262">
        <f t="array" ref="H2262">COUNTIF(A:A,A2262)</f>
        <v>2</v>
      </c>
      <c r="I2262">
        <f t="array" ref="I2262">SUMIF(A:A,A2262,F:F)</f>
        <v>12037.99</v>
      </c>
      <c r="J2262">
        <f t="array" ref="J2262">5 - INT(5 * (RANK(G2262,G:G, 1) - 1) / COUNT(G:G))</f>
        <v>4</v>
      </c>
      <c r="K2262">
        <f t="array" ref="K2262">INT(5 * (RANK(H2262,H:H, 0) - 1) / COUNT(H:H)) + 1</f>
        <v>5</v>
      </c>
      <c r="L2262">
        <f t="array" ref="L2262">INT(5 * (RANK(I2262,I:I, 0) - 1) / COUNT(I:I)) + 1</f>
        <v>5</v>
      </c>
      <c r="M2262" t="str">
        <f t="shared" si="70"/>
        <v>455</v>
      </c>
      <c r="N2262" s="6" t="str">
        <f t="shared" si="71"/>
        <v>Others</v>
      </c>
    </row>
    <row r="2263" spans="1:14" x14ac:dyDescent="0.35">
      <c r="A2263">
        <v>1351</v>
      </c>
      <c r="B2263" s="4">
        <v>45964.375085336993</v>
      </c>
      <c r="C2263" t="s">
        <v>10</v>
      </c>
      <c r="D2263" t="s">
        <v>18</v>
      </c>
      <c r="E2263" t="s">
        <v>24</v>
      </c>
      <c r="F2263">
        <v>511.96</v>
      </c>
      <c r="G2263">
        <f t="array" ref="G2263">SalesData!$I$2 - 'RFM Table'!B2263</f>
        <v>172</v>
      </c>
      <c r="H2263">
        <f t="array" ref="H2263">COUNTIF(A:A,A2263)</f>
        <v>7</v>
      </c>
      <c r="I2263">
        <f t="array" ref="I2263">SUMIF(A:A,A2263,F:F)</f>
        <v>18845.82</v>
      </c>
      <c r="J2263">
        <f t="array" ref="J2263">5 - INT(5 * (RANK(G2263,G:G, 1) - 1) / COUNT(G:G))</f>
        <v>4</v>
      </c>
      <c r="K2263">
        <f t="array" ref="K2263">INT(5 * (RANK(H2263,H:H, 0) - 1) / COUNT(H:H)) + 1</f>
        <v>4</v>
      </c>
      <c r="L2263">
        <f t="array" ref="L2263">INT(5 * (RANK(I2263,I:I, 0) - 1) / COUNT(I:I)) + 1</f>
        <v>5</v>
      </c>
      <c r="M2263" t="str">
        <f t="shared" si="70"/>
        <v>445</v>
      </c>
      <c r="N2263" s="6" t="str">
        <f t="shared" si="71"/>
        <v>Others</v>
      </c>
    </row>
    <row r="2264" spans="1:14" x14ac:dyDescent="0.35">
      <c r="A2264">
        <v>1059</v>
      </c>
      <c r="B2264" s="4">
        <v>45964.375085336993</v>
      </c>
      <c r="C2264" t="s">
        <v>11</v>
      </c>
      <c r="D2264" t="s">
        <v>19</v>
      </c>
      <c r="E2264" t="s">
        <v>23</v>
      </c>
      <c r="F2264">
        <v>5512.47</v>
      </c>
      <c r="G2264">
        <f t="array" ref="G2264">SalesData!$I$2 - 'RFM Table'!B2264</f>
        <v>172</v>
      </c>
      <c r="H2264">
        <f t="array" ref="H2264">COUNTIF(A:A,A2264)</f>
        <v>8</v>
      </c>
      <c r="I2264">
        <f t="array" ref="I2264">SUMIF(A:A,A2264,F:F)</f>
        <v>38016.57</v>
      </c>
      <c r="J2264">
        <f t="array" ref="J2264">5 - INT(5 * (RANK(G2264,G:G, 1) - 1) / COUNT(G:G))</f>
        <v>4</v>
      </c>
      <c r="K2264">
        <f t="array" ref="K2264">INT(5 * (RANK(H2264,H:H, 0) - 1) / COUNT(H:H)) + 1</f>
        <v>3</v>
      </c>
      <c r="L2264">
        <f t="array" ref="L2264">INT(5 * (RANK(I2264,I:I, 0) - 1) / COUNT(I:I)) + 1</f>
        <v>2</v>
      </c>
      <c r="M2264" t="str">
        <f t="shared" si="70"/>
        <v>432</v>
      </c>
      <c r="N2264" s="6" t="str">
        <f t="shared" si="71"/>
        <v>Others</v>
      </c>
    </row>
    <row r="2265" spans="1:14" x14ac:dyDescent="0.35">
      <c r="A2265">
        <v>1024</v>
      </c>
      <c r="B2265" s="4">
        <v>45964.375085336993</v>
      </c>
      <c r="C2265" t="s">
        <v>6</v>
      </c>
      <c r="D2265" t="s">
        <v>19</v>
      </c>
      <c r="E2265" t="s">
        <v>23</v>
      </c>
      <c r="F2265">
        <v>4348.5</v>
      </c>
      <c r="G2265">
        <f t="array" ref="G2265">SalesData!$I$2 - 'RFM Table'!B2265</f>
        <v>172</v>
      </c>
      <c r="H2265">
        <f t="array" ref="H2265">COUNTIF(A:A,A2265)</f>
        <v>12</v>
      </c>
      <c r="I2265">
        <f t="array" ref="I2265">SUMIF(A:A,A2265,F:F)</f>
        <v>48008.159999999996</v>
      </c>
      <c r="J2265">
        <f t="array" ref="J2265">5 - INT(5 * (RANK(G2265,G:G, 1) - 1) / COUNT(G:G))</f>
        <v>4</v>
      </c>
      <c r="K2265">
        <f t="array" ref="K2265">INT(5 * (RANK(H2265,H:H, 0) - 1) / COUNT(H:H)) + 1</f>
        <v>1</v>
      </c>
      <c r="L2265">
        <f t="array" ref="L2265">INT(5 * (RANK(I2265,I:I, 0) - 1) / COUNT(I:I)) + 1</f>
        <v>1</v>
      </c>
      <c r="M2265" t="str">
        <f t="shared" si="70"/>
        <v>411</v>
      </c>
      <c r="N2265" s="6" t="str">
        <f t="shared" si="71"/>
        <v>New Customers</v>
      </c>
    </row>
    <row r="2266" spans="1:14" x14ac:dyDescent="0.35">
      <c r="A2266">
        <v>1327</v>
      </c>
      <c r="B2266" s="4">
        <v>45964.375085336993</v>
      </c>
      <c r="C2266" t="s">
        <v>15</v>
      </c>
      <c r="D2266" t="s">
        <v>16</v>
      </c>
      <c r="E2266" t="s">
        <v>24</v>
      </c>
      <c r="F2266">
        <v>1503.12</v>
      </c>
      <c r="G2266">
        <f t="array" ref="G2266">SalesData!$I$2 - 'RFM Table'!B2266</f>
        <v>172</v>
      </c>
      <c r="H2266">
        <f t="array" ref="H2266">COUNTIF(A:A,A2266)</f>
        <v>10</v>
      </c>
      <c r="I2266">
        <f t="array" ref="I2266">SUMIF(A:A,A2266,F:F)</f>
        <v>34265.79</v>
      </c>
      <c r="J2266">
        <f t="array" ref="J2266">5 - INT(5 * (RANK(G2266,G:G, 1) - 1) / COUNT(G:G))</f>
        <v>4</v>
      </c>
      <c r="K2266">
        <f t="array" ref="K2266">INT(5 * (RANK(H2266,H:H, 0) - 1) / COUNT(H:H)) + 1</f>
        <v>2</v>
      </c>
      <c r="L2266">
        <f t="array" ref="L2266">INT(5 * (RANK(I2266,I:I, 0) - 1) / COUNT(I:I)) + 1</f>
        <v>3</v>
      </c>
      <c r="M2266" t="str">
        <f t="shared" si="70"/>
        <v>423</v>
      </c>
      <c r="N2266" s="6" t="str">
        <f t="shared" si="71"/>
        <v>New Customers</v>
      </c>
    </row>
    <row r="2267" spans="1:14" x14ac:dyDescent="0.35">
      <c r="A2267">
        <v>1381</v>
      </c>
      <c r="B2267" s="4">
        <v>45965.375085336993</v>
      </c>
      <c r="C2267" t="s">
        <v>12</v>
      </c>
      <c r="D2267" t="s">
        <v>19</v>
      </c>
      <c r="E2267" t="s">
        <v>25</v>
      </c>
      <c r="F2267">
        <v>4136.17</v>
      </c>
      <c r="G2267">
        <f t="array" ref="G2267">SalesData!$I$2 - 'RFM Table'!B2267</f>
        <v>171</v>
      </c>
      <c r="H2267">
        <f t="array" ref="H2267">COUNTIF(A:A,A2267)</f>
        <v>7</v>
      </c>
      <c r="I2267">
        <f t="array" ref="I2267">SUMIF(A:A,A2267,F:F)</f>
        <v>32953.599999999999</v>
      </c>
      <c r="J2267">
        <f t="array" ref="J2267">5 - INT(5 * (RANK(G2267,G:G, 1) - 1) / COUNT(G:G))</f>
        <v>4</v>
      </c>
      <c r="K2267">
        <f t="array" ref="K2267">INT(5 * (RANK(H2267,H:H, 0) - 1) / COUNT(H:H)) + 1</f>
        <v>4</v>
      </c>
      <c r="L2267">
        <f t="array" ref="L2267">INT(5 * (RANK(I2267,I:I, 0) - 1) / COUNT(I:I)) + 1</f>
        <v>3</v>
      </c>
      <c r="M2267" t="str">
        <f t="shared" si="70"/>
        <v>443</v>
      </c>
      <c r="N2267" s="6" t="str">
        <f t="shared" si="71"/>
        <v>Others</v>
      </c>
    </row>
    <row r="2268" spans="1:14" x14ac:dyDescent="0.35">
      <c r="A2268">
        <v>1183</v>
      </c>
      <c r="B2268" s="4">
        <v>45965.375085336993</v>
      </c>
      <c r="C2268" t="s">
        <v>14</v>
      </c>
      <c r="D2268" t="s">
        <v>18</v>
      </c>
      <c r="E2268" t="s">
        <v>24</v>
      </c>
      <c r="F2268">
        <v>7309.01</v>
      </c>
      <c r="G2268">
        <f t="array" ref="G2268">SalesData!$I$2 - 'RFM Table'!B2268</f>
        <v>171</v>
      </c>
      <c r="H2268">
        <f t="array" ref="H2268">COUNTIF(A:A,A2268)</f>
        <v>6</v>
      </c>
      <c r="I2268">
        <f t="array" ref="I2268">SUMIF(A:A,A2268,F:F)</f>
        <v>27493.600000000002</v>
      </c>
      <c r="J2268">
        <f t="array" ref="J2268">5 - INT(5 * (RANK(G2268,G:G, 1) - 1) / COUNT(G:G))</f>
        <v>4</v>
      </c>
      <c r="K2268">
        <f t="array" ref="K2268">INT(5 * (RANK(H2268,H:H, 0) - 1) / COUNT(H:H)) + 1</f>
        <v>4</v>
      </c>
      <c r="L2268">
        <f t="array" ref="L2268">INT(5 * (RANK(I2268,I:I, 0) - 1) / COUNT(I:I)) + 1</f>
        <v>4</v>
      </c>
      <c r="M2268" t="str">
        <f t="shared" si="70"/>
        <v>444</v>
      </c>
      <c r="N2268" s="6" t="str">
        <f t="shared" si="71"/>
        <v>Others</v>
      </c>
    </row>
    <row r="2269" spans="1:14" x14ac:dyDescent="0.35">
      <c r="A2269">
        <v>1308</v>
      </c>
      <c r="B2269" s="4">
        <v>45965.375085336993</v>
      </c>
      <c r="C2269" t="s">
        <v>14</v>
      </c>
      <c r="D2269" t="s">
        <v>20</v>
      </c>
      <c r="E2269" t="s">
        <v>23</v>
      </c>
      <c r="F2269">
        <v>5304.83</v>
      </c>
      <c r="G2269">
        <f t="array" ref="G2269">SalesData!$I$2 - 'RFM Table'!B2269</f>
        <v>171</v>
      </c>
      <c r="H2269">
        <f t="array" ref="H2269">COUNTIF(A:A,A2269)</f>
        <v>6</v>
      </c>
      <c r="I2269">
        <f t="array" ref="I2269">SUMIF(A:A,A2269,F:F)</f>
        <v>16743.59</v>
      </c>
      <c r="J2269">
        <f t="array" ref="J2269">5 - INT(5 * (RANK(G2269,G:G, 1) - 1) / COUNT(G:G))</f>
        <v>4</v>
      </c>
      <c r="K2269">
        <f t="array" ref="K2269">INT(5 * (RANK(H2269,H:H, 0) - 1) / COUNT(H:H)) + 1</f>
        <v>4</v>
      </c>
      <c r="L2269">
        <f t="array" ref="L2269">INT(5 * (RANK(I2269,I:I, 0) - 1) / COUNT(I:I)) + 1</f>
        <v>5</v>
      </c>
      <c r="M2269" t="str">
        <f t="shared" si="70"/>
        <v>445</v>
      </c>
      <c r="N2269" s="6" t="str">
        <f t="shared" si="71"/>
        <v>Others</v>
      </c>
    </row>
    <row r="2270" spans="1:14" x14ac:dyDescent="0.35">
      <c r="A2270">
        <v>1394</v>
      </c>
      <c r="B2270" s="4">
        <v>45965.375085336993</v>
      </c>
      <c r="C2270" t="s">
        <v>6</v>
      </c>
      <c r="D2270" t="s">
        <v>19</v>
      </c>
      <c r="E2270" t="s">
        <v>24</v>
      </c>
      <c r="F2270">
        <v>553.88</v>
      </c>
      <c r="G2270">
        <f t="array" ref="G2270">SalesData!$I$2 - 'RFM Table'!B2270</f>
        <v>171</v>
      </c>
      <c r="H2270">
        <f t="array" ref="H2270">COUNTIF(A:A,A2270)</f>
        <v>6</v>
      </c>
      <c r="I2270">
        <f t="array" ref="I2270">SUMIF(A:A,A2270,F:F)</f>
        <v>15872.329999999998</v>
      </c>
      <c r="J2270">
        <f t="array" ref="J2270">5 - INT(5 * (RANK(G2270,G:G, 1) - 1) / COUNT(G:G))</f>
        <v>4</v>
      </c>
      <c r="K2270">
        <f t="array" ref="K2270">INT(5 * (RANK(H2270,H:H, 0) - 1) / COUNT(H:H)) + 1</f>
        <v>4</v>
      </c>
      <c r="L2270">
        <f t="array" ref="L2270">INT(5 * (RANK(I2270,I:I, 0) - 1) / COUNT(I:I)) + 1</f>
        <v>5</v>
      </c>
      <c r="M2270" t="str">
        <f t="shared" si="70"/>
        <v>445</v>
      </c>
      <c r="N2270" s="6" t="str">
        <f t="shared" si="71"/>
        <v>Others</v>
      </c>
    </row>
    <row r="2271" spans="1:14" x14ac:dyDescent="0.35">
      <c r="A2271">
        <v>1075</v>
      </c>
      <c r="B2271" s="4">
        <v>45965.375085336993</v>
      </c>
      <c r="C2271" t="s">
        <v>12</v>
      </c>
      <c r="D2271" t="s">
        <v>21</v>
      </c>
      <c r="E2271" t="s">
        <v>24</v>
      </c>
      <c r="F2271">
        <v>6120.31</v>
      </c>
      <c r="G2271">
        <f t="array" ref="G2271">SalesData!$I$2 - 'RFM Table'!B2271</f>
        <v>171</v>
      </c>
      <c r="H2271">
        <f t="array" ref="H2271">COUNTIF(A:A,A2271)</f>
        <v>8</v>
      </c>
      <c r="I2271">
        <f t="array" ref="I2271">SUMIF(A:A,A2271,F:F)</f>
        <v>27084.66</v>
      </c>
      <c r="J2271">
        <f t="array" ref="J2271">5 - INT(5 * (RANK(G2271,G:G, 1) - 1) / COUNT(G:G))</f>
        <v>4</v>
      </c>
      <c r="K2271">
        <f t="array" ref="K2271">INT(5 * (RANK(H2271,H:H, 0) - 1) / COUNT(H:H)) + 1</f>
        <v>3</v>
      </c>
      <c r="L2271">
        <f t="array" ref="L2271">INT(5 * (RANK(I2271,I:I, 0) - 1) / COUNT(I:I)) + 1</f>
        <v>4</v>
      </c>
      <c r="M2271" t="str">
        <f t="shared" si="70"/>
        <v>434</v>
      </c>
      <c r="N2271" s="6" t="str">
        <f t="shared" si="71"/>
        <v>Others</v>
      </c>
    </row>
    <row r="2272" spans="1:14" x14ac:dyDescent="0.35">
      <c r="A2272">
        <v>1097</v>
      </c>
      <c r="B2272" s="4">
        <v>45965.375085336993</v>
      </c>
      <c r="C2272" t="s">
        <v>7</v>
      </c>
      <c r="D2272" t="s">
        <v>16</v>
      </c>
      <c r="E2272" t="s">
        <v>24</v>
      </c>
      <c r="F2272">
        <v>3866.24</v>
      </c>
      <c r="G2272">
        <f t="array" ref="G2272">SalesData!$I$2 - 'RFM Table'!B2272</f>
        <v>171</v>
      </c>
      <c r="H2272">
        <f t="array" ref="H2272">COUNTIF(A:A,A2272)</f>
        <v>9</v>
      </c>
      <c r="I2272">
        <f t="array" ref="I2272">SUMIF(A:A,A2272,F:F)</f>
        <v>51674.6</v>
      </c>
      <c r="J2272">
        <f t="array" ref="J2272">5 - INT(5 * (RANK(G2272,G:G, 1) - 1) / COUNT(G:G))</f>
        <v>4</v>
      </c>
      <c r="K2272">
        <f t="array" ref="K2272">INT(5 * (RANK(H2272,H:H, 0) - 1) / COUNT(H:H)) + 1</f>
        <v>2</v>
      </c>
      <c r="L2272">
        <f t="array" ref="L2272">INT(5 * (RANK(I2272,I:I, 0) - 1) / COUNT(I:I)) + 1</f>
        <v>1</v>
      </c>
      <c r="M2272" t="str">
        <f t="shared" si="70"/>
        <v>421</v>
      </c>
      <c r="N2272" s="6" t="str">
        <f t="shared" si="71"/>
        <v>New Customers</v>
      </c>
    </row>
    <row r="2273" spans="1:14" x14ac:dyDescent="0.35">
      <c r="A2273">
        <v>1019</v>
      </c>
      <c r="B2273" s="4">
        <v>45965.375085336993</v>
      </c>
      <c r="C2273" t="s">
        <v>8</v>
      </c>
      <c r="D2273" t="s">
        <v>21</v>
      </c>
      <c r="E2273" t="s">
        <v>23</v>
      </c>
      <c r="F2273">
        <v>324.20999999999998</v>
      </c>
      <c r="G2273">
        <f t="array" ref="G2273">SalesData!$I$2 - 'RFM Table'!B2273</f>
        <v>171</v>
      </c>
      <c r="H2273">
        <f t="array" ref="H2273">COUNTIF(A:A,A2273)</f>
        <v>11</v>
      </c>
      <c r="I2273">
        <f t="array" ref="I2273">SUMIF(A:A,A2273,F:F)</f>
        <v>37863.899999999994</v>
      </c>
      <c r="J2273">
        <f t="array" ref="J2273">5 - INT(5 * (RANK(G2273,G:G, 1) - 1) / COUNT(G:G))</f>
        <v>4</v>
      </c>
      <c r="K2273">
        <f t="array" ref="K2273">INT(5 * (RANK(H2273,H:H, 0) - 1) / COUNT(H:H)) + 1</f>
        <v>1</v>
      </c>
      <c r="L2273">
        <f t="array" ref="L2273">INT(5 * (RANK(I2273,I:I, 0) - 1) / COUNT(I:I)) + 1</f>
        <v>2</v>
      </c>
      <c r="M2273" t="str">
        <f t="shared" si="70"/>
        <v>412</v>
      </c>
      <c r="N2273" s="6" t="str">
        <f t="shared" si="71"/>
        <v>New Customers</v>
      </c>
    </row>
    <row r="2274" spans="1:14" x14ac:dyDescent="0.35">
      <c r="A2274">
        <v>1097</v>
      </c>
      <c r="B2274" s="4">
        <v>45966.375085336993</v>
      </c>
      <c r="C2274" t="s">
        <v>15</v>
      </c>
      <c r="D2274" t="s">
        <v>18</v>
      </c>
      <c r="E2274" t="s">
        <v>25</v>
      </c>
      <c r="F2274">
        <v>4720.79</v>
      </c>
      <c r="G2274">
        <f t="array" ref="G2274">SalesData!$I$2 - 'RFM Table'!B2274</f>
        <v>170</v>
      </c>
      <c r="H2274">
        <f t="array" ref="H2274">COUNTIF(A:A,A2274)</f>
        <v>9</v>
      </c>
      <c r="I2274">
        <f t="array" ref="I2274">SUMIF(A:A,A2274,F:F)</f>
        <v>51674.6</v>
      </c>
      <c r="J2274">
        <f t="array" ref="J2274">5 - INT(5 * (RANK(G2274,G:G, 1) - 1) / COUNT(G:G))</f>
        <v>4</v>
      </c>
      <c r="K2274">
        <f t="array" ref="K2274">INT(5 * (RANK(H2274,H:H, 0) - 1) / COUNT(H:H)) + 1</f>
        <v>2</v>
      </c>
      <c r="L2274">
        <f t="array" ref="L2274">INT(5 * (RANK(I2274,I:I, 0) - 1) / COUNT(I:I)) + 1</f>
        <v>1</v>
      </c>
      <c r="M2274" t="str">
        <f t="shared" si="70"/>
        <v>421</v>
      </c>
      <c r="N2274" s="6" t="str">
        <f t="shared" si="71"/>
        <v>New Customers</v>
      </c>
    </row>
    <row r="2275" spans="1:14" x14ac:dyDescent="0.35">
      <c r="A2275">
        <v>1276</v>
      </c>
      <c r="B2275" s="4">
        <v>45966.375085336993</v>
      </c>
      <c r="C2275" t="s">
        <v>14</v>
      </c>
      <c r="D2275" t="s">
        <v>21</v>
      </c>
      <c r="E2275" t="s">
        <v>24</v>
      </c>
      <c r="F2275">
        <v>483.85</v>
      </c>
      <c r="G2275">
        <f t="array" ref="G2275">SalesData!$I$2 - 'RFM Table'!B2275</f>
        <v>170</v>
      </c>
      <c r="H2275">
        <f t="array" ref="H2275">COUNTIF(A:A,A2275)</f>
        <v>11</v>
      </c>
      <c r="I2275">
        <f t="array" ref="I2275">SUMIF(A:A,A2275,F:F)</f>
        <v>38337.789999999994</v>
      </c>
      <c r="J2275">
        <f t="array" ref="J2275">5 - INT(5 * (RANK(G2275,G:G, 1) - 1) / COUNT(G:G))</f>
        <v>4</v>
      </c>
      <c r="K2275">
        <f t="array" ref="K2275">INT(5 * (RANK(H2275,H:H, 0) - 1) / COUNT(H:H)) + 1</f>
        <v>1</v>
      </c>
      <c r="L2275">
        <f t="array" ref="L2275">INT(5 * (RANK(I2275,I:I, 0) - 1) / COUNT(I:I)) + 1</f>
        <v>2</v>
      </c>
      <c r="M2275" t="str">
        <f t="shared" si="70"/>
        <v>412</v>
      </c>
      <c r="N2275" s="6" t="str">
        <f t="shared" si="71"/>
        <v>New Customers</v>
      </c>
    </row>
    <row r="2276" spans="1:14" x14ac:dyDescent="0.35">
      <c r="A2276">
        <v>1127</v>
      </c>
      <c r="B2276" s="4">
        <v>45966.375085336993</v>
      </c>
      <c r="C2276" t="s">
        <v>13</v>
      </c>
      <c r="D2276" t="s">
        <v>17</v>
      </c>
      <c r="E2276" t="s">
        <v>25</v>
      </c>
      <c r="F2276">
        <v>1225.97</v>
      </c>
      <c r="G2276">
        <f t="array" ref="G2276">SalesData!$I$2 - 'RFM Table'!B2276</f>
        <v>170</v>
      </c>
      <c r="H2276">
        <f t="array" ref="H2276">COUNTIF(A:A,A2276)</f>
        <v>9</v>
      </c>
      <c r="I2276">
        <f t="array" ref="I2276">SUMIF(A:A,A2276,F:F)</f>
        <v>30288.86</v>
      </c>
      <c r="J2276">
        <f t="array" ref="J2276">5 - INT(5 * (RANK(G2276,G:G, 1) - 1) / COUNT(G:G))</f>
        <v>4</v>
      </c>
      <c r="K2276">
        <f t="array" ref="K2276">INT(5 * (RANK(H2276,H:H, 0) - 1) / COUNT(H:H)) + 1</f>
        <v>2</v>
      </c>
      <c r="L2276">
        <f t="array" ref="L2276">INT(5 * (RANK(I2276,I:I, 0) - 1) / COUNT(I:I)) + 1</f>
        <v>3</v>
      </c>
      <c r="M2276" t="str">
        <f t="shared" si="70"/>
        <v>423</v>
      </c>
      <c r="N2276" s="6" t="str">
        <f t="shared" si="71"/>
        <v>New Customers</v>
      </c>
    </row>
    <row r="2277" spans="1:14" x14ac:dyDescent="0.35">
      <c r="A2277">
        <v>1325</v>
      </c>
      <c r="B2277" s="4">
        <v>45966.375085336993</v>
      </c>
      <c r="C2277" t="s">
        <v>9</v>
      </c>
      <c r="D2277" t="s">
        <v>22</v>
      </c>
      <c r="E2277" t="s">
        <v>25</v>
      </c>
      <c r="F2277">
        <v>2533.19</v>
      </c>
      <c r="G2277">
        <f t="array" ref="G2277">SalesData!$I$2 - 'RFM Table'!B2277</f>
        <v>170</v>
      </c>
      <c r="H2277">
        <f t="array" ref="H2277">COUNTIF(A:A,A2277)</f>
        <v>9</v>
      </c>
      <c r="I2277">
        <f t="array" ref="I2277">SUMIF(A:A,A2277,F:F)</f>
        <v>38753.799999999988</v>
      </c>
      <c r="J2277">
        <f t="array" ref="J2277">5 - INT(5 * (RANK(G2277,G:G, 1) - 1) / COUNT(G:G))</f>
        <v>4</v>
      </c>
      <c r="K2277">
        <f t="array" ref="K2277">INT(5 * (RANK(H2277,H:H, 0) - 1) / COUNT(H:H)) + 1</f>
        <v>2</v>
      </c>
      <c r="L2277">
        <f t="array" ref="L2277">INT(5 * (RANK(I2277,I:I, 0) - 1) / COUNT(I:I)) + 1</f>
        <v>2</v>
      </c>
      <c r="M2277" t="str">
        <f t="shared" si="70"/>
        <v>422</v>
      </c>
      <c r="N2277" s="6" t="str">
        <f t="shared" si="71"/>
        <v>New Customers</v>
      </c>
    </row>
    <row r="2278" spans="1:14" x14ac:dyDescent="0.35">
      <c r="A2278">
        <v>1083</v>
      </c>
      <c r="B2278" s="4">
        <v>45967.375085336993</v>
      </c>
      <c r="C2278" t="s">
        <v>9</v>
      </c>
      <c r="D2278" t="s">
        <v>19</v>
      </c>
      <c r="E2278" t="s">
        <v>25</v>
      </c>
      <c r="F2278">
        <v>1451.08</v>
      </c>
      <c r="G2278">
        <f t="array" ref="G2278">SalesData!$I$2 - 'RFM Table'!B2278</f>
        <v>169</v>
      </c>
      <c r="H2278">
        <f t="array" ref="H2278">COUNTIF(A:A,A2278)</f>
        <v>10</v>
      </c>
      <c r="I2278">
        <f t="array" ref="I2278">SUMIF(A:A,A2278,F:F)</f>
        <v>27359.329999999998</v>
      </c>
      <c r="J2278">
        <f t="array" ref="J2278">5 - INT(5 * (RANK(G2278,G:G, 1) - 1) / COUNT(G:G))</f>
        <v>4</v>
      </c>
      <c r="K2278">
        <f t="array" ref="K2278">INT(5 * (RANK(H2278,H:H, 0) - 1) / COUNT(H:H)) + 1</f>
        <v>2</v>
      </c>
      <c r="L2278">
        <f t="array" ref="L2278">INT(5 * (RANK(I2278,I:I, 0) - 1) / COUNT(I:I)) + 1</f>
        <v>4</v>
      </c>
      <c r="M2278" t="str">
        <f t="shared" si="70"/>
        <v>424</v>
      </c>
      <c r="N2278" s="6" t="str">
        <f t="shared" si="71"/>
        <v>New Customers</v>
      </c>
    </row>
    <row r="2279" spans="1:14" x14ac:dyDescent="0.35">
      <c r="A2279">
        <v>1353</v>
      </c>
      <c r="B2279" s="4">
        <v>45967.375085336993</v>
      </c>
      <c r="C2279" t="s">
        <v>6</v>
      </c>
      <c r="D2279" t="s">
        <v>20</v>
      </c>
      <c r="E2279" t="s">
        <v>25</v>
      </c>
      <c r="F2279">
        <v>7337.43</v>
      </c>
      <c r="G2279">
        <f t="array" ref="G2279">SalesData!$I$2 - 'RFM Table'!B2279</f>
        <v>169</v>
      </c>
      <c r="H2279">
        <f t="array" ref="H2279">COUNTIF(A:A,A2279)</f>
        <v>7</v>
      </c>
      <c r="I2279">
        <f t="array" ref="I2279">SUMIF(A:A,A2279,F:F)</f>
        <v>29446.02</v>
      </c>
      <c r="J2279">
        <f t="array" ref="J2279">5 - INT(5 * (RANK(G2279,G:G, 1) - 1) / COUNT(G:G))</f>
        <v>4</v>
      </c>
      <c r="K2279">
        <f t="array" ref="K2279">INT(5 * (RANK(H2279,H:H, 0) - 1) / COUNT(H:H)) + 1</f>
        <v>4</v>
      </c>
      <c r="L2279">
        <f t="array" ref="L2279">INT(5 * (RANK(I2279,I:I, 0) - 1) / COUNT(I:I)) + 1</f>
        <v>4</v>
      </c>
      <c r="M2279" t="str">
        <f t="shared" si="70"/>
        <v>444</v>
      </c>
      <c r="N2279" s="6" t="str">
        <f t="shared" si="71"/>
        <v>Others</v>
      </c>
    </row>
    <row r="2280" spans="1:14" x14ac:dyDescent="0.35">
      <c r="A2280">
        <v>1193</v>
      </c>
      <c r="B2280" s="4">
        <v>45968.375085336993</v>
      </c>
      <c r="C2280" t="s">
        <v>8</v>
      </c>
      <c r="D2280" t="s">
        <v>17</v>
      </c>
      <c r="E2280" t="s">
        <v>24</v>
      </c>
      <c r="F2280">
        <v>7033.49</v>
      </c>
      <c r="G2280">
        <f t="array" ref="G2280">SalesData!$I$2 - 'RFM Table'!B2280</f>
        <v>168</v>
      </c>
      <c r="H2280">
        <f t="array" ref="H2280">COUNTIF(A:A,A2280)</f>
        <v>5</v>
      </c>
      <c r="I2280">
        <f t="array" ref="I2280">SUMIF(A:A,A2280,F:F)</f>
        <v>29762.12</v>
      </c>
      <c r="J2280">
        <f t="array" ref="J2280">5 - INT(5 * (RANK(G2280,G:G, 1) - 1) / COUNT(G:G))</f>
        <v>4</v>
      </c>
      <c r="K2280">
        <f t="array" ref="K2280">INT(5 * (RANK(H2280,H:H, 0) - 1) / COUNT(H:H)) + 1</f>
        <v>5</v>
      </c>
      <c r="L2280">
        <f t="array" ref="L2280">INT(5 * (RANK(I2280,I:I, 0) - 1) / COUNT(I:I)) + 1</f>
        <v>3</v>
      </c>
      <c r="M2280" t="str">
        <f t="shared" si="70"/>
        <v>453</v>
      </c>
      <c r="N2280" s="6" t="str">
        <f t="shared" si="71"/>
        <v>Others</v>
      </c>
    </row>
    <row r="2281" spans="1:14" x14ac:dyDescent="0.35">
      <c r="A2281">
        <v>1385</v>
      </c>
      <c r="B2281" s="4">
        <v>45968.375085336993</v>
      </c>
      <c r="C2281" t="s">
        <v>11</v>
      </c>
      <c r="D2281" t="s">
        <v>22</v>
      </c>
      <c r="E2281" t="s">
        <v>23</v>
      </c>
      <c r="F2281">
        <v>16177.92</v>
      </c>
      <c r="G2281">
        <f t="array" ref="G2281">SalesData!$I$2 - 'RFM Table'!B2281</f>
        <v>168</v>
      </c>
      <c r="H2281">
        <f t="array" ref="H2281">COUNTIF(A:A,A2281)</f>
        <v>11</v>
      </c>
      <c r="I2281">
        <f t="array" ref="I2281">SUMIF(A:A,A2281,F:F)</f>
        <v>73437.08</v>
      </c>
      <c r="J2281">
        <f t="array" ref="J2281">5 - INT(5 * (RANK(G2281,G:G, 1) - 1) / COUNT(G:G))</f>
        <v>4</v>
      </c>
      <c r="K2281">
        <f t="array" ref="K2281">INT(5 * (RANK(H2281,H:H, 0) - 1) / COUNT(H:H)) + 1</f>
        <v>1</v>
      </c>
      <c r="L2281">
        <f t="array" ref="L2281">INT(5 * (RANK(I2281,I:I, 0) - 1) / COUNT(I:I)) + 1</f>
        <v>1</v>
      </c>
      <c r="M2281" t="str">
        <f t="shared" si="70"/>
        <v>411</v>
      </c>
      <c r="N2281" s="6" t="str">
        <f t="shared" si="71"/>
        <v>New Customers</v>
      </c>
    </row>
    <row r="2282" spans="1:14" x14ac:dyDescent="0.35">
      <c r="A2282">
        <v>1354</v>
      </c>
      <c r="B2282" s="4">
        <v>45968.375085336993</v>
      </c>
      <c r="C2282" t="s">
        <v>15</v>
      </c>
      <c r="D2282" t="s">
        <v>17</v>
      </c>
      <c r="E2282" t="s">
        <v>24</v>
      </c>
      <c r="F2282">
        <v>1440.71</v>
      </c>
      <c r="G2282">
        <f t="array" ref="G2282">SalesData!$I$2 - 'RFM Table'!B2282</f>
        <v>168</v>
      </c>
      <c r="H2282">
        <f t="array" ref="H2282">COUNTIF(A:A,A2282)</f>
        <v>7</v>
      </c>
      <c r="I2282">
        <f t="array" ref="I2282">SUMIF(A:A,A2282,F:F)</f>
        <v>30282.260000000002</v>
      </c>
      <c r="J2282">
        <f t="array" ref="J2282">5 - INT(5 * (RANK(G2282,G:G, 1) - 1) / COUNT(G:G))</f>
        <v>4</v>
      </c>
      <c r="K2282">
        <f t="array" ref="K2282">INT(5 * (RANK(H2282,H:H, 0) - 1) / COUNT(H:H)) + 1</f>
        <v>4</v>
      </c>
      <c r="L2282">
        <f t="array" ref="L2282">INT(5 * (RANK(I2282,I:I, 0) - 1) / COUNT(I:I)) + 1</f>
        <v>3</v>
      </c>
      <c r="M2282" t="str">
        <f t="shared" si="70"/>
        <v>443</v>
      </c>
      <c r="N2282" s="6" t="str">
        <f t="shared" si="71"/>
        <v>Others</v>
      </c>
    </row>
    <row r="2283" spans="1:14" x14ac:dyDescent="0.35">
      <c r="A2283">
        <v>1214</v>
      </c>
      <c r="B2283" s="4">
        <v>45968.375085336993</v>
      </c>
      <c r="C2283" t="s">
        <v>10</v>
      </c>
      <c r="D2283" t="s">
        <v>19</v>
      </c>
      <c r="E2283" t="s">
        <v>24</v>
      </c>
      <c r="F2283">
        <v>3540.94</v>
      </c>
      <c r="G2283">
        <f t="array" ref="G2283">SalesData!$I$2 - 'RFM Table'!B2283</f>
        <v>168</v>
      </c>
      <c r="H2283">
        <f t="array" ref="H2283">COUNTIF(A:A,A2283)</f>
        <v>12</v>
      </c>
      <c r="I2283">
        <f t="array" ref="I2283">SUMIF(A:A,A2283,F:F)</f>
        <v>49382.650000000009</v>
      </c>
      <c r="J2283">
        <f t="array" ref="J2283">5 - INT(5 * (RANK(G2283,G:G, 1) - 1) / COUNT(G:G))</f>
        <v>4</v>
      </c>
      <c r="K2283">
        <f t="array" ref="K2283">INT(5 * (RANK(H2283,H:H, 0) - 1) / COUNT(H:H)) + 1</f>
        <v>1</v>
      </c>
      <c r="L2283">
        <f t="array" ref="L2283">INT(5 * (RANK(I2283,I:I, 0) - 1) / COUNT(I:I)) + 1</f>
        <v>1</v>
      </c>
      <c r="M2283" t="str">
        <f t="shared" si="70"/>
        <v>411</v>
      </c>
      <c r="N2283" s="6" t="str">
        <f t="shared" si="71"/>
        <v>New Customers</v>
      </c>
    </row>
    <row r="2284" spans="1:14" x14ac:dyDescent="0.35">
      <c r="A2284">
        <v>1000</v>
      </c>
      <c r="B2284" s="4">
        <v>45968.375085336993</v>
      </c>
      <c r="C2284" t="s">
        <v>6</v>
      </c>
      <c r="D2284" t="s">
        <v>18</v>
      </c>
      <c r="E2284" t="s">
        <v>23</v>
      </c>
      <c r="F2284">
        <v>11297.14</v>
      </c>
      <c r="G2284">
        <f t="array" ref="G2284">SalesData!$I$2 - 'RFM Table'!B2284</f>
        <v>168</v>
      </c>
      <c r="H2284">
        <f t="array" ref="H2284">COUNTIF(A:A,A2284)</f>
        <v>11</v>
      </c>
      <c r="I2284">
        <f t="array" ref="I2284">SUMIF(A:A,A2284,F:F)</f>
        <v>62566.770000000004</v>
      </c>
      <c r="J2284">
        <f t="array" ref="J2284">5 - INT(5 * (RANK(G2284,G:G, 1) - 1) / COUNT(G:G))</f>
        <v>4</v>
      </c>
      <c r="K2284">
        <f t="array" ref="K2284">INT(5 * (RANK(H2284,H:H, 0) - 1) / COUNT(H:H)) + 1</f>
        <v>1</v>
      </c>
      <c r="L2284">
        <f t="array" ref="L2284">INT(5 * (RANK(I2284,I:I, 0) - 1) / COUNT(I:I)) + 1</f>
        <v>1</v>
      </c>
      <c r="M2284" t="str">
        <f t="shared" si="70"/>
        <v>411</v>
      </c>
      <c r="N2284" s="6" t="str">
        <f t="shared" si="71"/>
        <v>New Customers</v>
      </c>
    </row>
    <row r="2285" spans="1:14" x14ac:dyDescent="0.35">
      <c r="A2285">
        <v>1013</v>
      </c>
      <c r="B2285" s="4">
        <v>45968.375085336993</v>
      </c>
      <c r="C2285" t="s">
        <v>13</v>
      </c>
      <c r="D2285" t="s">
        <v>22</v>
      </c>
      <c r="E2285" t="s">
        <v>25</v>
      </c>
      <c r="F2285">
        <v>1871.82</v>
      </c>
      <c r="G2285">
        <f t="array" ref="G2285">SalesData!$I$2 - 'RFM Table'!B2285</f>
        <v>168</v>
      </c>
      <c r="H2285">
        <f t="array" ref="H2285">COUNTIF(A:A,A2285)</f>
        <v>14</v>
      </c>
      <c r="I2285">
        <f t="array" ref="I2285">SUMIF(A:A,A2285,F:F)</f>
        <v>60099.840000000004</v>
      </c>
      <c r="J2285">
        <f t="array" ref="J2285">5 - INT(5 * (RANK(G2285,G:G, 1) - 1) / COUNT(G:G))</f>
        <v>4</v>
      </c>
      <c r="K2285">
        <f t="array" ref="K2285">INT(5 * (RANK(H2285,H:H, 0) - 1) / COUNT(H:H)) + 1</f>
        <v>1</v>
      </c>
      <c r="L2285">
        <f t="array" ref="L2285">INT(5 * (RANK(I2285,I:I, 0) - 1) / COUNT(I:I)) + 1</f>
        <v>1</v>
      </c>
      <c r="M2285" t="str">
        <f t="shared" si="70"/>
        <v>411</v>
      </c>
      <c r="N2285" s="6" t="str">
        <f t="shared" si="71"/>
        <v>New Customers</v>
      </c>
    </row>
    <row r="2286" spans="1:14" x14ac:dyDescent="0.35">
      <c r="A2286">
        <v>1315</v>
      </c>
      <c r="B2286" s="4">
        <v>45969.375085336993</v>
      </c>
      <c r="C2286" t="s">
        <v>12</v>
      </c>
      <c r="D2286" t="s">
        <v>22</v>
      </c>
      <c r="E2286" t="s">
        <v>25</v>
      </c>
      <c r="F2286">
        <v>2039.65</v>
      </c>
      <c r="G2286">
        <f t="array" ref="G2286">SalesData!$I$2 - 'RFM Table'!B2286</f>
        <v>167</v>
      </c>
      <c r="H2286">
        <f t="array" ref="H2286">COUNTIF(A:A,A2286)</f>
        <v>12</v>
      </c>
      <c r="I2286">
        <f t="array" ref="I2286">SUMIF(A:A,A2286,F:F)</f>
        <v>42776.80999999999</v>
      </c>
      <c r="J2286">
        <f t="array" ref="J2286">5 - INT(5 * (RANK(G2286,G:G, 1) - 1) / COUNT(G:G))</f>
        <v>4</v>
      </c>
      <c r="K2286">
        <f t="array" ref="K2286">INT(5 * (RANK(H2286,H:H, 0) - 1) / COUNT(H:H)) + 1</f>
        <v>1</v>
      </c>
      <c r="L2286">
        <f t="array" ref="L2286">INT(5 * (RANK(I2286,I:I, 0) - 1) / COUNT(I:I)) + 1</f>
        <v>2</v>
      </c>
      <c r="M2286" t="str">
        <f t="shared" si="70"/>
        <v>412</v>
      </c>
      <c r="N2286" s="6" t="str">
        <f t="shared" si="71"/>
        <v>New Customers</v>
      </c>
    </row>
    <row r="2287" spans="1:14" x14ac:dyDescent="0.35">
      <c r="A2287">
        <v>1085</v>
      </c>
      <c r="B2287" s="4">
        <v>45969.375085336993</v>
      </c>
      <c r="C2287" t="s">
        <v>12</v>
      </c>
      <c r="D2287" t="s">
        <v>22</v>
      </c>
      <c r="E2287" t="s">
        <v>23</v>
      </c>
      <c r="F2287">
        <v>6686.42</v>
      </c>
      <c r="G2287">
        <f t="array" ref="G2287">SalesData!$I$2 - 'RFM Table'!B2287</f>
        <v>167</v>
      </c>
      <c r="H2287">
        <f t="array" ref="H2287">COUNTIF(A:A,A2287)</f>
        <v>10</v>
      </c>
      <c r="I2287">
        <f t="array" ref="I2287">SUMIF(A:A,A2287,F:F)</f>
        <v>50122.659999999996</v>
      </c>
      <c r="J2287">
        <f t="array" ref="J2287">5 - INT(5 * (RANK(G2287,G:G, 1) - 1) / COUNT(G:G))</f>
        <v>4</v>
      </c>
      <c r="K2287">
        <f t="array" ref="K2287">INT(5 * (RANK(H2287,H:H, 0) - 1) / COUNT(H:H)) + 1</f>
        <v>2</v>
      </c>
      <c r="L2287">
        <f t="array" ref="L2287">INT(5 * (RANK(I2287,I:I, 0) - 1) / COUNT(I:I)) + 1</f>
        <v>1</v>
      </c>
      <c r="M2287" t="str">
        <f t="shared" si="70"/>
        <v>421</v>
      </c>
      <c r="N2287" s="6" t="str">
        <f t="shared" si="71"/>
        <v>New Customers</v>
      </c>
    </row>
    <row r="2288" spans="1:14" x14ac:dyDescent="0.35">
      <c r="A2288">
        <v>1131</v>
      </c>
      <c r="B2288" s="4">
        <v>45969.375085336993</v>
      </c>
      <c r="C2288" t="s">
        <v>12</v>
      </c>
      <c r="D2288" t="s">
        <v>17</v>
      </c>
      <c r="E2288" t="s">
        <v>23</v>
      </c>
      <c r="F2288">
        <v>3459.32</v>
      </c>
      <c r="G2288">
        <f t="array" ref="G2288">SalesData!$I$2 - 'RFM Table'!B2288</f>
        <v>167</v>
      </c>
      <c r="H2288">
        <f t="array" ref="H2288">COUNTIF(A:A,A2288)</f>
        <v>7</v>
      </c>
      <c r="I2288">
        <f t="array" ref="I2288">SUMIF(A:A,A2288,F:F)</f>
        <v>38080.880000000005</v>
      </c>
      <c r="J2288">
        <f t="array" ref="J2288">5 - INT(5 * (RANK(G2288,G:G, 1) - 1) / COUNT(G:G))</f>
        <v>4</v>
      </c>
      <c r="K2288">
        <f t="array" ref="K2288">INT(5 * (RANK(H2288,H:H, 0) - 1) / COUNT(H:H)) + 1</f>
        <v>4</v>
      </c>
      <c r="L2288">
        <f t="array" ref="L2288">INT(5 * (RANK(I2288,I:I, 0) - 1) / COUNT(I:I)) + 1</f>
        <v>2</v>
      </c>
      <c r="M2288" t="str">
        <f t="shared" si="70"/>
        <v>442</v>
      </c>
      <c r="N2288" s="6" t="str">
        <f t="shared" si="71"/>
        <v>Others</v>
      </c>
    </row>
    <row r="2289" spans="1:14" x14ac:dyDescent="0.35">
      <c r="A2289">
        <v>1373</v>
      </c>
      <c r="B2289" s="4">
        <v>45969.375085336993</v>
      </c>
      <c r="C2289" t="s">
        <v>12</v>
      </c>
      <c r="D2289" t="s">
        <v>20</v>
      </c>
      <c r="E2289" t="s">
        <v>25</v>
      </c>
      <c r="F2289">
        <v>4786.92</v>
      </c>
      <c r="G2289">
        <f t="array" ref="G2289">SalesData!$I$2 - 'RFM Table'!B2289</f>
        <v>167</v>
      </c>
      <c r="H2289">
        <f t="array" ref="H2289">COUNTIF(A:A,A2289)</f>
        <v>11</v>
      </c>
      <c r="I2289">
        <f t="array" ref="I2289">SUMIF(A:A,A2289,F:F)</f>
        <v>46795.570000000007</v>
      </c>
      <c r="J2289">
        <f t="array" ref="J2289">5 - INT(5 * (RANK(G2289,G:G, 1) - 1) / COUNT(G:G))</f>
        <v>4</v>
      </c>
      <c r="K2289">
        <f t="array" ref="K2289">INT(5 * (RANK(H2289,H:H, 0) - 1) / COUNT(H:H)) + 1</f>
        <v>1</v>
      </c>
      <c r="L2289">
        <f t="array" ref="L2289">INT(5 * (RANK(I2289,I:I, 0) - 1) / COUNT(I:I)) + 1</f>
        <v>1</v>
      </c>
      <c r="M2289" t="str">
        <f t="shared" si="70"/>
        <v>411</v>
      </c>
      <c r="N2289" s="6" t="str">
        <f t="shared" si="71"/>
        <v>New Customers</v>
      </c>
    </row>
    <row r="2290" spans="1:14" x14ac:dyDescent="0.35">
      <c r="A2290">
        <v>1387</v>
      </c>
      <c r="B2290" s="4">
        <v>45970.375085336993</v>
      </c>
      <c r="C2290" t="s">
        <v>11</v>
      </c>
      <c r="D2290" t="s">
        <v>17</v>
      </c>
      <c r="E2290" t="s">
        <v>23</v>
      </c>
      <c r="F2290">
        <v>4845.04</v>
      </c>
      <c r="G2290">
        <f t="array" ref="G2290">SalesData!$I$2 - 'RFM Table'!B2290</f>
        <v>166</v>
      </c>
      <c r="H2290">
        <f t="array" ref="H2290">COUNTIF(A:A,A2290)</f>
        <v>8</v>
      </c>
      <c r="I2290">
        <f t="array" ref="I2290">SUMIF(A:A,A2290,F:F)</f>
        <v>30848.15</v>
      </c>
      <c r="J2290">
        <f t="array" ref="J2290">5 - INT(5 * (RANK(G2290,G:G, 1) - 1) / COUNT(G:G))</f>
        <v>4</v>
      </c>
      <c r="K2290">
        <f t="array" ref="K2290">INT(5 * (RANK(H2290,H:H, 0) - 1) / COUNT(H:H)) + 1</f>
        <v>3</v>
      </c>
      <c r="L2290">
        <f t="array" ref="L2290">INT(5 * (RANK(I2290,I:I, 0) - 1) / COUNT(I:I)) + 1</f>
        <v>3</v>
      </c>
      <c r="M2290" t="str">
        <f t="shared" si="70"/>
        <v>433</v>
      </c>
      <c r="N2290" s="6" t="str">
        <f t="shared" si="71"/>
        <v>Others</v>
      </c>
    </row>
    <row r="2291" spans="1:14" x14ac:dyDescent="0.35">
      <c r="A2291">
        <v>1276</v>
      </c>
      <c r="B2291" s="4">
        <v>45970.375085336993</v>
      </c>
      <c r="C2291" t="s">
        <v>8</v>
      </c>
      <c r="D2291" t="s">
        <v>16</v>
      </c>
      <c r="E2291" t="s">
        <v>23</v>
      </c>
      <c r="F2291">
        <v>7745.21</v>
      </c>
      <c r="G2291">
        <f t="array" ref="G2291">SalesData!$I$2 - 'RFM Table'!B2291</f>
        <v>166</v>
      </c>
      <c r="H2291">
        <f t="array" ref="H2291">COUNTIF(A:A,A2291)</f>
        <v>11</v>
      </c>
      <c r="I2291">
        <f t="array" ref="I2291">SUMIF(A:A,A2291,F:F)</f>
        <v>38337.789999999994</v>
      </c>
      <c r="J2291">
        <f t="array" ref="J2291">5 - INT(5 * (RANK(G2291,G:G, 1) - 1) / COUNT(G:G))</f>
        <v>4</v>
      </c>
      <c r="K2291">
        <f t="array" ref="K2291">INT(5 * (RANK(H2291,H:H, 0) - 1) / COUNT(H:H)) + 1</f>
        <v>1</v>
      </c>
      <c r="L2291">
        <f t="array" ref="L2291">INT(5 * (RANK(I2291,I:I, 0) - 1) / COUNT(I:I)) + 1</f>
        <v>2</v>
      </c>
      <c r="M2291" t="str">
        <f t="shared" si="70"/>
        <v>412</v>
      </c>
      <c r="N2291" s="6" t="str">
        <f t="shared" si="71"/>
        <v>New Customers</v>
      </c>
    </row>
    <row r="2292" spans="1:14" x14ac:dyDescent="0.35">
      <c r="A2292">
        <v>1151</v>
      </c>
      <c r="B2292" s="4">
        <v>45970.375085336993</v>
      </c>
      <c r="C2292" t="s">
        <v>11</v>
      </c>
      <c r="D2292" t="s">
        <v>16</v>
      </c>
      <c r="E2292" t="s">
        <v>24</v>
      </c>
      <c r="F2292">
        <v>4089.18</v>
      </c>
      <c r="G2292">
        <f t="array" ref="G2292">SalesData!$I$2 - 'RFM Table'!B2292</f>
        <v>166</v>
      </c>
      <c r="H2292">
        <f t="array" ref="H2292">COUNTIF(A:A,A2292)</f>
        <v>13</v>
      </c>
      <c r="I2292">
        <f t="array" ref="I2292">SUMIF(A:A,A2292,F:F)</f>
        <v>49208.94</v>
      </c>
      <c r="J2292">
        <f t="array" ref="J2292">5 - INT(5 * (RANK(G2292,G:G, 1) - 1) / COUNT(G:G))</f>
        <v>4</v>
      </c>
      <c r="K2292">
        <f t="array" ref="K2292">INT(5 * (RANK(H2292,H:H, 0) - 1) / COUNT(H:H)) + 1</f>
        <v>1</v>
      </c>
      <c r="L2292">
        <f t="array" ref="L2292">INT(5 * (RANK(I2292,I:I, 0) - 1) / COUNT(I:I)) + 1</f>
        <v>1</v>
      </c>
      <c r="M2292" t="str">
        <f t="shared" si="70"/>
        <v>411</v>
      </c>
      <c r="N2292" s="6" t="str">
        <f t="shared" si="71"/>
        <v>New Customers</v>
      </c>
    </row>
    <row r="2293" spans="1:14" x14ac:dyDescent="0.35">
      <c r="A2293">
        <v>1068</v>
      </c>
      <c r="B2293" s="4">
        <v>45970.375085336993</v>
      </c>
      <c r="C2293" t="s">
        <v>8</v>
      </c>
      <c r="D2293" t="s">
        <v>18</v>
      </c>
      <c r="E2293" t="s">
        <v>25</v>
      </c>
      <c r="F2293">
        <v>3763.75</v>
      </c>
      <c r="G2293">
        <f t="array" ref="G2293">SalesData!$I$2 - 'RFM Table'!B2293</f>
        <v>166</v>
      </c>
      <c r="H2293">
        <f t="array" ref="H2293">COUNTIF(A:A,A2293)</f>
        <v>10</v>
      </c>
      <c r="I2293">
        <f t="array" ref="I2293">SUMIF(A:A,A2293,F:F)</f>
        <v>47284.22</v>
      </c>
      <c r="J2293">
        <f t="array" ref="J2293">5 - INT(5 * (RANK(G2293,G:G, 1) - 1) / COUNT(G:G))</f>
        <v>4</v>
      </c>
      <c r="K2293">
        <f t="array" ref="K2293">INT(5 * (RANK(H2293,H:H, 0) - 1) / COUNT(H:H)) + 1</f>
        <v>2</v>
      </c>
      <c r="L2293">
        <f t="array" ref="L2293">INT(5 * (RANK(I2293,I:I, 0) - 1) / COUNT(I:I)) + 1</f>
        <v>1</v>
      </c>
      <c r="M2293" t="str">
        <f t="shared" si="70"/>
        <v>421</v>
      </c>
      <c r="N2293" s="6" t="str">
        <f t="shared" si="71"/>
        <v>New Customers</v>
      </c>
    </row>
    <row r="2294" spans="1:14" x14ac:dyDescent="0.35">
      <c r="A2294">
        <v>1062</v>
      </c>
      <c r="B2294" s="4">
        <v>45971.375085336993</v>
      </c>
      <c r="C2294" t="s">
        <v>6</v>
      </c>
      <c r="D2294" t="s">
        <v>22</v>
      </c>
      <c r="E2294" t="s">
        <v>24</v>
      </c>
      <c r="F2294">
        <v>2109.81</v>
      </c>
      <c r="G2294">
        <f t="array" ref="G2294">SalesData!$I$2 - 'RFM Table'!B2294</f>
        <v>165</v>
      </c>
      <c r="H2294">
        <f t="array" ref="H2294">COUNTIF(A:A,A2294)</f>
        <v>11</v>
      </c>
      <c r="I2294">
        <f t="array" ref="I2294">SUMIF(A:A,A2294,F:F)</f>
        <v>59377.640000000014</v>
      </c>
      <c r="J2294">
        <f t="array" ref="J2294">5 - INT(5 * (RANK(G2294,G:G, 1) - 1) / COUNT(G:G))</f>
        <v>4</v>
      </c>
      <c r="K2294">
        <f t="array" ref="K2294">INT(5 * (RANK(H2294,H:H, 0) - 1) / COUNT(H:H)) + 1</f>
        <v>1</v>
      </c>
      <c r="L2294">
        <f t="array" ref="L2294">INT(5 * (RANK(I2294,I:I, 0) - 1) / COUNT(I:I)) + 1</f>
        <v>1</v>
      </c>
      <c r="M2294" t="str">
        <f t="shared" si="70"/>
        <v>411</v>
      </c>
      <c r="N2294" s="6" t="str">
        <f t="shared" si="71"/>
        <v>New Customers</v>
      </c>
    </row>
    <row r="2295" spans="1:14" x14ac:dyDescent="0.35">
      <c r="A2295">
        <v>1320</v>
      </c>
      <c r="B2295" s="4">
        <v>45971.375085336993</v>
      </c>
      <c r="C2295" t="s">
        <v>9</v>
      </c>
      <c r="D2295" t="s">
        <v>16</v>
      </c>
      <c r="E2295" t="s">
        <v>24</v>
      </c>
      <c r="F2295">
        <v>3011.08</v>
      </c>
      <c r="G2295">
        <f t="array" ref="G2295">SalesData!$I$2 - 'RFM Table'!B2295</f>
        <v>165</v>
      </c>
      <c r="H2295">
        <f t="array" ref="H2295">COUNTIF(A:A,A2295)</f>
        <v>6</v>
      </c>
      <c r="I2295">
        <f t="array" ref="I2295">SUMIF(A:A,A2295,F:F)</f>
        <v>32825.340000000004</v>
      </c>
      <c r="J2295">
        <f t="array" ref="J2295">5 - INT(5 * (RANK(G2295,G:G, 1) - 1) / COUNT(G:G))</f>
        <v>4</v>
      </c>
      <c r="K2295">
        <f t="array" ref="K2295">INT(5 * (RANK(H2295,H:H, 0) - 1) / COUNT(H:H)) + 1</f>
        <v>4</v>
      </c>
      <c r="L2295">
        <f t="array" ref="L2295">INT(5 * (RANK(I2295,I:I, 0) - 1) / COUNT(I:I)) + 1</f>
        <v>3</v>
      </c>
      <c r="M2295" t="str">
        <f t="shared" si="70"/>
        <v>443</v>
      </c>
      <c r="N2295" s="6" t="str">
        <f t="shared" si="71"/>
        <v>Others</v>
      </c>
    </row>
    <row r="2296" spans="1:14" x14ac:dyDescent="0.35">
      <c r="A2296">
        <v>1142</v>
      </c>
      <c r="B2296" s="4">
        <v>45971.375085336993</v>
      </c>
      <c r="C2296" t="s">
        <v>9</v>
      </c>
      <c r="D2296" t="s">
        <v>22</v>
      </c>
      <c r="E2296" t="s">
        <v>23</v>
      </c>
      <c r="F2296">
        <v>4226.83</v>
      </c>
      <c r="G2296">
        <f t="array" ref="G2296">SalesData!$I$2 - 'RFM Table'!B2296</f>
        <v>165</v>
      </c>
      <c r="H2296">
        <f t="array" ref="H2296">COUNTIF(A:A,A2296)</f>
        <v>10</v>
      </c>
      <c r="I2296">
        <f t="array" ref="I2296">SUMIF(A:A,A2296,F:F)</f>
        <v>45537.319999999992</v>
      </c>
      <c r="J2296">
        <f t="array" ref="J2296">5 - INT(5 * (RANK(G2296,G:G, 1) - 1) / COUNT(G:G))</f>
        <v>4</v>
      </c>
      <c r="K2296">
        <f t="array" ref="K2296">INT(5 * (RANK(H2296,H:H, 0) - 1) / COUNT(H:H)) + 1</f>
        <v>2</v>
      </c>
      <c r="L2296">
        <f t="array" ref="L2296">INT(5 * (RANK(I2296,I:I, 0) - 1) / COUNT(I:I)) + 1</f>
        <v>1</v>
      </c>
      <c r="M2296" t="str">
        <f t="shared" si="70"/>
        <v>421</v>
      </c>
      <c r="N2296" s="6" t="str">
        <f t="shared" si="71"/>
        <v>New Customers</v>
      </c>
    </row>
    <row r="2297" spans="1:14" x14ac:dyDescent="0.35">
      <c r="A2297">
        <v>1094</v>
      </c>
      <c r="B2297" s="4">
        <v>45971.375085336993</v>
      </c>
      <c r="C2297" t="s">
        <v>13</v>
      </c>
      <c r="D2297" t="s">
        <v>16</v>
      </c>
      <c r="E2297" t="s">
        <v>24</v>
      </c>
      <c r="F2297">
        <v>3655.75</v>
      </c>
      <c r="G2297">
        <f t="array" ref="G2297">SalesData!$I$2 - 'RFM Table'!B2297</f>
        <v>165</v>
      </c>
      <c r="H2297">
        <f t="array" ref="H2297">COUNTIF(A:A,A2297)</f>
        <v>10</v>
      </c>
      <c r="I2297">
        <f t="array" ref="I2297">SUMIF(A:A,A2297,F:F)</f>
        <v>41704.25</v>
      </c>
      <c r="J2297">
        <f t="array" ref="J2297">5 - INT(5 * (RANK(G2297,G:G, 1) - 1) / COUNT(G:G))</f>
        <v>4</v>
      </c>
      <c r="K2297">
        <f t="array" ref="K2297">INT(5 * (RANK(H2297,H:H, 0) - 1) / COUNT(H:H)) + 1</f>
        <v>2</v>
      </c>
      <c r="L2297">
        <f t="array" ref="L2297">INT(5 * (RANK(I2297,I:I, 0) - 1) / COUNT(I:I)) + 1</f>
        <v>2</v>
      </c>
      <c r="M2297" t="str">
        <f t="shared" si="70"/>
        <v>422</v>
      </c>
      <c r="N2297" s="6" t="str">
        <f t="shared" si="71"/>
        <v>New Customers</v>
      </c>
    </row>
    <row r="2298" spans="1:14" x14ac:dyDescent="0.35">
      <c r="A2298">
        <v>1228</v>
      </c>
      <c r="B2298" s="4">
        <v>45972.375085336993</v>
      </c>
      <c r="C2298" t="s">
        <v>8</v>
      </c>
      <c r="D2298" t="s">
        <v>20</v>
      </c>
      <c r="E2298" t="s">
        <v>23</v>
      </c>
      <c r="F2298">
        <v>4839.32</v>
      </c>
      <c r="G2298">
        <f t="array" ref="G2298">SalesData!$I$2 - 'RFM Table'!B2298</f>
        <v>164</v>
      </c>
      <c r="H2298">
        <f t="array" ref="H2298">COUNTIF(A:A,A2298)</f>
        <v>13</v>
      </c>
      <c r="I2298">
        <f t="array" ref="I2298">SUMIF(A:A,A2298,F:F)</f>
        <v>47658.630000000005</v>
      </c>
      <c r="J2298">
        <f t="array" ref="J2298">5 - INT(5 * (RANK(G2298,G:G, 1) - 1) / COUNT(G:G))</f>
        <v>4</v>
      </c>
      <c r="K2298">
        <f t="array" ref="K2298">INT(5 * (RANK(H2298,H:H, 0) - 1) / COUNT(H:H)) + 1</f>
        <v>1</v>
      </c>
      <c r="L2298">
        <f t="array" ref="L2298">INT(5 * (RANK(I2298,I:I, 0) - 1) / COUNT(I:I)) + 1</f>
        <v>1</v>
      </c>
      <c r="M2298" t="str">
        <f t="shared" si="70"/>
        <v>411</v>
      </c>
      <c r="N2298" s="6" t="str">
        <f t="shared" si="71"/>
        <v>New Customers</v>
      </c>
    </row>
    <row r="2299" spans="1:14" x14ac:dyDescent="0.35">
      <c r="A2299">
        <v>1050</v>
      </c>
      <c r="B2299" s="4">
        <v>45972.375085336993</v>
      </c>
      <c r="C2299" t="s">
        <v>13</v>
      </c>
      <c r="D2299" t="s">
        <v>17</v>
      </c>
      <c r="E2299" t="s">
        <v>25</v>
      </c>
      <c r="F2299">
        <v>4293.18</v>
      </c>
      <c r="G2299">
        <f t="array" ref="G2299">SalesData!$I$2 - 'RFM Table'!B2299</f>
        <v>164</v>
      </c>
      <c r="H2299">
        <f t="array" ref="H2299">COUNTIF(A:A,A2299)</f>
        <v>10</v>
      </c>
      <c r="I2299">
        <f t="array" ref="I2299">SUMIF(A:A,A2299,F:F)</f>
        <v>32732.979999999996</v>
      </c>
      <c r="J2299">
        <f t="array" ref="J2299">5 - INT(5 * (RANK(G2299,G:G, 1) - 1) / COUNT(G:G))</f>
        <v>4</v>
      </c>
      <c r="K2299">
        <f t="array" ref="K2299">INT(5 * (RANK(H2299,H:H, 0) - 1) / COUNT(H:H)) + 1</f>
        <v>2</v>
      </c>
      <c r="L2299">
        <f t="array" ref="L2299">INT(5 * (RANK(I2299,I:I, 0) - 1) / COUNT(I:I)) + 1</f>
        <v>3</v>
      </c>
      <c r="M2299" t="str">
        <f t="shared" si="70"/>
        <v>423</v>
      </c>
      <c r="N2299" s="6" t="str">
        <f t="shared" si="71"/>
        <v>New Customers</v>
      </c>
    </row>
    <row r="2300" spans="1:14" x14ac:dyDescent="0.35">
      <c r="A2300">
        <v>1018</v>
      </c>
      <c r="B2300" s="4">
        <v>45972.375085336993</v>
      </c>
      <c r="C2300" t="s">
        <v>11</v>
      </c>
      <c r="D2300" t="s">
        <v>18</v>
      </c>
      <c r="E2300" t="s">
        <v>24</v>
      </c>
      <c r="F2300">
        <v>963.82</v>
      </c>
      <c r="G2300">
        <f t="array" ref="G2300">SalesData!$I$2 - 'RFM Table'!B2300</f>
        <v>164</v>
      </c>
      <c r="H2300">
        <f t="array" ref="H2300">COUNTIF(A:A,A2300)</f>
        <v>7</v>
      </c>
      <c r="I2300">
        <f t="array" ref="I2300">SUMIF(A:A,A2300,F:F)</f>
        <v>25356.28</v>
      </c>
      <c r="J2300">
        <f t="array" ref="J2300">5 - INT(5 * (RANK(G2300,G:G, 1) - 1) / COUNT(G:G))</f>
        <v>4</v>
      </c>
      <c r="K2300">
        <f t="array" ref="K2300">INT(5 * (RANK(H2300,H:H, 0) - 1) / COUNT(H:H)) + 1</f>
        <v>4</v>
      </c>
      <c r="L2300">
        <f t="array" ref="L2300">INT(5 * (RANK(I2300,I:I, 0) - 1) / COUNT(I:I)) + 1</f>
        <v>4</v>
      </c>
      <c r="M2300" t="str">
        <f t="shared" si="70"/>
        <v>444</v>
      </c>
      <c r="N2300" s="6" t="str">
        <f t="shared" si="71"/>
        <v>Others</v>
      </c>
    </row>
    <row r="2301" spans="1:14" x14ac:dyDescent="0.35">
      <c r="A2301">
        <v>1261</v>
      </c>
      <c r="B2301" s="4">
        <v>45972.375085336993</v>
      </c>
      <c r="C2301" t="s">
        <v>13</v>
      </c>
      <c r="D2301" t="s">
        <v>17</v>
      </c>
      <c r="E2301" t="s">
        <v>23</v>
      </c>
      <c r="F2301">
        <v>4197.46</v>
      </c>
      <c r="G2301">
        <f t="array" ref="G2301">SalesData!$I$2 - 'RFM Table'!B2301</f>
        <v>164</v>
      </c>
      <c r="H2301">
        <f t="array" ref="H2301">COUNTIF(A:A,A2301)</f>
        <v>8</v>
      </c>
      <c r="I2301">
        <f t="array" ref="I2301">SUMIF(A:A,A2301,F:F)</f>
        <v>28310.01</v>
      </c>
      <c r="J2301">
        <f t="array" ref="J2301">5 - INT(5 * (RANK(G2301,G:G, 1) - 1) / COUNT(G:G))</f>
        <v>4</v>
      </c>
      <c r="K2301">
        <f t="array" ref="K2301">INT(5 * (RANK(H2301,H:H, 0) - 1) / COUNT(H:H)) + 1</f>
        <v>3</v>
      </c>
      <c r="L2301">
        <f t="array" ref="L2301">INT(5 * (RANK(I2301,I:I, 0) - 1) / COUNT(I:I)) + 1</f>
        <v>4</v>
      </c>
      <c r="M2301" t="str">
        <f t="shared" si="70"/>
        <v>434</v>
      </c>
      <c r="N2301" s="6" t="str">
        <f t="shared" si="71"/>
        <v>Others</v>
      </c>
    </row>
    <row r="2302" spans="1:14" x14ac:dyDescent="0.35">
      <c r="A2302">
        <v>1050</v>
      </c>
      <c r="B2302" s="4">
        <v>45972.375085336993</v>
      </c>
      <c r="C2302" t="s">
        <v>15</v>
      </c>
      <c r="D2302" t="s">
        <v>16</v>
      </c>
      <c r="E2302" t="s">
        <v>23</v>
      </c>
      <c r="F2302">
        <v>1247.42</v>
      </c>
      <c r="G2302">
        <f t="array" ref="G2302">SalesData!$I$2 - 'RFM Table'!B2302</f>
        <v>164</v>
      </c>
      <c r="H2302">
        <f t="array" ref="H2302">COUNTIF(A:A,A2302)</f>
        <v>10</v>
      </c>
      <c r="I2302">
        <f t="array" ref="I2302">SUMIF(A:A,A2302,F:F)</f>
        <v>32732.979999999996</v>
      </c>
      <c r="J2302">
        <f t="array" ref="J2302">5 - INT(5 * (RANK(G2302,G:G, 1) - 1) / COUNT(G:G))</f>
        <v>4</v>
      </c>
      <c r="K2302">
        <f t="array" ref="K2302">INT(5 * (RANK(H2302,H:H, 0) - 1) / COUNT(H:H)) + 1</f>
        <v>2</v>
      </c>
      <c r="L2302">
        <f t="array" ref="L2302">INT(5 * (RANK(I2302,I:I, 0) - 1) / COUNT(I:I)) + 1</f>
        <v>3</v>
      </c>
      <c r="M2302" t="str">
        <f t="shared" si="70"/>
        <v>423</v>
      </c>
      <c r="N2302" s="6" t="str">
        <f t="shared" si="71"/>
        <v>New Customers</v>
      </c>
    </row>
    <row r="2303" spans="1:14" x14ac:dyDescent="0.35">
      <c r="A2303">
        <v>1223</v>
      </c>
      <c r="B2303" s="4">
        <v>45972.375085336993</v>
      </c>
      <c r="C2303" t="s">
        <v>12</v>
      </c>
      <c r="D2303" t="s">
        <v>21</v>
      </c>
      <c r="E2303" t="s">
        <v>23</v>
      </c>
      <c r="F2303">
        <v>4910.1099999999997</v>
      </c>
      <c r="G2303">
        <f t="array" ref="G2303">SalesData!$I$2 - 'RFM Table'!B2303</f>
        <v>164</v>
      </c>
      <c r="H2303">
        <f t="array" ref="H2303">COUNTIF(A:A,A2303)</f>
        <v>12</v>
      </c>
      <c r="I2303">
        <f t="array" ref="I2303">SUMIF(A:A,A2303,F:F)</f>
        <v>40797.409999999996</v>
      </c>
      <c r="J2303">
        <f t="array" ref="J2303">5 - INT(5 * (RANK(G2303,G:G, 1) - 1) / COUNT(G:G))</f>
        <v>4</v>
      </c>
      <c r="K2303">
        <f t="array" ref="K2303">INT(5 * (RANK(H2303,H:H, 0) - 1) / COUNT(H:H)) + 1</f>
        <v>1</v>
      </c>
      <c r="L2303">
        <f t="array" ref="L2303">INT(5 * (RANK(I2303,I:I, 0) - 1) / COUNT(I:I)) + 1</f>
        <v>2</v>
      </c>
      <c r="M2303" t="str">
        <f t="shared" si="70"/>
        <v>412</v>
      </c>
      <c r="N2303" s="6" t="str">
        <f t="shared" si="71"/>
        <v>New Customers</v>
      </c>
    </row>
    <row r="2304" spans="1:14" x14ac:dyDescent="0.35">
      <c r="A2304">
        <v>1098</v>
      </c>
      <c r="B2304" s="4">
        <v>45973.375085336993</v>
      </c>
      <c r="C2304" t="s">
        <v>12</v>
      </c>
      <c r="D2304" t="s">
        <v>18</v>
      </c>
      <c r="E2304" t="s">
        <v>25</v>
      </c>
      <c r="F2304">
        <v>1287.42</v>
      </c>
      <c r="G2304">
        <f t="array" ref="G2304">SalesData!$I$2 - 'RFM Table'!B2304</f>
        <v>163</v>
      </c>
      <c r="H2304">
        <f t="array" ref="H2304">COUNTIF(A:A,A2304)</f>
        <v>12</v>
      </c>
      <c r="I2304">
        <f t="array" ref="I2304">SUMIF(A:A,A2304,F:F)</f>
        <v>36909.899999999994</v>
      </c>
      <c r="J2304">
        <f t="array" ref="J2304">5 - INT(5 * (RANK(G2304,G:G, 1) - 1) / COUNT(G:G))</f>
        <v>4</v>
      </c>
      <c r="K2304">
        <f t="array" ref="K2304">INT(5 * (RANK(H2304,H:H, 0) - 1) / COUNT(H:H)) + 1</f>
        <v>1</v>
      </c>
      <c r="L2304">
        <f t="array" ref="L2304">INT(5 * (RANK(I2304,I:I, 0) - 1) / COUNT(I:I)) + 1</f>
        <v>2</v>
      </c>
      <c r="M2304" t="str">
        <f t="shared" si="70"/>
        <v>412</v>
      </c>
      <c r="N2304" s="6" t="str">
        <f t="shared" si="71"/>
        <v>New Customers</v>
      </c>
    </row>
    <row r="2305" spans="1:14" x14ac:dyDescent="0.35">
      <c r="A2305">
        <v>1354</v>
      </c>
      <c r="B2305" s="4">
        <v>45973.375085336993</v>
      </c>
      <c r="C2305" t="s">
        <v>8</v>
      </c>
      <c r="D2305" t="s">
        <v>18</v>
      </c>
      <c r="E2305" t="s">
        <v>25</v>
      </c>
      <c r="F2305">
        <v>8310.7999999999993</v>
      </c>
      <c r="G2305">
        <f t="array" ref="G2305">SalesData!$I$2 - 'RFM Table'!B2305</f>
        <v>163</v>
      </c>
      <c r="H2305">
        <f t="array" ref="H2305">COUNTIF(A:A,A2305)</f>
        <v>7</v>
      </c>
      <c r="I2305">
        <f t="array" ref="I2305">SUMIF(A:A,A2305,F:F)</f>
        <v>30282.260000000002</v>
      </c>
      <c r="J2305">
        <f t="array" ref="J2305">5 - INT(5 * (RANK(G2305,G:G, 1) - 1) / COUNT(G:G))</f>
        <v>4</v>
      </c>
      <c r="K2305">
        <f t="array" ref="K2305">INT(5 * (RANK(H2305,H:H, 0) - 1) / COUNT(H:H)) + 1</f>
        <v>4</v>
      </c>
      <c r="L2305">
        <f t="array" ref="L2305">INT(5 * (RANK(I2305,I:I, 0) - 1) / COUNT(I:I)) + 1</f>
        <v>3</v>
      </c>
      <c r="M2305" t="str">
        <f t="shared" si="70"/>
        <v>443</v>
      </c>
      <c r="N2305" s="6" t="str">
        <f t="shared" si="71"/>
        <v>Others</v>
      </c>
    </row>
    <row r="2306" spans="1:14" x14ac:dyDescent="0.35">
      <c r="A2306">
        <v>1041</v>
      </c>
      <c r="B2306" s="4">
        <v>45973.375085336993</v>
      </c>
      <c r="C2306" t="s">
        <v>14</v>
      </c>
      <c r="D2306" t="s">
        <v>20</v>
      </c>
      <c r="E2306" t="s">
        <v>25</v>
      </c>
      <c r="F2306">
        <v>441.13</v>
      </c>
      <c r="G2306">
        <f t="array" ref="G2306">SalesData!$I$2 - 'RFM Table'!B2306</f>
        <v>163</v>
      </c>
      <c r="H2306">
        <f t="array" ref="H2306">COUNTIF(A:A,A2306)</f>
        <v>12</v>
      </c>
      <c r="I2306">
        <f t="array" ref="I2306">SUMIF(A:A,A2306,F:F)</f>
        <v>44894.799999999996</v>
      </c>
      <c r="J2306">
        <f t="array" ref="J2306">5 - INT(5 * (RANK(G2306,G:G, 1) - 1) / COUNT(G:G))</f>
        <v>4</v>
      </c>
      <c r="K2306">
        <f t="array" ref="K2306">INT(5 * (RANK(H2306,H:H, 0) - 1) / COUNT(H:H)) + 1</f>
        <v>1</v>
      </c>
      <c r="L2306">
        <f t="array" ref="L2306">INT(5 * (RANK(I2306,I:I, 0) - 1) / COUNT(I:I)) + 1</f>
        <v>1</v>
      </c>
      <c r="M2306" t="str">
        <f t="shared" si="70"/>
        <v>411</v>
      </c>
      <c r="N2306" s="6" t="str">
        <f t="shared" si="71"/>
        <v>New Customers</v>
      </c>
    </row>
    <row r="2307" spans="1:14" x14ac:dyDescent="0.35">
      <c r="A2307">
        <v>1231</v>
      </c>
      <c r="B2307" s="4">
        <v>45973.375085336993</v>
      </c>
      <c r="C2307" t="s">
        <v>7</v>
      </c>
      <c r="D2307" t="s">
        <v>17</v>
      </c>
      <c r="E2307" t="s">
        <v>23</v>
      </c>
      <c r="F2307">
        <v>1885.41</v>
      </c>
      <c r="G2307">
        <f t="array" ref="G2307">SalesData!$I$2 - 'RFM Table'!B2307</f>
        <v>163</v>
      </c>
      <c r="H2307">
        <f t="array" ref="H2307">COUNTIF(A:A,A2307)</f>
        <v>6</v>
      </c>
      <c r="I2307">
        <f t="array" ref="I2307">SUMIF(A:A,A2307,F:F)</f>
        <v>19997.589999999997</v>
      </c>
      <c r="J2307">
        <f t="array" ref="J2307">5 - INT(5 * (RANK(G2307,G:G, 1) - 1) / COUNT(G:G))</f>
        <v>4</v>
      </c>
      <c r="K2307">
        <f t="array" ref="K2307">INT(5 * (RANK(H2307,H:H, 0) - 1) / COUNT(H:H)) + 1</f>
        <v>4</v>
      </c>
      <c r="L2307">
        <f t="array" ref="L2307">INT(5 * (RANK(I2307,I:I, 0) - 1) / COUNT(I:I)) + 1</f>
        <v>5</v>
      </c>
      <c r="M2307" t="str">
        <f t="shared" ref="M2307:M2370" si="72">J2307 &amp; K2307 &amp; L2307</f>
        <v>445</v>
      </c>
      <c r="N2307" s="6" t="str">
        <f t="shared" ref="N2307:N2370" si="73">IF(AND(J2307&gt;=4,K2307&lt;=2),"New Customers",
IF(AND(J2307&lt;=2,K2307&gt;=3,L2307&gt;=3),"At Risk",
IF(AND(J2307&lt;=2,K2307&lt;=2,L2307&gt;=3),"Can't Lose Them",
IF(AND(J2307&lt;=2,K2307&lt;=2,L2307&lt;=2),"Lost",
"Others"))))</f>
        <v>Others</v>
      </c>
    </row>
    <row r="2308" spans="1:14" x14ac:dyDescent="0.35">
      <c r="A2308">
        <v>1177</v>
      </c>
      <c r="B2308" s="4">
        <v>45973.375085336993</v>
      </c>
      <c r="C2308" t="s">
        <v>8</v>
      </c>
      <c r="D2308" t="s">
        <v>17</v>
      </c>
      <c r="E2308" t="s">
        <v>24</v>
      </c>
      <c r="F2308">
        <v>560.49</v>
      </c>
      <c r="G2308">
        <f t="array" ref="G2308">SalesData!$I$2 - 'RFM Table'!B2308</f>
        <v>163</v>
      </c>
      <c r="H2308">
        <f t="array" ref="H2308">COUNTIF(A:A,A2308)</f>
        <v>9</v>
      </c>
      <c r="I2308">
        <f t="array" ref="I2308">SUMIF(A:A,A2308,F:F)</f>
        <v>27857.719999999998</v>
      </c>
      <c r="J2308">
        <f t="array" ref="J2308">5 - INT(5 * (RANK(G2308,G:G, 1) - 1) / COUNT(G:G))</f>
        <v>4</v>
      </c>
      <c r="K2308">
        <f t="array" ref="K2308">INT(5 * (RANK(H2308,H:H, 0) - 1) / COUNT(H:H)) + 1</f>
        <v>2</v>
      </c>
      <c r="L2308">
        <f t="array" ref="L2308">INT(5 * (RANK(I2308,I:I, 0) - 1) / COUNT(I:I)) + 1</f>
        <v>4</v>
      </c>
      <c r="M2308" t="str">
        <f t="shared" si="72"/>
        <v>424</v>
      </c>
      <c r="N2308" s="6" t="str">
        <f t="shared" si="73"/>
        <v>New Customers</v>
      </c>
    </row>
    <row r="2309" spans="1:14" x14ac:dyDescent="0.35">
      <c r="A2309">
        <v>1238</v>
      </c>
      <c r="B2309" s="4">
        <v>45974.375085336993</v>
      </c>
      <c r="C2309" t="s">
        <v>9</v>
      </c>
      <c r="D2309" t="s">
        <v>22</v>
      </c>
      <c r="E2309" t="s">
        <v>25</v>
      </c>
      <c r="F2309">
        <v>1110</v>
      </c>
      <c r="G2309">
        <f t="array" ref="G2309">SalesData!$I$2 - 'RFM Table'!B2309</f>
        <v>162</v>
      </c>
      <c r="H2309">
        <f t="array" ref="H2309">COUNTIF(A:A,A2309)</f>
        <v>10</v>
      </c>
      <c r="I2309">
        <f t="array" ref="I2309">SUMIF(A:A,A2309,F:F)</f>
        <v>42023.55</v>
      </c>
      <c r="J2309">
        <f t="array" ref="J2309">5 - INT(5 * (RANK(G2309,G:G, 1) - 1) / COUNT(G:G))</f>
        <v>4</v>
      </c>
      <c r="K2309">
        <f t="array" ref="K2309">INT(5 * (RANK(H2309,H:H, 0) - 1) / COUNT(H:H)) + 1</f>
        <v>2</v>
      </c>
      <c r="L2309">
        <f t="array" ref="L2309">INT(5 * (RANK(I2309,I:I, 0) - 1) / COUNT(I:I)) + 1</f>
        <v>2</v>
      </c>
      <c r="M2309" t="str">
        <f t="shared" si="72"/>
        <v>422</v>
      </c>
      <c r="N2309" s="6" t="str">
        <f t="shared" si="73"/>
        <v>New Customers</v>
      </c>
    </row>
    <row r="2310" spans="1:14" x14ac:dyDescent="0.35">
      <c r="A2310">
        <v>1295</v>
      </c>
      <c r="B2310" s="4">
        <v>45974.375085336993</v>
      </c>
      <c r="C2310" t="s">
        <v>8</v>
      </c>
      <c r="D2310" t="s">
        <v>18</v>
      </c>
      <c r="E2310" t="s">
        <v>23</v>
      </c>
      <c r="F2310">
        <v>9601.67</v>
      </c>
      <c r="G2310">
        <f t="array" ref="G2310">SalesData!$I$2 - 'RFM Table'!B2310</f>
        <v>162</v>
      </c>
      <c r="H2310">
        <f t="array" ref="H2310">COUNTIF(A:A,A2310)</f>
        <v>6</v>
      </c>
      <c r="I2310">
        <f t="array" ref="I2310">SUMIF(A:A,A2310,F:F)</f>
        <v>19844.169999999998</v>
      </c>
      <c r="J2310">
        <f t="array" ref="J2310">5 - INT(5 * (RANK(G2310,G:G, 1) - 1) / COUNT(G:G))</f>
        <v>4</v>
      </c>
      <c r="K2310">
        <f t="array" ref="K2310">INT(5 * (RANK(H2310,H:H, 0) - 1) / COUNT(H:H)) + 1</f>
        <v>4</v>
      </c>
      <c r="L2310">
        <f t="array" ref="L2310">INT(5 * (RANK(I2310,I:I, 0) - 1) / COUNT(I:I)) + 1</f>
        <v>5</v>
      </c>
      <c r="M2310" t="str">
        <f t="shared" si="72"/>
        <v>445</v>
      </c>
      <c r="N2310" s="6" t="str">
        <f t="shared" si="73"/>
        <v>Others</v>
      </c>
    </row>
    <row r="2311" spans="1:14" x14ac:dyDescent="0.35">
      <c r="A2311">
        <v>1329</v>
      </c>
      <c r="B2311" s="4">
        <v>45974.375085336993</v>
      </c>
      <c r="C2311" t="s">
        <v>12</v>
      </c>
      <c r="D2311" t="s">
        <v>18</v>
      </c>
      <c r="E2311" t="s">
        <v>23</v>
      </c>
      <c r="F2311">
        <v>1866.28</v>
      </c>
      <c r="G2311">
        <f t="array" ref="G2311">SalesData!$I$2 - 'RFM Table'!B2311</f>
        <v>162</v>
      </c>
      <c r="H2311">
        <f t="array" ref="H2311">COUNTIF(A:A,A2311)</f>
        <v>9</v>
      </c>
      <c r="I2311">
        <f t="array" ref="I2311">SUMIF(A:A,A2311,F:F)</f>
        <v>27881.53</v>
      </c>
      <c r="J2311">
        <f t="array" ref="J2311">5 - INT(5 * (RANK(G2311,G:G, 1) - 1) / COUNT(G:G))</f>
        <v>4</v>
      </c>
      <c r="K2311">
        <f t="array" ref="K2311">INT(5 * (RANK(H2311,H:H, 0) - 1) / COUNT(H:H)) + 1</f>
        <v>2</v>
      </c>
      <c r="L2311">
        <f t="array" ref="L2311">INT(5 * (RANK(I2311,I:I, 0) - 1) / COUNT(I:I)) + 1</f>
        <v>4</v>
      </c>
      <c r="M2311" t="str">
        <f t="shared" si="72"/>
        <v>424</v>
      </c>
      <c r="N2311" s="6" t="str">
        <f t="shared" si="73"/>
        <v>New Customers</v>
      </c>
    </row>
    <row r="2312" spans="1:14" x14ac:dyDescent="0.35">
      <c r="A2312">
        <v>1350</v>
      </c>
      <c r="B2312" s="4">
        <v>45974.375085336993</v>
      </c>
      <c r="C2312" t="s">
        <v>11</v>
      </c>
      <c r="D2312" t="s">
        <v>20</v>
      </c>
      <c r="E2312" t="s">
        <v>23</v>
      </c>
      <c r="F2312">
        <v>4193.76</v>
      </c>
      <c r="G2312">
        <f t="array" ref="G2312">SalesData!$I$2 - 'RFM Table'!B2312</f>
        <v>162</v>
      </c>
      <c r="H2312">
        <f t="array" ref="H2312">COUNTIF(A:A,A2312)</f>
        <v>4</v>
      </c>
      <c r="I2312">
        <f t="array" ref="I2312">SUMIF(A:A,A2312,F:F)</f>
        <v>18485.12</v>
      </c>
      <c r="J2312">
        <f t="array" ref="J2312">5 - INT(5 * (RANK(G2312,G:G, 1) - 1) / COUNT(G:G))</f>
        <v>4</v>
      </c>
      <c r="K2312">
        <f t="array" ref="K2312">INT(5 * (RANK(H2312,H:H, 0) - 1) / COUNT(H:H)) + 1</f>
        <v>5</v>
      </c>
      <c r="L2312">
        <f t="array" ref="L2312">INT(5 * (RANK(I2312,I:I, 0) - 1) / COUNT(I:I)) + 1</f>
        <v>5</v>
      </c>
      <c r="M2312" t="str">
        <f t="shared" si="72"/>
        <v>455</v>
      </c>
      <c r="N2312" s="6" t="str">
        <f t="shared" si="73"/>
        <v>Others</v>
      </c>
    </row>
    <row r="2313" spans="1:14" x14ac:dyDescent="0.35">
      <c r="A2313">
        <v>1177</v>
      </c>
      <c r="B2313" s="4">
        <v>45975.375085336993</v>
      </c>
      <c r="C2313" t="s">
        <v>10</v>
      </c>
      <c r="D2313" t="s">
        <v>17</v>
      </c>
      <c r="E2313" t="s">
        <v>25</v>
      </c>
      <c r="F2313">
        <v>6569.01</v>
      </c>
      <c r="G2313">
        <f t="array" ref="G2313">SalesData!$I$2 - 'RFM Table'!B2313</f>
        <v>161</v>
      </c>
      <c r="H2313">
        <f t="array" ref="H2313">COUNTIF(A:A,A2313)</f>
        <v>9</v>
      </c>
      <c r="I2313">
        <f t="array" ref="I2313">SUMIF(A:A,A2313,F:F)</f>
        <v>27857.719999999998</v>
      </c>
      <c r="J2313">
        <f t="array" ref="J2313">5 - INT(5 * (RANK(G2313,G:G, 1) - 1) / COUNT(G:G))</f>
        <v>4</v>
      </c>
      <c r="K2313">
        <f t="array" ref="K2313">INT(5 * (RANK(H2313,H:H, 0) - 1) / COUNT(H:H)) + 1</f>
        <v>2</v>
      </c>
      <c r="L2313">
        <f t="array" ref="L2313">INT(5 * (RANK(I2313,I:I, 0) - 1) / COUNT(I:I)) + 1</f>
        <v>4</v>
      </c>
      <c r="M2313" t="str">
        <f t="shared" si="72"/>
        <v>424</v>
      </c>
      <c r="N2313" s="6" t="str">
        <f t="shared" si="73"/>
        <v>New Customers</v>
      </c>
    </row>
    <row r="2314" spans="1:14" x14ac:dyDescent="0.35">
      <c r="A2314">
        <v>1144</v>
      </c>
      <c r="B2314" s="4">
        <v>45975.375085336993</v>
      </c>
      <c r="C2314" t="s">
        <v>14</v>
      </c>
      <c r="D2314" t="s">
        <v>21</v>
      </c>
      <c r="E2314" t="s">
        <v>24</v>
      </c>
      <c r="F2314">
        <v>8748.73</v>
      </c>
      <c r="G2314">
        <f t="array" ref="G2314">SalesData!$I$2 - 'RFM Table'!B2314</f>
        <v>161</v>
      </c>
      <c r="H2314">
        <f t="array" ref="H2314">COUNTIF(A:A,A2314)</f>
        <v>11</v>
      </c>
      <c r="I2314">
        <f t="array" ref="I2314">SUMIF(A:A,A2314,F:F)</f>
        <v>62038.55</v>
      </c>
      <c r="J2314">
        <f t="array" ref="J2314">5 - INT(5 * (RANK(G2314,G:G, 1) - 1) / COUNT(G:G))</f>
        <v>4</v>
      </c>
      <c r="K2314">
        <f t="array" ref="K2314">INT(5 * (RANK(H2314,H:H, 0) - 1) / COUNT(H:H)) + 1</f>
        <v>1</v>
      </c>
      <c r="L2314">
        <f t="array" ref="L2314">INT(5 * (RANK(I2314,I:I, 0) - 1) / COUNT(I:I)) + 1</f>
        <v>1</v>
      </c>
      <c r="M2314" t="str">
        <f t="shared" si="72"/>
        <v>411</v>
      </c>
      <c r="N2314" s="6" t="str">
        <f t="shared" si="73"/>
        <v>New Customers</v>
      </c>
    </row>
    <row r="2315" spans="1:14" x14ac:dyDescent="0.35">
      <c r="A2315">
        <v>1263</v>
      </c>
      <c r="B2315" s="4">
        <v>45975.375085336993</v>
      </c>
      <c r="C2315" t="s">
        <v>10</v>
      </c>
      <c r="D2315" t="s">
        <v>16</v>
      </c>
      <c r="E2315" t="s">
        <v>24</v>
      </c>
      <c r="F2315">
        <v>5756.43</v>
      </c>
      <c r="G2315">
        <f t="array" ref="G2315">SalesData!$I$2 - 'RFM Table'!B2315</f>
        <v>161</v>
      </c>
      <c r="H2315">
        <f t="array" ref="H2315">COUNTIF(A:A,A2315)</f>
        <v>15</v>
      </c>
      <c r="I2315">
        <f t="array" ref="I2315">SUMIF(A:A,A2315,F:F)</f>
        <v>55867.080000000016</v>
      </c>
      <c r="J2315">
        <f t="array" ref="J2315">5 - INT(5 * (RANK(G2315,G:G, 1) - 1) / COUNT(G:G))</f>
        <v>4</v>
      </c>
      <c r="K2315">
        <f t="array" ref="K2315">INT(5 * (RANK(H2315,H:H, 0) - 1) / COUNT(H:H)) + 1</f>
        <v>1</v>
      </c>
      <c r="L2315">
        <f t="array" ref="L2315">INT(5 * (RANK(I2315,I:I, 0) - 1) / COUNT(I:I)) + 1</f>
        <v>1</v>
      </c>
      <c r="M2315" t="str">
        <f t="shared" si="72"/>
        <v>411</v>
      </c>
      <c r="N2315" s="6" t="str">
        <f t="shared" si="73"/>
        <v>New Customers</v>
      </c>
    </row>
    <row r="2316" spans="1:14" x14ac:dyDescent="0.35">
      <c r="A2316">
        <v>1263</v>
      </c>
      <c r="B2316" s="4">
        <v>45975.375085336993</v>
      </c>
      <c r="C2316" t="s">
        <v>7</v>
      </c>
      <c r="D2316" t="s">
        <v>18</v>
      </c>
      <c r="E2316" t="s">
        <v>23</v>
      </c>
      <c r="F2316">
        <v>1175.25</v>
      </c>
      <c r="G2316">
        <f t="array" ref="G2316">SalesData!$I$2 - 'RFM Table'!B2316</f>
        <v>161</v>
      </c>
      <c r="H2316">
        <f t="array" ref="H2316">COUNTIF(A:A,A2316)</f>
        <v>15</v>
      </c>
      <c r="I2316">
        <f t="array" ref="I2316">SUMIF(A:A,A2316,F:F)</f>
        <v>55867.080000000016</v>
      </c>
      <c r="J2316">
        <f t="array" ref="J2316">5 - INT(5 * (RANK(G2316,G:G, 1) - 1) / COUNT(G:G))</f>
        <v>4</v>
      </c>
      <c r="K2316">
        <f t="array" ref="K2316">INT(5 * (RANK(H2316,H:H, 0) - 1) / COUNT(H:H)) + 1</f>
        <v>1</v>
      </c>
      <c r="L2316">
        <f t="array" ref="L2316">INT(5 * (RANK(I2316,I:I, 0) - 1) / COUNT(I:I)) + 1</f>
        <v>1</v>
      </c>
      <c r="M2316" t="str">
        <f t="shared" si="72"/>
        <v>411</v>
      </c>
      <c r="N2316" s="6" t="str">
        <f t="shared" si="73"/>
        <v>New Customers</v>
      </c>
    </row>
    <row r="2317" spans="1:14" x14ac:dyDescent="0.35">
      <c r="A2317">
        <v>1171</v>
      </c>
      <c r="B2317" s="4">
        <v>45975.375085336993</v>
      </c>
      <c r="C2317" t="s">
        <v>8</v>
      </c>
      <c r="D2317" t="s">
        <v>16</v>
      </c>
      <c r="E2317" t="s">
        <v>23</v>
      </c>
      <c r="F2317">
        <v>8513.07</v>
      </c>
      <c r="G2317">
        <f t="array" ref="G2317">SalesData!$I$2 - 'RFM Table'!B2317</f>
        <v>161</v>
      </c>
      <c r="H2317">
        <f t="array" ref="H2317">COUNTIF(A:A,A2317)</f>
        <v>9</v>
      </c>
      <c r="I2317">
        <f t="array" ref="I2317">SUMIF(A:A,A2317,F:F)</f>
        <v>40942.560000000005</v>
      </c>
      <c r="J2317">
        <f t="array" ref="J2317">5 - INT(5 * (RANK(G2317,G:G, 1) - 1) / COUNT(G:G))</f>
        <v>4</v>
      </c>
      <c r="K2317">
        <f t="array" ref="K2317">INT(5 * (RANK(H2317,H:H, 0) - 1) / COUNT(H:H)) + 1</f>
        <v>2</v>
      </c>
      <c r="L2317">
        <f t="array" ref="L2317">INT(5 * (RANK(I2317,I:I, 0) - 1) / COUNT(I:I)) + 1</f>
        <v>2</v>
      </c>
      <c r="M2317" t="str">
        <f t="shared" si="72"/>
        <v>422</v>
      </c>
      <c r="N2317" s="6" t="str">
        <f t="shared" si="73"/>
        <v>New Customers</v>
      </c>
    </row>
    <row r="2318" spans="1:14" x14ac:dyDescent="0.35">
      <c r="A2318">
        <v>1298</v>
      </c>
      <c r="B2318" s="4">
        <v>45976.375085336993</v>
      </c>
      <c r="C2318" t="s">
        <v>9</v>
      </c>
      <c r="D2318" t="s">
        <v>21</v>
      </c>
      <c r="E2318" t="s">
        <v>24</v>
      </c>
      <c r="F2318">
        <v>4367.25</v>
      </c>
      <c r="G2318">
        <f t="array" ref="G2318">SalesData!$I$2 - 'RFM Table'!B2318</f>
        <v>160</v>
      </c>
      <c r="H2318">
        <f t="array" ref="H2318">COUNTIF(A:A,A2318)</f>
        <v>3</v>
      </c>
      <c r="I2318">
        <f t="array" ref="I2318">SUMIF(A:A,A2318,F:F)</f>
        <v>10896.380000000001</v>
      </c>
      <c r="J2318">
        <f t="array" ref="J2318">5 - INT(5 * (RANK(G2318,G:G, 1) - 1) / COUNT(G:G))</f>
        <v>4</v>
      </c>
      <c r="K2318">
        <f t="array" ref="K2318">INT(5 * (RANK(H2318,H:H, 0) - 1) / COUNT(H:H)) + 1</f>
        <v>5</v>
      </c>
      <c r="L2318">
        <f t="array" ref="L2318">INT(5 * (RANK(I2318,I:I, 0) - 1) / COUNT(I:I)) + 1</f>
        <v>5</v>
      </c>
      <c r="M2318" t="str">
        <f t="shared" si="72"/>
        <v>455</v>
      </c>
      <c r="N2318" s="6" t="str">
        <f t="shared" si="73"/>
        <v>Others</v>
      </c>
    </row>
    <row r="2319" spans="1:14" x14ac:dyDescent="0.35">
      <c r="A2319">
        <v>1034</v>
      </c>
      <c r="B2319" s="4">
        <v>45976.375085336993</v>
      </c>
      <c r="C2319" t="s">
        <v>8</v>
      </c>
      <c r="D2319" t="s">
        <v>19</v>
      </c>
      <c r="E2319" t="s">
        <v>24</v>
      </c>
      <c r="F2319">
        <v>1371.82</v>
      </c>
      <c r="G2319">
        <f t="array" ref="G2319">SalesData!$I$2 - 'RFM Table'!B2319</f>
        <v>160</v>
      </c>
      <c r="H2319">
        <f t="array" ref="H2319">COUNTIF(A:A,A2319)</f>
        <v>8</v>
      </c>
      <c r="I2319">
        <f t="array" ref="I2319">SUMIF(A:A,A2319,F:F)</f>
        <v>22493.960000000003</v>
      </c>
      <c r="J2319">
        <f t="array" ref="J2319">5 - INT(5 * (RANK(G2319,G:G, 1) - 1) / COUNT(G:G))</f>
        <v>4</v>
      </c>
      <c r="K2319">
        <f t="array" ref="K2319">INT(5 * (RANK(H2319,H:H, 0) - 1) / COUNT(H:H)) + 1</f>
        <v>3</v>
      </c>
      <c r="L2319">
        <f t="array" ref="L2319">INT(5 * (RANK(I2319,I:I, 0) - 1) / COUNT(I:I)) + 1</f>
        <v>4</v>
      </c>
      <c r="M2319" t="str">
        <f t="shared" si="72"/>
        <v>434</v>
      </c>
      <c r="N2319" s="6" t="str">
        <f t="shared" si="73"/>
        <v>Others</v>
      </c>
    </row>
    <row r="2320" spans="1:14" x14ac:dyDescent="0.35">
      <c r="A2320">
        <v>1399</v>
      </c>
      <c r="B2320" s="4">
        <v>45976.375085336993</v>
      </c>
      <c r="C2320" t="s">
        <v>10</v>
      </c>
      <c r="D2320" t="s">
        <v>18</v>
      </c>
      <c r="E2320" t="s">
        <v>24</v>
      </c>
      <c r="F2320">
        <v>2852</v>
      </c>
      <c r="G2320">
        <f t="array" ref="G2320">SalesData!$I$2 - 'RFM Table'!B2320</f>
        <v>160</v>
      </c>
      <c r="H2320">
        <f t="array" ref="H2320">COUNTIF(A:A,A2320)</f>
        <v>9</v>
      </c>
      <c r="I2320">
        <f t="array" ref="I2320">SUMIF(A:A,A2320,F:F)</f>
        <v>34808.1</v>
      </c>
      <c r="J2320">
        <f t="array" ref="J2320">5 - INT(5 * (RANK(G2320,G:G, 1) - 1) / COUNT(G:G))</f>
        <v>4</v>
      </c>
      <c r="K2320">
        <f t="array" ref="K2320">INT(5 * (RANK(H2320,H:H, 0) - 1) / COUNT(H:H)) + 1</f>
        <v>2</v>
      </c>
      <c r="L2320">
        <f t="array" ref="L2320">INT(5 * (RANK(I2320,I:I, 0) - 1) / COUNT(I:I)) + 1</f>
        <v>3</v>
      </c>
      <c r="M2320" t="str">
        <f t="shared" si="72"/>
        <v>423</v>
      </c>
      <c r="N2320" s="6" t="str">
        <f t="shared" si="73"/>
        <v>New Customers</v>
      </c>
    </row>
    <row r="2321" spans="1:14" x14ac:dyDescent="0.35">
      <c r="A2321">
        <v>1307</v>
      </c>
      <c r="B2321" s="4">
        <v>45976.375085336993</v>
      </c>
      <c r="C2321" t="s">
        <v>6</v>
      </c>
      <c r="D2321" t="s">
        <v>22</v>
      </c>
      <c r="E2321" t="s">
        <v>25</v>
      </c>
      <c r="F2321">
        <v>2958.39</v>
      </c>
      <c r="G2321">
        <f t="array" ref="G2321">SalesData!$I$2 - 'RFM Table'!B2321</f>
        <v>160</v>
      </c>
      <c r="H2321">
        <f t="array" ref="H2321">COUNTIF(A:A,A2321)</f>
        <v>7</v>
      </c>
      <c r="I2321">
        <f t="array" ref="I2321">SUMIF(A:A,A2321,F:F)</f>
        <v>33514.49</v>
      </c>
      <c r="J2321">
        <f t="array" ref="J2321">5 - INT(5 * (RANK(G2321,G:G, 1) - 1) / COUNT(G:G))</f>
        <v>4</v>
      </c>
      <c r="K2321">
        <f t="array" ref="K2321">INT(5 * (RANK(H2321,H:H, 0) - 1) / COUNT(H:H)) + 1</f>
        <v>4</v>
      </c>
      <c r="L2321">
        <f t="array" ref="L2321">INT(5 * (RANK(I2321,I:I, 0) - 1) / COUNT(I:I)) + 1</f>
        <v>3</v>
      </c>
      <c r="M2321" t="str">
        <f t="shared" si="72"/>
        <v>443</v>
      </c>
      <c r="N2321" s="6" t="str">
        <f t="shared" si="73"/>
        <v>Others</v>
      </c>
    </row>
    <row r="2322" spans="1:14" x14ac:dyDescent="0.35">
      <c r="A2322">
        <v>1107</v>
      </c>
      <c r="B2322" s="4">
        <v>45976.375085336993</v>
      </c>
      <c r="C2322" t="s">
        <v>7</v>
      </c>
      <c r="D2322" t="s">
        <v>22</v>
      </c>
      <c r="E2322" t="s">
        <v>23</v>
      </c>
      <c r="F2322">
        <v>5041.88</v>
      </c>
      <c r="G2322">
        <f t="array" ref="G2322">SalesData!$I$2 - 'RFM Table'!B2322</f>
        <v>160</v>
      </c>
      <c r="H2322">
        <f t="array" ref="H2322">COUNTIF(A:A,A2322)</f>
        <v>9</v>
      </c>
      <c r="I2322">
        <f t="array" ref="I2322">SUMIF(A:A,A2322,F:F)</f>
        <v>56095.37999999999</v>
      </c>
      <c r="J2322">
        <f t="array" ref="J2322">5 - INT(5 * (RANK(G2322,G:G, 1) - 1) / COUNT(G:G))</f>
        <v>4</v>
      </c>
      <c r="K2322">
        <f t="array" ref="K2322">INT(5 * (RANK(H2322,H:H, 0) - 1) / COUNT(H:H)) + 1</f>
        <v>2</v>
      </c>
      <c r="L2322">
        <f t="array" ref="L2322">INT(5 * (RANK(I2322,I:I, 0) - 1) / COUNT(I:I)) + 1</f>
        <v>1</v>
      </c>
      <c r="M2322" t="str">
        <f t="shared" si="72"/>
        <v>421</v>
      </c>
      <c r="N2322" s="6" t="str">
        <f t="shared" si="73"/>
        <v>New Customers</v>
      </c>
    </row>
    <row r="2323" spans="1:14" x14ac:dyDescent="0.35">
      <c r="A2323">
        <v>1117</v>
      </c>
      <c r="B2323" s="4">
        <v>45976.375085336993</v>
      </c>
      <c r="C2323" t="s">
        <v>11</v>
      </c>
      <c r="D2323" t="s">
        <v>18</v>
      </c>
      <c r="E2323" t="s">
        <v>25</v>
      </c>
      <c r="F2323">
        <v>4064.24</v>
      </c>
      <c r="G2323">
        <f t="array" ref="G2323">SalesData!$I$2 - 'RFM Table'!B2323</f>
        <v>160</v>
      </c>
      <c r="H2323">
        <f t="array" ref="H2323">COUNTIF(A:A,A2323)</f>
        <v>10</v>
      </c>
      <c r="I2323">
        <f t="array" ref="I2323">SUMIF(A:A,A2323,F:F)</f>
        <v>47973.33</v>
      </c>
      <c r="J2323">
        <f t="array" ref="J2323">5 - INT(5 * (RANK(G2323,G:G, 1) - 1) / COUNT(G:G))</f>
        <v>4</v>
      </c>
      <c r="K2323">
        <f t="array" ref="K2323">INT(5 * (RANK(H2323,H:H, 0) - 1) / COUNT(H:H)) + 1</f>
        <v>2</v>
      </c>
      <c r="L2323">
        <f t="array" ref="L2323">INT(5 * (RANK(I2323,I:I, 0) - 1) / COUNT(I:I)) + 1</f>
        <v>1</v>
      </c>
      <c r="M2323" t="str">
        <f t="shared" si="72"/>
        <v>421</v>
      </c>
      <c r="N2323" s="6" t="str">
        <f t="shared" si="73"/>
        <v>New Customers</v>
      </c>
    </row>
    <row r="2324" spans="1:14" x14ac:dyDescent="0.35">
      <c r="A2324">
        <v>1187</v>
      </c>
      <c r="B2324" s="4">
        <v>45976.375085336993</v>
      </c>
      <c r="C2324" t="s">
        <v>13</v>
      </c>
      <c r="D2324" t="s">
        <v>21</v>
      </c>
      <c r="E2324" t="s">
        <v>23</v>
      </c>
      <c r="F2324">
        <v>2185.37</v>
      </c>
      <c r="G2324">
        <f t="array" ref="G2324">SalesData!$I$2 - 'RFM Table'!B2324</f>
        <v>160</v>
      </c>
      <c r="H2324">
        <f t="array" ref="H2324">COUNTIF(A:A,A2324)</f>
        <v>11</v>
      </c>
      <c r="I2324">
        <f t="array" ref="I2324">SUMIF(A:A,A2324,F:F)</f>
        <v>43247.159999999996</v>
      </c>
      <c r="J2324">
        <f t="array" ref="J2324">5 - INT(5 * (RANK(G2324,G:G, 1) - 1) / COUNT(G:G))</f>
        <v>4</v>
      </c>
      <c r="K2324">
        <f t="array" ref="K2324">INT(5 * (RANK(H2324,H:H, 0) - 1) / COUNT(H:H)) + 1</f>
        <v>1</v>
      </c>
      <c r="L2324">
        <f t="array" ref="L2324">INT(5 * (RANK(I2324,I:I, 0) - 1) / COUNT(I:I)) + 1</f>
        <v>2</v>
      </c>
      <c r="M2324" t="str">
        <f t="shared" si="72"/>
        <v>412</v>
      </c>
      <c r="N2324" s="6" t="str">
        <f t="shared" si="73"/>
        <v>New Customers</v>
      </c>
    </row>
    <row r="2325" spans="1:14" x14ac:dyDescent="0.35">
      <c r="A2325">
        <v>1091</v>
      </c>
      <c r="B2325" s="4">
        <v>45976.375085336993</v>
      </c>
      <c r="C2325" t="s">
        <v>13</v>
      </c>
      <c r="D2325" t="s">
        <v>21</v>
      </c>
      <c r="E2325" t="s">
        <v>24</v>
      </c>
      <c r="F2325">
        <v>3467.04</v>
      </c>
      <c r="G2325">
        <f t="array" ref="G2325">SalesData!$I$2 - 'RFM Table'!B2325</f>
        <v>160</v>
      </c>
      <c r="H2325">
        <f t="array" ref="H2325">COUNTIF(A:A,A2325)</f>
        <v>11</v>
      </c>
      <c r="I2325">
        <f t="array" ref="I2325">SUMIF(A:A,A2325,F:F)</f>
        <v>39808.47</v>
      </c>
      <c r="J2325">
        <f t="array" ref="J2325">5 - INT(5 * (RANK(G2325,G:G, 1) - 1) / COUNT(G:G))</f>
        <v>4</v>
      </c>
      <c r="K2325">
        <f t="array" ref="K2325">INT(5 * (RANK(H2325,H:H, 0) - 1) / COUNT(H:H)) + 1</f>
        <v>1</v>
      </c>
      <c r="L2325">
        <f t="array" ref="L2325">INT(5 * (RANK(I2325,I:I, 0) - 1) / COUNT(I:I)) + 1</f>
        <v>2</v>
      </c>
      <c r="M2325" t="str">
        <f t="shared" si="72"/>
        <v>412</v>
      </c>
      <c r="N2325" s="6" t="str">
        <f t="shared" si="73"/>
        <v>New Customers</v>
      </c>
    </row>
    <row r="2326" spans="1:14" x14ac:dyDescent="0.35">
      <c r="A2326">
        <v>1091</v>
      </c>
      <c r="B2326" s="4">
        <v>45976.375085336993</v>
      </c>
      <c r="C2326" t="s">
        <v>10</v>
      </c>
      <c r="D2326" t="s">
        <v>22</v>
      </c>
      <c r="E2326" t="s">
        <v>24</v>
      </c>
      <c r="F2326">
        <v>1061.28</v>
      </c>
      <c r="G2326">
        <f t="array" ref="G2326">SalesData!$I$2 - 'RFM Table'!B2326</f>
        <v>160</v>
      </c>
      <c r="H2326">
        <f t="array" ref="H2326">COUNTIF(A:A,A2326)</f>
        <v>11</v>
      </c>
      <c r="I2326">
        <f t="array" ref="I2326">SUMIF(A:A,A2326,F:F)</f>
        <v>39808.47</v>
      </c>
      <c r="J2326">
        <f t="array" ref="J2326">5 - INT(5 * (RANK(G2326,G:G, 1) - 1) / COUNT(G:G))</f>
        <v>4</v>
      </c>
      <c r="K2326">
        <f t="array" ref="K2326">INT(5 * (RANK(H2326,H:H, 0) - 1) / COUNT(H:H)) + 1</f>
        <v>1</v>
      </c>
      <c r="L2326">
        <f t="array" ref="L2326">INT(5 * (RANK(I2326,I:I, 0) - 1) / COUNT(I:I)) + 1</f>
        <v>2</v>
      </c>
      <c r="M2326" t="str">
        <f t="shared" si="72"/>
        <v>412</v>
      </c>
      <c r="N2326" s="6" t="str">
        <f t="shared" si="73"/>
        <v>New Customers</v>
      </c>
    </row>
    <row r="2327" spans="1:14" x14ac:dyDescent="0.35">
      <c r="A2327">
        <v>1386</v>
      </c>
      <c r="B2327" s="4">
        <v>45976.375085336993</v>
      </c>
      <c r="C2327" t="s">
        <v>13</v>
      </c>
      <c r="D2327" t="s">
        <v>20</v>
      </c>
      <c r="E2327" t="s">
        <v>25</v>
      </c>
      <c r="F2327">
        <v>2748.4</v>
      </c>
      <c r="G2327">
        <f t="array" ref="G2327">SalesData!$I$2 - 'RFM Table'!B2327</f>
        <v>160</v>
      </c>
      <c r="H2327">
        <f t="array" ref="H2327">COUNTIF(A:A,A2327)</f>
        <v>8</v>
      </c>
      <c r="I2327">
        <f t="array" ref="I2327">SUMIF(A:A,A2327,F:F)</f>
        <v>32019.260000000006</v>
      </c>
      <c r="J2327">
        <f t="array" ref="J2327">5 - INT(5 * (RANK(G2327,G:G, 1) - 1) / COUNT(G:G))</f>
        <v>4</v>
      </c>
      <c r="K2327">
        <f t="array" ref="K2327">INT(5 * (RANK(H2327,H:H, 0) - 1) / COUNT(H:H)) + 1</f>
        <v>3</v>
      </c>
      <c r="L2327">
        <f t="array" ref="L2327">INT(5 * (RANK(I2327,I:I, 0) - 1) / COUNT(I:I)) + 1</f>
        <v>3</v>
      </c>
      <c r="M2327" t="str">
        <f t="shared" si="72"/>
        <v>433</v>
      </c>
      <c r="N2327" s="6" t="str">
        <f t="shared" si="73"/>
        <v>Others</v>
      </c>
    </row>
    <row r="2328" spans="1:14" x14ac:dyDescent="0.35">
      <c r="A2328">
        <v>1116</v>
      </c>
      <c r="B2328" s="4">
        <v>45977.375085336993</v>
      </c>
      <c r="C2328" t="s">
        <v>9</v>
      </c>
      <c r="D2328" t="s">
        <v>18</v>
      </c>
      <c r="E2328" t="s">
        <v>24</v>
      </c>
      <c r="F2328">
        <v>7236.82</v>
      </c>
      <c r="G2328">
        <f t="array" ref="G2328">SalesData!$I$2 - 'RFM Table'!B2328</f>
        <v>159</v>
      </c>
      <c r="H2328">
        <f t="array" ref="H2328">COUNTIF(A:A,A2328)</f>
        <v>11</v>
      </c>
      <c r="I2328">
        <f t="array" ref="I2328">SUMIF(A:A,A2328,F:F)</f>
        <v>40714.880000000005</v>
      </c>
      <c r="J2328">
        <f t="array" ref="J2328">5 - INT(5 * (RANK(G2328,G:G, 1) - 1) / COUNT(G:G))</f>
        <v>4</v>
      </c>
      <c r="K2328">
        <f t="array" ref="K2328">INT(5 * (RANK(H2328,H:H, 0) - 1) / COUNT(H:H)) + 1</f>
        <v>1</v>
      </c>
      <c r="L2328">
        <f t="array" ref="L2328">INT(5 * (RANK(I2328,I:I, 0) - 1) / COUNT(I:I)) + 1</f>
        <v>2</v>
      </c>
      <c r="M2328" t="str">
        <f t="shared" si="72"/>
        <v>412</v>
      </c>
      <c r="N2328" s="6" t="str">
        <f t="shared" si="73"/>
        <v>New Customers</v>
      </c>
    </row>
    <row r="2329" spans="1:14" x14ac:dyDescent="0.35">
      <c r="A2329">
        <v>1253</v>
      </c>
      <c r="B2329" s="4">
        <v>45977.375085336993</v>
      </c>
      <c r="C2329" t="s">
        <v>9</v>
      </c>
      <c r="D2329" t="s">
        <v>16</v>
      </c>
      <c r="E2329" t="s">
        <v>25</v>
      </c>
      <c r="F2329">
        <v>5715.77</v>
      </c>
      <c r="G2329">
        <f t="array" ref="G2329">SalesData!$I$2 - 'RFM Table'!B2329</f>
        <v>159</v>
      </c>
      <c r="H2329">
        <f t="array" ref="H2329">COUNTIF(A:A,A2329)</f>
        <v>7</v>
      </c>
      <c r="I2329">
        <f t="array" ref="I2329">SUMIF(A:A,A2329,F:F)</f>
        <v>47955.99</v>
      </c>
      <c r="J2329">
        <f t="array" ref="J2329">5 - INT(5 * (RANK(G2329,G:G, 1) - 1) / COUNT(G:G))</f>
        <v>4</v>
      </c>
      <c r="K2329">
        <f t="array" ref="K2329">INT(5 * (RANK(H2329,H:H, 0) - 1) / COUNT(H:H)) + 1</f>
        <v>4</v>
      </c>
      <c r="L2329">
        <f t="array" ref="L2329">INT(5 * (RANK(I2329,I:I, 0) - 1) / COUNT(I:I)) + 1</f>
        <v>1</v>
      </c>
      <c r="M2329" t="str">
        <f t="shared" si="72"/>
        <v>441</v>
      </c>
      <c r="N2329" s="6" t="str">
        <f t="shared" si="73"/>
        <v>Others</v>
      </c>
    </row>
    <row r="2330" spans="1:14" x14ac:dyDescent="0.35">
      <c r="A2330">
        <v>1009</v>
      </c>
      <c r="B2330" s="4">
        <v>45977.375085336993</v>
      </c>
      <c r="C2330" t="s">
        <v>12</v>
      </c>
      <c r="D2330" t="s">
        <v>16</v>
      </c>
      <c r="E2330" t="s">
        <v>23</v>
      </c>
      <c r="F2330">
        <v>2672.77</v>
      </c>
      <c r="G2330">
        <f t="array" ref="G2330">SalesData!$I$2 - 'RFM Table'!B2330</f>
        <v>159</v>
      </c>
      <c r="H2330">
        <f t="array" ref="H2330">COUNTIF(A:A,A2330)</f>
        <v>9</v>
      </c>
      <c r="I2330">
        <f t="array" ref="I2330">SUMIF(A:A,A2330,F:F)</f>
        <v>30047.29</v>
      </c>
      <c r="J2330">
        <f t="array" ref="J2330">5 - INT(5 * (RANK(G2330,G:G, 1) - 1) / COUNT(G:G))</f>
        <v>4</v>
      </c>
      <c r="K2330">
        <f t="array" ref="K2330">INT(5 * (RANK(H2330,H:H, 0) - 1) / COUNT(H:H)) + 1</f>
        <v>2</v>
      </c>
      <c r="L2330">
        <f t="array" ref="L2330">INT(5 * (RANK(I2330,I:I, 0) - 1) / COUNT(I:I)) + 1</f>
        <v>3</v>
      </c>
      <c r="M2330" t="str">
        <f t="shared" si="72"/>
        <v>423</v>
      </c>
      <c r="N2330" s="6" t="str">
        <f t="shared" si="73"/>
        <v>New Customers</v>
      </c>
    </row>
    <row r="2331" spans="1:14" x14ac:dyDescent="0.35">
      <c r="A2331">
        <v>1308</v>
      </c>
      <c r="B2331" s="4">
        <v>45978.375085336993</v>
      </c>
      <c r="C2331" t="s">
        <v>11</v>
      </c>
      <c r="D2331" t="s">
        <v>18</v>
      </c>
      <c r="E2331" t="s">
        <v>23</v>
      </c>
      <c r="F2331">
        <v>5060.18</v>
      </c>
      <c r="G2331">
        <f t="array" ref="G2331">SalesData!$I$2 - 'RFM Table'!B2331</f>
        <v>158</v>
      </c>
      <c r="H2331">
        <f t="array" ref="H2331">COUNTIF(A:A,A2331)</f>
        <v>6</v>
      </c>
      <c r="I2331">
        <f t="array" ref="I2331">SUMIF(A:A,A2331,F:F)</f>
        <v>16743.59</v>
      </c>
      <c r="J2331">
        <f t="array" ref="J2331">5 - INT(5 * (RANK(G2331,G:G, 1) - 1) / COUNT(G:G))</f>
        <v>4</v>
      </c>
      <c r="K2331">
        <f t="array" ref="K2331">INT(5 * (RANK(H2331,H:H, 0) - 1) / COUNT(H:H)) + 1</f>
        <v>4</v>
      </c>
      <c r="L2331">
        <f t="array" ref="L2331">INT(5 * (RANK(I2331,I:I, 0) - 1) / COUNT(I:I)) + 1</f>
        <v>5</v>
      </c>
      <c r="M2331" t="str">
        <f t="shared" si="72"/>
        <v>445</v>
      </c>
      <c r="N2331" s="6" t="str">
        <f t="shared" si="73"/>
        <v>Others</v>
      </c>
    </row>
    <row r="2332" spans="1:14" x14ac:dyDescent="0.35">
      <c r="A2332">
        <v>1252</v>
      </c>
      <c r="B2332" s="4">
        <v>45978.375085336993</v>
      </c>
      <c r="C2332" t="s">
        <v>10</v>
      </c>
      <c r="D2332" t="s">
        <v>17</v>
      </c>
      <c r="E2332" t="s">
        <v>23</v>
      </c>
      <c r="F2332">
        <v>4690.09</v>
      </c>
      <c r="G2332">
        <f t="array" ref="G2332">SalesData!$I$2 - 'RFM Table'!B2332</f>
        <v>158</v>
      </c>
      <c r="H2332">
        <f t="array" ref="H2332">COUNTIF(A:A,A2332)</f>
        <v>8</v>
      </c>
      <c r="I2332">
        <f t="array" ref="I2332">SUMIF(A:A,A2332,F:F)</f>
        <v>29088.159999999996</v>
      </c>
      <c r="J2332">
        <f t="array" ref="J2332">5 - INT(5 * (RANK(G2332,G:G, 1) - 1) / COUNT(G:G))</f>
        <v>4</v>
      </c>
      <c r="K2332">
        <f t="array" ref="K2332">INT(5 * (RANK(H2332,H:H, 0) - 1) / COUNT(H:H)) + 1</f>
        <v>3</v>
      </c>
      <c r="L2332">
        <f t="array" ref="L2332">INT(5 * (RANK(I2332,I:I, 0) - 1) / COUNT(I:I)) + 1</f>
        <v>4</v>
      </c>
      <c r="M2332" t="str">
        <f t="shared" si="72"/>
        <v>434</v>
      </c>
      <c r="N2332" s="6" t="str">
        <f t="shared" si="73"/>
        <v>Others</v>
      </c>
    </row>
    <row r="2333" spans="1:14" x14ac:dyDescent="0.35">
      <c r="A2333">
        <v>1224</v>
      </c>
      <c r="B2333" s="4">
        <v>45978.375085336993</v>
      </c>
      <c r="C2333" t="s">
        <v>9</v>
      </c>
      <c r="D2333" t="s">
        <v>18</v>
      </c>
      <c r="E2333" t="s">
        <v>25</v>
      </c>
      <c r="F2333">
        <v>2555.41</v>
      </c>
      <c r="G2333">
        <f t="array" ref="G2333">SalesData!$I$2 - 'RFM Table'!B2333</f>
        <v>158</v>
      </c>
      <c r="H2333">
        <f t="array" ref="H2333">COUNTIF(A:A,A2333)</f>
        <v>7</v>
      </c>
      <c r="I2333">
        <f t="array" ref="I2333">SUMIF(A:A,A2333,F:F)</f>
        <v>24825.78</v>
      </c>
      <c r="J2333">
        <f t="array" ref="J2333">5 - INT(5 * (RANK(G2333,G:G, 1) - 1) / COUNT(G:G))</f>
        <v>4</v>
      </c>
      <c r="K2333">
        <f t="array" ref="K2333">INT(5 * (RANK(H2333,H:H, 0) - 1) / COUNT(H:H)) + 1</f>
        <v>4</v>
      </c>
      <c r="L2333">
        <f t="array" ref="L2333">INT(5 * (RANK(I2333,I:I, 0) - 1) / COUNT(I:I)) + 1</f>
        <v>4</v>
      </c>
      <c r="M2333" t="str">
        <f t="shared" si="72"/>
        <v>444</v>
      </c>
      <c r="N2333" s="6" t="str">
        <f t="shared" si="73"/>
        <v>Others</v>
      </c>
    </row>
    <row r="2334" spans="1:14" x14ac:dyDescent="0.35">
      <c r="A2334">
        <v>1278</v>
      </c>
      <c r="B2334" s="4">
        <v>45978.375085336993</v>
      </c>
      <c r="C2334" t="s">
        <v>15</v>
      </c>
      <c r="D2334" t="s">
        <v>16</v>
      </c>
      <c r="E2334" t="s">
        <v>23</v>
      </c>
      <c r="F2334">
        <v>1061.33</v>
      </c>
      <c r="G2334">
        <f t="array" ref="G2334">SalesData!$I$2 - 'RFM Table'!B2334</f>
        <v>158</v>
      </c>
      <c r="H2334">
        <f t="array" ref="H2334">COUNTIF(A:A,A2334)</f>
        <v>4</v>
      </c>
      <c r="I2334">
        <f t="array" ref="I2334">SUMIF(A:A,A2334,F:F)</f>
        <v>12855.77</v>
      </c>
      <c r="J2334">
        <f t="array" ref="J2334">5 - INT(5 * (RANK(G2334,G:G, 1) - 1) / COUNT(G:G))</f>
        <v>4</v>
      </c>
      <c r="K2334">
        <f t="array" ref="K2334">INT(5 * (RANK(H2334,H:H, 0) - 1) / COUNT(H:H)) + 1</f>
        <v>5</v>
      </c>
      <c r="L2334">
        <f t="array" ref="L2334">INT(5 * (RANK(I2334,I:I, 0) - 1) / COUNT(I:I)) + 1</f>
        <v>5</v>
      </c>
      <c r="M2334" t="str">
        <f t="shared" si="72"/>
        <v>455</v>
      </c>
      <c r="N2334" s="6" t="str">
        <f t="shared" si="73"/>
        <v>Others</v>
      </c>
    </row>
    <row r="2335" spans="1:14" x14ac:dyDescent="0.35">
      <c r="A2335">
        <v>1349</v>
      </c>
      <c r="B2335" s="4">
        <v>45978.375085336993</v>
      </c>
      <c r="C2335" t="s">
        <v>13</v>
      </c>
      <c r="D2335" t="s">
        <v>17</v>
      </c>
      <c r="E2335" t="s">
        <v>25</v>
      </c>
      <c r="F2335">
        <v>2080.86</v>
      </c>
      <c r="G2335">
        <f t="array" ref="G2335">SalesData!$I$2 - 'RFM Table'!B2335</f>
        <v>158</v>
      </c>
      <c r="H2335">
        <f t="array" ref="H2335">COUNTIF(A:A,A2335)</f>
        <v>8</v>
      </c>
      <c r="I2335">
        <f t="array" ref="I2335">SUMIF(A:A,A2335,F:F)</f>
        <v>24691.75</v>
      </c>
      <c r="J2335">
        <f t="array" ref="J2335">5 - INT(5 * (RANK(G2335,G:G, 1) - 1) / COUNT(G:G))</f>
        <v>4</v>
      </c>
      <c r="K2335">
        <f t="array" ref="K2335">INT(5 * (RANK(H2335,H:H, 0) - 1) / COUNT(H:H)) + 1</f>
        <v>3</v>
      </c>
      <c r="L2335">
        <f t="array" ref="L2335">INT(5 * (RANK(I2335,I:I, 0) - 1) / COUNT(I:I)) + 1</f>
        <v>4</v>
      </c>
      <c r="M2335" t="str">
        <f t="shared" si="72"/>
        <v>434</v>
      </c>
      <c r="N2335" s="6" t="str">
        <f t="shared" si="73"/>
        <v>Others</v>
      </c>
    </row>
    <row r="2336" spans="1:14" x14ac:dyDescent="0.35">
      <c r="A2336">
        <v>1178</v>
      </c>
      <c r="B2336" s="4">
        <v>45978.375085336993</v>
      </c>
      <c r="C2336" t="s">
        <v>6</v>
      </c>
      <c r="D2336" t="s">
        <v>21</v>
      </c>
      <c r="E2336" t="s">
        <v>24</v>
      </c>
      <c r="F2336">
        <v>2199.16</v>
      </c>
      <c r="G2336">
        <f t="array" ref="G2336">SalesData!$I$2 - 'RFM Table'!B2336</f>
        <v>158</v>
      </c>
      <c r="H2336">
        <f t="array" ref="H2336">COUNTIF(A:A,A2336)</f>
        <v>7</v>
      </c>
      <c r="I2336">
        <f t="array" ref="I2336">SUMIF(A:A,A2336,F:F)</f>
        <v>26651.280000000002</v>
      </c>
      <c r="J2336">
        <f t="array" ref="J2336">5 - INT(5 * (RANK(G2336,G:G, 1) - 1) / COUNT(G:G))</f>
        <v>4</v>
      </c>
      <c r="K2336">
        <f t="array" ref="K2336">INT(5 * (RANK(H2336,H:H, 0) - 1) / COUNT(H:H)) + 1</f>
        <v>4</v>
      </c>
      <c r="L2336">
        <f t="array" ref="L2336">INT(5 * (RANK(I2336,I:I, 0) - 1) / COUNT(I:I)) + 1</f>
        <v>4</v>
      </c>
      <c r="M2336" t="str">
        <f t="shared" si="72"/>
        <v>444</v>
      </c>
      <c r="N2336" s="6" t="str">
        <f t="shared" si="73"/>
        <v>Others</v>
      </c>
    </row>
    <row r="2337" spans="1:14" x14ac:dyDescent="0.35">
      <c r="A2337">
        <v>1387</v>
      </c>
      <c r="B2337" s="4">
        <v>45978.375085336993</v>
      </c>
      <c r="C2337" t="s">
        <v>14</v>
      </c>
      <c r="D2337" t="s">
        <v>16</v>
      </c>
      <c r="E2337" t="s">
        <v>24</v>
      </c>
      <c r="F2337">
        <v>1722.67</v>
      </c>
      <c r="G2337">
        <f t="array" ref="G2337">SalesData!$I$2 - 'RFM Table'!B2337</f>
        <v>158</v>
      </c>
      <c r="H2337">
        <f t="array" ref="H2337">COUNTIF(A:A,A2337)</f>
        <v>8</v>
      </c>
      <c r="I2337">
        <f t="array" ref="I2337">SUMIF(A:A,A2337,F:F)</f>
        <v>30848.15</v>
      </c>
      <c r="J2337">
        <f t="array" ref="J2337">5 - INT(5 * (RANK(G2337,G:G, 1) - 1) / COUNT(G:G))</f>
        <v>4</v>
      </c>
      <c r="K2337">
        <f t="array" ref="K2337">INT(5 * (RANK(H2337,H:H, 0) - 1) / COUNT(H:H)) + 1</f>
        <v>3</v>
      </c>
      <c r="L2337">
        <f t="array" ref="L2337">INT(5 * (RANK(I2337,I:I, 0) - 1) / COUNT(I:I)) + 1</f>
        <v>3</v>
      </c>
      <c r="M2337" t="str">
        <f t="shared" si="72"/>
        <v>433</v>
      </c>
      <c r="N2337" s="6" t="str">
        <f t="shared" si="73"/>
        <v>Others</v>
      </c>
    </row>
    <row r="2338" spans="1:14" x14ac:dyDescent="0.35">
      <c r="A2338">
        <v>1297</v>
      </c>
      <c r="B2338" s="4">
        <v>45978.375085336993</v>
      </c>
      <c r="C2338" t="s">
        <v>15</v>
      </c>
      <c r="D2338" t="s">
        <v>17</v>
      </c>
      <c r="E2338" t="s">
        <v>23</v>
      </c>
      <c r="F2338">
        <v>1446.65</v>
      </c>
      <c r="G2338">
        <f t="array" ref="G2338">SalesData!$I$2 - 'RFM Table'!B2338</f>
        <v>158</v>
      </c>
      <c r="H2338">
        <f t="array" ref="H2338">COUNTIF(A:A,A2338)</f>
        <v>3</v>
      </c>
      <c r="I2338">
        <f t="array" ref="I2338">SUMIF(A:A,A2338,F:F)</f>
        <v>11810.94</v>
      </c>
      <c r="J2338">
        <f t="array" ref="J2338">5 - INT(5 * (RANK(G2338,G:G, 1) - 1) / COUNT(G:G))</f>
        <v>4</v>
      </c>
      <c r="K2338">
        <f t="array" ref="K2338">INT(5 * (RANK(H2338,H:H, 0) - 1) / COUNT(H:H)) + 1</f>
        <v>5</v>
      </c>
      <c r="L2338">
        <f t="array" ref="L2338">INT(5 * (RANK(I2338,I:I, 0) - 1) / COUNT(I:I)) + 1</f>
        <v>5</v>
      </c>
      <c r="M2338" t="str">
        <f t="shared" si="72"/>
        <v>455</v>
      </c>
      <c r="N2338" s="6" t="str">
        <f t="shared" si="73"/>
        <v>Others</v>
      </c>
    </row>
    <row r="2339" spans="1:14" x14ac:dyDescent="0.35">
      <c r="A2339">
        <v>1379</v>
      </c>
      <c r="B2339" s="4">
        <v>45978.375085336993</v>
      </c>
      <c r="C2339" t="s">
        <v>12</v>
      </c>
      <c r="D2339" t="s">
        <v>21</v>
      </c>
      <c r="E2339" t="s">
        <v>24</v>
      </c>
      <c r="F2339">
        <v>2700.37</v>
      </c>
      <c r="G2339">
        <f t="array" ref="G2339">SalesData!$I$2 - 'RFM Table'!B2339</f>
        <v>158</v>
      </c>
      <c r="H2339">
        <f t="array" ref="H2339">COUNTIF(A:A,A2339)</f>
        <v>10</v>
      </c>
      <c r="I2339">
        <f t="array" ref="I2339">SUMIF(A:A,A2339,F:F)</f>
        <v>33545.49</v>
      </c>
      <c r="J2339">
        <f t="array" ref="J2339">5 - INT(5 * (RANK(G2339,G:G, 1) - 1) / COUNT(G:G))</f>
        <v>4</v>
      </c>
      <c r="K2339">
        <f t="array" ref="K2339">INT(5 * (RANK(H2339,H:H, 0) - 1) / COUNT(H:H)) + 1</f>
        <v>2</v>
      </c>
      <c r="L2339">
        <f t="array" ref="L2339">INT(5 * (RANK(I2339,I:I, 0) - 1) / COUNT(I:I)) + 1</f>
        <v>3</v>
      </c>
      <c r="M2339" t="str">
        <f t="shared" si="72"/>
        <v>423</v>
      </c>
      <c r="N2339" s="6" t="str">
        <f t="shared" si="73"/>
        <v>New Customers</v>
      </c>
    </row>
    <row r="2340" spans="1:14" x14ac:dyDescent="0.35">
      <c r="A2340">
        <v>1302</v>
      </c>
      <c r="B2340" s="4">
        <v>45978.375085336993</v>
      </c>
      <c r="C2340" t="s">
        <v>6</v>
      </c>
      <c r="D2340" t="s">
        <v>17</v>
      </c>
      <c r="E2340" t="s">
        <v>25</v>
      </c>
      <c r="F2340">
        <v>3757.47</v>
      </c>
      <c r="G2340">
        <f t="array" ref="G2340">SalesData!$I$2 - 'RFM Table'!B2340</f>
        <v>158</v>
      </c>
      <c r="H2340">
        <f t="array" ref="H2340">COUNTIF(A:A,A2340)</f>
        <v>13</v>
      </c>
      <c r="I2340">
        <f t="array" ref="I2340">SUMIF(A:A,A2340,F:F)</f>
        <v>51409.87</v>
      </c>
      <c r="J2340">
        <f t="array" ref="J2340">5 - INT(5 * (RANK(G2340,G:G, 1) - 1) / COUNT(G:G))</f>
        <v>4</v>
      </c>
      <c r="K2340">
        <f t="array" ref="K2340">INT(5 * (RANK(H2340,H:H, 0) - 1) / COUNT(H:H)) + 1</f>
        <v>1</v>
      </c>
      <c r="L2340">
        <f t="array" ref="L2340">INT(5 * (RANK(I2340,I:I, 0) - 1) / COUNT(I:I)) + 1</f>
        <v>1</v>
      </c>
      <c r="M2340" t="str">
        <f t="shared" si="72"/>
        <v>411</v>
      </c>
      <c r="N2340" s="6" t="str">
        <f t="shared" si="73"/>
        <v>New Customers</v>
      </c>
    </row>
    <row r="2341" spans="1:14" x14ac:dyDescent="0.35">
      <c r="A2341">
        <v>1169</v>
      </c>
      <c r="B2341" s="4">
        <v>45978.375085336993</v>
      </c>
      <c r="C2341" t="s">
        <v>12</v>
      </c>
      <c r="D2341" t="s">
        <v>17</v>
      </c>
      <c r="E2341" t="s">
        <v>24</v>
      </c>
      <c r="F2341">
        <v>6360.21</v>
      </c>
      <c r="G2341">
        <f t="array" ref="G2341">SalesData!$I$2 - 'RFM Table'!B2341</f>
        <v>158</v>
      </c>
      <c r="H2341">
        <f t="array" ref="H2341">COUNTIF(A:A,A2341)</f>
        <v>10</v>
      </c>
      <c r="I2341">
        <f t="array" ref="I2341">SUMIF(A:A,A2341,F:F)</f>
        <v>45640.06</v>
      </c>
      <c r="J2341">
        <f t="array" ref="J2341">5 - INT(5 * (RANK(G2341,G:G, 1) - 1) / COUNT(G:G))</f>
        <v>4</v>
      </c>
      <c r="K2341">
        <f t="array" ref="K2341">INT(5 * (RANK(H2341,H:H, 0) - 1) / COUNT(H:H)) + 1</f>
        <v>2</v>
      </c>
      <c r="L2341">
        <f t="array" ref="L2341">INT(5 * (RANK(I2341,I:I, 0) - 1) / COUNT(I:I)) + 1</f>
        <v>1</v>
      </c>
      <c r="M2341" t="str">
        <f t="shared" si="72"/>
        <v>421</v>
      </c>
      <c r="N2341" s="6" t="str">
        <f t="shared" si="73"/>
        <v>New Customers</v>
      </c>
    </row>
    <row r="2342" spans="1:14" x14ac:dyDescent="0.35">
      <c r="A2342">
        <v>1074</v>
      </c>
      <c r="B2342" s="4">
        <v>45979.375085336993</v>
      </c>
      <c r="C2342" t="s">
        <v>14</v>
      </c>
      <c r="D2342" t="s">
        <v>20</v>
      </c>
      <c r="E2342" t="s">
        <v>25</v>
      </c>
      <c r="F2342">
        <v>2526.1999999999998</v>
      </c>
      <c r="G2342">
        <f t="array" ref="G2342">SalesData!$I$2 - 'RFM Table'!B2342</f>
        <v>157</v>
      </c>
      <c r="H2342">
        <f t="array" ref="H2342">COUNTIF(A:A,A2342)</f>
        <v>8</v>
      </c>
      <c r="I2342">
        <f t="array" ref="I2342">SUMIF(A:A,A2342,F:F)</f>
        <v>23394.15</v>
      </c>
      <c r="J2342">
        <f t="array" ref="J2342">5 - INT(5 * (RANK(G2342,G:G, 1) - 1) / COUNT(G:G))</f>
        <v>4</v>
      </c>
      <c r="K2342">
        <f t="array" ref="K2342">INT(5 * (RANK(H2342,H:H, 0) - 1) / COUNT(H:H)) + 1</f>
        <v>3</v>
      </c>
      <c r="L2342">
        <f t="array" ref="L2342">INT(5 * (RANK(I2342,I:I, 0) - 1) / COUNT(I:I)) + 1</f>
        <v>4</v>
      </c>
      <c r="M2342" t="str">
        <f t="shared" si="72"/>
        <v>434</v>
      </c>
      <c r="N2342" s="6" t="str">
        <f t="shared" si="73"/>
        <v>Others</v>
      </c>
    </row>
    <row r="2343" spans="1:14" x14ac:dyDescent="0.35">
      <c r="A2343">
        <v>1102</v>
      </c>
      <c r="B2343" s="4">
        <v>45979.375085336993</v>
      </c>
      <c r="C2343" t="s">
        <v>13</v>
      </c>
      <c r="D2343" t="s">
        <v>21</v>
      </c>
      <c r="E2343" t="s">
        <v>25</v>
      </c>
      <c r="F2343">
        <v>3566.85</v>
      </c>
      <c r="G2343">
        <f t="array" ref="G2343">SalesData!$I$2 - 'RFM Table'!B2343</f>
        <v>157</v>
      </c>
      <c r="H2343">
        <f t="array" ref="H2343">COUNTIF(A:A,A2343)</f>
        <v>7</v>
      </c>
      <c r="I2343">
        <f t="array" ref="I2343">SUMIF(A:A,A2343,F:F)</f>
        <v>29725.939999999995</v>
      </c>
      <c r="J2343">
        <f t="array" ref="J2343">5 - INT(5 * (RANK(G2343,G:G, 1) - 1) / COUNT(G:G))</f>
        <v>4</v>
      </c>
      <c r="K2343">
        <f t="array" ref="K2343">INT(5 * (RANK(H2343,H:H, 0) - 1) / COUNT(H:H)) + 1</f>
        <v>4</v>
      </c>
      <c r="L2343">
        <f t="array" ref="L2343">INT(5 * (RANK(I2343,I:I, 0) - 1) / COUNT(I:I)) + 1</f>
        <v>3</v>
      </c>
      <c r="M2343" t="str">
        <f t="shared" si="72"/>
        <v>443</v>
      </c>
      <c r="N2343" s="6" t="str">
        <f t="shared" si="73"/>
        <v>Others</v>
      </c>
    </row>
    <row r="2344" spans="1:14" x14ac:dyDescent="0.35">
      <c r="A2344">
        <v>1302</v>
      </c>
      <c r="B2344" s="4">
        <v>45979.375085336993</v>
      </c>
      <c r="C2344" t="s">
        <v>13</v>
      </c>
      <c r="D2344" t="s">
        <v>22</v>
      </c>
      <c r="E2344" t="s">
        <v>23</v>
      </c>
      <c r="F2344">
        <v>4580.49</v>
      </c>
      <c r="G2344">
        <f t="array" ref="G2344">SalesData!$I$2 - 'RFM Table'!B2344</f>
        <v>157</v>
      </c>
      <c r="H2344">
        <f t="array" ref="H2344">COUNTIF(A:A,A2344)</f>
        <v>13</v>
      </c>
      <c r="I2344">
        <f t="array" ref="I2344">SUMIF(A:A,A2344,F:F)</f>
        <v>51409.87</v>
      </c>
      <c r="J2344">
        <f t="array" ref="J2344">5 - INT(5 * (RANK(G2344,G:G, 1) - 1) / COUNT(G:G))</f>
        <v>4</v>
      </c>
      <c r="K2344">
        <f t="array" ref="K2344">INT(5 * (RANK(H2344,H:H, 0) - 1) / COUNT(H:H)) + 1</f>
        <v>1</v>
      </c>
      <c r="L2344">
        <f t="array" ref="L2344">INT(5 * (RANK(I2344,I:I, 0) - 1) / COUNT(I:I)) + 1</f>
        <v>1</v>
      </c>
      <c r="M2344" t="str">
        <f t="shared" si="72"/>
        <v>411</v>
      </c>
      <c r="N2344" s="6" t="str">
        <f t="shared" si="73"/>
        <v>New Customers</v>
      </c>
    </row>
    <row r="2345" spans="1:14" x14ac:dyDescent="0.35">
      <c r="A2345">
        <v>1390</v>
      </c>
      <c r="B2345" s="4">
        <v>45979.375085336993</v>
      </c>
      <c r="C2345" t="s">
        <v>15</v>
      </c>
      <c r="D2345" t="s">
        <v>20</v>
      </c>
      <c r="E2345" t="s">
        <v>25</v>
      </c>
      <c r="F2345">
        <v>3489.21</v>
      </c>
      <c r="G2345">
        <f t="array" ref="G2345">SalesData!$I$2 - 'RFM Table'!B2345</f>
        <v>157</v>
      </c>
      <c r="H2345">
        <f t="array" ref="H2345">COUNTIF(A:A,A2345)</f>
        <v>8</v>
      </c>
      <c r="I2345">
        <f t="array" ref="I2345">SUMIF(A:A,A2345,F:F)</f>
        <v>37946.1</v>
      </c>
      <c r="J2345">
        <f t="array" ref="J2345">5 - INT(5 * (RANK(G2345,G:G, 1) - 1) / COUNT(G:G))</f>
        <v>4</v>
      </c>
      <c r="K2345">
        <f t="array" ref="K2345">INT(5 * (RANK(H2345,H:H, 0) - 1) / COUNT(H:H)) + 1</f>
        <v>3</v>
      </c>
      <c r="L2345">
        <f t="array" ref="L2345">INT(5 * (RANK(I2345,I:I, 0) - 1) / COUNT(I:I)) + 1</f>
        <v>2</v>
      </c>
      <c r="M2345" t="str">
        <f t="shared" si="72"/>
        <v>432</v>
      </c>
      <c r="N2345" s="6" t="str">
        <f t="shared" si="73"/>
        <v>Others</v>
      </c>
    </row>
    <row r="2346" spans="1:14" x14ac:dyDescent="0.35">
      <c r="A2346">
        <v>1035</v>
      </c>
      <c r="B2346" s="4">
        <v>45979.375085336993</v>
      </c>
      <c r="C2346" t="s">
        <v>12</v>
      </c>
      <c r="D2346" t="s">
        <v>21</v>
      </c>
      <c r="E2346" t="s">
        <v>24</v>
      </c>
      <c r="F2346">
        <v>2092.2199999999998</v>
      </c>
      <c r="G2346">
        <f t="array" ref="G2346">SalesData!$I$2 - 'RFM Table'!B2346</f>
        <v>157</v>
      </c>
      <c r="H2346">
        <f t="array" ref="H2346">COUNTIF(A:A,A2346)</f>
        <v>9</v>
      </c>
      <c r="I2346">
        <f t="array" ref="I2346">SUMIF(A:A,A2346,F:F)</f>
        <v>33344.589999999997</v>
      </c>
      <c r="J2346">
        <f t="array" ref="J2346">5 - INT(5 * (RANK(G2346,G:G, 1) - 1) / COUNT(G:G))</f>
        <v>4</v>
      </c>
      <c r="K2346">
        <f t="array" ref="K2346">INT(5 * (RANK(H2346,H:H, 0) - 1) / COUNT(H:H)) + 1</f>
        <v>2</v>
      </c>
      <c r="L2346">
        <f t="array" ref="L2346">INT(5 * (RANK(I2346,I:I, 0) - 1) / COUNT(I:I)) + 1</f>
        <v>3</v>
      </c>
      <c r="M2346" t="str">
        <f t="shared" si="72"/>
        <v>423</v>
      </c>
      <c r="N2346" s="6" t="str">
        <f t="shared" si="73"/>
        <v>New Customers</v>
      </c>
    </row>
    <row r="2347" spans="1:14" x14ac:dyDescent="0.35">
      <c r="A2347">
        <v>1165</v>
      </c>
      <c r="B2347" s="4">
        <v>45979.375085336993</v>
      </c>
      <c r="C2347" t="s">
        <v>8</v>
      </c>
      <c r="D2347" t="s">
        <v>16</v>
      </c>
      <c r="E2347" t="s">
        <v>24</v>
      </c>
      <c r="F2347">
        <v>3522.09</v>
      </c>
      <c r="G2347">
        <f t="array" ref="G2347">SalesData!$I$2 - 'RFM Table'!B2347</f>
        <v>157</v>
      </c>
      <c r="H2347">
        <f t="array" ref="H2347">COUNTIF(A:A,A2347)</f>
        <v>6</v>
      </c>
      <c r="I2347">
        <f t="array" ref="I2347">SUMIF(A:A,A2347,F:F)</f>
        <v>25394.229999999996</v>
      </c>
      <c r="J2347">
        <f t="array" ref="J2347">5 - INT(5 * (RANK(G2347,G:G, 1) - 1) / COUNT(G:G))</f>
        <v>4</v>
      </c>
      <c r="K2347">
        <f t="array" ref="K2347">INT(5 * (RANK(H2347,H:H, 0) - 1) / COUNT(H:H)) + 1</f>
        <v>4</v>
      </c>
      <c r="L2347">
        <f t="array" ref="L2347">INT(5 * (RANK(I2347,I:I, 0) - 1) / COUNT(I:I)) + 1</f>
        <v>4</v>
      </c>
      <c r="M2347" t="str">
        <f t="shared" si="72"/>
        <v>444</v>
      </c>
      <c r="N2347" s="6" t="str">
        <f t="shared" si="73"/>
        <v>Others</v>
      </c>
    </row>
    <row r="2348" spans="1:14" x14ac:dyDescent="0.35">
      <c r="A2348">
        <v>1348</v>
      </c>
      <c r="B2348" s="4">
        <v>45980.375085336993</v>
      </c>
      <c r="C2348" t="s">
        <v>13</v>
      </c>
      <c r="D2348" t="s">
        <v>18</v>
      </c>
      <c r="E2348" t="s">
        <v>24</v>
      </c>
      <c r="F2348">
        <v>1092.83</v>
      </c>
      <c r="G2348">
        <f t="array" ref="G2348">SalesData!$I$2 - 'RFM Table'!B2348</f>
        <v>156</v>
      </c>
      <c r="H2348">
        <f t="array" ref="H2348">COUNTIF(A:A,A2348)</f>
        <v>12</v>
      </c>
      <c r="I2348">
        <f t="array" ref="I2348">SUMIF(A:A,A2348,F:F)</f>
        <v>27185.14</v>
      </c>
      <c r="J2348">
        <f t="array" ref="J2348">5 - INT(5 * (RANK(G2348,G:G, 1) - 1) / COUNT(G:G))</f>
        <v>4</v>
      </c>
      <c r="K2348">
        <f t="array" ref="K2348">INT(5 * (RANK(H2348,H:H, 0) - 1) / COUNT(H:H)) + 1</f>
        <v>1</v>
      </c>
      <c r="L2348">
        <f t="array" ref="L2348">INT(5 * (RANK(I2348,I:I, 0) - 1) / COUNT(I:I)) + 1</f>
        <v>4</v>
      </c>
      <c r="M2348" t="str">
        <f t="shared" si="72"/>
        <v>414</v>
      </c>
      <c r="N2348" s="6" t="str">
        <f t="shared" si="73"/>
        <v>New Customers</v>
      </c>
    </row>
    <row r="2349" spans="1:14" x14ac:dyDescent="0.35">
      <c r="A2349">
        <v>1108</v>
      </c>
      <c r="B2349" s="4">
        <v>45980.375085336993</v>
      </c>
      <c r="C2349" t="s">
        <v>15</v>
      </c>
      <c r="D2349" t="s">
        <v>17</v>
      </c>
      <c r="E2349" t="s">
        <v>25</v>
      </c>
      <c r="F2349">
        <v>5840.12</v>
      </c>
      <c r="G2349">
        <f t="array" ref="G2349">SalesData!$I$2 - 'RFM Table'!B2349</f>
        <v>156</v>
      </c>
      <c r="H2349">
        <f t="array" ref="H2349">COUNTIF(A:A,A2349)</f>
        <v>5</v>
      </c>
      <c r="I2349">
        <f t="array" ref="I2349">SUMIF(A:A,A2349,F:F)</f>
        <v>22595.8</v>
      </c>
      <c r="J2349">
        <f t="array" ref="J2349">5 - INT(5 * (RANK(G2349,G:G, 1) - 1) / COUNT(G:G))</f>
        <v>4</v>
      </c>
      <c r="K2349">
        <f t="array" ref="K2349">INT(5 * (RANK(H2349,H:H, 0) - 1) / COUNT(H:H)) + 1</f>
        <v>5</v>
      </c>
      <c r="L2349">
        <f t="array" ref="L2349">INT(5 * (RANK(I2349,I:I, 0) - 1) / COUNT(I:I)) + 1</f>
        <v>4</v>
      </c>
      <c r="M2349" t="str">
        <f t="shared" si="72"/>
        <v>454</v>
      </c>
      <c r="N2349" s="6" t="str">
        <f t="shared" si="73"/>
        <v>Others</v>
      </c>
    </row>
    <row r="2350" spans="1:14" x14ac:dyDescent="0.35">
      <c r="A2350">
        <v>1391</v>
      </c>
      <c r="B2350" s="4">
        <v>45980.375085336993</v>
      </c>
      <c r="C2350" t="s">
        <v>12</v>
      </c>
      <c r="D2350" t="s">
        <v>19</v>
      </c>
      <c r="E2350" t="s">
        <v>25</v>
      </c>
      <c r="F2350">
        <v>4029.04</v>
      </c>
      <c r="G2350">
        <f t="array" ref="G2350">SalesData!$I$2 - 'RFM Table'!B2350</f>
        <v>156</v>
      </c>
      <c r="H2350">
        <f t="array" ref="H2350">COUNTIF(A:A,A2350)</f>
        <v>7</v>
      </c>
      <c r="I2350">
        <f t="array" ref="I2350">SUMIF(A:A,A2350,F:F)</f>
        <v>21209.440000000002</v>
      </c>
      <c r="J2350">
        <f t="array" ref="J2350">5 - INT(5 * (RANK(G2350,G:G, 1) - 1) / COUNT(G:G))</f>
        <v>4</v>
      </c>
      <c r="K2350">
        <f t="array" ref="K2350">INT(5 * (RANK(H2350,H:H, 0) - 1) / COUNT(H:H)) + 1</f>
        <v>4</v>
      </c>
      <c r="L2350">
        <f t="array" ref="L2350">INT(5 * (RANK(I2350,I:I, 0) - 1) / COUNT(I:I)) + 1</f>
        <v>5</v>
      </c>
      <c r="M2350" t="str">
        <f t="shared" si="72"/>
        <v>445</v>
      </c>
      <c r="N2350" s="6" t="str">
        <f t="shared" si="73"/>
        <v>Others</v>
      </c>
    </row>
    <row r="2351" spans="1:14" x14ac:dyDescent="0.35">
      <c r="A2351">
        <v>1250</v>
      </c>
      <c r="B2351" s="4">
        <v>45980.375085336993</v>
      </c>
      <c r="C2351" t="s">
        <v>8</v>
      </c>
      <c r="D2351" t="s">
        <v>19</v>
      </c>
      <c r="E2351" t="s">
        <v>24</v>
      </c>
      <c r="F2351">
        <v>2280.5300000000002</v>
      </c>
      <c r="G2351">
        <f t="array" ref="G2351">SalesData!$I$2 - 'RFM Table'!B2351</f>
        <v>156</v>
      </c>
      <c r="H2351">
        <f t="array" ref="H2351">COUNTIF(A:A,A2351)</f>
        <v>9</v>
      </c>
      <c r="I2351">
        <f t="array" ref="I2351">SUMIF(A:A,A2351,F:F)</f>
        <v>36713.85</v>
      </c>
      <c r="J2351">
        <f t="array" ref="J2351">5 - INT(5 * (RANK(G2351,G:G, 1) - 1) / COUNT(G:G))</f>
        <v>4</v>
      </c>
      <c r="K2351">
        <f t="array" ref="K2351">INT(5 * (RANK(H2351,H:H, 0) - 1) / COUNT(H:H)) + 1</f>
        <v>2</v>
      </c>
      <c r="L2351">
        <f t="array" ref="L2351">INT(5 * (RANK(I2351,I:I, 0) - 1) / COUNT(I:I)) + 1</f>
        <v>3</v>
      </c>
      <c r="M2351" t="str">
        <f t="shared" si="72"/>
        <v>423</v>
      </c>
      <c r="N2351" s="6" t="str">
        <f t="shared" si="73"/>
        <v>New Customers</v>
      </c>
    </row>
    <row r="2352" spans="1:14" x14ac:dyDescent="0.35">
      <c r="A2352">
        <v>1121</v>
      </c>
      <c r="B2352" s="4">
        <v>45980.375085336993</v>
      </c>
      <c r="C2352" t="s">
        <v>6</v>
      </c>
      <c r="D2352" t="s">
        <v>19</v>
      </c>
      <c r="E2352" t="s">
        <v>25</v>
      </c>
      <c r="F2352">
        <v>5066.67</v>
      </c>
      <c r="G2352">
        <f t="array" ref="G2352">SalesData!$I$2 - 'RFM Table'!B2352</f>
        <v>156</v>
      </c>
      <c r="H2352">
        <f t="array" ref="H2352">COUNTIF(A:A,A2352)</f>
        <v>10</v>
      </c>
      <c r="I2352">
        <f t="array" ref="I2352">SUMIF(A:A,A2352,F:F)</f>
        <v>28216.130000000005</v>
      </c>
      <c r="J2352">
        <f t="array" ref="J2352">5 - INT(5 * (RANK(G2352,G:G, 1) - 1) / COUNT(G:G))</f>
        <v>4</v>
      </c>
      <c r="K2352">
        <f t="array" ref="K2352">INT(5 * (RANK(H2352,H:H, 0) - 1) / COUNT(H:H)) + 1</f>
        <v>2</v>
      </c>
      <c r="L2352">
        <f t="array" ref="L2352">INT(5 * (RANK(I2352,I:I, 0) - 1) / COUNT(I:I)) + 1</f>
        <v>4</v>
      </c>
      <c r="M2352" t="str">
        <f t="shared" si="72"/>
        <v>424</v>
      </c>
      <c r="N2352" s="6" t="str">
        <f t="shared" si="73"/>
        <v>New Customers</v>
      </c>
    </row>
    <row r="2353" spans="1:14" x14ac:dyDescent="0.35">
      <c r="A2353">
        <v>1148</v>
      </c>
      <c r="B2353" s="4">
        <v>45980.375085336993</v>
      </c>
      <c r="C2353" t="s">
        <v>10</v>
      </c>
      <c r="D2353" t="s">
        <v>20</v>
      </c>
      <c r="E2353" t="s">
        <v>23</v>
      </c>
      <c r="F2353">
        <v>20378.11</v>
      </c>
      <c r="G2353">
        <f t="array" ref="G2353">SalesData!$I$2 - 'RFM Table'!B2353</f>
        <v>156</v>
      </c>
      <c r="H2353">
        <f t="array" ref="H2353">COUNTIF(A:A,A2353)</f>
        <v>12</v>
      </c>
      <c r="I2353">
        <f t="array" ref="I2353">SUMIF(A:A,A2353,F:F)</f>
        <v>83986.299999999988</v>
      </c>
      <c r="J2353">
        <f t="array" ref="J2353">5 - INT(5 * (RANK(G2353,G:G, 1) - 1) / COUNT(G:G))</f>
        <v>4</v>
      </c>
      <c r="K2353">
        <f t="array" ref="K2353">INT(5 * (RANK(H2353,H:H, 0) - 1) / COUNT(H:H)) + 1</f>
        <v>1</v>
      </c>
      <c r="L2353">
        <f t="array" ref="L2353">INT(5 * (RANK(I2353,I:I, 0) - 1) / COUNT(I:I)) + 1</f>
        <v>1</v>
      </c>
      <c r="M2353" t="str">
        <f t="shared" si="72"/>
        <v>411</v>
      </c>
      <c r="N2353" s="6" t="str">
        <f t="shared" si="73"/>
        <v>New Customers</v>
      </c>
    </row>
    <row r="2354" spans="1:14" x14ac:dyDescent="0.35">
      <c r="A2354">
        <v>1301</v>
      </c>
      <c r="B2354" s="4">
        <v>45980.375085336993</v>
      </c>
      <c r="C2354" t="s">
        <v>11</v>
      </c>
      <c r="D2354" t="s">
        <v>17</v>
      </c>
      <c r="E2354" t="s">
        <v>23</v>
      </c>
      <c r="F2354">
        <v>2205.14</v>
      </c>
      <c r="G2354">
        <f t="array" ref="G2354">SalesData!$I$2 - 'RFM Table'!B2354</f>
        <v>156</v>
      </c>
      <c r="H2354">
        <f t="array" ref="H2354">COUNTIF(A:A,A2354)</f>
        <v>12</v>
      </c>
      <c r="I2354">
        <f t="array" ref="I2354">SUMIF(A:A,A2354,F:F)</f>
        <v>44897.450000000004</v>
      </c>
      <c r="J2354">
        <f t="array" ref="J2354">5 - INT(5 * (RANK(G2354,G:G, 1) - 1) / COUNT(G:G))</f>
        <v>4</v>
      </c>
      <c r="K2354">
        <f t="array" ref="K2354">INT(5 * (RANK(H2354,H:H, 0) - 1) / COUNT(H:H)) + 1</f>
        <v>1</v>
      </c>
      <c r="L2354">
        <f t="array" ref="L2354">INT(5 * (RANK(I2354,I:I, 0) - 1) / COUNT(I:I)) + 1</f>
        <v>1</v>
      </c>
      <c r="M2354" t="str">
        <f t="shared" si="72"/>
        <v>411</v>
      </c>
      <c r="N2354" s="6" t="str">
        <f t="shared" si="73"/>
        <v>New Customers</v>
      </c>
    </row>
    <row r="2355" spans="1:14" x14ac:dyDescent="0.35">
      <c r="A2355">
        <v>1142</v>
      </c>
      <c r="B2355" s="4">
        <v>45981.375085336993</v>
      </c>
      <c r="C2355" t="s">
        <v>6</v>
      </c>
      <c r="D2355" t="s">
        <v>22</v>
      </c>
      <c r="E2355" t="s">
        <v>25</v>
      </c>
      <c r="F2355">
        <v>2028.17</v>
      </c>
      <c r="G2355">
        <f t="array" ref="G2355">SalesData!$I$2 - 'RFM Table'!B2355</f>
        <v>155</v>
      </c>
      <c r="H2355">
        <f t="array" ref="H2355">COUNTIF(A:A,A2355)</f>
        <v>10</v>
      </c>
      <c r="I2355">
        <f t="array" ref="I2355">SUMIF(A:A,A2355,F:F)</f>
        <v>45537.319999999992</v>
      </c>
      <c r="J2355">
        <f t="array" ref="J2355">5 - INT(5 * (RANK(G2355,G:G, 1) - 1) / COUNT(G:G))</f>
        <v>4</v>
      </c>
      <c r="K2355">
        <f t="array" ref="K2355">INT(5 * (RANK(H2355,H:H, 0) - 1) / COUNT(H:H)) + 1</f>
        <v>2</v>
      </c>
      <c r="L2355">
        <f t="array" ref="L2355">INT(5 * (RANK(I2355,I:I, 0) - 1) / COUNT(I:I)) + 1</f>
        <v>1</v>
      </c>
      <c r="M2355" t="str">
        <f t="shared" si="72"/>
        <v>421</v>
      </c>
      <c r="N2355" s="6" t="str">
        <f t="shared" si="73"/>
        <v>New Customers</v>
      </c>
    </row>
    <row r="2356" spans="1:14" x14ac:dyDescent="0.35">
      <c r="A2356">
        <v>1270</v>
      </c>
      <c r="B2356" s="4">
        <v>45981.375085336993</v>
      </c>
      <c r="C2356" t="s">
        <v>8</v>
      </c>
      <c r="D2356" t="s">
        <v>18</v>
      </c>
      <c r="E2356" t="s">
        <v>25</v>
      </c>
      <c r="F2356">
        <v>5690.37</v>
      </c>
      <c r="G2356">
        <f t="array" ref="G2356">SalesData!$I$2 - 'RFM Table'!B2356</f>
        <v>155</v>
      </c>
      <c r="H2356">
        <f t="array" ref="H2356">COUNTIF(A:A,A2356)</f>
        <v>10</v>
      </c>
      <c r="I2356">
        <f t="array" ref="I2356">SUMIF(A:A,A2356,F:F)</f>
        <v>34623.81</v>
      </c>
      <c r="J2356">
        <f t="array" ref="J2356">5 - INT(5 * (RANK(G2356,G:G, 1) - 1) / COUNT(G:G))</f>
        <v>4</v>
      </c>
      <c r="K2356">
        <f t="array" ref="K2356">INT(5 * (RANK(H2356,H:H, 0) - 1) / COUNT(H:H)) + 1</f>
        <v>2</v>
      </c>
      <c r="L2356">
        <f t="array" ref="L2356">INT(5 * (RANK(I2356,I:I, 0) - 1) / COUNT(I:I)) + 1</f>
        <v>3</v>
      </c>
      <c r="M2356" t="str">
        <f t="shared" si="72"/>
        <v>423</v>
      </c>
      <c r="N2356" s="6" t="str">
        <f t="shared" si="73"/>
        <v>New Customers</v>
      </c>
    </row>
    <row r="2357" spans="1:14" x14ac:dyDescent="0.35">
      <c r="A2357">
        <v>1397</v>
      </c>
      <c r="B2357" s="4">
        <v>45981.375085336993</v>
      </c>
      <c r="C2357" t="s">
        <v>10</v>
      </c>
      <c r="D2357" t="s">
        <v>21</v>
      </c>
      <c r="E2357" t="s">
        <v>23</v>
      </c>
      <c r="F2357">
        <v>2921.7</v>
      </c>
      <c r="G2357">
        <f t="array" ref="G2357">SalesData!$I$2 - 'RFM Table'!B2357</f>
        <v>155</v>
      </c>
      <c r="H2357">
        <f t="array" ref="H2357">COUNTIF(A:A,A2357)</f>
        <v>6</v>
      </c>
      <c r="I2357">
        <f t="array" ref="I2357">SUMIF(A:A,A2357,F:F)</f>
        <v>17195.870000000003</v>
      </c>
      <c r="J2357">
        <f t="array" ref="J2357">5 - INT(5 * (RANK(G2357,G:G, 1) - 1) / COUNT(G:G))</f>
        <v>4</v>
      </c>
      <c r="K2357">
        <f t="array" ref="K2357">INT(5 * (RANK(H2357,H:H, 0) - 1) / COUNT(H:H)) + 1</f>
        <v>4</v>
      </c>
      <c r="L2357">
        <f t="array" ref="L2357">INT(5 * (RANK(I2357,I:I, 0) - 1) / COUNT(I:I)) + 1</f>
        <v>5</v>
      </c>
      <c r="M2357" t="str">
        <f t="shared" si="72"/>
        <v>445</v>
      </c>
      <c r="N2357" s="6" t="str">
        <f t="shared" si="73"/>
        <v>Others</v>
      </c>
    </row>
    <row r="2358" spans="1:14" x14ac:dyDescent="0.35">
      <c r="A2358">
        <v>1232</v>
      </c>
      <c r="B2358" s="4">
        <v>45981.375085336993</v>
      </c>
      <c r="C2358" t="s">
        <v>7</v>
      </c>
      <c r="D2358" t="s">
        <v>21</v>
      </c>
      <c r="E2358" t="s">
        <v>25</v>
      </c>
      <c r="F2358">
        <v>1326.55</v>
      </c>
      <c r="G2358">
        <f t="array" ref="G2358">SalesData!$I$2 - 'RFM Table'!B2358</f>
        <v>155</v>
      </c>
      <c r="H2358">
        <f t="array" ref="H2358">COUNTIF(A:A,A2358)</f>
        <v>13</v>
      </c>
      <c r="I2358">
        <f t="array" ref="I2358">SUMIF(A:A,A2358,F:F)</f>
        <v>40298.450000000004</v>
      </c>
      <c r="J2358">
        <f t="array" ref="J2358">5 - INT(5 * (RANK(G2358,G:G, 1) - 1) / COUNT(G:G))</f>
        <v>4</v>
      </c>
      <c r="K2358">
        <f t="array" ref="K2358">INT(5 * (RANK(H2358,H:H, 0) - 1) / COUNT(H:H)) + 1</f>
        <v>1</v>
      </c>
      <c r="L2358">
        <f t="array" ref="L2358">INT(5 * (RANK(I2358,I:I, 0) - 1) / COUNT(I:I)) + 1</f>
        <v>2</v>
      </c>
      <c r="M2358" t="str">
        <f t="shared" si="72"/>
        <v>412</v>
      </c>
      <c r="N2358" s="6" t="str">
        <f t="shared" si="73"/>
        <v>New Customers</v>
      </c>
    </row>
    <row r="2359" spans="1:14" x14ac:dyDescent="0.35">
      <c r="A2359">
        <v>1028</v>
      </c>
      <c r="B2359" s="4">
        <v>45982.375085336993</v>
      </c>
      <c r="C2359" t="s">
        <v>6</v>
      </c>
      <c r="D2359" t="s">
        <v>18</v>
      </c>
      <c r="E2359" t="s">
        <v>23</v>
      </c>
      <c r="F2359">
        <v>2892.72</v>
      </c>
      <c r="G2359">
        <f t="array" ref="G2359">SalesData!$I$2 - 'RFM Table'!B2359</f>
        <v>154</v>
      </c>
      <c r="H2359">
        <f t="array" ref="H2359">COUNTIF(A:A,A2359)</f>
        <v>10</v>
      </c>
      <c r="I2359">
        <f t="array" ref="I2359">SUMIF(A:A,A2359,F:F)</f>
        <v>37984.589999999997</v>
      </c>
      <c r="J2359">
        <f t="array" ref="J2359">5 - INT(5 * (RANK(G2359,G:G, 1) - 1) / COUNT(G:G))</f>
        <v>4</v>
      </c>
      <c r="K2359">
        <f t="array" ref="K2359">INT(5 * (RANK(H2359,H:H, 0) - 1) / COUNT(H:H)) + 1</f>
        <v>2</v>
      </c>
      <c r="L2359">
        <f t="array" ref="L2359">INT(5 * (RANK(I2359,I:I, 0) - 1) / COUNT(I:I)) + 1</f>
        <v>2</v>
      </c>
      <c r="M2359" t="str">
        <f t="shared" si="72"/>
        <v>422</v>
      </c>
      <c r="N2359" s="6" t="str">
        <f t="shared" si="73"/>
        <v>New Customers</v>
      </c>
    </row>
    <row r="2360" spans="1:14" x14ac:dyDescent="0.35">
      <c r="A2360">
        <v>1238</v>
      </c>
      <c r="B2360" s="4">
        <v>45982.375085336993</v>
      </c>
      <c r="C2360" t="s">
        <v>11</v>
      </c>
      <c r="D2360" t="s">
        <v>19</v>
      </c>
      <c r="E2360" t="s">
        <v>25</v>
      </c>
      <c r="F2360">
        <v>1254.17</v>
      </c>
      <c r="G2360">
        <f t="array" ref="G2360">SalesData!$I$2 - 'RFM Table'!B2360</f>
        <v>154</v>
      </c>
      <c r="H2360">
        <f t="array" ref="H2360">COUNTIF(A:A,A2360)</f>
        <v>10</v>
      </c>
      <c r="I2360">
        <f t="array" ref="I2360">SUMIF(A:A,A2360,F:F)</f>
        <v>42023.55</v>
      </c>
      <c r="J2360">
        <f t="array" ref="J2360">5 - INT(5 * (RANK(G2360,G:G, 1) - 1) / COUNT(G:G))</f>
        <v>4</v>
      </c>
      <c r="K2360">
        <f t="array" ref="K2360">INT(5 * (RANK(H2360,H:H, 0) - 1) / COUNT(H:H)) + 1</f>
        <v>2</v>
      </c>
      <c r="L2360">
        <f t="array" ref="L2360">INT(5 * (RANK(I2360,I:I, 0) - 1) / COUNT(I:I)) + 1</f>
        <v>2</v>
      </c>
      <c r="M2360" t="str">
        <f t="shared" si="72"/>
        <v>422</v>
      </c>
      <c r="N2360" s="6" t="str">
        <f t="shared" si="73"/>
        <v>New Customers</v>
      </c>
    </row>
    <row r="2361" spans="1:14" x14ac:dyDescent="0.35">
      <c r="A2361">
        <v>1195</v>
      </c>
      <c r="B2361" s="4">
        <v>45983.375085336993</v>
      </c>
      <c r="C2361" t="s">
        <v>6</v>
      </c>
      <c r="D2361" t="s">
        <v>19</v>
      </c>
      <c r="E2361" t="s">
        <v>23</v>
      </c>
      <c r="F2361">
        <v>641.73</v>
      </c>
      <c r="G2361">
        <f t="array" ref="G2361">SalesData!$I$2 - 'RFM Table'!B2361</f>
        <v>153</v>
      </c>
      <c r="H2361">
        <f t="array" ref="H2361">COUNTIF(A:A,A2361)</f>
        <v>7</v>
      </c>
      <c r="I2361">
        <f t="array" ref="I2361">SUMIF(A:A,A2361,F:F)</f>
        <v>22005.660000000003</v>
      </c>
      <c r="J2361">
        <f t="array" ref="J2361">5 - INT(5 * (RANK(G2361,G:G, 1) - 1) / COUNT(G:G))</f>
        <v>4</v>
      </c>
      <c r="K2361">
        <f t="array" ref="K2361">INT(5 * (RANK(H2361,H:H, 0) - 1) / COUNT(H:H)) + 1</f>
        <v>4</v>
      </c>
      <c r="L2361">
        <f t="array" ref="L2361">INT(5 * (RANK(I2361,I:I, 0) - 1) / COUNT(I:I)) + 1</f>
        <v>4</v>
      </c>
      <c r="M2361" t="str">
        <f t="shared" si="72"/>
        <v>444</v>
      </c>
      <c r="N2361" s="6" t="str">
        <f t="shared" si="73"/>
        <v>Others</v>
      </c>
    </row>
    <row r="2362" spans="1:14" x14ac:dyDescent="0.35">
      <c r="A2362">
        <v>1175</v>
      </c>
      <c r="B2362" s="4">
        <v>45984.375085336993</v>
      </c>
      <c r="C2362" t="s">
        <v>11</v>
      </c>
      <c r="D2362" t="s">
        <v>19</v>
      </c>
      <c r="E2362" t="s">
        <v>24</v>
      </c>
      <c r="F2362">
        <v>8578.6200000000008</v>
      </c>
      <c r="G2362">
        <f t="array" ref="G2362">SalesData!$I$2 - 'RFM Table'!B2362</f>
        <v>152</v>
      </c>
      <c r="H2362">
        <f t="array" ref="H2362">COUNTIF(A:A,A2362)</f>
        <v>6</v>
      </c>
      <c r="I2362">
        <f t="array" ref="I2362">SUMIF(A:A,A2362,F:F)</f>
        <v>26179.75</v>
      </c>
      <c r="J2362">
        <f t="array" ref="J2362">5 - INT(5 * (RANK(G2362,G:G, 1) - 1) / COUNT(G:G))</f>
        <v>4</v>
      </c>
      <c r="K2362">
        <f t="array" ref="K2362">INT(5 * (RANK(H2362,H:H, 0) - 1) / COUNT(H:H)) + 1</f>
        <v>4</v>
      </c>
      <c r="L2362">
        <f t="array" ref="L2362">INT(5 * (RANK(I2362,I:I, 0) - 1) / COUNT(I:I)) + 1</f>
        <v>4</v>
      </c>
      <c r="M2362" t="str">
        <f t="shared" si="72"/>
        <v>444</v>
      </c>
      <c r="N2362" s="6" t="str">
        <f t="shared" si="73"/>
        <v>Others</v>
      </c>
    </row>
    <row r="2363" spans="1:14" x14ac:dyDescent="0.35">
      <c r="A2363">
        <v>1157</v>
      </c>
      <c r="B2363" s="4">
        <v>45984.375085336993</v>
      </c>
      <c r="C2363" t="s">
        <v>9</v>
      </c>
      <c r="D2363" t="s">
        <v>16</v>
      </c>
      <c r="E2363" t="s">
        <v>23</v>
      </c>
      <c r="F2363">
        <v>3123.17</v>
      </c>
      <c r="G2363">
        <f t="array" ref="G2363">SalesData!$I$2 - 'RFM Table'!B2363</f>
        <v>152</v>
      </c>
      <c r="H2363">
        <f t="array" ref="H2363">COUNTIF(A:A,A2363)</f>
        <v>11</v>
      </c>
      <c r="I2363">
        <f t="array" ref="I2363">SUMIF(A:A,A2363,F:F)</f>
        <v>45651.77</v>
      </c>
      <c r="J2363">
        <f t="array" ref="J2363">5 - INT(5 * (RANK(G2363,G:G, 1) - 1) / COUNT(G:G))</f>
        <v>4</v>
      </c>
      <c r="K2363">
        <f t="array" ref="K2363">INT(5 * (RANK(H2363,H:H, 0) - 1) / COUNT(H:H)) + 1</f>
        <v>1</v>
      </c>
      <c r="L2363">
        <f t="array" ref="L2363">INT(5 * (RANK(I2363,I:I, 0) - 1) / COUNT(I:I)) + 1</f>
        <v>1</v>
      </c>
      <c r="M2363" t="str">
        <f t="shared" si="72"/>
        <v>411</v>
      </c>
      <c r="N2363" s="6" t="str">
        <f t="shared" si="73"/>
        <v>New Customers</v>
      </c>
    </row>
    <row r="2364" spans="1:14" x14ac:dyDescent="0.35">
      <c r="A2364">
        <v>1236</v>
      </c>
      <c r="B2364" s="4">
        <v>45984.375085336993</v>
      </c>
      <c r="C2364" t="s">
        <v>10</v>
      </c>
      <c r="D2364" t="s">
        <v>21</v>
      </c>
      <c r="E2364" t="s">
        <v>23</v>
      </c>
      <c r="F2364">
        <v>2072.91</v>
      </c>
      <c r="G2364">
        <f t="array" ref="G2364">SalesData!$I$2 - 'RFM Table'!B2364</f>
        <v>152</v>
      </c>
      <c r="H2364">
        <f t="array" ref="H2364">COUNTIF(A:A,A2364)</f>
        <v>10</v>
      </c>
      <c r="I2364">
        <f t="array" ref="I2364">SUMIF(A:A,A2364,F:F)</f>
        <v>40760.559999999998</v>
      </c>
      <c r="J2364">
        <f t="array" ref="J2364">5 - INT(5 * (RANK(G2364,G:G, 1) - 1) / COUNT(G:G))</f>
        <v>4</v>
      </c>
      <c r="K2364">
        <f t="array" ref="K2364">INT(5 * (RANK(H2364,H:H, 0) - 1) / COUNT(H:H)) + 1</f>
        <v>2</v>
      </c>
      <c r="L2364">
        <f t="array" ref="L2364">INT(5 * (RANK(I2364,I:I, 0) - 1) / COUNT(I:I)) + 1</f>
        <v>2</v>
      </c>
      <c r="M2364" t="str">
        <f t="shared" si="72"/>
        <v>422</v>
      </c>
      <c r="N2364" s="6" t="str">
        <f t="shared" si="73"/>
        <v>New Customers</v>
      </c>
    </row>
    <row r="2365" spans="1:14" x14ac:dyDescent="0.35">
      <c r="A2365">
        <v>1229</v>
      </c>
      <c r="B2365" s="4">
        <v>45984.375085336993</v>
      </c>
      <c r="C2365" t="s">
        <v>13</v>
      </c>
      <c r="D2365" t="s">
        <v>20</v>
      </c>
      <c r="E2365" t="s">
        <v>23</v>
      </c>
      <c r="F2365">
        <v>4130.0200000000004</v>
      </c>
      <c r="G2365">
        <f t="array" ref="G2365">SalesData!$I$2 - 'RFM Table'!B2365</f>
        <v>152</v>
      </c>
      <c r="H2365">
        <f t="array" ref="H2365">COUNTIF(A:A,A2365)</f>
        <v>5</v>
      </c>
      <c r="I2365">
        <f t="array" ref="I2365">SUMIF(A:A,A2365,F:F)</f>
        <v>23857.670000000002</v>
      </c>
      <c r="J2365">
        <f t="array" ref="J2365">5 - INT(5 * (RANK(G2365,G:G, 1) - 1) / COUNT(G:G))</f>
        <v>4</v>
      </c>
      <c r="K2365">
        <f t="array" ref="K2365">INT(5 * (RANK(H2365,H:H, 0) - 1) / COUNT(H:H)) + 1</f>
        <v>5</v>
      </c>
      <c r="L2365">
        <f t="array" ref="L2365">INT(5 * (RANK(I2365,I:I, 0) - 1) / COUNT(I:I)) + 1</f>
        <v>4</v>
      </c>
      <c r="M2365" t="str">
        <f t="shared" si="72"/>
        <v>454</v>
      </c>
      <c r="N2365" s="6" t="str">
        <f t="shared" si="73"/>
        <v>Others</v>
      </c>
    </row>
    <row r="2366" spans="1:14" x14ac:dyDescent="0.35">
      <c r="A2366">
        <v>1144</v>
      </c>
      <c r="B2366" s="4">
        <v>45984.375085336993</v>
      </c>
      <c r="C2366" t="s">
        <v>15</v>
      </c>
      <c r="D2366" t="s">
        <v>19</v>
      </c>
      <c r="E2366" t="s">
        <v>23</v>
      </c>
      <c r="F2366">
        <v>3544.86</v>
      </c>
      <c r="G2366">
        <f t="array" ref="G2366">SalesData!$I$2 - 'RFM Table'!B2366</f>
        <v>152</v>
      </c>
      <c r="H2366">
        <f t="array" ref="H2366">COUNTIF(A:A,A2366)</f>
        <v>11</v>
      </c>
      <c r="I2366">
        <f t="array" ref="I2366">SUMIF(A:A,A2366,F:F)</f>
        <v>62038.55</v>
      </c>
      <c r="J2366">
        <f t="array" ref="J2366">5 - INT(5 * (RANK(G2366,G:G, 1) - 1) / COUNT(G:G))</f>
        <v>4</v>
      </c>
      <c r="K2366">
        <f t="array" ref="K2366">INT(5 * (RANK(H2366,H:H, 0) - 1) / COUNT(H:H)) + 1</f>
        <v>1</v>
      </c>
      <c r="L2366">
        <f t="array" ref="L2366">INT(5 * (RANK(I2366,I:I, 0) - 1) / COUNT(I:I)) + 1</f>
        <v>1</v>
      </c>
      <c r="M2366" t="str">
        <f t="shared" si="72"/>
        <v>411</v>
      </c>
      <c r="N2366" s="6" t="str">
        <f t="shared" si="73"/>
        <v>New Customers</v>
      </c>
    </row>
    <row r="2367" spans="1:14" x14ac:dyDescent="0.35">
      <c r="A2367">
        <v>1153</v>
      </c>
      <c r="B2367" s="4">
        <v>45985.375085336993</v>
      </c>
      <c r="C2367" t="s">
        <v>7</v>
      </c>
      <c r="D2367" t="s">
        <v>17</v>
      </c>
      <c r="E2367" t="s">
        <v>25</v>
      </c>
      <c r="F2367">
        <v>3632.23</v>
      </c>
      <c r="G2367">
        <f t="array" ref="G2367">SalesData!$I$2 - 'RFM Table'!B2367</f>
        <v>151</v>
      </c>
      <c r="H2367">
        <f t="array" ref="H2367">COUNTIF(A:A,A2367)</f>
        <v>12</v>
      </c>
      <c r="I2367">
        <f t="array" ref="I2367">SUMIF(A:A,A2367,F:F)</f>
        <v>42146.06</v>
      </c>
      <c r="J2367">
        <f t="array" ref="J2367">5 - INT(5 * (RANK(G2367,G:G, 1) - 1) / COUNT(G:G))</f>
        <v>4</v>
      </c>
      <c r="K2367">
        <f t="array" ref="K2367">INT(5 * (RANK(H2367,H:H, 0) - 1) / COUNT(H:H)) + 1</f>
        <v>1</v>
      </c>
      <c r="L2367">
        <f t="array" ref="L2367">INT(5 * (RANK(I2367,I:I, 0) - 1) / COUNT(I:I)) + 1</f>
        <v>2</v>
      </c>
      <c r="M2367" t="str">
        <f t="shared" si="72"/>
        <v>412</v>
      </c>
      <c r="N2367" s="6" t="str">
        <f t="shared" si="73"/>
        <v>New Customers</v>
      </c>
    </row>
    <row r="2368" spans="1:14" x14ac:dyDescent="0.35">
      <c r="A2368">
        <v>1066</v>
      </c>
      <c r="B2368" s="4">
        <v>45985.375085336993</v>
      </c>
      <c r="C2368" t="s">
        <v>10</v>
      </c>
      <c r="D2368" t="s">
        <v>22</v>
      </c>
      <c r="E2368" t="s">
        <v>25</v>
      </c>
      <c r="F2368">
        <v>6507.65</v>
      </c>
      <c r="G2368">
        <f t="array" ref="G2368">SalesData!$I$2 - 'RFM Table'!B2368</f>
        <v>151</v>
      </c>
      <c r="H2368">
        <f t="array" ref="H2368">COUNTIF(A:A,A2368)</f>
        <v>5</v>
      </c>
      <c r="I2368">
        <f t="array" ref="I2368">SUMIF(A:A,A2368,F:F)</f>
        <v>17833.57</v>
      </c>
      <c r="J2368">
        <f t="array" ref="J2368">5 - INT(5 * (RANK(G2368,G:G, 1) - 1) / COUNT(G:G))</f>
        <v>4</v>
      </c>
      <c r="K2368">
        <f t="array" ref="K2368">INT(5 * (RANK(H2368,H:H, 0) - 1) / COUNT(H:H)) + 1</f>
        <v>5</v>
      </c>
      <c r="L2368">
        <f t="array" ref="L2368">INT(5 * (RANK(I2368,I:I, 0) - 1) / COUNT(I:I)) + 1</f>
        <v>5</v>
      </c>
      <c r="M2368" t="str">
        <f t="shared" si="72"/>
        <v>455</v>
      </c>
      <c r="N2368" s="6" t="str">
        <f t="shared" si="73"/>
        <v>Others</v>
      </c>
    </row>
    <row r="2369" spans="1:14" x14ac:dyDescent="0.35">
      <c r="A2369">
        <v>1053</v>
      </c>
      <c r="B2369" s="4">
        <v>45985.375085336993</v>
      </c>
      <c r="C2369" t="s">
        <v>11</v>
      </c>
      <c r="D2369" t="s">
        <v>22</v>
      </c>
      <c r="E2369" t="s">
        <v>24</v>
      </c>
      <c r="F2369">
        <v>1214.33</v>
      </c>
      <c r="G2369">
        <f t="array" ref="G2369">SalesData!$I$2 - 'RFM Table'!B2369</f>
        <v>151</v>
      </c>
      <c r="H2369">
        <f t="array" ref="H2369">COUNTIF(A:A,A2369)</f>
        <v>10</v>
      </c>
      <c r="I2369">
        <f t="array" ref="I2369">SUMIF(A:A,A2369,F:F)</f>
        <v>44572.97</v>
      </c>
      <c r="J2369">
        <f t="array" ref="J2369">5 - INT(5 * (RANK(G2369,G:G, 1) - 1) / COUNT(G:G))</f>
        <v>4</v>
      </c>
      <c r="K2369">
        <f t="array" ref="K2369">INT(5 * (RANK(H2369,H:H, 0) - 1) / COUNT(H:H)) + 1</f>
        <v>2</v>
      </c>
      <c r="L2369">
        <f t="array" ref="L2369">INT(5 * (RANK(I2369,I:I, 0) - 1) / COUNT(I:I)) + 1</f>
        <v>2</v>
      </c>
      <c r="M2369" t="str">
        <f t="shared" si="72"/>
        <v>422</v>
      </c>
      <c r="N2369" s="6" t="str">
        <f t="shared" si="73"/>
        <v>New Customers</v>
      </c>
    </row>
    <row r="2370" spans="1:14" x14ac:dyDescent="0.35">
      <c r="A2370">
        <v>1364</v>
      </c>
      <c r="B2370" s="4">
        <v>45985.375085336993</v>
      </c>
      <c r="C2370" t="s">
        <v>9</v>
      </c>
      <c r="D2370" t="s">
        <v>18</v>
      </c>
      <c r="E2370" t="s">
        <v>23</v>
      </c>
      <c r="F2370">
        <v>2880.53</v>
      </c>
      <c r="G2370">
        <f t="array" ref="G2370">SalesData!$I$2 - 'RFM Table'!B2370</f>
        <v>151</v>
      </c>
      <c r="H2370">
        <f t="array" ref="H2370">COUNTIF(A:A,A2370)</f>
        <v>11</v>
      </c>
      <c r="I2370">
        <f t="array" ref="I2370">SUMIF(A:A,A2370,F:F)</f>
        <v>39674.43</v>
      </c>
      <c r="J2370">
        <f t="array" ref="J2370">5 - INT(5 * (RANK(G2370,G:G, 1) - 1) / COUNT(G:G))</f>
        <v>4</v>
      </c>
      <c r="K2370">
        <f t="array" ref="K2370">INT(5 * (RANK(H2370,H:H, 0) - 1) / COUNT(H:H)) + 1</f>
        <v>1</v>
      </c>
      <c r="L2370">
        <f t="array" ref="L2370">INT(5 * (RANK(I2370,I:I, 0) - 1) / COUNT(I:I)) + 1</f>
        <v>2</v>
      </c>
      <c r="M2370" t="str">
        <f t="shared" si="72"/>
        <v>412</v>
      </c>
      <c r="N2370" s="6" t="str">
        <f t="shared" si="73"/>
        <v>New Customers</v>
      </c>
    </row>
    <row r="2371" spans="1:14" x14ac:dyDescent="0.35">
      <c r="A2371">
        <v>1263</v>
      </c>
      <c r="B2371" s="4">
        <v>45986.375085336993</v>
      </c>
      <c r="C2371" t="s">
        <v>12</v>
      </c>
      <c r="D2371" t="s">
        <v>20</v>
      </c>
      <c r="E2371" t="s">
        <v>25</v>
      </c>
      <c r="F2371">
        <v>4607.4399999999996</v>
      </c>
      <c r="G2371">
        <f t="array" ref="G2371">SalesData!$I$2 - 'RFM Table'!B2371</f>
        <v>150</v>
      </c>
      <c r="H2371">
        <f t="array" ref="H2371">COUNTIF(A:A,A2371)</f>
        <v>15</v>
      </c>
      <c r="I2371">
        <f t="array" ref="I2371">SUMIF(A:A,A2371,F:F)</f>
        <v>55867.080000000016</v>
      </c>
      <c r="J2371">
        <f t="array" ref="J2371">5 - INT(5 * (RANK(G2371,G:G, 1) - 1) / COUNT(G:G))</f>
        <v>4</v>
      </c>
      <c r="K2371">
        <f t="array" ref="K2371">INT(5 * (RANK(H2371,H:H, 0) - 1) / COUNT(H:H)) + 1</f>
        <v>1</v>
      </c>
      <c r="L2371">
        <f t="array" ref="L2371">INT(5 * (RANK(I2371,I:I, 0) - 1) / COUNT(I:I)) + 1</f>
        <v>1</v>
      </c>
      <c r="M2371" t="str">
        <f t="shared" ref="M2371:M2434" si="74">J2371 &amp; K2371 &amp; L2371</f>
        <v>411</v>
      </c>
      <c r="N2371" s="6" t="str">
        <f t="shared" ref="N2371:N2434" si="75">IF(AND(J2371&gt;=4,K2371&lt;=2),"New Customers",
IF(AND(J2371&lt;=2,K2371&gt;=3,L2371&gt;=3),"At Risk",
IF(AND(J2371&lt;=2,K2371&lt;=2,L2371&gt;=3),"Can't Lose Them",
IF(AND(J2371&lt;=2,K2371&lt;=2,L2371&lt;=2),"Lost",
"Others"))))</f>
        <v>New Customers</v>
      </c>
    </row>
    <row r="2372" spans="1:14" x14ac:dyDescent="0.35">
      <c r="A2372">
        <v>1171</v>
      </c>
      <c r="B2372" s="4">
        <v>45986.375085336993</v>
      </c>
      <c r="C2372" t="s">
        <v>6</v>
      </c>
      <c r="D2372" t="s">
        <v>19</v>
      </c>
      <c r="E2372" t="s">
        <v>23</v>
      </c>
      <c r="F2372">
        <v>1947.37</v>
      </c>
      <c r="G2372">
        <f t="array" ref="G2372">SalesData!$I$2 - 'RFM Table'!B2372</f>
        <v>150</v>
      </c>
      <c r="H2372">
        <f t="array" ref="H2372">COUNTIF(A:A,A2372)</f>
        <v>9</v>
      </c>
      <c r="I2372">
        <f t="array" ref="I2372">SUMIF(A:A,A2372,F:F)</f>
        <v>40942.560000000005</v>
      </c>
      <c r="J2372">
        <f t="array" ref="J2372">5 - INT(5 * (RANK(G2372,G:G, 1) - 1) / COUNT(G:G))</f>
        <v>4</v>
      </c>
      <c r="K2372">
        <f t="array" ref="K2372">INT(5 * (RANK(H2372,H:H, 0) - 1) / COUNT(H:H)) + 1</f>
        <v>2</v>
      </c>
      <c r="L2372">
        <f t="array" ref="L2372">INT(5 * (RANK(I2372,I:I, 0) - 1) / COUNT(I:I)) + 1</f>
        <v>2</v>
      </c>
      <c r="M2372" t="str">
        <f t="shared" si="74"/>
        <v>422</v>
      </c>
      <c r="N2372" s="6" t="str">
        <f t="shared" si="75"/>
        <v>New Customers</v>
      </c>
    </row>
    <row r="2373" spans="1:14" x14ac:dyDescent="0.35">
      <c r="A2373">
        <v>1054</v>
      </c>
      <c r="B2373" s="4">
        <v>45986.375085336993</v>
      </c>
      <c r="C2373" t="s">
        <v>12</v>
      </c>
      <c r="D2373" t="s">
        <v>19</v>
      </c>
      <c r="E2373" t="s">
        <v>23</v>
      </c>
      <c r="F2373">
        <v>1972.64</v>
      </c>
      <c r="G2373">
        <f t="array" ref="G2373">SalesData!$I$2 - 'RFM Table'!B2373</f>
        <v>150</v>
      </c>
      <c r="H2373">
        <f t="array" ref="H2373">COUNTIF(A:A,A2373)</f>
        <v>7</v>
      </c>
      <c r="I2373">
        <f t="array" ref="I2373">SUMIF(A:A,A2373,F:F)</f>
        <v>21298.79</v>
      </c>
      <c r="J2373">
        <f t="array" ref="J2373">5 - INT(5 * (RANK(G2373,G:G, 1) - 1) / COUNT(G:G))</f>
        <v>4</v>
      </c>
      <c r="K2373">
        <f t="array" ref="K2373">INT(5 * (RANK(H2373,H:H, 0) - 1) / COUNT(H:H)) + 1</f>
        <v>4</v>
      </c>
      <c r="L2373">
        <f t="array" ref="L2373">INT(5 * (RANK(I2373,I:I, 0) - 1) / COUNT(I:I)) + 1</f>
        <v>5</v>
      </c>
      <c r="M2373" t="str">
        <f t="shared" si="74"/>
        <v>445</v>
      </c>
      <c r="N2373" s="6" t="str">
        <f t="shared" si="75"/>
        <v>Others</v>
      </c>
    </row>
    <row r="2374" spans="1:14" x14ac:dyDescent="0.35">
      <c r="A2374">
        <v>1260</v>
      </c>
      <c r="B2374" s="4">
        <v>45987.375085336993</v>
      </c>
      <c r="C2374" t="s">
        <v>13</v>
      </c>
      <c r="D2374" t="s">
        <v>18</v>
      </c>
      <c r="E2374" t="s">
        <v>24</v>
      </c>
      <c r="F2374">
        <v>7435.87</v>
      </c>
      <c r="G2374">
        <f t="array" ref="G2374">SalesData!$I$2 - 'RFM Table'!B2374</f>
        <v>149</v>
      </c>
      <c r="H2374">
        <f t="array" ref="H2374">COUNTIF(A:A,A2374)</f>
        <v>10</v>
      </c>
      <c r="I2374">
        <f t="array" ref="I2374">SUMIF(A:A,A2374,F:F)</f>
        <v>67378.48000000001</v>
      </c>
      <c r="J2374">
        <f t="array" ref="J2374">5 - INT(5 * (RANK(G2374,G:G, 1) - 1) / COUNT(G:G))</f>
        <v>4</v>
      </c>
      <c r="K2374">
        <f t="array" ref="K2374">INT(5 * (RANK(H2374,H:H, 0) - 1) / COUNT(H:H)) + 1</f>
        <v>2</v>
      </c>
      <c r="L2374">
        <f t="array" ref="L2374">INT(5 * (RANK(I2374,I:I, 0) - 1) / COUNT(I:I)) + 1</f>
        <v>1</v>
      </c>
      <c r="M2374" t="str">
        <f t="shared" si="74"/>
        <v>421</v>
      </c>
      <c r="N2374" s="6" t="str">
        <f t="shared" si="75"/>
        <v>New Customers</v>
      </c>
    </row>
    <row r="2375" spans="1:14" x14ac:dyDescent="0.35">
      <c r="A2375">
        <v>1014</v>
      </c>
      <c r="B2375" s="4">
        <v>45987.375085336993</v>
      </c>
      <c r="C2375" t="s">
        <v>14</v>
      </c>
      <c r="D2375" t="s">
        <v>16</v>
      </c>
      <c r="E2375" t="s">
        <v>25</v>
      </c>
      <c r="F2375">
        <v>382.27</v>
      </c>
      <c r="G2375">
        <f t="array" ref="G2375">SalesData!$I$2 - 'RFM Table'!B2375</f>
        <v>149</v>
      </c>
      <c r="H2375">
        <f t="array" ref="H2375">COUNTIF(A:A,A2375)</f>
        <v>8</v>
      </c>
      <c r="I2375">
        <f t="array" ref="I2375">SUMIF(A:A,A2375,F:F)</f>
        <v>27090.329999999998</v>
      </c>
      <c r="J2375">
        <f t="array" ref="J2375">5 - INT(5 * (RANK(G2375,G:G, 1) - 1) / COUNT(G:G))</f>
        <v>4</v>
      </c>
      <c r="K2375">
        <f t="array" ref="K2375">INT(5 * (RANK(H2375,H:H, 0) - 1) / COUNT(H:H)) + 1</f>
        <v>3</v>
      </c>
      <c r="L2375">
        <f t="array" ref="L2375">INT(5 * (RANK(I2375,I:I, 0) - 1) / COUNT(I:I)) + 1</f>
        <v>4</v>
      </c>
      <c r="M2375" t="str">
        <f t="shared" si="74"/>
        <v>434</v>
      </c>
      <c r="N2375" s="6" t="str">
        <f t="shared" si="75"/>
        <v>Others</v>
      </c>
    </row>
    <row r="2376" spans="1:14" x14ac:dyDescent="0.35">
      <c r="A2376">
        <v>1158</v>
      </c>
      <c r="B2376" s="4">
        <v>45987.375085336993</v>
      </c>
      <c r="C2376" t="s">
        <v>9</v>
      </c>
      <c r="D2376" t="s">
        <v>21</v>
      </c>
      <c r="E2376" t="s">
        <v>25</v>
      </c>
      <c r="F2376">
        <v>1234.19</v>
      </c>
      <c r="G2376">
        <f t="array" ref="G2376">SalesData!$I$2 - 'RFM Table'!B2376</f>
        <v>149</v>
      </c>
      <c r="H2376">
        <f t="array" ref="H2376">COUNTIF(A:A,A2376)</f>
        <v>5</v>
      </c>
      <c r="I2376">
        <f t="array" ref="I2376">SUMIF(A:A,A2376,F:F)</f>
        <v>14717.050000000001</v>
      </c>
      <c r="J2376">
        <f t="array" ref="J2376">5 - INT(5 * (RANK(G2376,G:G, 1) - 1) / COUNT(G:G))</f>
        <v>4</v>
      </c>
      <c r="K2376">
        <f t="array" ref="K2376">INT(5 * (RANK(H2376,H:H, 0) - 1) / COUNT(H:H)) + 1</f>
        <v>5</v>
      </c>
      <c r="L2376">
        <f t="array" ref="L2376">INT(5 * (RANK(I2376,I:I, 0) - 1) / COUNT(I:I)) + 1</f>
        <v>5</v>
      </c>
      <c r="M2376" t="str">
        <f t="shared" si="74"/>
        <v>455</v>
      </c>
      <c r="N2376" s="6" t="str">
        <f t="shared" si="75"/>
        <v>Others</v>
      </c>
    </row>
    <row r="2377" spans="1:14" x14ac:dyDescent="0.35">
      <c r="A2377">
        <v>1200</v>
      </c>
      <c r="B2377" s="4">
        <v>45987.375085336993</v>
      </c>
      <c r="C2377" t="s">
        <v>10</v>
      </c>
      <c r="D2377" t="s">
        <v>20</v>
      </c>
      <c r="E2377" t="s">
        <v>25</v>
      </c>
      <c r="F2377">
        <v>3703.05</v>
      </c>
      <c r="G2377">
        <f t="array" ref="G2377">SalesData!$I$2 - 'RFM Table'!B2377</f>
        <v>149</v>
      </c>
      <c r="H2377">
        <f t="array" ref="H2377">COUNTIF(A:A,A2377)</f>
        <v>6</v>
      </c>
      <c r="I2377">
        <f t="array" ref="I2377">SUMIF(A:A,A2377,F:F)</f>
        <v>24862.18</v>
      </c>
      <c r="J2377">
        <f t="array" ref="J2377">5 - INT(5 * (RANK(G2377,G:G, 1) - 1) / COUNT(G:G))</f>
        <v>4</v>
      </c>
      <c r="K2377">
        <f t="array" ref="K2377">INT(5 * (RANK(H2377,H:H, 0) - 1) / COUNT(H:H)) + 1</f>
        <v>4</v>
      </c>
      <c r="L2377">
        <f t="array" ref="L2377">INT(5 * (RANK(I2377,I:I, 0) - 1) / COUNT(I:I)) + 1</f>
        <v>4</v>
      </c>
      <c r="M2377" t="str">
        <f t="shared" si="74"/>
        <v>444</v>
      </c>
      <c r="N2377" s="6" t="str">
        <f t="shared" si="75"/>
        <v>Others</v>
      </c>
    </row>
    <row r="2378" spans="1:14" x14ac:dyDescent="0.35">
      <c r="A2378">
        <v>1001</v>
      </c>
      <c r="B2378" s="4">
        <v>45987.375085336993</v>
      </c>
      <c r="C2378" t="s">
        <v>7</v>
      </c>
      <c r="D2378" t="s">
        <v>20</v>
      </c>
      <c r="E2378" t="s">
        <v>24</v>
      </c>
      <c r="F2378">
        <v>1834.11</v>
      </c>
      <c r="G2378">
        <f t="array" ref="G2378">SalesData!$I$2 - 'RFM Table'!B2378</f>
        <v>149</v>
      </c>
      <c r="H2378">
        <f t="array" ref="H2378">COUNTIF(A:A,A2378)</f>
        <v>7</v>
      </c>
      <c r="I2378">
        <f t="array" ref="I2378">SUMIF(A:A,A2378,F:F)</f>
        <v>33081.189999999995</v>
      </c>
      <c r="J2378">
        <f t="array" ref="J2378">5 - INT(5 * (RANK(G2378,G:G, 1) - 1) / COUNT(G:G))</f>
        <v>4</v>
      </c>
      <c r="K2378">
        <f t="array" ref="K2378">INT(5 * (RANK(H2378,H:H, 0) - 1) / COUNT(H:H)) + 1</f>
        <v>4</v>
      </c>
      <c r="L2378">
        <f t="array" ref="L2378">INT(5 * (RANK(I2378,I:I, 0) - 1) / COUNT(I:I)) + 1</f>
        <v>3</v>
      </c>
      <c r="M2378" t="str">
        <f t="shared" si="74"/>
        <v>443</v>
      </c>
      <c r="N2378" s="6" t="str">
        <f t="shared" si="75"/>
        <v>Others</v>
      </c>
    </row>
    <row r="2379" spans="1:14" x14ac:dyDescent="0.35">
      <c r="A2379">
        <v>1027</v>
      </c>
      <c r="B2379" s="4">
        <v>45987.375085336993</v>
      </c>
      <c r="C2379" t="s">
        <v>11</v>
      </c>
      <c r="D2379" t="s">
        <v>16</v>
      </c>
      <c r="E2379" t="s">
        <v>23</v>
      </c>
      <c r="F2379">
        <v>3441.38</v>
      </c>
      <c r="G2379">
        <f t="array" ref="G2379">SalesData!$I$2 - 'RFM Table'!B2379</f>
        <v>149</v>
      </c>
      <c r="H2379">
        <f t="array" ref="H2379">COUNTIF(A:A,A2379)</f>
        <v>7</v>
      </c>
      <c r="I2379">
        <f t="array" ref="I2379">SUMIF(A:A,A2379,F:F)</f>
        <v>31771.820000000003</v>
      </c>
      <c r="J2379">
        <f t="array" ref="J2379">5 - INT(5 * (RANK(G2379,G:G, 1) - 1) / COUNT(G:G))</f>
        <v>4</v>
      </c>
      <c r="K2379">
        <f t="array" ref="K2379">INT(5 * (RANK(H2379,H:H, 0) - 1) / COUNT(H:H)) + 1</f>
        <v>4</v>
      </c>
      <c r="L2379">
        <f t="array" ref="L2379">INT(5 * (RANK(I2379,I:I, 0) - 1) / COUNT(I:I)) + 1</f>
        <v>3</v>
      </c>
      <c r="M2379" t="str">
        <f t="shared" si="74"/>
        <v>443</v>
      </c>
      <c r="N2379" s="6" t="str">
        <f t="shared" si="75"/>
        <v>Others</v>
      </c>
    </row>
    <row r="2380" spans="1:14" x14ac:dyDescent="0.35">
      <c r="A2380">
        <v>1163</v>
      </c>
      <c r="B2380" s="4">
        <v>45987.375085336993</v>
      </c>
      <c r="C2380" t="s">
        <v>10</v>
      </c>
      <c r="D2380" t="s">
        <v>18</v>
      </c>
      <c r="E2380" t="s">
        <v>25</v>
      </c>
      <c r="F2380">
        <v>849.12</v>
      </c>
      <c r="G2380">
        <f t="array" ref="G2380">SalesData!$I$2 - 'RFM Table'!B2380</f>
        <v>149</v>
      </c>
      <c r="H2380">
        <f t="array" ref="H2380">COUNTIF(A:A,A2380)</f>
        <v>11</v>
      </c>
      <c r="I2380">
        <f t="array" ref="I2380">SUMIF(A:A,A2380,F:F)</f>
        <v>43753.86</v>
      </c>
      <c r="J2380">
        <f t="array" ref="J2380">5 - INT(5 * (RANK(G2380,G:G, 1) - 1) / COUNT(G:G))</f>
        <v>4</v>
      </c>
      <c r="K2380">
        <f t="array" ref="K2380">INT(5 * (RANK(H2380,H:H, 0) - 1) / COUNT(H:H)) + 1</f>
        <v>1</v>
      </c>
      <c r="L2380">
        <f t="array" ref="L2380">INT(5 * (RANK(I2380,I:I, 0) - 1) / COUNT(I:I)) + 1</f>
        <v>2</v>
      </c>
      <c r="M2380" t="str">
        <f t="shared" si="74"/>
        <v>412</v>
      </c>
      <c r="N2380" s="6" t="str">
        <f t="shared" si="75"/>
        <v>New Customers</v>
      </c>
    </row>
    <row r="2381" spans="1:14" x14ac:dyDescent="0.35">
      <c r="A2381">
        <v>1058</v>
      </c>
      <c r="B2381" s="4">
        <v>45988.375085336993</v>
      </c>
      <c r="C2381" t="s">
        <v>6</v>
      </c>
      <c r="D2381" t="s">
        <v>22</v>
      </c>
      <c r="E2381" t="s">
        <v>25</v>
      </c>
      <c r="F2381">
        <v>3427.45</v>
      </c>
      <c r="G2381">
        <f t="array" ref="G2381">SalesData!$I$2 - 'RFM Table'!B2381</f>
        <v>148</v>
      </c>
      <c r="H2381">
        <f t="array" ref="H2381">COUNTIF(A:A,A2381)</f>
        <v>8</v>
      </c>
      <c r="I2381">
        <f t="array" ref="I2381">SUMIF(A:A,A2381,F:F)</f>
        <v>29892.99</v>
      </c>
      <c r="J2381">
        <f t="array" ref="J2381">5 - INT(5 * (RANK(G2381,G:G, 1) - 1) / COUNT(G:G))</f>
        <v>4</v>
      </c>
      <c r="K2381">
        <f t="array" ref="K2381">INT(5 * (RANK(H2381,H:H, 0) - 1) / COUNT(H:H)) + 1</f>
        <v>3</v>
      </c>
      <c r="L2381">
        <f t="array" ref="L2381">INT(5 * (RANK(I2381,I:I, 0) - 1) / COUNT(I:I)) + 1</f>
        <v>3</v>
      </c>
      <c r="M2381" t="str">
        <f t="shared" si="74"/>
        <v>433</v>
      </c>
      <c r="N2381" s="6" t="str">
        <f t="shared" si="75"/>
        <v>Others</v>
      </c>
    </row>
    <row r="2382" spans="1:14" x14ac:dyDescent="0.35">
      <c r="A2382">
        <v>1147</v>
      </c>
      <c r="B2382" s="4">
        <v>45988.375085336993</v>
      </c>
      <c r="C2382" t="s">
        <v>6</v>
      </c>
      <c r="D2382" t="s">
        <v>22</v>
      </c>
      <c r="E2382" t="s">
        <v>24</v>
      </c>
      <c r="F2382">
        <v>7297.33</v>
      </c>
      <c r="G2382">
        <f t="array" ref="G2382">SalesData!$I$2 - 'RFM Table'!B2382</f>
        <v>148</v>
      </c>
      <c r="H2382">
        <f t="array" ref="H2382">COUNTIF(A:A,A2382)</f>
        <v>9</v>
      </c>
      <c r="I2382">
        <f t="array" ref="I2382">SUMIF(A:A,A2382,F:F)</f>
        <v>31221.600000000002</v>
      </c>
      <c r="J2382">
        <f t="array" ref="J2382">5 - INT(5 * (RANK(G2382,G:G, 1) - 1) / COUNT(G:G))</f>
        <v>4</v>
      </c>
      <c r="K2382">
        <f t="array" ref="K2382">INT(5 * (RANK(H2382,H:H, 0) - 1) / COUNT(H:H)) + 1</f>
        <v>2</v>
      </c>
      <c r="L2382">
        <f t="array" ref="L2382">INT(5 * (RANK(I2382,I:I, 0) - 1) / COUNT(I:I)) + 1</f>
        <v>3</v>
      </c>
      <c r="M2382" t="str">
        <f t="shared" si="74"/>
        <v>423</v>
      </c>
      <c r="N2382" s="6" t="str">
        <f t="shared" si="75"/>
        <v>New Customers</v>
      </c>
    </row>
    <row r="2383" spans="1:14" x14ac:dyDescent="0.35">
      <c r="A2383">
        <v>1104</v>
      </c>
      <c r="B2383" s="4">
        <v>45988.375085336993</v>
      </c>
      <c r="C2383" t="s">
        <v>8</v>
      </c>
      <c r="D2383" t="s">
        <v>20</v>
      </c>
      <c r="E2383" t="s">
        <v>25</v>
      </c>
      <c r="F2383">
        <v>6055.86</v>
      </c>
      <c r="G2383">
        <f t="array" ref="G2383">SalesData!$I$2 - 'RFM Table'!B2383</f>
        <v>148</v>
      </c>
      <c r="H2383">
        <f t="array" ref="H2383">COUNTIF(A:A,A2383)</f>
        <v>6</v>
      </c>
      <c r="I2383">
        <f t="array" ref="I2383">SUMIF(A:A,A2383,F:F)</f>
        <v>19427.86</v>
      </c>
      <c r="J2383">
        <f t="array" ref="J2383">5 - INT(5 * (RANK(G2383,G:G, 1) - 1) / COUNT(G:G))</f>
        <v>4</v>
      </c>
      <c r="K2383">
        <f t="array" ref="K2383">INT(5 * (RANK(H2383,H:H, 0) - 1) / COUNT(H:H)) + 1</f>
        <v>4</v>
      </c>
      <c r="L2383">
        <f t="array" ref="L2383">INT(5 * (RANK(I2383,I:I, 0) - 1) / COUNT(I:I)) + 1</f>
        <v>5</v>
      </c>
      <c r="M2383" t="str">
        <f t="shared" si="74"/>
        <v>445</v>
      </c>
      <c r="N2383" s="6" t="str">
        <f t="shared" si="75"/>
        <v>Others</v>
      </c>
    </row>
    <row r="2384" spans="1:14" x14ac:dyDescent="0.35">
      <c r="A2384">
        <v>1222</v>
      </c>
      <c r="B2384" s="4">
        <v>45989.375085336993</v>
      </c>
      <c r="C2384" t="s">
        <v>14</v>
      </c>
      <c r="D2384" t="s">
        <v>21</v>
      </c>
      <c r="E2384" t="s">
        <v>23</v>
      </c>
      <c r="F2384">
        <v>1953.21</v>
      </c>
      <c r="G2384">
        <f t="array" ref="G2384">SalesData!$I$2 - 'RFM Table'!B2384</f>
        <v>147</v>
      </c>
      <c r="H2384">
        <f t="array" ref="H2384">COUNTIF(A:A,A2384)</f>
        <v>12</v>
      </c>
      <c r="I2384">
        <f t="array" ref="I2384">SUMIF(A:A,A2384,F:F)</f>
        <v>45191.609999999993</v>
      </c>
      <c r="J2384">
        <f t="array" ref="J2384">5 - INT(5 * (RANK(G2384,G:G, 1) - 1) / COUNT(G:G))</f>
        <v>4</v>
      </c>
      <c r="K2384">
        <f t="array" ref="K2384">INT(5 * (RANK(H2384,H:H, 0) - 1) / COUNT(H:H)) + 1</f>
        <v>1</v>
      </c>
      <c r="L2384">
        <f t="array" ref="L2384">INT(5 * (RANK(I2384,I:I, 0) - 1) / COUNT(I:I)) + 1</f>
        <v>1</v>
      </c>
      <c r="M2384" t="str">
        <f t="shared" si="74"/>
        <v>411</v>
      </c>
      <c r="N2384" s="6" t="str">
        <f t="shared" si="75"/>
        <v>New Customers</v>
      </c>
    </row>
    <row r="2385" spans="1:14" x14ac:dyDescent="0.35">
      <c r="A2385">
        <v>1221</v>
      </c>
      <c r="B2385" s="4">
        <v>45989.375085336993</v>
      </c>
      <c r="C2385" t="s">
        <v>14</v>
      </c>
      <c r="D2385" t="s">
        <v>20</v>
      </c>
      <c r="E2385" t="s">
        <v>24</v>
      </c>
      <c r="F2385">
        <v>2037.9</v>
      </c>
      <c r="G2385">
        <f t="array" ref="G2385">SalesData!$I$2 - 'RFM Table'!B2385</f>
        <v>147</v>
      </c>
      <c r="H2385">
        <f t="array" ref="H2385">COUNTIF(A:A,A2385)</f>
        <v>8</v>
      </c>
      <c r="I2385">
        <f t="array" ref="I2385">SUMIF(A:A,A2385,F:F)</f>
        <v>38894.44</v>
      </c>
      <c r="J2385">
        <f t="array" ref="J2385">5 - INT(5 * (RANK(G2385,G:G, 1) - 1) / COUNT(G:G))</f>
        <v>4</v>
      </c>
      <c r="K2385">
        <f t="array" ref="K2385">INT(5 * (RANK(H2385,H:H, 0) - 1) / COUNT(H:H)) + 1</f>
        <v>3</v>
      </c>
      <c r="L2385">
        <f t="array" ref="L2385">INT(5 * (RANK(I2385,I:I, 0) - 1) / COUNT(I:I)) + 1</f>
        <v>2</v>
      </c>
      <c r="M2385" t="str">
        <f t="shared" si="74"/>
        <v>432</v>
      </c>
      <c r="N2385" s="6" t="str">
        <f t="shared" si="75"/>
        <v>Others</v>
      </c>
    </row>
    <row r="2386" spans="1:14" x14ac:dyDescent="0.35">
      <c r="A2386">
        <v>1393</v>
      </c>
      <c r="B2386" s="4">
        <v>45989.375085336993</v>
      </c>
      <c r="C2386" t="s">
        <v>9</v>
      </c>
      <c r="D2386" t="s">
        <v>17</v>
      </c>
      <c r="E2386" t="s">
        <v>24</v>
      </c>
      <c r="F2386">
        <v>1795.99</v>
      </c>
      <c r="G2386">
        <f t="array" ref="G2386">SalesData!$I$2 - 'RFM Table'!B2386</f>
        <v>147</v>
      </c>
      <c r="H2386">
        <f t="array" ref="H2386">COUNTIF(A:A,A2386)</f>
        <v>7</v>
      </c>
      <c r="I2386">
        <f t="array" ref="I2386">SUMIF(A:A,A2386,F:F)</f>
        <v>28804.870000000003</v>
      </c>
      <c r="J2386">
        <f t="array" ref="J2386">5 - INT(5 * (RANK(G2386,G:G, 1) - 1) / COUNT(G:G))</f>
        <v>4</v>
      </c>
      <c r="K2386">
        <f t="array" ref="K2386">INT(5 * (RANK(H2386,H:H, 0) - 1) / COUNT(H:H)) + 1</f>
        <v>4</v>
      </c>
      <c r="L2386">
        <f t="array" ref="L2386">INT(5 * (RANK(I2386,I:I, 0) - 1) / COUNT(I:I)) + 1</f>
        <v>4</v>
      </c>
      <c r="M2386" t="str">
        <f t="shared" si="74"/>
        <v>444</v>
      </c>
      <c r="N2386" s="6" t="str">
        <f t="shared" si="75"/>
        <v>Others</v>
      </c>
    </row>
    <row r="2387" spans="1:14" x14ac:dyDescent="0.35">
      <c r="A2387">
        <v>1091</v>
      </c>
      <c r="B2387" s="4">
        <v>45989.375085336993</v>
      </c>
      <c r="C2387" t="s">
        <v>7</v>
      </c>
      <c r="D2387" t="s">
        <v>21</v>
      </c>
      <c r="E2387" t="s">
        <v>25</v>
      </c>
      <c r="F2387">
        <v>2561.06</v>
      </c>
      <c r="G2387">
        <f t="array" ref="G2387">SalesData!$I$2 - 'RFM Table'!B2387</f>
        <v>147</v>
      </c>
      <c r="H2387">
        <f t="array" ref="H2387">COUNTIF(A:A,A2387)</f>
        <v>11</v>
      </c>
      <c r="I2387">
        <f t="array" ref="I2387">SUMIF(A:A,A2387,F:F)</f>
        <v>39808.47</v>
      </c>
      <c r="J2387">
        <f t="array" ref="J2387">5 - INT(5 * (RANK(G2387,G:G, 1) - 1) / COUNT(G:G))</f>
        <v>4</v>
      </c>
      <c r="K2387">
        <f t="array" ref="K2387">INT(5 * (RANK(H2387,H:H, 0) - 1) / COUNT(H:H)) + 1</f>
        <v>1</v>
      </c>
      <c r="L2387">
        <f t="array" ref="L2387">INT(5 * (RANK(I2387,I:I, 0) - 1) / COUNT(I:I)) + 1</f>
        <v>2</v>
      </c>
      <c r="M2387" t="str">
        <f t="shared" si="74"/>
        <v>412</v>
      </c>
      <c r="N2387" s="6" t="str">
        <f t="shared" si="75"/>
        <v>New Customers</v>
      </c>
    </row>
    <row r="2388" spans="1:14" x14ac:dyDescent="0.35">
      <c r="A2388">
        <v>1310</v>
      </c>
      <c r="B2388" s="4">
        <v>45989.375085336993</v>
      </c>
      <c r="C2388" t="s">
        <v>11</v>
      </c>
      <c r="D2388" t="s">
        <v>19</v>
      </c>
      <c r="E2388" t="s">
        <v>25</v>
      </c>
      <c r="F2388">
        <v>12117.21</v>
      </c>
      <c r="G2388">
        <f t="array" ref="G2388">SalesData!$I$2 - 'RFM Table'!B2388</f>
        <v>147</v>
      </c>
      <c r="H2388">
        <f t="array" ref="H2388">COUNTIF(A:A,A2388)</f>
        <v>9</v>
      </c>
      <c r="I2388">
        <f t="array" ref="I2388">SUMIF(A:A,A2388,F:F)</f>
        <v>45883.96</v>
      </c>
      <c r="J2388">
        <f t="array" ref="J2388">5 - INT(5 * (RANK(G2388,G:G, 1) - 1) / COUNT(G:G))</f>
        <v>4</v>
      </c>
      <c r="K2388">
        <f t="array" ref="K2388">INT(5 * (RANK(H2388,H:H, 0) - 1) / COUNT(H:H)) + 1</f>
        <v>2</v>
      </c>
      <c r="L2388">
        <f t="array" ref="L2388">INT(5 * (RANK(I2388,I:I, 0) - 1) / COUNT(I:I)) + 1</f>
        <v>1</v>
      </c>
      <c r="M2388" t="str">
        <f t="shared" si="74"/>
        <v>421</v>
      </c>
      <c r="N2388" s="6" t="str">
        <f t="shared" si="75"/>
        <v>New Customers</v>
      </c>
    </row>
    <row r="2389" spans="1:14" x14ac:dyDescent="0.35">
      <c r="A2389">
        <v>1380</v>
      </c>
      <c r="B2389" s="4">
        <v>45990.375085336993</v>
      </c>
      <c r="C2389" t="s">
        <v>10</v>
      </c>
      <c r="D2389" t="s">
        <v>20</v>
      </c>
      <c r="E2389" t="s">
        <v>25</v>
      </c>
      <c r="F2389">
        <v>4707.45</v>
      </c>
      <c r="G2389">
        <f t="array" ref="G2389">SalesData!$I$2 - 'RFM Table'!B2389</f>
        <v>146</v>
      </c>
      <c r="H2389">
        <f t="array" ref="H2389">COUNTIF(A:A,A2389)</f>
        <v>9</v>
      </c>
      <c r="I2389">
        <f t="array" ref="I2389">SUMIF(A:A,A2389,F:F)</f>
        <v>40711.57</v>
      </c>
      <c r="J2389">
        <f t="array" ref="J2389">5 - INT(5 * (RANK(G2389,G:G, 1) - 1) / COUNT(G:G))</f>
        <v>4</v>
      </c>
      <c r="K2389">
        <f t="array" ref="K2389">INT(5 * (RANK(H2389,H:H, 0) - 1) / COUNT(H:H)) + 1</f>
        <v>2</v>
      </c>
      <c r="L2389">
        <f t="array" ref="L2389">INT(5 * (RANK(I2389,I:I, 0) - 1) / COUNT(I:I)) + 1</f>
        <v>2</v>
      </c>
      <c r="M2389" t="str">
        <f t="shared" si="74"/>
        <v>422</v>
      </c>
      <c r="N2389" s="6" t="str">
        <f t="shared" si="75"/>
        <v>New Customers</v>
      </c>
    </row>
    <row r="2390" spans="1:14" x14ac:dyDescent="0.35">
      <c r="A2390">
        <v>1198</v>
      </c>
      <c r="B2390" s="4">
        <v>45991.375085336993</v>
      </c>
      <c r="C2390" t="s">
        <v>6</v>
      </c>
      <c r="D2390" t="s">
        <v>16</v>
      </c>
      <c r="E2390" t="s">
        <v>23</v>
      </c>
      <c r="F2390">
        <v>8139.84</v>
      </c>
      <c r="G2390">
        <f t="array" ref="G2390">SalesData!$I$2 - 'RFM Table'!B2390</f>
        <v>145</v>
      </c>
      <c r="H2390">
        <f t="array" ref="H2390">COUNTIF(A:A,A2390)</f>
        <v>5</v>
      </c>
      <c r="I2390">
        <f t="array" ref="I2390">SUMIF(A:A,A2390,F:F)</f>
        <v>25162.19</v>
      </c>
      <c r="J2390">
        <f t="array" ref="J2390">5 - INT(5 * (RANK(G2390,G:G, 1) - 1) / COUNT(G:G))</f>
        <v>4</v>
      </c>
      <c r="K2390">
        <f t="array" ref="K2390">INT(5 * (RANK(H2390,H:H, 0) - 1) / COUNT(H:H)) + 1</f>
        <v>5</v>
      </c>
      <c r="L2390">
        <f t="array" ref="L2390">INT(5 * (RANK(I2390,I:I, 0) - 1) / COUNT(I:I)) + 1</f>
        <v>4</v>
      </c>
      <c r="M2390" t="str">
        <f t="shared" si="74"/>
        <v>454</v>
      </c>
      <c r="N2390" s="6" t="str">
        <f t="shared" si="75"/>
        <v>Others</v>
      </c>
    </row>
    <row r="2391" spans="1:14" x14ac:dyDescent="0.35">
      <c r="A2391">
        <v>1111</v>
      </c>
      <c r="B2391" s="4">
        <v>45991.375085336993</v>
      </c>
      <c r="C2391" t="s">
        <v>10</v>
      </c>
      <c r="D2391" t="s">
        <v>19</v>
      </c>
      <c r="E2391" t="s">
        <v>25</v>
      </c>
      <c r="F2391">
        <v>2488.37</v>
      </c>
      <c r="G2391">
        <f t="array" ref="G2391">SalesData!$I$2 - 'RFM Table'!B2391</f>
        <v>145</v>
      </c>
      <c r="H2391">
        <f t="array" ref="H2391">COUNTIF(A:A,A2391)</f>
        <v>7</v>
      </c>
      <c r="I2391">
        <f t="array" ref="I2391">SUMIF(A:A,A2391,F:F)</f>
        <v>17082.88</v>
      </c>
      <c r="J2391">
        <f t="array" ref="J2391">5 - INT(5 * (RANK(G2391,G:G, 1) - 1) / COUNT(G:G))</f>
        <v>4</v>
      </c>
      <c r="K2391">
        <f t="array" ref="K2391">INT(5 * (RANK(H2391,H:H, 0) - 1) / COUNT(H:H)) + 1</f>
        <v>4</v>
      </c>
      <c r="L2391">
        <f t="array" ref="L2391">INT(5 * (RANK(I2391,I:I, 0) - 1) / COUNT(I:I)) + 1</f>
        <v>5</v>
      </c>
      <c r="M2391" t="str">
        <f t="shared" si="74"/>
        <v>445</v>
      </c>
      <c r="N2391" s="6" t="str">
        <f t="shared" si="75"/>
        <v>Others</v>
      </c>
    </row>
    <row r="2392" spans="1:14" x14ac:dyDescent="0.35">
      <c r="A2392">
        <v>1112</v>
      </c>
      <c r="B2392" s="4">
        <v>45991.375085336993</v>
      </c>
      <c r="C2392" t="s">
        <v>6</v>
      </c>
      <c r="D2392" t="s">
        <v>18</v>
      </c>
      <c r="E2392" t="s">
        <v>24</v>
      </c>
      <c r="F2392">
        <v>2311.52</v>
      </c>
      <c r="G2392">
        <f t="array" ref="G2392">SalesData!$I$2 - 'RFM Table'!B2392</f>
        <v>145</v>
      </c>
      <c r="H2392">
        <f t="array" ref="H2392">COUNTIF(A:A,A2392)</f>
        <v>12</v>
      </c>
      <c r="I2392">
        <f t="array" ref="I2392">SUMIF(A:A,A2392,F:F)</f>
        <v>38950.210000000006</v>
      </c>
      <c r="J2392">
        <f t="array" ref="J2392">5 - INT(5 * (RANK(G2392,G:G, 1) - 1) / COUNT(G:G))</f>
        <v>4</v>
      </c>
      <c r="K2392">
        <f t="array" ref="K2392">INT(5 * (RANK(H2392,H:H, 0) - 1) / COUNT(H:H)) + 1</f>
        <v>1</v>
      </c>
      <c r="L2392">
        <f t="array" ref="L2392">INT(5 * (RANK(I2392,I:I, 0) - 1) / COUNT(I:I)) + 1</f>
        <v>2</v>
      </c>
      <c r="M2392" t="str">
        <f t="shared" si="74"/>
        <v>412</v>
      </c>
      <c r="N2392" s="6" t="str">
        <f t="shared" si="75"/>
        <v>New Customers</v>
      </c>
    </row>
    <row r="2393" spans="1:14" x14ac:dyDescent="0.35">
      <c r="A2393">
        <v>1126</v>
      </c>
      <c r="B2393" s="4">
        <v>45991.375085336993</v>
      </c>
      <c r="C2393" t="s">
        <v>9</v>
      </c>
      <c r="D2393" t="s">
        <v>22</v>
      </c>
      <c r="E2393" t="s">
        <v>23</v>
      </c>
      <c r="F2393">
        <v>1044.73</v>
      </c>
      <c r="G2393">
        <f t="array" ref="G2393">SalesData!$I$2 - 'RFM Table'!B2393</f>
        <v>145</v>
      </c>
      <c r="H2393">
        <f t="array" ref="H2393">COUNTIF(A:A,A2393)</f>
        <v>5</v>
      </c>
      <c r="I2393">
        <f t="array" ref="I2393">SUMIF(A:A,A2393,F:F)</f>
        <v>16350.6</v>
      </c>
      <c r="J2393">
        <f t="array" ref="J2393">5 - INT(5 * (RANK(G2393,G:G, 1) - 1) / COUNT(G:G))</f>
        <v>4</v>
      </c>
      <c r="K2393">
        <f t="array" ref="K2393">INT(5 * (RANK(H2393,H:H, 0) - 1) / COUNT(H:H)) + 1</f>
        <v>5</v>
      </c>
      <c r="L2393">
        <f t="array" ref="L2393">INT(5 * (RANK(I2393,I:I, 0) - 1) / COUNT(I:I)) + 1</f>
        <v>5</v>
      </c>
      <c r="M2393" t="str">
        <f t="shared" si="74"/>
        <v>455</v>
      </c>
      <c r="N2393" s="6" t="str">
        <f t="shared" si="75"/>
        <v>Others</v>
      </c>
    </row>
    <row r="2394" spans="1:14" x14ac:dyDescent="0.35">
      <c r="A2394">
        <v>1377</v>
      </c>
      <c r="B2394" s="4">
        <v>45991.375085336993</v>
      </c>
      <c r="C2394" t="s">
        <v>7</v>
      </c>
      <c r="D2394" t="s">
        <v>21</v>
      </c>
      <c r="E2394" t="s">
        <v>25</v>
      </c>
      <c r="F2394">
        <v>6922.06</v>
      </c>
      <c r="G2394">
        <f t="array" ref="G2394">SalesData!$I$2 - 'RFM Table'!B2394</f>
        <v>145</v>
      </c>
      <c r="H2394">
        <f t="array" ref="H2394">COUNTIF(A:A,A2394)</f>
        <v>6</v>
      </c>
      <c r="I2394">
        <f t="array" ref="I2394">SUMIF(A:A,A2394,F:F)</f>
        <v>39626.31</v>
      </c>
      <c r="J2394">
        <f t="array" ref="J2394">5 - INT(5 * (RANK(G2394,G:G, 1) - 1) / COUNT(G:G))</f>
        <v>4</v>
      </c>
      <c r="K2394">
        <f t="array" ref="K2394">INT(5 * (RANK(H2394,H:H, 0) - 1) / COUNT(H:H)) + 1</f>
        <v>4</v>
      </c>
      <c r="L2394">
        <f t="array" ref="L2394">INT(5 * (RANK(I2394,I:I, 0) - 1) / COUNT(I:I)) + 1</f>
        <v>2</v>
      </c>
      <c r="M2394" t="str">
        <f t="shared" si="74"/>
        <v>442</v>
      </c>
      <c r="N2394" s="6" t="str">
        <f t="shared" si="75"/>
        <v>Others</v>
      </c>
    </row>
    <row r="2395" spans="1:14" x14ac:dyDescent="0.35">
      <c r="A2395">
        <v>1218</v>
      </c>
      <c r="B2395" s="4">
        <v>45992.375085336993</v>
      </c>
      <c r="C2395" t="s">
        <v>6</v>
      </c>
      <c r="D2395" t="s">
        <v>22</v>
      </c>
      <c r="E2395" t="s">
        <v>25</v>
      </c>
      <c r="F2395">
        <v>5964.52</v>
      </c>
      <c r="G2395">
        <f t="array" ref="G2395">SalesData!$I$2 - 'RFM Table'!B2395</f>
        <v>144</v>
      </c>
      <c r="H2395">
        <f t="array" ref="H2395">COUNTIF(A:A,A2395)</f>
        <v>4</v>
      </c>
      <c r="I2395">
        <f t="array" ref="I2395">SUMIF(A:A,A2395,F:F)</f>
        <v>29501.85</v>
      </c>
      <c r="J2395">
        <f t="array" ref="J2395">5 - INT(5 * (RANK(G2395,G:G, 1) - 1) / COUNT(G:G))</f>
        <v>4</v>
      </c>
      <c r="K2395">
        <f t="array" ref="K2395">INT(5 * (RANK(H2395,H:H, 0) - 1) / COUNT(H:H)) + 1</f>
        <v>5</v>
      </c>
      <c r="L2395">
        <f t="array" ref="L2395">INT(5 * (RANK(I2395,I:I, 0) - 1) / COUNT(I:I)) + 1</f>
        <v>3</v>
      </c>
      <c r="M2395" t="str">
        <f t="shared" si="74"/>
        <v>453</v>
      </c>
      <c r="N2395" s="6" t="str">
        <f t="shared" si="75"/>
        <v>Others</v>
      </c>
    </row>
    <row r="2396" spans="1:14" x14ac:dyDescent="0.35">
      <c r="A2396">
        <v>1292</v>
      </c>
      <c r="B2396" s="4">
        <v>45992.375085336993</v>
      </c>
      <c r="C2396" t="s">
        <v>13</v>
      </c>
      <c r="D2396" t="s">
        <v>17</v>
      </c>
      <c r="E2396" t="s">
        <v>23</v>
      </c>
      <c r="F2396">
        <v>2287.06</v>
      </c>
      <c r="G2396">
        <f t="array" ref="G2396">SalesData!$I$2 - 'RFM Table'!B2396</f>
        <v>144</v>
      </c>
      <c r="H2396">
        <f t="array" ref="H2396">COUNTIF(A:A,A2396)</f>
        <v>15</v>
      </c>
      <c r="I2396">
        <f t="array" ref="I2396">SUMIF(A:A,A2396,F:F)</f>
        <v>49637.999999999993</v>
      </c>
      <c r="J2396">
        <f t="array" ref="J2396">5 - INT(5 * (RANK(G2396,G:G, 1) - 1) / COUNT(G:G))</f>
        <v>4</v>
      </c>
      <c r="K2396">
        <f t="array" ref="K2396">INT(5 * (RANK(H2396,H:H, 0) - 1) / COUNT(H:H)) + 1</f>
        <v>1</v>
      </c>
      <c r="L2396">
        <f t="array" ref="L2396">INT(5 * (RANK(I2396,I:I, 0) - 1) / COUNT(I:I)) + 1</f>
        <v>1</v>
      </c>
      <c r="M2396" t="str">
        <f t="shared" si="74"/>
        <v>411</v>
      </c>
      <c r="N2396" s="6" t="str">
        <f t="shared" si="75"/>
        <v>New Customers</v>
      </c>
    </row>
    <row r="2397" spans="1:14" x14ac:dyDescent="0.35">
      <c r="A2397">
        <v>1227</v>
      </c>
      <c r="B2397" s="4">
        <v>45992.375085336993</v>
      </c>
      <c r="C2397" t="s">
        <v>15</v>
      </c>
      <c r="D2397" t="s">
        <v>19</v>
      </c>
      <c r="E2397" t="s">
        <v>25</v>
      </c>
      <c r="F2397">
        <v>5510.1</v>
      </c>
      <c r="G2397">
        <f t="array" ref="G2397">SalesData!$I$2 - 'RFM Table'!B2397</f>
        <v>144</v>
      </c>
      <c r="H2397">
        <f t="array" ref="H2397">COUNTIF(A:A,A2397)</f>
        <v>7</v>
      </c>
      <c r="I2397">
        <f t="array" ref="I2397">SUMIF(A:A,A2397,F:F)</f>
        <v>39486.589999999997</v>
      </c>
      <c r="J2397">
        <f t="array" ref="J2397">5 - INT(5 * (RANK(G2397,G:G, 1) - 1) / COUNT(G:G))</f>
        <v>4</v>
      </c>
      <c r="K2397">
        <f t="array" ref="K2397">INT(5 * (RANK(H2397,H:H, 0) - 1) / COUNT(H:H)) + 1</f>
        <v>4</v>
      </c>
      <c r="L2397">
        <f t="array" ref="L2397">INT(5 * (RANK(I2397,I:I, 0) - 1) / COUNT(I:I)) + 1</f>
        <v>2</v>
      </c>
      <c r="M2397" t="str">
        <f t="shared" si="74"/>
        <v>442</v>
      </c>
      <c r="N2397" s="6" t="str">
        <f t="shared" si="75"/>
        <v>Others</v>
      </c>
    </row>
    <row r="2398" spans="1:14" x14ac:dyDescent="0.35">
      <c r="A2398">
        <v>1389</v>
      </c>
      <c r="B2398" s="4">
        <v>45993.375085336993</v>
      </c>
      <c r="C2398" t="s">
        <v>12</v>
      </c>
      <c r="D2398" t="s">
        <v>16</v>
      </c>
      <c r="E2398" t="s">
        <v>25</v>
      </c>
      <c r="F2398">
        <v>4033.51</v>
      </c>
      <c r="G2398">
        <f t="array" ref="G2398">SalesData!$I$2 - 'RFM Table'!B2398</f>
        <v>143</v>
      </c>
      <c r="H2398">
        <f t="array" ref="H2398">COUNTIF(A:A,A2398)</f>
        <v>8</v>
      </c>
      <c r="I2398">
        <f t="array" ref="I2398">SUMIF(A:A,A2398,F:F)</f>
        <v>35723.81</v>
      </c>
      <c r="J2398">
        <f t="array" ref="J2398">5 - INT(5 * (RANK(G2398,G:G, 1) - 1) / COUNT(G:G))</f>
        <v>5</v>
      </c>
      <c r="K2398">
        <f t="array" ref="K2398">INT(5 * (RANK(H2398,H:H, 0) - 1) / COUNT(H:H)) + 1</f>
        <v>3</v>
      </c>
      <c r="L2398">
        <f t="array" ref="L2398">INT(5 * (RANK(I2398,I:I, 0) - 1) / COUNT(I:I)) + 1</f>
        <v>3</v>
      </c>
      <c r="M2398" t="str">
        <f t="shared" si="74"/>
        <v>533</v>
      </c>
      <c r="N2398" s="6" t="str">
        <f t="shared" si="75"/>
        <v>Others</v>
      </c>
    </row>
    <row r="2399" spans="1:14" x14ac:dyDescent="0.35">
      <c r="A2399">
        <v>1263</v>
      </c>
      <c r="B2399" s="4">
        <v>45993.375085336993</v>
      </c>
      <c r="C2399" t="s">
        <v>10</v>
      </c>
      <c r="D2399" t="s">
        <v>20</v>
      </c>
      <c r="E2399" t="s">
        <v>25</v>
      </c>
      <c r="F2399">
        <v>6208.61</v>
      </c>
      <c r="G2399">
        <f t="array" ref="G2399">SalesData!$I$2 - 'RFM Table'!B2399</f>
        <v>143</v>
      </c>
      <c r="H2399">
        <f t="array" ref="H2399">COUNTIF(A:A,A2399)</f>
        <v>15</v>
      </c>
      <c r="I2399">
        <f t="array" ref="I2399">SUMIF(A:A,A2399,F:F)</f>
        <v>55867.080000000016</v>
      </c>
      <c r="J2399">
        <f t="array" ref="J2399">5 - INT(5 * (RANK(G2399,G:G, 1) - 1) / COUNT(G:G))</f>
        <v>5</v>
      </c>
      <c r="K2399">
        <f t="array" ref="K2399">INT(5 * (RANK(H2399,H:H, 0) - 1) / COUNT(H:H)) + 1</f>
        <v>1</v>
      </c>
      <c r="L2399">
        <f t="array" ref="L2399">INT(5 * (RANK(I2399,I:I, 0) - 1) / COUNT(I:I)) + 1</f>
        <v>1</v>
      </c>
      <c r="M2399" t="str">
        <f t="shared" si="74"/>
        <v>511</v>
      </c>
      <c r="N2399" s="6" t="str">
        <f t="shared" si="75"/>
        <v>New Customers</v>
      </c>
    </row>
    <row r="2400" spans="1:14" x14ac:dyDescent="0.35">
      <c r="A2400">
        <v>1144</v>
      </c>
      <c r="B2400" s="4">
        <v>45993.375085336993</v>
      </c>
      <c r="C2400" t="s">
        <v>7</v>
      </c>
      <c r="D2400" t="s">
        <v>18</v>
      </c>
      <c r="E2400" t="s">
        <v>23</v>
      </c>
      <c r="F2400">
        <v>2177.84</v>
      </c>
      <c r="G2400">
        <f t="array" ref="G2400">SalesData!$I$2 - 'RFM Table'!B2400</f>
        <v>143</v>
      </c>
      <c r="H2400">
        <f t="array" ref="H2400">COUNTIF(A:A,A2400)</f>
        <v>11</v>
      </c>
      <c r="I2400">
        <f t="array" ref="I2400">SUMIF(A:A,A2400,F:F)</f>
        <v>62038.55</v>
      </c>
      <c r="J2400">
        <f t="array" ref="J2400">5 - INT(5 * (RANK(G2400,G:G, 1) - 1) / COUNT(G:G))</f>
        <v>5</v>
      </c>
      <c r="K2400">
        <f t="array" ref="K2400">INT(5 * (RANK(H2400,H:H, 0) - 1) / COUNT(H:H)) + 1</f>
        <v>1</v>
      </c>
      <c r="L2400">
        <f t="array" ref="L2400">INT(5 * (RANK(I2400,I:I, 0) - 1) / COUNT(I:I)) + 1</f>
        <v>1</v>
      </c>
      <c r="M2400" t="str">
        <f t="shared" si="74"/>
        <v>511</v>
      </c>
      <c r="N2400" s="6" t="str">
        <f t="shared" si="75"/>
        <v>New Customers</v>
      </c>
    </row>
    <row r="2401" spans="1:14" x14ac:dyDescent="0.35">
      <c r="A2401">
        <v>1360</v>
      </c>
      <c r="B2401" s="4">
        <v>45993.375085336993</v>
      </c>
      <c r="C2401" t="s">
        <v>15</v>
      </c>
      <c r="D2401" t="s">
        <v>18</v>
      </c>
      <c r="E2401" t="s">
        <v>25</v>
      </c>
      <c r="F2401">
        <v>3370.45</v>
      </c>
      <c r="G2401">
        <f t="array" ref="G2401">SalesData!$I$2 - 'RFM Table'!B2401</f>
        <v>143</v>
      </c>
      <c r="H2401">
        <f t="array" ref="H2401">COUNTIF(A:A,A2401)</f>
        <v>8</v>
      </c>
      <c r="I2401">
        <f t="array" ref="I2401">SUMIF(A:A,A2401,F:F)</f>
        <v>31675.43</v>
      </c>
      <c r="J2401">
        <f t="array" ref="J2401">5 - INT(5 * (RANK(G2401,G:G, 1) - 1) / COUNT(G:G))</f>
        <v>5</v>
      </c>
      <c r="K2401">
        <f t="array" ref="K2401">INT(5 * (RANK(H2401,H:H, 0) - 1) / COUNT(H:H)) + 1</f>
        <v>3</v>
      </c>
      <c r="L2401">
        <f t="array" ref="L2401">INT(5 * (RANK(I2401,I:I, 0) - 1) / COUNT(I:I)) + 1</f>
        <v>3</v>
      </c>
      <c r="M2401" t="str">
        <f t="shared" si="74"/>
        <v>533</v>
      </c>
      <c r="N2401" s="6" t="str">
        <f t="shared" si="75"/>
        <v>Others</v>
      </c>
    </row>
    <row r="2402" spans="1:14" x14ac:dyDescent="0.35">
      <c r="A2402">
        <v>1133</v>
      </c>
      <c r="B2402" s="4">
        <v>45993.375085336993</v>
      </c>
      <c r="C2402" t="s">
        <v>8</v>
      </c>
      <c r="D2402" t="s">
        <v>20</v>
      </c>
      <c r="E2402" t="s">
        <v>25</v>
      </c>
      <c r="F2402">
        <v>5316.53</v>
      </c>
      <c r="G2402">
        <f t="array" ref="G2402">SalesData!$I$2 - 'RFM Table'!B2402</f>
        <v>143</v>
      </c>
      <c r="H2402">
        <f t="array" ref="H2402">COUNTIF(A:A,A2402)</f>
        <v>8</v>
      </c>
      <c r="I2402">
        <f t="array" ref="I2402">SUMIF(A:A,A2402,F:F)</f>
        <v>34167.589999999997</v>
      </c>
      <c r="J2402">
        <f t="array" ref="J2402">5 - INT(5 * (RANK(G2402,G:G, 1) - 1) / COUNT(G:G))</f>
        <v>5</v>
      </c>
      <c r="K2402">
        <f t="array" ref="K2402">INT(5 * (RANK(H2402,H:H, 0) - 1) / COUNT(H:H)) + 1</f>
        <v>3</v>
      </c>
      <c r="L2402">
        <f t="array" ref="L2402">INT(5 * (RANK(I2402,I:I, 0) - 1) / COUNT(I:I)) + 1</f>
        <v>3</v>
      </c>
      <c r="M2402" t="str">
        <f t="shared" si="74"/>
        <v>533</v>
      </c>
      <c r="N2402" s="6" t="str">
        <f t="shared" si="75"/>
        <v>Others</v>
      </c>
    </row>
    <row r="2403" spans="1:14" x14ac:dyDescent="0.35">
      <c r="A2403">
        <v>1130</v>
      </c>
      <c r="B2403" s="4">
        <v>45993.375085336993</v>
      </c>
      <c r="C2403" t="s">
        <v>7</v>
      </c>
      <c r="D2403" t="s">
        <v>16</v>
      </c>
      <c r="E2403" t="s">
        <v>24</v>
      </c>
      <c r="F2403">
        <v>2750.75</v>
      </c>
      <c r="G2403">
        <f t="array" ref="G2403">SalesData!$I$2 - 'RFM Table'!B2403</f>
        <v>143</v>
      </c>
      <c r="H2403">
        <f t="array" ref="H2403">COUNTIF(A:A,A2403)</f>
        <v>9</v>
      </c>
      <c r="I2403">
        <f t="array" ref="I2403">SUMIF(A:A,A2403,F:F)</f>
        <v>36963.729999999996</v>
      </c>
      <c r="J2403">
        <f t="array" ref="J2403">5 - INT(5 * (RANK(G2403,G:G, 1) - 1) / COUNT(G:G))</f>
        <v>5</v>
      </c>
      <c r="K2403">
        <f t="array" ref="K2403">INT(5 * (RANK(H2403,H:H, 0) - 1) / COUNT(H:H)) + 1</f>
        <v>2</v>
      </c>
      <c r="L2403">
        <f t="array" ref="L2403">INT(5 * (RANK(I2403,I:I, 0) - 1) / COUNT(I:I)) + 1</f>
        <v>2</v>
      </c>
      <c r="M2403" t="str">
        <f t="shared" si="74"/>
        <v>522</v>
      </c>
      <c r="N2403" s="6" t="str">
        <f t="shared" si="75"/>
        <v>New Customers</v>
      </c>
    </row>
    <row r="2404" spans="1:14" x14ac:dyDescent="0.35">
      <c r="A2404">
        <v>1392</v>
      </c>
      <c r="B2404" s="4">
        <v>45994.375085336993</v>
      </c>
      <c r="C2404" t="s">
        <v>15</v>
      </c>
      <c r="D2404" t="s">
        <v>20</v>
      </c>
      <c r="E2404" t="s">
        <v>24</v>
      </c>
      <c r="F2404">
        <v>4905.83</v>
      </c>
      <c r="G2404">
        <f t="array" ref="G2404">SalesData!$I$2 - 'RFM Table'!B2404</f>
        <v>142</v>
      </c>
      <c r="H2404">
        <f t="array" ref="H2404">COUNTIF(A:A,A2404)</f>
        <v>10</v>
      </c>
      <c r="I2404">
        <f t="array" ref="I2404">SUMIF(A:A,A2404,F:F)</f>
        <v>27910.07</v>
      </c>
      <c r="J2404">
        <f t="array" ref="J2404">5 - INT(5 * (RANK(G2404,G:G, 1) - 1) / COUNT(G:G))</f>
        <v>5</v>
      </c>
      <c r="K2404">
        <f t="array" ref="K2404">INT(5 * (RANK(H2404,H:H, 0) - 1) / COUNT(H:H)) + 1</f>
        <v>2</v>
      </c>
      <c r="L2404">
        <f t="array" ref="L2404">INT(5 * (RANK(I2404,I:I, 0) - 1) / COUNT(I:I)) + 1</f>
        <v>4</v>
      </c>
      <c r="M2404" t="str">
        <f t="shared" si="74"/>
        <v>524</v>
      </c>
      <c r="N2404" s="6" t="str">
        <f t="shared" si="75"/>
        <v>New Customers</v>
      </c>
    </row>
    <row r="2405" spans="1:14" x14ac:dyDescent="0.35">
      <c r="A2405">
        <v>1217</v>
      </c>
      <c r="B2405" s="4">
        <v>45994.375085336993</v>
      </c>
      <c r="C2405" t="s">
        <v>11</v>
      </c>
      <c r="D2405" t="s">
        <v>21</v>
      </c>
      <c r="E2405" t="s">
        <v>25</v>
      </c>
      <c r="F2405">
        <v>4877.6000000000004</v>
      </c>
      <c r="G2405">
        <f t="array" ref="G2405">SalesData!$I$2 - 'RFM Table'!B2405</f>
        <v>142</v>
      </c>
      <c r="H2405">
        <f t="array" ref="H2405">COUNTIF(A:A,A2405)</f>
        <v>9</v>
      </c>
      <c r="I2405">
        <f t="array" ref="I2405">SUMIF(A:A,A2405,F:F)</f>
        <v>33349.999999999993</v>
      </c>
      <c r="J2405">
        <f t="array" ref="J2405">5 - INT(5 * (RANK(G2405,G:G, 1) - 1) / COUNT(G:G))</f>
        <v>5</v>
      </c>
      <c r="K2405">
        <f t="array" ref="K2405">INT(5 * (RANK(H2405,H:H, 0) - 1) / COUNT(H:H)) + 1</f>
        <v>2</v>
      </c>
      <c r="L2405">
        <f t="array" ref="L2405">INT(5 * (RANK(I2405,I:I, 0) - 1) / COUNT(I:I)) + 1</f>
        <v>3</v>
      </c>
      <c r="M2405" t="str">
        <f t="shared" si="74"/>
        <v>523</v>
      </c>
      <c r="N2405" s="6" t="str">
        <f t="shared" si="75"/>
        <v>New Customers</v>
      </c>
    </row>
    <row r="2406" spans="1:14" x14ac:dyDescent="0.35">
      <c r="A2406">
        <v>1325</v>
      </c>
      <c r="B2406" s="4">
        <v>45994.375085336993</v>
      </c>
      <c r="C2406" t="s">
        <v>15</v>
      </c>
      <c r="D2406" t="s">
        <v>20</v>
      </c>
      <c r="E2406" t="s">
        <v>25</v>
      </c>
      <c r="F2406">
        <v>13362.13</v>
      </c>
      <c r="G2406">
        <f t="array" ref="G2406">SalesData!$I$2 - 'RFM Table'!B2406</f>
        <v>142</v>
      </c>
      <c r="H2406">
        <f t="array" ref="H2406">COUNTIF(A:A,A2406)</f>
        <v>9</v>
      </c>
      <c r="I2406">
        <f t="array" ref="I2406">SUMIF(A:A,A2406,F:F)</f>
        <v>38753.799999999988</v>
      </c>
      <c r="J2406">
        <f t="array" ref="J2406">5 - INT(5 * (RANK(G2406,G:G, 1) - 1) / COUNT(G:G))</f>
        <v>5</v>
      </c>
      <c r="K2406">
        <f t="array" ref="K2406">INT(5 * (RANK(H2406,H:H, 0) - 1) / COUNT(H:H)) + 1</f>
        <v>2</v>
      </c>
      <c r="L2406">
        <f t="array" ref="L2406">INT(5 * (RANK(I2406,I:I, 0) - 1) / COUNT(I:I)) + 1</f>
        <v>2</v>
      </c>
      <c r="M2406" t="str">
        <f t="shared" si="74"/>
        <v>522</v>
      </c>
      <c r="N2406" s="6" t="str">
        <f t="shared" si="75"/>
        <v>New Customers</v>
      </c>
    </row>
    <row r="2407" spans="1:14" x14ac:dyDescent="0.35">
      <c r="A2407">
        <v>1079</v>
      </c>
      <c r="B2407" s="4">
        <v>45995.375085336993</v>
      </c>
      <c r="C2407" t="s">
        <v>14</v>
      </c>
      <c r="D2407" t="s">
        <v>17</v>
      </c>
      <c r="E2407" t="s">
        <v>23</v>
      </c>
      <c r="F2407">
        <v>1143.9000000000001</v>
      </c>
      <c r="G2407">
        <f t="array" ref="G2407">SalesData!$I$2 - 'RFM Table'!B2407</f>
        <v>141</v>
      </c>
      <c r="H2407">
        <f t="array" ref="H2407">COUNTIF(A:A,A2407)</f>
        <v>5</v>
      </c>
      <c r="I2407">
        <f t="array" ref="I2407">SUMIF(A:A,A2407,F:F)</f>
        <v>20723.400000000001</v>
      </c>
      <c r="J2407">
        <f t="array" ref="J2407">5 - INT(5 * (RANK(G2407,G:G, 1) - 1) / COUNT(G:G))</f>
        <v>5</v>
      </c>
      <c r="K2407">
        <f t="array" ref="K2407">INT(5 * (RANK(H2407,H:H, 0) - 1) / COUNT(H:H)) + 1</f>
        <v>5</v>
      </c>
      <c r="L2407">
        <f t="array" ref="L2407">INT(5 * (RANK(I2407,I:I, 0) - 1) / COUNT(I:I)) + 1</f>
        <v>5</v>
      </c>
      <c r="M2407" t="str">
        <f t="shared" si="74"/>
        <v>555</v>
      </c>
      <c r="N2407" s="6" t="str">
        <f t="shared" si="75"/>
        <v>Others</v>
      </c>
    </row>
    <row r="2408" spans="1:14" x14ac:dyDescent="0.35">
      <c r="A2408">
        <v>1110</v>
      </c>
      <c r="B2408" s="4">
        <v>45995.375085336993</v>
      </c>
      <c r="C2408" t="s">
        <v>6</v>
      </c>
      <c r="D2408" t="s">
        <v>19</v>
      </c>
      <c r="E2408" t="s">
        <v>25</v>
      </c>
      <c r="F2408">
        <v>3464.07</v>
      </c>
      <c r="G2408">
        <f t="array" ref="G2408">SalesData!$I$2 - 'RFM Table'!B2408</f>
        <v>141</v>
      </c>
      <c r="H2408">
        <f t="array" ref="H2408">COUNTIF(A:A,A2408)</f>
        <v>13</v>
      </c>
      <c r="I2408">
        <f t="array" ref="I2408">SUMIF(A:A,A2408,F:F)</f>
        <v>72511.88</v>
      </c>
      <c r="J2408">
        <f t="array" ref="J2408">5 - INT(5 * (RANK(G2408,G:G, 1) - 1) / COUNT(G:G))</f>
        <v>5</v>
      </c>
      <c r="K2408">
        <f t="array" ref="K2408">INT(5 * (RANK(H2408,H:H, 0) - 1) / COUNT(H:H)) + 1</f>
        <v>1</v>
      </c>
      <c r="L2408">
        <f t="array" ref="L2408">INT(5 * (RANK(I2408,I:I, 0) - 1) / COUNT(I:I)) + 1</f>
        <v>1</v>
      </c>
      <c r="M2408" t="str">
        <f t="shared" si="74"/>
        <v>511</v>
      </c>
      <c r="N2408" s="6" t="str">
        <f t="shared" si="75"/>
        <v>New Customers</v>
      </c>
    </row>
    <row r="2409" spans="1:14" x14ac:dyDescent="0.35">
      <c r="A2409">
        <v>1130</v>
      </c>
      <c r="B2409" s="4">
        <v>45996.375085336993</v>
      </c>
      <c r="C2409" t="s">
        <v>12</v>
      </c>
      <c r="D2409" t="s">
        <v>21</v>
      </c>
      <c r="E2409" t="s">
        <v>23</v>
      </c>
      <c r="F2409">
        <v>4497.62</v>
      </c>
      <c r="G2409">
        <f t="array" ref="G2409">SalesData!$I$2 - 'RFM Table'!B2409</f>
        <v>140</v>
      </c>
      <c r="H2409">
        <f t="array" ref="H2409">COUNTIF(A:A,A2409)</f>
        <v>9</v>
      </c>
      <c r="I2409">
        <f t="array" ref="I2409">SUMIF(A:A,A2409,F:F)</f>
        <v>36963.729999999996</v>
      </c>
      <c r="J2409">
        <f t="array" ref="J2409">5 - INT(5 * (RANK(G2409,G:G, 1) - 1) / COUNT(G:G))</f>
        <v>5</v>
      </c>
      <c r="K2409">
        <f t="array" ref="K2409">INT(5 * (RANK(H2409,H:H, 0) - 1) / COUNT(H:H)) + 1</f>
        <v>2</v>
      </c>
      <c r="L2409">
        <f t="array" ref="L2409">INT(5 * (RANK(I2409,I:I, 0) - 1) / COUNT(I:I)) + 1</f>
        <v>2</v>
      </c>
      <c r="M2409" t="str">
        <f t="shared" si="74"/>
        <v>522</v>
      </c>
      <c r="N2409" s="6" t="str">
        <f t="shared" si="75"/>
        <v>New Customers</v>
      </c>
    </row>
    <row r="2410" spans="1:14" x14ac:dyDescent="0.35">
      <c r="A2410">
        <v>1391</v>
      </c>
      <c r="B2410" s="4">
        <v>45996.375085336993</v>
      </c>
      <c r="C2410" t="s">
        <v>8</v>
      </c>
      <c r="D2410" t="s">
        <v>16</v>
      </c>
      <c r="E2410" t="s">
        <v>25</v>
      </c>
      <c r="F2410">
        <v>1132.6500000000001</v>
      </c>
      <c r="G2410">
        <f t="array" ref="G2410">SalesData!$I$2 - 'RFM Table'!B2410</f>
        <v>140</v>
      </c>
      <c r="H2410">
        <f t="array" ref="H2410">COUNTIF(A:A,A2410)</f>
        <v>7</v>
      </c>
      <c r="I2410">
        <f t="array" ref="I2410">SUMIF(A:A,A2410,F:F)</f>
        <v>21209.440000000002</v>
      </c>
      <c r="J2410">
        <f t="array" ref="J2410">5 - INT(5 * (RANK(G2410,G:G, 1) - 1) / COUNT(G:G))</f>
        <v>5</v>
      </c>
      <c r="K2410">
        <f t="array" ref="K2410">INT(5 * (RANK(H2410,H:H, 0) - 1) / COUNT(H:H)) + 1</f>
        <v>4</v>
      </c>
      <c r="L2410">
        <f t="array" ref="L2410">INT(5 * (RANK(I2410,I:I, 0) - 1) / COUNT(I:I)) + 1</f>
        <v>5</v>
      </c>
      <c r="M2410" t="str">
        <f t="shared" si="74"/>
        <v>545</v>
      </c>
      <c r="N2410" s="6" t="str">
        <f t="shared" si="75"/>
        <v>Others</v>
      </c>
    </row>
    <row r="2411" spans="1:14" x14ac:dyDescent="0.35">
      <c r="A2411">
        <v>1000</v>
      </c>
      <c r="B2411" s="4">
        <v>45996.375085336993</v>
      </c>
      <c r="C2411" t="s">
        <v>9</v>
      </c>
      <c r="D2411" t="s">
        <v>18</v>
      </c>
      <c r="E2411" t="s">
        <v>25</v>
      </c>
      <c r="F2411">
        <v>4001.39</v>
      </c>
      <c r="G2411">
        <f t="array" ref="G2411">SalesData!$I$2 - 'RFM Table'!B2411</f>
        <v>140</v>
      </c>
      <c r="H2411">
        <f t="array" ref="H2411">COUNTIF(A:A,A2411)</f>
        <v>11</v>
      </c>
      <c r="I2411">
        <f t="array" ref="I2411">SUMIF(A:A,A2411,F:F)</f>
        <v>62566.770000000004</v>
      </c>
      <c r="J2411">
        <f t="array" ref="J2411">5 - INT(5 * (RANK(G2411,G:G, 1) - 1) / COUNT(G:G))</f>
        <v>5</v>
      </c>
      <c r="K2411">
        <f t="array" ref="K2411">INT(5 * (RANK(H2411,H:H, 0) - 1) / COUNT(H:H)) + 1</f>
        <v>1</v>
      </c>
      <c r="L2411">
        <f t="array" ref="L2411">INT(5 * (RANK(I2411,I:I, 0) - 1) / COUNT(I:I)) + 1</f>
        <v>1</v>
      </c>
      <c r="M2411" t="str">
        <f t="shared" si="74"/>
        <v>511</v>
      </c>
      <c r="N2411" s="6" t="str">
        <f t="shared" si="75"/>
        <v>New Customers</v>
      </c>
    </row>
    <row r="2412" spans="1:14" x14ac:dyDescent="0.35">
      <c r="A2412">
        <v>1148</v>
      </c>
      <c r="B2412" s="4">
        <v>45996.375085336993</v>
      </c>
      <c r="C2412" t="s">
        <v>10</v>
      </c>
      <c r="D2412" t="s">
        <v>18</v>
      </c>
      <c r="E2412" t="s">
        <v>24</v>
      </c>
      <c r="F2412">
        <v>1028</v>
      </c>
      <c r="G2412">
        <f t="array" ref="G2412">SalesData!$I$2 - 'RFM Table'!B2412</f>
        <v>140</v>
      </c>
      <c r="H2412">
        <f t="array" ref="H2412">COUNTIF(A:A,A2412)</f>
        <v>12</v>
      </c>
      <c r="I2412">
        <f t="array" ref="I2412">SUMIF(A:A,A2412,F:F)</f>
        <v>83986.299999999988</v>
      </c>
      <c r="J2412">
        <f t="array" ref="J2412">5 - INT(5 * (RANK(G2412,G:G, 1) - 1) / COUNT(G:G))</f>
        <v>5</v>
      </c>
      <c r="K2412">
        <f t="array" ref="K2412">INT(5 * (RANK(H2412,H:H, 0) - 1) / COUNT(H:H)) + 1</f>
        <v>1</v>
      </c>
      <c r="L2412">
        <f t="array" ref="L2412">INT(5 * (RANK(I2412,I:I, 0) - 1) / COUNT(I:I)) + 1</f>
        <v>1</v>
      </c>
      <c r="M2412" t="str">
        <f t="shared" si="74"/>
        <v>511</v>
      </c>
      <c r="N2412" s="6" t="str">
        <f t="shared" si="75"/>
        <v>New Customers</v>
      </c>
    </row>
    <row r="2413" spans="1:14" x14ac:dyDescent="0.35">
      <c r="A2413">
        <v>1121</v>
      </c>
      <c r="B2413" s="4">
        <v>45997.375085336993</v>
      </c>
      <c r="C2413" t="s">
        <v>10</v>
      </c>
      <c r="D2413" t="s">
        <v>20</v>
      </c>
      <c r="E2413" t="s">
        <v>25</v>
      </c>
      <c r="F2413">
        <v>654.15</v>
      </c>
      <c r="G2413">
        <f t="array" ref="G2413">SalesData!$I$2 - 'RFM Table'!B2413</f>
        <v>139</v>
      </c>
      <c r="H2413">
        <f t="array" ref="H2413">COUNTIF(A:A,A2413)</f>
        <v>10</v>
      </c>
      <c r="I2413">
        <f t="array" ref="I2413">SUMIF(A:A,A2413,F:F)</f>
        <v>28216.130000000005</v>
      </c>
      <c r="J2413">
        <f t="array" ref="J2413">5 - INT(5 * (RANK(G2413,G:G, 1) - 1) / COUNT(G:G))</f>
        <v>5</v>
      </c>
      <c r="K2413">
        <f t="array" ref="K2413">INT(5 * (RANK(H2413,H:H, 0) - 1) / COUNT(H:H)) + 1</f>
        <v>2</v>
      </c>
      <c r="L2413">
        <f t="array" ref="L2413">INT(5 * (RANK(I2413,I:I, 0) - 1) / COUNT(I:I)) + 1</f>
        <v>4</v>
      </c>
      <c r="M2413" t="str">
        <f t="shared" si="74"/>
        <v>524</v>
      </c>
      <c r="N2413" s="6" t="str">
        <f t="shared" si="75"/>
        <v>New Customers</v>
      </c>
    </row>
    <row r="2414" spans="1:14" x14ac:dyDescent="0.35">
      <c r="A2414">
        <v>1140</v>
      </c>
      <c r="B2414" s="4">
        <v>45998.375085336993</v>
      </c>
      <c r="C2414" t="s">
        <v>6</v>
      </c>
      <c r="D2414" t="s">
        <v>17</v>
      </c>
      <c r="E2414" t="s">
        <v>24</v>
      </c>
      <c r="F2414">
        <v>3786.33</v>
      </c>
      <c r="G2414">
        <f t="array" ref="G2414">SalesData!$I$2 - 'RFM Table'!B2414</f>
        <v>138</v>
      </c>
      <c r="H2414">
        <f t="array" ref="H2414">COUNTIF(A:A,A2414)</f>
        <v>9</v>
      </c>
      <c r="I2414">
        <f t="array" ref="I2414">SUMIF(A:A,A2414,F:F)</f>
        <v>45498.270000000004</v>
      </c>
      <c r="J2414">
        <f t="array" ref="J2414">5 - INT(5 * (RANK(G2414,G:G, 1) - 1) / COUNT(G:G))</f>
        <v>5</v>
      </c>
      <c r="K2414">
        <f t="array" ref="K2414">INT(5 * (RANK(H2414,H:H, 0) - 1) / COUNT(H:H)) + 1</f>
        <v>2</v>
      </c>
      <c r="L2414">
        <f t="array" ref="L2414">INT(5 * (RANK(I2414,I:I, 0) - 1) / COUNT(I:I)) + 1</f>
        <v>1</v>
      </c>
      <c r="M2414" t="str">
        <f t="shared" si="74"/>
        <v>521</v>
      </c>
      <c r="N2414" s="6" t="str">
        <f t="shared" si="75"/>
        <v>New Customers</v>
      </c>
    </row>
    <row r="2415" spans="1:14" x14ac:dyDescent="0.35">
      <c r="A2415">
        <v>1345</v>
      </c>
      <c r="B2415" s="4">
        <v>45998.375085336993</v>
      </c>
      <c r="C2415" t="s">
        <v>9</v>
      </c>
      <c r="D2415" t="s">
        <v>22</v>
      </c>
      <c r="E2415" t="s">
        <v>24</v>
      </c>
      <c r="F2415">
        <v>7080.56</v>
      </c>
      <c r="G2415">
        <f t="array" ref="G2415">SalesData!$I$2 - 'RFM Table'!B2415</f>
        <v>138</v>
      </c>
      <c r="H2415">
        <f t="array" ref="H2415">COUNTIF(A:A,A2415)</f>
        <v>9</v>
      </c>
      <c r="I2415">
        <f t="array" ref="I2415">SUMIF(A:A,A2415,F:F)</f>
        <v>35330.950000000004</v>
      </c>
      <c r="J2415">
        <f t="array" ref="J2415">5 - INT(5 * (RANK(G2415,G:G, 1) - 1) / COUNT(G:G))</f>
        <v>5</v>
      </c>
      <c r="K2415">
        <f t="array" ref="K2415">INT(5 * (RANK(H2415,H:H, 0) - 1) / COUNT(H:H)) + 1</f>
        <v>2</v>
      </c>
      <c r="L2415">
        <f t="array" ref="L2415">INT(5 * (RANK(I2415,I:I, 0) - 1) / COUNT(I:I)) + 1</f>
        <v>3</v>
      </c>
      <c r="M2415" t="str">
        <f t="shared" si="74"/>
        <v>523</v>
      </c>
      <c r="N2415" s="6" t="str">
        <f t="shared" si="75"/>
        <v>New Customers</v>
      </c>
    </row>
    <row r="2416" spans="1:14" x14ac:dyDescent="0.35">
      <c r="A2416">
        <v>1040</v>
      </c>
      <c r="B2416" s="4">
        <v>45998.375085336993</v>
      </c>
      <c r="C2416" t="s">
        <v>8</v>
      </c>
      <c r="D2416" t="s">
        <v>20</v>
      </c>
      <c r="E2416" t="s">
        <v>25</v>
      </c>
      <c r="F2416">
        <v>2546.4299999999998</v>
      </c>
      <c r="G2416">
        <f t="array" ref="G2416">SalesData!$I$2 - 'RFM Table'!B2416</f>
        <v>138</v>
      </c>
      <c r="H2416">
        <f t="array" ref="H2416">COUNTIF(A:A,A2416)</f>
        <v>7</v>
      </c>
      <c r="I2416">
        <f t="array" ref="I2416">SUMIF(A:A,A2416,F:F)</f>
        <v>32869.479999999996</v>
      </c>
      <c r="J2416">
        <f t="array" ref="J2416">5 - INT(5 * (RANK(G2416,G:G, 1) - 1) / COUNT(G:G))</f>
        <v>5</v>
      </c>
      <c r="K2416">
        <f t="array" ref="K2416">INT(5 * (RANK(H2416,H:H, 0) - 1) / COUNT(H:H)) + 1</f>
        <v>4</v>
      </c>
      <c r="L2416">
        <f t="array" ref="L2416">INT(5 * (RANK(I2416,I:I, 0) - 1) / COUNT(I:I)) + 1</f>
        <v>3</v>
      </c>
      <c r="M2416" t="str">
        <f t="shared" si="74"/>
        <v>543</v>
      </c>
      <c r="N2416" s="6" t="str">
        <f t="shared" si="75"/>
        <v>Others</v>
      </c>
    </row>
    <row r="2417" spans="1:14" x14ac:dyDescent="0.35">
      <c r="A2417">
        <v>1013</v>
      </c>
      <c r="B2417" s="4">
        <v>45998.375085336993</v>
      </c>
      <c r="C2417" t="s">
        <v>12</v>
      </c>
      <c r="D2417" t="s">
        <v>16</v>
      </c>
      <c r="E2417" t="s">
        <v>25</v>
      </c>
      <c r="F2417">
        <v>6930.03</v>
      </c>
      <c r="G2417">
        <f t="array" ref="G2417">SalesData!$I$2 - 'RFM Table'!B2417</f>
        <v>138</v>
      </c>
      <c r="H2417">
        <f t="array" ref="H2417">COUNTIF(A:A,A2417)</f>
        <v>14</v>
      </c>
      <c r="I2417">
        <f t="array" ref="I2417">SUMIF(A:A,A2417,F:F)</f>
        <v>60099.840000000004</v>
      </c>
      <c r="J2417">
        <f t="array" ref="J2417">5 - INT(5 * (RANK(G2417,G:G, 1) - 1) / COUNT(G:G))</f>
        <v>5</v>
      </c>
      <c r="K2417">
        <f t="array" ref="K2417">INT(5 * (RANK(H2417,H:H, 0) - 1) / COUNT(H:H)) + 1</f>
        <v>1</v>
      </c>
      <c r="L2417">
        <f t="array" ref="L2417">INT(5 * (RANK(I2417,I:I, 0) - 1) / COUNT(I:I)) + 1</f>
        <v>1</v>
      </c>
      <c r="M2417" t="str">
        <f t="shared" si="74"/>
        <v>511</v>
      </c>
      <c r="N2417" s="6" t="str">
        <f t="shared" si="75"/>
        <v>New Customers</v>
      </c>
    </row>
    <row r="2418" spans="1:14" x14ac:dyDescent="0.35">
      <c r="A2418">
        <v>1188</v>
      </c>
      <c r="B2418" s="4">
        <v>45999.375085336993</v>
      </c>
      <c r="C2418" t="s">
        <v>8</v>
      </c>
      <c r="D2418" t="s">
        <v>21</v>
      </c>
      <c r="E2418" t="s">
        <v>23</v>
      </c>
      <c r="F2418">
        <v>4492.33</v>
      </c>
      <c r="G2418">
        <f t="array" ref="G2418">SalesData!$I$2 - 'RFM Table'!B2418</f>
        <v>137</v>
      </c>
      <c r="H2418">
        <f t="array" ref="H2418">COUNTIF(A:A,A2418)</f>
        <v>4</v>
      </c>
      <c r="I2418">
        <f t="array" ref="I2418">SUMIF(A:A,A2418,F:F)</f>
        <v>21498.129999999997</v>
      </c>
      <c r="J2418">
        <f t="array" ref="J2418">5 - INT(5 * (RANK(G2418,G:G, 1) - 1) / COUNT(G:G))</f>
        <v>5</v>
      </c>
      <c r="K2418">
        <f t="array" ref="K2418">INT(5 * (RANK(H2418,H:H, 0) - 1) / COUNT(H:H)) + 1</f>
        <v>5</v>
      </c>
      <c r="L2418">
        <f t="array" ref="L2418">INT(5 * (RANK(I2418,I:I, 0) - 1) / COUNT(I:I)) + 1</f>
        <v>5</v>
      </c>
      <c r="M2418" t="str">
        <f t="shared" si="74"/>
        <v>555</v>
      </c>
      <c r="N2418" s="6" t="str">
        <f t="shared" si="75"/>
        <v>Others</v>
      </c>
    </row>
    <row r="2419" spans="1:14" x14ac:dyDescent="0.35">
      <c r="A2419">
        <v>1322</v>
      </c>
      <c r="B2419" s="4">
        <v>45999.375085336993</v>
      </c>
      <c r="C2419" t="s">
        <v>7</v>
      </c>
      <c r="D2419" t="s">
        <v>17</v>
      </c>
      <c r="E2419" t="s">
        <v>25</v>
      </c>
      <c r="F2419">
        <v>2537.48</v>
      </c>
      <c r="G2419">
        <f t="array" ref="G2419">SalesData!$I$2 - 'RFM Table'!B2419</f>
        <v>137</v>
      </c>
      <c r="H2419">
        <f t="array" ref="H2419">COUNTIF(A:A,A2419)</f>
        <v>8</v>
      </c>
      <c r="I2419">
        <f t="array" ref="I2419">SUMIF(A:A,A2419,F:F)</f>
        <v>30924.840000000004</v>
      </c>
      <c r="J2419">
        <f t="array" ref="J2419">5 - INT(5 * (RANK(G2419,G:G, 1) - 1) / COUNT(G:G))</f>
        <v>5</v>
      </c>
      <c r="K2419">
        <f t="array" ref="K2419">INT(5 * (RANK(H2419,H:H, 0) - 1) / COUNT(H:H)) + 1</f>
        <v>3</v>
      </c>
      <c r="L2419">
        <f t="array" ref="L2419">INT(5 * (RANK(I2419,I:I, 0) - 1) / COUNT(I:I)) + 1</f>
        <v>3</v>
      </c>
      <c r="M2419" t="str">
        <f t="shared" si="74"/>
        <v>533</v>
      </c>
      <c r="N2419" s="6" t="str">
        <f t="shared" si="75"/>
        <v>Others</v>
      </c>
    </row>
    <row r="2420" spans="1:14" x14ac:dyDescent="0.35">
      <c r="A2420">
        <v>1112</v>
      </c>
      <c r="B2420" s="4">
        <v>46000.375085336993</v>
      </c>
      <c r="C2420" t="s">
        <v>12</v>
      </c>
      <c r="D2420" t="s">
        <v>22</v>
      </c>
      <c r="E2420" t="s">
        <v>25</v>
      </c>
      <c r="F2420">
        <v>5000.08</v>
      </c>
      <c r="G2420">
        <f t="array" ref="G2420">SalesData!$I$2 - 'RFM Table'!B2420</f>
        <v>136</v>
      </c>
      <c r="H2420">
        <f t="array" ref="H2420">COUNTIF(A:A,A2420)</f>
        <v>12</v>
      </c>
      <c r="I2420">
        <f t="array" ref="I2420">SUMIF(A:A,A2420,F:F)</f>
        <v>38950.210000000006</v>
      </c>
      <c r="J2420">
        <f t="array" ref="J2420">5 - INT(5 * (RANK(G2420,G:G, 1) - 1) / COUNT(G:G))</f>
        <v>5</v>
      </c>
      <c r="K2420">
        <f t="array" ref="K2420">INT(5 * (RANK(H2420,H:H, 0) - 1) / COUNT(H:H)) + 1</f>
        <v>1</v>
      </c>
      <c r="L2420">
        <f t="array" ref="L2420">INT(5 * (RANK(I2420,I:I, 0) - 1) / COUNT(I:I)) + 1</f>
        <v>2</v>
      </c>
      <c r="M2420" t="str">
        <f t="shared" si="74"/>
        <v>512</v>
      </c>
      <c r="N2420" s="6" t="str">
        <f t="shared" si="75"/>
        <v>New Customers</v>
      </c>
    </row>
    <row r="2421" spans="1:14" x14ac:dyDescent="0.35">
      <c r="A2421">
        <v>1080</v>
      </c>
      <c r="B2421" s="4">
        <v>46000.375085336993</v>
      </c>
      <c r="C2421" t="s">
        <v>7</v>
      </c>
      <c r="D2421" t="s">
        <v>22</v>
      </c>
      <c r="E2421" t="s">
        <v>23</v>
      </c>
      <c r="F2421">
        <v>2635.11</v>
      </c>
      <c r="G2421">
        <f t="array" ref="G2421">SalesData!$I$2 - 'RFM Table'!B2421</f>
        <v>136</v>
      </c>
      <c r="H2421">
        <f t="array" ref="H2421">COUNTIF(A:A,A2421)</f>
        <v>7</v>
      </c>
      <c r="I2421">
        <f t="array" ref="I2421">SUMIF(A:A,A2421,F:F)</f>
        <v>28511.58</v>
      </c>
      <c r="J2421">
        <f t="array" ref="J2421">5 - INT(5 * (RANK(G2421,G:G, 1) - 1) / COUNT(G:G))</f>
        <v>5</v>
      </c>
      <c r="K2421">
        <f t="array" ref="K2421">INT(5 * (RANK(H2421,H:H, 0) - 1) / COUNT(H:H)) + 1</f>
        <v>4</v>
      </c>
      <c r="L2421">
        <f t="array" ref="L2421">INT(5 * (RANK(I2421,I:I, 0) - 1) / COUNT(I:I)) + 1</f>
        <v>4</v>
      </c>
      <c r="M2421" t="str">
        <f t="shared" si="74"/>
        <v>544</v>
      </c>
      <c r="N2421" s="6" t="str">
        <f t="shared" si="75"/>
        <v>Others</v>
      </c>
    </row>
    <row r="2422" spans="1:14" x14ac:dyDescent="0.35">
      <c r="A2422">
        <v>1348</v>
      </c>
      <c r="B2422" s="4">
        <v>46000.375085336993</v>
      </c>
      <c r="C2422" t="s">
        <v>14</v>
      </c>
      <c r="D2422" t="s">
        <v>19</v>
      </c>
      <c r="E2422" t="s">
        <v>25</v>
      </c>
      <c r="F2422">
        <v>3900.18</v>
      </c>
      <c r="G2422">
        <f t="array" ref="G2422">SalesData!$I$2 - 'RFM Table'!B2422</f>
        <v>136</v>
      </c>
      <c r="H2422">
        <f t="array" ref="H2422">COUNTIF(A:A,A2422)</f>
        <v>12</v>
      </c>
      <c r="I2422">
        <f t="array" ref="I2422">SUMIF(A:A,A2422,F:F)</f>
        <v>27185.14</v>
      </c>
      <c r="J2422">
        <f t="array" ref="J2422">5 - INT(5 * (RANK(G2422,G:G, 1) - 1) / COUNT(G:G))</f>
        <v>5</v>
      </c>
      <c r="K2422">
        <f t="array" ref="K2422">INT(5 * (RANK(H2422,H:H, 0) - 1) / COUNT(H:H)) + 1</f>
        <v>1</v>
      </c>
      <c r="L2422">
        <f t="array" ref="L2422">INT(5 * (RANK(I2422,I:I, 0) - 1) / COUNT(I:I)) + 1</f>
        <v>4</v>
      </c>
      <c r="M2422" t="str">
        <f t="shared" si="74"/>
        <v>514</v>
      </c>
      <c r="N2422" s="6" t="str">
        <f t="shared" si="75"/>
        <v>New Customers</v>
      </c>
    </row>
    <row r="2423" spans="1:14" x14ac:dyDescent="0.35">
      <c r="A2423">
        <v>1232</v>
      </c>
      <c r="B2423" s="4">
        <v>46001.375085336993</v>
      </c>
      <c r="C2423" t="s">
        <v>14</v>
      </c>
      <c r="D2423" t="s">
        <v>22</v>
      </c>
      <c r="E2423" t="s">
        <v>25</v>
      </c>
      <c r="F2423">
        <v>3264.89</v>
      </c>
      <c r="G2423">
        <f t="array" ref="G2423">SalesData!$I$2 - 'RFM Table'!B2423</f>
        <v>135</v>
      </c>
      <c r="H2423">
        <f t="array" ref="H2423">COUNTIF(A:A,A2423)</f>
        <v>13</v>
      </c>
      <c r="I2423">
        <f t="array" ref="I2423">SUMIF(A:A,A2423,F:F)</f>
        <v>40298.450000000004</v>
      </c>
      <c r="J2423">
        <f t="array" ref="J2423">5 - INT(5 * (RANK(G2423,G:G, 1) - 1) / COUNT(G:G))</f>
        <v>5</v>
      </c>
      <c r="K2423">
        <f t="array" ref="K2423">INT(5 * (RANK(H2423,H:H, 0) - 1) / COUNT(H:H)) + 1</f>
        <v>1</v>
      </c>
      <c r="L2423">
        <f t="array" ref="L2423">INT(5 * (RANK(I2423,I:I, 0) - 1) / COUNT(I:I)) + 1</f>
        <v>2</v>
      </c>
      <c r="M2423" t="str">
        <f t="shared" si="74"/>
        <v>512</v>
      </c>
      <c r="N2423" s="6" t="str">
        <f t="shared" si="75"/>
        <v>New Customers</v>
      </c>
    </row>
    <row r="2424" spans="1:14" x14ac:dyDescent="0.35">
      <c r="A2424">
        <v>1008</v>
      </c>
      <c r="B2424" s="4">
        <v>46001.375085336993</v>
      </c>
      <c r="C2424" t="s">
        <v>7</v>
      </c>
      <c r="D2424" t="s">
        <v>20</v>
      </c>
      <c r="E2424" t="s">
        <v>25</v>
      </c>
      <c r="F2424">
        <v>1345.01</v>
      </c>
      <c r="G2424">
        <f t="array" ref="G2424">SalesData!$I$2 - 'RFM Table'!B2424</f>
        <v>135</v>
      </c>
      <c r="H2424">
        <f t="array" ref="H2424">COUNTIF(A:A,A2424)</f>
        <v>9</v>
      </c>
      <c r="I2424">
        <f t="array" ref="I2424">SUMIF(A:A,A2424,F:F)</f>
        <v>32548.37</v>
      </c>
      <c r="J2424">
        <f t="array" ref="J2424">5 - INT(5 * (RANK(G2424,G:G, 1) - 1) / COUNT(G:G))</f>
        <v>5</v>
      </c>
      <c r="K2424">
        <f t="array" ref="K2424">INT(5 * (RANK(H2424,H:H, 0) - 1) / COUNT(H:H)) + 1</f>
        <v>2</v>
      </c>
      <c r="L2424">
        <f t="array" ref="L2424">INT(5 * (RANK(I2424,I:I, 0) - 1) / COUNT(I:I)) + 1</f>
        <v>3</v>
      </c>
      <c r="M2424" t="str">
        <f t="shared" si="74"/>
        <v>523</v>
      </c>
      <c r="N2424" s="6" t="str">
        <f t="shared" si="75"/>
        <v>New Customers</v>
      </c>
    </row>
    <row r="2425" spans="1:14" x14ac:dyDescent="0.35">
      <c r="A2425">
        <v>1283</v>
      </c>
      <c r="B2425" s="4">
        <v>46001.375085336993</v>
      </c>
      <c r="C2425" t="s">
        <v>13</v>
      </c>
      <c r="D2425" t="s">
        <v>21</v>
      </c>
      <c r="E2425" t="s">
        <v>24</v>
      </c>
      <c r="F2425">
        <v>2501.08</v>
      </c>
      <c r="G2425">
        <f t="array" ref="G2425">SalesData!$I$2 - 'RFM Table'!B2425</f>
        <v>135</v>
      </c>
      <c r="H2425">
        <f t="array" ref="H2425">COUNTIF(A:A,A2425)</f>
        <v>7</v>
      </c>
      <c r="I2425">
        <f t="array" ref="I2425">SUMIF(A:A,A2425,F:F)</f>
        <v>30708.170000000002</v>
      </c>
      <c r="J2425">
        <f t="array" ref="J2425">5 - INT(5 * (RANK(G2425,G:G, 1) - 1) / COUNT(G:G))</f>
        <v>5</v>
      </c>
      <c r="K2425">
        <f t="array" ref="K2425">INT(5 * (RANK(H2425,H:H, 0) - 1) / COUNT(H:H)) + 1</f>
        <v>4</v>
      </c>
      <c r="L2425">
        <f t="array" ref="L2425">INT(5 * (RANK(I2425,I:I, 0) - 1) / COUNT(I:I)) + 1</f>
        <v>3</v>
      </c>
      <c r="M2425" t="str">
        <f t="shared" si="74"/>
        <v>543</v>
      </c>
      <c r="N2425" s="6" t="str">
        <f t="shared" si="75"/>
        <v>Others</v>
      </c>
    </row>
    <row r="2426" spans="1:14" x14ac:dyDescent="0.35">
      <c r="A2426">
        <v>1270</v>
      </c>
      <c r="B2426" s="4">
        <v>46001.375085336993</v>
      </c>
      <c r="C2426" t="s">
        <v>14</v>
      </c>
      <c r="D2426" t="s">
        <v>20</v>
      </c>
      <c r="E2426" t="s">
        <v>25</v>
      </c>
      <c r="F2426">
        <v>1647.46</v>
      </c>
      <c r="G2426">
        <f t="array" ref="G2426">SalesData!$I$2 - 'RFM Table'!B2426</f>
        <v>135</v>
      </c>
      <c r="H2426">
        <f t="array" ref="H2426">COUNTIF(A:A,A2426)</f>
        <v>10</v>
      </c>
      <c r="I2426">
        <f t="array" ref="I2426">SUMIF(A:A,A2426,F:F)</f>
        <v>34623.81</v>
      </c>
      <c r="J2426">
        <f t="array" ref="J2426">5 - INT(5 * (RANK(G2426,G:G, 1) - 1) / COUNT(G:G))</f>
        <v>5</v>
      </c>
      <c r="K2426">
        <f t="array" ref="K2426">INT(5 * (RANK(H2426,H:H, 0) - 1) / COUNT(H:H)) + 1</f>
        <v>2</v>
      </c>
      <c r="L2426">
        <f t="array" ref="L2426">INT(5 * (RANK(I2426,I:I, 0) - 1) / COUNT(I:I)) + 1</f>
        <v>3</v>
      </c>
      <c r="M2426" t="str">
        <f t="shared" si="74"/>
        <v>523</v>
      </c>
      <c r="N2426" s="6" t="str">
        <f t="shared" si="75"/>
        <v>New Customers</v>
      </c>
    </row>
    <row r="2427" spans="1:14" x14ac:dyDescent="0.35">
      <c r="A2427">
        <v>1081</v>
      </c>
      <c r="B2427" s="4">
        <v>46001.375085336993</v>
      </c>
      <c r="C2427" t="s">
        <v>7</v>
      </c>
      <c r="D2427" t="s">
        <v>19</v>
      </c>
      <c r="E2427" t="s">
        <v>24</v>
      </c>
      <c r="F2427">
        <v>627.98</v>
      </c>
      <c r="G2427">
        <f t="array" ref="G2427">SalesData!$I$2 - 'RFM Table'!B2427</f>
        <v>135</v>
      </c>
      <c r="H2427">
        <f t="array" ref="H2427">COUNTIF(A:A,A2427)</f>
        <v>8</v>
      </c>
      <c r="I2427">
        <f t="array" ref="I2427">SUMIF(A:A,A2427,F:F)</f>
        <v>29788.7</v>
      </c>
      <c r="J2427">
        <f t="array" ref="J2427">5 - INT(5 * (RANK(G2427,G:G, 1) - 1) / COUNT(G:G))</f>
        <v>5</v>
      </c>
      <c r="K2427">
        <f t="array" ref="K2427">INT(5 * (RANK(H2427,H:H, 0) - 1) / COUNT(H:H)) + 1</f>
        <v>3</v>
      </c>
      <c r="L2427">
        <f t="array" ref="L2427">INT(5 * (RANK(I2427,I:I, 0) - 1) / COUNT(I:I)) + 1</f>
        <v>3</v>
      </c>
      <c r="M2427" t="str">
        <f t="shared" si="74"/>
        <v>533</v>
      </c>
      <c r="N2427" s="6" t="str">
        <f t="shared" si="75"/>
        <v>Others</v>
      </c>
    </row>
    <row r="2428" spans="1:14" x14ac:dyDescent="0.35">
      <c r="A2428">
        <v>1124</v>
      </c>
      <c r="B2428" s="4">
        <v>46001.375085336993</v>
      </c>
      <c r="C2428" t="s">
        <v>14</v>
      </c>
      <c r="D2428" t="s">
        <v>18</v>
      </c>
      <c r="E2428" t="s">
        <v>25</v>
      </c>
      <c r="F2428">
        <v>727.35</v>
      </c>
      <c r="G2428">
        <f t="array" ref="G2428">SalesData!$I$2 - 'RFM Table'!B2428</f>
        <v>135</v>
      </c>
      <c r="H2428">
        <f t="array" ref="H2428">COUNTIF(A:A,A2428)</f>
        <v>5</v>
      </c>
      <c r="I2428">
        <f t="array" ref="I2428">SUMIF(A:A,A2428,F:F)</f>
        <v>29381.64</v>
      </c>
      <c r="J2428">
        <f t="array" ref="J2428">5 - INT(5 * (RANK(G2428,G:G, 1) - 1) / COUNT(G:G))</f>
        <v>5</v>
      </c>
      <c r="K2428">
        <f t="array" ref="K2428">INT(5 * (RANK(H2428,H:H, 0) - 1) / COUNT(H:H)) + 1</f>
        <v>5</v>
      </c>
      <c r="L2428">
        <f t="array" ref="L2428">INT(5 * (RANK(I2428,I:I, 0) - 1) / COUNT(I:I)) + 1</f>
        <v>4</v>
      </c>
      <c r="M2428" t="str">
        <f t="shared" si="74"/>
        <v>554</v>
      </c>
      <c r="N2428" s="6" t="str">
        <f t="shared" si="75"/>
        <v>Others</v>
      </c>
    </row>
    <row r="2429" spans="1:14" x14ac:dyDescent="0.35">
      <c r="A2429">
        <v>1209</v>
      </c>
      <c r="B2429" s="4">
        <v>46001.375085336993</v>
      </c>
      <c r="C2429" t="s">
        <v>8</v>
      </c>
      <c r="D2429" t="s">
        <v>20</v>
      </c>
      <c r="E2429" t="s">
        <v>23</v>
      </c>
      <c r="F2429">
        <v>1813.74</v>
      </c>
      <c r="G2429">
        <f t="array" ref="G2429">SalesData!$I$2 - 'RFM Table'!B2429</f>
        <v>135</v>
      </c>
      <c r="H2429">
        <f t="array" ref="H2429">COUNTIF(A:A,A2429)</f>
        <v>4</v>
      </c>
      <c r="I2429">
        <f t="array" ref="I2429">SUMIF(A:A,A2429,F:F)</f>
        <v>7399.6200000000008</v>
      </c>
      <c r="J2429">
        <f t="array" ref="J2429">5 - INT(5 * (RANK(G2429,G:G, 1) - 1) / COUNT(G:G))</f>
        <v>5</v>
      </c>
      <c r="K2429">
        <f t="array" ref="K2429">INT(5 * (RANK(H2429,H:H, 0) - 1) / COUNT(H:H)) + 1</f>
        <v>5</v>
      </c>
      <c r="L2429">
        <f t="array" ref="L2429">INT(5 * (RANK(I2429,I:I, 0) - 1) / COUNT(I:I)) + 1</f>
        <v>5</v>
      </c>
      <c r="M2429" t="str">
        <f t="shared" si="74"/>
        <v>555</v>
      </c>
      <c r="N2429" s="6" t="str">
        <f t="shared" si="75"/>
        <v>Others</v>
      </c>
    </row>
    <row r="2430" spans="1:14" x14ac:dyDescent="0.35">
      <c r="A2430">
        <v>1073</v>
      </c>
      <c r="B2430" s="4">
        <v>46001.375085336993</v>
      </c>
      <c r="C2430" t="s">
        <v>11</v>
      </c>
      <c r="D2430" t="s">
        <v>19</v>
      </c>
      <c r="E2430" t="s">
        <v>25</v>
      </c>
      <c r="F2430">
        <v>6402.85</v>
      </c>
      <c r="G2430">
        <f t="array" ref="G2430">SalesData!$I$2 - 'RFM Table'!B2430</f>
        <v>135</v>
      </c>
      <c r="H2430">
        <f t="array" ref="H2430">COUNTIF(A:A,A2430)</f>
        <v>3</v>
      </c>
      <c r="I2430">
        <f t="array" ref="I2430">SUMIF(A:A,A2430,F:F)</f>
        <v>15334.130000000001</v>
      </c>
      <c r="J2430">
        <f t="array" ref="J2430">5 - INT(5 * (RANK(G2430,G:G, 1) - 1) / COUNT(G:G))</f>
        <v>5</v>
      </c>
      <c r="K2430">
        <f t="array" ref="K2430">INT(5 * (RANK(H2430,H:H, 0) - 1) / COUNT(H:H)) + 1</f>
        <v>5</v>
      </c>
      <c r="L2430">
        <f t="array" ref="L2430">INT(5 * (RANK(I2430,I:I, 0) - 1) / COUNT(I:I)) + 1</f>
        <v>5</v>
      </c>
      <c r="M2430" t="str">
        <f t="shared" si="74"/>
        <v>555</v>
      </c>
      <c r="N2430" s="6" t="str">
        <f t="shared" si="75"/>
        <v>Others</v>
      </c>
    </row>
    <row r="2431" spans="1:14" x14ac:dyDescent="0.35">
      <c r="A2431">
        <v>1399</v>
      </c>
      <c r="B2431" s="4">
        <v>46002.375085336993</v>
      </c>
      <c r="C2431" t="s">
        <v>10</v>
      </c>
      <c r="D2431" t="s">
        <v>19</v>
      </c>
      <c r="E2431" t="s">
        <v>25</v>
      </c>
      <c r="F2431">
        <v>3866.2</v>
      </c>
      <c r="G2431">
        <f t="array" ref="G2431">SalesData!$I$2 - 'RFM Table'!B2431</f>
        <v>134</v>
      </c>
      <c r="H2431">
        <f t="array" ref="H2431">COUNTIF(A:A,A2431)</f>
        <v>9</v>
      </c>
      <c r="I2431">
        <f t="array" ref="I2431">SUMIF(A:A,A2431,F:F)</f>
        <v>34808.1</v>
      </c>
      <c r="J2431">
        <f t="array" ref="J2431">5 - INT(5 * (RANK(G2431,G:G, 1) - 1) / COUNT(G:G))</f>
        <v>5</v>
      </c>
      <c r="K2431">
        <f t="array" ref="K2431">INT(5 * (RANK(H2431,H:H, 0) - 1) / COUNT(H:H)) + 1</f>
        <v>2</v>
      </c>
      <c r="L2431">
        <f t="array" ref="L2431">INT(5 * (RANK(I2431,I:I, 0) - 1) / COUNT(I:I)) + 1</f>
        <v>3</v>
      </c>
      <c r="M2431" t="str">
        <f t="shared" si="74"/>
        <v>523</v>
      </c>
      <c r="N2431" s="6" t="str">
        <f t="shared" si="75"/>
        <v>New Customers</v>
      </c>
    </row>
    <row r="2432" spans="1:14" x14ac:dyDescent="0.35">
      <c r="A2432">
        <v>1053</v>
      </c>
      <c r="B2432" s="4">
        <v>46002.375085336993</v>
      </c>
      <c r="C2432" t="s">
        <v>14</v>
      </c>
      <c r="D2432" t="s">
        <v>16</v>
      </c>
      <c r="E2432" t="s">
        <v>23</v>
      </c>
      <c r="F2432">
        <v>9741.7099999999991</v>
      </c>
      <c r="G2432">
        <f t="array" ref="G2432">SalesData!$I$2 - 'RFM Table'!B2432</f>
        <v>134</v>
      </c>
      <c r="H2432">
        <f t="array" ref="H2432">COUNTIF(A:A,A2432)</f>
        <v>10</v>
      </c>
      <c r="I2432">
        <f t="array" ref="I2432">SUMIF(A:A,A2432,F:F)</f>
        <v>44572.97</v>
      </c>
      <c r="J2432">
        <f t="array" ref="J2432">5 - INT(5 * (RANK(G2432,G:G, 1) - 1) / COUNT(G:G))</f>
        <v>5</v>
      </c>
      <c r="K2432">
        <f t="array" ref="K2432">INT(5 * (RANK(H2432,H:H, 0) - 1) / COUNT(H:H)) + 1</f>
        <v>2</v>
      </c>
      <c r="L2432">
        <f t="array" ref="L2432">INT(5 * (RANK(I2432,I:I, 0) - 1) / COUNT(I:I)) + 1</f>
        <v>2</v>
      </c>
      <c r="M2432" t="str">
        <f t="shared" si="74"/>
        <v>522</v>
      </c>
      <c r="N2432" s="6" t="str">
        <f t="shared" si="75"/>
        <v>New Customers</v>
      </c>
    </row>
    <row r="2433" spans="1:14" x14ac:dyDescent="0.35">
      <c r="A2433">
        <v>1294</v>
      </c>
      <c r="B2433" s="4">
        <v>46002.375085336993</v>
      </c>
      <c r="C2433" t="s">
        <v>7</v>
      </c>
      <c r="D2433" t="s">
        <v>20</v>
      </c>
      <c r="E2433" t="s">
        <v>25</v>
      </c>
      <c r="F2433">
        <v>2889.94</v>
      </c>
      <c r="G2433">
        <f t="array" ref="G2433">SalesData!$I$2 - 'RFM Table'!B2433</f>
        <v>134</v>
      </c>
      <c r="H2433">
        <f t="array" ref="H2433">COUNTIF(A:A,A2433)</f>
        <v>7</v>
      </c>
      <c r="I2433">
        <f t="array" ref="I2433">SUMIF(A:A,A2433,F:F)</f>
        <v>18314.88</v>
      </c>
      <c r="J2433">
        <f t="array" ref="J2433">5 - INT(5 * (RANK(G2433,G:G, 1) - 1) / COUNT(G:G))</f>
        <v>5</v>
      </c>
      <c r="K2433">
        <f t="array" ref="K2433">INT(5 * (RANK(H2433,H:H, 0) - 1) / COUNT(H:H)) + 1</f>
        <v>4</v>
      </c>
      <c r="L2433">
        <f t="array" ref="L2433">INT(5 * (RANK(I2433,I:I, 0) - 1) / COUNT(I:I)) + 1</f>
        <v>5</v>
      </c>
      <c r="M2433" t="str">
        <f t="shared" si="74"/>
        <v>545</v>
      </c>
      <c r="N2433" s="6" t="str">
        <f t="shared" si="75"/>
        <v>Others</v>
      </c>
    </row>
    <row r="2434" spans="1:14" x14ac:dyDescent="0.35">
      <c r="A2434">
        <v>1178</v>
      </c>
      <c r="B2434" s="4">
        <v>46003.375085336993</v>
      </c>
      <c r="C2434" t="s">
        <v>15</v>
      </c>
      <c r="D2434" t="s">
        <v>18</v>
      </c>
      <c r="E2434" t="s">
        <v>25</v>
      </c>
      <c r="F2434">
        <v>5679.79</v>
      </c>
      <c r="G2434">
        <f t="array" ref="G2434">SalesData!$I$2 - 'RFM Table'!B2434</f>
        <v>133</v>
      </c>
      <c r="H2434">
        <f t="array" ref="H2434">COUNTIF(A:A,A2434)</f>
        <v>7</v>
      </c>
      <c r="I2434">
        <f t="array" ref="I2434">SUMIF(A:A,A2434,F:F)</f>
        <v>26651.280000000002</v>
      </c>
      <c r="J2434">
        <f t="array" ref="J2434">5 - INT(5 * (RANK(G2434,G:G, 1) - 1) / COUNT(G:G))</f>
        <v>5</v>
      </c>
      <c r="K2434">
        <f t="array" ref="K2434">INT(5 * (RANK(H2434,H:H, 0) - 1) / COUNT(H:H)) + 1</f>
        <v>4</v>
      </c>
      <c r="L2434">
        <f t="array" ref="L2434">INT(5 * (RANK(I2434,I:I, 0) - 1) / COUNT(I:I)) + 1</f>
        <v>4</v>
      </c>
      <c r="M2434" t="str">
        <f t="shared" si="74"/>
        <v>544</v>
      </c>
      <c r="N2434" s="6" t="str">
        <f t="shared" si="75"/>
        <v>Others</v>
      </c>
    </row>
    <row r="2435" spans="1:14" x14ac:dyDescent="0.35">
      <c r="A2435">
        <v>1095</v>
      </c>
      <c r="B2435" s="4">
        <v>46003.375085336993</v>
      </c>
      <c r="C2435" t="s">
        <v>13</v>
      </c>
      <c r="D2435" t="s">
        <v>20</v>
      </c>
      <c r="E2435" t="s">
        <v>24</v>
      </c>
      <c r="F2435">
        <v>1021.98</v>
      </c>
      <c r="G2435">
        <f t="array" ref="G2435">SalesData!$I$2 - 'RFM Table'!B2435</f>
        <v>133</v>
      </c>
      <c r="H2435">
        <f t="array" ref="H2435">COUNTIF(A:A,A2435)</f>
        <v>9</v>
      </c>
      <c r="I2435">
        <f t="array" ref="I2435">SUMIF(A:A,A2435,F:F)</f>
        <v>48530.240000000005</v>
      </c>
      <c r="J2435">
        <f t="array" ref="J2435">5 - INT(5 * (RANK(G2435,G:G, 1) - 1) / COUNT(G:G))</f>
        <v>5</v>
      </c>
      <c r="K2435">
        <f t="array" ref="K2435">INT(5 * (RANK(H2435,H:H, 0) - 1) / COUNT(H:H)) + 1</f>
        <v>2</v>
      </c>
      <c r="L2435">
        <f t="array" ref="L2435">INT(5 * (RANK(I2435,I:I, 0) - 1) / COUNT(I:I)) + 1</f>
        <v>1</v>
      </c>
      <c r="M2435" t="str">
        <f t="shared" ref="M2435:M2498" si="76">J2435 &amp; K2435 &amp; L2435</f>
        <v>521</v>
      </c>
      <c r="N2435" s="6" t="str">
        <f t="shared" ref="N2435:N2498" si="77">IF(AND(J2435&gt;=4,K2435&lt;=2),"New Customers",
IF(AND(J2435&lt;=2,K2435&gt;=3,L2435&gt;=3),"At Risk",
IF(AND(J2435&lt;=2,K2435&lt;=2,L2435&gt;=3),"Can't Lose Them",
IF(AND(J2435&lt;=2,K2435&lt;=2,L2435&lt;=2),"Lost",
"Others"))))</f>
        <v>New Customers</v>
      </c>
    </row>
    <row r="2436" spans="1:14" x14ac:dyDescent="0.35">
      <c r="A2436">
        <v>1146</v>
      </c>
      <c r="B2436" s="4">
        <v>46003.375085336993</v>
      </c>
      <c r="C2436" t="s">
        <v>14</v>
      </c>
      <c r="D2436" t="s">
        <v>17</v>
      </c>
      <c r="E2436" t="s">
        <v>25</v>
      </c>
      <c r="F2436">
        <v>4195.7700000000004</v>
      </c>
      <c r="G2436">
        <f t="array" ref="G2436">SalesData!$I$2 - 'RFM Table'!B2436</f>
        <v>133</v>
      </c>
      <c r="H2436">
        <f t="array" ref="H2436">COUNTIF(A:A,A2436)</f>
        <v>11</v>
      </c>
      <c r="I2436">
        <f t="array" ref="I2436">SUMIF(A:A,A2436,F:F)</f>
        <v>43110.84</v>
      </c>
      <c r="J2436">
        <f t="array" ref="J2436">5 - INT(5 * (RANK(G2436,G:G, 1) - 1) / COUNT(G:G))</f>
        <v>5</v>
      </c>
      <c r="K2436">
        <f t="array" ref="K2436">INT(5 * (RANK(H2436,H:H, 0) - 1) / COUNT(H:H)) + 1</f>
        <v>1</v>
      </c>
      <c r="L2436">
        <f t="array" ref="L2436">INT(5 * (RANK(I2436,I:I, 0) - 1) / COUNT(I:I)) + 1</f>
        <v>2</v>
      </c>
      <c r="M2436" t="str">
        <f t="shared" si="76"/>
        <v>512</v>
      </c>
      <c r="N2436" s="6" t="str">
        <f t="shared" si="77"/>
        <v>New Customers</v>
      </c>
    </row>
    <row r="2437" spans="1:14" x14ac:dyDescent="0.35">
      <c r="A2437">
        <v>1206</v>
      </c>
      <c r="B2437" s="4">
        <v>46003.375085336993</v>
      </c>
      <c r="C2437" t="s">
        <v>14</v>
      </c>
      <c r="D2437" t="s">
        <v>19</v>
      </c>
      <c r="E2437" t="s">
        <v>25</v>
      </c>
      <c r="F2437">
        <v>5798.73</v>
      </c>
      <c r="G2437">
        <f t="array" ref="G2437">SalesData!$I$2 - 'RFM Table'!B2437</f>
        <v>133</v>
      </c>
      <c r="H2437">
        <f t="array" ref="H2437">COUNTIF(A:A,A2437)</f>
        <v>5</v>
      </c>
      <c r="I2437">
        <f t="array" ref="I2437">SUMIF(A:A,A2437,F:F)</f>
        <v>18720.68</v>
      </c>
      <c r="J2437">
        <f t="array" ref="J2437">5 - INT(5 * (RANK(G2437,G:G, 1) - 1) / COUNT(G:G))</f>
        <v>5</v>
      </c>
      <c r="K2437">
        <f t="array" ref="K2437">INT(5 * (RANK(H2437,H:H, 0) - 1) / COUNT(H:H)) + 1</f>
        <v>5</v>
      </c>
      <c r="L2437">
        <f t="array" ref="L2437">INT(5 * (RANK(I2437,I:I, 0) - 1) / COUNT(I:I)) + 1</f>
        <v>5</v>
      </c>
      <c r="M2437" t="str">
        <f t="shared" si="76"/>
        <v>555</v>
      </c>
      <c r="N2437" s="6" t="str">
        <f t="shared" si="77"/>
        <v>Others</v>
      </c>
    </row>
    <row r="2438" spans="1:14" x14ac:dyDescent="0.35">
      <c r="A2438">
        <v>1012</v>
      </c>
      <c r="B2438" s="4">
        <v>46003.375085336993</v>
      </c>
      <c r="C2438" t="s">
        <v>14</v>
      </c>
      <c r="D2438" t="s">
        <v>18</v>
      </c>
      <c r="E2438" t="s">
        <v>25</v>
      </c>
      <c r="F2438">
        <v>6231.66</v>
      </c>
      <c r="G2438">
        <f t="array" ref="G2438">SalesData!$I$2 - 'RFM Table'!B2438</f>
        <v>133</v>
      </c>
      <c r="H2438">
        <f t="array" ref="H2438">COUNTIF(A:A,A2438)</f>
        <v>8</v>
      </c>
      <c r="I2438">
        <f t="array" ref="I2438">SUMIF(A:A,A2438,F:F)</f>
        <v>35967.03</v>
      </c>
      <c r="J2438">
        <f t="array" ref="J2438">5 - INT(5 * (RANK(G2438,G:G, 1) - 1) / COUNT(G:G))</f>
        <v>5</v>
      </c>
      <c r="K2438">
        <f t="array" ref="K2438">INT(5 * (RANK(H2438,H:H, 0) - 1) / COUNT(H:H)) + 1</f>
        <v>3</v>
      </c>
      <c r="L2438">
        <f t="array" ref="L2438">INT(5 * (RANK(I2438,I:I, 0) - 1) / COUNT(I:I)) + 1</f>
        <v>3</v>
      </c>
      <c r="M2438" t="str">
        <f t="shared" si="76"/>
        <v>533</v>
      </c>
      <c r="N2438" s="6" t="str">
        <f t="shared" si="77"/>
        <v>Others</v>
      </c>
    </row>
    <row r="2439" spans="1:14" x14ac:dyDescent="0.35">
      <c r="A2439">
        <v>1249</v>
      </c>
      <c r="B2439" s="4">
        <v>46003.375085336993</v>
      </c>
      <c r="C2439" t="s">
        <v>14</v>
      </c>
      <c r="D2439" t="s">
        <v>18</v>
      </c>
      <c r="E2439" t="s">
        <v>24</v>
      </c>
      <c r="F2439">
        <v>5348.4</v>
      </c>
      <c r="G2439">
        <f t="array" ref="G2439">SalesData!$I$2 - 'RFM Table'!B2439</f>
        <v>133</v>
      </c>
      <c r="H2439">
        <f t="array" ref="H2439">COUNTIF(A:A,A2439)</f>
        <v>6</v>
      </c>
      <c r="I2439">
        <f t="array" ref="I2439">SUMIF(A:A,A2439,F:F)</f>
        <v>29261.35</v>
      </c>
      <c r="J2439">
        <f t="array" ref="J2439">5 - INT(5 * (RANK(G2439,G:G, 1) - 1) / COUNT(G:G))</f>
        <v>5</v>
      </c>
      <c r="K2439">
        <f t="array" ref="K2439">INT(5 * (RANK(H2439,H:H, 0) - 1) / COUNT(H:H)) + 1</f>
        <v>4</v>
      </c>
      <c r="L2439">
        <f t="array" ref="L2439">INT(5 * (RANK(I2439,I:I, 0) - 1) / COUNT(I:I)) + 1</f>
        <v>4</v>
      </c>
      <c r="M2439" t="str">
        <f t="shared" si="76"/>
        <v>544</v>
      </c>
      <c r="N2439" s="6" t="str">
        <f t="shared" si="77"/>
        <v>Others</v>
      </c>
    </row>
    <row r="2440" spans="1:14" x14ac:dyDescent="0.35">
      <c r="A2440">
        <v>1351</v>
      </c>
      <c r="B2440" s="4">
        <v>46004.375085336993</v>
      </c>
      <c r="C2440" t="s">
        <v>10</v>
      </c>
      <c r="D2440" t="s">
        <v>22</v>
      </c>
      <c r="E2440" t="s">
        <v>25</v>
      </c>
      <c r="F2440">
        <v>465.54</v>
      </c>
      <c r="G2440">
        <f t="array" ref="G2440">SalesData!$I$2 - 'RFM Table'!B2440</f>
        <v>132</v>
      </c>
      <c r="H2440">
        <f t="array" ref="H2440">COUNTIF(A:A,A2440)</f>
        <v>7</v>
      </c>
      <c r="I2440">
        <f t="array" ref="I2440">SUMIF(A:A,A2440,F:F)</f>
        <v>18845.82</v>
      </c>
      <c r="J2440">
        <f t="array" ref="J2440">5 - INT(5 * (RANK(G2440,G:G, 1) - 1) / COUNT(G:G))</f>
        <v>5</v>
      </c>
      <c r="K2440">
        <f t="array" ref="K2440">INT(5 * (RANK(H2440,H:H, 0) - 1) / COUNT(H:H)) + 1</f>
        <v>4</v>
      </c>
      <c r="L2440">
        <f t="array" ref="L2440">INT(5 * (RANK(I2440,I:I, 0) - 1) / COUNT(I:I)) + 1</f>
        <v>5</v>
      </c>
      <c r="M2440" t="str">
        <f t="shared" si="76"/>
        <v>545</v>
      </c>
      <c r="N2440" s="6" t="str">
        <f t="shared" si="77"/>
        <v>Others</v>
      </c>
    </row>
    <row r="2441" spans="1:14" x14ac:dyDescent="0.35">
      <c r="A2441">
        <v>1213</v>
      </c>
      <c r="B2441" s="4">
        <v>46004.375085336993</v>
      </c>
      <c r="C2441" t="s">
        <v>10</v>
      </c>
      <c r="D2441" t="s">
        <v>16</v>
      </c>
      <c r="E2441" t="s">
        <v>23</v>
      </c>
      <c r="F2441">
        <v>2543.9899999999998</v>
      </c>
      <c r="G2441">
        <f t="array" ref="G2441">SalesData!$I$2 - 'RFM Table'!B2441</f>
        <v>132</v>
      </c>
      <c r="H2441">
        <f t="array" ref="H2441">COUNTIF(A:A,A2441)</f>
        <v>8</v>
      </c>
      <c r="I2441">
        <f t="array" ref="I2441">SUMIF(A:A,A2441,F:F)</f>
        <v>27291.54</v>
      </c>
      <c r="J2441">
        <f t="array" ref="J2441">5 - INT(5 * (RANK(G2441,G:G, 1) - 1) / COUNT(G:G))</f>
        <v>5</v>
      </c>
      <c r="K2441">
        <f t="array" ref="K2441">INT(5 * (RANK(H2441,H:H, 0) - 1) / COUNT(H:H)) + 1</f>
        <v>3</v>
      </c>
      <c r="L2441">
        <f t="array" ref="L2441">INT(5 * (RANK(I2441,I:I, 0) - 1) / COUNT(I:I)) + 1</f>
        <v>4</v>
      </c>
      <c r="M2441" t="str">
        <f t="shared" si="76"/>
        <v>534</v>
      </c>
      <c r="N2441" s="6" t="str">
        <f t="shared" si="77"/>
        <v>Others</v>
      </c>
    </row>
    <row r="2442" spans="1:14" x14ac:dyDescent="0.35">
      <c r="A2442">
        <v>1393</v>
      </c>
      <c r="B2442" s="4">
        <v>46004.375085336993</v>
      </c>
      <c r="C2442" t="s">
        <v>9</v>
      </c>
      <c r="D2442" t="s">
        <v>21</v>
      </c>
      <c r="E2442" t="s">
        <v>24</v>
      </c>
      <c r="F2442">
        <v>4123.17</v>
      </c>
      <c r="G2442">
        <f t="array" ref="G2442">SalesData!$I$2 - 'RFM Table'!B2442</f>
        <v>132</v>
      </c>
      <c r="H2442">
        <f t="array" ref="H2442">COUNTIF(A:A,A2442)</f>
        <v>7</v>
      </c>
      <c r="I2442">
        <f t="array" ref="I2442">SUMIF(A:A,A2442,F:F)</f>
        <v>28804.870000000003</v>
      </c>
      <c r="J2442">
        <f t="array" ref="J2442">5 - INT(5 * (RANK(G2442,G:G, 1) - 1) / COUNT(G:G))</f>
        <v>5</v>
      </c>
      <c r="K2442">
        <f t="array" ref="K2442">INT(5 * (RANK(H2442,H:H, 0) - 1) / COUNT(H:H)) + 1</f>
        <v>4</v>
      </c>
      <c r="L2442">
        <f t="array" ref="L2442">INT(5 * (RANK(I2442,I:I, 0) - 1) / COUNT(I:I)) + 1</f>
        <v>4</v>
      </c>
      <c r="M2442" t="str">
        <f t="shared" si="76"/>
        <v>544</v>
      </c>
      <c r="N2442" s="6" t="str">
        <f t="shared" si="77"/>
        <v>Others</v>
      </c>
    </row>
    <row r="2443" spans="1:14" x14ac:dyDescent="0.35">
      <c r="A2443">
        <v>1110</v>
      </c>
      <c r="B2443" s="4">
        <v>46005.375085336993</v>
      </c>
      <c r="C2443" t="s">
        <v>12</v>
      </c>
      <c r="D2443" t="s">
        <v>22</v>
      </c>
      <c r="E2443" t="s">
        <v>24</v>
      </c>
      <c r="F2443">
        <v>1450.51</v>
      </c>
      <c r="G2443">
        <f t="array" ref="G2443">SalesData!$I$2 - 'RFM Table'!B2443</f>
        <v>131</v>
      </c>
      <c r="H2443">
        <f t="array" ref="H2443">COUNTIF(A:A,A2443)</f>
        <v>13</v>
      </c>
      <c r="I2443">
        <f t="array" ref="I2443">SUMIF(A:A,A2443,F:F)</f>
        <v>72511.88</v>
      </c>
      <c r="J2443">
        <f t="array" ref="J2443">5 - INT(5 * (RANK(G2443,G:G, 1) - 1) / COUNT(G:G))</f>
        <v>5</v>
      </c>
      <c r="K2443">
        <f t="array" ref="K2443">INT(5 * (RANK(H2443,H:H, 0) - 1) / COUNT(H:H)) + 1</f>
        <v>1</v>
      </c>
      <c r="L2443">
        <f t="array" ref="L2443">INT(5 * (RANK(I2443,I:I, 0) - 1) / COUNT(I:I)) + 1</f>
        <v>1</v>
      </c>
      <c r="M2443" t="str">
        <f t="shared" si="76"/>
        <v>511</v>
      </c>
      <c r="N2443" s="6" t="str">
        <f t="shared" si="77"/>
        <v>New Customers</v>
      </c>
    </row>
    <row r="2444" spans="1:14" x14ac:dyDescent="0.35">
      <c r="A2444">
        <v>1148</v>
      </c>
      <c r="B2444" s="4">
        <v>46006.375085336993</v>
      </c>
      <c r="C2444" t="s">
        <v>15</v>
      </c>
      <c r="D2444" t="s">
        <v>22</v>
      </c>
      <c r="E2444" t="s">
        <v>23</v>
      </c>
      <c r="F2444">
        <v>3962.87</v>
      </c>
      <c r="G2444">
        <f t="array" ref="G2444">SalesData!$I$2 - 'RFM Table'!B2444</f>
        <v>130</v>
      </c>
      <c r="H2444">
        <f t="array" ref="H2444">COUNTIF(A:A,A2444)</f>
        <v>12</v>
      </c>
      <c r="I2444">
        <f t="array" ref="I2444">SUMIF(A:A,A2444,F:F)</f>
        <v>83986.299999999988</v>
      </c>
      <c r="J2444">
        <f t="array" ref="J2444">5 - INT(5 * (RANK(G2444,G:G, 1) - 1) / COUNT(G:G))</f>
        <v>5</v>
      </c>
      <c r="K2444">
        <f t="array" ref="K2444">INT(5 * (RANK(H2444,H:H, 0) - 1) / COUNT(H:H)) + 1</f>
        <v>1</v>
      </c>
      <c r="L2444">
        <f t="array" ref="L2444">INT(5 * (RANK(I2444,I:I, 0) - 1) / COUNT(I:I)) + 1</f>
        <v>1</v>
      </c>
      <c r="M2444" t="str">
        <f t="shared" si="76"/>
        <v>511</v>
      </c>
      <c r="N2444" s="6" t="str">
        <f t="shared" si="77"/>
        <v>New Customers</v>
      </c>
    </row>
    <row r="2445" spans="1:14" x14ac:dyDescent="0.35">
      <c r="A2445">
        <v>1317</v>
      </c>
      <c r="B2445" s="4">
        <v>46006.375085336993</v>
      </c>
      <c r="C2445" t="s">
        <v>14</v>
      </c>
      <c r="D2445" t="s">
        <v>22</v>
      </c>
      <c r="E2445" t="s">
        <v>25</v>
      </c>
      <c r="F2445">
        <v>5006.41</v>
      </c>
      <c r="G2445">
        <f t="array" ref="G2445">SalesData!$I$2 - 'RFM Table'!B2445</f>
        <v>130</v>
      </c>
      <c r="H2445">
        <f t="array" ref="H2445">COUNTIF(A:A,A2445)</f>
        <v>12</v>
      </c>
      <c r="I2445">
        <f t="array" ref="I2445">SUMIF(A:A,A2445,F:F)</f>
        <v>43413.4</v>
      </c>
      <c r="J2445">
        <f t="array" ref="J2445">5 - INT(5 * (RANK(G2445,G:G, 1) - 1) / COUNT(G:G))</f>
        <v>5</v>
      </c>
      <c r="K2445">
        <f t="array" ref="K2445">INT(5 * (RANK(H2445,H:H, 0) - 1) / COUNT(H:H)) + 1</f>
        <v>1</v>
      </c>
      <c r="L2445">
        <f t="array" ref="L2445">INT(5 * (RANK(I2445,I:I, 0) - 1) / COUNT(I:I)) + 1</f>
        <v>2</v>
      </c>
      <c r="M2445" t="str">
        <f t="shared" si="76"/>
        <v>512</v>
      </c>
      <c r="N2445" s="6" t="str">
        <f t="shared" si="77"/>
        <v>New Customers</v>
      </c>
    </row>
    <row r="2446" spans="1:14" x14ac:dyDescent="0.35">
      <c r="A2446">
        <v>1153</v>
      </c>
      <c r="B2446" s="4">
        <v>46006.375085336993</v>
      </c>
      <c r="C2446" t="s">
        <v>14</v>
      </c>
      <c r="D2446" t="s">
        <v>22</v>
      </c>
      <c r="E2446" t="s">
        <v>24</v>
      </c>
      <c r="F2446">
        <v>5093.99</v>
      </c>
      <c r="G2446">
        <f t="array" ref="G2446">SalesData!$I$2 - 'RFM Table'!B2446</f>
        <v>130</v>
      </c>
      <c r="H2446">
        <f t="array" ref="H2446">COUNTIF(A:A,A2446)</f>
        <v>12</v>
      </c>
      <c r="I2446">
        <f t="array" ref="I2446">SUMIF(A:A,A2446,F:F)</f>
        <v>42146.06</v>
      </c>
      <c r="J2446">
        <f t="array" ref="J2446">5 - INT(5 * (RANK(G2446,G:G, 1) - 1) / COUNT(G:G))</f>
        <v>5</v>
      </c>
      <c r="K2446">
        <f t="array" ref="K2446">INT(5 * (RANK(H2446,H:H, 0) - 1) / COUNT(H:H)) + 1</f>
        <v>1</v>
      </c>
      <c r="L2446">
        <f t="array" ref="L2446">INT(5 * (RANK(I2446,I:I, 0) - 1) / COUNT(I:I)) + 1</f>
        <v>2</v>
      </c>
      <c r="M2446" t="str">
        <f t="shared" si="76"/>
        <v>512</v>
      </c>
      <c r="N2446" s="6" t="str">
        <f t="shared" si="77"/>
        <v>New Customers</v>
      </c>
    </row>
    <row r="2447" spans="1:14" x14ac:dyDescent="0.35">
      <c r="A2447">
        <v>1331</v>
      </c>
      <c r="B2447" s="4">
        <v>46006.375085336993</v>
      </c>
      <c r="C2447" t="s">
        <v>7</v>
      </c>
      <c r="D2447" t="s">
        <v>16</v>
      </c>
      <c r="E2447" t="s">
        <v>25</v>
      </c>
      <c r="F2447">
        <v>5990.68</v>
      </c>
      <c r="G2447">
        <f t="array" ref="G2447">SalesData!$I$2 - 'RFM Table'!B2447</f>
        <v>130</v>
      </c>
      <c r="H2447">
        <f t="array" ref="H2447">COUNTIF(A:A,A2447)</f>
        <v>4</v>
      </c>
      <c r="I2447">
        <f t="array" ref="I2447">SUMIF(A:A,A2447,F:F)</f>
        <v>21830.14</v>
      </c>
      <c r="J2447">
        <f t="array" ref="J2447">5 - INT(5 * (RANK(G2447,G:G, 1) - 1) / COUNT(G:G))</f>
        <v>5</v>
      </c>
      <c r="K2447">
        <f t="array" ref="K2447">INT(5 * (RANK(H2447,H:H, 0) - 1) / COUNT(H:H)) + 1</f>
        <v>5</v>
      </c>
      <c r="L2447">
        <f t="array" ref="L2447">INT(5 * (RANK(I2447,I:I, 0) - 1) / COUNT(I:I)) + 1</f>
        <v>4</v>
      </c>
      <c r="M2447" t="str">
        <f t="shared" si="76"/>
        <v>554</v>
      </c>
      <c r="N2447" s="6" t="str">
        <f t="shared" si="77"/>
        <v>Others</v>
      </c>
    </row>
    <row r="2448" spans="1:14" x14ac:dyDescent="0.35">
      <c r="A2448">
        <v>1075</v>
      </c>
      <c r="B2448" s="4">
        <v>46007.375085336993</v>
      </c>
      <c r="C2448" t="s">
        <v>6</v>
      </c>
      <c r="D2448" t="s">
        <v>16</v>
      </c>
      <c r="E2448" t="s">
        <v>24</v>
      </c>
      <c r="F2448">
        <v>4983.4399999999996</v>
      </c>
      <c r="G2448">
        <f t="array" ref="G2448">SalesData!$I$2 - 'RFM Table'!B2448</f>
        <v>129</v>
      </c>
      <c r="H2448">
        <f t="array" ref="H2448">COUNTIF(A:A,A2448)</f>
        <v>8</v>
      </c>
      <c r="I2448">
        <f t="array" ref="I2448">SUMIF(A:A,A2448,F:F)</f>
        <v>27084.66</v>
      </c>
      <c r="J2448">
        <f t="array" ref="J2448">5 - INT(5 * (RANK(G2448,G:G, 1) - 1) / COUNT(G:G))</f>
        <v>5</v>
      </c>
      <c r="K2448">
        <f t="array" ref="K2448">INT(5 * (RANK(H2448,H:H, 0) - 1) / COUNT(H:H)) + 1</f>
        <v>3</v>
      </c>
      <c r="L2448">
        <f t="array" ref="L2448">INT(5 * (RANK(I2448,I:I, 0) - 1) / COUNT(I:I)) + 1</f>
        <v>4</v>
      </c>
      <c r="M2448" t="str">
        <f t="shared" si="76"/>
        <v>534</v>
      </c>
      <c r="N2448" s="6" t="str">
        <f t="shared" si="77"/>
        <v>Others</v>
      </c>
    </row>
    <row r="2449" spans="1:14" x14ac:dyDescent="0.35">
      <c r="A2449">
        <v>1003</v>
      </c>
      <c r="B2449" s="4">
        <v>46007.375085336993</v>
      </c>
      <c r="C2449" t="s">
        <v>13</v>
      </c>
      <c r="D2449" t="s">
        <v>16</v>
      </c>
      <c r="E2449" t="s">
        <v>24</v>
      </c>
      <c r="F2449">
        <v>7017.56</v>
      </c>
      <c r="G2449">
        <f t="array" ref="G2449">SalesData!$I$2 - 'RFM Table'!B2449</f>
        <v>129</v>
      </c>
      <c r="H2449">
        <f t="array" ref="H2449">COUNTIF(A:A,A2449)</f>
        <v>9</v>
      </c>
      <c r="I2449">
        <f t="array" ref="I2449">SUMIF(A:A,A2449,F:F)</f>
        <v>48978.57</v>
      </c>
      <c r="J2449">
        <f t="array" ref="J2449">5 - INT(5 * (RANK(G2449,G:G, 1) - 1) / COUNT(G:G))</f>
        <v>5</v>
      </c>
      <c r="K2449">
        <f t="array" ref="K2449">INT(5 * (RANK(H2449,H:H, 0) - 1) / COUNT(H:H)) + 1</f>
        <v>2</v>
      </c>
      <c r="L2449">
        <f t="array" ref="L2449">INT(5 * (RANK(I2449,I:I, 0) - 1) / COUNT(I:I)) + 1</f>
        <v>1</v>
      </c>
      <c r="M2449" t="str">
        <f t="shared" si="76"/>
        <v>521</v>
      </c>
      <c r="N2449" s="6" t="str">
        <f t="shared" si="77"/>
        <v>New Customers</v>
      </c>
    </row>
    <row r="2450" spans="1:14" x14ac:dyDescent="0.35">
      <c r="A2450">
        <v>1020</v>
      </c>
      <c r="B2450" s="4">
        <v>46007.375085336993</v>
      </c>
      <c r="C2450" t="s">
        <v>11</v>
      </c>
      <c r="D2450" t="s">
        <v>22</v>
      </c>
      <c r="E2450" t="s">
        <v>23</v>
      </c>
      <c r="F2450">
        <v>2414.71</v>
      </c>
      <c r="G2450">
        <f t="array" ref="G2450">SalesData!$I$2 - 'RFM Table'!B2450</f>
        <v>129</v>
      </c>
      <c r="H2450">
        <f t="array" ref="H2450">COUNTIF(A:A,A2450)</f>
        <v>6</v>
      </c>
      <c r="I2450">
        <f t="array" ref="I2450">SUMIF(A:A,A2450,F:F)</f>
        <v>22687.77</v>
      </c>
      <c r="J2450">
        <f t="array" ref="J2450">5 - INT(5 * (RANK(G2450,G:G, 1) - 1) / COUNT(G:G))</f>
        <v>5</v>
      </c>
      <c r="K2450">
        <f t="array" ref="K2450">INT(5 * (RANK(H2450,H:H, 0) - 1) / COUNT(H:H)) + 1</f>
        <v>4</v>
      </c>
      <c r="L2450">
        <f t="array" ref="L2450">INT(5 * (RANK(I2450,I:I, 0) - 1) / COUNT(I:I)) + 1</f>
        <v>4</v>
      </c>
      <c r="M2450" t="str">
        <f t="shared" si="76"/>
        <v>544</v>
      </c>
      <c r="N2450" s="6" t="str">
        <f t="shared" si="77"/>
        <v>Others</v>
      </c>
    </row>
    <row r="2451" spans="1:14" x14ac:dyDescent="0.35">
      <c r="A2451">
        <v>1328</v>
      </c>
      <c r="B2451" s="4">
        <v>46007.375085336993</v>
      </c>
      <c r="C2451" t="s">
        <v>11</v>
      </c>
      <c r="D2451" t="s">
        <v>19</v>
      </c>
      <c r="E2451" t="s">
        <v>25</v>
      </c>
      <c r="F2451">
        <v>526.26</v>
      </c>
      <c r="G2451">
        <f t="array" ref="G2451">SalesData!$I$2 - 'RFM Table'!B2451</f>
        <v>129</v>
      </c>
      <c r="H2451">
        <f t="array" ref="H2451">COUNTIF(A:A,A2451)</f>
        <v>5</v>
      </c>
      <c r="I2451">
        <f t="array" ref="I2451">SUMIF(A:A,A2451,F:F)</f>
        <v>21621.77</v>
      </c>
      <c r="J2451">
        <f t="array" ref="J2451">5 - INT(5 * (RANK(G2451,G:G, 1) - 1) / COUNT(G:G))</f>
        <v>5</v>
      </c>
      <c r="K2451">
        <f t="array" ref="K2451">INT(5 * (RANK(H2451,H:H, 0) - 1) / COUNT(H:H)) + 1</f>
        <v>5</v>
      </c>
      <c r="L2451">
        <f t="array" ref="L2451">INT(5 * (RANK(I2451,I:I, 0) - 1) / COUNT(I:I)) + 1</f>
        <v>5</v>
      </c>
      <c r="M2451" t="str">
        <f t="shared" si="76"/>
        <v>555</v>
      </c>
      <c r="N2451" s="6" t="str">
        <f t="shared" si="77"/>
        <v>Others</v>
      </c>
    </row>
    <row r="2452" spans="1:14" x14ac:dyDescent="0.35">
      <c r="A2452">
        <v>1078</v>
      </c>
      <c r="B2452" s="4">
        <v>46007.375085336993</v>
      </c>
      <c r="C2452" t="s">
        <v>10</v>
      </c>
      <c r="D2452" t="s">
        <v>22</v>
      </c>
      <c r="E2452" t="s">
        <v>23</v>
      </c>
      <c r="F2452">
        <v>4597.82</v>
      </c>
      <c r="G2452">
        <f t="array" ref="G2452">SalesData!$I$2 - 'RFM Table'!B2452</f>
        <v>129</v>
      </c>
      <c r="H2452">
        <f t="array" ref="H2452">COUNTIF(A:A,A2452)</f>
        <v>5</v>
      </c>
      <c r="I2452">
        <f t="array" ref="I2452">SUMIF(A:A,A2452,F:F)</f>
        <v>16253.25</v>
      </c>
      <c r="J2452">
        <f t="array" ref="J2452">5 - INT(5 * (RANK(G2452,G:G, 1) - 1) / COUNT(G:G))</f>
        <v>5</v>
      </c>
      <c r="K2452">
        <f t="array" ref="K2452">INT(5 * (RANK(H2452,H:H, 0) - 1) / COUNT(H:H)) + 1</f>
        <v>5</v>
      </c>
      <c r="L2452">
        <f t="array" ref="L2452">INT(5 * (RANK(I2452,I:I, 0) - 1) / COUNT(I:I)) + 1</f>
        <v>5</v>
      </c>
      <c r="M2452" t="str">
        <f t="shared" si="76"/>
        <v>555</v>
      </c>
      <c r="N2452" s="6" t="str">
        <f t="shared" si="77"/>
        <v>Others</v>
      </c>
    </row>
    <row r="2453" spans="1:14" x14ac:dyDescent="0.35">
      <c r="A2453">
        <v>1389</v>
      </c>
      <c r="B2453" s="4">
        <v>46007.375085336993</v>
      </c>
      <c r="C2453" t="s">
        <v>12</v>
      </c>
      <c r="D2453" t="s">
        <v>17</v>
      </c>
      <c r="E2453" t="s">
        <v>23</v>
      </c>
      <c r="F2453">
        <v>7325.79</v>
      </c>
      <c r="G2453">
        <f t="array" ref="G2453">SalesData!$I$2 - 'RFM Table'!B2453</f>
        <v>129</v>
      </c>
      <c r="H2453">
        <f t="array" ref="H2453">COUNTIF(A:A,A2453)</f>
        <v>8</v>
      </c>
      <c r="I2453">
        <f t="array" ref="I2453">SUMIF(A:A,A2453,F:F)</f>
        <v>35723.81</v>
      </c>
      <c r="J2453">
        <f t="array" ref="J2453">5 - INT(5 * (RANK(G2453,G:G, 1) - 1) / COUNT(G:G))</f>
        <v>5</v>
      </c>
      <c r="K2453">
        <f t="array" ref="K2453">INT(5 * (RANK(H2453,H:H, 0) - 1) / COUNT(H:H)) + 1</f>
        <v>3</v>
      </c>
      <c r="L2453">
        <f t="array" ref="L2453">INT(5 * (RANK(I2453,I:I, 0) - 1) / COUNT(I:I)) + 1</f>
        <v>3</v>
      </c>
      <c r="M2453" t="str">
        <f t="shared" si="76"/>
        <v>533</v>
      </c>
      <c r="N2453" s="6" t="str">
        <f t="shared" si="77"/>
        <v>Others</v>
      </c>
    </row>
    <row r="2454" spans="1:14" x14ac:dyDescent="0.35">
      <c r="A2454">
        <v>1398</v>
      </c>
      <c r="B2454" s="4">
        <v>46007.375085336993</v>
      </c>
      <c r="C2454" t="s">
        <v>9</v>
      </c>
      <c r="D2454" t="s">
        <v>16</v>
      </c>
      <c r="E2454" t="s">
        <v>24</v>
      </c>
      <c r="F2454">
        <v>2934.2</v>
      </c>
      <c r="G2454">
        <f t="array" ref="G2454">SalesData!$I$2 - 'RFM Table'!B2454</f>
        <v>129</v>
      </c>
      <c r="H2454">
        <f t="array" ref="H2454">COUNTIF(A:A,A2454)</f>
        <v>7</v>
      </c>
      <c r="I2454">
        <f t="array" ref="I2454">SUMIF(A:A,A2454,F:F)</f>
        <v>28040.249999999996</v>
      </c>
      <c r="J2454">
        <f t="array" ref="J2454">5 - INT(5 * (RANK(G2454,G:G, 1) - 1) / COUNT(G:G))</f>
        <v>5</v>
      </c>
      <c r="K2454">
        <f t="array" ref="K2454">INT(5 * (RANK(H2454,H:H, 0) - 1) / COUNT(H:H)) + 1</f>
        <v>4</v>
      </c>
      <c r="L2454">
        <f t="array" ref="L2454">INT(5 * (RANK(I2454,I:I, 0) - 1) / COUNT(I:I)) + 1</f>
        <v>4</v>
      </c>
      <c r="M2454" t="str">
        <f t="shared" si="76"/>
        <v>544</v>
      </c>
      <c r="N2454" s="6" t="str">
        <f t="shared" si="77"/>
        <v>Others</v>
      </c>
    </row>
    <row r="2455" spans="1:14" x14ac:dyDescent="0.35">
      <c r="A2455">
        <v>1295</v>
      </c>
      <c r="B2455" s="4">
        <v>46008.375085336993</v>
      </c>
      <c r="C2455" t="s">
        <v>14</v>
      </c>
      <c r="D2455" t="s">
        <v>22</v>
      </c>
      <c r="E2455" t="s">
        <v>23</v>
      </c>
      <c r="F2455">
        <v>688.92</v>
      </c>
      <c r="G2455">
        <f t="array" ref="G2455">SalesData!$I$2 - 'RFM Table'!B2455</f>
        <v>128</v>
      </c>
      <c r="H2455">
        <f t="array" ref="H2455">COUNTIF(A:A,A2455)</f>
        <v>6</v>
      </c>
      <c r="I2455">
        <f t="array" ref="I2455">SUMIF(A:A,A2455,F:F)</f>
        <v>19844.169999999998</v>
      </c>
      <c r="J2455">
        <f t="array" ref="J2455">5 - INT(5 * (RANK(G2455,G:G, 1) - 1) / COUNT(G:G))</f>
        <v>5</v>
      </c>
      <c r="K2455">
        <f t="array" ref="K2455">INT(5 * (RANK(H2455,H:H, 0) - 1) / COUNT(H:H)) + 1</f>
        <v>4</v>
      </c>
      <c r="L2455">
        <f t="array" ref="L2455">INT(5 * (RANK(I2455,I:I, 0) - 1) / COUNT(I:I)) + 1</f>
        <v>5</v>
      </c>
      <c r="M2455" t="str">
        <f t="shared" si="76"/>
        <v>545</v>
      </c>
      <c r="N2455" s="6" t="str">
        <f t="shared" si="77"/>
        <v>Others</v>
      </c>
    </row>
    <row r="2456" spans="1:14" x14ac:dyDescent="0.35">
      <c r="A2456">
        <v>1034</v>
      </c>
      <c r="B2456" s="4">
        <v>46008.375085336993</v>
      </c>
      <c r="C2456" t="s">
        <v>11</v>
      </c>
      <c r="D2456" t="s">
        <v>17</v>
      </c>
      <c r="E2456" t="s">
        <v>23</v>
      </c>
      <c r="F2456">
        <v>2331.2600000000002</v>
      </c>
      <c r="G2456">
        <f t="array" ref="G2456">SalesData!$I$2 - 'RFM Table'!B2456</f>
        <v>128</v>
      </c>
      <c r="H2456">
        <f t="array" ref="H2456">COUNTIF(A:A,A2456)</f>
        <v>8</v>
      </c>
      <c r="I2456">
        <f t="array" ref="I2456">SUMIF(A:A,A2456,F:F)</f>
        <v>22493.960000000003</v>
      </c>
      <c r="J2456">
        <f t="array" ref="J2456">5 - INT(5 * (RANK(G2456,G:G, 1) - 1) / COUNT(G:G))</f>
        <v>5</v>
      </c>
      <c r="K2456">
        <f t="array" ref="K2456">INT(5 * (RANK(H2456,H:H, 0) - 1) / COUNT(H:H)) + 1</f>
        <v>3</v>
      </c>
      <c r="L2456">
        <f t="array" ref="L2456">INT(5 * (RANK(I2456,I:I, 0) - 1) / COUNT(I:I)) + 1</f>
        <v>4</v>
      </c>
      <c r="M2456" t="str">
        <f t="shared" si="76"/>
        <v>534</v>
      </c>
      <c r="N2456" s="6" t="str">
        <f t="shared" si="77"/>
        <v>Others</v>
      </c>
    </row>
    <row r="2457" spans="1:14" x14ac:dyDescent="0.35">
      <c r="A2457">
        <v>1024</v>
      </c>
      <c r="B2457" s="4">
        <v>46008.375085336993</v>
      </c>
      <c r="C2457" t="s">
        <v>6</v>
      </c>
      <c r="D2457" t="s">
        <v>16</v>
      </c>
      <c r="E2457" t="s">
        <v>24</v>
      </c>
      <c r="F2457">
        <v>875.36</v>
      </c>
      <c r="G2457">
        <f t="array" ref="G2457">SalesData!$I$2 - 'RFM Table'!B2457</f>
        <v>128</v>
      </c>
      <c r="H2457">
        <f t="array" ref="H2457">COUNTIF(A:A,A2457)</f>
        <v>12</v>
      </c>
      <c r="I2457">
        <f t="array" ref="I2457">SUMIF(A:A,A2457,F:F)</f>
        <v>48008.159999999996</v>
      </c>
      <c r="J2457">
        <f t="array" ref="J2457">5 - INT(5 * (RANK(G2457,G:G, 1) - 1) / COUNT(G:G))</f>
        <v>5</v>
      </c>
      <c r="K2457">
        <f t="array" ref="K2457">INT(5 * (RANK(H2457,H:H, 0) - 1) / COUNT(H:H)) + 1</f>
        <v>1</v>
      </c>
      <c r="L2457">
        <f t="array" ref="L2457">INT(5 * (RANK(I2457,I:I, 0) - 1) / COUNT(I:I)) + 1</f>
        <v>1</v>
      </c>
      <c r="M2457" t="str">
        <f t="shared" si="76"/>
        <v>511</v>
      </c>
      <c r="N2457" s="6" t="str">
        <f t="shared" si="77"/>
        <v>New Customers</v>
      </c>
    </row>
    <row r="2458" spans="1:14" x14ac:dyDescent="0.35">
      <c r="A2458">
        <v>1261</v>
      </c>
      <c r="B2458" s="4">
        <v>46008.375085336993</v>
      </c>
      <c r="C2458" t="s">
        <v>13</v>
      </c>
      <c r="D2458" t="s">
        <v>20</v>
      </c>
      <c r="E2458" t="s">
        <v>24</v>
      </c>
      <c r="F2458">
        <v>5196.59</v>
      </c>
      <c r="G2458">
        <f t="array" ref="G2458">SalesData!$I$2 - 'RFM Table'!B2458</f>
        <v>128</v>
      </c>
      <c r="H2458">
        <f t="array" ref="H2458">COUNTIF(A:A,A2458)</f>
        <v>8</v>
      </c>
      <c r="I2458">
        <f t="array" ref="I2458">SUMIF(A:A,A2458,F:F)</f>
        <v>28310.01</v>
      </c>
      <c r="J2458">
        <f t="array" ref="J2458">5 - INT(5 * (RANK(G2458,G:G, 1) - 1) / COUNT(G:G))</f>
        <v>5</v>
      </c>
      <c r="K2458">
        <f t="array" ref="K2458">INT(5 * (RANK(H2458,H:H, 0) - 1) / COUNT(H:H)) + 1</f>
        <v>3</v>
      </c>
      <c r="L2458">
        <f t="array" ref="L2458">INT(5 * (RANK(I2458,I:I, 0) - 1) / COUNT(I:I)) + 1</f>
        <v>4</v>
      </c>
      <c r="M2458" t="str">
        <f t="shared" si="76"/>
        <v>534</v>
      </c>
      <c r="N2458" s="6" t="str">
        <f t="shared" si="77"/>
        <v>Others</v>
      </c>
    </row>
    <row r="2459" spans="1:14" x14ac:dyDescent="0.35">
      <c r="A2459">
        <v>1043</v>
      </c>
      <c r="B2459" s="4">
        <v>46009.375085336993</v>
      </c>
      <c r="C2459" t="s">
        <v>14</v>
      </c>
      <c r="D2459" t="s">
        <v>18</v>
      </c>
      <c r="E2459" t="s">
        <v>25</v>
      </c>
      <c r="F2459">
        <v>2305.1799999999998</v>
      </c>
      <c r="G2459">
        <f t="array" ref="G2459">SalesData!$I$2 - 'RFM Table'!B2459</f>
        <v>127</v>
      </c>
      <c r="H2459">
        <f t="array" ref="H2459">COUNTIF(A:A,A2459)</f>
        <v>7</v>
      </c>
      <c r="I2459">
        <f t="array" ref="I2459">SUMIF(A:A,A2459,F:F)</f>
        <v>20627.900000000001</v>
      </c>
      <c r="J2459">
        <f t="array" ref="J2459">5 - INT(5 * (RANK(G2459,G:G, 1) - 1) / COUNT(G:G))</f>
        <v>5</v>
      </c>
      <c r="K2459">
        <f t="array" ref="K2459">INT(5 * (RANK(H2459,H:H, 0) - 1) / COUNT(H:H)) + 1</f>
        <v>4</v>
      </c>
      <c r="L2459">
        <f t="array" ref="L2459">INT(5 * (RANK(I2459,I:I, 0) - 1) / COUNT(I:I)) + 1</f>
        <v>5</v>
      </c>
      <c r="M2459" t="str">
        <f t="shared" si="76"/>
        <v>545</v>
      </c>
      <c r="N2459" s="6" t="str">
        <f t="shared" si="77"/>
        <v>Others</v>
      </c>
    </row>
    <row r="2460" spans="1:14" x14ac:dyDescent="0.35">
      <c r="A2460">
        <v>1317</v>
      </c>
      <c r="B2460" s="4">
        <v>46009.375085336993</v>
      </c>
      <c r="C2460" t="s">
        <v>6</v>
      </c>
      <c r="D2460" t="s">
        <v>21</v>
      </c>
      <c r="E2460" t="s">
        <v>23</v>
      </c>
      <c r="F2460">
        <v>1566.45</v>
      </c>
      <c r="G2460">
        <f t="array" ref="G2460">SalesData!$I$2 - 'RFM Table'!B2460</f>
        <v>127</v>
      </c>
      <c r="H2460">
        <f t="array" ref="H2460">COUNTIF(A:A,A2460)</f>
        <v>12</v>
      </c>
      <c r="I2460">
        <f t="array" ref="I2460">SUMIF(A:A,A2460,F:F)</f>
        <v>43413.4</v>
      </c>
      <c r="J2460">
        <f t="array" ref="J2460">5 - INT(5 * (RANK(G2460,G:G, 1) - 1) / COUNT(G:G))</f>
        <v>5</v>
      </c>
      <c r="K2460">
        <f t="array" ref="K2460">INT(5 * (RANK(H2460,H:H, 0) - 1) / COUNT(H:H)) + 1</f>
        <v>1</v>
      </c>
      <c r="L2460">
        <f t="array" ref="L2460">INT(5 * (RANK(I2460,I:I, 0) - 1) / COUNT(I:I)) + 1</f>
        <v>2</v>
      </c>
      <c r="M2460" t="str">
        <f t="shared" si="76"/>
        <v>512</v>
      </c>
      <c r="N2460" s="6" t="str">
        <f t="shared" si="77"/>
        <v>New Customers</v>
      </c>
    </row>
    <row r="2461" spans="1:14" x14ac:dyDescent="0.35">
      <c r="A2461">
        <v>1389</v>
      </c>
      <c r="B2461" s="4">
        <v>46009.375085336993</v>
      </c>
      <c r="C2461" t="s">
        <v>15</v>
      </c>
      <c r="D2461" t="s">
        <v>21</v>
      </c>
      <c r="E2461" t="s">
        <v>24</v>
      </c>
      <c r="F2461">
        <v>1488.53</v>
      </c>
      <c r="G2461">
        <f t="array" ref="G2461">SalesData!$I$2 - 'RFM Table'!B2461</f>
        <v>127</v>
      </c>
      <c r="H2461">
        <f t="array" ref="H2461">COUNTIF(A:A,A2461)</f>
        <v>8</v>
      </c>
      <c r="I2461">
        <f t="array" ref="I2461">SUMIF(A:A,A2461,F:F)</f>
        <v>35723.81</v>
      </c>
      <c r="J2461">
        <f t="array" ref="J2461">5 - INT(5 * (RANK(G2461,G:G, 1) - 1) / COUNT(G:G))</f>
        <v>5</v>
      </c>
      <c r="K2461">
        <f t="array" ref="K2461">INT(5 * (RANK(H2461,H:H, 0) - 1) / COUNT(H:H)) + 1</f>
        <v>3</v>
      </c>
      <c r="L2461">
        <f t="array" ref="L2461">INT(5 * (RANK(I2461,I:I, 0) - 1) / COUNT(I:I)) + 1</f>
        <v>3</v>
      </c>
      <c r="M2461" t="str">
        <f t="shared" si="76"/>
        <v>533</v>
      </c>
      <c r="N2461" s="6" t="str">
        <f t="shared" si="77"/>
        <v>Others</v>
      </c>
    </row>
    <row r="2462" spans="1:14" x14ac:dyDescent="0.35">
      <c r="A2462">
        <v>1117</v>
      </c>
      <c r="B2462" s="4">
        <v>46009.375085336993</v>
      </c>
      <c r="C2462" t="s">
        <v>10</v>
      </c>
      <c r="D2462" t="s">
        <v>17</v>
      </c>
      <c r="E2462" t="s">
        <v>23</v>
      </c>
      <c r="F2462">
        <v>2894.98</v>
      </c>
      <c r="G2462">
        <f t="array" ref="G2462">SalesData!$I$2 - 'RFM Table'!B2462</f>
        <v>127</v>
      </c>
      <c r="H2462">
        <f t="array" ref="H2462">COUNTIF(A:A,A2462)</f>
        <v>10</v>
      </c>
      <c r="I2462">
        <f t="array" ref="I2462">SUMIF(A:A,A2462,F:F)</f>
        <v>47973.33</v>
      </c>
      <c r="J2462">
        <f t="array" ref="J2462">5 - INT(5 * (RANK(G2462,G:G, 1) - 1) / COUNT(G:G))</f>
        <v>5</v>
      </c>
      <c r="K2462">
        <f t="array" ref="K2462">INT(5 * (RANK(H2462,H:H, 0) - 1) / COUNT(H:H)) + 1</f>
        <v>2</v>
      </c>
      <c r="L2462">
        <f t="array" ref="L2462">INT(5 * (RANK(I2462,I:I, 0) - 1) / COUNT(I:I)) + 1</f>
        <v>1</v>
      </c>
      <c r="M2462" t="str">
        <f t="shared" si="76"/>
        <v>521</v>
      </c>
      <c r="N2462" s="6" t="str">
        <f t="shared" si="77"/>
        <v>New Customers</v>
      </c>
    </row>
    <row r="2463" spans="1:14" x14ac:dyDescent="0.35">
      <c r="A2463">
        <v>1323</v>
      </c>
      <c r="B2463" s="4">
        <v>46010.375085336993</v>
      </c>
      <c r="C2463" t="s">
        <v>7</v>
      </c>
      <c r="D2463" t="s">
        <v>19</v>
      </c>
      <c r="E2463" t="s">
        <v>23</v>
      </c>
      <c r="F2463">
        <v>11378.33</v>
      </c>
      <c r="G2463">
        <f t="array" ref="G2463">SalesData!$I$2 - 'RFM Table'!B2463</f>
        <v>126</v>
      </c>
      <c r="H2463">
        <f t="array" ref="H2463">COUNTIF(A:A,A2463)</f>
        <v>9</v>
      </c>
      <c r="I2463">
        <f t="array" ref="I2463">SUMIF(A:A,A2463,F:F)</f>
        <v>39366.480000000003</v>
      </c>
      <c r="J2463">
        <f t="array" ref="J2463">5 - INT(5 * (RANK(G2463,G:G, 1) - 1) / COUNT(G:G))</f>
        <v>5</v>
      </c>
      <c r="K2463">
        <f t="array" ref="K2463">INT(5 * (RANK(H2463,H:H, 0) - 1) / COUNT(H:H)) + 1</f>
        <v>2</v>
      </c>
      <c r="L2463">
        <f t="array" ref="L2463">INT(5 * (RANK(I2463,I:I, 0) - 1) / COUNT(I:I)) + 1</f>
        <v>2</v>
      </c>
      <c r="M2463" t="str">
        <f t="shared" si="76"/>
        <v>522</v>
      </c>
      <c r="N2463" s="6" t="str">
        <f t="shared" si="77"/>
        <v>New Customers</v>
      </c>
    </row>
    <row r="2464" spans="1:14" x14ac:dyDescent="0.35">
      <c r="A2464">
        <v>1195</v>
      </c>
      <c r="B2464" s="4">
        <v>46010.375085336993</v>
      </c>
      <c r="C2464" t="s">
        <v>11</v>
      </c>
      <c r="D2464" t="s">
        <v>19</v>
      </c>
      <c r="E2464" t="s">
        <v>25</v>
      </c>
      <c r="F2464">
        <v>1752.04</v>
      </c>
      <c r="G2464">
        <f t="array" ref="G2464">SalesData!$I$2 - 'RFM Table'!B2464</f>
        <v>126</v>
      </c>
      <c r="H2464">
        <f t="array" ref="H2464">COUNTIF(A:A,A2464)</f>
        <v>7</v>
      </c>
      <c r="I2464">
        <f t="array" ref="I2464">SUMIF(A:A,A2464,F:F)</f>
        <v>22005.660000000003</v>
      </c>
      <c r="J2464">
        <f t="array" ref="J2464">5 - INT(5 * (RANK(G2464,G:G, 1) - 1) / COUNT(G:G))</f>
        <v>5</v>
      </c>
      <c r="K2464">
        <f t="array" ref="K2464">INT(5 * (RANK(H2464,H:H, 0) - 1) / COUNT(H:H)) + 1</f>
        <v>4</v>
      </c>
      <c r="L2464">
        <f t="array" ref="L2464">INT(5 * (RANK(I2464,I:I, 0) - 1) / COUNT(I:I)) + 1</f>
        <v>4</v>
      </c>
      <c r="M2464" t="str">
        <f t="shared" si="76"/>
        <v>544</v>
      </c>
      <c r="N2464" s="6" t="str">
        <f t="shared" si="77"/>
        <v>Others</v>
      </c>
    </row>
    <row r="2465" spans="1:14" x14ac:dyDescent="0.35">
      <c r="A2465">
        <v>1308</v>
      </c>
      <c r="B2465" s="4">
        <v>46010.375085336993</v>
      </c>
      <c r="C2465" t="s">
        <v>11</v>
      </c>
      <c r="D2465" t="s">
        <v>20</v>
      </c>
      <c r="E2465" t="s">
        <v>24</v>
      </c>
      <c r="F2465">
        <v>2172.48</v>
      </c>
      <c r="G2465">
        <f t="array" ref="G2465">SalesData!$I$2 - 'RFM Table'!B2465</f>
        <v>126</v>
      </c>
      <c r="H2465">
        <f t="array" ref="H2465">COUNTIF(A:A,A2465)</f>
        <v>6</v>
      </c>
      <c r="I2465">
        <f t="array" ref="I2465">SUMIF(A:A,A2465,F:F)</f>
        <v>16743.59</v>
      </c>
      <c r="J2465">
        <f t="array" ref="J2465">5 - INT(5 * (RANK(G2465,G:G, 1) - 1) / COUNT(G:G))</f>
        <v>5</v>
      </c>
      <c r="K2465">
        <f t="array" ref="K2465">INT(5 * (RANK(H2465,H:H, 0) - 1) / COUNT(H:H)) + 1</f>
        <v>4</v>
      </c>
      <c r="L2465">
        <f t="array" ref="L2465">INT(5 * (RANK(I2465,I:I, 0) - 1) / COUNT(I:I)) + 1</f>
        <v>5</v>
      </c>
      <c r="M2465" t="str">
        <f t="shared" si="76"/>
        <v>545</v>
      </c>
      <c r="N2465" s="6" t="str">
        <f t="shared" si="77"/>
        <v>Others</v>
      </c>
    </row>
    <row r="2466" spans="1:14" x14ac:dyDescent="0.35">
      <c r="A2466">
        <v>1113</v>
      </c>
      <c r="B2466" s="4">
        <v>46010.375085336993</v>
      </c>
      <c r="C2466" t="s">
        <v>11</v>
      </c>
      <c r="D2466" t="s">
        <v>17</v>
      </c>
      <c r="E2466" t="s">
        <v>25</v>
      </c>
      <c r="F2466">
        <v>2909.94</v>
      </c>
      <c r="G2466">
        <f t="array" ref="G2466">SalesData!$I$2 - 'RFM Table'!B2466</f>
        <v>126</v>
      </c>
      <c r="H2466">
        <f t="array" ref="H2466">COUNTIF(A:A,A2466)</f>
        <v>7</v>
      </c>
      <c r="I2466">
        <f t="array" ref="I2466">SUMIF(A:A,A2466,F:F)</f>
        <v>17672.689999999999</v>
      </c>
      <c r="J2466">
        <f t="array" ref="J2466">5 - INT(5 * (RANK(G2466,G:G, 1) - 1) / COUNT(G:G))</f>
        <v>5</v>
      </c>
      <c r="K2466">
        <f t="array" ref="K2466">INT(5 * (RANK(H2466,H:H, 0) - 1) / COUNT(H:H)) + 1</f>
        <v>4</v>
      </c>
      <c r="L2466">
        <f t="array" ref="L2466">INT(5 * (RANK(I2466,I:I, 0) - 1) / COUNT(I:I)) + 1</f>
        <v>5</v>
      </c>
      <c r="M2466" t="str">
        <f t="shared" si="76"/>
        <v>545</v>
      </c>
      <c r="N2466" s="6" t="str">
        <f t="shared" si="77"/>
        <v>Others</v>
      </c>
    </row>
    <row r="2467" spans="1:14" x14ac:dyDescent="0.35">
      <c r="A2467">
        <v>1232</v>
      </c>
      <c r="B2467" s="4">
        <v>46011.375085336993</v>
      </c>
      <c r="C2467" t="s">
        <v>9</v>
      </c>
      <c r="D2467" t="s">
        <v>21</v>
      </c>
      <c r="E2467" t="s">
        <v>24</v>
      </c>
      <c r="F2467">
        <v>2667.05</v>
      </c>
      <c r="G2467">
        <f t="array" ref="G2467">SalesData!$I$2 - 'RFM Table'!B2467</f>
        <v>125</v>
      </c>
      <c r="H2467">
        <f t="array" ref="H2467">COUNTIF(A:A,A2467)</f>
        <v>13</v>
      </c>
      <c r="I2467">
        <f t="array" ref="I2467">SUMIF(A:A,A2467,F:F)</f>
        <v>40298.450000000004</v>
      </c>
      <c r="J2467">
        <f t="array" ref="J2467">5 - INT(5 * (RANK(G2467,G:G, 1) - 1) / COUNT(G:G))</f>
        <v>5</v>
      </c>
      <c r="K2467">
        <f t="array" ref="K2467">INT(5 * (RANK(H2467,H:H, 0) - 1) / COUNT(H:H)) + 1</f>
        <v>1</v>
      </c>
      <c r="L2467">
        <f t="array" ref="L2467">INT(5 * (RANK(I2467,I:I, 0) - 1) / COUNT(I:I)) + 1</f>
        <v>2</v>
      </c>
      <c r="M2467" t="str">
        <f t="shared" si="76"/>
        <v>512</v>
      </c>
      <c r="N2467" s="6" t="str">
        <f t="shared" si="77"/>
        <v>New Customers</v>
      </c>
    </row>
    <row r="2468" spans="1:14" x14ac:dyDescent="0.35">
      <c r="A2468">
        <v>1287</v>
      </c>
      <c r="B2468" s="4">
        <v>46011.375085336993</v>
      </c>
      <c r="C2468" t="s">
        <v>9</v>
      </c>
      <c r="D2468" t="s">
        <v>16</v>
      </c>
      <c r="E2468" t="s">
        <v>24</v>
      </c>
      <c r="F2468">
        <v>6904.9</v>
      </c>
      <c r="G2468">
        <f t="array" ref="G2468">SalesData!$I$2 - 'RFM Table'!B2468</f>
        <v>125</v>
      </c>
      <c r="H2468">
        <f t="array" ref="H2468">COUNTIF(A:A,A2468)</f>
        <v>16</v>
      </c>
      <c r="I2468">
        <f t="array" ref="I2468">SUMIF(A:A,A2468,F:F)</f>
        <v>64716.249999999985</v>
      </c>
      <c r="J2468">
        <f t="array" ref="J2468">5 - INT(5 * (RANK(G2468,G:G, 1) - 1) / COUNT(G:G))</f>
        <v>5</v>
      </c>
      <c r="K2468">
        <f t="array" ref="K2468">INT(5 * (RANK(H2468,H:H, 0) - 1) / COUNT(H:H)) + 1</f>
        <v>1</v>
      </c>
      <c r="L2468">
        <f t="array" ref="L2468">INT(5 * (RANK(I2468,I:I, 0) - 1) / COUNT(I:I)) + 1</f>
        <v>1</v>
      </c>
      <c r="M2468" t="str">
        <f t="shared" si="76"/>
        <v>511</v>
      </c>
      <c r="N2468" s="6" t="str">
        <f t="shared" si="77"/>
        <v>New Customers</v>
      </c>
    </row>
    <row r="2469" spans="1:14" x14ac:dyDescent="0.35">
      <c r="A2469">
        <v>1122</v>
      </c>
      <c r="B2469" s="4">
        <v>46011.375085336993</v>
      </c>
      <c r="C2469" t="s">
        <v>10</v>
      </c>
      <c r="D2469" t="s">
        <v>16</v>
      </c>
      <c r="E2469" t="s">
        <v>23</v>
      </c>
      <c r="F2469">
        <v>3552.69</v>
      </c>
      <c r="G2469">
        <f t="array" ref="G2469">SalesData!$I$2 - 'RFM Table'!B2469</f>
        <v>125</v>
      </c>
      <c r="H2469">
        <f t="array" ref="H2469">COUNTIF(A:A,A2469)</f>
        <v>4</v>
      </c>
      <c r="I2469">
        <f t="array" ref="I2469">SUMIF(A:A,A2469,F:F)</f>
        <v>10594.94</v>
      </c>
      <c r="J2469">
        <f t="array" ref="J2469">5 - INT(5 * (RANK(G2469,G:G, 1) - 1) / COUNT(G:G))</f>
        <v>5</v>
      </c>
      <c r="K2469">
        <f t="array" ref="K2469">INT(5 * (RANK(H2469,H:H, 0) - 1) / COUNT(H:H)) + 1</f>
        <v>5</v>
      </c>
      <c r="L2469">
        <f t="array" ref="L2469">INT(5 * (RANK(I2469,I:I, 0) - 1) / COUNT(I:I)) + 1</f>
        <v>5</v>
      </c>
      <c r="M2469" t="str">
        <f t="shared" si="76"/>
        <v>555</v>
      </c>
      <c r="N2469" s="6" t="str">
        <f t="shared" si="77"/>
        <v>Others</v>
      </c>
    </row>
    <row r="2470" spans="1:14" x14ac:dyDescent="0.35">
      <c r="A2470">
        <v>1067</v>
      </c>
      <c r="B2470" s="4">
        <v>46011.375085336993</v>
      </c>
      <c r="C2470" t="s">
        <v>12</v>
      </c>
      <c r="D2470" t="s">
        <v>21</v>
      </c>
      <c r="E2470" t="s">
        <v>23</v>
      </c>
      <c r="F2470">
        <v>1727.33</v>
      </c>
      <c r="G2470">
        <f t="array" ref="G2470">SalesData!$I$2 - 'RFM Table'!B2470</f>
        <v>125</v>
      </c>
      <c r="H2470">
        <f t="array" ref="H2470">COUNTIF(A:A,A2470)</f>
        <v>6</v>
      </c>
      <c r="I2470">
        <f t="array" ref="I2470">SUMIF(A:A,A2470,F:F)</f>
        <v>15612.87</v>
      </c>
      <c r="J2470">
        <f t="array" ref="J2470">5 - INT(5 * (RANK(G2470,G:G, 1) - 1) / COUNT(G:G))</f>
        <v>5</v>
      </c>
      <c r="K2470">
        <f t="array" ref="K2470">INT(5 * (RANK(H2470,H:H, 0) - 1) / COUNT(H:H)) + 1</f>
        <v>4</v>
      </c>
      <c r="L2470">
        <f t="array" ref="L2470">INT(5 * (RANK(I2470,I:I, 0) - 1) / COUNT(I:I)) + 1</f>
        <v>5</v>
      </c>
      <c r="M2470" t="str">
        <f t="shared" si="76"/>
        <v>545</v>
      </c>
      <c r="N2470" s="6" t="str">
        <f t="shared" si="77"/>
        <v>Others</v>
      </c>
    </row>
    <row r="2471" spans="1:14" x14ac:dyDescent="0.35">
      <c r="A2471">
        <v>1362</v>
      </c>
      <c r="B2471" s="4">
        <v>46011.375085336993</v>
      </c>
      <c r="C2471" t="s">
        <v>13</v>
      </c>
      <c r="D2471" t="s">
        <v>22</v>
      </c>
      <c r="E2471" t="s">
        <v>25</v>
      </c>
      <c r="F2471">
        <v>2841.05</v>
      </c>
      <c r="G2471">
        <f t="array" ref="G2471">SalesData!$I$2 - 'RFM Table'!B2471</f>
        <v>125</v>
      </c>
      <c r="H2471">
        <f t="array" ref="H2471">COUNTIF(A:A,A2471)</f>
        <v>5</v>
      </c>
      <c r="I2471">
        <f t="array" ref="I2471">SUMIF(A:A,A2471,F:F)</f>
        <v>30121.440000000002</v>
      </c>
      <c r="J2471">
        <f t="array" ref="J2471">5 - INT(5 * (RANK(G2471,G:G, 1) - 1) / COUNT(G:G))</f>
        <v>5</v>
      </c>
      <c r="K2471">
        <f t="array" ref="K2471">INT(5 * (RANK(H2471,H:H, 0) - 1) / COUNT(H:H)) + 1</f>
        <v>5</v>
      </c>
      <c r="L2471">
        <f t="array" ref="L2471">INT(5 * (RANK(I2471,I:I, 0) - 1) / COUNT(I:I)) + 1</f>
        <v>3</v>
      </c>
      <c r="M2471" t="str">
        <f t="shared" si="76"/>
        <v>553</v>
      </c>
      <c r="N2471" s="6" t="str">
        <f t="shared" si="77"/>
        <v>Others</v>
      </c>
    </row>
    <row r="2472" spans="1:14" x14ac:dyDescent="0.35">
      <c r="A2472">
        <v>1147</v>
      </c>
      <c r="B2472" s="4">
        <v>46011.375085336993</v>
      </c>
      <c r="C2472" t="s">
        <v>12</v>
      </c>
      <c r="D2472" t="s">
        <v>16</v>
      </c>
      <c r="E2472" t="s">
        <v>25</v>
      </c>
      <c r="F2472">
        <v>4918.05</v>
      </c>
      <c r="G2472">
        <f t="array" ref="G2472">SalesData!$I$2 - 'RFM Table'!B2472</f>
        <v>125</v>
      </c>
      <c r="H2472">
        <f t="array" ref="H2472">COUNTIF(A:A,A2472)</f>
        <v>9</v>
      </c>
      <c r="I2472">
        <f t="array" ref="I2472">SUMIF(A:A,A2472,F:F)</f>
        <v>31221.600000000002</v>
      </c>
      <c r="J2472">
        <f t="array" ref="J2472">5 - INT(5 * (RANK(G2472,G:G, 1) - 1) / COUNT(G:G))</f>
        <v>5</v>
      </c>
      <c r="K2472">
        <f t="array" ref="K2472">INT(5 * (RANK(H2472,H:H, 0) - 1) / COUNT(H:H)) + 1</f>
        <v>2</v>
      </c>
      <c r="L2472">
        <f t="array" ref="L2472">INT(5 * (RANK(I2472,I:I, 0) - 1) / COUNT(I:I)) + 1</f>
        <v>3</v>
      </c>
      <c r="M2472" t="str">
        <f t="shared" si="76"/>
        <v>523</v>
      </c>
      <c r="N2472" s="6" t="str">
        <f t="shared" si="77"/>
        <v>New Customers</v>
      </c>
    </row>
    <row r="2473" spans="1:14" x14ac:dyDescent="0.35">
      <c r="A2473">
        <v>1006</v>
      </c>
      <c r="B2473" s="4">
        <v>46011.375085336993</v>
      </c>
      <c r="C2473" t="s">
        <v>15</v>
      </c>
      <c r="D2473" t="s">
        <v>16</v>
      </c>
      <c r="E2473" t="s">
        <v>25</v>
      </c>
      <c r="F2473">
        <v>3494.2</v>
      </c>
      <c r="G2473">
        <f t="array" ref="G2473">SalesData!$I$2 - 'RFM Table'!B2473</f>
        <v>125</v>
      </c>
      <c r="H2473">
        <f t="array" ref="H2473">COUNTIF(A:A,A2473)</f>
        <v>9</v>
      </c>
      <c r="I2473">
        <f t="array" ref="I2473">SUMIF(A:A,A2473,F:F)</f>
        <v>44812.989999999991</v>
      </c>
      <c r="J2473">
        <f t="array" ref="J2473">5 - INT(5 * (RANK(G2473,G:G, 1) - 1) / COUNT(G:G))</f>
        <v>5</v>
      </c>
      <c r="K2473">
        <f t="array" ref="K2473">INT(5 * (RANK(H2473,H:H, 0) - 1) / COUNT(H:H)) + 1</f>
        <v>2</v>
      </c>
      <c r="L2473">
        <f t="array" ref="L2473">INT(5 * (RANK(I2473,I:I, 0) - 1) / COUNT(I:I)) + 1</f>
        <v>2</v>
      </c>
      <c r="M2473" t="str">
        <f t="shared" si="76"/>
        <v>522</v>
      </c>
      <c r="N2473" s="6" t="str">
        <f t="shared" si="77"/>
        <v>New Customers</v>
      </c>
    </row>
    <row r="2474" spans="1:14" x14ac:dyDescent="0.35">
      <c r="A2474">
        <v>1265</v>
      </c>
      <c r="B2474" s="4">
        <v>46011.375085336993</v>
      </c>
      <c r="C2474" t="s">
        <v>10</v>
      </c>
      <c r="D2474" t="s">
        <v>18</v>
      </c>
      <c r="E2474" t="s">
        <v>23</v>
      </c>
      <c r="F2474">
        <v>5697.49</v>
      </c>
      <c r="G2474">
        <f t="array" ref="G2474">SalesData!$I$2 - 'RFM Table'!B2474</f>
        <v>125</v>
      </c>
      <c r="H2474">
        <f t="array" ref="H2474">COUNTIF(A:A,A2474)</f>
        <v>7</v>
      </c>
      <c r="I2474">
        <f t="array" ref="I2474">SUMIF(A:A,A2474,F:F)</f>
        <v>24998.240000000005</v>
      </c>
      <c r="J2474">
        <f t="array" ref="J2474">5 - INT(5 * (RANK(G2474,G:G, 1) - 1) / COUNT(G:G))</f>
        <v>5</v>
      </c>
      <c r="K2474">
        <f t="array" ref="K2474">INT(5 * (RANK(H2474,H:H, 0) - 1) / COUNT(H:H)) + 1</f>
        <v>4</v>
      </c>
      <c r="L2474">
        <f t="array" ref="L2474">INT(5 * (RANK(I2474,I:I, 0) - 1) / COUNT(I:I)) + 1</f>
        <v>4</v>
      </c>
      <c r="M2474" t="str">
        <f t="shared" si="76"/>
        <v>544</v>
      </c>
      <c r="N2474" s="6" t="str">
        <f t="shared" si="77"/>
        <v>Others</v>
      </c>
    </row>
    <row r="2475" spans="1:14" x14ac:dyDescent="0.35">
      <c r="A2475">
        <v>1116</v>
      </c>
      <c r="B2475" s="4">
        <v>46011.375085336993</v>
      </c>
      <c r="C2475" t="s">
        <v>10</v>
      </c>
      <c r="D2475" t="s">
        <v>18</v>
      </c>
      <c r="E2475" t="s">
        <v>23</v>
      </c>
      <c r="F2475">
        <v>2733.02</v>
      </c>
      <c r="G2475">
        <f t="array" ref="G2475">SalesData!$I$2 - 'RFM Table'!B2475</f>
        <v>125</v>
      </c>
      <c r="H2475">
        <f t="array" ref="H2475">COUNTIF(A:A,A2475)</f>
        <v>11</v>
      </c>
      <c r="I2475">
        <f t="array" ref="I2475">SUMIF(A:A,A2475,F:F)</f>
        <v>40714.880000000005</v>
      </c>
      <c r="J2475">
        <f t="array" ref="J2475">5 - INT(5 * (RANK(G2475,G:G, 1) - 1) / COUNT(G:G))</f>
        <v>5</v>
      </c>
      <c r="K2475">
        <f t="array" ref="K2475">INT(5 * (RANK(H2475,H:H, 0) - 1) / COUNT(H:H)) + 1</f>
        <v>1</v>
      </c>
      <c r="L2475">
        <f t="array" ref="L2475">INT(5 * (RANK(I2475,I:I, 0) - 1) / COUNT(I:I)) + 1</f>
        <v>2</v>
      </c>
      <c r="M2475" t="str">
        <f t="shared" si="76"/>
        <v>512</v>
      </c>
      <c r="N2475" s="6" t="str">
        <f t="shared" si="77"/>
        <v>New Customers</v>
      </c>
    </row>
    <row r="2476" spans="1:14" x14ac:dyDescent="0.35">
      <c r="A2476">
        <v>1089</v>
      </c>
      <c r="B2476" s="4">
        <v>46012.375085336993</v>
      </c>
      <c r="C2476" t="s">
        <v>9</v>
      </c>
      <c r="D2476" t="s">
        <v>18</v>
      </c>
      <c r="E2476" t="s">
        <v>24</v>
      </c>
      <c r="F2476">
        <v>3165.92</v>
      </c>
      <c r="G2476">
        <f t="array" ref="G2476">SalesData!$I$2 - 'RFM Table'!B2476</f>
        <v>124</v>
      </c>
      <c r="H2476">
        <f t="array" ref="H2476">COUNTIF(A:A,A2476)</f>
        <v>10</v>
      </c>
      <c r="I2476">
        <f t="array" ref="I2476">SUMIF(A:A,A2476,F:F)</f>
        <v>36855.5</v>
      </c>
      <c r="J2476">
        <f t="array" ref="J2476">5 - INT(5 * (RANK(G2476,G:G, 1) - 1) / COUNT(G:G))</f>
        <v>5</v>
      </c>
      <c r="K2476">
        <f t="array" ref="K2476">INT(5 * (RANK(H2476,H:H, 0) - 1) / COUNT(H:H)) + 1</f>
        <v>2</v>
      </c>
      <c r="L2476">
        <f t="array" ref="L2476">INT(5 * (RANK(I2476,I:I, 0) - 1) / COUNT(I:I)) + 1</f>
        <v>2</v>
      </c>
      <c r="M2476" t="str">
        <f t="shared" si="76"/>
        <v>522</v>
      </c>
      <c r="N2476" s="6" t="str">
        <f t="shared" si="77"/>
        <v>New Customers</v>
      </c>
    </row>
    <row r="2477" spans="1:14" x14ac:dyDescent="0.35">
      <c r="A2477">
        <v>1293</v>
      </c>
      <c r="B2477" s="4">
        <v>46012.375085336993</v>
      </c>
      <c r="C2477" t="s">
        <v>9</v>
      </c>
      <c r="D2477" t="s">
        <v>22</v>
      </c>
      <c r="E2477" t="s">
        <v>24</v>
      </c>
      <c r="F2477">
        <v>3444.68</v>
      </c>
      <c r="G2477">
        <f t="array" ref="G2477">SalesData!$I$2 - 'RFM Table'!B2477</f>
        <v>124</v>
      </c>
      <c r="H2477">
        <f t="array" ref="H2477">COUNTIF(A:A,A2477)</f>
        <v>7</v>
      </c>
      <c r="I2477">
        <f t="array" ref="I2477">SUMIF(A:A,A2477,F:F)</f>
        <v>27438.3</v>
      </c>
      <c r="J2477">
        <f t="array" ref="J2477">5 - INT(5 * (RANK(G2477,G:G, 1) - 1) / COUNT(G:G))</f>
        <v>5</v>
      </c>
      <c r="K2477">
        <f t="array" ref="K2477">INT(5 * (RANK(H2477,H:H, 0) - 1) / COUNT(H:H)) + 1</f>
        <v>4</v>
      </c>
      <c r="L2477">
        <f t="array" ref="L2477">INT(5 * (RANK(I2477,I:I, 0) - 1) / COUNT(I:I)) + 1</f>
        <v>4</v>
      </c>
      <c r="M2477" t="str">
        <f t="shared" si="76"/>
        <v>544</v>
      </c>
      <c r="N2477" s="6" t="str">
        <f t="shared" si="77"/>
        <v>Others</v>
      </c>
    </row>
    <row r="2478" spans="1:14" x14ac:dyDescent="0.35">
      <c r="A2478">
        <v>1069</v>
      </c>
      <c r="B2478" s="4">
        <v>46012.375085336993</v>
      </c>
      <c r="C2478" t="s">
        <v>11</v>
      </c>
      <c r="D2478" t="s">
        <v>16</v>
      </c>
      <c r="E2478" t="s">
        <v>24</v>
      </c>
      <c r="F2478">
        <v>12527.93</v>
      </c>
      <c r="G2478">
        <f t="array" ref="G2478">SalesData!$I$2 - 'RFM Table'!B2478</f>
        <v>124</v>
      </c>
      <c r="H2478">
        <f t="array" ref="H2478">COUNTIF(A:A,A2478)</f>
        <v>4</v>
      </c>
      <c r="I2478">
        <f t="array" ref="I2478">SUMIF(A:A,A2478,F:F)</f>
        <v>26120.1</v>
      </c>
      <c r="J2478">
        <f t="array" ref="J2478">5 - INT(5 * (RANK(G2478,G:G, 1) - 1) / COUNT(G:G))</f>
        <v>5</v>
      </c>
      <c r="K2478">
        <f t="array" ref="K2478">INT(5 * (RANK(H2478,H:H, 0) - 1) / COUNT(H:H)) + 1</f>
        <v>5</v>
      </c>
      <c r="L2478">
        <f t="array" ref="L2478">INT(5 * (RANK(I2478,I:I, 0) - 1) / COUNT(I:I)) + 1</f>
        <v>4</v>
      </c>
      <c r="M2478" t="str">
        <f t="shared" si="76"/>
        <v>554</v>
      </c>
      <c r="N2478" s="6" t="str">
        <f t="shared" si="77"/>
        <v>Others</v>
      </c>
    </row>
    <row r="2479" spans="1:14" x14ac:dyDescent="0.35">
      <c r="A2479">
        <v>1378</v>
      </c>
      <c r="B2479" s="4">
        <v>46012.375085336993</v>
      </c>
      <c r="C2479" t="s">
        <v>13</v>
      </c>
      <c r="D2479" t="s">
        <v>16</v>
      </c>
      <c r="E2479" t="s">
        <v>23</v>
      </c>
      <c r="F2479">
        <v>4398.87</v>
      </c>
      <c r="G2479">
        <f t="array" ref="G2479">SalesData!$I$2 - 'RFM Table'!B2479</f>
        <v>124</v>
      </c>
      <c r="H2479">
        <f t="array" ref="H2479">COUNTIF(A:A,A2479)</f>
        <v>11</v>
      </c>
      <c r="I2479">
        <f t="array" ref="I2479">SUMIF(A:A,A2479,F:F)</f>
        <v>58842.799999999996</v>
      </c>
      <c r="J2479">
        <f t="array" ref="J2479">5 - INT(5 * (RANK(G2479,G:G, 1) - 1) / COUNT(G:G))</f>
        <v>5</v>
      </c>
      <c r="K2479">
        <f t="array" ref="K2479">INT(5 * (RANK(H2479,H:H, 0) - 1) / COUNT(H:H)) + 1</f>
        <v>1</v>
      </c>
      <c r="L2479">
        <f t="array" ref="L2479">INT(5 * (RANK(I2479,I:I, 0) - 1) / COUNT(I:I)) + 1</f>
        <v>1</v>
      </c>
      <c r="M2479" t="str">
        <f t="shared" si="76"/>
        <v>511</v>
      </c>
      <c r="N2479" s="6" t="str">
        <f t="shared" si="77"/>
        <v>New Customers</v>
      </c>
    </row>
    <row r="2480" spans="1:14" x14ac:dyDescent="0.35">
      <c r="A2480">
        <v>1187</v>
      </c>
      <c r="B2480" s="4">
        <v>46012.375085336993</v>
      </c>
      <c r="C2480" t="s">
        <v>15</v>
      </c>
      <c r="D2480" t="s">
        <v>16</v>
      </c>
      <c r="E2480" t="s">
        <v>24</v>
      </c>
      <c r="F2480">
        <v>4575.3500000000004</v>
      </c>
      <c r="G2480">
        <f t="array" ref="G2480">SalesData!$I$2 - 'RFM Table'!B2480</f>
        <v>124</v>
      </c>
      <c r="H2480">
        <f t="array" ref="H2480">COUNTIF(A:A,A2480)</f>
        <v>11</v>
      </c>
      <c r="I2480">
        <f t="array" ref="I2480">SUMIF(A:A,A2480,F:F)</f>
        <v>43247.159999999996</v>
      </c>
      <c r="J2480">
        <f t="array" ref="J2480">5 - INT(5 * (RANK(G2480,G:G, 1) - 1) / COUNT(G:G))</f>
        <v>5</v>
      </c>
      <c r="K2480">
        <f t="array" ref="K2480">INT(5 * (RANK(H2480,H:H, 0) - 1) / COUNT(H:H)) + 1</f>
        <v>1</v>
      </c>
      <c r="L2480">
        <f t="array" ref="L2480">INT(5 * (RANK(I2480,I:I, 0) - 1) / COUNT(I:I)) + 1</f>
        <v>2</v>
      </c>
      <c r="M2480" t="str">
        <f t="shared" si="76"/>
        <v>512</v>
      </c>
      <c r="N2480" s="6" t="str">
        <f t="shared" si="77"/>
        <v>New Customers</v>
      </c>
    </row>
    <row r="2481" spans="1:14" x14ac:dyDescent="0.35">
      <c r="A2481">
        <v>1068</v>
      </c>
      <c r="B2481" s="4">
        <v>46013.375085336993</v>
      </c>
      <c r="C2481" t="s">
        <v>6</v>
      </c>
      <c r="D2481" t="s">
        <v>20</v>
      </c>
      <c r="E2481" t="s">
        <v>23</v>
      </c>
      <c r="F2481">
        <v>7884.71</v>
      </c>
      <c r="G2481">
        <f t="array" ref="G2481">SalesData!$I$2 - 'RFM Table'!B2481</f>
        <v>123</v>
      </c>
      <c r="H2481">
        <f t="array" ref="H2481">COUNTIF(A:A,A2481)</f>
        <v>10</v>
      </c>
      <c r="I2481">
        <f t="array" ref="I2481">SUMIF(A:A,A2481,F:F)</f>
        <v>47284.22</v>
      </c>
      <c r="J2481">
        <f t="array" ref="J2481">5 - INT(5 * (RANK(G2481,G:G, 1) - 1) / COUNT(G:G))</f>
        <v>5</v>
      </c>
      <c r="K2481">
        <f t="array" ref="K2481">INT(5 * (RANK(H2481,H:H, 0) - 1) / COUNT(H:H)) + 1</f>
        <v>2</v>
      </c>
      <c r="L2481">
        <f t="array" ref="L2481">INT(5 * (RANK(I2481,I:I, 0) - 1) / COUNT(I:I)) + 1</f>
        <v>1</v>
      </c>
      <c r="M2481" t="str">
        <f t="shared" si="76"/>
        <v>521</v>
      </c>
      <c r="N2481" s="6" t="str">
        <f t="shared" si="77"/>
        <v>New Customers</v>
      </c>
    </row>
    <row r="2482" spans="1:14" x14ac:dyDescent="0.35">
      <c r="A2482">
        <v>1355</v>
      </c>
      <c r="B2482" s="4">
        <v>46013.375085336993</v>
      </c>
      <c r="C2482" t="s">
        <v>14</v>
      </c>
      <c r="D2482" t="s">
        <v>17</v>
      </c>
      <c r="E2482" t="s">
        <v>23</v>
      </c>
      <c r="F2482">
        <v>1450.83</v>
      </c>
      <c r="G2482">
        <f t="array" ref="G2482">SalesData!$I$2 - 'RFM Table'!B2482</f>
        <v>123</v>
      </c>
      <c r="H2482">
        <f t="array" ref="H2482">COUNTIF(A:A,A2482)</f>
        <v>6</v>
      </c>
      <c r="I2482">
        <f t="array" ref="I2482">SUMIF(A:A,A2482,F:F)</f>
        <v>21250.21</v>
      </c>
      <c r="J2482">
        <f t="array" ref="J2482">5 - INT(5 * (RANK(G2482,G:G, 1) - 1) / COUNT(G:G))</f>
        <v>5</v>
      </c>
      <c r="K2482">
        <f t="array" ref="K2482">INT(5 * (RANK(H2482,H:H, 0) - 1) / COUNT(H:H)) + 1</f>
        <v>4</v>
      </c>
      <c r="L2482">
        <f t="array" ref="L2482">INT(5 * (RANK(I2482,I:I, 0) - 1) / COUNT(I:I)) + 1</f>
        <v>5</v>
      </c>
      <c r="M2482" t="str">
        <f t="shared" si="76"/>
        <v>545</v>
      </c>
      <c r="N2482" s="6" t="str">
        <f t="shared" si="77"/>
        <v>Others</v>
      </c>
    </row>
    <row r="2483" spans="1:14" x14ac:dyDescent="0.35">
      <c r="A2483">
        <v>1380</v>
      </c>
      <c r="B2483" s="4">
        <v>46013.375085336993</v>
      </c>
      <c r="C2483" t="s">
        <v>11</v>
      </c>
      <c r="D2483" t="s">
        <v>22</v>
      </c>
      <c r="E2483" t="s">
        <v>25</v>
      </c>
      <c r="F2483">
        <v>3041.83</v>
      </c>
      <c r="G2483">
        <f t="array" ref="G2483">SalesData!$I$2 - 'RFM Table'!B2483</f>
        <v>123</v>
      </c>
      <c r="H2483">
        <f t="array" ref="H2483">COUNTIF(A:A,A2483)</f>
        <v>9</v>
      </c>
      <c r="I2483">
        <f t="array" ref="I2483">SUMIF(A:A,A2483,F:F)</f>
        <v>40711.57</v>
      </c>
      <c r="J2483">
        <f t="array" ref="J2483">5 - INT(5 * (RANK(G2483,G:G, 1) - 1) / COUNT(G:G))</f>
        <v>5</v>
      </c>
      <c r="K2483">
        <f t="array" ref="K2483">INT(5 * (RANK(H2483,H:H, 0) - 1) / COUNT(H:H)) + 1</f>
        <v>2</v>
      </c>
      <c r="L2483">
        <f t="array" ref="L2483">INT(5 * (RANK(I2483,I:I, 0) - 1) / COUNT(I:I)) + 1</f>
        <v>2</v>
      </c>
      <c r="M2483" t="str">
        <f t="shared" si="76"/>
        <v>522</v>
      </c>
      <c r="N2483" s="6" t="str">
        <f t="shared" si="77"/>
        <v>New Customers</v>
      </c>
    </row>
    <row r="2484" spans="1:14" x14ac:dyDescent="0.35">
      <c r="A2484">
        <v>1151</v>
      </c>
      <c r="B2484" s="4">
        <v>46013.375085336993</v>
      </c>
      <c r="C2484" t="s">
        <v>10</v>
      </c>
      <c r="D2484" t="s">
        <v>18</v>
      </c>
      <c r="E2484" t="s">
        <v>25</v>
      </c>
      <c r="F2484">
        <v>2780.09</v>
      </c>
      <c r="G2484">
        <f t="array" ref="G2484">SalesData!$I$2 - 'RFM Table'!B2484</f>
        <v>123</v>
      </c>
      <c r="H2484">
        <f t="array" ref="H2484">COUNTIF(A:A,A2484)</f>
        <v>13</v>
      </c>
      <c r="I2484">
        <f t="array" ref="I2484">SUMIF(A:A,A2484,F:F)</f>
        <v>49208.94</v>
      </c>
      <c r="J2484">
        <f t="array" ref="J2484">5 - INT(5 * (RANK(G2484,G:G, 1) - 1) / COUNT(G:G))</f>
        <v>5</v>
      </c>
      <c r="K2484">
        <f t="array" ref="K2484">INT(5 * (RANK(H2484,H:H, 0) - 1) / COUNT(H:H)) + 1</f>
        <v>1</v>
      </c>
      <c r="L2484">
        <f t="array" ref="L2484">INT(5 * (RANK(I2484,I:I, 0) - 1) / COUNT(I:I)) + 1</f>
        <v>1</v>
      </c>
      <c r="M2484" t="str">
        <f t="shared" si="76"/>
        <v>511</v>
      </c>
      <c r="N2484" s="6" t="str">
        <f t="shared" si="77"/>
        <v>New Customers</v>
      </c>
    </row>
    <row r="2485" spans="1:14" x14ac:dyDescent="0.35">
      <c r="A2485">
        <v>1100</v>
      </c>
      <c r="B2485" s="4">
        <v>46013.375085336993</v>
      </c>
      <c r="C2485" t="s">
        <v>6</v>
      </c>
      <c r="D2485" t="s">
        <v>19</v>
      </c>
      <c r="E2485" t="s">
        <v>25</v>
      </c>
      <c r="F2485">
        <v>2730.06</v>
      </c>
      <c r="G2485">
        <f t="array" ref="G2485">SalesData!$I$2 - 'RFM Table'!B2485</f>
        <v>123</v>
      </c>
      <c r="H2485">
        <f t="array" ref="H2485">COUNTIF(A:A,A2485)</f>
        <v>12</v>
      </c>
      <c r="I2485">
        <f t="array" ref="I2485">SUMIF(A:A,A2485,F:F)</f>
        <v>54905.279999999992</v>
      </c>
      <c r="J2485">
        <f t="array" ref="J2485">5 - INT(5 * (RANK(G2485,G:G, 1) - 1) / COUNT(G:G))</f>
        <v>5</v>
      </c>
      <c r="K2485">
        <f t="array" ref="K2485">INT(5 * (RANK(H2485,H:H, 0) - 1) / COUNT(H:H)) + 1</f>
        <v>1</v>
      </c>
      <c r="L2485">
        <f t="array" ref="L2485">INT(5 * (RANK(I2485,I:I, 0) - 1) / COUNT(I:I)) + 1</f>
        <v>1</v>
      </c>
      <c r="M2485" t="str">
        <f t="shared" si="76"/>
        <v>511</v>
      </c>
      <c r="N2485" s="6" t="str">
        <f t="shared" si="77"/>
        <v>New Customers</v>
      </c>
    </row>
    <row r="2486" spans="1:14" x14ac:dyDescent="0.35">
      <c r="A2486">
        <v>1286</v>
      </c>
      <c r="B2486" s="4">
        <v>46014.375085336993</v>
      </c>
      <c r="C2486" t="s">
        <v>6</v>
      </c>
      <c r="D2486" t="s">
        <v>21</v>
      </c>
      <c r="E2486" t="s">
        <v>23</v>
      </c>
      <c r="F2486">
        <v>9546.49</v>
      </c>
      <c r="G2486">
        <f t="array" ref="G2486">SalesData!$I$2 - 'RFM Table'!B2486</f>
        <v>122</v>
      </c>
      <c r="H2486">
        <f t="array" ref="H2486">COUNTIF(A:A,A2486)</f>
        <v>6</v>
      </c>
      <c r="I2486">
        <f t="array" ref="I2486">SUMIF(A:A,A2486,F:F)</f>
        <v>40190.459999999992</v>
      </c>
      <c r="J2486">
        <f t="array" ref="J2486">5 - INT(5 * (RANK(G2486,G:G, 1) - 1) / COUNT(G:G))</f>
        <v>5</v>
      </c>
      <c r="K2486">
        <f t="array" ref="K2486">INT(5 * (RANK(H2486,H:H, 0) - 1) / COUNT(H:H)) + 1</f>
        <v>4</v>
      </c>
      <c r="L2486">
        <f t="array" ref="L2486">INT(5 * (RANK(I2486,I:I, 0) - 1) / COUNT(I:I)) + 1</f>
        <v>2</v>
      </c>
      <c r="M2486" t="str">
        <f t="shared" si="76"/>
        <v>542</v>
      </c>
      <c r="N2486" s="6" t="str">
        <f t="shared" si="77"/>
        <v>Others</v>
      </c>
    </row>
    <row r="2487" spans="1:14" x14ac:dyDescent="0.35">
      <c r="A2487">
        <v>1170</v>
      </c>
      <c r="B2487" s="4">
        <v>46015.375085336993</v>
      </c>
      <c r="C2487" t="s">
        <v>11</v>
      </c>
      <c r="D2487" t="s">
        <v>22</v>
      </c>
      <c r="E2487" t="s">
        <v>24</v>
      </c>
      <c r="F2487">
        <v>13542.79</v>
      </c>
      <c r="G2487">
        <f t="array" ref="G2487">SalesData!$I$2 - 'RFM Table'!B2487</f>
        <v>121</v>
      </c>
      <c r="H2487">
        <f t="array" ref="H2487">COUNTIF(A:A,A2487)</f>
        <v>5</v>
      </c>
      <c r="I2487">
        <f t="array" ref="I2487">SUMIF(A:A,A2487,F:F)</f>
        <v>28709.97</v>
      </c>
      <c r="J2487">
        <f t="array" ref="J2487">5 - INT(5 * (RANK(G2487,G:G, 1) - 1) / COUNT(G:G))</f>
        <v>5</v>
      </c>
      <c r="K2487">
        <f t="array" ref="K2487">INT(5 * (RANK(H2487,H:H, 0) - 1) / COUNT(H:H)) + 1</f>
        <v>5</v>
      </c>
      <c r="L2487">
        <f t="array" ref="L2487">INT(5 * (RANK(I2487,I:I, 0) - 1) / COUNT(I:I)) + 1</f>
        <v>4</v>
      </c>
      <c r="M2487" t="str">
        <f t="shared" si="76"/>
        <v>554</v>
      </c>
      <c r="N2487" s="6" t="str">
        <f t="shared" si="77"/>
        <v>Others</v>
      </c>
    </row>
    <row r="2488" spans="1:14" x14ac:dyDescent="0.35">
      <c r="A2488">
        <v>1167</v>
      </c>
      <c r="B2488" s="4">
        <v>46015.375085336993</v>
      </c>
      <c r="C2488" t="s">
        <v>15</v>
      </c>
      <c r="D2488" t="s">
        <v>19</v>
      </c>
      <c r="E2488" t="s">
        <v>24</v>
      </c>
      <c r="F2488">
        <v>5151.33</v>
      </c>
      <c r="G2488">
        <f t="array" ref="G2488">SalesData!$I$2 - 'RFM Table'!B2488</f>
        <v>121</v>
      </c>
      <c r="H2488">
        <f t="array" ref="H2488">COUNTIF(A:A,A2488)</f>
        <v>5</v>
      </c>
      <c r="I2488">
        <f t="array" ref="I2488">SUMIF(A:A,A2488,F:F)</f>
        <v>19417.830000000002</v>
      </c>
      <c r="J2488">
        <f t="array" ref="J2488">5 - INT(5 * (RANK(G2488,G:G, 1) - 1) / COUNT(G:G))</f>
        <v>5</v>
      </c>
      <c r="K2488">
        <f t="array" ref="K2488">INT(5 * (RANK(H2488,H:H, 0) - 1) / COUNT(H:H)) + 1</f>
        <v>5</v>
      </c>
      <c r="L2488">
        <f t="array" ref="L2488">INT(5 * (RANK(I2488,I:I, 0) - 1) / COUNT(I:I)) + 1</f>
        <v>5</v>
      </c>
      <c r="M2488" t="str">
        <f t="shared" si="76"/>
        <v>555</v>
      </c>
      <c r="N2488" s="6" t="str">
        <f t="shared" si="77"/>
        <v>Others</v>
      </c>
    </row>
    <row r="2489" spans="1:14" x14ac:dyDescent="0.35">
      <c r="A2489">
        <v>1230</v>
      </c>
      <c r="B2489" s="4">
        <v>46015.375085336993</v>
      </c>
      <c r="C2489" t="s">
        <v>9</v>
      </c>
      <c r="D2489" t="s">
        <v>16</v>
      </c>
      <c r="E2489" t="s">
        <v>25</v>
      </c>
      <c r="F2489">
        <v>1893.45</v>
      </c>
      <c r="G2489">
        <f t="array" ref="G2489">SalesData!$I$2 - 'RFM Table'!B2489</f>
        <v>121</v>
      </c>
      <c r="H2489">
        <f t="array" ref="H2489">COUNTIF(A:A,A2489)</f>
        <v>11</v>
      </c>
      <c r="I2489">
        <f t="array" ref="I2489">SUMIF(A:A,A2489,F:F)</f>
        <v>29238.53</v>
      </c>
      <c r="J2489">
        <f t="array" ref="J2489">5 - INT(5 * (RANK(G2489,G:G, 1) - 1) / COUNT(G:G))</f>
        <v>5</v>
      </c>
      <c r="K2489">
        <f t="array" ref="K2489">INT(5 * (RANK(H2489,H:H, 0) - 1) / COUNT(H:H)) + 1</f>
        <v>1</v>
      </c>
      <c r="L2489">
        <f t="array" ref="L2489">INT(5 * (RANK(I2489,I:I, 0) - 1) / COUNT(I:I)) + 1</f>
        <v>4</v>
      </c>
      <c r="M2489" t="str">
        <f t="shared" si="76"/>
        <v>514</v>
      </c>
      <c r="N2489" s="6" t="str">
        <f t="shared" si="77"/>
        <v>New Customers</v>
      </c>
    </row>
    <row r="2490" spans="1:14" x14ac:dyDescent="0.35">
      <c r="A2490">
        <v>1241</v>
      </c>
      <c r="B2490" s="4">
        <v>46015.375085336993</v>
      </c>
      <c r="C2490" t="s">
        <v>7</v>
      </c>
      <c r="D2490" t="s">
        <v>20</v>
      </c>
      <c r="E2490" t="s">
        <v>24</v>
      </c>
      <c r="F2490">
        <v>1083.46</v>
      </c>
      <c r="G2490">
        <f t="array" ref="G2490">SalesData!$I$2 - 'RFM Table'!B2490</f>
        <v>121</v>
      </c>
      <c r="H2490">
        <f t="array" ref="H2490">COUNTIF(A:A,A2490)</f>
        <v>10</v>
      </c>
      <c r="I2490">
        <f t="array" ref="I2490">SUMIF(A:A,A2490,F:F)</f>
        <v>38069.94</v>
      </c>
      <c r="J2490">
        <f t="array" ref="J2490">5 - INT(5 * (RANK(G2490,G:G, 1) - 1) / COUNT(G:G))</f>
        <v>5</v>
      </c>
      <c r="K2490">
        <f t="array" ref="K2490">INT(5 * (RANK(H2490,H:H, 0) - 1) / COUNT(H:H)) + 1</f>
        <v>2</v>
      </c>
      <c r="L2490">
        <f t="array" ref="L2490">INT(5 * (RANK(I2490,I:I, 0) - 1) / COUNT(I:I)) + 1</f>
        <v>2</v>
      </c>
      <c r="M2490" t="str">
        <f t="shared" si="76"/>
        <v>522</v>
      </c>
      <c r="N2490" s="6" t="str">
        <f t="shared" si="77"/>
        <v>New Customers</v>
      </c>
    </row>
    <row r="2491" spans="1:14" x14ac:dyDescent="0.35">
      <c r="A2491">
        <v>1226</v>
      </c>
      <c r="B2491" s="4">
        <v>46015.375085336993</v>
      </c>
      <c r="C2491" t="s">
        <v>13</v>
      </c>
      <c r="D2491" t="s">
        <v>19</v>
      </c>
      <c r="E2491" t="s">
        <v>24</v>
      </c>
      <c r="F2491">
        <v>5586.48</v>
      </c>
      <c r="G2491">
        <f t="array" ref="G2491">SalesData!$I$2 - 'RFM Table'!B2491</f>
        <v>121</v>
      </c>
      <c r="H2491">
        <f t="array" ref="H2491">COUNTIF(A:A,A2491)</f>
        <v>13</v>
      </c>
      <c r="I2491">
        <f t="array" ref="I2491">SUMIF(A:A,A2491,F:F)</f>
        <v>49471.75</v>
      </c>
      <c r="J2491">
        <f t="array" ref="J2491">5 - INT(5 * (RANK(G2491,G:G, 1) - 1) / COUNT(G:G))</f>
        <v>5</v>
      </c>
      <c r="K2491">
        <f t="array" ref="K2491">INT(5 * (RANK(H2491,H:H, 0) - 1) / COUNT(H:H)) + 1</f>
        <v>1</v>
      </c>
      <c r="L2491">
        <f t="array" ref="L2491">INT(5 * (RANK(I2491,I:I, 0) - 1) / COUNT(I:I)) + 1</f>
        <v>1</v>
      </c>
      <c r="M2491" t="str">
        <f t="shared" si="76"/>
        <v>511</v>
      </c>
      <c r="N2491" s="6" t="str">
        <f t="shared" si="77"/>
        <v>New Customers</v>
      </c>
    </row>
    <row r="2492" spans="1:14" x14ac:dyDescent="0.35">
      <c r="A2492">
        <v>1290</v>
      </c>
      <c r="B2492" s="4">
        <v>46016.375085336993</v>
      </c>
      <c r="C2492" t="s">
        <v>7</v>
      </c>
      <c r="D2492" t="s">
        <v>21</v>
      </c>
      <c r="E2492" t="s">
        <v>23</v>
      </c>
      <c r="F2492">
        <v>553.16999999999996</v>
      </c>
      <c r="G2492">
        <f t="array" ref="G2492">SalesData!$I$2 - 'RFM Table'!B2492</f>
        <v>120</v>
      </c>
      <c r="H2492">
        <f t="array" ref="H2492">COUNTIF(A:A,A2492)</f>
        <v>9</v>
      </c>
      <c r="I2492">
        <f t="array" ref="I2492">SUMIF(A:A,A2492,F:F)</f>
        <v>37864.199999999997</v>
      </c>
      <c r="J2492">
        <f t="array" ref="J2492">5 - INT(5 * (RANK(G2492,G:G, 1) - 1) / COUNT(G:G))</f>
        <v>5</v>
      </c>
      <c r="K2492">
        <f t="array" ref="K2492">INT(5 * (RANK(H2492,H:H, 0) - 1) / COUNT(H:H)) + 1</f>
        <v>2</v>
      </c>
      <c r="L2492">
        <f t="array" ref="L2492">INT(5 * (RANK(I2492,I:I, 0) - 1) / COUNT(I:I)) + 1</f>
        <v>2</v>
      </c>
      <c r="M2492" t="str">
        <f t="shared" si="76"/>
        <v>522</v>
      </c>
      <c r="N2492" s="6" t="str">
        <f t="shared" si="77"/>
        <v>New Customers</v>
      </c>
    </row>
    <row r="2493" spans="1:14" x14ac:dyDescent="0.35">
      <c r="A2493">
        <v>1339</v>
      </c>
      <c r="B2493" s="4">
        <v>46016.375085336993</v>
      </c>
      <c r="C2493" t="s">
        <v>14</v>
      </c>
      <c r="D2493" t="s">
        <v>17</v>
      </c>
      <c r="E2493" t="s">
        <v>25</v>
      </c>
      <c r="F2493">
        <v>613.61</v>
      </c>
      <c r="G2493">
        <f t="array" ref="G2493">SalesData!$I$2 - 'RFM Table'!B2493</f>
        <v>120</v>
      </c>
      <c r="H2493">
        <f t="array" ref="H2493">COUNTIF(A:A,A2493)</f>
        <v>8</v>
      </c>
      <c r="I2493">
        <f t="array" ref="I2493">SUMIF(A:A,A2493,F:F)</f>
        <v>30873.260000000002</v>
      </c>
      <c r="J2493">
        <f t="array" ref="J2493">5 - INT(5 * (RANK(G2493,G:G, 1) - 1) / COUNT(G:G))</f>
        <v>5</v>
      </c>
      <c r="K2493">
        <f t="array" ref="K2493">INT(5 * (RANK(H2493,H:H, 0) - 1) / COUNT(H:H)) + 1</f>
        <v>3</v>
      </c>
      <c r="L2493">
        <f t="array" ref="L2493">INT(5 * (RANK(I2493,I:I, 0) - 1) / COUNT(I:I)) + 1</f>
        <v>3</v>
      </c>
      <c r="M2493" t="str">
        <f t="shared" si="76"/>
        <v>533</v>
      </c>
      <c r="N2493" s="6" t="str">
        <f t="shared" si="77"/>
        <v>Others</v>
      </c>
    </row>
    <row r="2494" spans="1:14" x14ac:dyDescent="0.35">
      <c r="A2494">
        <v>1143</v>
      </c>
      <c r="B2494" s="4">
        <v>46016.375085336993</v>
      </c>
      <c r="C2494" t="s">
        <v>6</v>
      </c>
      <c r="D2494" t="s">
        <v>18</v>
      </c>
      <c r="E2494" t="s">
        <v>25</v>
      </c>
      <c r="F2494">
        <v>1084.8699999999999</v>
      </c>
      <c r="G2494">
        <f t="array" ref="G2494">SalesData!$I$2 - 'RFM Table'!B2494</f>
        <v>120</v>
      </c>
      <c r="H2494">
        <f t="array" ref="H2494">COUNTIF(A:A,A2494)</f>
        <v>11</v>
      </c>
      <c r="I2494">
        <f t="array" ref="I2494">SUMIF(A:A,A2494,F:F)</f>
        <v>44004.459999999992</v>
      </c>
      <c r="J2494">
        <f t="array" ref="J2494">5 - INT(5 * (RANK(G2494,G:G, 1) - 1) / COUNT(G:G))</f>
        <v>5</v>
      </c>
      <c r="K2494">
        <f t="array" ref="K2494">INT(5 * (RANK(H2494,H:H, 0) - 1) / COUNT(H:H)) + 1</f>
        <v>1</v>
      </c>
      <c r="L2494">
        <f t="array" ref="L2494">INT(5 * (RANK(I2494,I:I, 0) - 1) / COUNT(I:I)) + 1</f>
        <v>2</v>
      </c>
      <c r="M2494" t="str">
        <f t="shared" si="76"/>
        <v>512</v>
      </c>
      <c r="N2494" s="6" t="str">
        <f t="shared" si="77"/>
        <v>New Customers</v>
      </c>
    </row>
    <row r="2495" spans="1:14" x14ac:dyDescent="0.35">
      <c r="A2495">
        <v>1252</v>
      </c>
      <c r="B2495" s="4">
        <v>46016.375085336993</v>
      </c>
      <c r="C2495" t="s">
        <v>13</v>
      </c>
      <c r="D2495" t="s">
        <v>20</v>
      </c>
      <c r="E2495" t="s">
        <v>24</v>
      </c>
      <c r="F2495">
        <v>1012.77</v>
      </c>
      <c r="G2495">
        <f t="array" ref="G2495">SalesData!$I$2 - 'RFM Table'!B2495</f>
        <v>120</v>
      </c>
      <c r="H2495">
        <f t="array" ref="H2495">COUNTIF(A:A,A2495)</f>
        <v>8</v>
      </c>
      <c r="I2495">
        <f t="array" ref="I2495">SUMIF(A:A,A2495,F:F)</f>
        <v>29088.159999999996</v>
      </c>
      <c r="J2495">
        <f t="array" ref="J2495">5 - INT(5 * (RANK(G2495,G:G, 1) - 1) / COUNT(G:G))</f>
        <v>5</v>
      </c>
      <c r="K2495">
        <f t="array" ref="K2495">INT(5 * (RANK(H2495,H:H, 0) - 1) / COUNT(H:H)) + 1</f>
        <v>3</v>
      </c>
      <c r="L2495">
        <f t="array" ref="L2495">INT(5 * (RANK(I2495,I:I, 0) - 1) / COUNT(I:I)) + 1</f>
        <v>4</v>
      </c>
      <c r="M2495" t="str">
        <f t="shared" si="76"/>
        <v>534</v>
      </c>
      <c r="N2495" s="6" t="str">
        <f t="shared" si="77"/>
        <v>Others</v>
      </c>
    </row>
    <row r="2496" spans="1:14" x14ac:dyDescent="0.35">
      <c r="A2496">
        <v>1354</v>
      </c>
      <c r="B2496" s="4">
        <v>46016.375085336993</v>
      </c>
      <c r="C2496" t="s">
        <v>6</v>
      </c>
      <c r="D2496" t="s">
        <v>17</v>
      </c>
      <c r="E2496" t="s">
        <v>25</v>
      </c>
      <c r="F2496">
        <v>4437.33</v>
      </c>
      <c r="G2496">
        <f t="array" ref="G2496">SalesData!$I$2 - 'RFM Table'!B2496</f>
        <v>120</v>
      </c>
      <c r="H2496">
        <f t="array" ref="H2496">COUNTIF(A:A,A2496)</f>
        <v>7</v>
      </c>
      <c r="I2496">
        <f t="array" ref="I2496">SUMIF(A:A,A2496,F:F)</f>
        <v>30282.260000000002</v>
      </c>
      <c r="J2496">
        <f t="array" ref="J2496">5 - INT(5 * (RANK(G2496,G:G, 1) - 1) / COUNT(G:G))</f>
        <v>5</v>
      </c>
      <c r="K2496">
        <f t="array" ref="K2496">INT(5 * (RANK(H2496,H:H, 0) - 1) / COUNT(H:H)) + 1</f>
        <v>4</v>
      </c>
      <c r="L2496">
        <f t="array" ref="L2496">INT(5 * (RANK(I2496,I:I, 0) - 1) / COUNT(I:I)) + 1</f>
        <v>3</v>
      </c>
      <c r="M2496" t="str">
        <f t="shared" si="76"/>
        <v>543</v>
      </c>
      <c r="N2496" s="6" t="str">
        <f t="shared" si="77"/>
        <v>Others</v>
      </c>
    </row>
    <row r="2497" spans="1:14" x14ac:dyDescent="0.35">
      <c r="A2497">
        <v>1217</v>
      </c>
      <c r="B2497" s="4">
        <v>46017.375085336993</v>
      </c>
      <c r="C2497" t="s">
        <v>8</v>
      </c>
      <c r="D2497" t="s">
        <v>21</v>
      </c>
      <c r="E2497" t="s">
        <v>24</v>
      </c>
      <c r="F2497">
        <v>316.08999999999997</v>
      </c>
      <c r="G2497">
        <f t="array" ref="G2497">SalesData!$I$2 - 'RFM Table'!B2497</f>
        <v>119</v>
      </c>
      <c r="H2497">
        <f t="array" ref="H2497">COUNTIF(A:A,A2497)</f>
        <v>9</v>
      </c>
      <c r="I2497">
        <f t="array" ref="I2497">SUMIF(A:A,A2497,F:F)</f>
        <v>33349.999999999993</v>
      </c>
      <c r="J2497">
        <f t="array" ref="J2497">5 - INT(5 * (RANK(G2497,G:G, 1) - 1) / COUNT(G:G))</f>
        <v>5</v>
      </c>
      <c r="K2497">
        <f t="array" ref="K2497">INT(5 * (RANK(H2497,H:H, 0) - 1) / COUNT(H:H)) + 1</f>
        <v>2</v>
      </c>
      <c r="L2497">
        <f t="array" ref="L2497">INT(5 * (RANK(I2497,I:I, 0) - 1) / COUNT(I:I)) + 1</f>
        <v>3</v>
      </c>
      <c r="M2497" t="str">
        <f t="shared" si="76"/>
        <v>523</v>
      </c>
      <c r="N2497" s="6" t="str">
        <f t="shared" si="77"/>
        <v>New Customers</v>
      </c>
    </row>
    <row r="2498" spans="1:14" x14ac:dyDescent="0.35">
      <c r="A2498">
        <v>1064</v>
      </c>
      <c r="B2498" s="4">
        <v>46017.375085336993</v>
      </c>
      <c r="C2498" t="s">
        <v>7</v>
      </c>
      <c r="D2498" t="s">
        <v>22</v>
      </c>
      <c r="E2498" t="s">
        <v>23</v>
      </c>
      <c r="F2498">
        <v>5425.36</v>
      </c>
      <c r="G2498">
        <f t="array" ref="G2498">SalesData!$I$2 - 'RFM Table'!B2498</f>
        <v>119</v>
      </c>
      <c r="H2498">
        <f t="array" ref="H2498">COUNTIF(A:A,A2498)</f>
        <v>6</v>
      </c>
      <c r="I2498">
        <f t="array" ref="I2498">SUMIF(A:A,A2498,F:F)</f>
        <v>30683.43</v>
      </c>
      <c r="J2498">
        <f t="array" ref="J2498">5 - INT(5 * (RANK(G2498,G:G, 1) - 1) / COUNT(G:G))</f>
        <v>5</v>
      </c>
      <c r="K2498">
        <f t="array" ref="K2498">INT(5 * (RANK(H2498,H:H, 0) - 1) / COUNT(H:H)) + 1</f>
        <v>4</v>
      </c>
      <c r="L2498">
        <f t="array" ref="L2498">INT(5 * (RANK(I2498,I:I, 0) - 1) / COUNT(I:I)) + 1</f>
        <v>3</v>
      </c>
      <c r="M2498" t="str">
        <f t="shared" si="76"/>
        <v>543</v>
      </c>
      <c r="N2498" s="6" t="str">
        <f t="shared" si="77"/>
        <v>Others</v>
      </c>
    </row>
    <row r="2499" spans="1:14" x14ac:dyDescent="0.35">
      <c r="A2499">
        <v>1336</v>
      </c>
      <c r="B2499" s="4">
        <v>46017.375085336993</v>
      </c>
      <c r="C2499" t="s">
        <v>6</v>
      </c>
      <c r="D2499" t="s">
        <v>16</v>
      </c>
      <c r="E2499" t="s">
        <v>23</v>
      </c>
      <c r="F2499">
        <v>4215.34</v>
      </c>
      <c r="G2499">
        <f t="array" ref="G2499">SalesData!$I$2 - 'RFM Table'!B2499</f>
        <v>119</v>
      </c>
      <c r="H2499">
        <f t="array" ref="H2499">COUNTIF(A:A,A2499)</f>
        <v>6</v>
      </c>
      <c r="I2499">
        <f t="array" ref="I2499">SUMIF(A:A,A2499,F:F)</f>
        <v>27182.68</v>
      </c>
      <c r="J2499">
        <f t="array" ref="J2499">5 - INT(5 * (RANK(G2499,G:G, 1) - 1) / COUNT(G:G))</f>
        <v>5</v>
      </c>
      <c r="K2499">
        <f t="array" ref="K2499">INT(5 * (RANK(H2499,H:H, 0) - 1) / COUNT(H:H)) + 1</f>
        <v>4</v>
      </c>
      <c r="L2499">
        <f t="array" ref="L2499">INT(5 * (RANK(I2499,I:I, 0) - 1) / COUNT(I:I)) + 1</f>
        <v>4</v>
      </c>
      <c r="M2499" t="str">
        <f t="shared" ref="M2499:M2562" si="78">J2499 &amp; K2499 &amp; L2499</f>
        <v>544</v>
      </c>
      <c r="N2499" s="6" t="str">
        <f t="shared" ref="N2499:N2562" si="79">IF(AND(J2499&gt;=4,K2499&lt;=2),"New Customers",
IF(AND(J2499&lt;=2,K2499&gt;=3,L2499&gt;=3),"At Risk",
IF(AND(J2499&lt;=2,K2499&lt;=2,L2499&gt;=3),"Can't Lose Them",
IF(AND(J2499&lt;=2,K2499&lt;=2,L2499&lt;=2),"Lost",
"Others"))))</f>
        <v>Others</v>
      </c>
    </row>
    <row r="2500" spans="1:14" x14ac:dyDescent="0.35">
      <c r="A2500">
        <v>1219</v>
      </c>
      <c r="B2500" s="4">
        <v>46017.375085336993</v>
      </c>
      <c r="C2500" t="s">
        <v>8</v>
      </c>
      <c r="D2500" t="s">
        <v>16</v>
      </c>
      <c r="E2500" t="s">
        <v>23</v>
      </c>
      <c r="F2500">
        <v>2352.83</v>
      </c>
      <c r="G2500">
        <f t="array" ref="G2500">SalesData!$I$2 - 'RFM Table'!B2500</f>
        <v>119</v>
      </c>
      <c r="H2500">
        <f t="array" ref="H2500">COUNTIF(A:A,A2500)</f>
        <v>11</v>
      </c>
      <c r="I2500">
        <f t="array" ref="I2500">SUMIF(A:A,A2500,F:F)</f>
        <v>38976.650000000009</v>
      </c>
      <c r="J2500">
        <f t="array" ref="J2500">5 - INT(5 * (RANK(G2500,G:G, 1) - 1) / COUNT(G:G))</f>
        <v>5</v>
      </c>
      <c r="K2500">
        <f t="array" ref="K2500">INT(5 * (RANK(H2500,H:H, 0) - 1) / COUNT(H:H)) + 1</f>
        <v>1</v>
      </c>
      <c r="L2500">
        <f t="array" ref="L2500">INT(5 * (RANK(I2500,I:I, 0) - 1) / COUNT(I:I)) + 1</f>
        <v>2</v>
      </c>
      <c r="M2500" t="str">
        <f t="shared" si="78"/>
        <v>512</v>
      </c>
      <c r="N2500" s="6" t="str">
        <f t="shared" si="79"/>
        <v>New Customers</v>
      </c>
    </row>
    <row r="2501" spans="1:14" x14ac:dyDescent="0.35">
      <c r="A2501">
        <v>1205</v>
      </c>
      <c r="B2501" s="4">
        <v>46017.375085336993</v>
      </c>
      <c r="C2501" t="s">
        <v>7</v>
      </c>
      <c r="D2501" t="s">
        <v>17</v>
      </c>
      <c r="E2501" t="s">
        <v>24</v>
      </c>
      <c r="F2501">
        <v>990.58</v>
      </c>
      <c r="G2501">
        <f t="array" ref="G2501">SalesData!$I$2 - 'RFM Table'!B2501</f>
        <v>119</v>
      </c>
      <c r="H2501">
        <f t="array" ref="H2501">COUNTIF(A:A,A2501)</f>
        <v>6</v>
      </c>
      <c r="I2501">
        <f t="array" ref="I2501">SUMIF(A:A,A2501,F:F)</f>
        <v>24977.25</v>
      </c>
      <c r="J2501">
        <f t="array" ref="J2501">5 - INT(5 * (RANK(G2501,G:G, 1) - 1) / COUNT(G:G))</f>
        <v>5</v>
      </c>
      <c r="K2501">
        <f t="array" ref="K2501">INT(5 * (RANK(H2501,H:H, 0) - 1) / COUNT(H:H)) + 1</f>
        <v>4</v>
      </c>
      <c r="L2501">
        <f t="array" ref="L2501">INT(5 * (RANK(I2501,I:I, 0) - 1) / COUNT(I:I)) + 1</f>
        <v>4</v>
      </c>
      <c r="M2501" t="str">
        <f t="shared" si="78"/>
        <v>544</v>
      </c>
      <c r="N2501" s="6" t="str">
        <f t="shared" si="79"/>
        <v>Others</v>
      </c>
    </row>
    <row r="2502" spans="1:14" x14ac:dyDescent="0.35">
      <c r="A2502">
        <v>1394</v>
      </c>
      <c r="B2502" s="4">
        <v>46018.375085336993</v>
      </c>
      <c r="C2502" t="s">
        <v>7</v>
      </c>
      <c r="D2502" t="s">
        <v>22</v>
      </c>
      <c r="E2502" t="s">
        <v>23</v>
      </c>
      <c r="F2502">
        <v>3225.58</v>
      </c>
      <c r="G2502">
        <f t="array" ref="G2502">SalesData!$I$2 - 'RFM Table'!B2502</f>
        <v>118</v>
      </c>
      <c r="H2502">
        <f t="array" ref="H2502">COUNTIF(A:A,A2502)</f>
        <v>6</v>
      </c>
      <c r="I2502">
        <f t="array" ref="I2502">SUMIF(A:A,A2502,F:F)</f>
        <v>15872.329999999998</v>
      </c>
      <c r="J2502">
        <f t="array" ref="J2502">5 - INT(5 * (RANK(G2502,G:G, 1) - 1) / COUNT(G:G))</f>
        <v>5</v>
      </c>
      <c r="K2502">
        <f t="array" ref="K2502">INT(5 * (RANK(H2502,H:H, 0) - 1) / COUNT(H:H)) + 1</f>
        <v>4</v>
      </c>
      <c r="L2502">
        <f t="array" ref="L2502">INT(5 * (RANK(I2502,I:I, 0) - 1) / COUNT(I:I)) + 1</f>
        <v>5</v>
      </c>
      <c r="M2502" t="str">
        <f t="shared" si="78"/>
        <v>545</v>
      </c>
      <c r="N2502" s="6" t="str">
        <f t="shared" si="79"/>
        <v>Others</v>
      </c>
    </row>
    <row r="2503" spans="1:14" x14ac:dyDescent="0.35">
      <c r="A2503">
        <v>1232</v>
      </c>
      <c r="B2503" s="4">
        <v>46018.375085336993</v>
      </c>
      <c r="C2503" t="s">
        <v>14</v>
      </c>
      <c r="D2503" t="s">
        <v>18</v>
      </c>
      <c r="E2503" t="s">
        <v>24</v>
      </c>
      <c r="F2503">
        <v>1661.09</v>
      </c>
      <c r="G2503">
        <f t="array" ref="G2503">SalesData!$I$2 - 'RFM Table'!B2503</f>
        <v>118</v>
      </c>
      <c r="H2503">
        <f t="array" ref="H2503">COUNTIF(A:A,A2503)</f>
        <v>13</v>
      </c>
      <c r="I2503">
        <f t="array" ref="I2503">SUMIF(A:A,A2503,F:F)</f>
        <v>40298.450000000004</v>
      </c>
      <c r="J2503">
        <f t="array" ref="J2503">5 - INT(5 * (RANK(G2503,G:G, 1) - 1) / COUNT(G:G))</f>
        <v>5</v>
      </c>
      <c r="K2503">
        <f t="array" ref="K2503">INT(5 * (RANK(H2503,H:H, 0) - 1) / COUNT(H:H)) + 1</f>
        <v>1</v>
      </c>
      <c r="L2503">
        <f t="array" ref="L2503">INT(5 * (RANK(I2503,I:I, 0) - 1) / COUNT(I:I)) + 1</f>
        <v>2</v>
      </c>
      <c r="M2503" t="str">
        <f t="shared" si="78"/>
        <v>512</v>
      </c>
      <c r="N2503" s="6" t="str">
        <f t="shared" si="79"/>
        <v>New Customers</v>
      </c>
    </row>
    <row r="2504" spans="1:14" x14ac:dyDescent="0.35">
      <c r="A2504">
        <v>1347</v>
      </c>
      <c r="B2504" s="4">
        <v>46018.375085336993</v>
      </c>
      <c r="C2504" t="s">
        <v>15</v>
      </c>
      <c r="D2504" t="s">
        <v>22</v>
      </c>
      <c r="E2504" t="s">
        <v>25</v>
      </c>
      <c r="F2504">
        <v>1544.11</v>
      </c>
      <c r="G2504">
        <f t="array" ref="G2504">SalesData!$I$2 - 'RFM Table'!B2504</f>
        <v>118</v>
      </c>
      <c r="H2504">
        <f t="array" ref="H2504">COUNTIF(A:A,A2504)</f>
        <v>7</v>
      </c>
      <c r="I2504">
        <f t="array" ref="I2504">SUMIF(A:A,A2504,F:F)</f>
        <v>20951.28</v>
      </c>
      <c r="J2504">
        <f t="array" ref="J2504">5 - INT(5 * (RANK(G2504,G:G, 1) - 1) / COUNT(G:G))</f>
        <v>5</v>
      </c>
      <c r="K2504">
        <f t="array" ref="K2504">INT(5 * (RANK(H2504,H:H, 0) - 1) / COUNT(H:H)) + 1</f>
        <v>4</v>
      </c>
      <c r="L2504">
        <f t="array" ref="L2504">INT(5 * (RANK(I2504,I:I, 0) - 1) / COUNT(I:I)) + 1</f>
        <v>5</v>
      </c>
      <c r="M2504" t="str">
        <f t="shared" si="78"/>
        <v>545</v>
      </c>
      <c r="N2504" s="6" t="str">
        <f t="shared" si="79"/>
        <v>Others</v>
      </c>
    </row>
    <row r="2505" spans="1:14" x14ac:dyDescent="0.35">
      <c r="A2505">
        <v>1253</v>
      </c>
      <c r="B2505" s="4">
        <v>46018.375085336993</v>
      </c>
      <c r="C2505" t="s">
        <v>12</v>
      </c>
      <c r="D2505" t="s">
        <v>16</v>
      </c>
      <c r="E2505" t="s">
        <v>23</v>
      </c>
      <c r="F2505">
        <v>7182.87</v>
      </c>
      <c r="G2505">
        <f t="array" ref="G2505">SalesData!$I$2 - 'RFM Table'!B2505</f>
        <v>118</v>
      </c>
      <c r="H2505">
        <f t="array" ref="H2505">COUNTIF(A:A,A2505)</f>
        <v>7</v>
      </c>
      <c r="I2505">
        <f t="array" ref="I2505">SUMIF(A:A,A2505,F:F)</f>
        <v>47955.99</v>
      </c>
      <c r="J2505">
        <f t="array" ref="J2505">5 - INT(5 * (RANK(G2505,G:G, 1) - 1) / COUNT(G:G))</f>
        <v>5</v>
      </c>
      <c r="K2505">
        <f t="array" ref="K2505">INT(5 * (RANK(H2505,H:H, 0) - 1) / COUNT(H:H)) + 1</f>
        <v>4</v>
      </c>
      <c r="L2505">
        <f t="array" ref="L2505">INT(5 * (RANK(I2505,I:I, 0) - 1) / COUNT(I:I)) + 1</f>
        <v>1</v>
      </c>
      <c r="M2505" t="str">
        <f t="shared" si="78"/>
        <v>541</v>
      </c>
      <c r="N2505" s="6" t="str">
        <f t="shared" si="79"/>
        <v>Others</v>
      </c>
    </row>
    <row r="2506" spans="1:14" x14ac:dyDescent="0.35">
      <c r="A2506">
        <v>1292</v>
      </c>
      <c r="B2506" s="4">
        <v>46018.375085336993</v>
      </c>
      <c r="C2506" t="s">
        <v>14</v>
      </c>
      <c r="D2506" t="s">
        <v>22</v>
      </c>
      <c r="E2506" t="s">
        <v>24</v>
      </c>
      <c r="F2506">
        <v>6858.24</v>
      </c>
      <c r="G2506">
        <f t="array" ref="G2506">SalesData!$I$2 - 'RFM Table'!B2506</f>
        <v>118</v>
      </c>
      <c r="H2506">
        <f t="array" ref="H2506">COUNTIF(A:A,A2506)</f>
        <v>15</v>
      </c>
      <c r="I2506">
        <f t="array" ref="I2506">SUMIF(A:A,A2506,F:F)</f>
        <v>49637.999999999993</v>
      </c>
      <c r="J2506">
        <f t="array" ref="J2506">5 - INT(5 * (RANK(G2506,G:G, 1) - 1) / COUNT(G:G))</f>
        <v>5</v>
      </c>
      <c r="K2506">
        <f t="array" ref="K2506">INT(5 * (RANK(H2506,H:H, 0) - 1) / COUNT(H:H)) + 1</f>
        <v>1</v>
      </c>
      <c r="L2506">
        <f t="array" ref="L2506">INT(5 * (RANK(I2506,I:I, 0) - 1) / COUNT(I:I)) + 1</f>
        <v>1</v>
      </c>
      <c r="M2506" t="str">
        <f t="shared" si="78"/>
        <v>511</v>
      </c>
      <c r="N2506" s="6" t="str">
        <f t="shared" si="79"/>
        <v>New Customers</v>
      </c>
    </row>
    <row r="2507" spans="1:14" x14ac:dyDescent="0.35">
      <c r="A2507">
        <v>1371</v>
      </c>
      <c r="B2507" s="4">
        <v>46018.375085336993</v>
      </c>
      <c r="C2507" t="s">
        <v>10</v>
      </c>
      <c r="D2507" t="s">
        <v>21</v>
      </c>
      <c r="E2507" t="s">
        <v>23</v>
      </c>
      <c r="F2507">
        <v>864.89</v>
      </c>
      <c r="G2507">
        <f t="array" ref="G2507">SalesData!$I$2 - 'RFM Table'!B2507</f>
        <v>118</v>
      </c>
      <c r="H2507">
        <f t="array" ref="H2507">COUNTIF(A:A,A2507)</f>
        <v>4</v>
      </c>
      <c r="I2507">
        <f t="array" ref="I2507">SUMIF(A:A,A2507,F:F)</f>
        <v>6852.89</v>
      </c>
      <c r="J2507">
        <f t="array" ref="J2507">5 - INT(5 * (RANK(G2507,G:G, 1) - 1) / COUNT(G:G))</f>
        <v>5</v>
      </c>
      <c r="K2507">
        <f t="array" ref="K2507">INT(5 * (RANK(H2507,H:H, 0) - 1) / COUNT(H:H)) + 1</f>
        <v>5</v>
      </c>
      <c r="L2507">
        <f t="array" ref="L2507">INT(5 * (RANK(I2507,I:I, 0) - 1) / COUNT(I:I)) + 1</f>
        <v>5</v>
      </c>
      <c r="M2507" t="str">
        <f t="shared" si="78"/>
        <v>555</v>
      </c>
      <c r="N2507" s="6" t="str">
        <f t="shared" si="79"/>
        <v>Others</v>
      </c>
    </row>
    <row r="2508" spans="1:14" x14ac:dyDescent="0.35">
      <c r="A2508">
        <v>1296</v>
      </c>
      <c r="B2508" s="4">
        <v>46018.375085336993</v>
      </c>
      <c r="C2508" t="s">
        <v>9</v>
      </c>
      <c r="D2508" t="s">
        <v>16</v>
      </c>
      <c r="E2508" t="s">
        <v>24</v>
      </c>
      <c r="F2508">
        <v>1145</v>
      </c>
      <c r="G2508">
        <f t="array" ref="G2508">SalesData!$I$2 - 'RFM Table'!B2508</f>
        <v>118</v>
      </c>
      <c r="H2508">
        <f t="array" ref="H2508">COUNTIF(A:A,A2508)</f>
        <v>2</v>
      </c>
      <c r="I2508">
        <f t="array" ref="I2508">SUMIF(A:A,A2508,F:F)</f>
        <v>8127.38</v>
      </c>
      <c r="J2508">
        <f t="array" ref="J2508">5 - INT(5 * (RANK(G2508,G:G, 1) - 1) / COUNT(G:G))</f>
        <v>5</v>
      </c>
      <c r="K2508">
        <f t="array" ref="K2508">INT(5 * (RANK(H2508,H:H, 0) - 1) / COUNT(H:H)) + 1</f>
        <v>5</v>
      </c>
      <c r="L2508">
        <f t="array" ref="L2508">INT(5 * (RANK(I2508,I:I, 0) - 1) / COUNT(I:I)) + 1</f>
        <v>5</v>
      </c>
      <c r="M2508" t="str">
        <f t="shared" si="78"/>
        <v>555</v>
      </c>
      <c r="N2508" s="6" t="str">
        <f t="shared" si="79"/>
        <v>Others</v>
      </c>
    </row>
    <row r="2509" spans="1:14" x14ac:dyDescent="0.35">
      <c r="A2509">
        <v>1123</v>
      </c>
      <c r="B2509" s="4">
        <v>46019.375085336993</v>
      </c>
      <c r="C2509" t="s">
        <v>12</v>
      </c>
      <c r="D2509" t="s">
        <v>16</v>
      </c>
      <c r="E2509" t="s">
        <v>24</v>
      </c>
      <c r="F2509">
        <v>3322.74</v>
      </c>
      <c r="G2509">
        <f t="array" ref="G2509">SalesData!$I$2 - 'RFM Table'!B2509</f>
        <v>117</v>
      </c>
      <c r="H2509">
        <f t="array" ref="H2509">COUNTIF(A:A,A2509)</f>
        <v>6</v>
      </c>
      <c r="I2509">
        <f t="array" ref="I2509">SUMIF(A:A,A2509,F:F)</f>
        <v>26817.25</v>
      </c>
      <c r="J2509">
        <f t="array" ref="J2509">5 - INT(5 * (RANK(G2509,G:G, 1) - 1) / COUNT(G:G))</f>
        <v>5</v>
      </c>
      <c r="K2509">
        <f t="array" ref="K2509">INT(5 * (RANK(H2509,H:H, 0) - 1) / COUNT(H:H)) + 1</f>
        <v>4</v>
      </c>
      <c r="L2509">
        <f t="array" ref="L2509">INT(5 * (RANK(I2509,I:I, 0) - 1) / COUNT(I:I)) + 1</f>
        <v>4</v>
      </c>
      <c r="M2509" t="str">
        <f t="shared" si="78"/>
        <v>544</v>
      </c>
      <c r="N2509" s="6" t="str">
        <f t="shared" si="79"/>
        <v>Others</v>
      </c>
    </row>
    <row r="2510" spans="1:14" x14ac:dyDescent="0.35">
      <c r="A2510">
        <v>1246</v>
      </c>
      <c r="B2510" s="4">
        <v>46019.375085336993</v>
      </c>
      <c r="C2510" t="s">
        <v>9</v>
      </c>
      <c r="D2510" t="s">
        <v>19</v>
      </c>
      <c r="E2510" t="s">
        <v>25</v>
      </c>
      <c r="F2510">
        <v>6610.48</v>
      </c>
      <c r="G2510">
        <f t="array" ref="G2510">SalesData!$I$2 - 'RFM Table'!B2510</f>
        <v>117</v>
      </c>
      <c r="H2510">
        <f t="array" ref="H2510">COUNTIF(A:A,A2510)</f>
        <v>9</v>
      </c>
      <c r="I2510">
        <f t="array" ref="I2510">SUMIF(A:A,A2510,F:F)</f>
        <v>38767.17</v>
      </c>
      <c r="J2510">
        <f t="array" ref="J2510">5 - INT(5 * (RANK(G2510,G:G, 1) - 1) / COUNT(G:G))</f>
        <v>5</v>
      </c>
      <c r="K2510">
        <f t="array" ref="K2510">INT(5 * (RANK(H2510,H:H, 0) - 1) / COUNT(H:H)) + 1</f>
        <v>2</v>
      </c>
      <c r="L2510">
        <f t="array" ref="L2510">INT(5 * (RANK(I2510,I:I, 0) - 1) / COUNT(I:I)) + 1</f>
        <v>2</v>
      </c>
      <c r="M2510" t="str">
        <f t="shared" si="78"/>
        <v>522</v>
      </c>
      <c r="N2510" s="6" t="str">
        <f t="shared" si="79"/>
        <v>New Customers</v>
      </c>
    </row>
    <row r="2511" spans="1:14" x14ac:dyDescent="0.35">
      <c r="A2511">
        <v>1180</v>
      </c>
      <c r="B2511" s="4">
        <v>46019.375085336993</v>
      </c>
      <c r="C2511" t="s">
        <v>11</v>
      </c>
      <c r="D2511" t="s">
        <v>21</v>
      </c>
      <c r="E2511" t="s">
        <v>23</v>
      </c>
      <c r="F2511">
        <v>4742.63</v>
      </c>
      <c r="G2511">
        <f t="array" ref="G2511">SalesData!$I$2 - 'RFM Table'!B2511</f>
        <v>117</v>
      </c>
      <c r="H2511">
        <f t="array" ref="H2511">COUNTIF(A:A,A2511)</f>
        <v>8</v>
      </c>
      <c r="I2511">
        <f t="array" ref="I2511">SUMIF(A:A,A2511,F:F)</f>
        <v>35247.5</v>
      </c>
      <c r="J2511">
        <f t="array" ref="J2511">5 - INT(5 * (RANK(G2511,G:G, 1) - 1) / COUNT(G:G))</f>
        <v>5</v>
      </c>
      <c r="K2511">
        <f t="array" ref="K2511">INT(5 * (RANK(H2511,H:H, 0) - 1) / COUNT(H:H)) + 1</f>
        <v>3</v>
      </c>
      <c r="L2511">
        <f t="array" ref="L2511">INT(5 * (RANK(I2511,I:I, 0) - 1) / COUNT(I:I)) + 1</f>
        <v>3</v>
      </c>
      <c r="M2511" t="str">
        <f t="shared" si="78"/>
        <v>533</v>
      </c>
      <c r="N2511" s="6" t="str">
        <f t="shared" si="79"/>
        <v>Others</v>
      </c>
    </row>
    <row r="2512" spans="1:14" x14ac:dyDescent="0.35">
      <c r="A2512">
        <v>1108</v>
      </c>
      <c r="B2512" s="4">
        <v>46019.375085336993</v>
      </c>
      <c r="C2512" t="s">
        <v>12</v>
      </c>
      <c r="D2512" t="s">
        <v>22</v>
      </c>
      <c r="E2512" t="s">
        <v>24</v>
      </c>
      <c r="F2512">
        <v>761.7</v>
      </c>
      <c r="G2512">
        <f t="array" ref="G2512">SalesData!$I$2 - 'RFM Table'!B2512</f>
        <v>117</v>
      </c>
      <c r="H2512">
        <f t="array" ref="H2512">COUNTIF(A:A,A2512)</f>
        <v>5</v>
      </c>
      <c r="I2512">
        <f t="array" ref="I2512">SUMIF(A:A,A2512,F:F)</f>
        <v>22595.8</v>
      </c>
      <c r="J2512">
        <f t="array" ref="J2512">5 - INT(5 * (RANK(G2512,G:G, 1) - 1) / COUNT(G:G))</f>
        <v>5</v>
      </c>
      <c r="K2512">
        <f t="array" ref="K2512">INT(5 * (RANK(H2512,H:H, 0) - 1) / COUNT(H:H)) + 1</f>
        <v>5</v>
      </c>
      <c r="L2512">
        <f t="array" ref="L2512">INT(5 * (RANK(I2512,I:I, 0) - 1) / COUNT(I:I)) + 1</f>
        <v>4</v>
      </c>
      <c r="M2512" t="str">
        <f t="shared" si="78"/>
        <v>554</v>
      </c>
      <c r="N2512" s="6" t="str">
        <f t="shared" si="79"/>
        <v>Others</v>
      </c>
    </row>
    <row r="2513" spans="1:14" x14ac:dyDescent="0.35">
      <c r="A2513">
        <v>1018</v>
      </c>
      <c r="B2513" s="4">
        <v>46020.375085336993</v>
      </c>
      <c r="C2513" t="s">
        <v>9</v>
      </c>
      <c r="D2513" t="s">
        <v>21</v>
      </c>
      <c r="E2513" t="s">
        <v>24</v>
      </c>
      <c r="F2513">
        <v>6256.6</v>
      </c>
      <c r="G2513">
        <f t="array" ref="G2513">SalesData!$I$2 - 'RFM Table'!B2513</f>
        <v>116</v>
      </c>
      <c r="H2513">
        <f t="array" ref="H2513">COUNTIF(A:A,A2513)</f>
        <v>7</v>
      </c>
      <c r="I2513">
        <f t="array" ref="I2513">SUMIF(A:A,A2513,F:F)</f>
        <v>25356.28</v>
      </c>
      <c r="J2513">
        <f t="array" ref="J2513">5 - INT(5 * (RANK(G2513,G:G, 1) - 1) / COUNT(G:G))</f>
        <v>5</v>
      </c>
      <c r="K2513">
        <f t="array" ref="K2513">INT(5 * (RANK(H2513,H:H, 0) - 1) / COUNT(H:H)) + 1</f>
        <v>4</v>
      </c>
      <c r="L2513">
        <f t="array" ref="L2513">INT(5 * (RANK(I2513,I:I, 0) - 1) / COUNT(I:I)) + 1</f>
        <v>4</v>
      </c>
      <c r="M2513" t="str">
        <f t="shared" si="78"/>
        <v>544</v>
      </c>
      <c r="N2513" s="6" t="str">
        <f t="shared" si="79"/>
        <v>Others</v>
      </c>
    </row>
    <row r="2514" spans="1:14" x14ac:dyDescent="0.35">
      <c r="A2514">
        <v>1166</v>
      </c>
      <c r="B2514" s="4">
        <v>46020.375085336993</v>
      </c>
      <c r="C2514" t="s">
        <v>11</v>
      </c>
      <c r="D2514" t="s">
        <v>21</v>
      </c>
      <c r="E2514" t="s">
        <v>24</v>
      </c>
      <c r="F2514">
        <v>3094.29</v>
      </c>
      <c r="G2514">
        <f t="array" ref="G2514">SalesData!$I$2 - 'RFM Table'!B2514</f>
        <v>116</v>
      </c>
      <c r="H2514">
        <f t="array" ref="H2514">COUNTIF(A:A,A2514)</f>
        <v>5</v>
      </c>
      <c r="I2514">
        <f t="array" ref="I2514">SUMIF(A:A,A2514,F:F)</f>
        <v>23179.78</v>
      </c>
      <c r="J2514">
        <f t="array" ref="J2514">5 - INT(5 * (RANK(G2514,G:G, 1) - 1) / COUNT(G:G))</f>
        <v>5</v>
      </c>
      <c r="K2514">
        <f t="array" ref="K2514">INT(5 * (RANK(H2514,H:H, 0) - 1) / COUNT(H:H)) + 1</f>
        <v>5</v>
      </c>
      <c r="L2514">
        <f t="array" ref="L2514">INT(5 * (RANK(I2514,I:I, 0) - 1) / COUNT(I:I)) + 1</f>
        <v>4</v>
      </c>
      <c r="M2514" t="str">
        <f t="shared" si="78"/>
        <v>554</v>
      </c>
      <c r="N2514" s="6" t="str">
        <f t="shared" si="79"/>
        <v>Others</v>
      </c>
    </row>
    <row r="2515" spans="1:14" x14ac:dyDescent="0.35">
      <c r="A2515">
        <v>1095</v>
      </c>
      <c r="B2515" s="4">
        <v>46020.375085336993</v>
      </c>
      <c r="C2515" t="s">
        <v>12</v>
      </c>
      <c r="D2515" t="s">
        <v>18</v>
      </c>
      <c r="E2515" t="s">
        <v>23</v>
      </c>
      <c r="F2515">
        <v>2590.1</v>
      </c>
      <c r="G2515">
        <f t="array" ref="G2515">SalesData!$I$2 - 'RFM Table'!B2515</f>
        <v>116</v>
      </c>
      <c r="H2515">
        <f t="array" ref="H2515">COUNTIF(A:A,A2515)</f>
        <v>9</v>
      </c>
      <c r="I2515">
        <f t="array" ref="I2515">SUMIF(A:A,A2515,F:F)</f>
        <v>48530.240000000005</v>
      </c>
      <c r="J2515">
        <f t="array" ref="J2515">5 - INT(5 * (RANK(G2515,G:G, 1) - 1) / COUNT(G:G))</f>
        <v>5</v>
      </c>
      <c r="K2515">
        <f t="array" ref="K2515">INT(5 * (RANK(H2515,H:H, 0) - 1) / COUNT(H:H)) + 1</f>
        <v>2</v>
      </c>
      <c r="L2515">
        <f t="array" ref="L2515">INT(5 * (RANK(I2515,I:I, 0) - 1) / COUNT(I:I)) + 1</f>
        <v>1</v>
      </c>
      <c r="M2515" t="str">
        <f t="shared" si="78"/>
        <v>521</v>
      </c>
      <c r="N2515" s="6" t="str">
        <f t="shared" si="79"/>
        <v>New Customers</v>
      </c>
    </row>
    <row r="2516" spans="1:14" x14ac:dyDescent="0.35">
      <c r="A2516">
        <v>1053</v>
      </c>
      <c r="B2516" s="4">
        <v>46020.375085336993</v>
      </c>
      <c r="C2516" t="s">
        <v>11</v>
      </c>
      <c r="D2516" t="s">
        <v>18</v>
      </c>
      <c r="E2516" t="s">
        <v>24</v>
      </c>
      <c r="F2516">
        <v>3829.12</v>
      </c>
      <c r="G2516">
        <f t="array" ref="G2516">SalesData!$I$2 - 'RFM Table'!B2516</f>
        <v>116</v>
      </c>
      <c r="H2516">
        <f t="array" ref="H2516">COUNTIF(A:A,A2516)</f>
        <v>10</v>
      </c>
      <c r="I2516">
        <f t="array" ref="I2516">SUMIF(A:A,A2516,F:F)</f>
        <v>44572.97</v>
      </c>
      <c r="J2516">
        <f t="array" ref="J2516">5 - INT(5 * (RANK(G2516,G:G, 1) - 1) / COUNT(G:G))</f>
        <v>5</v>
      </c>
      <c r="K2516">
        <f t="array" ref="K2516">INT(5 * (RANK(H2516,H:H, 0) - 1) / COUNT(H:H)) + 1</f>
        <v>2</v>
      </c>
      <c r="L2516">
        <f t="array" ref="L2516">INT(5 * (RANK(I2516,I:I, 0) - 1) / COUNT(I:I)) + 1</f>
        <v>2</v>
      </c>
      <c r="M2516" t="str">
        <f t="shared" si="78"/>
        <v>522</v>
      </c>
      <c r="N2516" s="6" t="str">
        <f t="shared" si="79"/>
        <v>New Customers</v>
      </c>
    </row>
    <row r="2517" spans="1:14" x14ac:dyDescent="0.35">
      <c r="A2517">
        <v>1011</v>
      </c>
      <c r="B2517" s="4">
        <v>46021.375085336993</v>
      </c>
      <c r="C2517" t="s">
        <v>14</v>
      </c>
      <c r="D2517" t="s">
        <v>16</v>
      </c>
      <c r="E2517" t="s">
        <v>23</v>
      </c>
      <c r="F2517">
        <v>7759.16</v>
      </c>
      <c r="G2517">
        <f t="array" ref="G2517">SalesData!$I$2 - 'RFM Table'!B2517</f>
        <v>115</v>
      </c>
      <c r="H2517">
        <f t="array" ref="H2517">COUNTIF(A:A,A2517)</f>
        <v>16</v>
      </c>
      <c r="I2517">
        <f t="array" ref="I2517">SUMIF(A:A,A2517,F:F)</f>
        <v>58237.360000000008</v>
      </c>
      <c r="J2517">
        <f t="array" ref="J2517">5 - INT(5 * (RANK(G2517,G:G, 1) - 1) / COUNT(G:G))</f>
        <v>5</v>
      </c>
      <c r="K2517">
        <f t="array" ref="K2517">INT(5 * (RANK(H2517,H:H, 0) - 1) / COUNT(H:H)) + 1</f>
        <v>1</v>
      </c>
      <c r="L2517">
        <f t="array" ref="L2517">INT(5 * (RANK(I2517,I:I, 0) - 1) / COUNT(I:I)) + 1</f>
        <v>1</v>
      </c>
      <c r="M2517" t="str">
        <f t="shared" si="78"/>
        <v>511</v>
      </c>
      <c r="N2517" s="6" t="str">
        <f t="shared" si="79"/>
        <v>New Customers</v>
      </c>
    </row>
    <row r="2518" spans="1:14" x14ac:dyDescent="0.35">
      <c r="A2518">
        <v>1137</v>
      </c>
      <c r="B2518" s="4">
        <v>46021.375085336993</v>
      </c>
      <c r="C2518" t="s">
        <v>10</v>
      </c>
      <c r="D2518" t="s">
        <v>20</v>
      </c>
      <c r="E2518" t="s">
        <v>23</v>
      </c>
      <c r="F2518">
        <v>1529.16</v>
      </c>
      <c r="G2518">
        <f t="array" ref="G2518">SalesData!$I$2 - 'RFM Table'!B2518</f>
        <v>115</v>
      </c>
      <c r="H2518">
        <f t="array" ref="H2518">COUNTIF(A:A,A2518)</f>
        <v>5</v>
      </c>
      <c r="I2518">
        <f t="array" ref="I2518">SUMIF(A:A,A2518,F:F)</f>
        <v>18024.71</v>
      </c>
      <c r="J2518">
        <f t="array" ref="J2518">5 - INT(5 * (RANK(G2518,G:G, 1) - 1) / COUNT(G:G))</f>
        <v>5</v>
      </c>
      <c r="K2518">
        <f t="array" ref="K2518">INT(5 * (RANK(H2518,H:H, 0) - 1) / COUNT(H:H)) + 1</f>
        <v>5</v>
      </c>
      <c r="L2518">
        <f t="array" ref="L2518">INT(5 * (RANK(I2518,I:I, 0) - 1) / COUNT(I:I)) + 1</f>
        <v>5</v>
      </c>
      <c r="M2518" t="str">
        <f t="shared" si="78"/>
        <v>555</v>
      </c>
      <c r="N2518" s="6" t="str">
        <f t="shared" si="79"/>
        <v>Others</v>
      </c>
    </row>
    <row r="2519" spans="1:14" x14ac:dyDescent="0.35">
      <c r="A2519">
        <v>1256</v>
      </c>
      <c r="B2519" s="4">
        <v>46021.375085336993</v>
      </c>
      <c r="C2519" t="s">
        <v>7</v>
      </c>
      <c r="D2519" t="s">
        <v>19</v>
      </c>
      <c r="E2519" t="s">
        <v>25</v>
      </c>
      <c r="F2519">
        <v>5228.2299999999996</v>
      </c>
      <c r="G2519">
        <f t="array" ref="G2519">SalesData!$I$2 - 'RFM Table'!B2519</f>
        <v>115</v>
      </c>
      <c r="H2519">
        <f t="array" ref="H2519">COUNTIF(A:A,A2519)</f>
        <v>8</v>
      </c>
      <c r="I2519">
        <f t="array" ref="I2519">SUMIF(A:A,A2519,F:F)</f>
        <v>29767.75</v>
      </c>
      <c r="J2519">
        <f t="array" ref="J2519">5 - INT(5 * (RANK(G2519,G:G, 1) - 1) / COUNT(G:G))</f>
        <v>5</v>
      </c>
      <c r="K2519">
        <f t="array" ref="K2519">INT(5 * (RANK(H2519,H:H, 0) - 1) / COUNT(H:H)) + 1</f>
        <v>3</v>
      </c>
      <c r="L2519">
        <f t="array" ref="L2519">INT(5 * (RANK(I2519,I:I, 0) - 1) / COUNT(I:I)) + 1</f>
        <v>3</v>
      </c>
      <c r="M2519" t="str">
        <f t="shared" si="78"/>
        <v>533</v>
      </c>
      <c r="N2519" s="6" t="str">
        <f t="shared" si="79"/>
        <v>Others</v>
      </c>
    </row>
    <row r="2520" spans="1:14" x14ac:dyDescent="0.35">
      <c r="A2520">
        <v>1105</v>
      </c>
      <c r="B2520" s="4">
        <v>46021.375085336993</v>
      </c>
      <c r="C2520" t="s">
        <v>15</v>
      </c>
      <c r="D2520" t="s">
        <v>19</v>
      </c>
      <c r="E2520" t="s">
        <v>23</v>
      </c>
      <c r="F2520">
        <v>3730.86</v>
      </c>
      <c r="G2520">
        <f t="array" ref="G2520">SalesData!$I$2 - 'RFM Table'!B2520</f>
        <v>115</v>
      </c>
      <c r="H2520">
        <f t="array" ref="H2520">COUNTIF(A:A,A2520)</f>
        <v>7</v>
      </c>
      <c r="I2520">
        <f t="array" ref="I2520">SUMIF(A:A,A2520,F:F)</f>
        <v>24539.160000000003</v>
      </c>
      <c r="J2520">
        <f t="array" ref="J2520">5 - INT(5 * (RANK(G2520,G:G, 1) - 1) / COUNT(G:G))</f>
        <v>5</v>
      </c>
      <c r="K2520">
        <f t="array" ref="K2520">INT(5 * (RANK(H2520,H:H, 0) - 1) / COUNT(H:H)) + 1</f>
        <v>4</v>
      </c>
      <c r="L2520">
        <f t="array" ref="L2520">INT(5 * (RANK(I2520,I:I, 0) - 1) / COUNT(I:I)) + 1</f>
        <v>4</v>
      </c>
      <c r="M2520" t="str">
        <f t="shared" si="78"/>
        <v>544</v>
      </c>
      <c r="N2520" s="6" t="str">
        <f t="shared" si="79"/>
        <v>Others</v>
      </c>
    </row>
    <row r="2521" spans="1:14" x14ac:dyDescent="0.35">
      <c r="A2521">
        <v>1172</v>
      </c>
      <c r="B2521" s="4">
        <v>46023.375085336993</v>
      </c>
      <c r="C2521" t="s">
        <v>8</v>
      </c>
      <c r="D2521" t="s">
        <v>21</v>
      </c>
      <c r="E2521" t="s">
        <v>25</v>
      </c>
      <c r="F2521">
        <v>3616.5</v>
      </c>
      <c r="G2521">
        <f t="array" ref="G2521">SalesData!$I$2 - 'RFM Table'!B2521</f>
        <v>113</v>
      </c>
      <c r="H2521">
        <f t="array" ref="H2521">COUNTIF(A:A,A2521)</f>
        <v>13</v>
      </c>
      <c r="I2521">
        <f t="array" ref="I2521">SUMIF(A:A,A2521,F:F)</f>
        <v>64175.24</v>
      </c>
      <c r="J2521">
        <f t="array" ref="J2521">5 - INT(5 * (RANK(G2521,G:G, 1) - 1) / COUNT(G:G))</f>
        <v>5</v>
      </c>
      <c r="K2521">
        <f t="array" ref="K2521">INT(5 * (RANK(H2521,H:H, 0) - 1) / COUNT(H:H)) + 1</f>
        <v>1</v>
      </c>
      <c r="L2521">
        <f t="array" ref="L2521">INT(5 * (RANK(I2521,I:I, 0) - 1) / COUNT(I:I)) + 1</f>
        <v>1</v>
      </c>
      <c r="M2521" t="str">
        <f t="shared" si="78"/>
        <v>511</v>
      </c>
      <c r="N2521" s="6" t="str">
        <f t="shared" si="79"/>
        <v>New Customers</v>
      </c>
    </row>
    <row r="2522" spans="1:14" x14ac:dyDescent="0.35">
      <c r="A2522">
        <v>1188</v>
      </c>
      <c r="B2522" s="4">
        <v>46023.375085336993</v>
      </c>
      <c r="C2522" t="s">
        <v>11</v>
      </c>
      <c r="D2522" t="s">
        <v>16</v>
      </c>
      <c r="E2522" t="s">
        <v>24</v>
      </c>
      <c r="F2522">
        <v>5099.6000000000004</v>
      </c>
      <c r="G2522">
        <f t="array" ref="G2522">SalesData!$I$2 - 'RFM Table'!B2522</f>
        <v>113</v>
      </c>
      <c r="H2522">
        <f t="array" ref="H2522">COUNTIF(A:A,A2522)</f>
        <v>4</v>
      </c>
      <c r="I2522">
        <f t="array" ref="I2522">SUMIF(A:A,A2522,F:F)</f>
        <v>21498.129999999997</v>
      </c>
      <c r="J2522">
        <f t="array" ref="J2522">5 - INT(5 * (RANK(G2522,G:G, 1) - 1) / COUNT(G:G))</f>
        <v>5</v>
      </c>
      <c r="K2522">
        <f t="array" ref="K2522">INT(5 * (RANK(H2522,H:H, 0) - 1) / COUNT(H:H)) + 1</f>
        <v>5</v>
      </c>
      <c r="L2522">
        <f t="array" ref="L2522">INT(5 * (RANK(I2522,I:I, 0) - 1) / COUNT(I:I)) + 1</f>
        <v>5</v>
      </c>
      <c r="M2522" t="str">
        <f t="shared" si="78"/>
        <v>555</v>
      </c>
      <c r="N2522" s="6" t="str">
        <f t="shared" si="79"/>
        <v>Others</v>
      </c>
    </row>
    <row r="2523" spans="1:14" x14ac:dyDescent="0.35">
      <c r="A2523">
        <v>1184</v>
      </c>
      <c r="B2523" s="4">
        <v>46023.375085336993</v>
      </c>
      <c r="C2523" t="s">
        <v>6</v>
      </c>
      <c r="D2523" t="s">
        <v>20</v>
      </c>
      <c r="E2523" t="s">
        <v>23</v>
      </c>
      <c r="F2523">
        <v>5821.32</v>
      </c>
      <c r="G2523">
        <f t="array" ref="G2523">SalesData!$I$2 - 'RFM Table'!B2523</f>
        <v>113</v>
      </c>
      <c r="H2523">
        <f t="array" ref="H2523">COUNTIF(A:A,A2523)</f>
        <v>3</v>
      </c>
      <c r="I2523">
        <f t="array" ref="I2523">SUMIF(A:A,A2523,F:F)</f>
        <v>10924.82</v>
      </c>
      <c r="J2523">
        <f t="array" ref="J2523">5 - INT(5 * (RANK(G2523,G:G, 1) - 1) / COUNT(G:G))</f>
        <v>5</v>
      </c>
      <c r="K2523">
        <f t="array" ref="K2523">INT(5 * (RANK(H2523,H:H, 0) - 1) / COUNT(H:H)) + 1</f>
        <v>5</v>
      </c>
      <c r="L2523">
        <f t="array" ref="L2523">INT(5 * (RANK(I2523,I:I, 0) - 1) / COUNT(I:I)) + 1</f>
        <v>5</v>
      </c>
      <c r="M2523" t="str">
        <f t="shared" si="78"/>
        <v>555</v>
      </c>
      <c r="N2523" s="6" t="str">
        <f t="shared" si="79"/>
        <v>Others</v>
      </c>
    </row>
    <row r="2524" spans="1:14" x14ac:dyDescent="0.35">
      <c r="A2524">
        <v>1220</v>
      </c>
      <c r="B2524" s="4">
        <v>46023.375085336993</v>
      </c>
      <c r="C2524" t="s">
        <v>11</v>
      </c>
      <c r="D2524" t="s">
        <v>22</v>
      </c>
      <c r="E2524" t="s">
        <v>25</v>
      </c>
      <c r="F2524">
        <v>5762.06</v>
      </c>
      <c r="G2524">
        <f t="array" ref="G2524">SalesData!$I$2 - 'RFM Table'!B2524</f>
        <v>113</v>
      </c>
      <c r="H2524">
        <f t="array" ref="H2524">COUNTIF(A:A,A2524)</f>
        <v>6</v>
      </c>
      <c r="I2524">
        <f t="array" ref="I2524">SUMIF(A:A,A2524,F:F)</f>
        <v>29693.030000000002</v>
      </c>
      <c r="J2524">
        <f t="array" ref="J2524">5 - INT(5 * (RANK(G2524,G:G, 1) - 1) / COUNT(G:G))</f>
        <v>5</v>
      </c>
      <c r="K2524">
        <f t="array" ref="K2524">INT(5 * (RANK(H2524,H:H, 0) - 1) / COUNT(H:H)) + 1</f>
        <v>4</v>
      </c>
      <c r="L2524">
        <f t="array" ref="L2524">INT(5 * (RANK(I2524,I:I, 0) - 1) / COUNT(I:I)) + 1</f>
        <v>3</v>
      </c>
      <c r="M2524" t="str">
        <f t="shared" si="78"/>
        <v>543</v>
      </c>
      <c r="N2524" s="6" t="str">
        <f t="shared" si="79"/>
        <v>Others</v>
      </c>
    </row>
    <row r="2525" spans="1:14" x14ac:dyDescent="0.35">
      <c r="A2525">
        <v>1215</v>
      </c>
      <c r="B2525" s="4">
        <v>46023.375085336993</v>
      </c>
      <c r="C2525" t="s">
        <v>12</v>
      </c>
      <c r="D2525" t="s">
        <v>18</v>
      </c>
      <c r="E2525" t="s">
        <v>25</v>
      </c>
      <c r="F2525">
        <v>1101.8</v>
      </c>
      <c r="G2525">
        <f t="array" ref="G2525">SalesData!$I$2 - 'RFM Table'!B2525</f>
        <v>113</v>
      </c>
      <c r="H2525">
        <f t="array" ref="H2525">COUNTIF(A:A,A2525)</f>
        <v>9</v>
      </c>
      <c r="I2525">
        <f t="array" ref="I2525">SUMIF(A:A,A2525,F:F)</f>
        <v>26752.640000000003</v>
      </c>
      <c r="J2525">
        <f t="array" ref="J2525">5 - INT(5 * (RANK(G2525,G:G, 1) - 1) / COUNT(G:G))</f>
        <v>5</v>
      </c>
      <c r="K2525">
        <f t="array" ref="K2525">INT(5 * (RANK(H2525,H:H, 0) - 1) / COUNT(H:H)) + 1</f>
        <v>2</v>
      </c>
      <c r="L2525">
        <f t="array" ref="L2525">INT(5 * (RANK(I2525,I:I, 0) - 1) / COUNT(I:I)) + 1</f>
        <v>4</v>
      </c>
      <c r="M2525" t="str">
        <f t="shared" si="78"/>
        <v>524</v>
      </c>
      <c r="N2525" s="6" t="str">
        <f t="shared" si="79"/>
        <v>New Customers</v>
      </c>
    </row>
    <row r="2526" spans="1:14" x14ac:dyDescent="0.35">
      <c r="A2526">
        <v>1379</v>
      </c>
      <c r="B2526" s="4">
        <v>46023.375085336993</v>
      </c>
      <c r="C2526" t="s">
        <v>7</v>
      </c>
      <c r="D2526" t="s">
        <v>19</v>
      </c>
      <c r="E2526" t="s">
        <v>23</v>
      </c>
      <c r="F2526">
        <v>4133.21</v>
      </c>
      <c r="G2526">
        <f t="array" ref="G2526">SalesData!$I$2 - 'RFM Table'!B2526</f>
        <v>113</v>
      </c>
      <c r="H2526">
        <f t="array" ref="H2526">COUNTIF(A:A,A2526)</f>
        <v>10</v>
      </c>
      <c r="I2526">
        <f t="array" ref="I2526">SUMIF(A:A,A2526,F:F)</f>
        <v>33545.49</v>
      </c>
      <c r="J2526">
        <f t="array" ref="J2526">5 - INT(5 * (RANK(G2526,G:G, 1) - 1) / COUNT(G:G))</f>
        <v>5</v>
      </c>
      <c r="K2526">
        <f t="array" ref="K2526">INT(5 * (RANK(H2526,H:H, 0) - 1) / COUNT(H:H)) + 1</f>
        <v>2</v>
      </c>
      <c r="L2526">
        <f t="array" ref="L2526">INT(5 * (RANK(I2526,I:I, 0) - 1) / COUNT(I:I)) + 1</f>
        <v>3</v>
      </c>
      <c r="M2526" t="str">
        <f t="shared" si="78"/>
        <v>523</v>
      </c>
      <c r="N2526" s="6" t="str">
        <f t="shared" si="79"/>
        <v>New Customers</v>
      </c>
    </row>
    <row r="2527" spans="1:14" x14ac:dyDescent="0.35">
      <c r="A2527">
        <v>1212</v>
      </c>
      <c r="B2527" s="4">
        <v>46023.375085336993</v>
      </c>
      <c r="C2527" t="s">
        <v>11</v>
      </c>
      <c r="D2527" t="s">
        <v>22</v>
      </c>
      <c r="E2527" t="s">
        <v>24</v>
      </c>
      <c r="F2527">
        <v>1720.59</v>
      </c>
      <c r="G2527">
        <f t="array" ref="G2527">SalesData!$I$2 - 'RFM Table'!B2527</f>
        <v>113</v>
      </c>
      <c r="H2527">
        <f t="array" ref="H2527">COUNTIF(A:A,A2527)</f>
        <v>9</v>
      </c>
      <c r="I2527">
        <f t="array" ref="I2527">SUMIF(A:A,A2527,F:F)</f>
        <v>33311.4</v>
      </c>
      <c r="J2527">
        <f t="array" ref="J2527">5 - INT(5 * (RANK(G2527,G:G, 1) - 1) / COUNT(G:G))</f>
        <v>5</v>
      </c>
      <c r="K2527">
        <f t="array" ref="K2527">INT(5 * (RANK(H2527,H:H, 0) - 1) / COUNT(H:H)) + 1</f>
        <v>2</v>
      </c>
      <c r="L2527">
        <f t="array" ref="L2527">INT(5 * (RANK(I2527,I:I, 0) - 1) / COUNT(I:I)) + 1</f>
        <v>3</v>
      </c>
      <c r="M2527" t="str">
        <f t="shared" si="78"/>
        <v>523</v>
      </c>
      <c r="N2527" s="6" t="str">
        <f t="shared" si="79"/>
        <v>New Customers</v>
      </c>
    </row>
    <row r="2528" spans="1:14" x14ac:dyDescent="0.35">
      <c r="A2528">
        <v>1235</v>
      </c>
      <c r="B2528" s="4">
        <v>46023.375085336993</v>
      </c>
      <c r="C2528" t="s">
        <v>7</v>
      </c>
      <c r="D2528" t="s">
        <v>20</v>
      </c>
      <c r="E2528" t="s">
        <v>25</v>
      </c>
      <c r="F2528">
        <v>3111.57</v>
      </c>
      <c r="G2528">
        <f t="array" ref="G2528">SalesData!$I$2 - 'RFM Table'!B2528</f>
        <v>113</v>
      </c>
      <c r="H2528">
        <f t="array" ref="H2528">COUNTIF(A:A,A2528)</f>
        <v>9</v>
      </c>
      <c r="I2528">
        <f t="array" ref="I2528">SUMIF(A:A,A2528,F:F)</f>
        <v>30846.7</v>
      </c>
      <c r="J2528">
        <f t="array" ref="J2528">5 - INT(5 * (RANK(G2528,G:G, 1) - 1) / COUNT(G:G))</f>
        <v>5</v>
      </c>
      <c r="K2528">
        <f t="array" ref="K2528">INT(5 * (RANK(H2528,H:H, 0) - 1) / COUNT(H:H)) + 1</f>
        <v>2</v>
      </c>
      <c r="L2528">
        <f t="array" ref="L2528">INT(5 * (RANK(I2528,I:I, 0) - 1) / COUNT(I:I)) + 1</f>
        <v>3</v>
      </c>
      <c r="M2528" t="str">
        <f t="shared" si="78"/>
        <v>523</v>
      </c>
      <c r="N2528" s="6" t="str">
        <f t="shared" si="79"/>
        <v>New Customers</v>
      </c>
    </row>
    <row r="2529" spans="1:14" x14ac:dyDescent="0.35">
      <c r="A2529">
        <v>1233</v>
      </c>
      <c r="B2529" s="4">
        <v>46023.375085336993</v>
      </c>
      <c r="C2529" t="s">
        <v>6</v>
      </c>
      <c r="D2529" t="s">
        <v>19</v>
      </c>
      <c r="E2529" t="s">
        <v>24</v>
      </c>
      <c r="F2529">
        <v>6124.11</v>
      </c>
      <c r="G2529">
        <f t="array" ref="G2529">SalesData!$I$2 - 'RFM Table'!B2529</f>
        <v>113</v>
      </c>
      <c r="H2529">
        <f t="array" ref="H2529">COUNTIF(A:A,A2529)</f>
        <v>4</v>
      </c>
      <c r="I2529">
        <f t="array" ref="I2529">SUMIF(A:A,A2529,F:F)</f>
        <v>25850.79</v>
      </c>
      <c r="J2529">
        <f t="array" ref="J2529">5 - INT(5 * (RANK(G2529,G:G, 1) - 1) / COUNT(G:G))</f>
        <v>5</v>
      </c>
      <c r="K2529">
        <f t="array" ref="K2529">INT(5 * (RANK(H2529,H:H, 0) - 1) / COUNT(H:H)) + 1</f>
        <v>5</v>
      </c>
      <c r="L2529">
        <f t="array" ref="L2529">INT(5 * (RANK(I2529,I:I, 0) - 1) / COUNT(I:I)) + 1</f>
        <v>4</v>
      </c>
      <c r="M2529" t="str">
        <f t="shared" si="78"/>
        <v>554</v>
      </c>
      <c r="N2529" s="6" t="str">
        <f t="shared" si="79"/>
        <v>Others</v>
      </c>
    </row>
    <row r="2530" spans="1:14" x14ac:dyDescent="0.35">
      <c r="A2530">
        <v>1326</v>
      </c>
      <c r="B2530" s="4">
        <v>46024.375085336993</v>
      </c>
      <c r="C2530" t="s">
        <v>13</v>
      </c>
      <c r="D2530" t="s">
        <v>20</v>
      </c>
      <c r="E2530" t="s">
        <v>23</v>
      </c>
      <c r="F2530">
        <v>876.28</v>
      </c>
      <c r="G2530">
        <f t="array" ref="G2530">SalesData!$I$2 - 'RFM Table'!B2530</f>
        <v>112</v>
      </c>
      <c r="H2530">
        <f t="array" ref="H2530">COUNTIF(A:A,A2530)</f>
        <v>4</v>
      </c>
      <c r="I2530">
        <f t="array" ref="I2530">SUMIF(A:A,A2530,F:F)</f>
        <v>10665.94</v>
      </c>
      <c r="J2530">
        <f t="array" ref="J2530">5 - INT(5 * (RANK(G2530,G:G, 1) - 1) / COUNT(G:G))</f>
        <v>5</v>
      </c>
      <c r="K2530">
        <f t="array" ref="K2530">INT(5 * (RANK(H2530,H:H, 0) - 1) / COUNT(H:H)) + 1</f>
        <v>5</v>
      </c>
      <c r="L2530">
        <f t="array" ref="L2530">INT(5 * (RANK(I2530,I:I, 0) - 1) / COUNT(I:I)) + 1</f>
        <v>5</v>
      </c>
      <c r="M2530" t="str">
        <f t="shared" si="78"/>
        <v>555</v>
      </c>
      <c r="N2530" s="6" t="str">
        <f t="shared" si="79"/>
        <v>Others</v>
      </c>
    </row>
    <row r="2531" spans="1:14" x14ac:dyDescent="0.35">
      <c r="A2531">
        <v>1098</v>
      </c>
      <c r="B2531" s="4">
        <v>46024.375085336993</v>
      </c>
      <c r="C2531" t="s">
        <v>10</v>
      </c>
      <c r="D2531" t="s">
        <v>19</v>
      </c>
      <c r="E2531" t="s">
        <v>24</v>
      </c>
      <c r="F2531">
        <v>1338.07</v>
      </c>
      <c r="G2531">
        <f t="array" ref="G2531">SalesData!$I$2 - 'RFM Table'!B2531</f>
        <v>112</v>
      </c>
      <c r="H2531">
        <f t="array" ref="H2531">COUNTIF(A:A,A2531)</f>
        <v>12</v>
      </c>
      <c r="I2531">
        <f t="array" ref="I2531">SUMIF(A:A,A2531,F:F)</f>
        <v>36909.899999999994</v>
      </c>
      <c r="J2531">
        <f t="array" ref="J2531">5 - INT(5 * (RANK(G2531,G:G, 1) - 1) / COUNT(G:G))</f>
        <v>5</v>
      </c>
      <c r="K2531">
        <f t="array" ref="K2531">INT(5 * (RANK(H2531,H:H, 0) - 1) / COUNT(H:H)) + 1</f>
        <v>1</v>
      </c>
      <c r="L2531">
        <f t="array" ref="L2531">INT(5 * (RANK(I2531,I:I, 0) - 1) / COUNT(I:I)) + 1</f>
        <v>2</v>
      </c>
      <c r="M2531" t="str">
        <f t="shared" si="78"/>
        <v>512</v>
      </c>
      <c r="N2531" s="6" t="str">
        <f t="shared" si="79"/>
        <v>New Customers</v>
      </c>
    </row>
    <row r="2532" spans="1:14" x14ac:dyDescent="0.35">
      <c r="A2532">
        <v>1071</v>
      </c>
      <c r="B2532" s="4">
        <v>46024.375085336993</v>
      </c>
      <c r="C2532" t="s">
        <v>12</v>
      </c>
      <c r="D2532" t="s">
        <v>18</v>
      </c>
      <c r="E2532" t="s">
        <v>25</v>
      </c>
      <c r="F2532">
        <v>1137.03</v>
      </c>
      <c r="G2532">
        <f t="array" ref="G2532">SalesData!$I$2 - 'RFM Table'!B2532</f>
        <v>112</v>
      </c>
      <c r="H2532">
        <f t="array" ref="H2532">COUNTIF(A:A,A2532)</f>
        <v>8</v>
      </c>
      <c r="I2532">
        <f t="array" ref="I2532">SUMIF(A:A,A2532,F:F)</f>
        <v>28879.600000000002</v>
      </c>
      <c r="J2532">
        <f t="array" ref="J2532">5 - INT(5 * (RANK(G2532,G:G, 1) - 1) / COUNT(G:G))</f>
        <v>5</v>
      </c>
      <c r="K2532">
        <f t="array" ref="K2532">INT(5 * (RANK(H2532,H:H, 0) - 1) / COUNT(H:H)) + 1</f>
        <v>3</v>
      </c>
      <c r="L2532">
        <f t="array" ref="L2532">INT(5 * (RANK(I2532,I:I, 0) - 1) / COUNT(I:I)) + 1</f>
        <v>4</v>
      </c>
      <c r="M2532" t="str">
        <f t="shared" si="78"/>
        <v>534</v>
      </c>
      <c r="N2532" s="6" t="str">
        <f t="shared" si="79"/>
        <v>Others</v>
      </c>
    </row>
    <row r="2533" spans="1:14" x14ac:dyDescent="0.35">
      <c r="A2533">
        <v>1197</v>
      </c>
      <c r="B2533" s="4">
        <v>46024.375085336993</v>
      </c>
      <c r="C2533" t="s">
        <v>11</v>
      </c>
      <c r="D2533" t="s">
        <v>16</v>
      </c>
      <c r="E2533" t="s">
        <v>25</v>
      </c>
      <c r="F2533">
        <v>3176.92</v>
      </c>
      <c r="G2533">
        <f t="array" ref="G2533">SalesData!$I$2 - 'RFM Table'!B2533</f>
        <v>112</v>
      </c>
      <c r="H2533">
        <f t="array" ref="H2533">COUNTIF(A:A,A2533)</f>
        <v>9</v>
      </c>
      <c r="I2533">
        <f t="array" ref="I2533">SUMIF(A:A,A2533,F:F)</f>
        <v>28813.449999999997</v>
      </c>
      <c r="J2533">
        <f t="array" ref="J2533">5 - INT(5 * (RANK(G2533,G:G, 1) - 1) / COUNT(G:G))</f>
        <v>5</v>
      </c>
      <c r="K2533">
        <f t="array" ref="K2533">INT(5 * (RANK(H2533,H:H, 0) - 1) / COUNT(H:H)) + 1</f>
        <v>2</v>
      </c>
      <c r="L2533">
        <f t="array" ref="L2533">INT(5 * (RANK(I2533,I:I, 0) - 1) / COUNT(I:I)) + 1</f>
        <v>4</v>
      </c>
      <c r="M2533" t="str">
        <f t="shared" si="78"/>
        <v>524</v>
      </c>
      <c r="N2533" s="6" t="str">
        <f t="shared" si="79"/>
        <v>New Customers</v>
      </c>
    </row>
    <row r="2534" spans="1:14" x14ac:dyDescent="0.35">
      <c r="A2534">
        <v>1010</v>
      </c>
      <c r="B2534" s="4">
        <v>46024.375085336993</v>
      </c>
      <c r="C2534" t="s">
        <v>14</v>
      </c>
      <c r="D2534" t="s">
        <v>18</v>
      </c>
      <c r="E2534" t="s">
        <v>24</v>
      </c>
      <c r="F2534">
        <v>11707.69</v>
      </c>
      <c r="G2534">
        <f t="array" ref="G2534">SalesData!$I$2 - 'RFM Table'!B2534</f>
        <v>112</v>
      </c>
      <c r="H2534">
        <f t="array" ref="H2534">COUNTIF(A:A,A2534)</f>
        <v>7</v>
      </c>
      <c r="I2534">
        <f t="array" ref="I2534">SUMIF(A:A,A2534,F:F)</f>
        <v>26629.329999999998</v>
      </c>
      <c r="J2534">
        <f t="array" ref="J2534">5 - INT(5 * (RANK(G2534,G:G, 1) - 1) / COUNT(G:G))</f>
        <v>5</v>
      </c>
      <c r="K2534">
        <f t="array" ref="K2534">INT(5 * (RANK(H2534,H:H, 0) - 1) / COUNT(H:H)) + 1</f>
        <v>4</v>
      </c>
      <c r="L2534">
        <f t="array" ref="L2534">INT(5 * (RANK(I2534,I:I, 0) - 1) / COUNT(I:I)) + 1</f>
        <v>4</v>
      </c>
      <c r="M2534" t="str">
        <f t="shared" si="78"/>
        <v>544</v>
      </c>
      <c r="N2534" s="6" t="str">
        <f t="shared" si="79"/>
        <v>Others</v>
      </c>
    </row>
    <row r="2535" spans="1:14" x14ac:dyDescent="0.35">
      <c r="A2535">
        <v>1088</v>
      </c>
      <c r="B2535" s="4">
        <v>46024.375085336993</v>
      </c>
      <c r="C2535" t="s">
        <v>10</v>
      </c>
      <c r="D2535" t="s">
        <v>20</v>
      </c>
      <c r="E2535" t="s">
        <v>24</v>
      </c>
      <c r="F2535">
        <v>5485.54</v>
      </c>
      <c r="G2535">
        <f t="array" ref="G2535">SalesData!$I$2 - 'RFM Table'!B2535</f>
        <v>112</v>
      </c>
      <c r="H2535">
        <f t="array" ref="H2535">COUNTIF(A:A,A2535)</f>
        <v>8</v>
      </c>
      <c r="I2535">
        <f t="array" ref="I2535">SUMIF(A:A,A2535,F:F)</f>
        <v>40213.310000000005</v>
      </c>
      <c r="J2535">
        <f t="array" ref="J2535">5 - INT(5 * (RANK(G2535,G:G, 1) - 1) / COUNT(G:G))</f>
        <v>5</v>
      </c>
      <c r="K2535">
        <f t="array" ref="K2535">INT(5 * (RANK(H2535,H:H, 0) - 1) / COUNT(H:H)) + 1</f>
        <v>3</v>
      </c>
      <c r="L2535">
        <f t="array" ref="L2535">INT(5 * (RANK(I2535,I:I, 0) - 1) / COUNT(I:I)) + 1</f>
        <v>2</v>
      </c>
      <c r="M2535" t="str">
        <f t="shared" si="78"/>
        <v>532</v>
      </c>
      <c r="N2535" s="6" t="str">
        <f t="shared" si="79"/>
        <v>Others</v>
      </c>
    </row>
    <row r="2536" spans="1:14" x14ac:dyDescent="0.35">
      <c r="A2536">
        <v>1055</v>
      </c>
      <c r="B2536" s="4">
        <v>46024.375085336993</v>
      </c>
      <c r="C2536" t="s">
        <v>13</v>
      </c>
      <c r="D2536" t="s">
        <v>20</v>
      </c>
      <c r="E2536" t="s">
        <v>23</v>
      </c>
      <c r="F2536">
        <v>6787.13</v>
      </c>
      <c r="G2536">
        <f t="array" ref="G2536">SalesData!$I$2 - 'RFM Table'!B2536</f>
        <v>112</v>
      </c>
      <c r="H2536">
        <f t="array" ref="H2536">COUNTIF(A:A,A2536)</f>
        <v>4</v>
      </c>
      <c r="I2536">
        <f t="array" ref="I2536">SUMIF(A:A,A2536,F:F)</f>
        <v>14706.1</v>
      </c>
      <c r="J2536">
        <f t="array" ref="J2536">5 - INT(5 * (RANK(G2536,G:G, 1) - 1) / COUNT(G:G))</f>
        <v>5</v>
      </c>
      <c r="K2536">
        <f t="array" ref="K2536">INT(5 * (RANK(H2536,H:H, 0) - 1) / COUNT(H:H)) + 1</f>
        <v>5</v>
      </c>
      <c r="L2536">
        <f t="array" ref="L2536">INT(5 * (RANK(I2536,I:I, 0) - 1) / COUNT(I:I)) + 1</f>
        <v>5</v>
      </c>
      <c r="M2536" t="str">
        <f t="shared" si="78"/>
        <v>555</v>
      </c>
      <c r="N2536" s="6" t="str">
        <f t="shared" si="79"/>
        <v>Others</v>
      </c>
    </row>
    <row r="2537" spans="1:14" x14ac:dyDescent="0.35">
      <c r="A2537">
        <v>1013</v>
      </c>
      <c r="B2537" s="4">
        <v>46024.375085336993</v>
      </c>
      <c r="C2537" t="s">
        <v>15</v>
      </c>
      <c r="D2537" t="s">
        <v>16</v>
      </c>
      <c r="E2537" t="s">
        <v>23</v>
      </c>
      <c r="F2537">
        <v>5413.65</v>
      </c>
      <c r="G2537">
        <f t="array" ref="G2537">SalesData!$I$2 - 'RFM Table'!B2537</f>
        <v>112</v>
      </c>
      <c r="H2537">
        <f t="array" ref="H2537">COUNTIF(A:A,A2537)</f>
        <v>14</v>
      </c>
      <c r="I2537">
        <f t="array" ref="I2537">SUMIF(A:A,A2537,F:F)</f>
        <v>60099.840000000004</v>
      </c>
      <c r="J2537">
        <f t="array" ref="J2537">5 - INT(5 * (RANK(G2537,G:G, 1) - 1) / COUNT(G:G))</f>
        <v>5</v>
      </c>
      <c r="K2537">
        <f t="array" ref="K2537">INT(5 * (RANK(H2537,H:H, 0) - 1) / COUNT(H:H)) + 1</f>
        <v>1</v>
      </c>
      <c r="L2537">
        <f t="array" ref="L2537">INT(5 * (RANK(I2537,I:I, 0) - 1) / COUNT(I:I)) + 1</f>
        <v>1</v>
      </c>
      <c r="M2537" t="str">
        <f t="shared" si="78"/>
        <v>511</v>
      </c>
      <c r="N2537" s="6" t="str">
        <f t="shared" si="79"/>
        <v>New Customers</v>
      </c>
    </row>
    <row r="2538" spans="1:14" x14ac:dyDescent="0.35">
      <c r="A2538">
        <v>1321</v>
      </c>
      <c r="B2538" s="4">
        <v>46025.375085336993</v>
      </c>
      <c r="C2538" t="s">
        <v>8</v>
      </c>
      <c r="D2538" t="s">
        <v>17</v>
      </c>
      <c r="E2538" t="s">
        <v>23</v>
      </c>
      <c r="F2538">
        <v>390.92</v>
      </c>
      <c r="G2538">
        <f t="array" ref="G2538">SalesData!$I$2 - 'RFM Table'!B2538</f>
        <v>111</v>
      </c>
      <c r="H2538">
        <f t="array" ref="H2538">COUNTIF(A:A,A2538)</f>
        <v>3</v>
      </c>
      <c r="I2538">
        <f t="array" ref="I2538">SUMIF(A:A,A2538,F:F)</f>
        <v>5573.4400000000005</v>
      </c>
      <c r="J2538">
        <f t="array" ref="J2538">5 - INT(5 * (RANK(G2538,G:G, 1) - 1) / COUNT(G:G))</f>
        <v>5</v>
      </c>
      <c r="K2538">
        <f t="array" ref="K2538">INT(5 * (RANK(H2538,H:H, 0) - 1) / COUNT(H:H)) + 1</f>
        <v>5</v>
      </c>
      <c r="L2538">
        <f t="array" ref="L2538">INT(5 * (RANK(I2538,I:I, 0) - 1) / COUNT(I:I)) + 1</f>
        <v>5</v>
      </c>
      <c r="M2538" t="str">
        <f t="shared" si="78"/>
        <v>555</v>
      </c>
      <c r="N2538" s="6" t="str">
        <f t="shared" si="79"/>
        <v>Others</v>
      </c>
    </row>
    <row r="2539" spans="1:14" x14ac:dyDescent="0.35">
      <c r="A2539">
        <v>1099</v>
      </c>
      <c r="B2539" s="4">
        <v>46025.375085336993</v>
      </c>
      <c r="C2539" t="s">
        <v>14</v>
      </c>
      <c r="D2539" t="s">
        <v>21</v>
      </c>
      <c r="E2539" t="s">
        <v>24</v>
      </c>
      <c r="F2539">
        <v>5411.27</v>
      </c>
      <c r="G2539">
        <f t="array" ref="G2539">SalesData!$I$2 - 'RFM Table'!B2539</f>
        <v>111</v>
      </c>
      <c r="H2539">
        <f t="array" ref="H2539">COUNTIF(A:A,A2539)</f>
        <v>6</v>
      </c>
      <c r="I2539">
        <f t="array" ref="I2539">SUMIF(A:A,A2539,F:F)</f>
        <v>20804.55</v>
      </c>
      <c r="J2539">
        <f t="array" ref="J2539">5 - INT(5 * (RANK(G2539,G:G, 1) - 1) / COUNT(G:G))</f>
        <v>5</v>
      </c>
      <c r="K2539">
        <f t="array" ref="K2539">INT(5 * (RANK(H2539,H:H, 0) - 1) / COUNT(H:H)) + 1</f>
        <v>4</v>
      </c>
      <c r="L2539">
        <f t="array" ref="L2539">INT(5 * (RANK(I2539,I:I, 0) - 1) / COUNT(I:I)) + 1</f>
        <v>5</v>
      </c>
      <c r="M2539" t="str">
        <f t="shared" si="78"/>
        <v>545</v>
      </c>
      <c r="N2539" s="6" t="str">
        <f t="shared" si="79"/>
        <v>Others</v>
      </c>
    </row>
    <row r="2540" spans="1:14" x14ac:dyDescent="0.35">
      <c r="A2540">
        <v>1177</v>
      </c>
      <c r="B2540" s="4">
        <v>46025.375085336993</v>
      </c>
      <c r="C2540" t="s">
        <v>7</v>
      </c>
      <c r="D2540" t="s">
        <v>22</v>
      </c>
      <c r="E2540" t="s">
        <v>24</v>
      </c>
      <c r="F2540">
        <v>1802.57</v>
      </c>
      <c r="G2540">
        <f t="array" ref="G2540">SalesData!$I$2 - 'RFM Table'!B2540</f>
        <v>111</v>
      </c>
      <c r="H2540">
        <f t="array" ref="H2540">COUNTIF(A:A,A2540)</f>
        <v>9</v>
      </c>
      <c r="I2540">
        <f t="array" ref="I2540">SUMIF(A:A,A2540,F:F)</f>
        <v>27857.719999999998</v>
      </c>
      <c r="J2540">
        <f t="array" ref="J2540">5 - INT(5 * (RANK(G2540,G:G, 1) - 1) / COUNT(G:G))</f>
        <v>5</v>
      </c>
      <c r="K2540">
        <f t="array" ref="K2540">INT(5 * (RANK(H2540,H:H, 0) - 1) / COUNT(H:H)) + 1</f>
        <v>2</v>
      </c>
      <c r="L2540">
        <f t="array" ref="L2540">INT(5 * (RANK(I2540,I:I, 0) - 1) / COUNT(I:I)) + 1</f>
        <v>4</v>
      </c>
      <c r="M2540" t="str">
        <f t="shared" si="78"/>
        <v>524</v>
      </c>
      <c r="N2540" s="6" t="str">
        <f t="shared" si="79"/>
        <v>New Customers</v>
      </c>
    </row>
    <row r="2541" spans="1:14" x14ac:dyDescent="0.35">
      <c r="A2541">
        <v>1154</v>
      </c>
      <c r="B2541" s="4">
        <v>46025.375085336993</v>
      </c>
      <c r="C2541" t="s">
        <v>11</v>
      </c>
      <c r="D2541" t="s">
        <v>22</v>
      </c>
      <c r="E2541" t="s">
        <v>25</v>
      </c>
      <c r="F2541">
        <v>5290.28</v>
      </c>
      <c r="G2541">
        <f t="array" ref="G2541">SalesData!$I$2 - 'RFM Table'!B2541</f>
        <v>111</v>
      </c>
      <c r="H2541">
        <f t="array" ref="H2541">COUNTIF(A:A,A2541)</f>
        <v>5</v>
      </c>
      <c r="I2541">
        <f t="array" ref="I2541">SUMIF(A:A,A2541,F:F)</f>
        <v>20686.43</v>
      </c>
      <c r="J2541">
        <f t="array" ref="J2541">5 - INT(5 * (RANK(G2541,G:G, 1) - 1) / COUNT(G:G))</f>
        <v>5</v>
      </c>
      <c r="K2541">
        <f t="array" ref="K2541">INT(5 * (RANK(H2541,H:H, 0) - 1) / COUNT(H:H)) + 1</f>
        <v>5</v>
      </c>
      <c r="L2541">
        <f t="array" ref="L2541">INT(5 * (RANK(I2541,I:I, 0) - 1) / COUNT(I:I)) + 1</f>
        <v>5</v>
      </c>
      <c r="M2541" t="str">
        <f t="shared" si="78"/>
        <v>555</v>
      </c>
      <c r="N2541" s="6" t="str">
        <f t="shared" si="79"/>
        <v>Others</v>
      </c>
    </row>
    <row r="2542" spans="1:14" x14ac:dyDescent="0.35">
      <c r="A2542">
        <v>1213</v>
      </c>
      <c r="B2542" s="4">
        <v>46025.375085336993</v>
      </c>
      <c r="C2542" t="s">
        <v>10</v>
      </c>
      <c r="D2542" t="s">
        <v>17</v>
      </c>
      <c r="E2542" t="s">
        <v>25</v>
      </c>
      <c r="F2542">
        <v>1595.41</v>
      </c>
      <c r="G2542">
        <f t="array" ref="G2542">SalesData!$I$2 - 'RFM Table'!B2542</f>
        <v>111</v>
      </c>
      <c r="H2542">
        <f t="array" ref="H2542">COUNTIF(A:A,A2542)</f>
        <v>8</v>
      </c>
      <c r="I2542">
        <f t="array" ref="I2542">SUMIF(A:A,A2542,F:F)</f>
        <v>27291.54</v>
      </c>
      <c r="J2542">
        <f t="array" ref="J2542">5 - INT(5 * (RANK(G2542,G:G, 1) - 1) / COUNT(G:G))</f>
        <v>5</v>
      </c>
      <c r="K2542">
        <f t="array" ref="K2542">INT(5 * (RANK(H2542,H:H, 0) - 1) / COUNT(H:H)) + 1</f>
        <v>3</v>
      </c>
      <c r="L2542">
        <f t="array" ref="L2542">INT(5 * (RANK(I2542,I:I, 0) - 1) / COUNT(I:I)) + 1</f>
        <v>4</v>
      </c>
      <c r="M2542" t="str">
        <f t="shared" si="78"/>
        <v>534</v>
      </c>
      <c r="N2542" s="6" t="str">
        <f t="shared" si="79"/>
        <v>Others</v>
      </c>
    </row>
    <row r="2543" spans="1:14" x14ac:dyDescent="0.35">
      <c r="A2543">
        <v>1193</v>
      </c>
      <c r="B2543" s="4">
        <v>46025.375085336993</v>
      </c>
      <c r="C2543" t="s">
        <v>7</v>
      </c>
      <c r="D2543" t="s">
        <v>19</v>
      </c>
      <c r="E2543" t="s">
        <v>25</v>
      </c>
      <c r="F2543">
        <v>7754.75</v>
      </c>
      <c r="G2543">
        <f t="array" ref="G2543">SalesData!$I$2 - 'RFM Table'!B2543</f>
        <v>111</v>
      </c>
      <c r="H2543">
        <f t="array" ref="H2543">COUNTIF(A:A,A2543)</f>
        <v>5</v>
      </c>
      <c r="I2543">
        <f t="array" ref="I2543">SUMIF(A:A,A2543,F:F)</f>
        <v>29762.12</v>
      </c>
      <c r="J2543">
        <f t="array" ref="J2543">5 - INT(5 * (RANK(G2543,G:G, 1) - 1) / COUNT(G:G))</f>
        <v>5</v>
      </c>
      <c r="K2543">
        <f t="array" ref="K2543">INT(5 * (RANK(H2543,H:H, 0) - 1) / COUNT(H:H)) + 1</f>
        <v>5</v>
      </c>
      <c r="L2543">
        <f t="array" ref="L2543">INT(5 * (RANK(I2543,I:I, 0) - 1) / COUNT(I:I)) + 1</f>
        <v>3</v>
      </c>
      <c r="M2543" t="str">
        <f t="shared" si="78"/>
        <v>553</v>
      </c>
      <c r="N2543" s="6" t="str">
        <f t="shared" si="79"/>
        <v>Others</v>
      </c>
    </row>
    <row r="2544" spans="1:14" x14ac:dyDescent="0.35">
      <c r="A2544">
        <v>1281</v>
      </c>
      <c r="B2544" s="4">
        <v>46025.375085336993</v>
      </c>
      <c r="C2544" t="s">
        <v>8</v>
      </c>
      <c r="D2544" t="s">
        <v>22</v>
      </c>
      <c r="E2544" t="s">
        <v>23</v>
      </c>
      <c r="F2544">
        <v>5133.72</v>
      </c>
      <c r="G2544">
        <f t="array" ref="G2544">SalesData!$I$2 - 'RFM Table'!B2544</f>
        <v>111</v>
      </c>
      <c r="H2544">
        <f t="array" ref="H2544">COUNTIF(A:A,A2544)</f>
        <v>10</v>
      </c>
      <c r="I2544">
        <f t="array" ref="I2544">SUMIF(A:A,A2544,F:F)</f>
        <v>49420.710000000006</v>
      </c>
      <c r="J2544">
        <f t="array" ref="J2544">5 - INT(5 * (RANK(G2544,G:G, 1) - 1) / COUNT(G:G))</f>
        <v>5</v>
      </c>
      <c r="K2544">
        <f t="array" ref="K2544">INT(5 * (RANK(H2544,H:H, 0) - 1) / COUNT(H:H)) + 1</f>
        <v>2</v>
      </c>
      <c r="L2544">
        <f t="array" ref="L2544">INT(5 * (RANK(I2544,I:I, 0) - 1) / COUNT(I:I)) + 1</f>
        <v>1</v>
      </c>
      <c r="M2544" t="str">
        <f t="shared" si="78"/>
        <v>521</v>
      </c>
      <c r="N2544" s="6" t="str">
        <f t="shared" si="79"/>
        <v>New Customers</v>
      </c>
    </row>
    <row r="2545" spans="1:14" x14ac:dyDescent="0.35">
      <c r="A2545">
        <v>1232</v>
      </c>
      <c r="B2545" s="4">
        <v>46026.375085336993</v>
      </c>
      <c r="C2545" t="s">
        <v>6</v>
      </c>
      <c r="D2545" t="s">
        <v>22</v>
      </c>
      <c r="E2545" t="s">
        <v>23</v>
      </c>
      <c r="F2545">
        <v>1512.33</v>
      </c>
      <c r="G2545">
        <f t="array" ref="G2545">SalesData!$I$2 - 'RFM Table'!B2545</f>
        <v>110</v>
      </c>
      <c r="H2545">
        <f t="array" ref="H2545">COUNTIF(A:A,A2545)</f>
        <v>13</v>
      </c>
      <c r="I2545">
        <f t="array" ref="I2545">SUMIF(A:A,A2545,F:F)</f>
        <v>40298.450000000004</v>
      </c>
      <c r="J2545">
        <f t="array" ref="J2545">5 - INT(5 * (RANK(G2545,G:G, 1) - 1) / COUNT(G:G))</f>
        <v>5</v>
      </c>
      <c r="K2545">
        <f t="array" ref="K2545">INT(5 * (RANK(H2545,H:H, 0) - 1) / COUNT(H:H)) + 1</f>
        <v>1</v>
      </c>
      <c r="L2545">
        <f t="array" ref="L2545">INT(5 * (RANK(I2545,I:I, 0) - 1) / COUNT(I:I)) + 1</f>
        <v>2</v>
      </c>
      <c r="M2545" t="str">
        <f t="shared" si="78"/>
        <v>512</v>
      </c>
      <c r="N2545" s="6" t="str">
        <f t="shared" si="79"/>
        <v>New Customers</v>
      </c>
    </row>
    <row r="2546" spans="1:14" x14ac:dyDescent="0.35">
      <c r="A2546">
        <v>1125</v>
      </c>
      <c r="B2546" s="4">
        <v>46026.375085336993</v>
      </c>
      <c r="C2546" t="s">
        <v>8</v>
      </c>
      <c r="D2546" t="s">
        <v>19</v>
      </c>
      <c r="E2546" t="s">
        <v>23</v>
      </c>
      <c r="F2546">
        <v>11987.87</v>
      </c>
      <c r="G2546">
        <f t="array" ref="G2546">SalesData!$I$2 - 'RFM Table'!B2546</f>
        <v>110</v>
      </c>
      <c r="H2546">
        <f t="array" ref="H2546">COUNTIF(A:A,A2546)</f>
        <v>9</v>
      </c>
      <c r="I2546">
        <f t="array" ref="I2546">SUMIF(A:A,A2546,F:F)</f>
        <v>32520.350000000002</v>
      </c>
      <c r="J2546">
        <f t="array" ref="J2546">5 - INT(5 * (RANK(G2546,G:G, 1) - 1) / COUNT(G:G))</f>
        <v>5</v>
      </c>
      <c r="K2546">
        <f t="array" ref="K2546">INT(5 * (RANK(H2546,H:H, 0) - 1) / COUNT(H:H)) + 1</f>
        <v>2</v>
      </c>
      <c r="L2546">
        <f t="array" ref="L2546">INT(5 * (RANK(I2546,I:I, 0) - 1) / COUNT(I:I)) + 1</f>
        <v>3</v>
      </c>
      <c r="M2546" t="str">
        <f t="shared" si="78"/>
        <v>523</v>
      </c>
      <c r="N2546" s="6" t="str">
        <f t="shared" si="79"/>
        <v>New Customers</v>
      </c>
    </row>
    <row r="2547" spans="1:14" x14ac:dyDescent="0.35">
      <c r="A2547">
        <v>1315</v>
      </c>
      <c r="B2547" s="4">
        <v>46026.375085336993</v>
      </c>
      <c r="C2547" t="s">
        <v>11</v>
      </c>
      <c r="D2547" t="s">
        <v>21</v>
      </c>
      <c r="E2547" t="s">
        <v>25</v>
      </c>
      <c r="F2547">
        <v>1191.92</v>
      </c>
      <c r="G2547">
        <f t="array" ref="G2547">SalesData!$I$2 - 'RFM Table'!B2547</f>
        <v>110</v>
      </c>
      <c r="H2547">
        <f t="array" ref="H2547">COUNTIF(A:A,A2547)</f>
        <v>12</v>
      </c>
      <c r="I2547">
        <f t="array" ref="I2547">SUMIF(A:A,A2547,F:F)</f>
        <v>42776.80999999999</v>
      </c>
      <c r="J2547">
        <f t="array" ref="J2547">5 - INT(5 * (RANK(G2547,G:G, 1) - 1) / COUNT(G:G))</f>
        <v>5</v>
      </c>
      <c r="K2547">
        <f t="array" ref="K2547">INT(5 * (RANK(H2547,H:H, 0) - 1) / COUNT(H:H)) + 1</f>
        <v>1</v>
      </c>
      <c r="L2547">
        <f t="array" ref="L2547">INT(5 * (RANK(I2547,I:I, 0) - 1) / COUNT(I:I)) + 1</f>
        <v>2</v>
      </c>
      <c r="M2547" t="str">
        <f t="shared" si="78"/>
        <v>512</v>
      </c>
      <c r="N2547" s="6" t="str">
        <f t="shared" si="79"/>
        <v>New Customers</v>
      </c>
    </row>
    <row r="2548" spans="1:14" x14ac:dyDescent="0.35">
      <c r="A2548">
        <v>1305</v>
      </c>
      <c r="B2548" s="4">
        <v>46027.375085336993</v>
      </c>
      <c r="C2548" t="s">
        <v>8</v>
      </c>
      <c r="D2548" t="s">
        <v>21</v>
      </c>
      <c r="E2548" t="s">
        <v>23</v>
      </c>
      <c r="F2548">
        <v>3864.52</v>
      </c>
      <c r="G2548">
        <f t="array" ref="G2548">SalesData!$I$2 - 'RFM Table'!B2548</f>
        <v>109</v>
      </c>
      <c r="H2548">
        <f t="array" ref="H2548">COUNTIF(A:A,A2548)</f>
        <v>5</v>
      </c>
      <c r="I2548">
        <f t="array" ref="I2548">SUMIF(A:A,A2548,F:F)</f>
        <v>21192.55</v>
      </c>
      <c r="J2548">
        <f t="array" ref="J2548">5 - INT(5 * (RANK(G2548,G:G, 1) - 1) / COUNT(G:G))</f>
        <v>5</v>
      </c>
      <c r="K2548">
        <f t="array" ref="K2548">INT(5 * (RANK(H2548,H:H, 0) - 1) / COUNT(H:H)) + 1</f>
        <v>5</v>
      </c>
      <c r="L2548">
        <f t="array" ref="L2548">INT(5 * (RANK(I2548,I:I, 0) - 1) / COUNT(I:I)) + 1</f>
        <v>5</v>
      </c>
      <c r="M2548" t="str">
        <f t="shared" si="78"/>
        <v>555</v>
      </c>
      <c r="N2548" s="6" t="str">
        <f t="shared" si="79"/>
        <v>Others</v>
      </c>
    </row>
    <row r="2549" spans="1:14" x14ac:dyDescent="0.35">
      <c r="A2549">
        <v>1335</v>
      </c>
      <c r="B2549" s="4">
        <v>46027.375085336993</v>
      </c>
      <c r="C2549" t="s">
        <v>12</v>
      </c>
      <c r="D2549" t="s">
        <v>17</v>
      </c>
      <c r="E2549" t="s">
        <v>24</v>
      </c>
      <c r="F2549">
        <v>1067.75</v>
      </c>
      <c r="G2549">
        <f t="array" ref="G2549">SalesData!$I$2 - 'RFM Table'!B2549</f>
        <v>109</v>
      </c>
      <c r="H2549">
        <f t="array" ref="H2549">COUNTIF(A:A,A2549)</f>
        <v>8</v>
      </c>
      <c r="I2549">
        <f t="array" ref="I2549">SUMIF(A:A,A2549,F:F)</f>
        <v>31568.060000000005</v>
      </c>
      <c r="J2549">
        <f t="array" ref="J2549">5 - INT(5 * (RANK(G2549,G:G, 1) - 1) / COUNT(G:G))</f>
        <v>5</v>
      </c>
      <c r="K2549">
        <f t="array" ref="K2549">INT(5 * (RANK(H2549,H:H, 0) - 1) / COUNT(H:H)) + 1</f>
        <v>3</v>
      </c>
      <c r="L2549">
        <f t="array" ref="L2549">INT(5 * (RANK(I2549,I:I, 0) - 1) / COUNT(I:I)) + 1</f>
        <v>3</v>
      </c>
      <c r="M2549" t="str">
        <f t="shared" si="78"/>
        <v>533</v>
      </c>
      <c r="N2549" s="6" t="str">
        <f t="shared" si="79"/>
        <v>Others</v>
      </c>
    </row>
    <row r="2550" spans="1:14" x14ac:dyDescent="0.35">
      <c r="A2550">
        <v>1324</v>
      </c>
      <c r="B2550" s="4">
        <v>46027.375085336993</v>
      </c>
      <c r="C2550" t="s">
        <v>15</v>
      </c>
      <c r="D2550" t="s">
        <v>21</v>
      </c>
      <c r="E2550" t="s">
        <v>23</v>
      </c>
      <c r="F2550">
        <v>177.27</v>
      </c>
      <c r="G2550">
        <f t="array" ref="G2550">SalesData!$I$2 - 'RFM Table'!B2550</f>
        <v>109</v>
      </c>
      <c r="H2550">
        <f t="array" ref="H2550">COUNTIF(A:A,A2550)</f>
        <v>5</v>
      </c>
      <c r="I2550">
        <f t="array" ref="I2550">SUMIF(A:A,A2550,F:F)</f>
        <v>14663.54</v>
      </c>
      <c r="J2550">
        <f t="array" ref="J2550">5 - INT(5 * (RANK(G2550,G:G, 1) - 1) / COUNT(G:G))</f>
        <v>5</v>
      </c>
      <c r="K2550">
        <f t="array" ref="K2550">INT(5 * (RANK(H2550,H:H, 0) - 1) / COUNT(H:H)) + 1</f>
        <v>5</v>
      </c>
      <c r="L2550">
        <f t="array" ref="L2550">INT(5 * (RANK(I2550,I:I, 0) - 1) / COUNT(I:I)) + 1</f>
        <v>5</v>
      </c>
      <c r="M2550" t="str">
        <f t="shared" si="78"/>
        <v>555</v>
      </c>
      <c r="N2550" s="6" t="str">
        <f t="shared" si="79"/>
        <v>Others</v>
      </c>
    </row>
    <row r="2551" spans="1:14" x14ac:dyDescent="0.35">
      <c r="A2551">
        <v>1002</v>
      </c>
      <c r="B2551" s="4">
        <v>46027.375085336993</v>
      </c>
      <c r="C2551" t="s">
        <v>8</v>
      </c>
      <c r="D2551" t="s">
        <v>19</v>
      </c>
      <c r="E2551" t="s">
        <v>25</v>
      </c>
      <c r="F2551">
        <v>7277.15</v>
      </c>
      <c r="G2551">
        <f t="array" ref="G2551">SalesData!$I$2 - 'RFM Table'!B2551</f>
        <v>109</v>
      </c>
      <c r="H2551">
        <f t="array" ref="H2551">COUNTIF(A:A,A2551)</f>
        <v>9</v>
      </c>
      <c r="I2551">
        <f t="array" ref="I2551">SUMIF(A:A,A2551,F:F)</f>
        <v>35145.360000000001</v>
      </c>
      <c r="J2551">
        <f t="array" ref="J2551">5 - INT(5 * (RANK(G2551,G:G, 1) - 1) / COUNT(G:G))</f>
        <v>5</v>
      </c>
      <c r="K2551">
        <f t="array" ref="K2551">INT(5 * (RANK(H2551,H:H, 0) - 1) / COUNT(H:H)) + 1</f>
        <v>2</v>
      </c>
      <c r="L2551">
        <f t="array" ref="L2551">INT(5 * (RANK(I2551,I:I, 0) - 1) / COUNT(I:I)) + 1</f>
        <v>3</v>
      </c>
      <c r="M2551" t="str">
        <f t="shared" si="78"/>
        <v>523</v>
      </c>
      <c r="N2551" s="6" t="str">
        <f t="shared" si="79"/>
        <v>New Customers</v>
      </c>
    </row>
    <row r="2552" spans="1:14" x14ac:dyDescent="0.35">
      <c r="A2552">
        <v>1115</v>
      </c>
      <c r="B2552" s="4">
        <v>46027.375085336993</v>
      </c>
      <c r="C2552" t="s">
        <v>14</v>
      </c>
      <c r="D2552" t="s">
        <v>21</v>
      </c>
      <c r="E2552" t="s">
        <v>23</v>
      </c>
      <c r="F2552">
        <v>8002.22</v>
      </c>
      <c r="G2552">
        <f t="array" ref="G2552">SalesData!$I$2 - 'RFM Table'!B2552</f>
        <v>109</v>
      </c>
      <c r="H2552">
        <f t="array" ref="H2552">COUNTIF(A:A,A2552)</f>
        <v>6</v>
      </c>
      <c r="I2552">
        <f t="array" ref="I2552">SUMIF(A:A,A2552,F:F)</f>
        <v>19413.5</v>
      </c>
      <c r="J2552">
        <f t="array" ref="J2552">5 - INT(5 * (RANK(G2552,G:G, 1) - 1) / COUNT(G:G))</f>
        <v>5</v>
      </c>
      <c r="K2552">
        <f t="array" ref="K2552">INT(5 * (RANK(H2552,H:H, 0) - 1) / COUNT(H:H)) + 1</f>
        <v>4</v>
      </c>
      <c r="L2552">
        <f t="array" ref="L2552">INT(5 * (RANK(I2552,I:I, 0) - 1) / COUNT(I:I)) + 1</f>
        <v>5</v>
      </c>
      <c r="M2552" t="str">
        <f t="shared" si="78"/>
        <v>545</v>
      </c>
      <c r="N2552" s="6" t="str">
        <f t="shared" si="79"/>
        <v>Others</v>
      </c>
    </row>
    <row r="2553" spans="1:14" x14ac:dyDescent="0.35">
      <c r="A2553">
        <v>1319</v>
      </c>
      <c r="B2553" s="4">
        <v>46028.375085336993</v>
      </c>
      <c r="C2553" t="s">
        <v>12</v>
      </c>
      <c r="D2553" t="s">
        <v>17</v>
      </c>
      <c r="E2553" t="s">
        <v>25</v>
      </c>
      <c r="F2553">
        <v>3772.72</v>
      </c>
      <c r="G2553">
        <f t="array" ref="G2553">SalesData!$I$2 - 'RFM Table'!B2553</f>
        <v>108</v>
      </c>
      <c r="H2553">
        <f t="array" ref="H2553">COUNTIF(A:A,A2553)</f>
        <v>10</v>
      </c>
      <c r="I2553">
        <f t="array" ref="I2553">SUMIF(A:A,A2553,F:F)</f>
        <v>39681.960000000006</v>
      </c>
      <c r="J2553">
        <f t="array" ref="J2553">5 - INT(5 * (RANK(G2553,G:G, 1) - 1) / COUNT(G:G))</f>
        <v>5</v>
      </c>
      <c r="K2553">
        <f t="array" ref="K2553">INT(5 * (RANK(H2553,H:H, 0) - 1) / COUNT(H:H)) + 1</f>
        <v>2</v>
      </c>
      <c r="L2553">
        <f t="array" ref="L2553">INT(5 * (RANK(I2553,I:I, 0) - 1) / COUNT(I:I)) + 1</f>
        <v>2</v>
      </c>
      <c r="M2553" t="str">
        <f t="shared" si="78"/>
        <v>522</v>
      </c>
      <c r="N2553" s="6" t="str">
        <f t="shared" si="79"/>
        <v>New Customers</v>
      </c>
    </row>
    <row r="2554" spans="1:14" x14ac:dyDescent="0.35">
      <c r="A2554">
        <v>1151</v>
      </c>
      <c r="B2554" s="4">
        <v>46029.375085336993</v>
      </c>
      <c r="C2554" t="s">
        <v>7</v>
      </c>
      <c r="D2554" t="s">
        <v>20</v>
      </c>
      <c r="E2554" t="s">
        <v>23</v>
      </c>
      <c r="F2554">
        <v>3069.61</v>
      </c>
      <c r="G2554">
        <f t="array" ref="G2554">SalesData!$I$2 - 'RFM Table'!B2554</f>
        <v>107</v>
      </c>
      <c r="H2554">
        <f t="array" ref="H2554">COUNTIF(A:A,A2554)</f>
        <v>13</v>
      </c>
      <c r="I2554">
        <f t="array" ref="I2554">SUMIF(A:A,A2554,F:F)</f>
        <v>49208.94</v>
      </c>
      <c r="J2554">
        <f t="array" ref="J2554">5 - INT(5 * (RANK(G2554,G:G, 1) - 1) / COUNT(G:G))</f>
        <v>5</v>
      </c>
      <c r="K2554">
        <f t="array" ref="K2554">INT(5 * (RANK(H2554,H:H, 0) - 1) / COUNT(H:H)) + 1</f>
        <v>1</v>
      </c>
      <c r="L2554">
        <f t="array" ref="L2554">INT(5 * (RANK(I2554,I:I, 0) - 1) / COUNT(I:I)) + 1</f>
        <v>1</v>
      </c>
      <c r="M2554" t="str">
        <f t="shared" si="78"/>
        <v>511</v>
      </c>
      <c r="N2554" s="6" t="str">
        <f t="shared" si="79"/>
        <v>New Customers</v>
      </c>
    </row>
    <row r="2555" spans="1:14" x14ac:dyDescent="0.35">
      <c r="A2555">
        <v>1112</v>
      </c>
      <c r="B2555" s="4">
        <v>46029.375085336993</v>
      </c>
      <c r="C2555" t="s">
        <v>10</v>
      </c>
      <c r="D2555" t="s">
        <v>17</v>
      </c>
      <c r="E2555" t="s">
        <v>24</v>
      </c>
      <c r="F2555">
        <v>1463.82</v>
      </c>
      <c r="G2555">
        <f t="array" ref="G2555">SalesData!$I$2 - 'RFM Table'!B2555</f>
        <v>107</v>
      </c>
      <c r="H2555">
        <f t="array" ref="H2555">COUNTIF(A:A,A2555)</f>
        <v>12</v>
      </c>
      <c r="I2555">
        <f t="array" ref="I2555">SUMIF(A:A,A2555,F:F)</f>
        <v>38950.210000000006</v>
      </c>
      <c r="J2555">
        <f t="array" ref="J2555">5 - INT(5 * (RANK(G2555,G:G, 1) - 1) / COUNT(G:G))</f>
        <v>5</v>
      </c>
      <c r="K2555">
        <f t="array" ref="K2555">INT(5 * (RANK(H2555,H:H, 0) - 1) / COUNT(H:H)) + 1</f>
        <v>1</v>
      </c>
      <c r="L2555">
        <f t="array" ref="L2555">INT(5 * (RANK(I2555,I:I, 0) - 1) / COUNT(I:I)) + 1</f>
        <v>2</v>
      </c>
      <c r="M2555" t="str">
        <f t="shared" si="78"/>
        <v>512</v>
      </c>
      <c r="N2555" s="6" t="str">
        <f t="shared" si="79"/>
        <v>New Customers</v>
      </c>
    </row>
    <row r="2556" spans="1:14" x14ac:dyDescent="0.35">
      <c r="A2556">
        <v>1355</v>
      </c>
      <c r="B2556" s="4">
        <v>46029.375085336993</v>
      </c>
      <c r="C2556" t="s">
        <v>12</v>
      </c>
      <c r="D2556" t="s">
        <v>19</v>
      </c>
      <c r="E2556" t="s">
        <v>23</v>
      </c>
      <c r="F2556">
        <v>11165.02</v>
      </c>
      <c r="G2556">
        <f t="array" ref="G2556">SalesData!$I$2 - 'RFM Table'!B2556</f>
        <v>107</v>
      </c>
      <c r="H2556">
        <f t="array" ref="H2556">COUNTIF(A:A,A2556)</f>
        <v>6</v>
      </c>
      <c r="I2556">
        <f t="array" ref="I2556">SUMIF(A:A,A2556,F:F)</f>
        <v>21250.21</v>
      </c>
      <c r="J2556">
        <f t="array" ref="J2556">5 - INT(5 * (RANK(G2556,G:G, 1) - 1) / COUNT(G:G))</f>
        <v>5</v>
      </c>
      <c r="K2556">
        <f t="array" ref="K2556">INT(5 * (RANK(H2556,H:H, 0) - 1) / COUNT(H:H)) + 1</f>
        <v>4</v>
      </c>
      <c r="L2556">
        <f t="array" ref="L2556">INT(5 * (RANK(I2556,I:I, 0) - 1) / COUNT(I:I)) + 1</f>
        <v>5</v>
      </c>
      <c r="M2556" t="str">
        <f t="shared" si="78"/>
        <v>545</v>
      </c>
      <c r="N2556" s="6" t="str">
        <f t="shared" si="79"/>
        <v>Others</v>
      </c>
    </row>
    <row r="2557" spans="1:14" x14ac:dyDescent="0.35">
      <c r="A2557">
        <v>1042</v>
      </c>
      <c r="B2557" s="4">
        <v>46029.375085336993</v>
      </c>
      <c r="C2557" t="s">
        <v>8</v>
      </c>
      <c r="D2557" t="s">
        <v>19</v>
      </c>
      <c r="E2557" t="s">
        <v>25</v>
      </c>
      <c r="F2557">
        <v>6064.3</v>
      </c>
      <c r="G2557">
        <f t="array" ref="G2557">SalesData!$I$2 - 'RFM Table'!B2557</f>
        <v>107</v>
      </c>
      <c r="H2557">
        <f t="array" ref="H2557">COUNTIF(A:A,A2557)</f>
        <v>5</v>
      </c>
      <c r="I2557">
        <f t="array" ref="I2557">SUMIF(A:A,A2557,F:F)</f>
        <v>18557.84</v>
      </c>
      <c r="J2557">
        <f t="array" ref="J2557">5 - INT(5 * (RANK(G2557,G:G, 1) - 1) / COUNT(G:G))</f>
        <v>5</v>
      </c>
      <c r="K2557">
        <f t="array" ref="K2557">INT(5 * (RANK(H2557,H:H, 0) - 1) / COUNT(H:H)) + 1</f>
        <v>5</v>
      </c>
      <c r="L2557">
        <f t="array" ref="L2557">INT(5 * (RANK(I2557,I:I, 0) - 1) / COUNT(I:I)) + 1</f>
        <v>5</v>
      </c>
      <c r="M2557" t="str">
        <f t="shared" si="78"/>
        <v>555</v>
      </c>
      <c r="N2557" s="6" t="str">
        <f t="shared" si="79"/>
        <v>Others</v>
      </c>
    </row>
    <row r="2558" spans="1:14" x14ac:dyDescent="0.35">
      <c r="A2558">
        <v>1241</v>
      </c>
      <c r="B2558" s="4">
        <v>46030.375085336993</v>
      </c>
      <c r="C2558" t="s">
        <v>12</v>
      </c>
      <c r="D2558" t="s">
        <v>19</v>
      </c>
      <c r="E2558" t="s">
        <v>24</v>
      </c>
      <c r="F2558">
        <v>7042.55</v>
      </c>
      <c r="G2558">
        <f t="array" ref="G2558">SalesData!$I$2 - 'RFM Table'!B2558</f>
        <v>106</v>
      </c>
      <c r="H2558">
        <f t="array" ref="H2558">COUNTIF(A:A,A2558)</f>
        <v>10</v>
      </c>
      <c r="I2558">
        <f t="array" ref="I2558">SUMIF(A:A,A2558,F:F)</f>
        <v>38069.94</v>
      </c>
      <c r="J2558">
        <f t="array" ref="J2558">5 - INT(5 * (RANK(G2558,G:G, 1) - 1) / COUNT(G:G))</f>
        <v>5</v>
      </c>
      <c r="K2558">
        <f t="array" ref="K2558">INT(5 * (RANK(H2558,H:H, 0) - 1) / COUNT(H:H)) + 1</f>
        <v>2</v>
      </c>
      <c r="L2558">
        <f t="array" ref="L2558">INT(5 * (RANK(I2558,I:I, 0) - 1) / COUNT(I:I)) + 1</f>
        <v>2</v>
      </c>
      <c r="M2558" t="str">
        <f t="shared" si="78"/>
        <v>522</v>
      </c>
      <c r="N2558" s="6" t="str">
        <f t="shared" si="79"/>
        <v>New Customers</v>
      </c>
    </row>
    <row r="2559" spans="1:14" x14ac:dyDescent="0.35">
      <c r="A2559">
        <v>1215</v>
      </c>
      <c r="B2559" s="4">
        <v>46030.375085336993</v>
      </c>
      <c r="C2559" t="s">
        <v>6</v>
      </c>
      <c r="D2559" t="s">
        <v>22</v>
      </c>
      <c r="E2559" t="s">
        <v>23</v>
      </c>
      <c r="F2559">
        <v>5974.61</v>
      </c>
      <c r="G2559">
        <f t="array" ref="G2559">SalesData!$I$2 - 'RFM Table'!B2559</f>
        <v>106</v>
      </c>
      <c r="H2559">
        <f t="array" ref="H2559">COUNTIF(A:A,A2559)</f>
        <v>9</v>
      </c>
      <c r="I2559">
        <f t="array" ref="I2559">SUMIF(A:A,A2559,F:F)</f>
        <v>26752.640000000003</v>
      </c>
      <c r="J2559">
        <f t="array" ref="J2559">5 - INT(5 * (RANK(G2559,G:G, 1) - 1) / COUNT(G:G))</f>
        <v>5</v>
      </c>
      <c r="K2559">
        <f t="array" ref="K2559">INT(5 * (RANK(H2559,H:H, 0) - 1) / COUNT(H:H)) + 1</f>
        <v>2</v>
      </c>
      <c r="L2559">
        <f t="array" ref="L2559">INT(5 * (RANK(I2559,I:I, 0) - 1) / COUNT(I:I)) + 1</f>
        <v>4</v>
      </c>
      <c r="M2559" t="str">
        <f t="shared" si="78"/>
        <v>524</v>
      </c>
      <c r="N2559" s="6" t="str">
        <f t="shared" si="79"/>
        <v>New Customers</v>
      </c>
    </row>
    <row r="2560" spans="1:14" x14ac:dyDescent="0.35">
      <c r="A2560">
        <v>1062</v>
      </c>
      <c r="B2560" s="4">
        <v>46030.375085336993</v>
      </c>
      <c r="C2560" t="s">
        <v>12</v>
      </c>
      <c r="D2560" t="s">
        <v>20</v>
      </c>
      <c r="E2560" t="s">
        <v>23</v>
      </c>
      <c r="F2560">
        <v>11585.58</v>
      </c>
      <c r="G2560">
        <f t="array" ref="G2560">SalesData!$I$2 - 'RFM Table'!B2560</f>
        <v>106</v>
      </c>
      <c r="H2560">
        <f t="array" ref="H2560">COUNTIF(A:A,A2560)</f>
        <v>11</v>
      </c>
      <c r="I2560">
        <f t="array" ref="I2560">SUMIF(A:A,A2560,F:F)</f>
        <v>59377.640000000014</v>
      </c>
      <c r="J2560">
        <f t="array" ref="J2560">5 - INT(5 * (RANK(G2560,G:G, 1) - 1) / COUNT(G:G))</f>
        <v>5</v>
      </c>
      <c r="K2560">
        <f t="array" ref="K2560">INT(5 * (RANK(H2560,H:H, 0) - 1) / COUNT(H:H)) + 1</f>
        <v>1</v>
      </c>
      <c r="L2560">
        <f t="array" ref="L2560">INT(5 * (RANK(I2560,I:I, 0) - 1) / COUNT(I:I)) + 1</f>
        <v>1</v>
      </c>
      <c r="M2560" t="str">
        <f t="shared" si="78"/>
        <v>511</v>
      </c>
      <c r="N2560" s="6" t="str">
        <f t="shared" si="79"/>
        <v>New Customers</v>
      </c>
    </row>
    <row r="2561" spans="1:14" x14ac:dyDescent="0.35">
      <c r="A2561">
        <v>1238</v>
      </c>
      <c r="B2561" s="4">
        <v>46030.375085336993</v>
      </c>
      <c r="C2561" t="s">
        <v>12</v>
      </c>
      <c r="D2561" t="s">
        <v>18</v>
      </c>
      <c r="E2561" t="s">
        <v>24</v>
      </c>
      <c r="F2561">
        <v>14602.7</v>
      </c>
      <c r="G2561">
        <f t="array" ref="G2561">SalesData!$I$2 - 'RFM Table'!B2561</f>
        <v>106</v>
      </c>
      <c r="H2561">
        <f t="array" ref="H2561">COUNTIF(A:A,A2561)</f>
        <v>10</v>
      </c>
      <c r="I2561">
        <f t="array" ref="I2561">SUMIF(A:A,A2561,F:F)</f>
        <v>42023.55</v>
      </c>
      <c r="J2561">
        <f t="array" ref="J2561">5 - INT(5 * (RANK(G2561,G:G, 1) - 1) / COUNT(G:G))</f>
        <v>5</v>
      </c>
      <c r="K2561">
        <f t="array" ref="K2561">INT(5 * (RANK(H2561,H:H, 0) - 1) / COUNT(H:H)) + 1</f>
        <v>2</v>
      </c>
      <c r="L2561">
        <f t="array" ref="L2561">INT(5 * (RANK(I2561,I:I, 0) - 1) / COUNT(I:I)) + 1</f>
        <v>2</v>
      </c>
      <c r="M2561" t="str">
        <f t="shared" si="78"/>
        <v>522</v>
      </c>
      <c r="N2561" s="6" t="str">
        <f t="shared" si="79"/>
        <v>New Customers</v>
      </c>
    </row>
    <row r="2562" spans="1:14" x14ac:dyDescent="0.35">
      <c r="A2562">
        <v>1035</v>
      </c>
      <c r="B2562" s="4">
        <v>46031.375085336993</v>
      </c>
      <c r="C2562" t="s">
        <v>6</v>
      </c>
      <c r="D2562" t="s">
        <v>22</v>
      </c>
      <c r="E2562" t="s">
        <v>24</v>
      </c>
      <c r="F2562">
        <v>4647.95</v>
      </c>
      <c r="G2562">
        <f t="array" ref="G2562">SalesData!$I$2 - 'RFM Table'!B2562</f>
        <v>105</v>
      </c>
      <c r="H2562">
        <f t="array" ref="H2562">COUNTIF(A:A,A2562)</f>
        <v>9</v>
      </c>
      <c r="I2562">
        <f t="array" ref="I2562">SUMIF(A:A,A2562,F:F)</f>
        <v>33344.589999999997</v>
      </c>
      <c r="J2562">
        <f t="array" ref="J2562">5 - INT(5 * (RANK(G2562,G:G, 1) - 1) / COUNT(G:G))</f>
        <v>5</v>
      </c>
      <c r="K2562">
        <f t="array" ref="K2562">INT(5 * (RANK(H2562,H:H, 0) - 1) / COUNT(H:H)) + 1</f>
        <v>2</v>
      </c>
      <c r="L2562">
        <f t="array" ref="L2562">INT(5 * (RANK(I2562,I:I, 0) - 1) / COUNT(I:I)) + 1</f>
        <v>3</v>
      </c>
      <c r="M2562" t="str">
        <f t="shared" si="78"/>
        <v>523</v>
      </c>
      <c r="N2562" s="6" t="str">
        <f t="shared" si="79"/>
        <v>New Customers</v>
      </c>
    </row>
    <row r="2563" spans="1:14" x14ac:dyDescent="0.35">
      <c r="A2563">
        <v>1183</v>
      </c>
      <c r="B2563" s="4">
        <v>46031.375085336993</v>
      </c>
      <c r="C2563" t="s">
        <v>14</v>
      </c>
      <c r="D2563" t="s">
        <v>19</v>
      </c>
      <c r="E2563" t="s">
        <v>25</v>
      </c>
      <c r="F2563">
        <v>1613.74</v>
      </c>
      <c r="G2563">
        <f t="array" ref="G2563">SalesData!$I$2 - 'RFM Table'!B2563</f>
        <v>105</v>
      </c>
      <c r="H2563">
        <f t="array" ref="H2563">COUNTIF(A:A,A2563)</f>
        <v>6</v>
      </c>
      <c r="I2563">
        <f t="array" ref="I2563">SUMIF(A:A,A2563,F:F)</f>
        <v>27493.600000000002</v>
      </c>
      <c r="J2563">
        <f t="array" ref="J2563">5 - INT(5 * (RANK(G2563,G:G, 1) - 1) / COUNT(G:G))</f>
        <v>5</v>
      </c>
      <c r="K2563">
        <f t="array" ref="K2563">INT(5 * (RANK(H2563,H:H, 0) - 1) / COUNT(H:H)) + 1</f>
        <v>4</v>
      </c>
      <c r="L2563">
        <f t="array" ref="L2563">INT(5 * (RANK(I2563,I:I, 0) - 1) / COUNT(I:I)) + 1</f>
        <v>4</v>
      </c>
      <c r="M2563" t="str">
        <f t="shared" ref="M2563:M2626" si="80">J2563 &amp; K2563 &amp; L2563</f>
        <v>544</v>
      </c>
      <c r="N2563" s="6" t="str">
        <f t="shared" ref="N2563:N2626" si="81">IF(AND(J2563&gt;=4,K2563&lt;=2),"New Customers",
IF(AND(J2563&lt;=2,K2563&gt;=3,L2563&gt;=3),"At Risk",
IF(AND(J2563&lt;=2,K2563&lt;=2,L2563&gt;=3),"Can't Lose Them",
IF(AND(J2563&lt;=2,K2563&lt;=2,L2563&lt;=2),"Lost",
"Others"))))</f>
        <v>Others</v>
      </c>
    </row>
    <row r="2564" spans="1:14" x14ac:dyDescent="0.35">
      <c r="A2564">
        <v>1163</v>
      </c>
      <c r="B2564" s="4">
        <v>46031.375085336993</v>
      </c>
      <c r="C2564" t="s">
        <v>10</v>
      </c>
      <c r="D2564" t="s">
        <v>19</v>
      </c>
      <c r="E2564" t="s">
        <v>25</v>
      </c>
      <c r="F2564">
        <v>6967.43</v>
      </c>
      <c r="G2564">
        <f t="array" ref="G2564">SalesData!$I$2 - 'RFM Table'!B2564</f>
        <v>105</v>
      </c>
      <c r="H2564">
        <f t="array" ref="H2564">COUNTIF(A:A,A2564)</f>
        <v>11</v>
      </c>
      <c r="I2564">
        <f t="array" ref="I2564">SUMIF(A:A,A2564,F:F)</f>
        <v>43753.86</v>
      </c>
      <c r="J2564">
        <f t="array" ref="J2564">5 - INT(5 * (RANK(G2564,G:G, 1) - 1) / COUNT(G:G))</f>
        <v>5</v>
      </c>
      <c r="K2564">
        <f t="array" ref="K2564">INT(5 * (RANK(H2564,H:H, 0) - 1) / COUNT(H:H)) + 1</f>
        <v>1</v>
      </c>
      <c r="L2564">
        <f t="array" ref="L2564">INT(5 * (RANK(I2564,I:I, 0) - 1) / COUNT(I:I)) + 1</f>
        <v>2</v>
      </c>
      <c r="M2564" t="str">
        <f t="shared" si="80"/>
        <v>512</v>
      </c>
      <c r="N2564" s="6" t="str">
        <f t="shared" si="81"/>
        <v>New Customers</v>
      </c>
    </row>
    <row r="2565" spans="1:14" x14ac:dyDescent="0.35">
      <c r="A2565">
        <v>1119</v>
      </c>
      <c r="B2565" s="4">
        <v>46031.375085336993</v>
      </c>
      <c r="C2565" t="s">
        <v>8</v>
      </c>
      <c r="D2565" t="s">
        <v>19</v>
      </c>
      <c r="E2565" t="s">
        <v>24</v>
      </c>
      <c r="F2565">
        <v>2108.36</v>
      </c>
      <c r="G2565">
        <f t="array" ref="G2565">SalesData!$I$2 - 'RFM Table'!B2565</f>
        <v>105</v>
      </c>
      <c r="H2565">
        <f t="array" ref="H2565">COUNTIF(A:A,A2565)</f>
        <v>8</v>
      </c>
      <c r="I2565">
        <f t="array" ref="I2565">SUMIF(A:A,A2565,F:F)</f>
        <v>33012.819999999992</v>
      </c>
      <c r="J2565">
        <f t="array" ref="J2565">5 - INT(5 * (RANK(G2565,G:G, 1) - 1) / COUNT(G:G))</f>
        <v>5</v>
      </c>
      <c r="K2565">
        <f t="array" ref="K2565">INT(5 * (RANK(H2565,H:H, 0) - 1) / COUNT(H:H)) + 1</f>
        <v>3</v>
      </c>
      <c r="L2565">
        <f t="array" ref="L2565">INT(5 * (RANK(I2565,I:I, 0) - 1) / COUNT(I:I)) + 1</f>
        <v>3</v>
      </c>
      <c r="M2565" t="str">
        <f t="shared" si="80"/>
        <v>533</v>
      </c>
      <c r="N2565" s="6" t="str">
        <f t="shared" si="81"/>
        <v>Others</v>
      </c>
    </row>
    <row r="2566" spans="1:14" x14ac:dyDescent="0.35">
      <c r="A2566">
        <v>1252</v>
      </c>
      <c r="B2566" s="4">
        <v>46033.375085336993</v>
      </c>
      <c r="C2566" t="s">
        <v>12</v>
      </c>
      <c r="D2566" t="s">
        <v>17</v>
      </c>
      <c r="E2566" t="s">
        <v>25</v>
      </c>
      <c r="F2566">
        <v>1661.45</v>
      </c>
      <c r="G2566">
        <f t="array" ref="G2566">SalesData!$I$2 - 'RFM Table'!B2566</f>
        <v>103</v>
      </c>
      <c r="H2566">
        <f t="array" ref="H2566">COUNTIF(A:A,A2566)</f>
        <v>8</v>
      </c>
      <c r="I2566">
        <f t="array" ref="I2566">SUMIF(A:A,A2566,F:F)</f>
        <v>29088.159999999996</v>
      </c>
      <c r="J2566">
        <f t="array" ref="J2566">5 - INT(5 * (RANK(G2566,G:G, 1) - 1) / COUNT(G:G))</f>
        <v>5</v>
      </c>
      <c r="K2566">
        <f t="array" ref="K2566">INT(5 * (RANK(H2566,H:H, 0) - 1) / COUNT(H:H)) + 1</f>
        <v>3</v>
      </c>
      <c r="L2566">
        <f t="array" ref="L2566">INT(5 * (RANK(I2566,I:I, 0) - 1) / COUNT(I:I)) + 1</f>
        <v>4</v>
      </c>
      <c r="M2566" t="str">
        <f t="shared" si="80"/>
        <v>534</v>
      </c>
      <c r="N2566" s="6" t="str">
        <f t="shared" si="81"/>
        <v>Others</v>
      </c>
    </row>
    <row r="2567" spans="1:14" x14ac:dyDescent="0.35">
      <c r="A2567">
        <v>1151</v>
      </c>
      <c r="B2567" s="4">
        <v>46033.375085336993</v>
      </c>
      <c r="C2567" t="s">
        <v>13</v>
      </c>
      <c r="D2567" t="s">
        <v>19</v>
      </c>
      <c r="E2567" t="s">
        <v>24</v>
      </c>
      <c r="F2567">
        <v>2742.42</v>
      </c>
      <c r="G2567">
        <f t="array" ref="G2567">SalesData!$I$2 - 'RFM Table'!B2567</f>
        <v>103</v>
      </c>
      <c r="H2567">
        <f t="array" ref="H2567">COUNTIF(A:A,A2567)</f>
        <v>13</v>
      </c>
      <c r="I2567">
        <f t="array" ref="I2567">SUMIF(A:A,A2567,F:F)</f>
        <v>49208.94</v>
      </c>
      <c r="J2567">
        <f t="array" ref="J2567">5 - INT(5 * (RANK(G2567,G:G, 1) - 1) / COUNT(G:G))</f>
        <v>5</v>
      </c>
      <c r="K2567">
        <f t="array" ref="K2567">INT(5 * (RANK(H2567,H:H, 0) - 1) / COUNT(H:H)) + 1</f>
        <v>1</v>
      </c>
      <c r="L2567">
        <f t="array" ref="L2567">INT(5 * (RANK(I2567,I:I, 0) - 1) / COUNT(I:I)) + 1</f>
        <v>1</v>
      </c>
      <c r="M2567" t="str">
        <f t="shared" si="80"/>
        <v>511</v>
      </c>
      <c r="N2567" s="6" t="str">
        <f t="shared" si="81"/>
        <v>New Customers</v>
      </c>
    </row>
    <row r="2568" spans="1:14" x14ac:dyDescent="0.35">
      <c r="A2568">
        <v>1317</v>
      </c>
      <c r="B2568" s="4">
        <v>46033.375085336993</v>
      </c>
      <c r="C2568" t="s">
        <v>12</v>
      </c>
      <c r="D2568" t="s">
        <v>20</v>
      </c>
      <c r="E2568" t="s">
        <v>23</v>
      </c>
      <c r="F2568">
        <v>386.72</v>
      </c>
      <c r="G2568">
        <f t="array" ref="G2568">SalesData!$I$2 - 'RFM Table'!B2568</f>
        <v>103</v>
      </c>
      <c r="H2568">
        <f t="array" ref="H2568">COUNTIF(A:A,A2568)</f>
        <v>12</v>
      </c>
      <c r="I2568">
        <f t="array" ref="I2568">SUMIF(A:A,A2568,F:F)</f>
        <v>43413.4</v>
      </c>
      <c r="J2568">
        <f t="array" ref="J2568">5 - INT(5 * (RANK(G2568,G:G, 1) - 1) / COUNT(G:G))</f>
        <v>5</v>
      </c>
      <c r="K2568">
        <f t="array" ref="K2568">INT(5 * (RANK(H2568,H:H, 0) - 1) / COUNT(H:H)) + 1</f>
        <v>1</v>
      </c>
      <c r="L2568">
        <f t="array" ref="L2568">INT(5 * (RANK(I2568,I:I, 0) - 1) / COUNT(I:I)) + 1</f>
        <v>2</v>
      </c>
      <c r="M2568" t="str">
        <f t="shared" si="80"/>
        <v>512</v>
      </c>
      <c r="N2568" s="6" t="str">
        <f t="shared" si="81"/>
        <v>New Customers</v>
      </c>
    </row>
    <row r="2569" spans="1:14" x14ac:dyDescent="0.35">
      <c r="A2569">
        <v>1058</v>
      </c>
      <c r="B2569" s="4">
        <v>46033.375085336993</v>
      </c>
      <c r="C2569" t="s">
        <v>15</v>
      </c>
      <c r="D2569" t="s">
        <v>20</v>
      </c>
      <c r="E2569" t="s">
        <v>25</v>
      </c>
      <c r="F2569">
        <v>3424.07</v>
      </c>
      <c r="G2569">
        <f t="array" ref="G2569">SalesData!$I$2 - 'RFM Table'!B2569</f>
        <v>103</v>
      </c>
      <c r="H2569">
        <f t="array" ref="H2569">COUNTIF(A:A,A2569)</f>
        <v>8</v>
      </c>
      <c r="I2569">
        <f t="array" ref="I2569">SUMIF(A:A,A2569,F:F)</f>
        <v>29892.99</v>
      </c>
      <c r="J2569">
        <f t="array" ref="J2569">5 - INT(5 * (RANK(G2569,G:G, 1) - 1) / COUNT(G:G))</f>
        <v>5</v>
      </c>
      <c r="K2569">
        <f t="array" ref="K2569">INT(5 * (RANK(H2569,H:H, 0) - 1) / COUNT(H:H)) + 1</f>
        <v>3</v>
      </c>
      <c r="L2569">
        <f t="array" ref="L2569">INT(5 * (RANK(I2569,I:I, 0) - 1) / COUNT(I:I)) + 1</f>
        <v>3</v>
      </c>
      <c r="M2569" t="str">
        <f t="shared" si="80"/>
        <v>533</v>
      </c>
      <c r="N2569" s="6" t="str">
        <f t="shared" si="81"/>
        <v>Others</v>
      </c>
    </row>
    <row r="2570" spans="1:14" x14ac:dyDescent="0.35">
      <c r="A2570">
        <v>1162</v>
      </c>
      <c r="B2570" s="4">
        <v>46033.375085336993</v>
      </c>
      <c r="C2570" t="s">
        <v>6</v>
      </c>
      <c r="D2570" t="s">
        <v>16</v>
      </c>
      <c r="E2570" t="s">
        <v>23</v>
      </c>
      <c r="F2570">
        <v>16867.990000000002</v>
      </c>
      <c r="G2570">
        <f t="array" ref="G2570">SalesData!$I$2 - 'RFM Table'!B2570</f>
        <v>103</v>
      </c>
      <c r="H2570">
        <f t="array" ref="H2570">COUNTIF(A:A,A2570)</f>
        <v>8</v>
      </c>
      <c r="I2570">
        <f t="array" ref="I2570">SUMIF(A:A,A2570,F:F)</f>
        <v>43723.900000000009</v>
      </c>
      <c r="J2570">
        <f t="array" ref="J2570">5 - INT(5 * (RANK(G2570,G:G, 1) - 1) / COUNT(G:G))</f>
        <v>5</v>
      </c>
      <c r="K2570">
        <f t="array" ref="K2570">INT(5 * (RANK(H2570,H:H, 0) - 1) / COUNT(H:H)) + 1</f>
        <v>3</v>
      </c>
      <c r="L2570">
        <f t="array" ref="L2570">INT(5 * (RANK(I2570,I:I, 0) - 1) / COUNT(I:I)) + 1</f>
        <v>2</v>
      </c>
      <c r="M2570" t="str">
        <f t="shared" si="80"/>
        <v>532</v>
      </c>
      <c r="N2570" s="6" t="str">
        <f t="shared" si="81"/>
        <v>Others</v>
      </c>
    </row>
    <row r="2571" spans="1:14" x14ac:dyDescent="0.35">
      <c r="A2571">
        <v>1059</v>
      </c>
      <c r="B2571" s="4">
        <v>46033.375085336993</v>
      </c>
      <c r="C2571" t="s">
        <v>15</v>
      </c>
      <c r="D2571" t="s">
        <v>21</v>
      </c>
      <c r="E2571" t="s">
        <v>23</v>
      </c>
      <c r="F2571">
        <v>5216.28</v>
      </c>
      <c r="G2571">
        <f t="array" ref="G2571">SalesData!$I$2 - 'RFM Table'!B2571</f>
        <v>103</v>
      </c>
      <c r="H2571">
        <f t="array" ref="H2571">COUNTIF(A:A,A2571)</f>
        <v>8</v>
      </c>
      <c r="I2571">
        <f t="array" ref="I2571">SUMIF(A:A,A2571,F:F)</f>
        <v>38016.57</v>
      </c>
      <c r="J2571">
        <f t="array" ref="J2571">5 - INT(5 * (RANK(G2571,G:G, 1) - 1) / COUNT(G:G))</f>
        <v>5</v>
      </c>
      <c r="K2571">
        <f t="array" ref="K2571">INT(5 * (RANK(H2571,H:H, 0) - 1) / COUNT(H:H)) + 1</f>
        <v>3</v>
      </c>
      <c r="L2571">
        <f t="array" ref="L2571">INT(5 * (RANK(I2571,I:I, 0) - 1) / COUNT(I:I)) + 1</f>
        <v>2</v>
      </c>
      <c r="M2571" t="str">
        <f t="shared" si="80"/>
        <v>532</v>
      </c>
      <c r="N2571" s="6" t="str">
        <f t="shared" si="81"/>
        <v>Others</v>
      </c>
    </row>
    <row r="2572" spans="1:14" x14ac:dyDescent="0.35">
      <c r="A2572">
        <v>1315</v>
      </c>
      <c r="B2572" s="4">
        <v>46033.375085336993</v>
      </c>
      <c r="C2572" t="s">
        <v>6</v>
      </c>
      <c r="D2572" t="s">
        <v>22</v>
      </c>
      <c r="E2572" t="s">
        <v>23</v>
      </c>
      <c r="F2572">
        <v>6275.59</v>
      </c>
      <c r="G2572">
        <f t="array" ref="G2572">SalesData!$I$2 - 'RFM Table'!B2572</f>
        <v>103</v>
      </c>
      <c r="H2572">
        <f t="array" ref="H2572">COUNTIF(A:A,A2572)</f>
        <v>12</v>
      </c>
      <c r="I2572">
        <f t="array" ref="I2572">SUMIF(A:A,A2572,F:F)</f>
        <v>42776.80999999999</v>
      </c>
      <c r="J2572">
        <f t="array" ref="J2572">5 - INT(5 * (RANK(G2572,G:G, 1) - 1) / COUNT(G:G))</f>
        <v>5</v>
      </c>
      <c r="K2572">
        <f t="array" ref="K2572">INT(5 * (RANK(H2572,H:H, 0) - 1) / COUNT(H:H)) + 1</f>
        <v>1</v>
      </c>
      <c r="L2572">
        <f t="array" ref="L2572">INT(5 * (RANK(I2572,I:I, 0) - 1) / COUNT(I:I)) + 1</f>
        <v>2</v>
      </c>
      <c r="M2572" t="str">
        <f t="shared" si="80"/>
        <v>512</v>
      </c>
      <c r="N2572" s="6" t="str">
        <f t="shared" si="81"/>
        <v>New Customers</v>
      </c>
    </row>
    <row r="2573" spans="1:14" x14ac:dyDescent="0.35">
      <c r="A2573">
        <v>1136</v>
      </c>
      <c r="B2573" s="4">
        <v>46033.375085336993</v>
      </c>
      <c r="C2573" t="s">
        <v>13</v>
      </c>
      <c r="D2573" t="s">
        <v>17</v>
      </c>
      <c r="E2573" t="s">
        <v>25</v>
      </c>
      <c r="F2573">
        <v>1317.49</v>
      </c>
      <c r="G2573">
        <f t="array" ref="G2573">SalesData!$I$2 - 'RFM Table'!B2573</f>
        <v>103</v>
      </c>
      <c r="H2573">
        <f t="array" ref="H2573">COUNTIF(A:A,A2573)</f>
        <v>6</v>
      </c>
      <c r="I2573">
        <f t="array" ref="I2573">SUMIF(A:A,A2573,F:F)</f>
        <v>16588.13</v>
      </c>
      <c r="J2573">
        <f t="array" ref="J2573">5 - INT(5 * (RANK(G2573,G:G, 1) - 1) / COUNT(G:G))</f>
        <v>5</v>
      </c>
      <c r="K2573">
        <f t="array" ref="K2573">INT(5 * (RANK(H2573,H:H, 0) - 1) / COUNT(H:H)) + 1</f>
        <v>4</v>
      </c>
      <c r="L2573">
        <f t="array" ref="L2573">INT(5 * (RANK(I2573,I:I, 0) - 1) / COUNT(I:I)) + 1</f>
        <v>5</v>
      </c>
      <c r="M2573" t="str">
        <f t="shared" si="80"/>
        <v>545</v>
      </c>
      <c r="N2573" s="6" t="str">
        <f t="shared" si="81"/>
        <v>Others</v>
      </c>
    </row>
    <row r="2574" spans="1:14" x14ac:dyDescent="0.35">
      <c r="A2574">
        <v>1379</v>
      </c>
      <c r="B2574" s="4">
        <v>46033.375085336993</v>
      </c>
      <c r="C2574" t="s">
        <v>11</v>
      </c>
      <c r="D2574" t="s">
        <v>21</v>
      </c>
      <c r="E2574" t="s">
        <v>23</v>
      </c>
      <c r="F2574">
        <v>7621.72</v>
      </c>
      <c r="G2574">
        <f t="array" ref="G2574">SalesData!$I$2 - 'RFM Table'!B2574</f>
        <v>103</v>
      </c>
      <c r="H2574">
        <f t="array" ref="H2574">COUNTIF(A:A,A2574)</f>
        <v>10</v>
      </c>
      <c r="I2574">
        <f t="array" ref="I2574">SUMIF(A:A,A2574,F:F)</f>
        <v>33545.49</v>
      </c>
      <c r="J2574">
        <f t="array" ref="J2574">5 - INT(5 * (RANK(G2574,G:G, 1) - 1) / COUNT(G:G))</f>
        <v>5</v>
      </c>
      <c r="K2574">
        <f t="array" ref="K2574">INT(5 * (RANK(H2574,H:H, 0) - 1) / COUNT(H:H)) + 1</f>
        <v>2</v>
      </c>
      <c r="L2574">
        <f t="array" ref="L2574">INT(5 * (RANK(I2574,I:I, 0) - 1) / COUNT(I:I)) + 1</f>
        <v>3</v>
      </c>
      <c r="M2574" t="str">
        <f t="shared" si="80"/>
        <v>523</v>
      </c>
      <c r="N2574" s="6" t="str">
        <f t="shared" si="81"/>
        <v>New Customers</v>
      </c>
    </row>
    <row r="2575" spans="1:14" x14ac:dyDescent="0.35">
      <c r="A2575">
        <v>1312</v>
      </c>
      <c r="B2575" s="4">
        <v>46034.375085336993</v>
      </c>
      <c r="C2575" t="s">
        <v>6</v>
      </c>
      <c r="D2575" t="s">
        <v>17</v>
      </c>
      <c r="E2575" t="s">
        <v>25</v>
      </c>
      <c r="F2575">
        <v>550.99</v>
      </c>
      <c r="G2575">
        <f t="array" ref="G2575">SalesData!$I$2 - 'RFM Table'!B2575</f>
        <v>102</v>
      </c>
      <c r="H2575">
        <f t="array" ref="H2575">COUNTIF(A:A,A2575)</f>
        <v>8</v>
      </c>
      <c r="I2575">
        <f t="array" ref="I2575">SUMIF(A:A,A2575,F:F)</f>
        <v>31330.839999999997</v>
      </c>
      <c r="J2575">
        <f t="array" ref="J2575">5 - INT(5 * (RANK(G2575,G:G, 1) - 1) / COUNT(G:G))</f>
        <v>5</v>
      </c>
      <c r="K2575">
        <f t="array" ref="K2575">INT(5 * (RANK(H2575,H:H, 0) - 1) / COUNT(H:H)) + 1</f>
        <v>3</v>
      </c>
      <c r="L2575">
        <f t="array" ref="L2575">INT(5 * (RANK(I2575,I:I, 0) - 1) / COUNT(I:I)) + 1</f>
        <v>3</v>
      </c>
      <c r="M2575" t="str">
        <f t="shared" si="80"/>
        <v>533</v>
      </c>
      <c r="N2575" s="6" t="str">
        <f t="shared" si="81"/>
        <v>Others</v>
      </c>
    </row>
    <row r="2576" spans="1:14" x14ac:dyDescent="0.35">
      <c r="A2576">
        <v>1364</v>
      </c>
      <c r="B2576" s="4">
        <v>46034.375085336993</v>
      </c>
      <c r="C2576" t="s">
        <v>11</v>
      </c>
      <c r="D2576" t="s">
        <v>22</v>
      </c>
      <c r="E2576" t="s">
        <v>24</v>
      </c>
      <c r="F2576">
        <v>2332.65</v>
      </c>
      <c r="G2576">
        <f t="array" ref="G2576">SalesData!$I$2 - 'RFM Table'!B2576</f>
        <v>102</v>
      </c>
      <c r="H2576">
        <f t="array" ref="H2576">COUNTIF(A:A,A2576)</f>
        <v>11</v>
      </c>
      <c r="I2576">
        <f t="array" ref="I2576">SUMIF(A:A,A2576,F:F)</f>
        <v>39674.43</v>
      </c>
      <c r="J2576">
        <f t="array" ref="J2576">5 - INT(5 * (RANK(G2576,G:G, 1) - 1) / COUNT(G:G))</f>
        <v>5</v>
      </c>
      <c r="K2576">
        <f t="array" ref="K2576">INT(5 * (RANK(H2576,H:H, 0) - 1) / COUNT(H:H)) + 1</f>
        <v>1</v>
      </c>
      <c r="L2576">
        <f t="array" ref="L2576">INT(5 * (RANK(I2576,I:I, 0) - 1) / COUNT(I:I)) + 1</f>
        <v>2</v>
      </c>
      <c r="M2576" t="str">
        <f t="shared" si="80"/>
        <v>512</v>
      </c>
      <c r="N2576" s="6" t="str">
        <f t="shared" si="81"/>
        <v>New Customers</v>
      </c>
    </row>
    <row r="2577" spans="1:14" x14ac:dyDescent="0.35">
      <c r="A2577">
        <v>1397</v>
      </c>
      <c r="B2577" s="4">
        <v>46034.375085336993</v>
      </c>
      <c r="C2577" t="s">
        <v>14</v>
      </c>
      <c r="D2577" t="s">
        <v>19</v>
      </c>
      <c r="E2577" t="s">
        <v>23</v>
      </c>
      <c r="F2577">
        <v>400.84</v>
      </c>
      <c r="G2577">
        <f t="array" ref="G2577">SalesData!$I$2 - 'RFM Table'!B2577</f>
        <v>102</v>
      </c>
      <c r="H2577">
        <f t="array" ref="H2577">COUNTIF(A:A,A2577)</f>
        <v>6</v>
      </c>
      <c r="I2577">
        <f t="array" ref="I2577">SUMIF(A:A,A2577,F:F)</f>
        <v>17195.870000000003</v>
      </c>
      <c r="J2577">
        <f t="array" ref="J2577">5 - INT(5 * (RANK(G2577,G:G, 1) - 1) / COUNT(G:G))</f>
        <v>5</v>
      </c>
      <c r="K2577">
        <f t="array" ref="K2577">INT(5 * (RANK(H2577,H:H, 0) - 1) / COUNT(H:H)) + 1</f>
        <v>4</v>
      </c>
      <c r="L2577">
        <f t="array" ref="L2577">INT(5 * (RANK(I2577,I:I, 0) - 1) / COUNT(I:I)) + 1</f>
        <v>5</v>
      </c>
      <c r="M2577" t="str">
        <f t="shared" si="80"/>
        <v>545</v>
      </c>
      <c r="N2577" s="6" t="str">
        <f t="shared" si="81"/>
        <v>Others</v>
      </c>
    </row>
    <row r="2578" spans="1:14" x14ac:dyDescent="0.35">
      <c r="A2578">
        <v>1194</v>
      </c>
      <c r="B2578" s="4">
        <v>46034.375085336993</v>
      </c>
      <c r="C2578" t="s">
        <v>6</v>
      </c>
      <c r="D2578" t="s">
        <v>20</v>
      </c>
      <c r="E2578" t="s">
        <v>24</v>
      </c>
      <c r="F2578">
        <v>6889.07</v>
      </c>
      <c r="G2578">
        <f t="array" ref="G2578">SalesData!$I$2 - 'RFM Table'!B2578</f>
        <v>102</v>
      </c>
      <c r="H2578">
        <f t="array" ref="H2578">COUNTIF(A:A,A2578)</f>
        <v>7</v>
      </c>
      <c r="I2578">
        <f t="array" ref="I2578">SUMIF(A:A,A2578,F:F)</f>
        <v>37031.050000000003</v>
      </c>
      <c r="J2578">
        <f t="array" ref="J2578">5 - INT(5 * (RANK(G2578,G:G, 1) - 1) / COUNT(G:G))</f>
        <v>5</v>
      </c>
      <c r="K2578">
        <f t="array" ref="K2578">INT(5 * (RANK(H2578,H:H, 0) - 1) / COUNT(H:H)) + 1</f>
        <v>4</v>
      </c>
      <c r="L2578">
        <f t="array" ref="L2578">INT(5 * (RANK(I2578,I:I, 0) - 1) / COUNT(I:I)) + 1</f>
        <v>2</v>
      </c>
      <c r="M2578" t="str">
        <f t="shared" si="80"/>
        <v>542</v>
      </c>
      <c r="N2578" s="6" t="str">
        <f t="shared" si="81"/>
        <v>Others</v>
      </c>
    </row>
    <row r="2579" spans="1:14" x14ac:dyDescent="0.35">
      <c r="A2579">
        <v>1195</v>
      </c>
      <c r="B2579" s="4">
        <v>46034.375085336993</v>
      </c>
      <c r="C2579" t="s">
        <v>10</v>
      </c>
      <c r="D2579" t="s">
        <v>17</v>
      </c>
      <c r="E2579" t="s">
        <v>24</v>
      </c>
      <c r="F2579">
        <v>1511.42</v>
      </c>
      <c r="G2579">
        <f t="array" ref="G2579">SalesData!$I$2 - 'RFM Table'!B2579</f>
        <v>102</v>
      </c>
      <c r="H2579">
        <f t="array" ref="H2579">COUNTIF(A:A,A2579)</f>
        <v>7</v>
      </c>
      <c r="I2579">
        <f t="array" ref="I2579">SUMIF(A:A,A2579,F:F)</f>
        <v>22005.660000000003</v>
      </c>
      <c r="J2579">
        <f t="array" ref="J2579">5 - INT(5 * (RANK(G2579,G:G, 1) - 1) / COUNT(G:G))</f>
        <v>5</v>
      </c>
      <c r="K2579">
        <f t="array" ref="K2579">INT(5 * (RANK(H2579,H:H, 0) - 1) / COUNT(H:H)) + 1</f>
        <v>4</v>
      </c>
      <c r="L2579">
        <f t="array" ref="L2579">INT(5 * (RANK(I2579,I:I, 0) - 1) / COUNT(I:I)) + 1</f>
        <v>4</v>
      </c>
      <c r="M2579" t="str">
        <f t="shared" si="80"/>
        <v>544</v>
      </c>
      <c r="N2579" s="6" t="str">
        <f t="shared" si="81"/>
        <v>Others</v>
      </c>
    </row>
    <row r="2580" spans="1:14" x14ac:dyDescent="0.35">
      <c r="A2580">
        <v>1169</v>
      </c>
      <c r="B2580" s="4">
        <v>46035.375085336993</v>
      </c>
      <c r="C2580" t="s">
        <v>15</v>
      </c>
      <c r="D2580" t="s">
        <v>22</v>
      </c>
      <c r="E2580" t="s">
        <v>24</v>
      </c>
      <c r="F2580">
        <v>2777.24</v>
      </c>
      <c r="G2580">
        <f t="array" ref="G2580">SalesData!$I$2 - 'RFM Table'!B2580</f>
        <v>101</v>
      </c>
      <c r="H2580">
        <f t="array" ref="H2580">COUNTIF(A:A,A2580)</f>
        <v>10</v>
      </c>
      <c r="I2580">
        <f t="array" ref="I2580">SUMIF(A:A,A2580,F:F)</f>
        <v>45640.06</v>
      </c>
      <c r="J2580">
        <f t="array" ref="J2580">5 - INT(5 * (RANK(G2580,G:G, 1) - 1) / COUNT(G:G))</f>
        <v>5</v>
      </c>
      <c r="K2580">
        <f t="array" ref="K2580">INT(5 * (RANK(H2580,H:H, 0) - 1) / COUNT(H:H)) + 1</f>
        <v>2</v>
      </c>
      <c r="L2580">
        <f t="array" ref="L2580">INT(5 * (RANK(I2580,I:I, 0) - 1) / COUNT(I:I)) + 1</f>
        <v>1</v>
      </c>
      <c r="M2580" t="str">
        <f t="shared" si="80"/>
        <v>521</v>
      </c>
      <c r="N2580" s="6" t="str">
        <f t="shared" si="81"/>
        <v>New Customers</v>
      </c>
    </row>
    <row r="2581" spans="1:14" x14ac:dyDescent="0.35">
      <c r="A2581">
        <v>1345</v>
      </c>
      <c r="B2581" s="4">
        <v>46035.375085336993</v>
      </c>
      <c r="C2581" t="s">
        <v>12</v>
      </c>
      <c r="D2581" t="s">
        <v>19</v>
      </c>
      <c r="E2581" t="s">
        <v>24</v>
      </c>
      <c r="F2581">
        <v>3234.37</v>
      </c>
      <c r="G2581">
        <f t="array" ref="G2581">SalesData!$I$2 - 'RFM Table'!B2581</f>
        <v>101</v>
      </c>
      <c r="H2581">
        <f t="array" ref="H2581">COUNTIF(A:A,A2581)</f>
        <v>9</v>
      </c>
      <c r="I2581">
        <f t="array" ref="I2581">SUMIF(A:A,A2581,F:F)</f>
        <v>35330.950000000004</v>
      </c>
      <c r="J2581">
        <f t="array" ref="J2581">5 - INT(5 * (RANK(G2581,G:G, 1) - 1) / COUNT(G:G))</f>
        <v>5</v>
      </c>
      <c r="K2581">
        <f t="array" ref="K2581">INT(5 * (RANK(H2581,H:H, 0) - 1) / COUNT(H:H)) + 1</f>
        <v>2</v>
      </c>
      <c r="L2581">
        <f t="array" ref="L2581">INT(5 * (RANK(I2581,I:I, 0) - 1) / COUNT(I:I)) + 1</f>
        <v>3</v>
      </c>
      <c r="M2581" t="str">
        <f t="shared" si="80"/>
        <v>523</v>
      </c>
      <c r="N2581" s="6" t="str">
        <f t="shared" si="81"/>
        <v>New Customers</v>
      </c>
    </row>
    <row r="2582" spans="1:14" x14ac:dyDescent="0.35">
      <c r="A2582">
        <v>1234</v>
      </c>
      <c r="B2582" s="4">
        <v>46035.375085336993</v>
      </c>
      <c r="C2582" t="s">
        <v>12</v>
      </c>
      <c r="D2582" t="s">
        <v>16</v>
      </c>
      <c r="E2582" t="s">
        <v>23</v>
      </c>
      <c r="F2582">
        <v>7349.42</v>
      </c>
      <c r="G2582">
        <f t="array" ref="G2582">SalesData!$I$2 - 'RFM Table'!B2582</f>
        <v>101</v>
      </c>
      <c r="H2582">
        <f t="array" ref="H2582">COUNTIF(A:A,A2582)</f>
        <v>5</v>
      </c>
      <c r="I2582">
        <f t="array" ref="I2582">SUMIF(A:A,A2582,F:F)</f>
        <v>18834.370000000003</v>
      </c>
      <c r="J2582">
        <f t="array" ref="J2582">5 - INT(5 * (RANK(G2582,G:G, 1) - 1) / COUNT(G:G))</f>
        <v>5</v>
      </c>
      <c r="K2582">
        <f t="array" ref="K2582">INT(5 * (RANK(H2582,H:H, 0) - 1) / COUNT(H:H)) + 1</f>
        <v>5</v>
      </c>
      <c r="L2582">
        <f t="array" ref="L2582">INT(5 * (RANK(I2582,I:I, 0) - 1) / COUNT(I:I)) + 1</f>
        <v>5</v>
      </c>
      <c r="M2582" t="str">
        <f t="shared" si="80"/>
        <v>555</v>
      </c>
      <c r="N2582" s="6" t="str">
        <f t="shared" si="81"/>
        <v>Others</v>
      </c>
    </row>
    <row r="2583" spans="1:14" x14ac:dyDescent="0.35">
      <c r="A2583">
        <v>1014</v>
      </c>
      <c r="B2583" s="4">
        <v>46035.375085336993</v>
      </c>
      <c r="C2583" t="s">
        <v>9</v>
      </c>
      <c r="D2583" t="s">
        <v>20</v>
      </c>
      <c r="E2583" t="s">
        <v>24</v>
      </c>
      <c r="F2583">
        <v>2597.5500000000002</v>
      </c>
      <c r="G2583">
        <f t="array" ref="G2583">SalesData!$I$2 - 'RFM Table'!B2583</f>
        <v>101</v>
      </c>
      <c r="H2583">
        <f t="array" ref="H2583">COUNTIF(A:A,A2583)</f>
        <v>8</v>
      </c>
      <c r="I2583">
        <f t="array" ref="I2583">SUMIF(A:A,A2583,F:F)</f>
        <v>27090.329999999998</v>
      </c>
      <c r="J2583">
        <f t="array" ref="J2583">5 - INT(5 * (RANK(G2583,G:G, 1) - 1) / COUNT(G:G))</f>
        <v>5</v>
      </c>
      <c r="K2583">
        <f t="array" ref="K2583">INT(5 * (RANK(H2583,H:H, 0) - 1) / COUNT(H:H)) + 1</f>
        <v>3</v>
      </c>
      <c r="L2583">
        <f t="array" ref="L2583">INT(5 * (RANK(I2583,I:I, 0) - 1) / COUNT(I:I)) + 1</f>
        <v>4</v>
      </c>
      <c r="M2583" t="str">
        <f t="shared" si="80"/>
        <v>534</v>
      </c>
      <c r="N2583" s="6" t="str">
        <f t="shared" si="81"/>
        <v>Others</v>
      </c>
    </row>
    <row r="2584" spans="1:14" x14ac:dyDescent="0.35">
      <c r="A2584">
        <v>1114</v>
      </c>
      <c r="B2584" s="4">
        <v>46035.375085336993</v>
      </c>
      <c r="C2584" t="s">
        <v>11</v>
      </c>
      <c r="D2584" t="s">
        <v>18</v>
      </c>
      <c r="E2584" t="s">
        <v>23</v>
      </c>
      <c r="F2584">
        <v>5380.22</v>
      </c>
      <c r="G2584">
        <f t="array" ref="G2584">SalesData!$I$2 - 'RFM Table'!B2584</f>
        <v>101</v>
      </c>
      <c r="H2584">
        <f t="array" ref="H2584">COUNTIF(A:A,A2584)</f>
        <v>5</v>
      </c>
      <c r="I2584">
        <f t="array" ref="I2584">SUMIF(A:A,A2584,F:F)</f>
        <v>26334.340000000004</v>
      </c>
      <c r="J2584">
        <f t="array" ref="J2584">5 - INT(5 * (RANK(G2584,G:G, 1) - 1) / COUNT(G:G))</f>
        <v>5</v>
      </c>
      <c r="K2584">
        <f t="array" ref="K2584">INT(5 * (RANK(H2584,H:H, 0) - 1) / COUNT(H:H)) + 1</f>
        <v>5</v>
      </c>
      <c r="L2584">
        <f t="array" ref="L2584">INT(5 * (RANK(I2584,I:I, 0) - 1) / COUNT(I:I)) + 1</f>
        <v>4</v>
      </c>
      <c r="M2584" t="str">
        <f t="shared" si="80"/>
        <v>554</v>
      </c>
      <c r="N2584" s="6" t="str">
        <f t="shared" si="81"/>
        <v>Others</v>
      </c>
    </row>
    <row r="2585" spans="1:14" x14ac:dyDescent="0.35">
      <c r="A2585">
        <v>1132</v>
      </c>
      <c r="B2585" s="4">
        <v>46035.375085336993</v>
      </c>
      <c r="C2585" t="s">
        <v>6</v>
      </c>
      <c r="D2585" t="s">
        <v>16</v>
      </c>
      <c r="E2585" t="s">
        <v>23</v>
      </c>
      <c r="F2585">
        <v>2461.1</v>
      </c>
      <c r="G2585">
        <f t="array" ref="G2585">SalesData!$I$2 - 'RFM Table'!B2585</f>
        <v>101</v>
      </c>
      <c r="H2585">
        <f t="array" ref="H2585">COUNTIF(A:A,A2585)</f>
        <v>11</v>
      </c>
      <c r="I2585">
        <f t="array" ref="I2585">SUMIF(A:A,A2585,F:F)</f>
        <v>52771.959999999992</v>
      </c>
      <c r="J2585">
        <f t="array" ref="J2585">5 - INT(5 * (RANK(G2585,G:G, 1) - 1) / COUNT(G:G))</f>
        <v>5</v>
      </c>
      <c r="K2585">
        <f t="array" ref="K2585">INT(5 * (RANK(H2585,H:H, 0) - 1) / COUNT(H:H)) + 1</f>
        <v>1</v>
      </c>
      <c r="L2585">
        <f t="array" ref="L2585">INT(5 * (RANK(I2585,I:I, 0) - 1) / COUNT(I:I)) + 1</f>
        <v>1</v>
      </c>
      <c r="M2585" t="str">
        <f t="shared" si="80"/>
        <v>511</v>
      </c>
      <c r="N2585" s="6" t="str">
        <f t="shared" si="81"/>
        <v>New Customers</v>
      </c>
    </row>
    <row r="2586" spans="1:14" x14ac:dyDescent="0.35">
      <c r="A2586">
        <v>1094</v>
      </c>
      <c r="B2586" s="4">
        <v>46036.375085336993</v>
      </c>
      <c r="C2586" t="s">
        <v>14</v>
      </c>
      <c r="D2586" t="s">
        <v>20</v>
      </c>
      <c r="E2586" t="s">
        <v>23</v>
      </c>
      <c r="F2586">
        <v>4299.59</v>
      </c>
      <c r="G2586">
        <f t="array" ref="G2586">SalesData!$I$2 - 'RFM Table'!B2586</f>
        <v>100</v>
      </c>
      <c r="H2586">
        <f t="array" ref="H2586">COUNTIF(A:A,A2586)</f>
        <v>10</v>
      </c>
      <c r="I2586">
        <f t="array" ref="I2586">SUMIF(A:A,A2586,F:F)</f>
        <v>41704.25</v>
      </c>
      <c r="J2586">
        <f t="array" ref="J2586">5 - INT(5 * (RANK(G2586,G:G, 1) - 1) / COUNT(G:G))</f>
        <v>5</v>
      </c>
      <c r="K2586">
        <f t="array" ref="K2586">INT(5 * (RANK(H2586,H:H, 0) - 1) / COUNT(H:H)) + 1</f>
        <v>2</v>
      </c>
      <c r="L2586">
        <f t="array" ref="L2586">INT(5 * (RANK(I2586,I:I, 0) - 1) / COUNT(I:I)) + 1</f>
        <v>2</v>
      </c>
      <c r="M2586" t="str">
        <f t="shared" si="80"/>
        <v>522</v>
      </c>
      <c r="N2586" s="6" t="str">
        <f t="shared" si="81"/>
        <v>New Customers</v>
      </c>
    </row>
    <row r="2587" spans="1:14" x14ac:dyDescent="0.35">
      <c r="A2587">
        <v>1222</v>
      </c>
      <c r="B2587" s="4">
        <v>46036.375085336993</v>
      </c>
      <c r="C2587" t="s">
        <v>12</v>
      </c>
      <c r="D2587" t="s">
        <v>16</v>
      </c>
      <c r="E2587" t="s">
        <v>23</v>
      </c>
      <c r="F2587">
        <v>2773.47</v>
      </c>
      <c r="G2587">
        <f t="array" ref="G2587">SalesData!$I$2 - 'RFM Table'!B2587</f>
        <v>100</v>
      </c>
      <c r="H2587">
        <f t="array" ref="H2587">COUNTIF(A:A,A2587)</f>
        <v>12</v>
      </c>
      <c r="I2587">
        <f t="array" ref="I2587">SUMIF(A:A,A2587,F:F)</f>
        <v>45191.609999999993</v>
      </c>
      <c r="J2587">
        <f t="array" ref="J2587">5 - INT(5 * (RANK(G2587,G:G, 1) - 1) / COUNT(G:G))</f>
        <v>5</v>
      </c>
      <c r="K2587">
        <f t="array" ref="K2587">INT(5 * (RANK(H2587,H:H, 0) - 1) / COUNT(H:H)) + 1</f>
        <v>1</v>
      </c>
      <c r="L2587">
        <f t="array" ref="L2587">INT(5 * (RANK(I2587,I:I, 0) - 1) / COUNT(I:I)) + 1</f>
        <v>1</v>
      </c>
      <c r="M2587" t="str">
        <f t="shared" si="80"/>
        <v>511</v>
      </c>
      <c r="N2587" s="6" t="str">
        <f t="shared" si="81"/>
        <v>New Customers</v>
      </c>
    </row>
    <row r="2588" spans="1:14" x14ac:dyDescent="0.35">
      <c r="A2588">
        <v>1276</v>
      </c>
      <c r="B2588" s="4">
        <v>46036.375085336993</v>
      </c>
      <c r="C2588" t="s">
        <v>12</v>
      </c>
      <c r="D2588" t="s">
        <v>22</v>
      </c>
      <c r="E2588" t="s">
        <v>25</v>
      </c>
      <c r="F2588">
        <v>1866.78</v>
      </c>
      <c r="G2588">
        <f t="array" ref="G2588">SalesData!$I$2 - 'RFM Table'!B2588</f>
        <v>100</v>
      </c>
      <c r="H2588">
        <f t="array" ref="H2588">COUNTIF(A:A,A2588)</f>
        <v>11</v>
      </c>
      <c r="I2588">
        <f t="array" ref="I2588">SUMIF(A:A,A2588,F:F)</f>
        <v>38337.789999999994</v>
      </c>
      <c r="J2588">
        <f t="array" ref="J2588">5 - INT(5 * (RANK(G2588,G:G, 1) - 1) / COUNT(G:G))</f>
        <v>5</v>
      </c>
      <c r="K2588">
        <f t="array" ref="K2588">INT(5 * (RANK(H2588,H:H, 0) - 1) / COUNT(H:H)) + 1</f>
        <v>1</v>
      </c>
      <c r="L2588">
        <f t="array" ref="L2588">INT(5 * (RANK(I2588,I:I, 0) - 1) / COUNT(I:I)) + 1</f>
        <v>2</v>
      </c>
      <c r="M2588" t="str">
        <f t="shared" si="80"/>
        <v>512</v>
      </c>
      <c r="N2588" s="6" t="str">
        <f t="shared" si="81"/>
        <v>New Customers</v>
      </c>
    </row>
    <row r="2589" spans="1:14" x14ac:dyDescent="0.35">
      <c r="A2589">
        <v>1300</v>
      </c>
      <c r="B2589" s="4">
        <v>46036.375085336993</v>
      </c>
      <c r="C2589" t="s">
        <v>6</v>
      </c>
      <c r="D2589" t="s">
        <v>16</v>
      </c>
      <c r="E2589" t="s">
        <v>24</v>
      </c>
      <c r="F2589">
        <v>5149.17</v>
      </c>
      <c r="G2589">
        <f t="array" ref="G2589">SalesData!$I$2 - 'RFM Table'!B2589</f>
        <v>100</v>
      </c>
      <c r="H2589">
        <f t="array" ref="H2589">COUNTIF(A:A,A2589)</f>
        <v>9</v>
      </c>
      <c r="I2589">
        <f t="array" ref="I2589">SUMIF(A:A,A2589,F:F)</f>
        <v>34007.68</v>
      </c>
      <c r="J2589">
        <f t="array" ref="J2589">5 - INT(5 * (RANK(G2589,G:G, 1) - 1) / COUNT(G:G))</f>
        <v>5</v>
      </c>
      <c r="K2589">
        <f t="array" ref="K2589">INT(5 * (RANK(H2589,H:H, 0) - 1) / COUNT(H:H)) + 1</f>
        <v>2</v>
      </c>
      <c r="L2589">
        <f t="array" ref="L2589">INT(5 * (RANK(I2589,I:I, 0) - 1) / COUNT(I:I)) + 1</f>
        <v>3</v>
      </c>
      <c r="M2589" t="str">
        <f t="shared" si="80"/>
        <v>523</v>
      </c>
      <c r="N2589" s="6" t="str">
        <f t="shared" si="81"/>
        <v>New Customers</v>
      </c>
    </row>
    <row r="2590" spans="1:14" x14ac:dyDescent="0.35">
      <c r="A2590">
        <v>1013</v>
      </c>
      <c r="B2590" s="4">
        <v>46037.375085336993</v>
      </c>
      <c r="C2590" t="s">
        <v>10</v>
      </c>
      <c r="D2590" t="s">
        <v>16</v>
      </c>
      <c r="E2590" t="s">
        <v>25</v>
      </c>
      <c r="F2590">
        <v>2245.54</v>
      </c>
      <c r="G2590">
        <f t="array" ref="G2590">SalesData!$I$2 - 'RFM Table'!B2590</f>
        <v>99</v>
      </c>
      <c r="H2590">
        <f t="array" ref="H2590">COUNTIF(A:A,A2590)</f>
        <v>14</v>
      </c>
      <c r="I2590">
        <f t="array" ref="I2590">SUMIF(A:A,A2590,F:F)</f>
        <v>60099.840000000004</v>
      </c>
      <c r="J2590">
        <f t="array" ref="J2590">5 - INT(5 * (RANK(G2590,G:G, 1) - 1) / COUNT(G:G))</f>
        <v>5</v>
      </c>
      <c r="K2590">
        <f t="array" ref="K2590">INT(5 * (RANK(H2590,H:H, 0) - 1) / COUNT(H:H)) + 1</f>
        <v>1</v>
      </c>
      <c r="L2590">
        <f t="array" ref="L2590">INT(5 * (RANK(I2590,I:I, 0) - 1) / COUNT(I:I)) + 1</f>
        <v>1</v>
      </c>
      <c r="M2590" t="str">
        <f t="shared" si="80"/>
        <v>511</v>
      </c>
      <c r="N2590" s="6" t="str">
        <f t="shared" si="81"/>
        <v>New Customers</v>
      </c>
    </row>
    <row r="2591" spans="1:14" x14ac:dyDescent="0.35">
      <c r="A2591">
        <v>1356</v>
      </c>
      <c r="B2591" s="4">
        <v>46037.375085336993</v>
      </c>
      <c r="C2591" t="s">
        <v>7</v>
      </c>
      <c r="D2591" t="s">
        <v>21</v>
      </c>
      <c r="E2591" t="s">
        <v>23</v>
      </c>
      <c r="F2591">
        <v>1324.53</v>
      </c>
      <c r="G2591">
        <f t="array" ref="G2591">SalesData!$I$2 - 'RFM Table'!B2591</f>
        <v>99</v>
      </c>
      <c r="H2591">
        <f t="array" ref="H2591">COUNTIF(A:A,A2591)</f>
        <v>5</v>
      </c>
      <c r="I2591">
        <f t="array" ref="I2591">SUMIF(A:A,A2591,F:F)</f>
        <v>19401.64</v>
      </c>
      <c r="J2591">
        <f t="array" ref="J2591">5 - INT(5 * (RANK(G2591,G:G, 1) - 1) / COUNT(G:G))</f>
        <v>5</v>
      </c>
      <c r="K2591">
        <f t="array" ref="K2591">INT(5 * (RANK(H2591,H:H, 0) - 1) / COUNT(H:H)) + 1</f>
        <v>5</v>
      </c>
      <c r="L2591">
        <f t="array" ref="L2591">INT(5 * (RANK(I2591,I:I, 0) - 1) / COUNT(I:I)) + 1</f>
        <v>5</v>
      </c>
      <c r="M2591" t="str">
        <f t="shared" si="80"/>
        <v>555</v>
      </c>
      <c r="N2591" s="6" t="str">
        <f t="shared" si="81"/>
        <v>Others</v>
      </c>
    </row>
    <row r="2592" spans="1:14" x14ac:dyDescent="0.35">
      <c r="A2592">
        <v>1315</v>
      </c>
      <c r="B2592" s="4">
        <v>46037.375085336993</v>
      </c>
      <c r="C2592" t="s">
        <v>9</v>
      </c>
      <c r="D2592" t="s">
        <v>21</v>
      </c>
      <c r="E2592" t="s">
        <v>24</v>
      </c>
      <c r="F2592">
        <v>1256.26</v>
      </c>
      <c r="G2592">
        <f t="array" ref="G2592">SalesData!$I$2 - 'RFM Table'!B2592</f>
        <v>99</v>
      </c>
      <c r="H2592">
        <f t="array" ref="H2592">COUNTIF(A:A,A2592)</f>
        <v>12</v>
      </c>
      <c r="I2592">
        <f t="array" ref="I2592">SUMIF(A:A,A2592,F:F)</f>
        <v>42776.80999999999</v>
      </c>
      <c r="J2592">
        <f t="array" ref="J2592">5 - INT(5 * (RANK(G2592,G:G, 1) - 1) / COUNT(G:G))</f>
        <v>5</v>
      </c>
      <c r="K2592">
        <f t="array" ref="K2592">INT(5 * (RANK(H2592,H:H, 0) - 1) / COUNT(H:H)) + 1</f>
        <v>1</v>
      </c>
      <c r="L2592">
        <f t="array" ref="L2592">INT(5 * (RANK(I2592,I:I, 0) - 1) / COUNT(I:I)) + 1</f>
        <v>2</v>
      </c>
      <c r="M2592" t="str">
        <f t="shared" si="80"/>
        <v>512</v>
      </c>
      <c r="N2592" s="6" t="str">
        <f t="shared" si="81"/>
        <v>New Customers</v>
      </c>
    </row>
    <row r="2593" spans="1:14" x14ac:dyDescent="0.35">
      <c r="A2593">
        <v>1216</v>
      </c>
      <c r="B2593" s="4">
        <v>46037.375085336993</v>
      </c>
      <c r="C2593" t="s">
        <v>13</v>
      </c>
      <c r="D2593" t="s">
        <v>22</v>
      </c>
      <c r="E2593" t="s">
        <v>25</v>
      </c>
      <c r="F2593">
        <v>1576.33</v>
      </c>
      <c r="G2593">
        <f t="array" ref="G2593">SalesData!$I$2 - 'RFM Table'!B2593</f>
        <v>99</v>
      </c>
      <c r="H2593">
        <f t="array" ref="H2593">COUNTIF(A:A,A2593)</f>
        <v>10</v>
      </c>
      <c r="I2593">
        <f t="array" ref="I2593">SUMIF(A:A,A2593,F:F)</f>
        <v>38608.230000000003</v>
      </c>
      <c r="J2593">
        <f t="array" ref="J2593">5 - INT(5 * (RANK(G2593,G:G, 1) - 1) / COUNT(G:G))</f>
        <v>5</v>
      </c>
      <c r="K2593">
        <f t="array" ref="K2593">INT(5 * (RANK(H2593,H:H, 0) - 1) / COUNT(H:H)) + 1</f>
        <v>2</v>
      </c>
      <c r="L2593">
        <f t="array" ref="L2593">INT(5 * (RANK(I2593,I:I, 0) - 1) / COUNT(I:I)) + 1</f>
        <v>2</v>
      </c>
      <c r="M2593" t="str">
        <f t="shared" si="80"/>
        <v>522</v>
      </c>
      <c r="N2593" s="6" t="str">
        <f t="shared" si="81"/>
        <v>New Customers</v>
      </c>
    </row>
    <row r="2594" spans="1:14" x14ac:dyDescent="0.35">
      <c r="A2594">
        <v>1105</v>
      </c>
      <c r="B2594" s="4">
        <v>46037.375085336993</v>
      </c>
      <c r="C2594" t="s">
        <v>6</v>
      </c>
      <c r="D2594" t="s">
        <v>18</v>
      </c>
      <c r="E2594" t="s">
        <v>23</v>
      </c>
      <c r="F2594">
        <v>2121.1999999999998</v>
      </c>
      <c r="G2594">
        <f t="array" ref="G2594">SalesData!$I$2 - 'RFM Table'!B2594</f>
        <v>99</v>
      </c>
      <c r="H2594">
        <f t="array" ref="H2594">COUNTIF(A:A,A2594)</f>
        <v>7</v>
      </c>
      <c r="I2594">
        <f t="array" ref="I2594">SUMIF(A:A,A2594,F:F)</f>
        <v>24539.160000000003</v>
      </c>
      <c r="J2594">
        <f t="array" ref="J2594">5 - INT(5 * (RANK(G2594,G:G, 1) - 1) / COUNT(G:G))</f>
        <v>5</v>
      </c>
      <c r="K2594">
        <f t="array" ref="K2594">INT(5 * (RANK(H2594,H:H, 0) - 1) / COUNT(H:H)) + 1</f>
        <v>4</v>
      </c>
      <c r="L2594">
        <f t="array" ref="L2594">INT(5 * (RANK(I2594,I:I, 0) - 1) / COUNT(I:I)) + 1</f>
        <v>4</v>
      </c>
      <c r="M2594" t="str">
        <f t="shared" si="80"/>
        <v>544</v>
      </c>
      <c r="N2594" s="6" t="str">
        <f t="shared" si="81"/>
        <v>Others</v>
      </c>
    </row>
    <row r="2595" spans="1:14" x14ac:dyDescent="0.35">
      <c r="A2595">
        <v>1322</v>
      </c>
      <c r="B2595" s="4">
        <v>46038.375085336993</v>
      </c>
      <c r="C2595" t="s">
        <v>7</v>
      </c>
      <c r="D2595" t="s">
        <v>21</v>
      </c>
      <c r="E2595" t="s">
        <v>25</v>
      </c>
      <c r="F2595">
        <v>5422.88</v>
      </c>
      <c r="G2595">
        <f t="array" ref="G2595">SalesData!$I$2 - 'RFM Table'!B2595</f>
        <v>98</v>
      </c>
      <c r="H2595">
        <f t="array" ref="H2595">COUNTIF(A:A,A2595)</f>
        <v>8</v>
      </c>
      <c r="I2595">
        <f t="array" ref="I2595">SUMIF(A:A,A2595,F:F)</f>
        <v>30924.840000000004</v>
      </c>
      <c r="J2595">
        <f t="array" ref="J2595">5 - INT(5 * (RANK(G2595,G:G, 1) - 1) / COUNT(G:G))</f>
        <v>5</v>
      </c>
      <c r="K2595">
        <f t="array" ref="K2595">INT(5 * (RANK(H2595,H:H, 0) - 1) / COUNT(H:H)) + 1</f>
        <v>3</v>
      </c>
      <c r="L2595">
        <f t="array" ref="L2595">INT(5 * (RANK(I2595,I:I, 0) - 1) / COUNT(I:I)) + 1</f>
        <v>3</v>
      </c>
      <c r="M2595" t="str">
        <f t="shared" si="80"/>
        <v>533</v>
      </c>
      <c r="N2595" s="6" t="str">
        <f t="shared" si="81"/>
        <v>Others</v>
      </c>
    </row>
    <row r="2596" spans="1:14" x14ac:dyDescent="0.35">
      <c r="A2596">
        <v>1213</v>
      </c>
      <c r="B2596" s="4">
        <v>46038.375085336993</v>
      </c>
      <c r="C2596" t="s">
        <v>6</v>
      </c>
      <c r="D2596" t="s">
        <v>20</v>
      </c>
      <c r="E2596" t="s">
        <v>23</v>
      </c>
      <c r="F2596">
        <v>2150.25</v>
      </c>
      <c r="G2596">
        <f t="array" ref="G2596">SalesData!$I$2 - 'RFM Table'!B2596</f>
        <v>98</v>
      </c>
      <c r="H2596">
        <f t="array" ref="H2596">COUNTIF(A:A,A2596)</f>
        <v>8</v>
      </c>
      <c r="I2596">
        <f t="array" ref="I2596">SUMIF(A:A,A2596,F:F)</f>
        <v>27291.54</v>
      </c>
      <c r="J2596">
        <f t="array" ref="J2596">5 - INT(5 * (RANK(G2596,G:G, 1) - 1) / COUNT(G:G))</f>
        <v>5</v>
      </c>
      <c r="K2596">
        <f t="array" ref="K2596">INT(5 * (RANK(H2596,H:H, 0) - 1) / COUNT(H:H)) + 1</f>
        <v>3</v>
      </c>
      <c r="L2596">
        <f t="array" ref="L2596">INT(5 * (RANK(I2596,I:I, 0) - 1) / COUNT(I:I)) + 1</f>
        <v>4</v>
      </c>
      <c r="M2596" t="str">
        <f t="shared" si="80"/>
        <v>534</v>
      </c>
      <c r="N2596" s="6" t="str">
        <f t="shared" si="81"/>
        <v>Others</v>
      </c>
    </row>
    <row r="2597" spans="1:14" x14ac:dyDescent="0.35">
      <c r="A2597">
        <v>1289</v>
      </c>
      <c r="B2597" s="4">
        <v>46039.375085336993</v>
      </c>
      <c r="C2597" t="s">
        <v>7</v>
      </c>
      <c r="D2597" t="s">
        <v>17</v>
      </c>
      <c r="E2597" t="s">
        <v>24</v>
      </c>
      <c r="F2597">
        <v>3294.53</v>
      </c>
      <c r="G2597">
        <f t="array" ref="G2597">SalesData!$I$2 - 'RFM Table'!B2597</f>
        <v>97</v>
      </c>
      <c r="H2597">
        <f t="array" ref="H2597">COUNTIF(A:A,A2597)</f>
        <v>5</v>
      </c>
      <c r="I2597">
        <f t="array" ref="I2597">SUMIF(A:A,A2597,F:F)</f>
        <v>21964.689999999995</v>
      </c>
      <c r="J2597">
        <f t="array" ref="J2597">5 - INT(5 * (RANK(G2597,G:G, 1) - 1) / COUNT(G:G))</f>
        <v>5</v>
      </c>
      <c r="K2597">
        <f t="array" ref="K2597">INT(5 * (RANK(H2597,H:H, 0) - 1) / COUNT(H:H)) + 1</f>
        <v>5</v>
      </c>
      <c r="L2597">
        <f t="array" ref="L2597">INT(5 * (RANK(I2597,I:I, 0) - 1) / COUNT(I:I)) + 1</f>
        <v>4</v>
      </c>
      <c r="M2597" t="str">
        <f t="shared" si="80"/>
        <v>554</v>
      </c>
      <c r="N2597" s="6" t="str">
        <f t="shared" si="81"/>
        <v>Others</v>
      </c>
    </row>
    <row r="2598" spans="1:14" x14ac:dyDescent="0.35">
      <c r="A2598">
        <v>1368</v>
      </c>
      <c r="B2598" s="4">
        <v>46039.375085336993</v>
      </c>
      <c r="C2598" t="s">
        <v>7</v>
      </c>
      <c r="D2598" t="s">
        <v>18</v>
      </c>
      <c r="E2598" t="s">
        <v>25</v>
      </c>
      <c r="F2598">
        <v>2387.63</v>
      </c>
      <c r="G2598">
        <f t="array" ref="G2598">SalesData!$I$2 - 'RFM Table'!B2598</f>
        <v>97</v>
      </c>
      <c r="H2598">
        <f t="array" ref="H2598">COUNTIF(A:A,A2598)</f>
        <v>8</v>
      </c>
      <c r="I2598">
        <f t="array" ref="I2598">SUMIF(A:A,A2598,F:F)</f>
        <v>26119.000000000004</v>
      </c>
      <c r="J2598">
        <f t="array" ref="J2598">5 - INT(5 * (RANK(G2598,G:G, 1) - 1) / COUNT(G:G))</f>
        <v>5</v>
      </c>
      <c r="K2598">
        <f t="array" ref="K2598">INT(5 * (RANK(H2598,H:H, 0) - 1) / COUNT(H:H)) + 1</f>
        <v>3</v>
      </c>
      <c r="L2598">
        <f t="array" ref="L2598">INT(5 * (RANK(I2598,I:I, 0) - 1) / COUNT(I:I)) + 1</f>
        <v>4</v>
      </c>
      <c r="M2598" t="str">
        <f t="shared" si="80"/>
        <v>534</v>
      </c>
      <c r="N2598" s="6" t="str">
        <f t="shared" si="81"/>
        <v>Others</v>
      </c>
    </row>
    <row r="2599" spans="1:14" x14ac:dyDescent="0.35">
      <c r="A2599">
        <v>1325</v>
      </c>
      <c r="B2599" s="4">
        <v>46039.375085336993</v>
      </c>
      <c r="C2599" t="s">
        <v>15</v>
      </c>
      <c r="D2599" t="s">
        <v>21</v>
      </c>
      <c r="E2599" t="s">
        <v>23</v>
      </c>
      <c r="F2599">
        <v>3173.67</v>
      </c>
      <c r="G2599">
        <f t="array" ref="G2599">SalesData!$I$2 - 'RFM Table'!B2599</f>
        <v>97</v>
      </c>
      <c r="H2599">
        <f t="array" ref="H2599">COUNTIF(A:A,A2599)</f>
        <v>9</v>
      </c>
      <c r="I2599">
        <f t="array" ref="I2599">SUMIF(A:A,A2599,F:F)</f>
        <v>38753.799999999988</v>
      </c>
      <c r="J2599">
        <f t="array" ref="J2599">5 - INT(5 * (RANK(G2599,G:G, 1) - 1) / COUNT(G:G))</f>
        <v>5</v>
      </c>
      <c r="K2599">
        <f t="array" ref="K2599">INT(5 * (RANK(H2599,H:H, 0) - 1) / COUNT(H:H)) + 1</f>
        <v>2</v>
      </c>
      <c r="L2599">
        <f t="array" ref="L2599">INT(5 * (RANK(I2599,I:I, 0) - 1) / COUNT(I:I)) + 1</f>
        <v>2</v>
      </c>
      <c r="M2599" t="str">
        <f t="shared" si="80"/>
        <v>522</v>
      </c>
      <c r="N2599" s="6" t="str">
        <f t="shared" si="81"/>
        <v>New Customers</v>
      </c>
    </row>
    <row r="2600" spans="1:14" x14ac:dyDescent="0.35">
      <c r="A2600">
        <v>1221</v>
      </c>
      <c r="B2600" s="4">
        <v>46040.375085336993</v>
      </c>
      <c r="C2600" t="s">
        <v>12</v>
      </c>
      <c r="D2600" t="s">
        <v>21</v>
      </c>
      <c r="E2600" t="s">
        <v>24</v>
      </c>
      <c r="F2600">
        <v>5830.96</v>
      </c>
      <c r="G2600">
        <f t="array" ref="G2600">SalesData!$I$2 - 'RFM Table'!B2600</f>
        <v>96</v>
      </c>
      <c r="H2600">
        <f t="array" ref="H2600">COUNTIF(A:A,A2600)</f>
        <v>8</v>
      </c>
      <c r="I2600">
        <f t="array" ref="I2600">SUMIF(A:A,A2600,F:F)</f>
        <v>38894.44</v>
      </c>
      <c r="J2600">
        <f t="array" ref="J2600">5 - INT(5 * (RANK(G2600,G:G, 1) - 1) / COUNT(G:G))</f>
        <v>5</v>
      </c>
      <c r="K2600">
        <f t="array" ref="K2600">INT(5 * (RANK(H2600,H:H, 0) - 1) / COUNT(H:H)) + 1</f>
        <v>3</v>
      </c>
      <c r="L2600">
        <f t="array" ref="L2600">INT(5 * (RANK(I2600,I:I, 0) - 1) / COUNT(I:I)) + 1</f>
        <v>2</v>
      </c>
      <c r="M2600" t="str">
        <f t="shared" si="80"/>
        <v>532</v>
      </c>
      <c r="N2600" s="6" t="str">
        <f t="shared" si="81"/>
        <v>Others</v>
      </c>
    </row>
    <row r="2601" spans="1:14" x14ac:dyDescent="0.35">
      <c r="A2601">
        <v>1205</v>
      </c>
      <c r="B2601" s="4">
        <v>46040.375085336993</v>
      </c>
      <c r="C2601" t="s">
        <v>14</v>
      </c>
      <c r="D2601" t="s">
        <v>20</v>
      </c>
      <c r="E2601" t="s">
        <v>23</v>
      </c>
      <c r="F2601">
        <v>3284.48</v>
      </c>
      <c r="G2601">
        <f t="array" ref="G2601">SalesData!$I$2 - 'RFM Table'!B2601</f>
        <v>96</v>
      </c>
      <c r="H2601">
        <f t="array" ref="H2601">COUNTIF(A:A,A2601)</f>
        <v>6</v>
      </c>
      <c r="I2601">
        <f t="array" ref="I2601">SUMIF(A:A,A2601,F:F)</f>
        <v>24977.25</v>
      </c>
      <c r="J2601">
        <f t="array" ref="J2601">5 - INT(5 * (RANK(G2601,G:G, 1) - 1) / COUNT(G:G))</f>
        <v>5</v>
      </c>
      <c r="K2601">
        <f t="array" ref="K2601">INT(5 * (RANK(H2601,H:H, 0) - 1) / COUNT(H:H)) + 1</f>
        <v>4</v>
      </c>
      <c r="L2601">
        <f t="array" ref="L2601">INT(5 * (RANK(I2601,I:I, 0) - 1) / COUNT(I:I)) + 1</f>
        <v>4</v>
      </c>
      <c r="M2601" t="str">
        <f t="shared" si="80"/>
        <v>544</v>
      </c>
      <c r="N2601" s="6" t="str">
        <f t="shared" si="81"/>
        <v>Others</v>
      </c>
    </row>
    <row r="2602" spans="1:14" x14ac:dyDescent="0.35">
      <c r="A2602">
        <v>1053</v>
      </c>
      <c r="B2602" s="4">
        <v>46041.375085336993</v>
      </c>
      <c r="C2602" t="s">
        <v>11</v>
      </c>
      <c r="D2602" t="s">
        <v>17</v>
      </c>
      <c r="E2602" t="s">
        <v>25</v>
      </c>
      <c r="F2602">
        <v>5528.63</v>
      </c>
      <c r="G2602">
        <f t="array" ref="G2602">SalesData!$I$2 - 'RFM Table'!B2602</f>
        <v>95</v>
      </c>
      <c r="H2602">
        <f t="array" ref="H2602">COUNTIF(A:A,A2602)</f>
        <v>10</v>
      </c>
      <c r="I2602">
        <f t="array" ref="I2602">SUMIF(A:A,A2602,F:F)</f>
        <v>44572.97</v>
      </c>
      <c r="J2602">
        <f t="array" ref="J2602">5 - INT(5 * (RANK(G2602,G:G, 1) - 1) / COUNT(G:G))</f>
        <v>5</v>
      </c>
      <c r="K2602">
        <f t="array" ref="K2602">INT(5 * (RANK(H2602,H:H, 0) - 1) / COUNT(H:H)) + 1</f>
        <v>2</v>
      </c>
      <c r="L2602">
        <f t="array" ref="L2602">INT(5 * (RANK(I2602,I:I, 0) - 1) / COUNT(I:I)) + 1</f>
        <v>2</v>
      </c>
      <c r="M2602" t="str">
        <f t="shared" si="80"/>
        <v>522</v>
      </c>
      <c r="N2602" s="6" t="str">
        <f t="shared" si="81"/>
        <v>New Customers</v>
      </c>
    </row>
    <row r="2603" spans="1:14" x14ac:dyDescent="0.35">
      <c r="A2603">
        <v>1015</v>
      </c>
      <c r="B2603" s="4">
        <v>46041.375085336993</v>
      </c>
      <c r="C2603" t="s">
        <v>12</v>
      </c>
      <c r="D2603" t="s">
        <v>20</v>
      </c>
      <c r="E2603" t="s">
        <v>24</v>
      </c>
      <c r="F2603">
        <v>2804.87</v>
      </c>
      <c r="G2603">
        <f t="array" ref="G2603">SalesData!$I$2 - 'RFM Table'!B2603</f>
        <v>95</v>
      </c>
      <c r="H2603">
        <f t="array" ref="H2603">COUNTIF(A:A,A2603)</f>
        <v>3</v>
      </c>
      <c r="I2603">
        <f t="array" ref="I2603">SUMIF(A:A,A2603,F:F)</f>
        <v>4922.93</v>
      </c>
      <c r="J2603">
        <f t="array" ref="J2603">5 - INT(5 * (RANK(G2603,G:G, 1) - 1) / COUNT(G:G))</f>
        <v>5</v>
      </c>
      <c r="K2603">
        <f t="array" ref="K2603">INT(5 * (RANK(H2603,H:H, 0) - 1) / COUNT(H:H)) + 1</f>
        <v>5</v>
      </c>
      <c r="L2603">
        <f t="array" ref="L2603">INT(5 * (RANK(I2603,I:I, 0) - 1) / COUNT(I:I)) + 1</f>
        <v>5</v>
      </c>
      <c r="M2603" t="str">
        <f t="shared" si="80"/>
        <v>555</v>
      </c>
      <c r="N2603" s="6" t="str">
        <f t="shared" si="81"/>
        <v>Others</v>
      </c>
    </row>
    <row r="2604" spans="1:14" x14ac:dyDescent="0.35">
      <c r="A2604">
        <v>1159</v>
      </c>
      <c r="B2604" s="4">
        <v>46042.375085336993</v>
      </c>
      <c r="C2604" t="s">
        <v>15</v>
      </c>
      <c r="D2604" t="s">
        <v>18</v>
      </c>
      <c r="E2604" t="s">
        <v>24</v>
      </c>
      <c r="F2604">
        <v>1136.57</v>
      </c>
      <c r="G2604">
        <f t="array" ref="G2604">SalesData!$I$2 - 'RFM Table'!B2604</f>
        <v>94</v>
      </c>
      <c r="H2604">
        <f t="array" ref="H2604">COUNTIF(A:A,A2604)</f>
        <v>15</v>
      </c>
      <c r="I2604">
        <f t="array" ref="I2604">SUMIF(A:A,A2604,F:F)</f>
        <v>57217.139999999992</v>
      </c>
      <c r="J2604">
        <f t="array" ref="J2604">5 - INT(5 * (RANK(G2604,G:G, 1) - 1) / COUNT(G:G))</f>
        <v>5</v>
      </c>
      <c r="K2604">
        <f t="array" ref="K2604">INT(5 * (RANK(H2604,H:H, 0) - 1) / COUNT(H:H)) + 1</f>
        <v>1</v>
      </c>
      <c r="L2604">
        <f t="array" ref="L2604">INT(5 * (RANK(I2604,I:I, 0) - 1) / COUNT(I:I)) + 1</f>
        <v>1</v>
      </c>
      <c r="M2604" t="str">
        <f t="shared" si="80"/>
        <v>511</v>
      </c>
      <c r="N2604" s="6" t="str">
        <f t="shared" si="81"/>
        <v>New Customers</v>
      </c>
    </row>
    <row r="2605" spans="1:14" x14ac:dyDescent="0.35">
      <c r="A2605">
        <v>1354</v>
      </c>
      <c r="B2605" s="4">
        <v>46042.375085336993</v>
      </c>
      <c r="C2605" t="s">
        <v>13</v>
      </c>
      <c r="D2605" t="s">
        <v>16</v>
      </c>
      <c r="E2605" t="s">
        <v>24</v>
      </c>
      <c r="F2605">
        <v>4509.33</v>
      </c>
      <c r="G2605">
        <f t="array" ref="G2605">SalesData!$I$2 - 'RFM Table'!B2605</f>
        <v>94</v>
      </c>
      <c r="H2605">
        <f t="array" ref="H2605">COUNTIF(A:A,A2605)</f>
        <v>7</v>
      </c>
      <c r="I2605">
        <f t="array" ref="I2605">SUMIF(A:A,A2605,F:F)</f>
        <v>30282.260000000002</v>
      </c>
      <c r="J2605">
        <f t="array" ref="J2605">5 - INT(5 * (RANK(G2605,G:G, 1) - 1) / COUNT(G:G))</f>
        <v>5</v>
      </c>
      <c r="K2605">
        <f t="array" ref="K2605">INT(5 * (RANK(H2605,H:H, 0) - 1) / COUNT(H:H)) + 1</f>
        <v>4</v>
      </c>
      <c r="L2605">
        <f t="array" ref="L2605">INT(5 * (RANK(I2605,I:I, 0) - 1) / COUNT(I:I)) + 1</f>
        <v>3</v>
      </c>
      <c r="M2605" t="str">
        <f t="shared" si="80"/>
        <v>543</v>
      </c>
      <c r="N2605" s="6" t="str">
        <f t="shared" si="81"/>
        <v>Others</v>
      </c>
    </row>
    <row r="2606" spans="1:14" x14ac:dyDescent="0.35">
      <c r="A2606">
        <v>1000</v>
      </c>
      <c r="B2606" s="4">
        <v>46042.375085336993</v>
      </c>
      <c r="C2606" t="s">
        <v>13</v>
      </c>
      <c r="D2606" t="s">
        <v>22</v>
      </c>
      <c r="E2606" t="s">
        <v>24</v>
      </c>
      <c r="F2606">
        <v>2539.23</v>
      </c>
      <c r="G2606">
        <f t="array" ref="G2606">SalesData!$I$2 - 'RFM Table'!B2606</f>
        <v>94</v>
      </c>
      <c r="H2606">
        <f t="array" ref="H2606">COUNTIF(A:A,A2606)</f>
        <v>11</v>
      </c>
      <c r="I2606">
        <f t="array" ref="I2606">SUMIF(A:A,A2606,F:F)</f>
        <v>62566.770000000004</v>
      </c>
      <c r="J2606">
        <f t="array" ref="J2606">5 - INT(5 * (RANK(G2606,G:G, 1) - 1) / COUNT(G:G))</f>
        <v>5</v>
      </c>
      <c r="K2606">
        <f t="array" ref="K2606">INT(5 * (RANK(H2606,H:H, 0) - 1) / COUNT(H:H)) + 1</f>
        <v>1</v>
      </c>
      <c r="L2606">
        <f t="array" ref="L2606">INT(5 * (RANK(I2606,I:I, 0) - 1) / COUNT(I:I)) + 1</f>
        <v>1</v>
      </c>
      <c r="M2606" t="str">
        <f t="shared" si="80"/>
        <v>511</v>
      </c>
      <c r="N2606" s="6" t="str">
        <f t="shared" si="81"/>
        <v>New Customers</v>
      </c>
    </row>
    <row r="2607" spans="1:14" x14ac:dyDescent="0.35">
      <c r="A2607">
        <v>1169</v>
      </c>
      <c r="B2607" s="4">
        <v>46042.375085336993</v>
      </c>
      <c r="C2607" t="s">
        <v>7</v>
      </c>
      <c r="D2607" t="s">
        <v>16</v>
      </c>
      <c r="E2607" t="s">
        <v>24</v>
      </c>
      <c r="F2607">
        <v>10943.67</v>
      </c>
      <c r="G2607">
        <f t="array" ref="G2607">SalesData!$I$2 - 'RFM Table'!B2607</f>
        <v>94</v>
      </c>
      <c r="H2607">
        <f t="array" ref="H2607">COUNTIF(A:A,A2607)</f>
        <v>10</v>
      </c>
      <c r="I2607">
        <f t="array" ref="I2607">SUMIF(A:A,A2607,F:F)</f>
        <v>45640.06</v>
      </c>
      <c r="J2607">
        <f t="array" ref="J2607">5 - INT(5 * (RANK(G2607,G:G, 1) - 1) / COUNT(G:G))</f>
        <v>5</v>
      </c>
      <c r="K2607">
        <f t="array" ref="K2607">INT(5 * (RANK(H2607,H:H, 0) - 1) / COUNT(H:H)) + 1</f>
        <v>2</v>
      </c>
      <c r="L2607">
        <f t="array" ref="L2607">INT(5 * (RANK(I2607,I:I, 0) - 1) / COUNT(I:I)) + 1</f>
        <v>1</v>
      </c>
      <c r="M2607" t="str">
        <f t="shared" si="80"/>
        <v>521</v>
      </c>
      <c r="N2607" s="6" t="str">
        <f t="shared" si="81"/>
        <v>New Customers</v>
      </c>
    </row>
    <row r="2608" spans="1:14" x14ac:dyDescent="0.35">
      <c r="A2608">
        <v>1105</v>
      </c>
      <c r="B2608" s="4">
        <v>46043.375085336993</v>
      </c>
      <c r="C2608" t="s">
        <v>9</v>
      </c>
      <c r="D2608" t="s">
        <v>16</v>
      </c>
      <c r="E2608" t="s">
        <v>24</v>
      </c>
      <c r="F2608">
        <v>3807.3</v>
      </c>
      <c r="G2608">
        <f t="array" ref="G2608">SalesData!$I$2 - 'RFM Table'!B2608</f>
        <v>93</v>
      </c>
      <c r="H2608">
        <f t="array" ref="H2608">COUNTIF(A:A,A2608)</f>
        <v>7</v>
      </c>
      <c r="I2608">
        <f t="array" ref="I2608">SUMIF(A:A,A2608,F:F)</f>
        <v>24539.160000000003</v>
      </c>
      <c r="J2608">
        <f t="array" ref="J2608">5 - INT(5 * (RANK(G2608,G:G, 1) - 1) / COUNT(G:G))</f>
        <v>5</v>
      </c>
      <c r="K2608">
        <f t="array" ref="K2608">INT(5 * (RANK(H2608,H:H, 0) - 1) / COUNT(H:H)) + 1</f>
        <v>4</v>
      </c>
      <c r="L2608">
        <f t="array" ref="L2608">INT(5 * (RANK(I2608,I:I, 0) - 1) / COUNT(I:I)) + 1</f>
        <v>4</v>
      </c>
      <c r="M2608" t="str">
        <f t="shared" si="80"/>
        <v>544</v>
      </c>
      <c r="N2608" s="6" t="str">
        <f t="shared" si="81"/>
        <v>Others</v>
      </c>
    </row>
    <row r="2609" spans="1:14" x14ac:dyDescent="0.35">
      <c r="A2609">
        <v>1211</v>
      </c>
      <c r="B2609" s="4">
        <v>46043.375085336993</v>
      </c>
      <c r="C2609" t="s">
        <v>10</v>
      </c>
      <c r="D2609" t="s">
        <v>21</v>
      </c>
      <c r="E2609" t="s">
        <v>23</v>
      </c>
      <c r="F2609">
        <v>1766.01</v>
      </c>
      <c r="G2609">
        <f t="array" ref="G2609">SalesData!$I$2 - 'RFM Table'!B2609</f>
        <v>93</v>
      </c>
      <c r="H2609">
        <f t="array" ref="H2609">COUNTIF(A:A,A2609)</f>
        <v>3</v>
      </c>
      <c r="I2609">
        <f t="array" ref="I2609">SUMIF(A:A,A2609,F:F)</f>
        <v>9690.5</v>
      </c>
      <c r="J2609">
        <f t="array" ref="J2609">5 - INT(5 * (RANK(G2609,G:G, 1) - 1) / COUNT(G:G))</f>
        <v>5</v>
      </c>
      <c r="K2609">
        <f t="array" ref="K2609">INT(5 * (RANK(H2609,H:H, 0) - 1) / COUNT(H:H)) + 1</f>
        <v>5</v>
      </c>
      <c r="L2609">
        <f t="array" ref="L2609">INT(5 * (RANK(I2609,I:I, 0) - 1) / COUNT(I:I)) + 1</f>
        <v>5</v>
      </c>
      <c r="M2609" t="str">
        <f t="shared" si="80"/>
        <v>555</v>
      </c>
      <c r="N2609" s="6" t="str">
        <f t="shared" si="81"/>
        <v>Others</v>
      </c>
    </row>
    <row r="2610" spans="1:14" x14ac:dyDescent="0.35">
      <c r="A2610">
        <v>1230</v>
      </c>
      <c r="B2610" s="4">
        <v>46043.375085336993</v>
      </c>
      <c r="C2610" t="s">
        <v>15</v>
      </c>
      <c r="D2610" t="s">
        <v>19</v>
      </c>
      <c r="E2610" t="s">
        <v>23</v>
      </c>
      <c r="F2610">
        <v>1548.8</v>
      </c>
      <c r="G2610">
        <f t="array" ref="G2610">SalesData!$I$2 - 'RFM Table'!B2610</f>
        <v>93</v>
      </c>
      <c r="H2610">
        <f t="array" ref="H2610">COUNTIF(A:A,A2610)</f>
        <v>11</v>
      </c>
      <c r="I2610">
        <f t="array" ref="I2610">SUMIF(A:A,A2610,F:F)</f>
        <v>29238.53</v>
      </c>
      <c r="J2610">
        <f t="array" ref="J2610">5 - INT(5 * (RANK(G2610,G:G, 1) - 1) / COUNT(G:G))</f>
        <v>5</v>
      </c>
      <c r="K2610">
        <f t="array" ref="K2610">INT(5 * (RANK(H2610,H:H, 0) - 1) / COUNT(H:H)) + 1</f>
        <v>1</v>
      </c>
      <c r="L2610">
        <f t="array" ref="L2610">INT(5 * (RANK(I2610,I:I, 0) - 1) / COUNT(I:I)) + 1</f>
        <v>4</v>
      </c>
      <c r="M2610" t="str">
        <f t="shared" si="80"/>
        <v>514</v>
      </c>
      <c r="N2610" s="6" t="str">
        <f t="shared" si="81"/>
        <v>New Customers</v>
      </c>
    </row>
    <row r="2611" spans="1:14" x14ac:dyDescent="0.35">
      <c r="A2611">
        <v>1192</v>
      </c>
      <c r="B2611" s="4">
        <v>46043.375085336993</v>
      </c>
      <c r="C2611" t="s">
        <v>13</v>
      </c>
      <c r="D2611" t="s">
        <v>19</v>
      </c>
      <c r="E2611" t="s">
        <v>23</v>
      </c>
      <c r="F2611">
        <v>709.74</v>
      </c>
      <c r="G2611">
        <f t="array" ref="G2611">SalesData!$I$2 - 'RFM Table'!B2611</f>
        <v>93</v>
      </c>
      <c r="H2611">
        <f t="array" ref="H2611">COUNTIF(A:A,A2611)</f>
        <v>4</v>
      </c>
      <c r="I2611">
        <f t="array" ref="I2611">SUMIF(A:A,A2611,F:F)</f>
        <v>11604.15</v>
      </c>
      <c r="J2611">
        <f t="array" ref="J2611">5 - INT(5 * (RANK(G2611,G:G, 1) - 1) / COUNT(G:G))</f>
        <v>5</v>
      </c>
      <c r="K2611">
        <f t="array" ref="K2611">INT(5 * (RANK(H2611,H:H, 0) - 1) / COUNT(H:H)) + 1</f>
        <v>5</v>
      </c>
      <c r="L2611">
        <f t="array" ref="L2611">INT(5 * (RANK(I2611,I:I, 0) - 1) / COUNT(I:I)) + 1</f>
        <v>5</v>
      </c>
      <c r="M2611" t="str">
        <f t="shared" si="80"/>
        <v>555</v>
      </c>
      <c r="N2611" s="6" t="str">
        <f t="shared" si="81"/>
        <v>Others</v>
      </c>
    </row>
    <row r="2612" spans="1:14" x14ac:dyDescent="0.35">
      <c r="A2612">
        <v>1187</v>
      </c>
      <c r="B2612" s="4">
        <v>46043.375085336993</v>
      </c>
      <c r="C2612" t="s">
        <v>12</v>
      </c>
      <c r="D2612" t="s">
        <v>17</v>
      </c>
      <c r="E2612" t="s">
        <v>25</v>
      </c>
      <c r="F2612">
        <v>10979.83</v>
      </c>
      <c r="G2612">
        <f t="array" ref="G2612">SalesData!$I$2 - 'RFM Table'!B2612</f>
        <v>93</v>
      </c>
      <c r="H2612">
        <f t="array" ref="H2612">COUNTIF(A:A,A2612)</f>
        <v>11</v>
      </c>
      <c r="I2612">
        <f t="array" ref="I2612">SUMIF(A:A,A2612,F:F)</f>
        <v>43247.159999999996</v>
      </c>
      <c r="J2612">
        <f t="array" ref="J2612">5 - INT(5 * (RANK(G2612,G:G, 1) - 1) / COUNT(G:G))</f>
        <v>5</v>
      </c>
      <c r="K2612">
        <f t="array" ref="K2612">INT(5 * (RANK(H2612,H:H, 0) - 1) / COUNT(H:H)) + 1</f>
        <v>1</v>
      </c>
      <c r="L2612">
        <f t="array" ref="L2612">INT(5 * (RANK(I2612,I:I, 0) - 1) / COUNT(I:I)) + 1</f>
        <v>2</v>
      </c>
      <c r="M2612" t="str">
        <f t="shared" si="80"/>
        <v>512</v>
      </c>
      <c r="N2612" s="6" t="str">
        <f t="shared" si="81"/>
        <v>New Customers</v>
      </c>
    </row>
    <row r="2613" spans="1:14" x14ac:dyDescent="0.35">
      <c r="A2613">
        <v>1114</v>
      </c>
      <c r="B2613" s="4">
        <v>46043.375085336993</v>
      </c>
      <c r="C2613" t="s">
        <v>9</v>
      </c>
      <c r="D2613" t="s">
        <v>17</v>
      </c>
      <c r="E2613" t="s">
        <v>24</v>
      </c>
      <c r="F2613">
        <v>4309.24</v>
      </c>
      <c r="G2613">
        <f t="array" ref="G2613">SalesData!$I$2 - 'RFM Table'!B2613</f>
        <v>93</v>
      </c>
      <c r="H2613">
        <f t="array" ref="H2613">COUNTIF(A:A,A2613)</f>
        <v>5</v>
      </c>
      <c r="I2613">
        <f t="array" ref="I2613">SUMIF(A:A,A2613,F:F)</f>
        <v>26334.340000000004</v>
      </c>
      <c r="J2613">
        <f t="array" ref="J2613">5 - INT(5 * (RANK(G2613,G:G, 1) - 1) / COUNT(G:G))</f>
        <v>5</v>
      </c>
      <c r="K2613">
        <f t="array" ref="K2613">INT(5 * (RANK(H2613,H:H, 0) - 1) / COUNT(H:H)) + 1</f>
        <v>5</v>
      </c>
      <c r="L2613">
        <f t="array" ref="L2613">INT(5 * (RANK(I2613,I:I, 0) - 1) / COUNT(I:I)) + 1</f>
        <v>4</v>
      </c>
      <c r="M2613" t="str">
        <f t="shared" si="80"/>
        <v>554</v>
      </c>
      <c r="N2613" s="6" t="str">
        <f t="shared" si="81"/>
        <v>Others</v>
      </c>
    </row>
    <row r="2614" spans="1:14" x14ac:dyDescent="0.35">
      <c r="A2614">
        <v>1166</v>
      </c>
      <c r="B2614" s="4">
        <v>46043.375085336993</v>
      </c>
      <c r="C2614" t="s">
        <v>7</v>
      </c>
      <c r="D2614" t="s">
        <v>18</v>
      </c>
      <c r="E2614" t="s">
        <v>25</v>
      </c>
      <c r="F2614">
        <v>7725.25</v>
      </c>
      <c r="G2614">
        <f t="array" ref="G2614">SalesData!$I$2 - 'RFM Table'!B2614</f>
        <v>93</v>
      </c>
      <c r="H2614">
        <f t="array" ref="H2614">COUNTIF(A:A,A2614)</f>
        <v>5</v>
      </c>
      <c r="I2614">
        <f t="array" ref="I2614">SUMIF(A:A,A2614,F:F)</f>
        <v>23179.78</v>
      </c>
      <c r="J2614">
        <f t="array" ref="J2614">5 - INT(5 * (RANK(G2614,G:G, 1) - 1) / COUNT(G:G))</f>
        <v>5</v>
      </c>
      <c r="K2614">
        <f t="array" ref="K2614">INT(5 * (RANK(H2614,H:H, 0) - 1) / COUNT(H:H)) + 1</f>
        <v>5</v>
      </c>
      <c r="L2614">
        <f t="array" ref="L2614">INT(5 * (RANK(I2614,I:I, 0) - 1) / COUNT(I:I)) + 1</f>
        <v>4</v>
      </c>
      <c r="M2614" t="str">
        <f t="shared" si="80"/>
        <v>554</v>
      </c>
      <c r="N2614" s="6" t="str">
        <f t="shared" si="81"/>
        <v>Others</v>
      </c>
    </row>
    <row r="2615" spans="1:14" x14ac:dyDescent="0.35">
      <c r="A2615">
        <v>1297</v>
      </c>
      <c r="B2615" s="4">
        <v>46044.375085336993</v>
      </c>
      <c r="C2615" t="s">
        <v>7</v>
      </c>
      <c r="D2615" t="s">
        <v>21</v>
      </c>
      <c r="E2615" t="s">
        <v>25</v>
      </c>
      <c r="F2615">
        <v>3249.28</v>
      </c>
      <c r="G2615">
        <f t="array" ref="G2615">SalesData!$I$2 - 'RFM Table'!B2615</f>
        <v>92</v>
      </c>
      <c r="H2615">
        <f t="array" ref="H2615">COUNTIF(A:A,A2615)</f>
        <v>3</v>
      </c>
      <c r="I2615">
        <f t="array" ref="I2615">SUMIF(A:A,A2615,F:F)</f>
        <v>11810.94</v>
      </c>
      <c r="J2615">
        <f t="array" ref="J2615">5 - INT(5 * (RANK(G2615,G:G, 1) - 1) / COUNT(G:G))</f>
        <v>5</v>
      </c>
      <c r="K2615">
        <f t="array" ref="K2615">INT(5 * (RANK(H2615,H:H, 0) - 1) / COUNT(H:H)) + 1</f>
        <v>5</v>
      </c>
      <c r="L2615">
        <f t="array" ref="L2615">INT(5 * (RANK(I2615,I:I, 0) - 1) / COUNT(I:I)) + 1</f>
        <v>5</v>
      </c>
      <c r="M2615" t="str">
        <f t="shared" si="80"/>
        <v>555</v>
      </c>
      <c r="N2615" s="6" t="str">
        <f t="shared" si="81"/>
        <v>Others</v>
      </c>
    </row>
    <row r="2616" spans="1:14" x14ac:dyDescent="0.35">
      <c r="A2616">
        <v>1169</v>
      </c>
      <c r="B2616" s="4">
        <v>46044.375085336993</v>
      </c>
      <c r="C2616" t="s">
        <v>8</v>
      </c>
      <c r="D2616" t="s">
        <v>18</v>
      </c>
      <c r="E2616" t="s">
        <v>25</v>
      </c>
      <c r="F2616">
        <v>3655.24</v>
      </c>
      <c r="G2616">
        <f t="array" ref="G2616">SalesData!$I$2 - 'RFM Table'!B2616</f>
        <v>92</v>
      </c>
      <c r="H2616">
        <f t="array" ref="H2616">COUNTIF(A:A,A2616)</f>
        <v>10</v>
      </c>
      <c r="I2616">
        <f t="array" ref="I2616">SUMIF(A:A,A2616,F:F)</f>
        <v>45640.06</v>
      </c>
      <c r="J2616">
        <f t="array" ref="J2616">5 - INT(5 * (RANK(G2616,G:G, 1) - 1) / COUNT(G:G))</f>
        <v>5</v>
      </c>
      <c r="K2616">
        <f t="array" ref="K2616">INT(5 * (RANK(H2616,H:H, 0) - 1) / COUNT(H:H)) + 1</f>
        <v>2</v>
      </c>
      <c r="L2616">
        <f t="array" ref="L2616">INT(5 * (RANK(I2616,I:I, 0) - 1) / COUNT(I:I)) + 1</f>
        <v>1</v>
      </c>
      <c r="M2616" t="str">
        <f t="shared" si="80"/>
        <v>521</v>
      </c>
      <c r="N2616" s="6" t="str">
        <f t="shared" si="81"/>
        <v>New Customers</v>
      </c>
    </row>
    <row r="2617" spans="1:14" x14ac:dyDescent="0.35">
      <c r="A2617">
        <v>1162</v>
      </c>
      <c r="B2617" s="4">
        <v>46044.375085336993</v>
      </c>
      <c r="C2617" t="s">
        <v>10</v>
      </c>
      <c r="D2617" t="s">
        <v>17</v>
      </c>
      <c r="E2617" t="s">
        <v>25</v>
      </c>
      <c r="F2617">
        <v>2895.9</v>
      </c>
      <c r="G2617">
        <f t="array" ref="G2617">SalesData!$I$2 - 'RFM Table'!B2617</f>
        <v>92</v>
      </c>
      <c r="H2617">
        <f t="array" ref="H2617">COUNTIF(A:A,A2617)</f>
        <v>8</v>
      </c>
      <c r="I2617">
        <f t="array" ref="I2617">SUMIF(A:A,A2617,F:F)</f>
        <v>43723.900000000009</v>
      </c>
      <c r="J2617">
        <f t="array" ref="J2617">5 - INT(5 * (RANK(G2617,G:G, 1) - 1) / COUNT(G:G))</f>
        <v>5</v>
      </c>
      <c r="K2617">
        <f t="array" ref="K2617">INT(5 * (RANK(H2617,H:H, 0) - 1) / COUNT(H:H)) + 1</f>
        <v>3</v>
      </c>
      <c r="L2617">
        <f t="array" ref="L2617">INT(5 * (RANK(I2617,I:I, 0) - 1) / COUNT(I:I)) + 1</f>
        <v>2</v>
      </c>
      <c r="M2617" t="str">
        <f t="shared" si="80"/>
        <v>532</v>
      </c>
      <c r="N2617" s="6" t="str">
        <f t="shared" si="81"/>
        <v>Others</v>
      </c>
    </row>
    <row r="2618" spans="1:14" x14ac:dyDescent="0.35">
      <c r="A2618">
        <v>1365</v>
      </c>
      <c r="B2618" s="4">
        <v>46044.375085336993</v>
      </c>
      <c r="C2618" t="s">
        <v>12</v>
      </c>
      <c r="D2618" t="s">
        <v>19</v>
      </c>
      <c r="E2618" t="s">
        <v>23</v>
      </c>
      <c r="F2618">
        <v>1653.09</v>
      </c>
      <c r="G2618">
        <f t="array" ref="G2618">SalesData!$I$2 - 'RFM Table'!B2618</f>
        <v>92</v>
      </c>
      <c r="H2618">
        <f t="array" ref="H2618">COUNTIF(A:A,A2618)</f>
        <v>6</v>
      </c>
      <c r="I2618">
        <f t="array" ref="I2618">SUMIF(A:A,A2618,F:F)</f>
        <v>28898.239999999998</v>
      </c>
      <c r="J2618">
        <f t="array" ref="J2618">5 - INT(5 * (RANK(G2618,G:G, 1) - 1) / COUNT(G:G))</f>
        <v>5</v>
      </c>
      <c r="K2618">
        <f t="array" ref="K2618">INT(5 * (RANK(H2618,H:H, 0) - 1) / COUNT(H:H)) + 1</f>
        <v>4</v>
      </c>
      <c r="L2618">
        <f t="array" ref="L2618">INT(5 * (RANK(I2618,I:I, 0) - 1) / COUNT(I:I)) + 1</f>
        <v>4</v>
      </c>
      <c r="M2618" t="str">
        <f t="shared" si="80"/>
        <v>544</v>
      </c>
      <c r="N2618" s="6" t="str">
        <f t="shared" si="81"/>
        <v>Others</v>
      </c>
    </row>
    <row r="2619" spans="1:14" x14ac:dyDescent="0.35">
      <c r="A2619">
        <v>1100</v>
      </c>
      <c r="B2619" s="4">
        <v>46044.375085336993</v>
      </c>
      <c r="C2619" t="s">
        <v>12</v>
      </c>
      <c r="D2619" t="s">
        <v>19</v>
      </c>
      <c r="E2619" t="s">
        <v>24</v>
      </c>
      <c r="F2619">
        <v>5107.7700000000004</v>
      </c>
      <c r="G2619">
        <f t="array" ref="G2619">SalesData!$I$2 - 'RFM Table'!B2619</f>
        <v>92</v>
      </c>
      <c r="H2619">
        <f t="array" ref="H2619">COUNTIF(A:A,A2619)</f>
        <v>12</v>
      </c>
      <c r="I2619">
        <f t="array" ref="I2619">SUMIF(A:A,A2619,F:F)</f>
        <v>54905.279999999992</v>
      </c>
      <c r="J2619">
        <f t="array" ref="J2619">5 - INT(5 * (RANK(G2619,G:G, 1) - 1) / COUNT(G:G))</f>
        <v>5</v>
      </c>
      <c r="K2619">
        <f t="array" ref="K2619">INT(5 * (RANK(H2619,H:H, 0) - 1) / COUNT(H:H)) + 1</f>
        <v>1</v>
      </c>
      <c r="L2619">
        <f t="array" ref="L2619">INT(5 * (RANK(I2619,I:I, 0) - 1) / COUNT(I:I)) + 1</f>
        <v>1</v>
      </c>
      <c r="M2619" t="str">
        <f t="shared" si="80"/>
        <v>511</v>
      </c>
      <c r="N2619" s="6" t="str">
        <f t="shared" si="81"/>
        <v>New Customers</v>
      </c>
    </row>
    <row r="2620" spans="1:14" x14ac:dyDescent="0.35">
      <c r="A2620">
        <v>1163</v>
      </c>
      <c r="B2620" s="4">
        <v>46044.375085336993</v>
      </c>
      <c r="C2620" t="s">
        <v>15</v>
      </c>
      <c r="D2620" t="s">
        <v>18</v>
      </c>
      <c r="E2620" t="s">
        <v>23</v>
      </c>
      <c r="F2620">
        <v>3486.38</v>
      </c>
      <c r="G2620">
        <f t="array" ref="G2620">SalesData!$I$2 - 'RFM Table'!B2620</f>
        <v>92</v>
      </c>
      <c r="H2620">
        <f t="array" ref="H2620">COUNTIF(A:A,A2620)</f>
        <v>11</v>
      </c>
      <c r="I2620">
        <f t="array" ref="I2620">SUMIF(A:A,A2620,F:F)</f>
        <v>43753.86</v>
      </c>
      <c r="J2620">
        <f t="array" ref="J2620">5 - INT(5 * (RANK(G2620,G:G, 1) - 1) / COUNT(G:G))</f>
        <v>5</v>
      </c>
      <c r="K2620">
        <f t="array" ref="K2620">INT(5 * (RANK(H2620,H:H, 0) - 1) / COUNT(H:H)) + 1</f>
        <v>1</v>
      </c>
      <c r="L2620">
        <f t="array" ref="L2620">INT(5 * (RANK(I2620,I:I, 0) - 1) / COUNT(I:I)) + 1</f>
        <v>2</v>
      </c>
      <c r="M2620" t="str">
        <f t="shared" si="80"/>
        <v>512</v>
      </c>
      <c r="N2620" s="6" t="str">
        <f t="shared" si="81"/>
        <v>New Customers</v>
      </c>
    </row>
    <row r="2621" spans="1:14" x14ac:dyDescent="0.35">
      <c r="A2621">
        <v>1038</v>
      </c>
      <c r="B2621" s="4">
        <v>46045.375085336993</v>
      </c>
      <c r="C2621" t="s">
        <v>13</v>
      </c>
      <c r="D2621" t="s">
        <v>20</v>
      </c>
      <c r="E2621" t="s">
        <v>23</v>
      </c>
      <c r="F2621">
        <v>3568.22</v>
      </c>
      <c r="G2621">
        <f t="array" ref="G2621">SalesData!$I$2 - 'RFM Table'!B2621</f>
        <v>91</v>
      </c>
      <c r="H2621">
        <f t="array" ref="H2621">COUNTIF(A:A,A2621)</f>
        <v>16</v>
      </c>
      <c r="I2621">
        <f t="array" ref="I2621">SUMIF(A:A,A2621,F:F)</f>
        <v>76962.720000000001</v>
      </c>
      <c r="J2621">
        <f t="array" ref="J2621">5 - INT(5 * (RANK(G2621,G:G, 1) - 1) / COUNT(G:G))</f>
        <v>5</v>
      </c>
      <c r="K2621">
        <f t="array" ref="K2621">INT(5 * (RANK(H2621,H:H, 0) - 1) / COUNT(H:H)) + 1</f>
        <v>1</v>
      </c>
      <c r="L2621">
        <f t="array" ref="L2621">INT(5 * (RANK(I2621,I:I, 0) - 1) / COUNT(I:I)) + 1</f>
        <v>1</v>
      </c>
      <c r="M2621" t="str">
        <f t="shared" si="80"/>
        <v>511</v>
      </c>
      <c r="N2621" s="6" t="str">
        <f t="shared" si="81"/>
        <v>New Customers</v>
      </c>
    </row>
    <row r="2622" spans="1:14" x14ac:dyDescent="0.35">
      <c r="A2622">
        <v>1057</v>
      </c>
      <c r="B2622" s="4">
        <v>46045.375085336993</v>
      </c>
      <c r="C2622" t="s">
        <v>15</v>
      </c>
      <c r="D2622" t="s">
        <v>20</v>
      </c>
      <c r="E2622" t="s">
        <v>23</v>
      </c>
      <c r="F2622">
        <v>1650.8</v>
      </c>
      <c r="G2622">
        <f t="array" ref="G2622">SalesData!$I$2 - 'RFM Table'!B2622</f>
        <v>91</v>
      </c>
      <c r="H2622">
        <f t="array" ref="H2622">COUNTIF(A:A,A2622)</f>
        <v>9</v>
      </c>
      <c r="I2622">
        <f t="array" ref="I2622">SUMIF(A:A,A2622,F:F)</f>
        <v>32930.549999999996</v>
      </c>
      <c r="J2622">
        <f t="array" ref="J2622">5 - INT(5 * (RANK(G2622,G:G, 1) - 1) / COUNT(G:G))</f>
        <v>5</v>
      </c>
      <c r="K2622">
        <f t="array" ref="K2622">INT(5 * (RANK(H2622,H:H, 0) - 1) / COUNT(H:H)) + 1</f>
        <v>2</v>
      </c>
      <c r="L2622">
        <f t="array" ref="L2622">INT(5 * (RANK(I2622,I:I, 0) - 1) / COUNT(I:I)) + 1</f>
        <v>3</v>
      </c>
      <c r="M2622" t="str">
        <f t="shared" si="80"/>
        <v>523</v>
      </c>
      <c r="N2622" s="6" t="str">
        <f t="shared" si="81"/>
        <v>New Customers</v>
      </c>
    </row>
    <row r="2623" spans="1:14" x14ac:dyDescent="0.35">
      <c r="A2623">
        <v>1127</v>
      </c>
      <c r="B2623" s="4">
        <v>46045.375085336993</v>
      </c>
      <c r="C2623" t="s">
        <v>7</v>
      </c>
      <c r="D2623" t="s">
        <v>22</v>
      </c>
      <c r="E2623" t="s">
        <v>25</v>
      </c>
      <c r="F2623">
        <v>2337.6999999999998</v>
      </c>
      <c r="G2623">
        <f t="array" ref="G2623">SalesData!$I$2 - 'RFM Table'!B2623</f>
        <v>91</v>
      </c>
      <c r="H2623">
        <f t="array" ref="H2623">COUNTIF(A:A,A2623)</f>
        <v>9</v>
      </c>
      <c r="I2623">
        <f t="array" ref="I2623">SUMIF(A:A,A2623,F:F)</f>
        <v>30288.86</v>
      </c>
      <c r="J2623">
        <f t="array" ref="J2623">5 - INT(5 * (RANK(G2623,G:G, 1) - 1) / COUNT(G:G))</f>
        <v>5</v>
      </c>
      <c r="K2623">
        <f t="array" ref="K2623">INT(5 * (RANK(H2623,H:H, 0) - 1) / COUNT(H:H)) + 1</f>
        <v>2</v>
      </c>
      <c r="L2623">
        <f t="array" ref="L2623">INT(5 * (RANK(I2623,I:I, 0) - 1) / COUNT(I:I)) + 1</f>
        <v>3</v>
      </c>
      <c r="M2623" t="str">
        <f t="shared" si="80"/>
        <v>523</v>
      </c>
      <c r="N2623" s="6" t="str">
        <f t="shared" si="81"/>
        <v>New Customers</v>
      </c>
    </row>
    <row r="2624" spans="1:14" x14ac:dyDescent="0.35">
      <c r="A2624">
        <v>1197</v>
      </c>
      <c r="B2624" s="4">
        <v>46045.375085336993</v>
      </c>
      <c r="C2624" t="s">
        <v>10</v>
      </c>
      <c r="D2624" t="s">
        <v>22</v>
      </c>
      <c r="E2624" t="s">
        <v>24</v>
      </c>
      <c r="F2624">
        <v>2254.0700000000002</v>
      </c>
      <c r="G2624">
        <f t="array" ref="G2624">SalesData!$I$2 - 'RFM Table'!B2624</f>
        <v>91</v>
      </c>
      <c r="H2624">
        <f t="array" ref="H2624">COUNTIF(A:A,A2624)</f>
        <v>9</v>
      </c>
      <c r="I2624">
        <f t="array" ref="I2624">SUMIF(A:A,A2624,F:F)</f>
        <v>28813.449999999997</v>
      </c>
      <c r="J2624">
        <f t="array" ref="J2624">5 - INT(5 * (RANK(G2624,G:G, 1) - 1) / COUNT(G:G))</f>
        <v>5</v>
      </c>
      <c r="K2624">
        <f t="array" ref="K2624">INT(5 * (RANK(H2624,H:H, 0) - 1) / COUNT(H:H)) + 1</f>
        <v>2</v>
      </c>
      <c r="L2624">
        <f t="array" ref="L2624">INT(5 * (RANK(I2624,I:I, 0) - 1) / COUNT(I:I)) + 1</f>
        <v>4</v>
      </c>
      <c r="M2624" t="str">
        <f t="shared" si="80"/>
        <v>524</v>
      </c>
      <c r="N2624" s="6" t="str">
        <f t="shared" si="81"/>
        <v>New Customers</v>
      </c>
    </row>
    <row r="2625" spans="1:14" x14ac:dyDescent="0.35">
      <c r="A2625">
        <v>1309</v>
      </c>
      <c r="B2625" s="4">
        <v>46046.375085336993</v>
      </c>
      <c r="C2625" t="s">
        <v>11</v>
      </c>
      <c r="D2625" t="s">
        <v>20</v>
      </c>
      <c r="E2625" t="s">
        <v>23</v>
      </c>
      <c r="F2625">
        <v>3838.4</v>
      </c>
      <c r="G2625">
        <f t="array" ref="G2625">SalesData!$I$2 - 'RFM Table'!B2625</f>
        <v>90</v>
      </c>
      <c r="H2625">
        <f t="array" ref="H2625">COUNTIF(A:A,A2625)</f>
        <v>11</v>
      </c>
      <c r="I2625">
        <f t="array" ref="I2625">SUMIF(A:A,A2625,F:F)</f>
        <v>43078.749999999993</v>
      </c>
      <c r="J2625">
        <f t="array" ref="J2625">5 - INT(5 * (RANK(G2625,G:G, 1) - 1) / COUNT(G:G))</f>
        <v>5</v>
      </c>
      <c r="K2625">
        <f t="array" ref="K2625">INT(5 * (RANK(H2625,H:H, 0) - 1) / COUNT(H:H)) + 1</f>
        <v>1</v>
      </c>
      <c r="L2625">
        <f t="array" ref="L2625">INT(5 * (RANK(I2625,I:I, 0) - 1) / COUNT(I:I)) + 1</f>
        <v>2</v>
      </c>
      <c r="M2625" t="str">
        <f t="shared" si="80"/>
        <v>512</v>
      </c>
      <c r="N2625" s="6" t="str">
        <f t="shared" si="81"/>
        <v>New Customers</v>
      </c>
    </row>
    <row r="2626" spans="1:14" x14ac:dyDescent="0.35">
      <c r="A2626">
        <v>1267</v>
      </c>
      <c r="B2626" s="4">
        <v>46047.375085336993</v>
      </c>
      <c r="C2626" t="s">
        <v>6</v>
      </c>
      <c r="D2626" t="s">
        <v>18</v>
      </c>
      <c r="E2626" t="s">
        <v>23</v>
      </c>
      <c r="F2626">
        <v>7123.8</v>
      </c>
      <c r="G2626">
        <f t="array" ref="G2626">SalesData!$I$2 - 'RFM Table'!B2626</f>
        <v>89</v>
      </c>
      <c r="H2626">
        <f t="array" ref="H2626">COUNTIF(A:A,A2626)</f>
        <v>9</v>
      </c>
      <c r="I2626">
        <f t="array" ref="I2626">SUMIF(A:A,A2626,F:F)</f>
        <v>39538.21</v>
      </c>
      <c r="J2626">
        <f t="array" ref="J2626">5 - INT(5 * (RANK(G2626,G:G, 1) - 1) / COUNT(G:G))</f>
        <v>5</v>
      </c>
      <c r="K2626">
        <f t="array" ref="K2626">INT(5 * (RANK(H2626,H:H, 0) - 1) / COUNT(H:H)) + 1</f>
        <v>2</v>
      </c>
      <c r="L2626">
        <f t="array" ref="L2626">INT(5 * (RANK(I2626,I:I, 0) - 1) / COUNT(I:I)) + 1</f>
        <v>2</v>
      </c>
      <c r="M2626" t="str">
        <f t="shared" si="80"/>
        <v>522</v>
      </c>
      <c r="N2626" s="6" t="str">
        <f t="shared" si="81"/>
        <v>New Customers</v>
      </c>
    </row>
    <row r="2627" spans="1:14" x14ac:dyDescent="0.35">
      <c r="A2627">
        <v>1072</v>
      </c>
      <c r="B2627" s="4">
        <v>46047.375085336993</v>
      </c>
      <c r="C2627" t="s">
        <v>9</v>
      </c>
      <c r="D2627" t="s">
        <v>19</v>
      </c>
      <c r="E2627" t="s">
        <v>23</v>
      </c>
      <c r="F2627">
        <v>772.7</v>
      </c>
      <c r="G2627">
        <f t="array" ref="G2627">SalesData!$I$2 - 'RFM Table'!B2627</f>
        <v>89</v>
      </c>
      <c r="H2627">
        <f t="array" ref="H2627">COUNTIF(A:A,A2627)</f>
        <v>8</v>
      </c>
      <c r="I2627">
        <f t="array" ref="I2627">SUMIF(A:A,A2627,F:F)</f>
        <v>30568.039999999997</v>
      </c>
      <c r="J2627">
        <f t="array" ref="J2627">5 - INT(5 * (RANK(G2627,G:G, 1) - 1) / COUNT(G:G))</f>
        <v>5</v>
      </c>
      <c r="K2627">
        <f t="array" ref="K2627">INT(5 * (RANK(H2627,H:H, 0) - 1) / COUNT(H:H)) + 1</f>
        <v>3</v>
      </c>
      <c r="L2627">
        <f t="array" ref="L2627">INT(5 * (RANK(I2627,I:I, 0) - 1) / COUNT(I:I)) + 1</f>
        <v>3</v>
      </c>
      <c r="M2627" t="str">
        <f t="shared" ref="M2627:M2690" si="82">J2627 &amp; K2627 &amp; L2627</f>
        <v>533</v>
      </c>
      <c r="N2627" s="6" t="str">
        <f t="shared" ref="N2627:N2690" si="83">IF(AND(J2627&gt;=4,K2627&lt;=2),"New Customers",
IF(AND(J2627&lt;=2,K2627&gt;=3,L2627&gt;=3),"At Risk",
IF(AND(J2627&lt;=2,K2627&lt;=2,L2627&gt;=3),"Can't Lose Them",
IF(AND(J2627&lt;=2,K2627&lt;=2,L2627&lt;=2),"Lost",
"Others"))))</f>
        <v>Others</v>
      </c>
    </row>
    <row r="2628" spans="1:14" x14ac:dyDescent="0.35">
      <c r="A2628">
        <v>1366</v>
      </c>
      <c r="B2628" s="4">
        <v>46048.375085336993</v>
      </c>
      <c r="C2628" t="s">
        <v>15</v>
      </c>
      <c r="D2628" t="s">
        <v>17</v>
      </c>
      <c r="E2628" t="s">
        <v>25</v>
      </c>
      <c r="F2628">
        <v>1298.3499999999999</v>
      </c>
      <c r="G2628">
        <f t="array" ref="G2628">SalesData!$I$2 - 'RFM Table'!B2628</f>
        <v>88</v>
      </c>
      <c r="H2628">
        <f t="array" ref="H2628">COUNTIF(A:A,A2628)</f>
        <v>7</v>
      </c>
      <c r="I2628">
        <f t="array" ref="I2628">SUMIF(A:A,A2628,F:F)</f>
        <v>19730.549999999996</v>
      </c>
      <c r="J2628">
        <f t="array" ref="J2628">5 - INT(5 * (RANK(G2628,G:G, 1) - 1) / COUNT(G:G))</f>
        <v>5</v>
      </c>
      <c r="K2628">
        <f t="array" ref="K2628">INT(5 * (RANK(H2628,H:H, 0) - 1) / COUNT(H:H)) + 1</f>
        <v>4</v>
      </c>
      <c r="L2628">
        <f t="array" ref="L2628">INT(5 * (RANK(I2628,I:I, 0) - 1) / COUNT(I:I)) + 1</f>
        <v>5</v>
      </c>
      <c r="M2628" t="str">
        <f t="shared" si="82"/>
        <v>545</v>
      </c>
      <c r="N2628" s="6" t="str">
        <f t="shared" si="83"/>
        <v>Others</v>
      </c>
    </row>
    <row r="2629" spans="1:14" x14ac:dyDescent="0.35">
      <c r="A2629">
        <v>1140</v>
      </c>
      <c r="B2629" s="4">
        <v>46048.375085336993</v>
      </c>
      <c r="C2629" t="s">
        <v>12</v>
      </c>
      <c r="D2629" t="s">
        <v>20</v>
      </c>
      <c r="E2629" t="s">
        <v>23</v>
      </c>
      <c r="F2629">
        <v>6590.73</v>
      </c>
      <c r="G2629">
        <f t="array" ref="G2629">SalesData!$I$2 - 'RFM Table'!B2629</f>
        <v>88</v>
      </c>
      <c r="H2629">
        <f t="array" ref="H2629">COUNTIF(A:A,A2629)</f>
        <v>9</v>
      </c>
      <c r="I2629">
        <f t="array" ref="I2629">SUMIF(A:A,A2629,F:F)</f>
        <v>45498.270000000004</v>
      </c>
      <c r="J2629">
        <f t="array" ref="J2629">5 - INT(5 * (RANK(G2629,G:G, 1) - 1) / COUNT(G:G))</f>
        <v>5</v>
      </c>
      <c r="K2629">
        <f t="array" ref="K2629">INT(5 * (RANK(H2629,H:H, 0) - 1) / COUNT(H:H)) + 1</f>
        <v>2</v>
      </c>
      <c r="L2629">
        <f t="array" ref="L2629">INT(5 * (RANK(I2629,I:I, 0) - 1) / COUNT(I:I)) + 1</f>
        <v>1</v>
      </c>
      <c r="M2629" t="str">
        <f t="shared" si="82"/>
        <v>521</v>
      </c>
      <c r="N2629" s="6" t="str">
        <f t="shared" si="83"/>
        <v>New Customers</v>
      </c>
    </row>
    <row r="2630" spans="1:14" x14ac:dyDescent="0.35">
      <c r="A2630">
        <v>1157</v>
      </c>
      <c r="B2630" s="4">
        <v>46049.375085336993</v>
      </c>
      <c r="C2630" t="s">
        <v>15</v>
      </c>
      <c r="D2630" t="s">
        <v>19</v>
      </c>
      <c r="E2630" t="s">
        <v>24</v>
      </c>
      <c r="F2630">
        <v>2985.92</v>
      </c>
      <c r="G2630">
        <f t="array" ref="G2630">SalesData!$I$2 - 'RFM Table'!B2630</f>
        <v>87</v>
      </c>
      <c r="H2630">
        <f t="array" ref="H2630">COUNTIF(A:A,A2630)</f>
        <v>11</v>
      </c>
      <c r="I2630">
        <f t="array" ref="I2630">SUMIF(A:A,A2630,F:F)</f>
        <v>45651.77</v>
      </c>
      <c r="J2630">
        <f t="array" ref="J2630">5 - INT(5 * (RANK(G2630,G:G, 1) - 1) / COUNT(G:G))</f>
        <v>5</v>
      </c>
      <c r="K2630">
        <f t="array" ref="K2630">INT(5 * (RANK(H2630,H:H, 0) - 1) / COUNT(H:H)) + 1</f>
        <v>1</v>
      </c>
      <c r="L2630">
        <f t="array" ref="L2630">INT(5 * (RANK(I2630,I:I, 0) - 1) / COUNT(I:I)) + 1</f>
        <v>1</v>
      </c>
      <c r="M2630" t="str">
        <f t="shared" si="82"/>
        <v>511</v>
      </c>
      <c r="N2630" s="6" t="str">
        <f t="shared" si="83"/>
        <v>New Customers</v>
      </c>
    </row>
    <row r="2631" spans="1:14" x14ac:dyDescent="0.35">
      <c r="A2631">
        <v>1318</v>
      </c>
      <c r="B2631" s="4">
        <v>46049.375085336993</v>
      </c>
      <c r="C2631" t="s">
        <v>13</v>
      </c>
      <c r="D2631" t="s">
        <v>20</v>
      </c>
      <c r="E2631" t="s">
        <v>23</v>
      </c>
      <c r="F2631">
        <v>9505.23</v>
      </c>
      <c r="G2631">
        <f t="array" ref="G2631">SalesData!$I$2 - 'RFM Table'!B2631</f>
        <v>87</v>
      </c>
      <c r="H2631">
        <f t="array" ref="H2631">COUNTIF(A:A,A2631)</f>
        <v>8</v>
      </c>
      <c r="I2631">
        <f t="array" ref="I2631">SUMIF(A:A,A2631,F:F)</f>
        <v>45571.029999999992</v>
      </c>
      <c r="J2631">
        <f t="array" ref="J2631">5 - INT(5 * (RANK(G2631,G:G, 1) - 1) / COUNT(G:G))</f>
        <v>5</v>
      </c>
      <c r="K2631">
        <f t="array" ref="K2631">INT(5 * (RANK(H2631,H:H, 0) - 1) / COUNT(H:H)) + 1</f>
        <v>3</v>
      </c>
      <c r="L2631">
        <f t="array" ref="L2631">INT(5 * (RANK(I2631,I:I, 0) - 1) / COUNT(I:I)) + 1</f>
        <v>1</v>
      </c>
      <c r="M2631" t="str">
        <f t="shared" si="82"/>
        <v>531</v>
      </c>
      <c r="N2631" s="6" t="str">
        <f t="shared" si="83"/>
        <v>Others</v>
      </c>
    </row>
    <row r="2632" spans="1:14" x14ac:dyDescent="0.35">
      <c r="A2632">
        <v>1260</v>
      </c>
      <c r="B2632" s="4">
        <v>46049.375085336993</v>
      </c>
      <c r="C2632" t="s">
        <v>13</v>
      </c>
      <c r="D2632" t="s">
        <v>18</v>
      </c>
      <c r="E2632" t="s">
        <v>25</v>
      </c>
      <c r="F2632">
        <v>9899.76</v>
      </c>
      <c r="G2632">
        <f t="array" ref="G2632">SalesData!$I$2 - 'RFM Table'!B2632</f>
        <v>87</v>
      </c>
      <c r="H2632">
        <f t="array" ref="H2632">COUNTIF(A:A,A2632)</f>
        <v>10</v>
      </c>
      <c r="I2632">
        <f t="array" ref="I2632">SUMIF(A:A,A2632,F:F)</f>
        <v>67378.48000000001</v>
      </c>
      <c r="J2632">
        <f t="array" ref="J2632">5 - INT(5 * (RANK(G2632,G:G, 1) - 1) / COUNT(G:G))</f>
        <v>5</v>
      </c>
      <c r="K2632">
        <f t="array" ref="K2632">INT(5 * (RANK(H2632,H:H, 0) - 1) / COUNT(H:H)) + 1</f>
        <v>2</v>
      </c>
      <c r="L2632">
        <f t="array" ref="L2632">INT(5 * (RANK(I2632,I:I, 0) - 1) / COUNT(I:I)) + 1</f>
        <v>1</v>
      </c>
      <c r="M2632" t="str">
        <f t="shared" si="82"/>
        <v>521</v>
      </c>
      <c r="N2632" s="6" t="str">
        <f t="shared" si="83"/>
        <v>New Customers</v>
      </c>
    </row>
    <row r="2633" spans="1:14" x14ac:dyDescent="0.35">
      <c r="A2633">
        <v>1256</v>
      </c>
      <c r="B2633" s="4">
        <v>46050.375085336993</v>
      </c>
      <c r="C2633" t="s">
        <v>7</v>
      </c>
      <c r="D2633" t="s">
        <v>21</v>
      </c>
      <c r="E2633" t="s">
        <v>24</v>
      </c>
      <c r="F2633">
        <v>2121.12</v>
      </c>
      <c r="G2633">
        <f t="array" ref="G2633">SalesData!$I$2 - 'RFM Table'!B2633</f>
        <v>86</v>
      </c>
      <c r="H2633">
        <f t="array" ref="H2633">COUNTIF(A:A,A2633)</f>
        <v>8</v>
      </c>
      <c r="I2633">
        <f t="array" ref="I2633">SUMIF(A:A,A2633,F:F)</f>
        <v>29767.75</v>
      </c>
      <c r="J2633">
        <f t="array" ref="J2633">5 - INT(5 * (RANK(G2633,G:G, 1) - 1) / COUNT(G:G))</f>
        <v>5</v>
      </c>
      <c r="K2633">
        <f t="array" ref="K2633">INT(5 * (RANK(H2633,H:H, 0) - 1) / COUNT(H:H)) + 1</f>
        <v>3</v>
      </c>
      <c r="L2633">
        <f t="array" ref="L2633">INT(5 * (RANK(I2633,I:I, 0) - 1) / COUNT(I:I)) + 1</f>
        <v>3</v>
      </c>
      <c r="M2633" t="str">
        <f t="shared" si="82"/>
        <v>533</v>
      </c>
      <c r="N2633" s="6" t="str">
        <f t="shared" si="83"/>
        <v>Others</v>
      </c>
    </row>
    <row r="2634" spans="1:14" x14ac:dyDescent="0.35">
      <c r="A2634">
        <v>1304</v>
      </c>
      <c r="B2634" s="4">
        <v>46050.375085336993</v>
      </c>
      <c r="C2634" t="s">
        <v>14</v>
      </c>
      <c r="D2634" t="s">
        <v>20</v>
      </c>
      <c r="E2634" t="s">
        <v>24</v>
      </c>
      <c r="F2634">
        <v>11268.14</v>
      </c>
      <c r="G2634">
        <f t="array" ref="G2634">SalesData!$I$2 - 'RFM Table'!B2634</f>
        <v>86</v>
      </c>
      <c r="H2634">
        <f t="array" ref="H2634">COUNTIF(A:A,A2634)</f>
        <v>10</v>
      </c>
      <c r="I2634">
        <f t="array" ref="I2634">SUMIF(A:A,A2634,F:F)</f>
        <v>39472.789999999994</v>
      </c>
      <c r="J2634">
        <f t="array" ref="J2634">5 - INT(5 * (RANK(G2634,G:G, 1) - 1) / COUNT(G:G))</f>
        <v>5</v>
      </c>
      <c r="K2634">
        <f t="array" ref="K2634">INT(5 * (RANK(H2634,H:H, 0) - 1) / COUNT(H:H)) + 1</f>
        <v>2</v>
      </c>
      <c r="L2634">
        <f t="array" ref="L2634">INT(5 * (RANK(I2634,I:I, 0) - 1) / COUNT(I:I)) + 1</f>
        <v>2</v>
      </c>
      <c r="M2634" t="str">
        <f t="shared" si="82"/>
        <v>522</v>
      </c>
      <c r="N2634" s="6" t="str">
        <f t="shared" si="83"/>
        <v>New Customers</v>
      </c>
    </row>
    <row r="2635" spans="1:14" x14ac:dyDescent="0.35">
      <c r="A2635">
        <v>1098</v>
      </c>
      <c r="B2635" s="4">
        <v>46050.375085336993</v>
      </c>
      <c r="C2635" t="s">
        <v>13</v>
      </c>
      <c r="D2635" t="s">
        <v>20</v>
      </c>
      <c r="E2635" t="s">
        <v>25</v>
      </c>
      <c r="F2635">
        <v>411.15</v>
      </c>
      <c r="G2635">
        <f t="array" ref="G2635">SalesData!$I$2 - 'RFM Table'!B2635</f>
        <v>86</v>
      </c>
      <c r="H2635">
        <f t="array" ref="H2635">COUNTIF(A:A,A2635)</f>
        <v>12</v>
      </c>
      <c r="I2635">
        <f t="array" ref="I2635">SUMIF(A:A,A2635,F:F)</f>
        <v>36909.899999999994</v>
      </c>
      <c r="J2635">
        <f t="array" ref="J2635">5 - INT(5 * (RANK(G2635,G:G, 1) - 1) / COUNT(G:G))</f>
        <v>5</v>
      </c>
      <c r="K2635">
        <f t="array" ref="K2635">INT(5 * (RANK(H2635,H:H, 0) - 1) / COUNT(H:H)) + 1</f>
        <v>1</v>
      </c>
      <c r="L2635">
        <f t="array" ref="L2635">INT(5 * (RANK(I2635,I:I, 0) - 1) / COUNT(I:I)) + 1</f>
        <v>2</v>
      </c>
      <c r="M2635" t="str">
        <f t="shared" si="82"/>
        <v>512</v>
      </c>
      <c r="N2635" s="6" t="str">
        <f t="shared" si="83"/>
        <v>New Customers</v>
      </c>
    </row>
    <row r="2636" spans="1:14" x14ac:dyDescent="0.35">
      <c r="A2636">
        <v>1250</v>
      </c>
      <c r="B2636" s="4">
        <v>46050.375085336993</v>
      </c>
      <c r="C2636" t="s">
        <v>8</v>
      </c>
      <c r="D2636" t="s">
        <v>21</v>
      </c>
      <c r="E2636" t="s">
        <v>23</v>
      </c>
      <c r="F2636">
        <v>10552.49</v>
      </c>
      <c r="G2636">
        <f t="array" ref="G2636">SalesData!$I$2 - 'RFM Table'!B2636</f>
        <v>86</v>
      </c>
      <c r="H2636">
        <f t="array" ref="H2636">COUNTIF(A:A,A2636)</f>
        <v>9</v>
      </c>
      <c r="I2636">
        <f t="array" ref="I2636">SUMIF(A:A,A2636,F:F)</f>
        <v>36713.85</v>
      </c>
      <c r="J2636">
        <f t="array" ref="J2636">5 - INT(5 * (RANK(G2636,G:G, 1) - 1) / COUNT(G:G))</f>
        <v>5</v>
      </c>
      <c r="K2636">
        <f t="array" ref="K2636">INT(5 * (RANK(H2636,H:H, 0) - 1) / COUNT(H:H)) + 1</f>
        <v>2</v>
      </c>
      <c r="L2636">
        <f t="array" ref="L2636">INT(5 * (RANK(I2636,I:I, 0) - 1) / COUNT(I:I)) + 1</f>
        <v>3</v>
      </c>
      <c r="M2636" t="str">
        <f t="shared" si="82"/>
        <v>523</v>
      </c>
      <c r="N2636" s="6" t="str">
        <f t="shared" si="83"/>
        <v>New Customers</v>
      </c>
    </row>
    <row r="2637" spans="1:14" x14ac:dyDescent="0.35">
      <c r="A2637">
        <v>1394</v>
      </c>
      <c r="B2637" s="4">
        <v>46050.375085336993</v>
      </c>
      <c r="C2637" t="s">
        <v>14</v>
      </c>
      <c r="D2637" t="s">
        <v>16</v>
      </c>
      <c r="E2637" t="s">
        <v>23</v>
      </c>
      <c r="F2637">
        <v>4311.05</v>
      </c>
      <c r="G2637">
        <f t="array" ref="G2637">SalesData!$I$2 - 'RFM Table'!B2637</f>
        <v>86</v>
      </c>
      <c r="H2637">
        <f t="array" ref="H2637">COUNTIF(A:A,A2637)</f>
        <v>6</v>
      </c>
      <c r="I2637">
        <f t="array" ref="I2637">SUMIF(A:A,A2637,F:F)</f>
        <v>15872.329999999998</v>
      </c>
      <c r="J2637">
        <f t="array" ref="J2637">5 - INT(5 * (RANK(G2637,G:G, 1) - 1) / COUNT(G:G))</f>
        <v>5</v>
      </c>
      <c r="K2637">
        <f t="array" ref="K2637">INT(5 * (RANK(H2637,H:H, 0) - 1) / COUNT(H:H)) + 1</f>
        <v>4</v>
      </c>
      <c r="L2637">
        <f t="array" ref="L2637">INT(5 * (RANK(I2637,I:I, 0) - 1) / COUNT(I:I)) + 1</f>
        <v>5</v>
      </c>
      <c r="M2637" t="str">
        <f t="shared" si="82"/>
        <v>545</v>
      </c>
      <c r="N2637" s="6" t="str">
        <f t="shared" si="83"/>
        <v>Others</v>
      </c>
    </row>
    <row r="2638" spans="1:14" x14ac:dyDescent="0.35">
      <c r="A2638">
        <v>1366</v>
      </c>
      <c r="B2638" s="4">
        <v>46051.375085336993</v>
      </c>
      <c r="C2638" t="s">
        <v>9</v>
      </c>
      <c r="D2638" t="s">
        <v>22</v>
      </c>
      <c r="E2638" t="s">
        <v>24</v>
      </c>
      <c r="F2638">
        <v>4637.95</v>
      </c>
      <c r="G2638">
        <f t="array" ref="G2638">SalesData!$I$2 - 'RFM Table'!B2638</f>
        <v>85</v>
      </c>
      <c r="H2638">
        <f t="array" ref="H2638">COUNTIF(A:A,A2638)</f>
        <v>7</v>
      </c>
      <c r="I2638">
        <f t="array" ref="I2638">SUMIF(A:A,A2638,F:F)</f>
        <v>19730.549999999996</v>
      </c>
      <c r="J2638">
        <f t="array" ref="J2638">5 - INT(5 * (RANK(G2638,G:G, 1) - 1) / COUNT(G:G))</f>
        <v>5</v>
      </c>
      <c r="K2638">
        <f t="array" ref="K2638">INT(5 * (RANK(H2638,H:H, 0) - 1) / COUNT(H:H)) + 1</f>
        <v>4</v>
      </c>
      <c r="L2638">
        <f t="array" ref="L2638">INT(5 * (RANK(I2638,I:I, 0) - 1) / COUNT(I:I)) + 1</f>
        <v>5</v>
      </c>
      <c r="M2638" t="str">
        <f t="shared" si="82"/>
        <v>545</v>
      </c>
      <c r="N2638" s="6" t="str">
        <f t="shared" si="83"/>
        <v>Others</v>
      </c>
    </row>
    <row r="2639" spans="1:14" x14ac:dyDescent="0.35">
      <c r="A2639">
        <v>1384</v>
      </c>
      <c r="B2639" s="4">
        <v>46051.375085336993</v>
      </c>
      <c r="C2639" t="s">
        <v>8</v>
      </c>
      <c r="D2639" t="s">
        <v>17</v>
      </c>
      <c r="E2639" t="s">
        <v>23</v>
      </c>
      <c r="F2639">
        <v>5745.3</v>
      </c>
      <c r="G2639">
        <f t="array" ref="G2639">SalesData!$I$2 - 'RFM Table'!B2639</f>
        <v>85</v>
      </c>
      <c r="H2639">
        <f t="array" ref="H2639">COUNTIF(A:A,A2639)</f>
        <v>9</v>
      </c>
      <c r="I2639">
        <f t="array" ref="I2639">SUMIF(A:A,A2639,F:F)</f>
        <v>39434.269999999997</v>
      </c>
      <c r="J2639">
        <f t="array" ref="J2639">5 - INT(5 * (RANK(G2639,G:G, 1) - 1) / COUNT(G:G))</f>
        <v>5</v>
      </c>
      <c r="K2639">
        <f t="array" ref="K2639">INT(5 * (RANK(H2639,H:H, 0) - 1) / COUNT(H:H)) + 1</f>
        <v>2</v>
      </c>
      <c r="L2639">
        <f t="array" ref="L2639">INT(5 * (RANK(I2639,I:I, 0) - 1) / COUNT(I:I)) + 1</f>
        <v>2</v>
      </c>
      <c r="M2639" t="str">
        <f t="shared" si="82"/>
        <v>522</v>
      </c>
      <c r="N2639" s="6" t="str">
        <f t="shared" si="83"/>
        <v>New Customers</v>
      </c>
    </row>
    <row r="2640" spans="1:14" x14ac:dyDescent="0.35">
      <c r="A2640">
        <v>1131</v>
      </c>
      <c r="B2640" s="4">
        <v>46051.375085336993</v>
      </c>
      <c r="C2640" t="s">
        <v>6</v>
      </c>
      <c r="D2640" t="s">
        <v>21</v>
      </c>
      <c r="E2640" t="s">
        <v>23</v>
      </c>
      <c r="F2640">
        <v>1879.61</v>
      </c>
      <c r="G2640">
        <f t="array" ref="G2640">SalesData!$I$2 - 'RFM Table'!B2640</f>
        <v>85</v>
      </c>
      <c r="H2640">
        <f t="array" ref="H2640">COUNTIF(A:A,A2640)</f>
        <v>7</v>
      </c>
      <c r="I2640">
        <f t="array" ref="I2640">SUMIF(A:A,A2640,F:F)</f>
        <v>38080.880000000005</v>
      </c>
      <c r="J2640">
        <f t="array" ref="J2640">5 - INT(5 * (RANK(G2640,G:G, 1) - 1) / COUNT(G:G))</f>
        <v>5</v>
      </c>
      <c r="K2640">
        <f t="array" ref="K2640">INT(5 * (RANK(H2640,H:H, 0) - 1) / COUNT(H:H)) + 1</f>
        <v>4</v>
      </c>
      <c r="L2640">
        <f t="array" ref="L2640">INT(5 * (RANK(I2640,I:I, 0) - 1) / COUNT(I:I)) + 1</f>
        <v>2</v>
      </c>
      <c r="M2640" t="str">
        <f t="shared" si="82"/>
        <v>542</v>
      </c>
      <c r="N2640" s="6" t="str">
        <f t="shared" si="83"/>
        <v>Others</v>
      </c>
    </row>
    <row r="2641" spans="1:14" x14ac:dyDescent="0.35">
      <c r="A2641">
        <v>1045</v>
      </c>
      <c r="B2641" s="4">
        <v>46051.375085336993</v>
      </c>
      <c r="C2641" t="s">
        <v>10</v>
      </c>
      <c r="D2641" t="s">
        <v>22</v>
      </c>
      <c r="E2641" t="s">
        <v>25</v>
      </c>
      <c r="F2641">
        <v>1286.29</v>
      </c>
      <c r="G2641">
        <f t="array" ref="G2641">SalesData!$I$2 - 'RFM Table'!B2641</f>
        <v>85</v>
      </c>
      <c r="H2641">
        <f t="array" ref="H2641">COUNTIF(A:A,A2641)</f>
        <v>7</v>
      </c>
      <c r="I2641">
        <f t="array" ref="I2641">SUMIF(A:A,A2641,F:F)</f>
        <v>27876.53</v>
      </c>
      <c r="J2641">
        <f t="array" ref="J2641">5 - INT(5 * (RANK(G2641,G:G, 1) - 1) / COUNT(G:G))</f>
        <v>5</v>
      </c>
      <c r="K2641">
        <f t="array" ref="K2641">INT(5 * (RANK(H2641,H:H, 0) - 1) / COUNT(H:H)) + 1</f>
        <v>4</v>
      </c>
      <c r="L2641">
        <f t="array" ref="L2641">INT(5 * (RANK(I2641,I:I, 0) - 1) / COUNT(I:I)) + 1</f>
        <v>4</v>
      </c>
      <c r="M2641" t="str">
        <f t="shared" si="82"/>
        <v>544</v>
      </c>
      <c r="N2641" s="6" t="str">
        <f t="shared" si="83"/>
        <v>Others</v>
      </c>
    </row>
    <row r="2642" spans="1:14" x14ac:dyDescent="0.35">
      <c r="A2642">
        <v>1082</v>
      </c>
      <c r="B2642" s="4">
        <v>46052.375085336993</v>
      </c>
      <c r="C2642" t="s">
        <v>11</v>
      </c>
      <c r="D2642" t="s">
        <v>20</v>
      </c>
      <c r="E2642" t="s">
        <v>23</v>
      </c>
      <c r="F2642">
        <v>3014.42</v>
      </c>
      <c r="G2642">
        <f t="array" ref="G2642">SalesData!$I$2 - 'RFM Table'!B2642</f>
        <v>84</v>
      </c>
      <c r="H2642">
        <f t="array" ref="H2642">COUNTIF(A:A,A2642)</f>
        <v>3</v>
      </c>
      <c r="I2642">
        <f t="array" ref="I2642">SUMIF(A:A,A2642,F:F)</f>
        <v>16434.620000000003</v>
      </c>
      <c r="J2642">
        <f t="array" ref="J2642">5 - INT(5 * (RANK(G2642,G:G, 1) - 1) / COUNT(G:G))</f>
        <v>5</v>
      </c>
      <c r="K2642">
        <f t="array" ref="K2642">INT(5 * (RANK(H2642,H:H, 0) - 1) / COUNT(H:H)) + 1</f>
        <v>5</v>
      </c>
      <c r="L2642">
        <f t="array" ref="L2642">INT(5 * (RANK(I2642,I:I, 0) - 1) / COUNT(I:I)) + 1</f>
        <v>5</v>
      </c>
      <c r="M2642" t="str">
        <f t="shared" si="82"/>
        <v>555</v>
      </c>
      <c r="N2642" s="6" t="str">
        <f t="shared" si="83"/>
        <v>Others</v>
      </c>
    </row>
    <row r="2643" spans="1:14" x14ac:dyDescent="0.35">
      <c r="A2643">
        <v>1089</v>
      </c>
      <c r="B2643" s="4">
        <v>46052.375085336993</v>
      </c>
      <c r="C2643" t="s">
        <v>10</v>
      </c>
      <c r="D2643" t="s">
        <v>17</v>
      </c>
      <c r="E2643" t="s">
        <v>24</v>
      </c>
      <c r="F2643">
        <v>1950.99</v>
      </c>
      <c r="G2643">
        <f t="array" ref="G2643">SalesData!$I$2 - 'RFM Table'!B2643</f>
        <v>84</v>
      </c>
      <c r="H2643">
        <f t="array" ref="H2643">COUNTIF(A:A,A2643)</f>
        <v>10</v>
      </c>
      <c r="I2643">
        <f t="array" ref="I2643">SUMIF(A:A,A2643,F:F)</f>
        <v>36855.5</v>
      </c>
      <c r="J2643">
        <f t="array" ref="J2643">5 - INT(5 * (RANK(G2643,G:G, 1) - 1) / COUNT(G:G))</f>
        <v>5</v>
      </c>
      <c r="K2643">
        <f t="array" ref="K2643">INT(5 * (RANK(H2643,H:H, 0) - 1) / COUNT(H:H)) + 1</f>
        <v>2</v>
      </c>
      <c r="L2643">
        <f t="array" ref="L2643">INT(5 * (RANK(I2643,I:I, 0) - 1) / COUNT(I:I)) + 1</f>
        <v>2</v>
      </c>
      <c r="M2643" t="str">
        <f t="shared" si="82"/>
        <v>522</v>
      </c>
      <c r="N2643" s="6" t="str">
        <f t="shared" si="83"/>
        <v>New Customers</v>
      </c>
    </row>
    <row r="2644" spans="1:14" x14ac:dyDescent="0.35">
      <c r="A2644">
        <v>1128</v>
      </c>
      <c r="B2644" s="4">
        <v>46053.375085336993</v>
      </c>
      <c r="C2644" t="s">
        <v>10</v>
      </c>
      <c r="D2644" t="s">
        <v>22</v>
      </c>
      <c r="E2644" t="s">
        <v>24</v>
      </c>
      <c r="F2644">
        <v>1257.77</v>
      </c>
      <c r="G2644">
        <f t="array" ref="G2644">SalesData!$I$2 - 'RFM Table'!B2644</f>
        <v>83</v>
      </c>
      <c r="H2644">
        <f t="array" ref="H2644">COUNTIF(A:A,A2644)</f>
        <v>8</v>
      </c>
      <c r="I2644">
        <f t="array" ref="I2644">SUMIF(A:A,A2644,F:F)</f>
        <v>36475.079999999994</v>
      </c>
      <c r="J2644">
        <f t="array" ref="J2644">5 - INT(5 * (RANK(G2644,G:G, 1) - 1) / COUNT(G:G))</f>
        <v>5</v>
      </c>
      <c r="K2644">
        <f t="array" ref="K2644">INT(5 * (RANK(H2644,H:H, 0) - 1) / COUNT(H:H)) + 1</f>
        <v>3</v>
      </c>
      <c r="L2644">
        <f t="array" ref="L2644">INT(5 * (RANK(I2644,I:I, 0) - 1) / COUNT(I:I)) + 1</f>
        <v>3</v>
      </c>
      <c r="M2644" t="str">
        <f t="shared" si="82"/>
        <v>533</v>
      </c>
      <c r="N2644" s="6" t="str">
        <f t="shared" si="83"/>
        <v>Others</v>
      </c>
    </row>
    <row r="2645" spans="1:14" x14ac:dyDescent="0.35">
      <c r="A2645">
        <v>1078</v>
      </c>
      <c r="B2645" s="4">
        <v>46053.375085336993</v>
      </c>
      <c r="C2645" t="s">
        <v>10</v>
      </c>
      <c r="D2645" t="s">
        <v>18</v>
      </c>
      <c r="E2645" t="s">
        <v>23</v>
      </c>
      <c r="F2645">
        <v>3007.86</v>
      </c>
      <c r="G2645">
        <f t="array" ref="G2645">SalesData!$I$2 - 'RFM Table'!B2645</f>
        <v>83</v>
      </c>
      <c r="H2645">
        <f t="array" ref="H2645">COUNTIF(A:A,A2645)</f>
        <v>5</v>
      </c>
      <c r="I2645">
        <f t="array" ref="I2645">SUMIF(A:A,A2645,F:F)</f>
        <v>16253.25</v>
      </c>
      <c r="J2645">
        <f t="array" ref="J2645">5 - INT(5 * (RANK(G2645,G:G, 1) - 1) / COUNT(G:G))</f>
        <v>5</v>
      </c>
      <c r="K2645">
        <f t="array" ref="K2645">INT(5 * (RANK(H2645,H:H, 0) - 1) / COUNT(H:H)) + 1</f>
        <v>5</v>
      </c>
      <c r="L2645">
        <f t="array" ref="L2645">INT(5 * (RANK(I2645,I:I, 0) - 1) / COUNT(I:I)) + 1</f>
        <v>5</v>
      </c>
      <c r="M2645" t="str">
        <f t="shared" si="82"/>
        <v>555</v>
      </c>
      <c r="N2645" s="6" t="str">
        <f t="shared" si="83"/>
        <v>Others</v>
      </c>
    </row>
    <row r="2646" spans="1:14" x14ac:dyDescent="0.35">
      <c r="A2646">
        <v>1259</v>
      </c>
      <c r="B2646" s="4">
        <v>46053.375085336993</v>
      </c>
      <c r="C2646" t="s">
        <v>8</v>
      </c>
      <c r="D2646" t="s">
        <v>17</v>
      </c>
      <c r="E2646" t="s">
        <v>24</v>
      </c>
      <c r="F2646">
        <v>3012.92</v>
      </c>
      <c r="G2646">
        <f t="array" ref="G2646">SalesData!$I$2 - 'RFM Table'!B2646</f>
        <v>83</v>
      </c>
      <c r="H2646">
        <f t="array" ref="H2646">COUNTIF(A:A,A2646)</f>
        <v>6</v>
      </c>
      <c r="I2646">
        <f t="array" ref="I2646">SUMIF(A:A,A2646,F:F)</f>
        <v>21369.009999999995</v>
      </c>
      <c r="J2646">
        <f t="array" ref="J2646">5 - INT(5 * (RANK(G2646,G:G, 1) - 1) / COUNT(G:G))</f>
        <v>5</v>
      </c>
      <c r="K2646">
        <f t="array" ref="K2646">INT(5 * (RANK(H2646,H:H, 0) - 1) / COUNT(H:H)) + 1</f>
        <v>4</v>
      </c>
      <c r="L2646">
        <f t="array" ref="L2646">INT(5 * (RANK(I2646,I:I, 0) - 1) / COUNT(I:I)) + 1</f>
        <v>5</v>
      </c>
      <c r="M2646" t="str">
        <f t="shared" si="82"/>
        <v>545</v>
      </c>
      <c r="N2646" s="6" t="str">
        <f t="shared" si="83"/>
        <v>Others</v>
      </c>
    </row>
    <row r="2647" spans="1:14" x14ac:dyDescent="0.35">
      <c r="A2647">
        <v>1211</v>
      </c>
      <c r="B2647" s="4">
        <v>46054.375085336993</v>
      </c>
      <c r="C2647" t="s">
        <v>10</v>
      </c>
      <c r="D2647" t="s">
        <v>18</v>
      </c>
      <c r="E2647" t="s">
        <v>24</v>
      </c>
      <c r="F2647">
        <v>6099.54</v>
      </c>
      <c r="G2647">
        <f t="array" ref="G2647">SalesData!$I$2 - 'RFM Table'!B2647</f>
        <v>82</v>
      </c>
      <c r="H2647">
        <f t="array" ref="H2647">COUNTIF(A:A,A2647)</f>
        <v>3</v>
      </c>
      <c r="I2647">
        <f t="array" ref="I2647">SUMIF(A:A,A2647,F:F)</f>
        <v>9690.5</v>
      </c>
      <c r="J2647">
        <f t="array" ref="J2647">5 - INT(5 * (RANK(G2647,G:G, 1) - 1) / COUNT(G:G))</f>
        <v>5</v>
      </c>
      <c r="K2647">
        <f t="array" ref="K2647">INT(5 * (RANK(H2647,H:H, 0) - 1) / COUNT(H:H)) + 1</f>
        <v>5</v>
      </c>
      <c r="L2647">
        <f t="array" ref="L2647">INT(5 * (RANK(I2647,I:I, 0) - 1) / COUNT(I:I)) + 1</f>
        <v>5</v>
      </c>
      <c r="M2647" t="str">
        <f t="shared" si="82"/>
        <v>555</v>
      </c>
      <c r="N2647" s="6" t="str">
        <f t="shared" si="83"/>
        <v>Others</v>
      </c>
    </row>
    <row r="2648" spans="1:14" x14ac:dyDescent="0.35">
      <c r="A2648">
        <v>1085</v>
      </c>
      <c r="B2648" s="4">
        <v>46054.375085336993</v>
      </c>
      <c r="C2648" t="s">
        <v>8</v>
      </c>
      <c r="D2648" t="s">
        <v>18</v>
      </c>
      <c r="E2648" t="s">
        <v>25</v>
      </c>
      <c r="F2648">
        <v>1486.92</v>
      </c>
      <c r="G2648">
        <f t="array" ref="G2648">SalesData!$I$2 - 'RFM Table'!B2648</f>
        <v>82</v>
      </c>
      <c r="H2648">
        <f t="array" ref="H2648">COUNTIF(A:A,A2648)</f>
        <v>10</v>
      </c>
      <c r="I2648">
        <f t="array" ref="I2648">SUMIF(A:A,A2648,F:F)</f>
        <v>50122.659999999996</v>
      </c>
      <c r="J2648">
        <f t="array" ref="J2648">5 - INT(5 * (RANK(G2648,G:G, 1) - 1) / COUNT(G:G))</f>
        <v>5</v>
      </c>
      <c r="K2648">
        <f t="array" ref="K2648">INT(5 * (RANK(H2648,H:H, 0) - 1) / COUNT(H:H)) + 1</f>
        <v>2</v>
      </c>
      <c r="L2648">
        <f t="array" ref="L2648">INT(5 * (RANK(I2648,I:I, 0) - 1) / COUNT(I:I)) + 1</f>
        <v>1</v>
      </c>
      <c r="M2648" t="str">
        <f t="shared" si="82"/>
        <v>521</v>
      </c>
      <c r="N2648" s="6" t="str">
        <f t="shared" si="83"/>
        <v>New Customers</v>
      </c>
    </row>
    <row r="2649" spans="1:14" x14ac:dyDescent="0.35">
      <c r="A2649">
        <v>1118</v>
      </c>
      <c r="B2649" s="4">
        <v>46054.375085336993</v>
      </c>
      <c r="C2649" t="s">
        <v>11</v>
      </c>
      <c r="D2649" t="s">
        <v>18</v>
      </c>
      <c r="E2649" t="s">
        <v>23</v>
      </c>
      <c r="F2649">
        <v>1246.53</v>
      </c>
      <c r="G2649">
        <f t="array" ref="G2649">SalesData!$I$2 - 'RFM Table'!B2649</f>
        <v>82</v>
      </c>
      <c r="H2649">
        <f t="array" ref="H2649">COUNTIF(A:A,A2649)</f>
        <v>10</v>
      </c>
      <c r="I2649">
        <f t="array" ref="I2649">SUMIF(A:A,A2649,F:F)</f>
        <v>40587.47</v>
      </c>
      <c r="J2649">
        <f t="array" ref="J2649">5 - INT(5 * (RANK(G2649,G:G, 1) - 1) / COUNT(G:G))</f>
        <v>5</v>
      </c>
      <c r="K2649">
        <f t="array" ref="K2649">INT(5 * (RANK(H2649,H:H, 0) - 1) / COUNT(H:H)) + 1</f>
        <v>2</v>
      </c>
      <c r="L2649">
        <f t="array" ref="L2649">INT(5 * (RANK(I2649,I:I, 0) - 1) / COUNT(I:I)) + 1</f>
        <v>2</v>
      </c>
      <c r="M2649" t="str">
        <f t="shared" si="82"/>
        <v>522</v>
      </c>
      <c r="N2649" s="6" t="str">
        <f t="shared" si="83"/>
        <v>New Customers</v>
      </c>
    </row>
    <row r="2650" spans="1:14" x14ac:dyDescent="0.35">
      <c r="A2650">
        <v>1200</v>
      </c>
      <c r="B2650" s="4">
        <v>46054.375085336993</v>
      </c>
      <c r="C2650" t="s">
        <v>12</v>
      </c>
      <c r="D2650" t="s">
        <v>16</v>
      </c>
      <c r="E2650" t="s">
        <v>24</v>
      </c>
      <c r="F2650">
        <v>1722.11</v>
      </c>
      <c r="G2650">
        <f t="array" ref="G2650">SalesData!$I$2 - 'RFM Table'!B2650</f>
        <v>82</v>
      </c>
      <c r="H2650">
        <f t="array" ref="H2650">COUNTIF(A:A,A2650)</f>
        <v>6</v>
      </c>
      <c r="I2650">
        <f t="array" ref="I2650">SUMIF(A:A,A2650,F:F)</f>
        <v>24862.18</v>
      </c>
      <c r="J2650">
        <f t="array" ref="J2650">5 - INT(5 * (RANK(G2650,G:G, 1) - 1) / COUNT(G:G))</f>
        <v>5</v>
      </c>
      <c r="K2650">
        <f t="array" ref="K2650">INT(5 * (RANK(H2650,H:H, 0) - 1) / COUNT(H:H)) + 1</f>
        <v>4</v>
      </c>
      <c r="L2650">
        <f t="array" ref="L2650">INT(5 * (RANK(I2650,I:I, 0) - 1) / COUNT(I:I)) + 1</f>
        <v>4</v>
      </c>
      <c r="M2650" t="str">
        <f t="shared" si="82"/>
        <v>544</v>
      </c>
      <c r="N2650" s="6" t="str">
        <f t="shared" si="83"/>
        <v>Others</v>
      </c>
    </row>
    <row r="2651" spans="1:14" x14ac:dyDescent="0.35">
      <c r="A2651">
        <v>1378</v>
      </c>
      <c r="B2651" s="4">
        <v>46054.375085336993</v>
      </c>
      <c r="C2651" t="s">
        <v>12</v>
      </c>
      <c r="D2651" t="s">
        <v>16</v>
      </c>
      <c r="E2651" t="s">
        <v>23</v>
      </c>
      <c r="F2651">
        <v>4603.63</v>
      </c>
      <c r="G2651">
        <f t="array" ref="G2651">SalesData!$I$2 - 'RFM Table'!B2651</f>
        <v>82</v>
      </c>
      <c r="H2651">
        <f t="array" ref="H2651">COUNTIF(A:A,A2651)</f>
        <v>11</v>
      </c>
      <c r="I2651">
        <f t="array" ref="I2651">SUMIF(A:A,A2651,F:F)</f>
        <v>58842.799999999996</v>
      </c>
      <c r="J2651">
        <f t="array" ref="J2651">5 - INT(5 * (RANK(G2651,G:G, 1) - 1) / COUNT(G:G))</f>
        <v>5</v>
      </c>
      <c r="K2651">
        <f t="array" ref="K2651">INT(5 * (RANK(H2651,H:H, 0) - 1) / COUNT(H:H)) + 1</f>
        <v>1</v>
      </c>
      <c r="L2651">
        <f t="array" ref="L2651">INT(5 * (RANK(I2651,I:I, 0) - 1) / COUNT(I:I)) + 1</f>
        <v>1</v>
      </c>
      <c r="M2651" t="str">
        <f t="shared" si="82"/>
        <v>511</v>
      </c>
      <c r="N2651" s="6" t="str">
        <f t="shared" si="83"/>
        <v>New Customers</v>
      </c>
    </row>
    <row r="2652" spans="1:14" x14ac:dyDescent="0.35">
      <c r="A2652">
        <v>1043</v>
      </c>
      <c r="B2652" s="4">
        <v>46055.375085336993</v>
      </c>
      <c r="C2652" t="s">
        <v>8</v>
      </c>
      <c r="D2652" t="s">
        <v>16</v>
      </c>
      <c r="E2652" t="s">
        <v>24</v>
      </c>
      <c r="F2652">
        <v>2881.66</v>
      </c>
      <c r="G2652">
        <f t="array" ref="G2652">SalesData!$I$2 - 'RFM Table'!B2652</f>
        <v>81</v>
      </c>
      <c r="H2652">
        <f t="array" ref="H2652">COUNTIF(A:A,A2652)</f>
        <v>7</v>
      </c>
      <c r="I2652">
        <f t="array" ref="I2652">SUMIF(A:A,A2652,F:F)</f>
        <v>20627.900000000001</v>
      </c>
      <c r="J2652">
        <f t="array" ref="J2652">5 - INT(5 * (RANK(G2652,G:G, 1) - 1) / COUNT(G:G))</f>
        <v>5</v>
      </c>
      <c r="K2652">
        <f t="array" ref="K2652">INT(5 * (RANK(H2652,H:H, 0) - 1) / COUNT(H:H)) + 1</f>
        <v>4</v>
      </c>
      <c r="L2652">
        <f t="array" ref="L2652">INT(5 * (RANK(I2652,I:I, 0) - 1) / COUNT(I:I)) + 1</f>
        <v>5</v>
      </c>
      <c r="M2652" t="str">
        <f t="shared" si="82"/>
        <v>545</v>
      </c>
      <c r="N2652" s="6" t="str">
        <f t="shared" si="83"/>
        <v>Others</v>
      </c>
    </row>
    <row r="2653" spans="1:14" x14ac:dyDescent="0.35">
      <c r="A2653">
        <v>1008</v>
      </c>
      <c r="B2653" s="4">
        <v>46055.375085336993</v>
      </c>
      <c r="C2653" t="s">
        <v>10</v>
      </c>
      <c r="D2653" t="s">
        <v>20</v>
      </c>
      <c r="E2653" t="s">
        <v>25</v>
      </c>
      <c r="F2653">
        <v>2118.9499999999998</v>
      </c>
      <c r="G2653">
        <f t="array" ref="G2653">SalesData!$I$2 - 'RFM Table'!B2653</f>
        <v>81</v>
      </c>
      <c r="H2653">
        <f t="array" ref="H2653">COUNTIF(A:A,A2653)</f>
        <v>9</v>
      </c>
      <c r="I2653">
        <f t="array" ref="I2653">SUMIF(A:A,A2653,F:F)</f>
        <v>32548.37</v>
      </c>
      <c r="J2653">
        <f t="array" ref="J2653">5 - INT(5 * (RANK(G2653,G:G, 1) - 1) / COUNT(G:G))</f>
        <v>5</v>
      </c>
      <c r="K2653">
        <f t="array" ref="K2653">INT(5 * (RANK(H2653,H:H, 0) - 1) / COUNT(H:H)) + 1</f>
        <v>2</v>
      </c>
      <c r="L2653">
        <f t="array" ref="L2653">INT(5 * (RANK(I2653,I:I, 0) - 1) / COUNT(I:I)) + 1</f>
        <v>3</v>
      </c>
      <c r="M2653" t="str">
        <f t="shared" si="82"/>
        <v>523</v>
      </c>
      <c r="N2653" s="6" t="str">
        <f t="shared" si="83"/>
        <v>New Customers</v>
      </c>
    </row>
    <row r="2654" spans="1:14" x14ac:dyDescent="0.35">
      <c r="A2654">
        <v>1309</v>
      </c>
      <c r="B2654" s="4">
        <v>46055.375085336993</v>
      </c>
      <c r="C2654" t="s">
        <v>8</v>
      </c>
      <c r="D2654" t="s">
        <v>19</v>
      </c>
      <c r="E2654" t="s">
        <v>25</v>
      </c>
      <c r="F2654">
        <v>6005.95</v>
      </c>
      <c r="G2654">
        <f t="array" ref="G2654">SalesData!$I$2 - 'RFM Table'!B2654</f>
        <v>81</v>
      </c>
      <c r="H2654">
        <f t="array" ref="H2654">COUNTIF(A:A,A2654)</f>
        <v>11</v>
      </c>
      <c r="I2654">
        <f t="array" ref="I2654">SUMIF(A:A,A2654,F:F)</f>
        <v>43078.749999999993</v>
      </c>
      <c r="J2654">
        <f t="array" ref="J2654">5 - INT(5 * (RANK(G2654,G:G, 1) - 1) / COUNT(G:G))</f>
        <v>5</v>
      </c>
      <c r="K2654">
        <f t="array" ref="K2654">INT(5 * (RANK(H2654,H:H, 0) - 1) / COUNT(H:H)) + 1</f>
        <v>1</v>
      </c>
      <c r="L2654">
        <f t="array" ref="L2654">INT(5 * (RANK(I2654,I:I, 0) - 1) / COUNT(I:I)) + 1</f>
        <v>2</v>
      </c>
      <c r="M2654" t="str">
        <f t="shared" si="82"/>
        <v>512</v>
      </c>
      <c r="N2654" s="6" t="str">
        <f t="shared" si="83"/>
        <v>New Customers</v>
      </c>
    </row>
    <row r="2655" spans="1:14" x14ac:dyDescent="0.35">
      <c r="A2655">
        <v>1149</v>
      </c>
      <c r="B2655" s="4">
        <v>46055.375085336993</v>
      </c>
      <c r="C2655" t="s">
        <v>9</v>
      </c>
      <c r="D2655" t="s">
        <v>21</v>
      </c>
      <c r="E2655" t="s">
        <v>25</v>
      </c>
      <c r="F2655">
        <v>3131.55</v>
      </c>
      <c r="G2655">
        <f t="array" ref="G2655">SalesData!$I$2 - 'RFM Table'!B2655</f>
        <v>81</v>
      </c>
      <c r="H2655">
        <f t="array" ref="H2655">COUNTIF(A:A,A2655)</f>
        <v>8</v>
      </c>
      <c r="I2655">
        <f t="array" ref="I2655">SUMIF(A:A,A2655,F:F)</f>
        <v>22978.19</v>
      </c>
      <c r="J2655">
        <f t="array" ref="J2655">5 - INT(5 * (RANK(G2655,G:G, 1) - 1) / COUNT(G:G))</f>
        <v>5</v>
      </c>
      <c r="K2655">
        <f t="array" ref="K2655">INT(5 * (RANK(H2655,H:H, 0) - 1) / COUNT(H:H)) + 1</f>
        <v>3</v>
      </c>
      <c r="L2655">
        <f t="array" ref="L2655">INT(5 * (RANK(I2655,I:I, 0) - 1) / COUNT(I:I)) + 1</f>
        <v>4</v>
      </c>
      <c r="M2655" t="str">
        <f t="shared" si="82"/>
        <v>534</v>
      </c>
      <c r="N2655" s="6" t="str">
        <f t="shared" si="83"/>
        <v>Others</v>
      </c>
    </row>
    <row r="2656" spans="1:14" x14ac:dyDescent="0.35">
      <c r="A2656">
        <v>1038</v>
      </c>
      <c r="B2656" s="4">
        <v>46055.375085336993</v>
      </c>
      <c r="C2656" t="s">
        <v>14</v>
      </c>
      <c r="D2656" t="s">
        <v>21</v>
      </c>
      <c r="E2656" t="s">
        <v>24</v>
      </c>
      <c r="F2656">
        <v>2353.7199999999998</v>
      </c>
      <c r="G2656">
        <f t="array" ref="G2656">SalesData!$I$2 - 'RFM Table'!B2656</f>
        <v>81</v>
      </c>
      <c r="H2656">
        <f t="array" ref="H2656">COUNTIF(A:A,A2656)</f>
        <v>16</v>
      </c>
      <c r="I2656">
        <f t="array" ref="I2656">SUMIF(A:A,A2656,F:F)</f>
        <v>76962.720000000001</v>
      </c>
      <c r="J2656">
        <f t="array" ref="J2656">5 - INT(5 * (RANK(G2656,G:G, 1) - 1) / COUNT(G:G))</f>
        <v>5</v>
      </c>
      <c r="K2656">
        <f t="array" ref="K2656">INT(5 * (RANK(H2656,H:H, 0) - 1) / COUNT(H:H)) + 1</f>
        <v>1</v>
      </c>
      <c r="L2656">
        <f t="array" ref="L2656">INT(5 * (RANK(I2656,I:I, 0) - 1) / COUNT(I:I)) + 1</f>
        <v>1</v>
      </c>
      <c r="M2656" t="str">
        <f t="shared" si="82"/>
        <v>511</v>
      </c>
      <c r="N2656" s="6" t="str">
        <f t="shared" si="83"/>
        <v>New Customers</v>
      </c>
    </row>
    <row r="2657" spans="1:14" x14ac:dyDescent="0.35">
      <c r="A2657">
        <v>1322</v>
      </c>
      <c r="B2657" s="4">
        <v>46055.375085336993</v>
      </c>
      <c r="C2657" t="s">
        <v>7</v>
      </c>
      <c r="D2657" t="s">
        <v>21</v>
      </c>
      <c r="E2657" t="s">
        <v>24</v>
      </c>
      <c r="F2657">
        <v>3529.93</v>
      </c>
      <c r="G2657">
        <f t="array" ref="G2657">SalesData!$I$2 - 'RFM Table'!B2657</f>
        <v>81</v>
      </c>
      <c r="H2657">
        <f t="array" ref="H2657">COUNTIF(A:A,A2657)</f>
        <v>8</v>
      </c>
      <c r="I2657">
        <f t="array" ref="I2657">SUMIF(A:A,A2657,F:F)</f>
        <v>30924.840000000004</v>
      </c>
      <c r="J2657">
        <f t="array" ref="J2657">5 - INT(5 * (RANK(G2657,G:G, 1) - 1) / COUNT(G:G))</f>
        <v>5</v>
      </c>
      <c r="K2657">
        <f t="array" ref="K2657">INT(5 * (RANK(H2657,H:H, 0) - 1) / COUNT(H:H)) + 1</f>
        <v>3</v>
      </c>
      <c r="L2657">
        <f t="array" ref="L2657">INT(5 * (RANK(I2657,I:I, 0) - 1) / COUNT(I:I)) + 1</f>
        <v>3</v>
      </c>
      <c r="M2657" t="str">
        <f t="shared" si="82"/>
        <v>533</v>
      </c>
      <c r="N2657" s="6" t="str">
        <f t="shared" si="83"/>
        <v>Others</v>
      </c>
    </row>
    <row r="2658" spans="1:14" x14ac:dyDescent="0.35">
      <c r="A2658">
        <v>1073</v>
      </c>
      <c r="B2658" s="4">
        <v>46055.375085336993</v>
      </c>
      <c r="C2658" t="s">
        <v>9</v>
      </c>
      <c r="D2658" t="s">
        <v>17</v>
      </c>
      <c r="E2658" t="s">
        <v>23</v>
      </c>
      <c r="F2658">
        <v>3146.93</v>
      </c>
      <c r="G2658">
        <f t="array" ref="G2658">SalesData!$I$2 - 'RFM Table'!B2658</f>
        <v>81</v>
      </c>
      <c r="H2658">
        <f t="array" ref="H2658">COUNTIF(A:A,A2658)</f>
        <v>3</v>
      </c>
      <c r="I2658">
        <f t="array" ref="I2658">SUMIF(A:A,A2658,F:F)</f>
        <v>15334.130000000001</v>
      </c>
      <c r="J2658">
        <f t="array" ref="J2658">5 - INT(5 * (RANK(G2658,G:G, 1) - 1) / COUNT(G:G))</f>
        <v>5</v>
      </c>
      <c r="K2658">
        <f t="array" ref="K2658">INT(5 * (RANK(H2658,H:H, 0) - 1) / COUNT(H:H)) + 1</f>
        <v>5</v>
      </c>
      <c r="L2658">
        <f t="array" ref="L2658">INT(5 * (RANK(I2658,I:I, 0) - 1) / COUNT(I:I)) + 1</f>
        <v>5</v>
      </c>
      <c r="M2658" t="str">
        <f t="shared" si="82"/>
        <v>555</v>
      </c>
      <c r="N2658" s="6" t="str">
        <f t="shared" si="83"/>
        <v>Others</v>
      </c>
    </row>
    <row r="2659" spans="1:14" x14ac:dyDescent="0.35">
      <c r="A2659">
        <v>1075</v>
      </c>
      <c r="B2659" s="4">
        <v>46055.375085336993</v>
      </c>
      <c r="C2659" t="s">
        <v>13</v>
      </c>
      <c r="D2659" t="s">
        <v>19</v>
      </c>
      <c r="E2659" t="s">
        <v>24</v>
      </c>
      <c r="F2659">
        <v>3657.47</v>
      </c>
      <c r="G2659">
        <f t="array" ref="G2659">SalesData!$I$2 - 'RFM Table'!B2659</f>
        <v>81</v>
      </c>
      <c r="H2659">
        <f t="array" ref="H2659">COUNTIF(A:A,A2659)</f>
        <v>8</v>
      </c>
      <c r="I2659">
        <f t="array" ref="I2659">SUMIF(A:A,A2659,F:F)</f>
        <v>27084.66</v>
      </c>
      <c r="J2659">
        <f t="array" ref="J2659">5 - INT(5 * (RANK(G2659,G:G, 1) - 1) / COUNT(G:G))</f>
        <v>5</v>
      </c>
      <c r="K2659">
        <f t="array" ref="K2659">INT(5 * (RANK(H2659,H:H, 0) - 1) / COUNT(H:H)) + 1</f>
        <v>3</v>
      </c>
      <c r="L2659">
        <f t="array" ref="L2659">INT(5 * (RANK(I2659,I:I, 0) - 1) / COUNT(I:I)) + 1</f>
        <v>4</v>
      </c>
      <c r="M2659" t="str">
        <f t="shared" si="82"/>
        <v>534</v>
      </c>
      <c r="N2659" s="6" t="str">
        <f t="shared" si="83"/>
        <v>Others</v>
      </c>
    </row>
    <row r="2660" spans="1:14" x14ac:dyDescent="0.35">
      <c r="A2660">
        <v>1292</v>
      </c>
      <c r="B2660" s="4">
        <v>46056.375085336993</v>
      </c>
      <c r="C2660" t="s">
        <v>6</v>
      </c>
      <c r="D2660" t="s">
        <v>17</v>
      </c>
      <c r="E2660" t="s">
        <v>23</v>
      </c>
      <c r="F2660">
        <v>1636.2</v>
      </c>
      <c r="G2660">
        <f t="array" ref="G2660">SalesData!$I$2 - 'RFM Table'!B2660</f>
        <v>80</v>
      </c>
      <c r="H2660">
        <f t="array" ref="H2660">COUNTIF(A:A,A2660)</f>
        <v>15</v>
      </c>
      <c r="I2660">
        <f t="array" ref="I2660">SUMIF(A:A,A2660,F:F)</f>
        <v>49637.999999999993</v>
      </c>
      <c r="J2660">
        <f t="array" ref="J2660">5 - INT(5 * (RANK(G2660,G:G, 1) - 1) / COUNT(G:G))</f>
        <v>5</v>
      </c>
      <c r="K2660">
        <f t="array" ref="K2660">INT(5 * (RANK(H2660,H:H, 0) - 1) / COUNT(H:H)) + 1</f>
        <v>1</v>
      </c>
      <c r="L2660">
        <f t="array" ref="L2660">INT(5 * (RANK(I2660,I:I, 0) - 1) / COUNT(I:I)) + 1</f>
        <v>1</v>
      </c>
      <c r="M2660" t="str">
        <f t="shared" si="82"/>
        <v>511</v>
      </c>
      <c r="N2660" s="6" t="str">
        <f t="shared" si="83"/>
        <v>New Customers</v>
      </c>
    </row>
    <row r="2661" spans="1:14" x14ac:dyDescent="0.35">
      <c r="A2661">
        <v>1016</v>
      </c>
      <c r="B2661" s="4">
        <v>46056.375085336993</v>
      </c>
      <c r="C2661" t="s">
        <v>12</v>
      </c>
      <c r="D2661" t="s">
        <v>21</v>
      </c>
      <c r="E2661" t="s">
        <v>23</v>
      </c>
      <c r="F2661">
        <v>1140.07</v>
      </c>
      <c r="G2661">
        <f t="array" ref="G2661">SalesData!$I$2 - 'RFM Table'!B2661</f>
        <v>80</v>
      </c>
      <c r="H2661">
        <f t="array" ref="H2661">COUNTIF(A:A,A2661)</f>
        <v>9</v>
      </c>
      <c r="I2661">
        <f t="array" ref="I2661">SUMIF(A:A,A2661,F:F)</f>
        <v>37239.53</v>
      </c>
      <c r="J2661">
        <f t="array" ref="J2661">5 - INT(5 * (RANK(G2661,G:G, 1) - 1) / COUNT(G:G))</f>
        <v>5</v>
      </c>
      <c r="K2661">
        <f t="array" ref="K2661">INT(5 * (RANK(H2661,H:H, 0) - 1) / COUNT(H:H)) + 1</f>
        <v>2</v>
      </c>
      <c r="L2661">
        <f t="array" ref="L2661">INT(5 * (RANK(I2661,I:I, 0) - 1) / COUNT(I:I)) + 1</f>
        <v>2</v>
      </c>
      <c r="M2661" t="str">
        <f t="shared" si="82"/>
        <v>522</v>
      </c>
      <c r="N2661" s="6" t="str">
        <f t="shared" si="83"/>
        <v>New Customers</v>
      </c>
    </row>
    <row r="2662" spans="1:14" x14ac:dyDescent="0.35">
      <c r="A2662">
        <v>1309</v>
      </c>
      <c r="B2662" s="4">
        <v>46056.375085336993</v>
      </c>
      <c r="C2662" t="s">
        <v>7</v>
      </c>
      <c r="D2662" t="s">
        <v>20</v>
      </c>
      <c r="E2662" t="s">
        <v>24</v>
      </c>
      <c r="F2662">
        <v>3473.45</v>
      </c>
      <c r="G2662">
        <f t="array" ref="G2662">SalesData!$I$2 - 'RFM Table'!B2662</f>
        <v>80</v>
      </c>
      <c r="H2662">
        <f t="array" ref="H2662">COUNTIF(A:A,A2662)</f>
        <v>11</v>
      </c>
      <c r="I2662">
        <f t="array" ref="I2662">SUMIF(A:A,A2662,F:F)</f>
        <v>43078.749999999993</v>
      </c>
      <c r="J2662">
        <f t="array" ref="J2662">5 - INT(5 * (RANK(G2662,G:G, 1) - 1) / COUNT(G:G))</f>
        <v>5</v>
      </c>
      <c r="K2662">
        <f t="array" ref="K2662">INT(5 * (RANK(H2662,H:H, 0) - 1) / COUNT(H:H)) + 1</f>
        <v>1</v>
      </c>
      <c r="L2662">
        <f t="array" ref="L2662">INT(5 * (RANK(I2662,I:I, 0) - 1) / COUNT(I:I)) + 1</f>
        <v>2</v>
      </c>
      <c r="M2662" t="str">
        <f t="shared" si="82"/>
        <v>512</v>
      </c>
      <c r="N2662" s="6" t="str">
        <f t="shared" si="83"/>
        <v>New Customers</v>
      </c>
    </row>
    <row r="2663" spans="1:14" x14ac:dyDescent="0.35">
      <c r="A2663">
        <v>1120</v>
      </c>
      <c r="B2663" s="4">
        <v>46056.375085336993</v>
      </c>
      <c r="C2663" t="s">
        <v>14</v>
      </c>
      <c r="D2663" t="s">
        <v>17</v>
      </c>
      <c r="E2663" t="s">
        <v>24</v>
      </c>
      <c r="F2663">
        <v>2728.36</v>
      </c>
      <c r="G2663">
        <f t="array" ref="G2663">SalesData!$I$2 - 'RFM Table'!B2663</f>
        <v>80</v>
      </c>
      <c r="H2663">
        <f t="array" ref="H2663">COUNTIF(A:A,A2663)</f>
        <v>7</v>
      </c>
      <c r="I2663">
        <f t="array" ref="I2663">SUMIF(A:A,A2663,F:F)</f>
        <v>12366.910000000002</v>
      </c>
      <c r="J2663">
        <f t="array" ref="J2663">5 - INT(5 * (RANK(G2663,G:G, 1) - 1) / COUNT(G:G))</f>
        <v>5</v>
      </c>
      <c r="K2663">
        <f t="array" ref="K2663">INT(5 * (RANK(H2663,H:H, 0) - 1) / COUNT(H:H)) + 1</f>
        <v>4</v>
      </c>
      <c r="L2663">
        <f t="array" ref="L2663">INT(5 * (RANK(I2663,I:I, 0) - 1) / COUNT(I:I)) + 1</f>
        <v>5</v>
      </c>
      <c r="M2663" t="str">
        <f t="shared" si="82"/>
        <v>545</v>
      </c>
      <c r="N2663" s="6" t="str">
        <f t="shared" si="83"/>
        <v>Others</v>
      </c>
    </row>
    <row r="2664" spans="1:14" x14ac:dyDescent="0.35">
      <c r="A2664">
        <v>1048</v>
      </c>
      <c r="B2664" s="4">
        <v>46056.375085336993</v>
      </c>
      <c r="C2664" t="s">
        <v>13</v>
      </c>
      <c r="D2664" t="s">
        <v>18</v>
      </c>
      <c r="E2664" t="s">
        <v>24</v>
      </c>
      <c r="F2664">
        <v>5639.24</v>
      </c>
      <c r="G2664">
        <f t="array" ref="G2664">SalesData!$I$2 - 'RFM Table'!B2664</f>
        <v>80</v>
      </c>
      <c r="H2664">
        <f t="array" ref="H2664">COUNTIF(A:A,A2664)</f>
        <v>9</v>
      </c>
      <c r="I2664">
        <f t="array" ref="I2664">SUMIF(A:A,A2664,F:F)</f>
        <v>34800.239999999998</v>
      </c>
      <c r="J2664">
        <f t="array" ref="J2664">5 - INT(5 * (RANK(G2664,G:G, 1) - 1) / COUNT(G:G))</f>
        <v>5</v>
      </c>
      <c r="K2664">
        <f t="array" ref="K2664">INT(5 * (RANK(H2664,H:H, 0) - 1) / COUNT(H:H)) + 1</f>
        <v>2</v>
      </c>
      <c r="L2664">
        <f t="array" ref="L2664">INT(5 * (RANK(I2664,I:I, 0) - 1) / COUNT(I:I)) + 1</f>
        <v>3</v>
      </c>
      <c r="M2664" t="str">
        <f t="shared" si="82"/>
        <v>523</v>
      </c>
      <c r="N2664" s="6" t="str">
        <f t="shared" si="83"/>
        <v>New Customers</v>
      </c>
    </row>
    <row r="2665" spans="1:14" x14ac:dyDescent="0.35">
      <c r="A2665">
        <v>1233</v>
      </c>
      <c r="B2665" s="4">
        <v>46056.375085336993</v>
      </c>
      <c r="C2665" t="s">
        <v>14</v>
      </c>
      <c r="D2665" t="s">
        <v>19</v>
      </c>
      <c r="E2665" t="s">
        <v>25</v>
      </c>
      <c r="F2665">
        <v>8329.41</v>
      </c>
      <c r="G2665">
        <f t="array" ref="G2665">SalesData!$I$2 - 'RFM Table'!B2665</f>
        <v>80</v>
      </c>
      <c r="H2665">
        <f t="array" ref="H2665">COUNTIF(A:A,A2665)</f>
        <v>4</v>
      </c>
      <c r="I2665">
        <f t="array" ref="I2665">SUMIF(A:A,A2665,F:F)</f>
        <v>25850.79</v>
      </c>
      <c r="J2665">
        <f t="array" ref="J2665">5 - INT(5 * (RANK(G2665,G:G, 1) - 1) / COUNT(G:G))</f>
        <v>5</v>
      </c>
      <c r="K2665">
        <f t="array" ref="K2665">INT(5 * (RANK(H2665,H:H, 0) - 1) / COUNT(H:H)) + 1</f>
        <v>5</v>
      </c>
      <c r="L2665">
        <f t="array" ref="L2665">INT(5 * (RANK(I2665,I:I, 0) - 1) / COUNT(I:I)) + 1</f>
        <v>4</v>
      </c>
      <c r="M2665" t="str">
        <f t="shared" si="82"/>
        <v>554</v>
      </c>
      <c r="N2665" s="6" t="str">
        <f t="shared" si="83"/>
        <v>Others</v>
      </c>
    </row>
    <row r="2666" spans="1:14" x14ac:dyDescent="0.35">
      <c r="A2666">
        <v>1352</v>
      </c>
      <c r="B2666" s="4">
        <v>46057.375085336993</v>
      </c>
      <c r="C2666" t="s">
        <v>8</v>
      </c>
      <c r="D2666" t="s">
        <v>16</v>
      </c>
      <c r="E2666" t="s">
        <v>24</v>
      </c>
      <c r="F2666">
        <v>12700.16</v>
      </c>
      <c r="G2666">
        <f t="array" ref="G2666">SalesData!$I$2 - 'RFM Table'!B2666</f>
        <v>79</v>
      </c>
      <c r="H2666">
        <f t="array" ref="H2666">COUNTIF(A:A,A2666)</f>
        <v>8</v>
      </c>
      <c r="I2666">
        <f t="array" ref="I2666">SUMIF(A:A,A2666,F:F)</f>
        <v>35204.92</v>
      </c>
      <c r="J2666">
        <f t="array" ref="J2666">5 - INT(5 * (RANK(G2666,G:G, 1) - 1) / COUNT(G:G))</f>
        <v>5</v>
      </c>
      <c r="K2666">
        <f t="array" ref="K2666">INT(5 * (RANK(H2666,H:H, 0) - 1) / COUNT(H:H)) + 1</f>
        <v>3</v>
      </c>
      <c r="L2666">
        <f t="array" ref="L2666">INT(5 * (RANK(I2666,I:I, 0) - 1) / COUNT(I:I)) + 1</f>
        <v>3</v>
      </c>
      <c r="M2666" t="str">
        <f t="shared" si="82"/>
        <v>533</v>
      </c>
      <c r="N2666" s="6" t="str">
        <f t="shared" si="83"/>
        <v>Others</v>
      </c>
    </row>
    <row r="2667" spans="1:14" x14ac:dyDescent="0.35">
      <c r="A2667">
        <v>1362</v>
      </c>
      <c r="B2667" s="4">
        <v>46057.375085336993</v>
      </c>
      <c r="C2667" t="s">
        <v>9</v>
      </c>
      <c r="D2667" t="s">
        <v>16</v>
      </c>
      <c r="E2667" t="s">
        <v>23</v>
      </c>
      <c r="F2667">
        <v>3913.71</v>
      </c>
      <c r="G2667">
        <f t="array" ref="G2667">SalesData!$I$2 - 'RFM Table'!B2667</f>
        <v>79</v>
      </c>
      <c r="H2667">
        <f t="array" ref="H2667">COUNTIF(A:A,A2667)</f>
        <v>5</v>
      </c>
      <c r="I2667">
        <f t="array" ref="I2667">SUMIF(A:A,A2667,F:F)</f>
        <v>30121.440000000002</v>
      </c>
      <c r="J2667">
        <f t="array" ref="J2667">5 - INT(5 * (RANK(G2667,G:G, 1) - 1) / COUNT(G:G))</f>
        <v>5</v>
      </c>
      <c r="K2667">
        <f t="array" ref="K2667">INT(5 * (RANK(H2667,H:H, 0) - 1) / COUNT(H:H)) + 1</f>
        <v>5</v>
      </c>
      <c r="L2667">
        <f t="array" ref="L2667">INT(5 * (RANK(I2667,I:I, 0) - 1) / COUNT(I:I)) + 1</f>
        <v>3</v>
      </c>
      <c r="M2667" t="str">
        <f t="shared" si="82"/>
        <v>553</v>
      </c>
      <c r="N2667" s="6" t="str">
        <f t="shared" si="83"/>
        <v>Others</v>
      </c>
    </row>
    <row r="2668" spans="1:14" x14ac:dyDescent="0.35">
      <c r="A2668">
        <v>1155</v>
      </c>
      <c r="B2668" s="4">
        <v>46058.375085336993</v>
      </c>
      <c r="C2668" t="s">
        <v>11</v>
      </c>
      <c r="D2668" t="s">
        <v>17</v>
      </c>
      <c r="E2668" t="s">
        <v>23</v>
      </c>
      <c r="F2668">
        <v>1229.76</v>
      </c>
      <c r="G2668">
        <f t="array" ref="G2668">SalesData!$I$2 - 'RFM Table'!B2668</f>
        <v>78</v>
      </c>
      <c r="H2668">
        <f t="array" ref="H2668">COUNTIF(A:A,A2668)</f>
        <v>5</v>
      </c>
      <c r="I2668">
        <f t="array" ref="I2668">SUMIF(A:A,A2668,F:F)</f>
        <v>15744.06</v>
      </c>
      <c r="J2668">
        <f t="array" ref="J2668">5 - INT(5 * (RANK(G2668,G:G, 1) - 1) / COUNT(G:G))</f>
        <v>5</v>
      </c>
      <c r="K2668">
        <f t="array" ref="K2668">INT(5 * (RANK(H2668,H:H, 0) - 1) / COUNT(H:H)) + 1</f>
        <v>5</v>
      </c>
      <c r="L2668">
        <f t="array" ref="L2668">INT(5 * (RANK(I2668,I:I, 0) - 1) / COUNT(I:I)) + 1</f>
        <v>5</v>
      </c>
      <c r="M2668" t="str">
        <f t="shared" si="82"/>
        <v>555</v>
      </c>
      <c r="N2668" s="6" t="str">
        <f t="shared" si="83"/>
        <v>Others</v>
      </c>
    </row>
    <row r="2669" spans="1:14" x14ac:dyDescent="0.35">
      <c r="A2669">
        <v>1384</v>
      </c>
      <c r="B2669" s="4">
        <v>46058.375085336993</v>
      </c>
      <c r="C2669" t="s">
        <v>15</v>
      </c>
      <c r="D2669" t="s">
        <v>22</v>
      </c>
      <c r="E2669" t="s">
        <v>25</v>
      </c>
      <c r="F2669">
        <v>10455.19</v>
      </c>
      <c r="G2669">
        <f t="array" ref="G2669">SalesData!$I$2 - 'RFM Table'!B2669</f>
        <v>78</v>
      </c>
      <c r="H2669">
        <f t="array" ref="H2669">COUNTIF(A:A,A2669)</f>
        <v>9</v>
      </c>
      <c r="I2669">
        <f t="array" ref="I2669">SUMIF(A:A,A2669,F:F)</f>
        <v>39434.269999999997</v>
      </c>
      <c r="J2669">
        <f t="array" ref="J2669">5 - INT(5 * (RANK(G2669,G:G, 1) - 1) / COUNT(G:G))</f>
        <v>5</v>
      </c>
      <c r="K2669">
        <f t="array" ref="K2669">INT(5 * (RANK(H2669,H:H, 0) - 1) / COUNT(H:H)) + 1</f>
        <v>2</v>
      </c>
      <c r="L2669">
        <f t="array" ref="L2669">INT(5 * (RANK(I2669,I:I, 0) - 1) / COUNT(I:I)) + 1</f>
        <v>2</v>
      </c>
      <c r="M2669" t="str">
        <f t="shared" si="82"/>
        <v>522</v>
      </c>
      <c r="N2669" s="6" t="str">
        <f t="shared" si="83"/>
        <v>New Customers</v>
      </c>
    </row>
    <row r="2670" spans="1:14" x14ac:dyDescent="0.35">
      <c r="A2670">
        <v>1159</v>
      </c>
      <c r="B2670" s="4">
        <v>46058.375085336993</v>
      </c>
      <c r="C2670" t="s">
        <v>14</v>
      </c>
      <c r="D2670" t="s">
        <v>16</v>
      </c>
      <c r="E2670" t="s">
        <v>25</v>
      </c>
      <c r="F2670">
        <v>5365.56</v>
      </c>
      <c r="G2670">
        <f t="array" ref="G2670">SalesData!$I$2 - 'RFM Table'!B2670</f>
        <v>78</v>
      </c>
      <c r="H2670">
        <f t="array" ref="H2670">COUNTIF(A:A,A2670)</f>
        <v>15</v>
      </c>
      <c r="I2670">
        <f t="array" ref="I2670">SUMIF(A:A,A2670,F:F)</f>
        <v>57217.139999999992</v>
      </c>
      <c r="J2670">
        <f t="array" ref="J2670">5 - INT(5 * (RANK(G2670,G:G, 1) - 1) / COUNT(G:G))</f>
        <v>5</v>
      </c>
      <c r="K2670">
        <f t="array" ref="K2670">INT(5 * (RANK(H2670,H:H, 0) - 1) / COUNT(H:H)) + 1</f>
        <v>1</v>
      </c>
      <c r="L2670">
        <f t="array" ref="L2670">INT(5 * (RANK(I2670,I:I, 0) - 1) / COUNT(I:I)) + 1</f>
        <v>1</v>
      </c>
      <c r="M2670" t="str">
        <f t="shared" si="82"/>
        <v>511</v>
      </c>
      <c r="N2670" s="6" t="str">
        <f t="shared" si="83"/>
        <v>New Customers</v>
      </c>
    </row>
    <row r="2671" spans="1:14" x14ac:dyDescent="0.35">
      <c r="A2671">
        <v>1301</v>
      </c>
      <c r="B2671" s="4">
        <v>46058.375085336993</v>
      </c>
      <c r="C2671" t="s">
        <v>7</v>
      </c>
      <c r="D2671" t="s">
        <v>19</v>
      </c>
      <c r="E2671" t="s">
        <v>24</v>
      </c>
      <c r="F2671">
        <v>5817.93</v>
      </c>
      <c r="G2671">
        <f t="array" ref="G2671">SalesData!$I$2 - 'RFM Table'!B2671</f>
        <v>78</v>
      </c>
      <c r="H2671">
        <f t="array" ref="H2671">COUNTIF(A:A,A2671)</f>
        <v>12</v>
      </c>
      <c r="I2671">
        <f t="array" ref="I2671">SUMIF(A:A,A2671,F:F)</f>
        <v>44897.450000000004</v>
      </c>
      <c r="J2671">
        <f t="array" ref="J2671">5 - INT(5 * (RANK(G2671,G:G, 1) - 1) / COUNT(G:G))</f>
        <v>5</v>
      </c>
      <c r="K2671">
        <f t="array" ref="K2671">INT(5 * (RANK(H2671,H:H, 0) - 1) / COUNT(H:H)) + 1</f>
        <v>1</v>
      </c>
      <c r="L2671">
        <f t="array" ref="L2671">INT(5 * (RANK(I2671,I:I, 0) - 1) / COUNT(I:I)) + 1</f>
        <v>1</v>
      </c>
      <c r="M2671" t="str">
        <f t="shared" si="82"/>
        <v>511</v>
      </c>
      <c r="N2671" s="6" t="str">
        <f t="shared" si="83"/>
        <v>New Customers</v>
      </c>
    </row>
    <row r="2672" spans="1:14" x14ac:dyDescent="0.35">
      <c r="A2672">
        <v>1135</v>
      </c>
      <c r="B2672" s="4">
        <v>46058.375085336993</v>
      </c>
      <c r="C2672" t="s">
        <v>6</v>
      </c>
      <c r="D2672" t="s">
        <v>16</v>
      </c>
      <c r="E2672" t="s">
        <v>24</v>
      </c>
      <c r="F2672">
        <v>3483.84</v>
      </c>
      <c r="G2672">
        <f t="array" ref="G2672">SalesData!$I$2 - 'RFM Table'!B2672</f>
        <v>78</v>
      </c>
      <c r="H2672">
        <f t="array" ref="H2672">COUNTIF(A:A,A2672)</f>
        <v>10</v>
      </c>
      <c r="I2672">
        <f t="array" ref="I2672">SUMIF(A:A,A2672,F:F)</f>
        <v>31217.780000000002</v>
      </c>
      <c r="J2672">
        <f t="array" ref="J2672">5 - INT(5 * (RANK(G2672,G:G, 1) - 1) / COUNT(G:G))</f>
        <v>5</v>
      </c>
      <c r="K2672">
        <f t="array" ref="K2672">INT(5 * (RANK(H2672,H:H, 0) - 1) / COUNT(H:H)) + 1</f>
        <v>2</v>
      </c>
      <c r="L2672">
        <f t="array" ref="L2672">INT(5 * (RANK(I2672,I:I, 0) - 1) / COUNT(I:I)) + 1</f>
        <v>3</v>
      </c>
      <c r="M2672" t="str">
        <f t="shared" si="82"/>
        <v>523</v>
      </c>
      <c r="N2672" s="6" t="str">
        <f t="shared" si="83"/>
        <v>New Customers</v>
      </c>
    </row>
    <row r="2673" spans="1:14" x14ac:dyDescent="0.35">
      <c r="A2673">
        <v>1312</v>
      </c>
      <c r="B2673" s="4">
        <v>46059.375085336993</v>
      </c>
      <c r="C2673" t="s">
        <v>11</v>
      </c>
      <c r="D2673" t="s">
        <v>20</v>
      </c>
      <c r="E2673" t="s">
        <v>23</v>
      </c>
      <c r="F2673">
        <v>5022.26</v>
      </c>
      <c r="G2673">
        <f t="array" ref="G2673">SalesData!$I$2 - 'RFM Table'!B2673</f>
        <v>77</v>
      </c>
      <c r="H2673">
        <f t="array" ref="H2673">COUNTIF(A:A,A2673)</f>
        <v>8</v>
      </c>
      <c r="I2673">
        <f t="array" ref="I2673">SUMIF(A:A,A2673,F:F)</f>
        <v>31330.839999999997</v>
      </c>
      <c r="J2673">
        <f t="array" ref="J2673">5 - INT(5 * (RANK(G2673,G:G, 1) - 1) / COUNT(G:G))</f>
        <v>5</v>
      </c>
      <c r="K2673">
        <f t="array" ref="K2673">INT(5 * (RANK(H2673,H:H, 0) - 1) / COUNT(H:H)) + 1</f>
        <v>3</v>
      </c>
      <c r="L2673">
        <f t="array" ref="L2673">INT(5 * (RANK(I2673,I:I, 0) - 1) / COUNT(I:I)) + 1</f>
        <v>3</v>
      </c>
      <c r="M2673" t="str">
        <f t="shared" si="82"/>
        <v>533</v>
      </c>
      <c r="N2673" s="6" t="str">
        <f t="shared" si="83"/>
        <v>Others</v>
      </c>
    </row>
    <row r="2674" spans="1:14" x14ac:dyDescent="0.35">
      <c r="A2674">
        <v>1392</v>
      </c>
      <c r="B2674" s="4">
        <v>46059.375085336993</v>
      </c>
      <c r="C2674" t="s">
        <v>11</v>
      </c>
      <c r="D2674" t="s">
        <v>19</v>
      </c>
      <c r="E2674" t="s">
        <v>24</v>
      </c>
      <c r="F2674">
        <v>918.49</v>
      </c>
      <c r="G2674">
        <f t="array" ref="G2674">SalesData!$I$2 - 'RFM Table'!B2674</f>
        <v>77</v>
      </c>
      <c r="H2674">
        <f t="array" ref="H2674">COUNTIF(A:A,A2674)</f>
        <v>10</v>
      </c>
      <c r="I2674">
        <f t="array" ref="I2674">SUMIF(A:A,A2674,F:F)</f>
        <v>27910.07</v>
      </c>
      <c r="J2674">
        <f t="array" ref="J2674">5 - INT(5 * (RANK(G2674,G:G, 1) - 1) / COUNT(G:G))</f>
        <v>5</v>
      </c>
      <c r="K2674">
        <f t="array" ref="K2674">INT(5 * (RANK(H2674,H:H, 0) - 1) / COUNT(H:H)) + 1</f>
        <v>2</v>
      </c>
      <c r="L2674">
        <f t="array" ref="L2674">INT(5 * (RANK(I2674,I:I, 0) - 1) / COUNT(I:I)) + 1</f>
        <v>4</v>
      </c>
      <c r="M2674" t="str">
        <f t="shared" si="82"/>
        <v>524</v>
      </c>
      <c r="N2674" s="6" t="str">
        <f t="shared" si="83"/>
        <v>New Customers</v>
      </c>
    </row>
    <row r="2675" spans="1:14" x14ac:dyDescent="0.35">
      <c r="A2675">
        <v>1002</v>
      </c>
      <c r="B2675" s="4">
        <v>46059.375085336993</v>
      </c>
      <c r="C2675" t="s">
        <v>6</v>
      </c>
      <c r="D2675" t="s">
        <v>20</v>
      </c>
      <c r="E2675" t="s">
        <v>23</v>
      </c>
      <c r="F2675">
        <v>1585.43</v>
      </c>
      <c r="G2675">
        <f t="array" ref="G2675">SalesData!$I$2 - 'RFM Table'!B2675</f>
        <v>77</v>
      </c>
      <c r="H2675">
        <f t="array" ref="H2675">COUNTIF(A:A,A2675)</f>
        <v>9</v>
      </c>
      <c r="I2675">
        <f t="array" ref="I2675">SUMIF(A:A,A2675,F:F)</f>
        <v>35145.360000000001</v>
      </c>
      <c r="J2675">
        <f t="array" ref="J2675">5 - INT(5 * (RANK(G2675,G:G, 1) - 1) / COUNT(G:G))</f>
        <v>5</v>
      </c>
      <c r="K2675">
        <f t="array" ref="K2675">INT(5 * (RANK(H2675,H:H, 0) - 1) / COUNT(H:H)) + 1</f>
        <v>2</v>
      </c>
      <c r="L2675">
        <f t="array" ref="L2675">INT(5 * (RANK(I2675,I:I, 0) - 1) / COUNT(I:I)) + 1</f>
        <v>3</v>
      </c>
      <c r="M2675" t="str">
        <f t="shared" si="82"/>
        <v>523</v>
      </c>
      <c r="N2675" s="6" t="str">
        <f t="shared" si="83"/>
        <v>New Customers</v>
      </c>
    </row>
    <row r="2676" spans="1:14" x14ac:dyDescent="0.35">
      <c r="A2676">
        <v>1263</v>
      </c>
      <c r="B2676" s="4">
        <v>46059.375085336993</v>
      </c>
      <c r="C2676" t="s">
        <v>14</v>
      </c>
      <c r="D2676" t="s">
        <v>21</v>
      </c>
      <c r="E2676" t="s">
        <v>25</v>
      </c>
      <c r="F2676">
        <v>5564.94</v>
      </c>
      <c r="G2676">
        <f t="array" ref="G2676">SalesData!$I$2 - 'RFM Table'!B2676</f>
        <v>77</v>
      </c>
      <c r="H2676">
        <f t="array" ref="H2676">COUNTIF(A:A,A2676)</f>
        <v>15</v>
      </c>
      <c r="I2676">
        <f t="array" ref="I2676">SUMIF(A:A,A2676,F:F)</f>
        <v>55867.080000000016</v>
      </c>
      <c r="J2676">
        <f t="array" ref="J2676">5 - INT(5 * (RANK(G2676,G:G, 1) - 1) / COUNT(G:G))</f>
        <v>5</v>
      </c>
      <c r="K2676">
        <f t="array" ref="K2676">INT(5 * (RANK(H2676,H:H, 0) - 1) / COUNT(H:H)) + 1</f>
        <v>1</v>
      </c>
      <c r="L2676">
        <f t="array" ref="L2676">INT(5 * (RANK(I2676,I:I, 0) - 1) / COUNT(I:I)) + 1</f>
        <v>1</v>
      </c>
      <c r="M2676" t="str">
        <f t="shared" si="82"/>
        <v>511</v>
      </c>
      <c r="N2676" s="6" t="str">
        <f t="shared" si="83"/>
        <v>New Customers</v>
      </c>
    </row>
    <row r="2677" spans="1:14" x14ac:dyDescent="0.35">
      <c r="A2677">
        <v>1272</v>
      </c>
      <c r="B2677" s="4">
        <v>46060.375085336993</v>
      </c>
      <c r="C2677" t="s">
        <v>10</v>
      </c>
      <c r="D2677" t="s">
        <v>20</v>
      </c>
      <c r="E2677" t="s">
        <v>25</v>
      </c>
      <c r="F2677">
        <v>3264.64</v>
      </c>
      <c r="G2677">
        <f t="array" ref="G2677">SalesData!$I$2 - 'RFM Table'!B2677</f>
        <v>76</v>
      </c>
      <c r="H2677">
        <f t="array" ref="H2677">COUNTIF(A:A,A2677)</f>
        <v>10</v>
      </c>
      <c r="I2677">
        <f t="array" ref="I2677">SUMIF(A:A,A2677,F:F)</f>
        <v>54972.43</v>
      </c>
      <c r="J2677">
        <f t="array" ref="J2677">5 - INT(5 * (RANK(G2677,G:G, 1) - 1) / COUNT(G:G))</f>
        <v>5</v>
      </c>
      <c r="K2677">
        <f t="array" ref="K2677">INT(5 * (RANK(H2677,H:H, 0) - 1) / COUNT(H:H)) + 1</f>
        <v>2</v>
      </c>
      <c r="L2677">
        <f t="array" ref="L2677">INT(5 * (RANK(I2677,I:I, 0) - 1) / COUNT(I:I)) + 1</f>
        <v>1</v>
      </c>
      <c r="M2677" t="str">
        <f t="shared" si="82"/>
        <v>521</v>
      </c>
      <c r="N2677" s="6" t="str">
        <f t="shared" si="83"/>
        <v>New Customers</v>
      </c>
    </row>
    <row r="2678" spans="1:14" x14ac:dyDescent="0.35">
      <c r="A2678">
        <v>1360</v>
      </c>
      <c r="B2678" s="4">
        <v>46060.375085336993</v>
      </c>
      <c r="C2678" t="s">
        <v>7</v>
      </c>
      <c r="D2678" t="s">
        <v>22</v>
      </c>
      <c r="E2678" t="s">
        <v>24</v>
      </c>
      <c r="F2678">
        <v>6352.78</v>
      </c>
      <c r="G2678">
        <f t="array" ref="G2678">SalesData!$I$2 - 'RFM Table'!B2678</f>
        <v>76</v>
      </c>
      <c r="H2678">
        <f t="array" ref="H2678">COUNTIF(A:A,A2678)</f>
        <v>8</v>
      </c>
      <c r="I2678">
        <f t="array" ref="I2678">SUMIF(A:A,A2678,F:F)</f>
        <v>31675.43</v>
      </c>
      <c r="J2678">
        <f t="array" ref="J2678">5 - INT(5 * (RANK(G2678,G:G, 1) - 1) / COUNT(G:G))</f>
        <v>5</v>
      </c>
      <c r="K2678">
        <f t="array" ref="K2678">INT(5 * (RANK(H2678,H:H, 0) - 1) / COUNT(H:H)) + 1</f>
        <v>3</v>
      </c>
      <c r="L2678">
        <f t="array" ref="L2678">INT(5 * (RANK(I2678,I:I, 0) - 1) / COUNT(I:I)) + 1</f>
        <v>3</v>
      </c>
      <c r="M2678" t="str">
        <f t="shared" si="82"/>
        <v>533</v>
      </c>
      <c r="N2678" s="6" t="str">
        <f t="shared" si="83"/>
        <v>Others</v>
      </c>
    </row>
    <row r="2679" spans="1:14" x14ac:dyDescent="0.35">
      <c r="A2679">
        <v>1219</v>
      </c>
      <c r="B2679" s="4">
        <v>46060.375085336993</v>
      </c>
      <c r="C2679" t="s">
        <v>9</v>
      </c>
      <c r="D2679" t="s">
        <v>22</v>
      </c>
      <c r="E2679" t="s">
        <v>23</v>
      </c>
      <c r="F2679">
        <v>2039.28</v>
      </c>
      <c r="G2679">
        <f t="array" ref="G2679">SalesData!$I$2 - 'RFM Table'!B2679</f>
        <v>76</v>
      </c>
      <c r="H2679">
        <f t="array" ref="H2679">COUNTIF(A:A,A2679)</f>
        <v>11</v>
      </c>
      <c r="I2679">
        <f t="array" ref="I2679">SUMIF(A:A,A2679,F:F)</f>
        <v>38976.650000000009</v>
      </c>
      <c r="J2679">
        <f t="array" ref="J2679">5 - INT(5 * (RANK(G2679,G:G, 1) - 1) / COUNT(G:G))</f>
        <v>5</v>
      </c>
      <c r="K2679">
        <f t="array" ref="K2679">INT(5 * (RANK(H2679,H:H, 0) - 1) / COUNT(H:H)) + 1</f>
        <v>1</v>
      </c>
      <c r="L2679">
        <f t="array" ref="L2679">INT(5 * (RANK(I2679,I:I, 0) - 1) / COUNT(I:I)) + 1</f>
        <v>2</v>
      </c>
      <c r="M2679" t="str">
        <f t="shared" si="82"/>
        <v>512</v>
      </c>
      <c r="N2679" s="6" t="str">
        <f t="shared" si="83"/>
        <v>New Customers</v>
      </c>
    </row>
    <row r="2680" spans="1:14" x14ac:dyDescent="0.35">
      <c r="A2680">
        <v>1115</v>
      </c>
      <c r="B2680" s="4">
        <v>46060.375085336993</v>
      </c>
      <c r="C2680" t="s">
        <v>15</v>
      </c>
      <c r="D2680" t="s">
        <v>17</v>
      </c>
      <c r="E2680" t="s">
        <v>23</v>
      </c>
      <c r="F2680">
        <v>2555.09</v>
      </c>
      <c r="G2680">
        <f t="array" ref="G2680">SalesData!$I$2 - 'RFM Table'!B2680</f>
        <v>76</v>
      </c>
      <c r="H2680">
        <f t="array" ref="H2680">COUNTIF(A:A,A2680)</f>
        <v>6</v>
      </c>
      <c r="I2680">
        <f t="array" ref="I2680">SUMIF(A:A,A2680,F:F)</f>
        <v>19413.5</v>
      </c>
      <c r="J2680">
        <f t="array" ref="J2680">5 - INT(5 * (RANK(G2680,G:G, 1) - 1) / COUNT(G:G))</f>
        <v>5</v>
      </c>
      <c r="K2680">
        <f t="array" ref="K2680">INT(5 * (RANK(H2680,H:H, 0) - 1) / COUNT(H:H)) + 1</f>
        <v>4</v>
      </c>
      <c r="L2680">
        <f t="array" ref="L2680">INT(5 * (RANK(I2680,I:I, 0) - 1) / COUNT(I:I)) + 1</f>
        <v>5</v>
      </c>
      <c r="M2680" t="str">
        <f t="shared" si="82"/>
        <v>545</v>
      </c>
      <c r="N2680" s="6" t="str">
        <f t="shared" si="83"/>
        <v>Others</v>
      </c>
    </row>
    <row r="2681" spans="1:14" x14ac:dyDescent="0.35">
      <c r="A2681">
        <v>1027</v>
      </c>
      <c r="B2681" s="4">
        <v>46060.375085336993</v>
      </c>
      <c r="C2681" t="s">
        <v>15</v>
      </c>
      <c r="D2681" t="s">
        <v>16</v>
      </c>
      <c r="E2681" t="s">
        <v>25</v>
      </c>
      <c r="F2681">
        <v>3188.07</v>
      </c>
      <c r="G2681">
        <f t="array" ref="G2681">SalesData!$I$2 - 'RFM Table'!B2681</f>
        <v>76</v>
      </c>
      <c r="H2681">
        <f t="array" ref="H2681">COUNTIF(A:A,A2681)</f>
        <v>7</v>
      </c>
      <c r="I2681">
        <f t="array" ref="I2681">SUMIF(A:A,A2681,F:F)</f>
        <v>31771.820000000003</v>
      </c>
      <c r="J2681">
        <f t="array" ref="J2681">5 - INT(5 * (RANK(G2681,G:G, 1) - 1) / COUNT(G:G))</f>
        <v>5</v>
      </c>
      <c r="K2681">
        <f t="array" ref="K2681">INT(5 * (RANK(H2681,H:H, 0) - 1) / COUNT(H:H)) + 1</f>
        <v>4</v>
      </c>
      <c r="L2681">
        <f t="array" ref="L2681">INT(5 * (RANK(I2681,I:I, 0) - 1) / COUNT(I:I)) + 1</f>
        <v>3</v>
      </c>
      <c r="M2681" t="str">
        <f t="shared" si="82"/>
        <v>543</v>
      </c>
      <c r="N2681" s="6" t="str">
        <f t="shared" si="83"/>
        <v>Others</v>
      </c>
    </row>
    <row r="2682" spans="1:14" x14ac:dyDescent="0.35">
      <c r="A2682">
        <v>1011</v>
      </c>
      <c r="B2682" s="4">
        <v>46060.375085336993</v>
      </c>
      <c r="C2682" t="s">
        <v>6</v>
      </c>
      <c r="D2682" t="s">
        <v>21</v>
      </c>
      <c r="E2682" t="s">
        <v>24</v>
      </c>
      <c r="F2682">
        <v>1402.6</v>
      </c>
      <c r="G2682">
        <f t="array" ref="G2682">SalesData!$I$2 - 'RFM Table'!B2682</f>
        <v>76</v>
      </c>
      <c r="H2682">
        <f t="array" ref="H2682">COUNTIF(A:A,A2682)</f>
        <v>16</v>
      </c>
      <c r="I2682">
        <f t="array" ref="I2682">SUMIF(A:A,A2682,F:F)</f>
        <v>58237.360000000008</v>
      </c>
      <c r="J2682">
        <f t="array" ref="J2682">5 - INT(5 * (RANK(G2682,G:G, 1) - 1) / COUNT(G:G))</f>
        <v>5</v>
      </c>
      <c r="K2682">
        <f t="array" ref="K2682">INT(5 * (RANK(H2682,H:H, 0) - 1) / COUNT(H:H)) + 1</f>
        <v>1</v>
      </c>
      <c r="L2682">
        <f t="array" ref="L2682">INT(5 * (RANK(I2682,I:I, 0) - 1) / COUNT(I:I)) + 1</f>
        <v>1</v>
      </c>
      <c r="M2682" t="str">
        <f t="shared" si="82"/>
        <v>511</v>
      </c>
      <c r="N2682" s="6" t="str">
        <f t="shared" si="83"/>
        <v>New Customers</v>
      </c>
    </row>
    <row r="2683" spans="1:14" x14ac:dyDescent="0.35">
      <c r="A2683">
        <v>1225</v>
      </c>
      <c r="B2683" s="4">
        <v>46061.375085336993</v>
      </c>
      <c r="C2683" t="s">
        <v>10</v>
      </c>
      <c r="D2683" t="s">
        <v>21</v>
      </c>
      <c r="E2683" t="s">
        <v>23</v>
      </c>
      <c r="F2683">
        <v>3298.7</v>
      </c>
      <c r="G2683">
        <f t="array" ref="G2683">SalesData!$I$2 - 'RFM Table'!B2683</f>
        <v>75</v>
      </c>
      <c r="H2683">
        <f t="array" ref="H2683">COUNTIF(A:A,A2683)</f>
        <v>12</v>
      </c>
      <c r="I2683">
        <f t="array" ref="I2683">SUMIF(A:A,A2683,F:F)</f>
        <v>42930.969999999994</v>
      </c>
      <c r="J2683">
        <f t="array" ref="J2683">5 - INT(5 * (RANK(G2683,G:G, 1) - 1) / COUNT(G:G))</f>
        <v>5</v>
      </c>
      <c r="K2683">
        <f t="array" ref="K2683">INT(5 * (RANK(H2683,H:H, 0) - 1) / COUNT(H:H)) + 1</f>
        <v>1</v>
      </c>
      <c r="L2683">
        <f t="array" ref="L2683">INT(5 * (RANK(I2683,I:I, 0) - 1) / COUNT(I:I)) + 1</f>
        <v>2</v>
      </c>
      <c r="M2683" t="str">
        <f t="shared" si="82"/>
        <v>512</v>
      </c>
      <c r="N2683" s="6" t="str">
        <f t="shared" si="83"/>
        <v>New Customers</v>
      </c>
    </row>
    <row r="2684" spans="1:14" x14ac:dyDescent="0.35">
      <c r="A2684">
        <v>1212</v>
      </c>
      <c r="B2684" s="4">
        <v>46061.375085336993</v>
      </c>
      <c r="C2684" t="s">
        <v>8</v>
      </c>
      <c r="D2684" t="s">
        <v>20</v>
      </c>
      <c r="E2684" t="s">
        <v>23</v>
      </c>
      <c r="F2684">
        <v>9326.9500000000007</v>
      </c>
      <c r="G2684">
        <f t="array" ref="G2684">SalesData!$I$2 - 'RFM Table'!B2684</f>
        <v>75</v>
      </c>
      <c r="H2684">
        <f t="array" ref="H2684">COUNTIF(A:A,A2684)</f>
        <v>9</v>
      </c>
      <c r="I2684">
        <f t="array" ref="I2684">SUMIF(A:A,A2684,F:F)</f>
        <v>33311.4</v>
      </c>
      <c r="J2684">
        <f t="array" ref="J2684">5 - INT(5 * (RANK(G2684,G:G, 1) - 1) / COUNT(G:G))</f>
        <v>5</v>
      </c>
      <c r="K2684">
        <f t="array" ref="K2684">INT(5 * (RANK(H2684,H:H, 0) - 1) / COUNT(H:H)) + 1</f>
        <v>2</v>
      </c>
      <c r="L2684">
        <f t="array" ref="L2684">INT(5 * (RANK(I2684,I:I, 0) - 1) / COUNT(I:I)) + 1</f>
        <v>3</v>
      </c>
      <c r="M2684" t="str">
        <f t="shared" si="82"/>
        <v>523</v>
      </c>
      <c r="N2684" s="6" t="str">
        <f t="shared" si="83"/>
        <v>New Customers</v>
      </c>
    </row>
    <row r="2685" spans="1:14" x14ac:dyDescent="0.35">
      <c r="A2685">
        <v>1189</v>
      </c>
      <c r="B2685" s="4">
        <v>46062.375085336993</v>
      </c>
      <c r="C2685" t="s">
        <v>15</v>
      </c>
      <c r="D2685" t="s">
        <v>22</v>
      </c>
      <c r="E2685" t="s">
        <v>23</v>
      </c>
      <c r="F2685">
        <v>3409.78</v>
      </c>
      <c r="G2685">
        <f t="array" ref="G2685">SalesData!$I$2 - 'RFM Table'!B2685</f>
        <v>74</v>
      </c>
      <c r="H2685">
        <f t="array" ref="H2685">COUNTIF(A:A,A2685)</f>
        <v>10</v>
      </c>
      <c r="I2685">
        <f t="array" ref="I2685">SUMIF(A:A,A2685,F:F)</f>
        <v>29994.030000000002</v>
      </c>
      <c r="J2685">
        <f t="array" ref="J2685">5 - INT(5 * (RANK(G2685,G:G, 1) - 1) / COUNT(G:G))</f>
        <v>5</v>
      </c>
      <c r="K2685">
        <f t="array" ref="K2685">INT(5 * (RANK(H2685,H:H, 0) - 1) / COUNT(H:H)) + 1</f>
        <v>2</v>
      </c>
      <c r="L2685">
        <f t="array" ref="L2685">INT(5 * (RANK(I2685,I:I, 0) - 1) / COUNT(I:I)) + 1</f>
        <v>3</v>
      </c>
      <c r="M2685" t="str">
        <f t="shared" si="82"/>
        <v>523</v>
      </c>
      <c r="N2685" s="6" t="str">
        <f t="shared" si="83"/>
        <v>New Customers</v>
      </c>
    </row>
    <row r="2686" spans="1:14" x14ac:dyDescent="0.35">
      <c r="A2686">
        <v>1074</v>
      </c>
      <c r="B2686" s="4">
        <v>46062.375085336993</v>
      </c>
      <c r="C2686" t="s">
        <v>7</v>
      </c>
      <c r="D2686" t="s">
        <v>22</v>
      </c>
      <c r="E2686" t="s">
        <v>25</v>
      </c>
      <c r="F2686">
        <v>2266.2399999999998</v>
      </c>
      <c r="G2686">
        <f t="array" ref="G2686">SalesData!$I$2 - 'RFM Table'!B2686</f>
        <v>74</v>
      </c>
      <c r="H2686">
        <f t="array" ref="H2686">COUNTIF(A:A,A2686)</f>
        <v>8</v>
      </c>
      <c r="I2686">
        <f t="array" ref="I2686">SUMIF(A:A,A2686,F:F)</f>
        <v>23394.15</v>
      </c>
      <c r="J2686">
        <f t="array" ref="J2686">5 - INT(5 * (RANK(G2686,G:G, 1) - 1) / COUNT(G:G))</f>
        <v>5</v>
      </c>
      <c r="K2686">
        <f t="array" ref="K2686">INT(5 * (RANK(H2686,H:H, 0) - 1) / COUNT(H:H)) + 1</f>
        <v>3</v>
      </c>
      <c r="L2686">
        <f t="array" ref="L2686">INT(5 * (RANK(I2686,I:I, 0) - 1) / COUNT(I:I)) + 1</f>
        <v>4</v>
      </c>
      <c r="M2686" t="str">
        <f t="shared" si="82"/>
        <v>534</v>
      </c>
      <c r="N2686" s="6" t="str">
        <f t="shared" si="83"/>
        <v>Others</v>
      </c>
    </row>
    <row r="2687" spans="1:14" x14ac:dyDescent="0.35">
      <c r="A2687">
        <v>1238</v>
      </c>
      <c r="B2687" s="4">
        <v>46062.375085336993</v>
      </c>
      <c r="C2687" t="s">
        <v>13</v>
      </c>
      <c r="D2687" t="s">
        <v>20</v>
      </c>
      <c r="E2687" t="s">
        <v>24</v>
      </c>
      <c r="F2687">
        <v>8255.16</v>
      </c>
      <c r="G2687">
        <f t="array" ref="G2687">SalesData!$I$2 - 'RFM Table'!B2687</f>
        <v>74</v>
      </c>
      <c r="H2687">
        <f t="array" ref="H2687">COUNTIF(A:A,A2687)</f>
        <v>10</v>
      </c>
      <c r="I2687">
        <f t="array" ref="I2687">SUMIF(A:A,A2687,F:F)</f>
        <v>42023.55</v>
      </c>
      <c r="J2687">
        <f t="array" ref="J2687">5 - INT(5 * (RANK(G2687,G:G, 1) - 1) / COUNT(G:G))</f>
        <v>5</v>
      </c>
      <c r="K2687">
        <f t="array" ref="K2687">INT(5 * (RANK(H2687,H:H, 0) - 1) / COUNT(H:H)) + 1</f>
        <v>2</v>
      </c>
      <c r="L2687">
        <f t="array" ref="L2687">INT(5 * (RANK(I2687,I:I, 0) - 1) / COUNT(I:I)) + 1</f>
        <v>2</v>
      </c>
      <c r="M2687" t="str">
        <f t="shared" si="82"/>
        <v>522</v>
      </c>
      <c r="N2687" s="6" t="str">
        <f t="shared" si="83"/>
        <v>New Customers</v>
      </c>
    </row>
    <row r="2688" spans="1:14" x14ac:dyDescent="0.35">
      <c r="A2688">
        <v>1046</v>
      </c>
      <c r="B2688" s="4">
        <v>46062.375085336993</v>
      </c>
      <c r="C2688" t="s">
        <v>8</v>
      </c>
      <c r="D2688" t="s">
        <v>20</v>
      </c>
      <c r="E2688" t="s">
        <v>25</v>
      </c>
      <c r="F2688">
        <v>1489.09</v>
      </c>
      <c r="G2688">
        <f t="array" ref="G2688">SalesData!$I$2 - 'RFM Table'!B2688</f>
        <v>74</v>
      </c>
      <c r="H2688">
        <f t="array" ref="H2688">COUNTIF(A:A,A2688)</f>
        <v>9</v>
      </c>
      <c r="I2688">
        <f t="array" ref="I2688">SUMIF(A:A,A2688,F:F)</f>
        <v>26580.030000000002</v>
      </c>
      <c r="J2688">
        <f t="array" ref="J2688">5 - INT(5 * (RANK(G2688,G:G, 1) - 1) / COUNT(G:G))</f>
        <v>5</v>
      </c>
      <c r="K2688">
        <f t="array" ref="K2688">INT(5 * (RANK(H2688,H:H, 0) - 1) / COUNT(H:H)) + 1</f>
        <v>2</v>
      </c>
      <c r="L2688">
        <f t="array" ref="L2688">INT(5 * (RANK(I2688,I:I, 0) - 1) / COUNT(I:I)) + 1</f>
        <v>4</v>
      </c>
      <c r="M2688" t="str">
        <f t="shared" si="82"/>
        <v>524</v>
      </c>
      <c r="N2688" s="6" t="str">
        <f t="shared" si="83"/>
        <v>New Customers</v>
      </c>
    </row>
    <row r="2689" spans="1:14" x14ac:dyDescent="0.35">
      <c r="A2689">
        <v>1379</v>
      </c>
      <c r="B2689" s="4">
        <v>46063.375085336993</v>
      </c>
      <c r="C2689" t="s">
        <v>10</v>
      </c>
      <c r="D2689" t="s">
        <v>16</v>
      </c>
      <c r="E2689" t="s">
        <v>25</v>
      </c>
      <c r="F2689">
        <v>3812.62</v>
      </c>
      <c r="G2689">
        <f t="array" ref="G2689">SalesData!$I$2 - 'RFM Table'!B2689</f>
        <v>73</v>
      </c>
      <c r="H2689">
        <f t="array" ref="H2689">COUNTIF(A:A,A2689)</f>
        <v>10</v>
      </c>
      <c r="I2689">
        <f t="array" ref="I2689">SUMIF(A:A,A2689,F:F)</f>
        <v>33545.49</v>
      </c>
      <c r="J2689">
        <f t="array" ref="J2689">5 - INT(5 * (RANK(G2689,G:G, 1) - 1) / COUNT(G:G))</f>
        <v>5</v>
      </c>
      <c r="K2689">
        <f t="array" ref="K2689">INT(5 * (RANK(H2689,H:H, 0) - 1) / COUNT(H:H)) + 1</f>
        <v>2</v>
      </c>
      <c r="L2689">
        <f t="array" ref="L2689">INT(5 * (RANK(I2689,I:I, 0) - 1) / COUNT(I:I)) + 1</f>
        <v>3</v>
      </c>
      <c r="M2689" t="str">
        <f t="shared" si="82"/>
        <v>523</v>
      </c>
      <c r="N2689" s="6" t="str">
        <f t="shared" si="83"/>
        <v>New Customers</v>
      </c>
    </row>
    <row r="2690" spans="1:14" x14ac:dyDescent="0.35">
      <c r="A2690">
        <v>1278</v>
      </c>
      <c r="B2690" s="4">
        <v>46063.375085336993</v>
      </c>
      <c r="C2690" t="s">
        <v>9</v>
      </c>
      <c r="D2690" t="s">
        <v>19</v>
      </c>
      <c r="E2690" t="s">
        <v>25</v>
      </c>
      <c r="F2690">
        <v>581.83000000000004</v>
      </c>
      <c r="G2690">
        <f t="array" ref="G2690">SalesData!$I$2 - 'RFM Table'!B2690</f>
        <v>73</v>
      </c>
      <c r="H2690">
        <f t="array" ref="H2690">COUNTIF(A:A,A2690)</f>
        <v>4</v>
      </c>
      <c r="I2690">
        <f t="array" ref="I2690">SUMIF(A:A,A2690,F:F)</f>
        <v>12855.77</v>
      </c>
      <c r="J2690">
        <f t="array" ref="J2690">5 - INT(5 * (RANK(G2690,G:G, 1) - 1) / COUNT(G:G))</f>
        <v>5</v>
      </c>
      <c r="K2690">
        <f t="array" ref="K2690">INT(5 * (RANK(H2690,H:H, 0) - 1) / COUNT(H:H)) + 1</f>
        <v>5</v>
      </c>
      <c r="L2690">
        <f t="array" ref="L2690">INT(5 * (RANK(I2690,I:I, 0) - 1) / COUNT(I:I)) + 1</f>
        <v>5</v>
      </c>
      <c r="M2690" t="str">
        <f t="shared" si="82"/>
        <v>555</v>
      </c>
      <c r="N2690" s="6" t="str">
        <f t="shared" si="83"/>
        <v>Others</v>
      </c>
    </row>
    <row r="2691" spans="1:14" x14ac:dyDescent="0.35">
      <c r="A2691">
        <v>1059</v>
      </c>
      <c r="B2691" s="4">
        <v>46063.375085336993</v>
      </c>
      <c r="C2691" t="s">
        <v>6</v>
      </c>
      <c r="D2691" t="s">
        <v>22</v>
      </c>
      <c r="E2691" t="s">
        <v>25</v>
      </c>
      <c r="F2691">
        <v>5921.96</v>
      </c>
      <c r="G2691">
        <f t="array" ref="G2691">SalesData!$I$2 - 'RFM Table'!B2691</f>
        <v>73</v>
      </c>
      <c r="H2691">
        <f t="array" ref="H2691">COUNTIF(A:A,A2691)</f>
        <v>8</v>
      </c>
      <c r="I2691">
        <f t="array" ref="I2691">SUMIF(A:A,A2691,F:F)</f>
        <v>38016.57</v>
      </c>
      <c r="J2691">
        <f t="array" ref="J2691">5 - INT(5 * (RANK(G2691,G:G, 1) - 1) / COUNT(G:G))</f>
        <v>5</v>
      </c>
      <c r="K2691">
        <f t="array" ref="K2691">INT(5 * (RANK(H2691,H:H, 0) - 1) / COUNT(H:H)) + 1</f>
        <v>3</v>
      </c>
      <c r="L2691">
        <f t="array" ref="L2691">INT(5 * (RANK(I2691,I:I, 0) - 1) / COUNT(I:I)) + 1</f>
        <v>2</v>
      </c>
      <c r="M2691" t="str">
        <f t="shared" ref="M2691:M2754" si="84">J2691 &amp; K2691 &amp; L2691</f>
        <v>532</v>
      </c>
      <c r="N2691" s="6" t="str">
        <f t="shared" ref="N2691:N2754" si="85">IF(AND(J2691&gt;=4,K2691&lt;=2),"New Customers",
IF(AND(J2691&lt;=2,K2691&gt;=3,L2691&gt;=3),"At Risk",
IF(AND(J2691&lt;=2,K2691&lt;=2,L2691&gt;=3),"Can't Lose Them",
IF(AND(J2691&lt;=2,K2691&lt;=2,L2691&lt;=2),"Lost",
"Others"))))</f>
        <v>Others</v>
      </c>
    </row>
    <row r="2692" spans="1:14" x14ac:dyDescent="0.35">
      <c r="A2692">
        <v>1347</v>
      </c>
      <c r="B2692" s="4">
        <v>46063.375085336993</v>
      </c>
      <c r="C2692" t="s">
        <v>10</v>
      </c>
      <c r="D2692" t="s">
        <v>19</v>
      </c>
      <c r="E2692" t="s">
        <v>23</v>
      </c>
      <c r="F2692">
        <v>3531.42</v>
      </c>
      <c r="G2692">
        <f t="array" ref="G2692">SalesData!$I$2 - 'RFM Table'!B2692</f>
        <v>73</v>
      </c>
      <c r="H2692">
        <f t="array" ref="H2692">COUNTIF(A:A,A2692)</f>
        <v>7</v>
      </c>
      <c r="I2692">
        <f t="array" ref="I2692">SUMIF(A:A,A2692,F:F)</f>
        <v>20951.28</v>
      </c>
      <c r="J2692">
        <f t="array" ref="J2692">5 - INT(5 * (RANK(G2692,G:G, 1) - 1) / COUNT(G:G))</f>
        <v>5</v>
      </c>
      <c r="K2692">
        <f t="array" ref="K2692">INT(5 * (RANK(H2692,H:H, 0) - 1) / COUNT(H:H)) + 1</f>
        <v>4</v>
      </c>
      <c r="L2692">
        <f t="array" ref="L2692">INT(5 * (RANK(I2692,I:I, 0) - 1) / COUNT(I:I)) + 1</f>
        <v>5</v>
      </c>
      <c r="M2692" t="str">
        <f t="shared" si="84"/>
        <v>545</v>
      </c>
      <c r="N2692" s="6" t="str">
        <f t="shared" si="85"/>
        <v>Others</v>
      </c>
    </row>
    <row r="2693" spans="1:14" x14ac:dyDescent="0.35">
      <c r="A2693">
        <v>1047</v>
      </c>
      <c r="B2693" s="4">
        <v>46063.375085336993</v>
      </c>
      <c r="C2693" t="s">
        <v>13</v>
      </c>
      <c r="D2693" t="s">
        <v>16</v>
      </c>
      <c r="E2693" t="s">
        <v>25</v>
      </c>
      <c r="F2693">
        <v>5577.93</v>
      </c>
      <c r="G2693">
        <f t="array" ref="G2693">SalesData!$I$2 - 'RFM Table'!B2693</f>
        <v>73</v>
      </c>
      <c r="H2693">
        <f t="array" ref="H2693">COUNTIF(A:A,A2693)</f>
        <v>4</v>
      </c>
      <c r="I2693">
        <f t="array" ref="I2693">SUMIF(A:A,A2693,F:F)</f>
        <v>16102.51</v>
      </c>
      <c r="J2693">
        <f t="array" ref="J2693">5 - INT(5 * (RANK(G2693,G:G, 1) - 1) / COUNT(G:G))</f>
        <v>5</v>
      </c>
      <c r="K2693">
        <f t="array" ref="K2693">INT(5 * (RANK(H2693,H:H, 0) - 1) / COUNT(H:H)) + 1</f>
        <v>5</v>
      </c>
      <c r="L2693">
        <f t="array" ref="L2693">INT(5 * (RANK(I2693,I:I, 0) - 1) / COUNT(I:I)) + 1</f>
        <v>5</v>
      </c>
      <c r="M2693" t="str">
        <f t="shared" si="84"/>
        <v>555</v>
      </c>
      <c r="N2693" s="6" t="str">
        <f t="shared" si="85"/>
        <v>Others</v>
      </c>
    </row>
    <row r="2694" spans="1:14" x14ac:dyDescent="0.35">
      <c r="A2694">
        <v>1201</v>
      </c>
      <c r="B2694" s="4">
        <v>46063.375085336993</v>
      </c>
      <c r="C2694" t="s">
        <v>15</v>
      </c>
      <c r="D2694" t="s">
        <v>20</v>
      </c>
      <c r="E2694" t="s">
        <v>23</v>
      </c>
      <c r="F2694">
        <v>7325.14</v>
      </c>
      <c r="G2694">
        <f t="array" ref="G2694">SalesData!$I$2 - 'RFM Table'!B2694</f>
        <v>73</v>
      </c>
      <c r="H2694">
        <f t="array" ref="H2694">COUNTIF(A:A,A2694)</f>
        <v>10</v>
      </c>
      <c r="I2694">
        <f t="array" ref="I2694">SUMIF(A:A,A2694,F:F)</f>
        <v>30897.65</v>
      </c>
      <c r="J2694">
        <f t="array" ref="J2694">5 - INT(5 * (RANK(G2694,G:G, 1) - 1) / COUNT(G:G))</f>
        <v>5</v>
      </c>
      <c r="K2694">
        <f t="array" ref="K2694">INT(5 * (RANK(H2694,H:H, 0) - 1) / COUNT(H:H)) + 1</f>
        <v>2</v>
      </c>
      <c r="L2694">
        <f t="array" ref="L2694">INT(5 * (RANK(I2694,I:I, 0) - 1) / COUNT(I:I)) + 1</f>
        <v>3</v>
      </c>
      <c r="M2694" t="str">
        <f t="shared" si="84"/>
        <v>523</v>
      </c>
      <c r="N2694" s="6" t="str">
        <f t="shared" si="85"/>
        <v>New Customers</v>
      </c>
    </row>
    <row r="2695" spans="1:14" x14ac:dyDescent="0.35">
      <c r="A2695">
        <v>1005</v>
      </c>
      <c r="B2695" s="4">
        <v>46064.375085336993</v>
      </c>
      <c r="C2695" t="s">
        <v>14</v>
      </c>
      <c r="D2695" t="s">
        <v>16</v>
      </c>
      <c r="E2695" t="s">
        <v>25</v>
      </c>
      <c r="F2695">
        <v>16130.83</v>
      </c>
      <c r="G2695">
        <f t="array" ref="G2695">SalesData!$I$2 - 'RFM Table'!B2695</f>
        <v>72</v>
      </c>
      <c r="H2695">
        <f t="array" ref="H2695">COUNTIF(A:A,A2695)</f>
        <v>4</v>
      </c>
      <c r="I2695">
        <f t="array" ref="I2695">SUMIF(A:A,A2695,F:F)</f>
        <v>30283.82</v>
      </c>
      <c r="J2695">
        <f t="array" ref="J2695">5 - INT(5 * (RANK(G2695,G:G, 1) - 1) / COUNT(G:G))</f>
        <v>5</v>
      </c>
      <c r="K2695">
        <f t="array" ref="K2695">INT(5 * (RANK(H2695,H:H, 0) - 1) / COUNT(H:H)) + 1</f>
        <v>5</v>
      </c>
      <c r="L2695">
        <f t="array" ref="L2695">INT(5 * (RANK(I2695,I:I, 0) - 1) / COUNT(I:I)) + 1</f>
        <v>3</v>
      </c>
      <c r="M2695" t="str">
        <f t="shared" si="84"/>
        <v>553</v>
      </c>
      <c r="N2695" s="6" t="str">
        <f t="shared" si="85"/>
        <v>Others</v>
      </c>
    </row>
    <row r="2696" spans="1:14" x14ac:dyDescent="0.35">
      <c r="A2696">
        <v>1172</v>
      </c>
      <c r="B2696" s="4">
        <v>46064.375085336993</v>
      </c>
      <c r="C2696" t="s">
        <v>9</v>
      </c>
      <c r="D2696" t="s">
        <v>17</v>
      </c>
      <c r="E2696" t="s">
        <v>24</v>
      </c>
      <c r="F2696">
        <v>3541.1</v>
      </c>
      <c r="G2696">
        <f t="array" ref="G2696">SalesData!$I$2 - 'RFM Table'!B2696</f>
        <v>72</v>
      </c>
      <c r="H2696">
        <f t="array" ref="H2696">COUNTIF(A:A,A2696)</f>
        <v>13</v>
      </c>
      <c r="I2696">
        <f t="array" ref="I2696">SUMIF(A:A,A2696,F:F)</f>
        <v>64175.24</v>
      </c>
      <c r="J2696">
        <f t="array" ref="J2696">5 - INT(5 * (RANK(G2696,G:G, 1) - 1) / COUNT(G:G))</f>
        <v>5</v>
      </c>
      <c r="K2696">
        <f t="array" ref="K2696">INT(5 * (RANK(H2696,H:H, 0) - 1) / COUNT(H:H)) + 1</f>
        <v>1</v>
      </c>
      <c r="L2696">
        <f t="array" ref="L2696">INT(5 * (RANK(I2696,I:I, 0) - 1) / COUNT(I:I)) + 1</f>
        <v>1</v>
      </c>
      <c r="M2696" t="str">
        <f t="shared" si="84"/>
        <v>511</v>
      </c>
      <c r="N2696" s="6" t="str">
        <f t="shared" si="85"/>
        <v>New Customers</v>
      </c>
    </row>
    <row r="2697" spans="1:14" x14ac:dyDescent="0.35">
      <c r="A2697">
        <v>1167</v>
      </c>
      <c r="B2697" s="4">
        <v>46064.375085336993</v>
      </c>
      <c r="C2697" t="s">
        <v>8</v>
      </c>
      <c r="D2697" t="s">
        <v>20</v>
      </c>
      <c r="E2697" t="s">
        <v>25</v>
      </c>
      <c r="F2697">
        <v>7958.47</v>
      </c>
      <c r="G2697">
        <f t="array" ref="G2697">SalesData!$I$2 - 'RFM Table'!B2697</f>
        <v>72</v>
      </c>
      <c r="H2697">
        <f t="array" ref="H2697">COUNTIF(A:A,A2697)</f>
        <v>5</v>
      </c>
      <c r="I2697">
        <f t="array" ref="I2697">SUMIF(A:A,A2697,F:F)</f>
        <v>19417.830000000002</v>
      </c>
      <c r="J2697">
        <f t="array" ref="J2697">5 - INT(5 * (RANK(G2697,G:G, 1) - 1) / COUNT(G:G))</f>
        <v>5</v>
      </c>
      <c r="K2697">
        <f t="array" ref="K2697">INT(5 * (RANK(H2697,H:H, 0) - 1) / COUNT(H:H)) + 1</f>
        <v>5</v>
      </c>
      <c r="L2697">
        <f t="array" ref="L2697">INT(5 * (RANK(I2697,I:I, 0) - 1) / COUNT(I:I)) + 1</f>
        <v>5</v>
      </c>
      <c r="M2697" t="str">
        <f t="shared" si="84"/>
        <v>555</v>
      </c>
      <c r="N2697" s="6" t="str">
        <f t="shared" si="85"/>
        <v>Others</v>
      </c>
    </row>
    <row r="2698" spans="1:14" x14ac:dyDescent="0.35">
      <c r="A2698">
        <v>1349</v>
      </c>
      <c r="B2698" s="4">
        <v>46064.375085336993</v>
      </c>
      <c r="C2698" t="s">
        <v>15</v>
      </c>
      <c r="D2698" t="s">
        <v>22</v>
      </c>
      <c r="E2698" t="s">
        <v>24</v>
      </c>
      <c r="F2698">
        <v>3120.73</v>
      </c>
      <c r="G2698">
        <f t="array" ref="G2698">SalesData!$I$2 - 'RFM Table'!B2698</f>
        <v>72</v>
      </c>
      <c r="H2698">
        <f t="array" ref="H2698">COUNTIF(A:A,A2698)</f>
        <v>8</v>
      </c>
      <c r="I2698">
        <f t="array" ref="I2698">SUMIF(A:A,A2698,F:F)</f>
        <v>24691.75</v>
      </c>
      <c r="J2698">
        <f t="array" ref="J2698">5 - INT(5 * (RANK(G2698,G:G, 1) - 1) / COUNT(G:G))</f>
        <v>5</v>
      </c>
      <c r="K2698">
        <f t="array" ref="K2698">INT(5 * (RANK(H2698,H:H, 0) - 1) / COUNT(H:H)) + 1</f>
        <v>3</v>
      </c>
      <c r="L2698">
        <f t="array" ref="L2698">INT(5 * (RANK(I2698,I:I, 0) - 1) / COUNT(I:I)) + 1</f>
        <v>4</v>
      </c>
      <c r="M2698" t="str">
        <f t="shared" si="84"/>
        <v>534</v>
      </c>
      <c r="N2698" s="6" t="str">
        <f t="shared" si="85"/>
        <v>Others</v>
      </c>
    </row>
    <row r="2699" spans="1:14" x14ac:dyDescent="0.35">
      <c r="A2699">
        <v>1221</v>
      </c>
      <c r="B2699" s="4">
        <v>46064.375085336993</v>
      </c>
      <c r="C2699" t="s">
        <v>12</v>
      </c>
      <c r="D2699" t="s">
        <v>22</v>
      </c>
      <c r="E2699" t="s">
        <v>23</v>
      </c>
      <c r="F2699">
        <v>5321.83</v>
      </c>
      <c r="G2699">
        <f t="array" ref="G2699">SalesData!$I$2 - 'RFM Table'!B2699</f>
        <v>72</v>
      </c>
      <c r="H2699">
        <f t="array" ref="H2699">COUNTIF(A:A,A2699)</f>
        <v>8</v>
      </c>
      <c r="I2699">
        <f t="array" ref="I2699">SUMIF(A:A,A2699,F:F)</f>
        <v>38894.44</v>
      </c>
      <c r="J2699">
        <f t="array" ref="J2699">5 - INT(5 * (RANK(G2699,G:G, 1) - 1) / COUNT(G:G))</f>
        <v>5</v>
      </c>
      <c r="K2699">
        <f t="array" ref="K2699">INT(5 * (RANK(H2699,H:H, 0) - 1) / COUNT(H:H)) + 1</f>
        <v>3</v>
      </c>
      <c r="L2699">
        <f t="array" ref="L2699">INT(5 * (RANK(I2699,I:I, 0) - 1) / COUNT(I:I)) + 1</f>
        <v>2</v>
      </c>
      <c r="M2699" t="str">
        <f t="shared" si="84"/>
        <v>532</v>
      </c>
      <c r="N2699" s="6" t="str">
        <f t="shared" si="85"/>
        <v>Others</v>
      </c>
    </row>
    <row r="2700" spans="1:14" x14ac:dyDescent="0.35">
      <c r="A2700">
        <v>1013</v>
      </c>
      <c r="B2700" s="4">
        <v>46064.375085336993</v>
      </c>
      <c r="C2700" t="s">
        <v>9</v>
      </c>
      <c r="D2700" t="s">
        <v>19</v>
      </c>
      <c r="E2700" t="s">
        <v>23</v>
      </c>
      <c r="F2700">
        <v>3783.69</v>
      </c>
      <c r="G2700">
        <f t="array" ref="G2700">SalesData!$I$2 - 'RFM Table'!B2700</f>
        <v>72</v>
      </c>
      <c r="H2700">
        <f t="array" ref="H2700">COUNTIF(A:A,A2700)</f>
        <v>14</v>
      </c>
      <c r="I2700">
        <f t="array" ref="I2700">SUMIF(A:A,A2700,F:F)</f>
        <v>60099.840000000004</v>
      </c>
      <c r="J2700">
        <f t="array" ref="J2700">5 - INT(5 * (RANK(G2700,G:G, 1) - 1) / COUNT(G:G))</f>
        <v>5</v>
      </c>
      <c r="K2700">
        <f t="array" ref="K2700">INT(5 * (RANK(H2700,H:H, 0) - 1) / COUNT(H:H)) + 1</f>
        <v>1</v>
      </c>
      <c r="L2700">
        <f t="array" ref="L2700">INT(5 * (RANK(I2700,I:I, 0) - 1) / COUNT(I:I)) + 1</f>
        <v>1</v>
      </c>
      <c r="M2700" t="str">
        <f t="shared" si="84"/>
        <v>511</v>
      </c>
      <c r="N2700" s="6" t="str">
        <f t="shared" si="85"/>
        <v>New Customers</v>
      </c>
    </row>
    <row r="2701" spans="1:14" x14ac:dyDescent="0.35">
      <c r="A2701">
        <v>1279</v>
      </c>
      <c r="B2701" s="4">
        <v>46064.375085336993</v>
      </c>
      <c r="C2701" t="s">
        <v>7</v>
      </c>
      <c r="D2701" t="s">
        <v>19</v>
      </c>
      <c r="E2701" t="s">
        <v>23</v>
      </c>
      <c r="F2701">
        <v>6859.73</v>
      </c>
      <c r="G2701">
        <f t="array" ref="G2701">SalesData!$I$2 - 'RFM Table'!B2701</f>
        <v>72</v>
      </c>
      <c r="H2701">
        <f t="array" ref="H2701">COUNTIF(A:A,A2701)</f>
        <v>8</v>
      </c>
      <c r="I2701">
        <f t="array" ref="I2701">SUMIF(A:A,A2701,F:F)</f>
        <v>28833.759999999998</v>
      </c>
      <c r="J2701">
        <f t="array" ref="J2701">5 - INT(5 * (RANK(G2701,G:G, 1) - 1) / COUNT(G:G))</f>
        <v>5</v>
      </c>
      <c r="K2701">
        <f t="array" ref="K2701">INT(5 * (RANK(H2701,H:H, 0) - 1) / COUNT(H:H)) + 1</f>
        <v>3</v>
      </c>
      <c r="L2701">
        <f t="array" ref="L2701">INT(5 * (RANK(I2701,I:I, 0) - 1) / COUNT(I:I)) + 1</f>
        <v>4</v>
      </c>
      <c r="M2701" t="str">
        <f t="shared" si="84"/>
        <v>534</v>
      </c>
      <c r="N2701" s="6" t="str">
        <f t="shared" si="85"/>
        <v>Others</v>
      </c>
    </row>
    <row r="2702" spans="1:14" x14ac:dyDescent="0.35">
      <c r="A2702">
        <v>1004</v>
      </c>
      <c r="B2702" s="4">
        <v>46064.375085336993</v>
      </c>
      <c r="C2702" t="s">
        <v>12</v>
      </c>
      <c r="D2702" t="s">
        <v>22</v>
      </c>
      <c r="E2702" t="s">
        <v>23</v>
      </c>
      <c r="F2702">
        <v>4659.68</v>
      </c>
      <c r="G2702">
        <f t="array" ref="G2702">SalesData!$I$2 - 'RFM Table'!B2702</f>
        <v>72</v>
      </c>
      <c r="H2702">
        <f t="array" ref="H2702">COUNTIF(A:A,A2702)</f>
        <v>12</v>
      </c>
      <c r="I2702">
        <f t="array" ref="I2702">SUMIF(A:A,A2702,F:F)</f>
        <v>34222.5</v>
      </c>
      <c r="J2702">
        <f t="array" ref="J2702">5 - INT(5 * (RANK(G2702,G:G, 1) - 1) / COUNT(G:G))</f>
        <v>5</v>
      </c>
      <c r="K2702">
        <f t="array" ref="K2702">INT(5 * (RANK(H2702,H:H, 0) - 1) / COUNT(H:H)) + 1</f>
        <v>1</v>
      </c>
      <c r="L2702">
        <f t="array" ref="L2702">INT(5 * (RANK(I2702,I:I, 0) - 1) / COUNT(I:I)) + 1</f>
        <v>3</v>
      </c>
      <c r="M2702" t="str">
        <f t="shared" si="84"/>
        <v>513</v>
      </c>
      <c r="N2702" s="6" t="str">
        <f t="shared" si="85"/>
        <v>New Customers</v>
      </c>
    </row>
    <row r="2703" spans="1:14" x14ac:dyDescent="0.35">
      <c r="A2703">
        <v>1022</v>
      </c>
      <c r="B2703" s="4">
        <v>46065.375085336993</v>
      </c>
      <c r="C2703" t="s">
        <v>6</v>
      </c>
      <c r="D2703" t="s">
        <v>16</v>
      </c>
      <c r="E2703" t="s">
        <v>24</v>
      </c>
      <c r="F2703">
        <v>1566.91</v>
      </c>
      <c r="G2703">
        <f t="array" ref="G2703">SalesData!$I$2 - 'RFM Table'!B2703</f>
        <v>71</v>
      </c>
      <c r="H2703">
        <f t="array" ref="H2703">COUNTIF(A:A,A2703)</f>
        <v>6</v>
      </c>
      <c r="I2703">
        <f t="array" ref="I2703">SUMIF(A:A,A2703,F:F)</f>
        <v>22201.78</v>
      </c>
      <c r="J2703">
        <f t="array" ref="J2703">5 - INT(5 * (RANK(G2703,G:G, 1) - 1) / COUNT(G:G))</f>
        <v>5</v>
      </c>
      <c r="K2703">
        <f t="array" ref="K2703">INT(5 * (RANK(H2703,H:H, 0) - 1) / COUNT(H:H)) + 1</f>
        <v>4</v>
      </c>
      <c r="L2703">
        <f t="array" ref="L2703">INT(5 * (RANK(I2703,I:I, 0) - 1) / COUNT(I:I)) + 1</f>
        <v>4</v>
      </c>
      <c r="M2703" t="str">
        <f t="shared" si="84"/>
        <v>544</v>
      </c>
      <c r="N2703" s="6" t="str">
        <f t="shared" si="85"/>
        <v>Others</v>
      </c>
    </row>
    <row r="2704" spans="1:14" x14ac:dyDescent="0.35">
      <c r="A2704">
        <v>1391</v>
      </c>
      <c r="B2704" s="4">
        <v>46065.375085336993</v>
      </c>
      <c r="C2704" t="s">
        <v>15</v>
      </c>
      <c r="D2704" t="s">
        <v>17</v>
      </c>
      <c r="E2704" t="s">
        <v>23</v>
      </c>
      <c r="F2704">
        <v>6888.26</v>
      </c>
      <c r="G2704">
        <f t="array" ref="G2704">SalesData!$I$2 - 'RFM Table'!B2704</f>
        <v>71</v>
      </c>
      <c r="H2704">
        <f t="array" ref="H2704">COUNTIF(A:A,A2704)</f>
        <v>7</v>
      </c>
      <c r="I2704">
        <f t="array" ref="I2704">SUMIF(A:A,A2704,F:F)</f>
        <v>21209.440000000002</v>
      </c>
      <c r="J2704">
        <f t="array" ref="J2704">5 - INT(5 * (RANK(G2704,G:G, 1) - 1) / COUNT(G:G))</f>
        <v>5</v>
      </c>
      <c r="K2704">
        <f t="array" ref="K2704">INT(5 * (RANK(H2704,H:H, 0) - 1) / COUNT(H:H)) + 1</f>
        <v>4</v>
      </c>
      <c r="L2704">
        <f t="array" ref="L2704">INT(5 * (RANK(I2704,I:I, 0) - 1) / COUNT(I:I)) + 1</f>
        <v>5</v>
      </c>
      <c r="M2704" t="str">
        <f t="shared" si="84"/>
        <v>545</v>
      </c>
      <c r="N2704" s="6" t="str">
        <f t="shared" si="85"/>
        <v>Others</v>
      </c>
    </row>
    <row r="2705" spans="1:14" x14ac:dyDescent="0.35">
      <c r="A2705">
        <v>1309</v>
      </c>
      <c r="B2705" s="4">
        <v>46065.375085336993</v>
      </c>
      <c r="C2705" t="s">
        <v>6</v>
      </c>
      <c r="D2705" t="s">
        <v>20</v>
      </c>
      <c r="E2705" t="s">
        <v>24</v>
      </c>
      <c r="F2705">
        <v>1311.77</v>
      </c>
      <c r="G2705">
        <f t="array" ref="G2705">SalesData!$I$2 - 'RFM Table'!B2705</f>
        <v>71</v>
      </c>
      <c r="H2705">
        <f t="array" ref="H2705">COUNTIF(A:A,A2705)</f>
        <v>11</v>
      </c>
      <c r="I2705">
        <f t="array" ref="I2705">SUMIF(A:A,A2705,F:F)</f>
        <v>43078.749999999993</v>
      </c>
      <c r="J2705">
        <f t="array" ref="J2705">5 - INT(5 * (RANK(G2705,G:G, 1) - 1) / COUNT(G:G))</f>
        <v>5</v>
      </c>
      <c r="K2705">
        <f t="array" ref="K2705">INT(5 * (RANK(H2705,H:H, 0) - 1) / COUNT(H:H)) + 1</f>
        <v>1</v>
      </c>
      <c r="L2705">
        <f t="array" ref="L2705">INT(5 * (RANK(I2705,I:I, 0) - 1) / COUNT(I:I)) + 1</f>
        <v>2</v>
      </c>
      <c r="M2705" t="str">
        <f t="shared" si="84"/>
        <v>512</v>
      </c>
      <c r="N2705" s="6" t="str">
        <f t="shared" si="85"/>
        <v>New Customers</v>
      </c>
    </row>
    <row r="2706" spans="1:14" x14ac:dyDescent="0.35">
      <c r="A2706">
        <v>1399</v>
      </c>
      <c r="B2706" s="4">
        <v>46065.375085336993</v>
      </c>
      <c r="C2706" t="s">
        <v>12</v>
      </c>
      <c r="D2706" t="s">
        <v>20</v>
      </c>
      <c r="E2706" t="s">
        <v>24</v>
      </c>
      <c r="F2706">
        <v>577.04999999999995</v>
      </c>
      <c r="G2706">
        <f t="array" ref="G2706">SalesData!$I$2 - 'RFM Table'!B2706</f>
        <v>71</v>
      </c>
      <c r="H2706">
        <f t="array" ref="H2706">COUNTIF(A:A,A2706)</f>
        <v>9</v>
      </c>
      <c r="I2706">
        <f t="array" ref="I2706">SUMIF(A:A,A2706,F:F)</f>
        <v>34808.1</v>
      </c>
      <c r="J2706">
        <f t="array" ref="J2706">5 - INT(5 * (RANK(G2706,G:G, 1) - 1) / COUNT(G:G))</f>
        <v>5</v>
      </c>
      <c r="K2706">
        <f t="array" ref="K2706">INT(5 * (RANK(H2706,H:H, 0) - 1) / COUNT(H:H)) + 1</f>
        <v>2</v>
      </c>
      <c r="L2706">
        <f t="array" ref="L2706">INT(5 * (RANK(I2706,I:I, 0) - 1) / COUNT(I:I)) + 1</f>
        <v>3</v>
      </c>
      <c r="M2706" t="str">
        <f t="shared" si="84"/>
        <v>523</v>
      </c>
      <c r="N2706" s="6" t="str">
        <f t="shared" si="85"/>
        <v>New Customers</v>
      </c>
    </row>
    <row r="2707" spans="1:14" x14ac:dyDescent="0.35">
      <c r="A2707">
        <v>1354</v>
      </c>
      <c r="B2707" s="4">
        <v>46065.375085336993</v>
      </c>
      <c r="C2707" t="s">
        <v>13</v>
      </c>
      <c r="D2707" t="s">
        <v>21</v>
      </c>
      <c r="E2707" t="s">
        <v>25</v>
      </c>
      <c r="F2707">
        <v>4451.71</v>
      </c>
      <c r="G2707">
        <f t="array" ref="G2707">SalesData!$I$2 - 'RFM Table'!B2707</f>
        <v>71</v>
      </c>
      <c r="H2707">
        <f t="array" ref="H2707">COUNTIF(A:A,A2707)</f>
        <v>7</v>
      </c>
      <c r="I2707">
        <f t="array" ref="I2707">SUMIF(A:A,A2707,F:F)</f>
        <v>30282.260000000002</v>
      </c>
      <c r="J2707">
        <f t="array" ref="J2707">5 - INT(5 * (RANK(G2707,G:G, 1) - 1) / COUNT(G:G))</f>
        <v>5</v>
      </c>
      <c r="K2707">
        <f t="array" ref="K2707">INT(5 * (RANK(H2707,H:H, 0) - 1) / COUNT(H:H)) + 1</f>
        <v>4</v>
      </c>
      <c r="L2707">
        <f t="array" ref="L2707">INT(5 * (RANK(I2707,I:I, 0) - 1) / COUNT(I:I)) + 1</f>
        <v>3</v>
      </c>
      <c r="M2707" t="str">
        <f t="shared" si="84"/>
        <v>543</v>
      </c>
      <c r="N2707" s="6" t="str">
        <f t="shared" si="85"/>
        <v>Others</v>
      </c>
    </row>
    <row r="2708" spans="1:14" x14ac:dyDescent="0.35">
      <c r="A2708">
        <v>1174</v>
      </c>
      <c r="B2708" s="4">
        <v>46065.375085336993</v>
      </c>
      <c r="C2708" t="s">
        <v>6</v>
      </c>
      <c r="D2708" t="s">
        <v>16</v>
      </c>
      <c r="E2708" t="s">
        <v>25</v>
      </c>
      <c r="F2708">
        <v>5079.8599999999997</v>
      </c>
      <c r="G2708">
        <f t="array" ref="G2708">SalesData!$I$2 - 'RFM Table'!B2708</f>
        <v>71</v>
      </c>
      <c r="H2708">
        <f t="array" ref="H2708">COUNTIF(A:A,A2708)</f>
        <v>7</v>
      </c>
      <c r="I2708">
        <f t="array" ref="I2708">SUMIF(A:A,A2708,F:F)</f>
        <v>28777.9</v>
      </c>
      <c r="J2708">
        <f t="array" ref="J2708">5 - INT(5 * (RANK(G2708,G:G, 1) - 1) / COUNT(G:G))</f>
        <v>5</v>
      </c>
      <c r="K2708">
        <f t="array" ref="K2708">INT(5 * (RANK(H2708,H:H, 0) - 1) / COUNT(H:H)) + 1</f>
        <v>4</v>
      </c>
      <c r="L2708">
        <f t="array" ref="L2708">INT(5 * (RANK(I2708,I:I, 0) - 1) / COUNT(I:I)) + 1</f>
        <v>4</v>
      </c>
      <c r="M2708" t="str">
        <f t="shared" si="84"/>
        <v>544</v>
      </c>
      <c r="N2708" s="6" t="str">
        <f t="shared" si="85"/>
        <v>Others</v>
      </c>
    </row>
    <row r="2709" spans="1:14" x14ac:dyDescent="0.35">
      <c r="A2709">
        <v>1281</v>
      </c>
      <c r="B2709" s="4">
        <v>46065.375085336993</v>
      </c>
      <c r="C2709" t="s">
        <v>14</v>
      </c>
      <c r="D2709" t="s">
        <v>20</v>
      </c>
      <c r="E2709" t="s">
        <v>25</v>
      </c>
      <c r="F2709">
        <v>3960.19</v>
      </c>
      <c r="G2709">
        <f t="array" ref="G2709">SalesData!$I$2 - 'RFM Table'!B2709</f>
        <v>71</v>
      </c>
      <c r="H2709">
        <f t="array" ref="H2709">COUNTIF(A:A,A2709)</f>
        <v>10</v>
      </c>
      <c r="I2709">
        <f t="array" ref="I2709">SUMIF(A:A,A2709,F:F)</f>
        <v>49420.710000000006</v>
      </c>
      <c r="J2709">
        <f t="array" ref="J2709">5 - INT(5 * (RANK(G2709,G:G, 1) - 1) / COUNT(G:G))</f>
        <v>5</v>
      </c>
      <c r="K2709">
        <f t="array" ref="K2709">INT(5 * (RANK(H2709,H:H, 0) - 1) / COUNT(H:H)) + 1</f>
        <v>2</v>
      </c>
      <c r="L2709">
        <f t="array" ref="L2709">INT(5 * (RANK(I2709,I:I, 0) - 1) / COUNT(I:I)) + 1</f>
        <v>1</v>
      </c>
      <c r="M2709" t="str">
        <f t="shared" si="84"/>
        <v>521</v>
      </c>
      <c r="N2709" s="6" t="str">
        <f t="shared" si="85"/>
        <v>New Customers</v>
      </c>
    </row>
    <row r="2710" spans="1:14" x14ac:dyDescent="0.35">
      <c r="A2710">
        <v>1230</v>
      </c>
      <c r="B2710" s="4">
        <v>46066.375085336993</v>
      </c>
      <c r="C2710" t="s">
        <v>15</v>
      </c>
      <c r="D2710" t="s">
        <v>20</v>
      </c>
      <c r="E2710" t="s">
        <v>23</v>
      </c>
      <c r="F2710">
        <v>2539.96</v>
      </c>
      <c r="G2710">
        <f t="array" ref="G2710">SalesData!$I$2 - 'RFM Table'!B2710</f>
        <v>70</v>
      </c>
      <c r="H2710">
        <f t="array" ref="H2710">COUNTIF(A:A,A2710)</f>
        <v>11</v>
      </c>
      <c r="I2710">
        <f t="array" ref="I2710">SUMIF(A:A,A2710,F:F)</f>
        <v>29238.53</v>
      </c>
      <c r="J2710">
        <f t="array" ref="J2710">5 - INT(5 * (RANK(G2710,G:G, 1) - 1) / COUNT(G:G))</f>
        <v>5</v>
      </c>
      <c r="K2710">
        <f t="array" ref="K2710">INT(5 * (RANK(H2710,H:H, 0) - 1) / COUNT(H:H)) + 1</f>
        <v>1</v>
      </c>
      <c r="L2710">
        <f t="array" ref="L2710">INT(5 * (RANK(I2710,I:I, 0) - 1) / COUNT(I:I)) + 1</f>
        <v>4</v>
      </c>
      <c r="M2710" t="str">
        <f t="shared" si="84"/>
        <v>514</v>
      </c>
      <c r="N2710" s="6" t="str">
        <f t="shared" si="85"/>
        <v>New Customers</v>
      </c>
    </row>
    <row r="2711" spans="1:14" x14ac:dyDescent="0.35">
      <c r="A2711">
        <v>1072</v>
      </c>
      <c r="B2711" s="4">
        <v>46066.375085336993</v>
      </c>
      <c r="C2711" t="s">
        <v>15</v>
      </c>
      <c r="D2711" t="s">
        <v>18</v>
      </c>
      <c r="E2711" t="s">
        <v>23</v>
      </c>
      <c r="F2711">
        <v>6400.72</v>
      </c>
      <c r="G2711">
        <f t="array" ref="G2711">SalesData!$I$2 - 'RFM Table'!B2711</f>
        <v>70</v>
      </c>
      <c r="H2711">
        <f t="array" ref="H2711">COUNTIF(A:A,A2711)</f>
        <v>8</v>
      </c>
      <c r="I2711">
        <f t="array" ref="I2711">SUMIF(A:A,A2711,F:F)</f>
        <v>30568.039999999997</v>
      </c>
      <c r="J2711">
        <f t="array" ref="J2711">5 - INT(5 * (RANK(G2711,G:G, 1) - 1) / COUNT(G:G))</f>
        <v>5</v>
      </c>
      <c r="K2711">
        <f t="array" ref="K2711">INT(5 * (RANK(H2711,H:H, 0) - 1) / COUNT(H:H)) + 1</f>
        <v>3</v>
      </c>
      <c r="L2711">
        <f t="array" ref="L2711">INT(5 * (RANK(I2711,I:I, 0) - 1) / COUNT(I:I)) + 1</f>
        <v>3</v>
      </c>
      <c r="M2711" t="str">
        <f t="shared" si="84"/>
        <v>533</v>
      </c>
      <c r="N2711" s="6" t="str">
        <f t="shared" si="85"/>
        <v>Others</v>
      </c>
    </row>
    <row r="2712" spans="1:14" x14ac:dyDescent="0.35">
      <c r="A2712">
        <v>1049</v>
      </c>
      <c r="B2712" s="4">
        <v>46066.375085336993</v>
      </c>
      <c r="C2712" t="s">
        <v>8</v>
      </c>
      <c r="D2712" t="s">
        <v>21</v>
      </c>
      <c r="E2712" t="s">
        <v>23</v>
      </c>
      <c r="F2712">
        <v>3717.27</v>
      </c>
      <c r="G2712">
        <f t="array" ref="G2712">SalesData!$I$2 - 'RFM Table'!B2712</f>
        <v>70</v>
      </c>
      <c r="H2712">
        <f t="array" ref="H2712">COUNTIF(A:A,A2712)</f>
        <v>6</v>
      </c>
      <c r="I2712">
        <f t="array" ref="I2712">SUMIF(A:A,A2712,F:F)</f>
        <v>21995.52</v>
      </c>
      <c r="J2712">
        <f t="array" ref="J2712">5 - INT(5 * (RANK(G2712,G:G, 1) - 1) / COUNT(G:G))</f>
        <v>5</v>
      </c>
      <c r="K2712">
        <f t="array" ref="K2712">INT(5 * (RANK(H2712,H:H, 0) - 1) / COUNT(H:H)) + 1</f>
        <v>4</v>
      </c>
      <c r="L2712">
        <f t="array" ref="L2712">INT(5 * (RANK(I2712,I:I, 0) - 1) / COUNT(I:I)) + 1</f>
        <v>4</v>
      </c>
      <c r="M2712" t="str">
        <f t="shared" si="84"/>
        <v>544</v>
      </c>
      <c r="N2712" s="6" t="str">
        <f t="shared" si="85"/>
        <v>Others</v>
      </c>
    </row>
    <row r="2713" spans="1:14" x14ac:dyDescent="0.35">
      <c r="A2713">
        <v>1035</v>
      </c>
      <c r="B2713" s="4">
        <v>46066.375085336993</v>
      </c>
      <c r="C2713" t="s">
        <v>12</v>
      </c>
      <c r="D2713" t="s">
        <v>19</v>
      </c>
      <c r="E2713" t="s">
        <v>24</v>
      </c>
      <c r="F2713">
        <v>3818.49</v>
      </c>
      <c r="G2713">
        <f t="array" ref="G2713">SalesData!$I$2 - 'RFM Table'!B2713</f>
        <v>70</v>
      </c>
      <c r="H2713">
        <f t="array" ref="H2713">COUNTIF(A:A,A2713)</f>
        <v>9</v>
      </c>
      <c r="I2713">
        <f t="array" ref="I2713">SUMIF(A:A,A2713,F:F)</f>
        <v>33344.589999999997</v>
      </c>
      <c r="J2713">
        <f t="array" ref="J2713">5 - INT(5 * (RANK(G2713,G:G, 1) - 1) / COUNT(G:G))</f>
        <v>5</v>
      </c>
      <c r="K2713">
        <f t="array" ref="K2713">INT(5 * (RANK(H2713,H:H, 0) - 1) / COUNT(H:H)) + 1</f>
        <v>2</v>
      </c>
      <c r="L2713">
        <f t="array" ref="L2713">INT(5 * (RANK(I2713,I:I, 0) - 1) / COUNT(I:I)) + 1</f>
        <v>3</v>
      </c>
      <c r="M2713" t="str">
        <f t="shared" si="84"/>
        <v>523</v>
      </c>
      <c r="N2713" s="6" t="str">
        <f t="shared" si="85"/>
        <v>New Customers</v>
      </c>
    </row>
    <row r="2714" spans="1:14" x14ac:dyDescent="0.35">
      <c r="A2714">
        <v>1287</v>
      </c>
      <c r="B2714" s="4">
        <v>46066.375085336993</v>
      </c>
      <c r="C2714" t="s">
        <v>10</v>
      </c>
      <c r="D2714" t="s">
        <v>22</v>
      </c>
      <c r="E2714" t="s">
        <v>23</v>
      </c>
      <c r="F2714">
        <v>2738.41</v>
      </c>
      <c r="G2714">
        <f t="array" ref="G2714">SalesData!$I$2 - 'RFM Table'!B2714</f>
        <v>70</v>
      </c>
      <c r="H2714">
        <f t="array" ref="H2714">COUNTIF(A:A,A2714)</f>
        <v>16</v>
      </c>
      <c r="I2714">
        <f t="array" ref="I2714">SUMIF(A:A,A2714,F:F)</f>
        <v>64716.249999999985</v>
      </c>
      <c r="J2714">
        <f t="array" ref="J2714">5 - INT(5 * (RANK(G2714,G:G, 1) - 1) / COUNT(G:G))</f>
        <v>5</v>
      </c>
      <c r="K2714">
        <f t="array" ref="K2714">INT(5 * (RANK(H2714,H:H, 0) - 1) / COUNT(H:H)) + 1</f>
        <v>1</v>
      </c>
      <c r="L2714">
        <f t="array" ref="L2714">INT(5 * (RANK(I2714,I:I, 0) - 1) / COUNT(I:I)) + 1</f>
        <v>1</v>
      </c>
      <c r="M2714" t="str">
        <f t="shared" si="84"/>
        <v>511</v>
      </c>
      <c r="N2714" s="6" t="str">
        <f t="shared" si="85"/>
        <v>New Customers</v>
      </c>
    </row>
    <row r="2715" spans="1:14" x14ac:dyDescent="0.35">
      <c r="A2715">
        <v>1336</v>
      </c>
      <c r="B2715" s="4">
        <v>46066.375085336993</v>
      </c>
      <c r="C2715" t="s">
        <v>7</v>
      </c>
      <c r="D2715" t="s">
        <v>17</v>
      </c>
      <c r="E2715" t="s">
        <v>24</v>
      </c>
      <c r="F2715">
        <v>2055.87</v>
      </c>
      <c r="G2715">
        <f t="array" ref="G2715">SalesData!$I$2 - 'RFM Table'!B2715</f>
        <v>70</v>
      </c>
      <c r="H2715">
        <f t="array" ref="H2715">COUNTIF(A:A,A2715)</f>
        <v>6</v>
      </c>
      <c r="I2715">
        <f t="array" ref="I2715">SUMIF(A:A,A2715,F:F)</f>
        <v>27182.68</v>
      </c>
      <c r="J2715">
        <f t="array" ref="J2715">5 - INT(5 * (RANK(G2715,G:G, 1) - 1) / COUNT(G:G))</f>
        <v>5</v>
      </c>
      <c r="K2715">
        <f t="array" ref="K2715">INT(5 * (RANK(H2715,H:H, 0) - 1) / COUNT(H:H)) + 1</f>
        <v>4</v>
      </c>
      <c r="L2715">
        <f t="array" ref="L2715">INT(5 * (RANK(I2715,I:I, 0) - 1) / COUNT(I:I)) + 1</f>
        <v>4</v>
      </c>
      <c r="M2715" t="str">
        <f t="shared" si="84"/>
        <v>544</v>
      </c>
      <c r="N2715" s="6" t="str">
        <f t="shared" si="85"/>
        <v>Others</v>
      </c>
    </row>
    <row r="2716" spans="1:14" x14ac:dyDescent="0.35">
      <c r="A2716">
        <v>1329</v>
      </c>
      <c r="B2716" s="4">
        <v>46066.375085336993</v>
      </c>
      <c r="C2716" t="s">
        <v>9</v>
      </c>
      <c r="D2716" t="s">
        <v>20</v>
      </c>
      <c r="E2716" t="s">
        <v>24</v>
      </c>
      <c r="F2716">
        <v>2830.47</v>
      </c>
      <c r="G2716">
        <f t="array" ref="G2716">SalesData!$I$2 - 'RFM Table'!B2716</f>
        <v>70</v>
      </c>
      <c r="H2716">
        <f t="array" ref="H2716">COUNTIF(A:A,A2716)</f>
        <v>9</v>
      </c>
      <c r="I2716">
        <f t="array" ref="I2716">SUMIF(A:A,A2716,F:F)</f>
        <v>27881.53</v>
      </c>
      <c r="J2716">
        <f t="array" ref="J2716">5 - INT(5 * (RANK(G2716,G:G, 1) - 1) / COUNT(G:G))</f>
        <v>5</v>
      </c>
      <c r="K2716">
        <f t="array" ref="K2716">INT(5 * (RANK(H2716,H:H, 0) - 1) / COUNT(H:H)) + 1</f>
        <v>2</v>
      </c>
      <c r="L2716">
        <f t="array" ref="L2716">INT(5 * (RANK(I2716,I:I, 0) - 1) / COUNT(I:I)) + 1</f>
        <v>4</v>
      </c>
      <c r="M2716" t="str">
        <f t="shared" si="84"/>
        <v>524</v>
      </c>
      <c r="N2716" s="6" t="str">
        <f t="shared" si="85"/>
        <v>New Customers</v>
      </c>
    </row>
    <row r="2717" spans="1:14" x14ac:dyDescent="0.35">
      <c r="A2717">
        <v>1344</v>
      </c>
      <c r="B2717" s="4">
        <v>46067.375085336993</v>
      </c>
      <c r="C2717" t="s">
        <v>7</v>
      </c>
      <c r="D2717" t="s">
        <v>19</v>
      </c>
      <c r="E2717" t="s">
        <v>23</v>
      </c>
      <c r="F2717">
        <v>1919.49</v>
      </c>
      <c r="G2717">
        <f t="array" ref="G2717">SalesData!$I$2 - 'RFM Table'!B2717</f>
        <v>69</v>
      </c>
      <c r="H2717">
        <f t="array" ref="H2717">COUNTIF(A:A,A2717)</f>
        <v>9</v>
      </c>
      <c r="I2717">
        <f t="array" ref="I2717">SUMIF(A:A,A2717,F:F)</f>
        <v>23905.670000000002</v>
      </c>
      <c r="J2717">
        <f t="array" ref="J2717">5 - INT(5 * (RANK(G2717,G:G, 1) - 1) / COUNT(G:G))</f>
        <v>5</v>
      </c>
      <c r="K2717">
        <f t="array" ref="K2717">INT(5 * (RANK(H2717,H:H, 0) - 1) / COUNT(H:H)) + 1</f>
        <v>2</v>
      </c>
      <c r="L2717">
        <f t="array" ref="L2717">INT(5 * (RANK(I2717,I:I, 0) - 1) / COUNT(I:I)) + 1</f>
        <v>4</v>
      </c>
      <c r="M2717" t="str">
        <f t="shared" si="84"/>
        <v>524</v>
      </c>
      <c r="N2717" s="6" t="str">
        <f t="shared" si="85"/>
        <v>New Customers</v>
      </c>
    </row>
    <row r="2718" spans="1:14" x14ac:dyDescent="0.35">
      <c r="A2718">
        <v>1098</v>
      </c>
      <c r="B2718" s="4">
        <v>46067.375085336993</v>
      </c>
      <c r="C2718" t="s">
        <v>12</v>
      </c>
      <c r="D2718" t="s">
        <v>17</v>
      </c>
      <c r="E2718" t="s">
        <v>24</v>
      </c>
      <c r="F2718">
        <v>5335.85</v>
      </c>
      <c r="G2718">
        <f t="array" ref="G2718">SalesData!$I$2 - 'RFM Table'!B2718</f>
        <v>69</v>
      </c>
      <c r="H2718">
        <f t="array" ref="H2718">COUNTIF(A:A,A2718)</f>
        <v>12</v>
      </c>
      <c r="I2718">
        <f t="array" ref="I2718">SUMIF(A:A,A2718,F:F)</f>
        <v>36909.899999999994</v>
      </c>
      <c r="J2718">
        <f t="array" ref="J2718">5 - INT(5 * (RANK(G2718,G:G, 1) - 1) / COUNT(G:G))</f>
        <v>5</v>
      </c>
      <c r="K2718">
        <f t="array" ref="K2718">INT(5 * (RANK(H2718,H:H, 0) - 1) / COUNT(H:H)) + 1</f>
        <v>1</v>
      </c>
      <c r="L2718">
        <f t="array" ref="L2718">INT(5 * (RANK(I2718,I:I, 0) - 1) / COUNT(I:I)) + 1</f>
        <v>2</v>
      </c>
      <c r="M2718" t="str">
        <f t="shared" si="84"/>
        <v>512</v>
      </c>
      <c r="N2718" s="6" t="str">
        <f t="shared" si="85"/>
        <v>New Customers</v>
      </c>
    </row>
    <row r="2719" spans="1:14" x14ac:dyDescent="0.35">
      <c r="A2719">
        <v>1365</v>
      </c>
      <c r="B2719" s="4">
        <v>46067.375085336993</v>
      </c>
      <c r="C2719" t="s">
        <v>7</v>
      </c>
      <c r="D2719" t="s">
        <v>18</v>
      </c>
      <c r="E2719" t="s">
        <v>24</v>
      </c>
      <c r="F2719">
        <v>76.05</v>
      </c>
      <c r="G2719">
        <f t="array" ref="G2719">SalesData!$I$2 - 'RFM Table'!B2719</f>
        <v>69</v>
      </c>
      <c r="H2719">
        <f t="array" ref="H2719">COUNTIF(A:A,A2719)</f>
        <v>6</v>
      </c>
      <c r="I2719">
        <f t="array" ref="I2719">SUMIF(A:A,A2719,F:F)</f>
        <v>28898.239999999998</v>
      </c>
      <c r="J2719">
        <f t="array" ref="J2719">5 - INT(5 * (RANK(G2719,G:G, 1) - 1) / COUNT(G:G))</f>
        <v>5</v>
      </c>
      <c r="K2719">
        <f t="array" ref="K2719">INT(5 * (RANK(H2719,H:H, 0) - 1) / COUNT(H:H)) + 1</f>
        <v>4</v>
      </c>
      <c r="L2719">
        <f t="array" ref="L2719">INT(5 * (RANK(I2719,I:I, 0) - 1) / COUNT(I:I)) + 1</f>
        <v>4</v>
      </c>
      <c r="M2719" t="str">
        <f t="shared" si="84"/>
        <v>544</v>
      </c>
      <c r="N2719" s="6" t="str">
        <f t="shared" si="85"/>
        <v>Others</v>
      </c>
    </row>
    <row r="2720" spans="1:14" x14ac:dyDescent="0.35">
      <c r="A2720">
        <v>1266</v>
      </c>
      <c r="B2720" s="4">
        <v>46067.375085336993</v>
      </c>
      <c r="C2720" t="s">
        <v>11</v>
      </c>
      <c r="D2720" t="s">
        <v>16</v>
      </c>
      <c r="E2720" t="s">
        <v>25</v>
      </c>
      <c r="F2720">
        <v>1602.49</v>
      </c>
      <c r="G2720">
        <f t="array" ref="G2720">SalesData!$I$2 - 'RFM Table'!B2720</f>
        <v>69</v>
      </c>
      <c r="H2720">
        <f t="array" ref="H2720">COUNTIF(A:A,A2720)</f>
        <v>9</v>
      </c>
      <c r="I2720">
        <f t="array" ref="I2720">SUMIF(A:A,A2720,F:F)</f>
        <v>44679.94</v>
      </c>
      <c r="J2720">
        <f t="array" ref="J2720">5 - INT(5 * (RANK(G2720,G:G, 1) - 1) / COUNT(G:G))</f>
        <v>5</v>
      </c>
      <c r="K2720">
        <f t="array" ref="K2720">INT(5 * (RANK(H2720,H:H, 0) - 1) / COUNT(H:H)) + 1</f>
        <v>2</v>
      </c>
      <c r="L2720">
        <f t="array" ref="L2720">INT(5 * (RANK(I2720,I:I, 0) - 1) / COUNT(I:I)) + 1</f>
        <v>2</v>
      </c>
      <c r="M2720" t="str">
        <f t="shared" si="84"/>
        <v>522</v>
      </c>
      <c r="N2720" s="6" t="str">
        <f t="shared" si="85"/>
        <v>New Customers</v>
      </c>
    </row>
    <row r="2721" spans="1:14" x14ac:dyDescent="0.35">
      <c r="A2721">
        <v>1016</v>
      </c>
      <c r="B2721" s="4">
        <v>46067.375085336993</v>
      </c>
      <c r="C2721" t="s">
        <v>9</v>
      </c>
      <c r="D2721" t="s">
        <v>17</v>
      </c>
      <c r="E2721" t="s">
        <v>25</v>
      </c>
      <c r="F2721">
        <v>1028.5999999999999</v>
      </c>
      <c r="G2721">
        <f t="array" ref="G2721">SalesData!$I$2 - 'RFM Table'!B2721</f>
        <v>69</v>
      </c>
      <c r="H2721">
        <f t="array" ref="H2721">COUNTIF(A:A,A2721)</f>
        <v>9</v>
      </c>
      <c r="I2721">
        <f t="array" ref="I2721">SUMIF(A:A,A2721,F:F)</f>
        <v>37239.53</v>
      </c>
      <c r="J2721">
        <f t="array" ref="J2721">5 - INT(5 * (RANK(G2721,G:G, 1) - 1) / COUNT(G:G))</f>
        <v>5</v>
      </c>
      <c r="K2721">
        <f t="array" ref="K2721">INT(5 * (RANK(H2721,H:H, 0) - 1) / COUNT(H:H)) + 1</f>
        <v>2</v>
      </c>
      <c r="L2721">
        <f t="array" ref="L2721">INT(5 * (RANK(I2721,I:I, 0) - 1) / COUNT(I:I)) + 1</f>
        <v>2</v>
      </c>
      <c r="M2721" t="str">
        <f t="shared" si="84"/>
        <v>522</v>
      </c>
      <c r="N2721" s="6" t="str">
        <f t="shared" si="85"/>
        <v>New Customers</v>
      </c>
    </row>
    <row r="2722" spans="1:14" x14ac:dyDescent="0.35">
      <c r="A2722">
        <v>1107</v>
      </c>
      <c r="B2722" s="4">
        <v>46067.375085336993</v>
      </c>
      <c r="C2722" t="s">
        <v>6</v>
      </c>
      <c r="D2722" t="s">
        <v>16</v>
      </c>
      <c r="E2722" t="s">
        <v>23</v>
      </c>
      <c r="F2722">
        <v>8603.52</v>
      </c>
      <c r="G2722">
        <f t="array" ref="G2722">SalesData!$I$2 - 'RFM Table'!B2722</f>
        <v>69</v>
      </c>
      <c r="H2722">
        <f t="array" ref="H2722">COUNTIF(A:A,A2722)</f>
        <v>9</v>
      </c>
      <c r="I2722">
        <f t="array" ref="I2722">SUMIF(A:A,A2722,F:F)</f>
        <v>56095.37999999999</v>
      </c>
      <c r="J2722">
        <f t="array" ref="J2722">5 - INT(5 * (RANK(G2722,G:G, 1) - 1) / COUNT(G:G))</f>
        <v>5</v>
      </c>
      <c r="K2722">
        <f t="array" ref="K2722">INT(5 * (RANK(H2722,H:H, 0) - 1) / COUNT(H:H)) + 1</f>
        <v>2</v>
      </c>
      <c r="L2722">
        <f t="array" ref="L2722">INT(5 * (RANK(I2722,I:I, 0) - 1) / COUNT(I:I)) + 1</f>
        <v>1</v>
      </c>
      <c r="M2722" t="str">
        <f t="shared" si="84"/>
        <v>521</v>
      </c>
      <c r="N2722" s="6" t="str">
        <f t="shared" si="85"/>
        <v>New Customers</v>
      </c>
    </row>
    <row r="2723" spans="1:14" x14ac:dyDescent="0.35">
      <c r="A2723">
        <v>1162</v>
      </c>
      <c r="B2723" s="4">
        <v>46068.375085336993</v>
      </c>
      <c r="C2723" t="s">
        <v>12</v>
      </c>
      <c r="D2723" t="s">
        <v>16</v>
      </c>
      <c r="E2723" t="s">
        <v>25</v>
      </c>
      <c r="F2723">
        <v>1994.22</v>
      </c>
      <c r="G2723">
        <f t="array" ref="G2723">SalesData!$I$2 - 'RFM Table'!B2723</f>
        <v>68</v>
      </c>
      <c r="H2723">
        <f t="array" ref="H2723">COUNTIF(A:A,A2723)</f>
        <v>8</v>
      </c>
      <c r="I2723">
        <f t="array" ref="I2723">SUMIF(A:A,A2723,F:F)</f>
        <v>43723.900000000009</v>
      </c>
      <c r="J2723">
        <f t="array" ref="J2723">5 - INT(5 * (RANK(G2723,G:G, 1) - 1) / COUNT(G:G))</f>
        <v>5</v>
      </c>
      <c r="K2723">
        <f t="array" ref="K2723">INT(5 * (RANK(H2723,H:H, 0) - 1) / COUNT(H:H)) + 1</f>
        <v>3</v>
      </c>
      <c r="L2723">
        <f t="array" ref="L2723">INT(5 * (RANK(I2723,I:I, 0) - 1) / COUNT(I:I)) + 1</f>
        <v>2</v>
      </c>
      <c r="M2723" t="str">
        <f t="shared" si="84"/>
        <v>532</v>
      </c>
      <c r="N2723" s="6" t="str">
        <f t="shared" si="85"/>
        <v>Others</v>
      </c>
    </row>
    <row r="2724" spans="1:14" x14ac:dyDescent="0.35">
      <c r="A2724">
        <v>1283</v>
      </c>
      <c r="B2724" s="4">
        <v>46068.375085336993</v>
      </c>
      <c r="C2724" t="s">
        <v>12</v>
      </c>
      <c r="D2724" t="s">
        <v>17</v>
      </c>
      <c r="E2724" t="s">
        <v>25</v>
      </c>
      <c r="F2724">
        <v>1964.45</v>
      </c>
      <c r="G2724">
        <f t="array" ref="G2724">SalesData!$I$2 - 'RFM Table'!B2724</f>
        <v>68</v>
      </c>
      <c r="H2724">
        <f t="array" ref="H2724">COUNTIF(A:A,A2724)</f>
        <v>7</v>
      </c>
      <c r="I2724">
        <f t="array" ref="I2724">SUMIF(A:A,A2724,F:F)</f>
        <v>30708.170000000002</v>
      </c>
      <c r="J2724">
        <f t="array" ref="J2724">5 - INT(5 * (RANK(G2724,G:G, 1) - 1) / COUNT(G:G))</f>
        <v>5</v>
      </c>
      <c r="K2724">
        <f t="array" ref="K2724">INT(5 * (RANK(H2724,H:H, 0) - 1) / COUNT(H:H)) + 1</f>
        <v>4</v>
      </c>
      <c r="L2724">
        <f t="array" ref="L2724">INT(5 * (RANK(I2724,I:I, 0) - 1) / COUNT(I:I)) + 1</f>
        <v>3</v>
      </c>
      <c r="M2724" t="str">
        <f t="shared" si="84"/>
        <v>543</v>
      </c>
      <c r="N2724" s="6" t="str">
        <f t="shared" si="85"/>
        <v>Others</v>
      </c>
    </row>
    <row r="2725" spans="1:14" x14ac:dyDescent="0.35">
      <c r="A2725">
        <v>1284</v>
      </c>
      <c r="B2725" s="4">
        <v>46068.375085336993</v>
      </c>
      <c r="C2725" t="s">
        <v>6</v>
      </c>
      <c r="D2725" t="s">
        <v>21</v>
      </c>
      <c r="E2725" t="s">
        <v>24</v>
      </c>
      <c r="F2725">
        <v>6036.49</v>
      </c>
      <c r="G2725">
        <f t="array" ref="G2725">SalesData!$I$2 - 'RFM Table'!B2725</f>
        <v>68</v>
      </c>
      <c r="H2725">
        <f t="array" ref="H2725">COUNTIF(A:A,A2725)</f>
        <v>12</v>
      </c>
      <c r="I2725">
        <f t="array" ref="I2725">SUMIF(A:A,A2725,F:F)</f>
        <v>49930.359999999993</v>
      </c>
      <c r="J2725">
        <f t="array" ref="J2725">5 - INT(5 * (RANK(G2725,G:G, 1) - 1) / COUNT(G:G))</f>
        <v>5</v>
      </c>
      <c r="K2725">
        <f t="array" ref="K2725">INT(5 * (RANK(H2725,H:H, 0) - 1) / COUNT(H:H)) + 1</f>
        <v>1</v>
      </c>
      <c r="L2725">
        <f t="array" ref="L2725">INT(5 * (RANK(I2725,I:I, 0) - 1) / COUNT(I:I)) + 1</f>
        <v>1</v>
      </c>
      <c r="M2725" t="str">
        <f t="shared" si="84"/>
        <v>511</v>
      </c>
      <c r="N2725" s="6" t="str">
        <f t="shared" si="85"/>
        <v>New Customers</v>
      </c>
    </row>
    <row r="2726" spans="1:14" x14ac:dyDescent="0.35">
      <c r="A2726">
        <v>1372</v>
      </c>
      <c r="B2726" s="4">
        <v>46069.375085336993</v>
      </c>
      <c r="C2726" t="s">
        <v>6</v>
      </c>
      <c r="D2726" t="s">
        <v>17</v>
      </c>
      <c r="E2726" t="s">
        <v>23</v>
      </c>
      <c r="F2726">
        <v>7469.72</v>
      </c>
      <c r="G2726">
        <f t="array" ref="G2726">SalesData!$I$2 - 'RFM Table'!B2726</f>
        <v>67</v>
      </c>
      <c r="H2726">
        <f t="array" ref="H2726">COUNTIF(A:A,A2726)</f>
        <v>9</v>
      </c>
      <c r="I2726">
        <f t="array" ref="I2726">SUMIF(A:A,A2726,F:F)</f>
        <v>32843.11</v>
      </c>
      <c r="J2726">
        <f t="array" ref="J2726">5 - INT(5 * (RANK(G2726,G:G, 1) - 1) / COUNT(G:G))</f>
        <v>5</v>
      </c>
      <c r="K2726">
        <f t="array" ref="K2726">INT(5 * (RANK(H2726,H:H, 0) - 1) / COUNT(H:H)) + 1</f>
        <v>2</v>
      </c>
      <c r="L2726">
        <f t="array" ref="L2726">INT(5 * (RANK(I2726,I:I, 0) - 1) / COUNT(I:I)) + 1</f>
        <v>3</v>
      </c>
      <c r="M2726" t="str">
        <f t="shared" si="84"/>
        <v>523</v>
      </c>
      <c r="N2726" s="6" t="str">
        <f t="shared" si="85"/>
        <v>New Customers</v>
      </c>
    </row>
    <row r="2727" spans="1:14" x14ac:dyDescent="0.35">
      <c r="A2727">
        <v>1214</v>
      </c>
      <c r="B2727" s="4">
        <v>46069.375085336993</v>
      </c>
      <c r="C2727" t="s">
        <v>10</v>
      </c>
      <c r="D2727" t="s">
        <v>22</v>
      </c>
      <c r="E2727" t="s">
        <v>23</v>
      </c>
      <c r="F2727">
        <v>12968.14</v>
      </c>
      <c r="G2727">
        <f t="array" ref="G2727">SalesData!$I$2 - 'RFM Table'!B2727</f>
        <v>67</v>
      </c>
      <c r="H2727">
        <f t="array" ref="H2727">COUNTIF(A:A,A2727)</f>
        <v>12</v>
      </c>
      <c r="I2727">
        <f t="array" ref="I2727">SUMIF(A:A,A2727,F:F)</f>
        <v>49382.650000000009</v>
      </c>
      <c r="J2727">
        <f t="array" ref="J2727">5 - INT(5 * (RANK(G2727,G:G, 1) - 1) / COUNT(G:G))</f>
        <v>5</v>
      </c>
      <c r="K2727">
        <f t="array" ref="K2727">INT(5 * (RANK(H2727,H:H, 0) - 1) / COUNT(H:H)) + 1</f>
        <v>1</v>
      </c>
      <c r="L2727">
        <f t="array" ref="L2727">INT(5 * (RANK(I2727,I:I, 0) - 1) / COUNT(I:I)) + 1</f>
        <v>1</v>
      </c>
      <c r="M2727" t="str">
        <f t="shared" si="84"/>
        <v>511</v>
      </c>
      <c r="N2727" s="6" t="str">
        <f t="shared" si="85"/>
        <v>New Customers</v>
      </c>
    </row>
    <row r="2728" spans="1:14" x14ac:dyDescent="0.35">
      <c r="A2728">
        <v>1228</v>
      </c>
      <c r="B2728" s="4">
        <v>46069.375085336993</v>
      </c>
      <c r="C2728" t="s">
        <v>14</v>
      </c>
      <c r="D2728" t="s">
        <v>17</v>
      </c>
      <c r="E2728" t="s">
        <v>25</v>
      </c>
      <c r="F2728">
        <v>1920.41</v>
      </c>
      <c r="G2728">
        <f t="array" ref="G2728">SalesData!$I$2 - 'RFM Table'!B2728</f>
        <v>67</v>
      </c>
      <c r="H2728">
        <f t="array" ref="H2728">COUNTIF(A:A,A2728)</f>
        <v>13</v>
      </c>
      <c r="I2728">
        <f t="array" ref="I2728">SUMIF(A:A,A2728,F:F)</f>
        <v>47658.630000000005</v>
      </c>
      <c r="J2728">
        <f t="array" ref="J2728">5 - INT(5 * (RANK(G2728,G:G, 1) - 1) / COUNT(G:G))</f>
        <v>5</v>
      </c>
      <c r="K2728">
        <f t="array" ref="K2728">INT(5 * (RANK(H2728,H:H, 0) - 1) / COUNT(H:H)) + 1</f>
        <v>1</v>
      </c>
      <c r="L2728">
        <f t="array" ref="L2728">INT(5 * (RANK(I2728,I:I, 0) - 1) / COUNT(I:I)) + 1</f>
        <v>1</v>
      </c>
      <c r="M2728" t="str">
        <f t="shared" si="84"/>
        <v>511</v>
      </c>
      <c r="N2728" s="6" t="str">
        <f t="shared" si="85"/>
        <v>New Customers</v>
      </c>
    </row>
    <row r="2729" spans="1:14" x14ac:dyDescent="0.35">
      <c r="A2729">
        <v>1104</v>
      </c>
      <c r="B2729" s="4">
        <v>46069.375085336993</v>
      </c>
      <c r="C2729" t="s">
        <v>12</v>
      </c>
      <c r="D2729" t="s">
        <v>21</v>
      </c>
      <c r="E2729" t="s">
        <v>25</v>
      </c>
      <c r="F2729">
        <v>6068.36</v>
      </c>
      <c r="G2729">
        <f t="array" ref="G2729">SalesData!$I$2 - 'RFM Table'!B2729</f>
        <v>67</v>
      </c>
      <c r="H2729">
        <f t="array" ref="H2729">COUNTIF(A:A,A2729)</f>
        <v>6</v>
      </c>
      <c r="I2729">
        <f t="array" ref="I2729">SUMIF(A:A,A2729,F:F)</f>
        <v>19427.86</v>
      </c>
      <c r="J2729">
        <f t="array" ref="J2729">5 - INT(5 * (RANK(G2729,G:G, 1) - 1) / COUNT(G:G))</f>
        <v>5</v>
      </c>
      <c r="K2729">
        <f t="array" ref="K2729">INT(5 * (RANK(H2729,H:H, 0) - 1) / COUNT(H:H)) + 1</f>
        <v>4</v>
      </c>
      <c r="L2729">
        <f t="array" ref="L2729">INT(5 * (RANK(I2729,I:I, 0) - 1) / COUNT(I:I)) + 1</f>
        <v>5</v>
      </c>
      <c r="M2729" t="str">
        <f t="shared" si="84"/>
        <v>545</v>
      </c>
      <c r="N2729" s="6" t="str">
        <f t="shared" si="85"/>
        <v>Others</v>
      </c>
    </row>
    <row r="2730" spans="1:14" x14ac:dyDescent="0.35">
      <c r="A2730">
        <v>1041</v>
      </c>
      <c r="B2730" s="4">
        <v>46069.375085336993</v>
      </c>
      <c r="C2730" t="s">
        <v>8</v>
      </c>
      <c r="D2730" t="s">
        <v>18</v>
      </c>
      <c r="E2730" t="s">
        <v>25</v>
      </c>
      <c r="F2730">
        <v>6324.45</v>
      </c>
      <c r="G2730">
        <f t="array" ref="G2730">SalesData!$I$2 - 'RFM Table'!B2730</f>
        <v>67</v>
      </c>
      <c r="H2730">
        <f t="array" ref="H2730">COUNTIF(A:A,A2730)</f>
        <v>12</v>
      </c>
      <c r="I2730">
        <f t="array" ref="I2730">SUMIF(A:A,A2730,F:F)</f>
        <v>44894.799999999996</v>
      </c>
      <c r="J2730">
        <f t="array" ref="J2730">5 - INT(5 * (RANK(G2730,G:G, 1) - 1) / COUNT(G:G))</f>
        <v>5</v>
      </c>
      <c r="K2730">
        <f t="array" ref="K2730">INT(5 * (RANK(H2730,H:H, 0) - 1) / COUNT(H:H)) + 1</f>
        <v>1</v>
      </c>
      <c r="L2730">
        <f t="array" ref="L2730">INT(5 * (RANK(I2730,I:I, 0) - 1) / COUNT(I:I)) + 1</f>
        <v>1</v>
      </c>
      <c r="M2730" t="str">
        <f t="shared" si="84"/>
        <v>511</v>
      </c>
      <c r="N2730" s="6" t="str">
        <f t="shared" si="85"/>
        <v>New Customers</v>
      </c>
    </row>
    <row r="2731" spans="1:14" x14ac:dyDescent="0.35">
      <c r="A2731">
        <v>1011</v>
      </c>
      <c r="B2731" s="4">
        <v>46069.375085336993</v>
      </c>
      <c r="C2731" t="s">
        <v>13</v>
      </c>
      <c r="D2731" t="s">
        <v>19</v>
      </c>
      <c r="E2731" t="s">
        <v>25</v>
      </c>
      <c r="F2731">
        <v>3234.23</v>
      </c>
      <c r="G2731">
        <f t="array" ref="G2731">SalesData!$I$2 - 'RFM Table'!B2731</f>
        <v>67</v>
      </c>
      <c r="H2731">
        <f t="array" ref="H2731">COUNTIF(A:A,A2731)</f>
        <v>16</v>
      </c>
      <c r="I2731">
        <f t="array" ref="I2731">SUMIF(A:A,A2731,F:F)</f>
        <v>58237.360000000008</v>
      </c>
      <c r="J2731">
        <f t="array" ref="J2731">5 - INT(5 * (RANK(G2731,G:G, 1) - 1) / COUNT(G:G))</f>
        <v>5</v>
      </c>
      <c r="K2731">
        <f t="array" ref="K2731">INT(5 * (RANK(H2731,H:H, 0) - 1) / COUNT(H:H)) + 1</f>
        <v>1</v>
      </c>
      <c r="L2731">
        <f t="array" ref="L2731">INT(5 * (RANK(I2731,I:I, 0) - 1) / COUNT(I:I)) + 1</f>
        <v>1</v>
      </c>
      <c r="M2731" t="str">
        <f t="shared" si="84"/>
        <v>511</v>
      </c>
      <c r="N2731" s="6" t="str">
        <f t="shared" si="85"/>
        <v>New Customers</v>
      </c>
    </row>
    <row r="2732" spans="1:14" x14ac:dyDescent="0.35">
      <c r="A2732">
        <v>1325</v>
      </c>
      <c r="B2732" s="4">
        <v>46070.375085336993</v>
      </c>
      <c r="C2732" t="s">
        <v>12</v>
      </c>
      <c r="D2732" t="s">
        <v>16</v>
      </c>
      <c r="E2732" t="s">
        <v>23</v>
      </c>
      <c r="F2732">
        <v>5294.2</v>
      </c>
      <c r="G2732">
        <f t="array" ref="G2732">SalesData!$I$2 - 'RFM Table'!B2732</f>
        <v>66</v>
      </c>
      <c r="H2732">
        <f t="array" ref="H2732">COUNTIF(A:A,A2732)</f>
        <v>9</v>
      </c>
      <c r="I2732">
        <f t="array" ref="I2732">SUMIF(A:A,A2732,F:F)</f>
        <v>38753.799999999988</v>
      </c>
      <c r="J2732">
        <f t="array" ref="J2732">5 - INT(5 * (RANK(G2732,G:G, 1) - 1) / COUNT(G:G))</f>
        <v>5</v>
      </c>
      <c r="K2732">
        <f t="array" ref="K2732">INT(5 * (RANK(H2732,H:H, 0) - 1) / COUNT(H:H)) + 1</f>
        <v>2</v>
      </c>
      <c r="L2732">
        <f t="array" ref="L2732">INT(5 * (RANK(I2732,I:I, 0) - 1) / COUNT(I:I)) + 1</f>
        <v>2</v>
      </c>
      <c r="M2732" t="str">
        <f t="shared" si="84"/>
        <v>522</v>
      </c>
      <c r="N2732" s="6" t="str">
        <f t="shared" si="85"/>
        <v>New Customers</v>
      </c>
    </row>
    <row r="2733" spans="1:14" x14ac:dyDescent="0.35">
      <c r="A2733">
        <v>1116</v>
      </c>
      <c r="B2733" s="4">
        <v>46070.375085336993</v>
      </c>
      <c r="C2733" t="s">
        <v>7</v>
      </c>
      <c r="D2733" t="s">
        <v>22</v>
      </c>
      <c r="E2733" t="s">
        <v>24</v>
      </c>
      <c r="F2733">
        <v>1508.67</v>
      </c>
      <c r="G2733">
        <f t="array" ref="G2733">SalesData!$I$2 - 'RFM Table'!B2733</f>
        <v>66</v>
      </c>
      <c r="H2733">
        <f t="array" ref="H2733">COUNTIF(A:A,A2733)</f>
        <v>11</v>
      </c>
      <c r="I2733">
        <f t="array" ref="I2733">SUMIF(A:A,A2733,F:F)</f>
        <v>40714.880000000005</v>
      </c>
      <c r="J2733">
        <f t="array" ref="J2733">5 - INT(5 * (RANK(G2733,G:G, 1) - 1) / COUNT(G:G))</f>
        <v>5</v>
      </c>
      <c r="K2733">
        <f t="array" ref="K2733">INT(5 * (RANK(H2733,H:H, 0) - 1) / COUNT(H:H)) + 1</f>
        <v>1</v>
      </c>
      <c r="L2733">
        <f t="array" ref="L2733">INT(5 * (RANK(I2733,I:I, 0) - 1) / COUNT(I:I)) + 1</f>
        <v>2</v>
      </c>
      <c r="M2733" t="str">
        <f t="shared" si="84"/>
        <v>512</v>
      </c>
      <c r="N2733" s="6" t="str">
        <f t="shared" si="85"/>
        <v>New Customers</v>
      </c>
    </row>
    <row r="2734" spans="1:14" x14ac:dyDescent="0.35">
      <c r="A2734">
        <v>1322</v>
      </c>
      <c r="B2734" s="4">
        <v>46070.375085336993</v>
      </c>
      <c r="C2734" t="s">
        <v>13</v>
      </c>
      <c r="D2734" t="s">
        <v>20</v>
      </c>
      <c r="E2734" t="s">
        <v>23</v>
      </c>
      <c r="F2734">
        <v>10591.74</v>
      </c>
      <c r="G2734">
        <f t="array" ref="G2734">SalesData!$I$2 - 'RFM Table'!B2734</f>
        <v>66</v>
      </c>
      <c r="H2734">
        <f t="array" ref="H2734">COUNTIF(A:A,A2734)</f>
        <v>8</v>
      </c>
      <c r="I2734">
        <f t="array" ref="I2734">SUMIF(A:A,A2734,F:F)</f>
        <v>30924.840000000004</v>
      </c>
      <c r="J2734">
        <f t="array" ref="J2734">5 - INT(5 * (RANK(G2734,G:G, 1) - 1) / COUNT(G:G))</f>
        <v>5</v>
      </c>
      <c r="K2734">
        <f t="array" ref="K2734">INT(5 * (RANK(H2734,H:H, 0) - 1) / COUNT(H:H)) + 1</f>
        <v>3</v>
      </c>
      <c r="L2734">
        <f t="array" ref="L2734">INT(5 * (RANK(I2734,I:I, 0) - 1) / COUNT(I:I)) + 1</f>
        <v>3</v>
      </c>
      <c r="M2734" t="str">
        <f t="shared" si="84"/>
        <v>533</v>
      </c>
      <c r="N2734" s="6" t="str">
        <f t="shared" si="85"/>
        <v>Others</v>
      </c>
    </row>
    <row r="2735" spans="1:14" x14ac:dyDescent="0.35">
      <c r="A2735">
        <v>1013</v>
      </c>
      <c r="B2735" s="4">
        <v>46070.375085336993</v>
      </c>
      <c r="C2735" t="s">
        <v>6</v>
      </c>
      <c r="D2735" t="s">
        <v>17</v>
      </c>
      <c r="E2735" t="s">
        <v>25</v>
      </c>
      <c r="F2735">
        <v>3541.72</v>
      </c>
      <c r="G2735">
        <f t="array" ref="G2735">SalesData!$I$2 - 'RFM Table'!B2735</f>
        <v>66</v>
      </c>
      <c r="H2735">
        <f t="array" ref="H2735">COUNTIF(A:A,A2735)</f>
        <v>14</v>
      </c>
      <c r="I2735">
        <f t="array" ref="I2735">SUMIF(A:A,A2735,F:F)</f>
        <v>60099.840000000004</v>
      </c>
      <c r="J2735">
        <f t="array" ref="J2735">5 - INT(5 * (RANK(G2735,G:G, 1) - 1) / COUNT(G:G))</f>
        <v>5</v>
      </c>
      <c r="K2735">
        <f t="array" ref="K2735">INT(5 * (RANK(H2735,H:H, 0) - 1) / COUNT(H:H)) + 1</f>
        <v>1</v>
      </c>
      <c r="L2735">
        <f t="array" ref="L2735">INT(5 * (RANK(I2735,I:I, 0) - 1) / COUNT(I:I)) + 1</f>
        <v>1</v>
      </c>
      <c r="M2735" t="str">
        <f t="shared" si="84"/>
        <v>511</v>
      </c>
      <c r="N2735" s="6" t="str">
        <f t="shared" si="85"/>
        <v>New Customers</v>
      </c>
    </row>
    <row r="2736" spans="1:14" x14ac:dyDescent="0.35">
      <c r="A2736">
        <v>1150</v>
      </c>
      <c r="B2736" s="4">
        <v>46071.375085336993</v>
      </c>
      <c r="C2736" t="s">
        <v>12</v>
      </c>
      <c r="D2736" t="s">
        <v>19</v>
      </c>
      <c r="E2736" t="s">
        <v>24</v>
      </c>
      <c r="F2736">
        <v>5840.29</v>
      </c>
      <c r="G2736">
        <f t="array" ref="G2736">SalesData!$I$2 - 'RFM Table'!B2736</f>
        <v>65</v>
      </c>
      <c r="H2736">
        <f t="array" ref="H2736">COUNTIF(A:A,A2736)</f>
        <v>10</v>
      </c>
      <c r="I2736">
        <f t="array" ref="I2736">SUMIF(A:A,A2736,F:F)</f>
        <v>34643.039999999994</v>
      </c>
      <c r="J2736">
        <f t="array" ref="J2736">5 - INT(5 * (RANK(G2736,G:G, 1) - 1) / COUNT(G:G))</f>
        <v>5</v>
      </c>
      <c r="K2736">
        <f t="array" ref="K2736">INT(5 * (RANK(H2736,H:H, 0) - 1) / COUNT(H:H)) + 1</f>
        <v>2</v>
      </c>
      <c r="L2736">
        <f t="array" ref="L2736">INT(5 * (RANK(I2736,I:I, 0) - 1) / COUNT(I:I)) + 1</f>
        <v>3</v>
      </c>
      <c r="M2736" t="str">
        <f t="shared" si="84"/>
        <v>523</v>
      </c>
      <c r="N2736" s="6" t="str">
        <f t="shared" si="85"/>
        <v>New Customers</v>
      </c>
    </row>
    <row r="2737" spans="1:14" x14ac:dyDescent="0.35">
      <c r="A2737">
        <v>1140</v>
      </c>
      <c r="B2737" s="4">
        <v>46071.375085336993</v>
      </c>
      <c r="C2737" t="s">
        <v>6</v>
      </c>
      <c r="D2737" t="s">
        <v>20</v>
      </c>
      <c r="E2737" t="s">
        <v>24</v>
      </c>
      <c r="F2737">
        <v>4293.71</v>
      </c>
      <c r="G2737">
        <f t="array" ref="G2737">SalesData!$I$2 - 'RFM Table'!B2737</f>
        <v>65</v>
      </c>
      <c r="H2737">
        <f t="array" ref="H2737">COUNTIF(A:A,A2737)</f>
        <v>9</v>
      </c>
      <c r="I2737">
        <f t="array" ref="I2737">SUMIF(A:A,A2737,F:F)</f>
        <v>45498.270000000004</v>
      </c>
      <c r="J2737">
        <f t="array" ref="J2737">5 - INT(5 * (RANK(G2737,G:G, 1) - 1) / COUNT(G:G))</f>
        <v>5</v>
      </c>
      <c r="K2737">
        <f t="array" ref="K2737">INT(5 * (RANK(H2737,H:H, 0) - 1) / COUNT(H:H)) + 1</f>
        <v>2</v>
      </c>
      <c r="L2737">
        <f t="array" ref="L2737">INT(5 * (RANK(I2737,I:I, 0) - 1) / COUNT(I:I)) + 1</f>
        <v>1</v>
      </c>
      <c r="M2737" t="str">
        <f t="shared" si="84"/>
        <v>521</v>
      </c>
      <c r="N2737" s="6" t="str">
        <f t="shared" si="85"/>
        <v>New Customers</v>
      </c>
    </row>
    <row r="2738" spans="1:14" x14ac:dyDescent="0.35">
      <c r="A2738">
        <v>1327</v>
      </c>
      <c r="B2738" s="4">
        <v>46071.375085336993</v>
      </c>
      <c r="C2738" t="s">
        <v>8</v>
      </c>
      <c r="D2738" t="s">
        <v>21</v>
      </c>
      <c r="E2738" t="s">
        <v>23</v>
      </c>
      <c r="F2738">
        <v>2428.9499999999998</v>
      </c>
      <c r="G2738">
        <f t="array" ref="G2738">SalesData!$I$2 - 'RFM Table'!B2738</f>
        <v>65</v>
      </c>
      <c r="H2738">
        <f t="array" ref="H2738">COUNTIF(A:A,A2738)</f>
        <v>10</v>
      </c>
      <c r="I2738">
        <f t="array" ref="I2738">SUMIF(A:A,A2738,F:F)</f>
        <v>34265.79</v>
      </c>
      <c r="J2738">
        <f t="array" ref="J2738">5 - INT(5 * (RANK(G2738,G:G, 1) - 1) / COUNT(G:G))</f>
        <v>5</v>
      </c>
      <c r="K2738">
        <f t="array" ref="K2738">INT(5 * (RANK(H2738,H:H, 0) - 1) / COUNT(H:H)) + 1</f>
        <v>2</v>
      </c>
      <c r="L2738">
        <f t="array" ref="L2738">INT(5 * (RANK(I2738,I:I, 0) - 1) / COUNT(I:I)) + 1</f>
        <v>3</v>
      </c>
      <c r="M2738" t="str">
        <f t="shared" si="84"/>
        <v>523</v>
      </c>
      <c r="N2738" s="6" t="str">
        <f t="shared" si="85"/>
        <v>New Customers</v>
      </c>
    </row>
    <row r="2739" spans="1:14" x14ac:dyDescent="0.35">
      <c r="A2739">
        <v>1185</v>
      </c>
      <c r="B2739" s="4">
        <v>46071.375085336993</v>
      </c>
      <c r="C2739" t="s">
        <v>7</v>
      </c>
      <c r="D2739" t="s">
        <v>16</v>
      </c>
      <c r="E2739" t="s">
        <v>23</v>
      </c>
      <c r="F2739">
        <v>2362.4499999999998</v>
      </c>
      <c r="G2739">
        <f t="array" ref="G2739">SalesData!$I$2 - 'RFM Table'!B2739</f>
        <v>65</v>
      </c>
      <c r="H2739">
        <f t="array" ref="H2739">COUNTIF(A:A,A2739)</f>
        <v>8</v>
      </c>
      <c r="I2739">
        <f t="array" ref="I2739">SUMIF(A:A,A2739,F:F)</f>
        <v>27805.74</v>
      </c>
      <c r="J2739">
        <f t="array" ref="J2739">5 - INT(5 * (RANK(G2739,G:G, 1) - 1) / COUNT(G:G))</f>
        <v>5</v>
      </c>
      <c r="K2739">
        <f t="array" ref="K2739">INT(5 * (RANK(H2739,H:H, 0) - 1) / COUNT(H:H)) + 1</f>
        <v>3</v>
      </c>
      <c r="L2739">
        <f t="array" ref="L2739">INT(5 * (RANK(I2739,I:I, 0) - 1) / COUNT(I:I)) + 1</f>
        <v>4</v>
      </c>
      <c r="M2739" t="str">
        <f t="shared" si="84"/>
        <v>534</v>
      </c>
      <c r="N2739" s="6" t="str">
        <f t="shared" si="85"/>
        <v>Others</v>
      </c>
    </row>
    <row r="2740" spans="1:14" x14ac:dyDescent="0.35">
      <c r="A2740">
        <v>1000</v>
      </c>
      <c r="B2740" s="4">
        <v>46072.375085336993</v>
      </c>
      <c r="C2740" t="s">
        <v>12</v>
      </c>
      <c r="D2740" t="s">
        <v>21</v>
      </c>
      <c r="E2740" t="s">
        <v>25</v>
      </c>
      <c r="F2740">
        <v>8622.2099999999991</v>
      </c>
      <c r="G2740">
        <f t="array" ref="G2740">SalesData!$I$2 - 'RFM Table'!B2740</f>
        <v>64</v>
      </c>
      <c r="H2740">
        <f t="array" ref="H2740">COUNTIF(A:A,A2740)</f>
        <v>11</v>
      </c>
      <c r="I2740">
        <f t="array" ref="I2740">SUMIF(A:A,A2740,F:F)</f>
        <v>62566.770000000004</v>
      </c>
      <c r="J2740">
        <f t="array" ref="J2740">5 - INT(5 * (RANK(G2740,G:G, 1) - 1) / COUNT(G:G))</f>
        <v>5</v>
      </c>
      <c r="K2740">
        <f t="array" ref="K2740">INT(5 * (RANK(H2740,H:H, 0) - 1) / COUNT(H:H)) + 1</f>
        <v>1</v>
      </c>
      <c r="L2740">
        <f t="array" ref="L2740">INT(5 * (RANK(I2740,I:I, 0) - 1) / COUNT(I:I)) + 1</f>
        <v>1</v>
      </c>
      <c r="M2740" t="str">
        <f t="shared" si="84"/>
        <v>511</v>
      </c>
      <c r="N2740" s="6" t="str">
        <f t="shared" si="85"/>
        <v>New Customers</v>
      </c>
    </row>
    <row r="2741" spans="1:14" x14ac:dyDescent="0.35">
      <c r="A2741">
        <v>1319</v>
      </c>
      <c r="B2741" s="4">
        <v>46072.375085336993</v>
      </c>
      <c r="C2741" t="s">
        <v>7</v>
      </c>
      <c r="D2741" t="s">
        <v>18</v>
      </c>
      <c r="E2741" t="s">
        <v>25</v>
      </c>
      <c r="F2741">
        <v>7759.75</v>
      </c>
      <c r="G2741">
        <f t="array" ref="G2741">SalesData!$I$2 - 'RFM Table'!B2741</f>
        <v>64</v>
      </c>
      <c r="H2741">
        <f t="array" ref="H2741">COUNTIF(A:A,A2741)</f>
        <v>10</v>
      </c>
      <c r="I2741">
        <f t="array" ref="I2741">SUMIF(A:A,A2741,F:F)</f>
        <v>39681.960000000006</v>
      </c>
      <c r="J2741">
        <f t="array" ref="J2741">5 - INT(5 * (RANK(G2741,G:G, 1) - 1) / COUNT(G:G))</f>
        <v>5</v>
      </c>
      <c r="K2741">
        <f t="array" ref="K2741">INT(5 * (RANK(H2741,H:H, 0) - 1) / COUNT(H:H)) + 1</f>
        <v>2</v>
      </c>
      <c r="L2741">
        <f t="array" ref="L2741">INT(5 * (RANK(I2741,I:I, 0) - 1) / COUNT(I:I)) + 1</f>
        <v>2</v>
      </c>
      <c r="M2741" t="str">
        <f t="shared" si="84"/>
        <v>522</v>
      </c>
      <c r="N2741" s="6" t="str">
        <f t="shared" si="85"/>
        <v>New Customers</v>
      </c>
    </row>
    <row r="2742" spans="1:14" x14ac:dyDescent="0.35">
      <c r="A2742">
        <v>1390</v>
      </c>
      <c r="B2742" s="4">
        <v>46072.375085336993</v>
      </c>
      <c r="C2742" t="s">
        <v>15</v>
      </c>
      <c r="D2742" t="s">
        <v>19</v>
      </c>
      <c r="E2742" t="s">
        <v>25</v>
      </c>
      <c r="F2742">
        <v>9440</v>
      </c>
      <c r="G2742">
        <f t="array" ref="G2742">SalesData!$I$2 - 'RFM Table'!B2742</f>
        <v>64</v>
      </c>
      <c r="H2742">
        <f t="array" ref="H2742">COUNTIF(A:A,A2742)</f>
        <v>8</v>
      </c>
      <c r="I2742">
        <f t="array" ref="I2742">SUMIF(A:A,A2742,F:F)</f>
        <v>37946.1</v>
      </c>
      <c r="J2742">
        <f t="array" ref="J2742">5 - INT(5 * (RANK(G2742,G:G, 1) - 1) / COUNT(G:G))</f>
        <v>5</v>
      </c>
      <c r="K2742">
        <f t="array" ref="K2742">INT(5 * (RANK(H2742,H:H, 0) - 1) / COUNT(H:H)) + 1</f>
        <v>3</v>
      </c>
      <c r="L2742">
        <f t="array" ref="L2742">INT(5 * (RANK(I2742,I:I, 0) - 1) / COUNT(I:I)) + 1</f>
        <v>2</v>
      </c>
      <c r="M2742" t="str">
        <f t="shared" si="84"/>
        <v>532</v>
      </c>
      <c r="N2742" s="6" t="str">
        <f t="shared" si="85"/>
        <v>Others</v>
      </c>
    </row>
    <row r="2743" spans="1:14" x14ac:dyDescent="0.35">
      <c r="A2743">
        <v>1366</v>
      </c>
      <c r="B2743" s="4">
        <v>46073.375085336993</v>
      </c>
      <c r="C2743" t="s">
        <v>6</v>
      </c>
      <c r="D2743" t="s">
        <v>20</v>
      </c>
      <c r="E2743" t="s">
        <v>24</v>
      </c>
      <c r="F2743">
        <v>2790.49</v>
      </c>
      <c r="G2743">
        <f t="array" ref="G2743">SalesData!$I$2 - 'RFM Table'!B2743</f>
        <v>63</v>
      </c>
      <c r="H2743">
        <f t="array" ref="H2743">COUNTIF(A:A,A2743)</f>
        <v>7</v>
      </c>
      <c r="I2743">
        <f t="array" ref="I2743">SUMIF(A:A,A2743,F:F)</f>
        <v>19730.549999999996</v>
      </c>
      <c r="J2743">
        <f t="array" ref="J2743">5 - INT(5 * (RANK(G2743,G:G, 1) - 1) / COUNT(G:G))</f>
        <v>5</v>
      </c>
      <c r="K2743">
        <f t="array" ref="K2743">INT(5 * (RANK(H2743,H:H, 0) - 1) / COUNT(H:H)) + 1</f>
        <v>4</v>
      </c>
      <c r="L2743">
        <f t="array" ref="L2743">INT(5 * (RANK(I2743,I:I, 0) - 1) / COUNT(I:I)) + 1</f>
        <v>5</v>
      </c>
      <c r="M2743" t="str">
        <f t="shared" si="84"/>
        <v>545</v>
      </c>
      <c r="N2743" s="6" t="str">
        <f t="shared" si="85"/>
        <v>Others</v>
      </c>
    </row>
    <row r="2744" spans="1:14" x14ac:dyDescent="0.35">
      <c r="A2744">
        <v>1293</v>
      </c>
      <c r="B2744" s="4">
        <v>46073.375085336993</v>
      </c>
      <c r="C2744" t="s">
        <v>10</v>
      </c>
      <c r="D2744" t="s">
        <v>19</v>
      </c>
      <c r="E2744" t="s">
        <v>24</v>
      </c>
      <c r="F2744">
        <v>5386.29</v>
      </c>
      <c r="G2744">
        <f t="array" ref="G2744">SalesData!$I$2 - 'RFM Table'!B2744</f>
        <v>63</v>
      </c>
      <c r="H2744">
        <f t="array" ref="H2744">COUNTIF(A:A,A2744)</f>
        <v>7</v>
      </c>
      <c r="I2744">
        <f t="array" ref="I2744">SUMIF(A:A,A2744,F:F)</f>
        <v>27438.3</v>
      </c>
      <c r="J2744">
        <f t="array" ref="J2744">5 - INT(5 * (RANK(G2744,G:G, 1) - 1) / COUNT(G:G))</f>
        <v>5</v>
      </c>
      <c r="K2744">
        <f t="array" ref="K2744">INT(5 * (RANK(H2744,H:H, 0) - 1) / COUNT(H:H)) + 1</f>
        <v>4</v>
      </c>
      <c r="L2744">
        <f t="array" ref="L2744">INT(5 * (RANK(I2744,I:I, 0) - 1) / COUNT(I:I)) + 1</f>
        <v>4</v>
      </c>
      <c r="M2744" t="str">
        <f t="shared" si="84"/>
        <v>544</v>
      </c>
      <c r="N2744" s="6" t="str">
        <f t="shared" si="85"/>
        <v>Others</v>
      </c>
    </row>
    <row r="2745" spans="1:14" x14ac:dyDescent="0.35">
      <c r="A2745">
        <v>1048</v>
      </c>
      <c r="B2745" s="4">
        <v>46073.375085336993</v>
      </c>
      <c r="C2745" t="s">
        <v>7</v>
      </c>
      <c r="D2745" t="s">
        <v>22</v>
      </c>
      <c r="E2745" t="s">
        <v>23</v>
      </c>
      <c r="F2745">
        <v>2340.0700000000002</v>
      </c>
      <c r="G2745">
        <f t="array" ref="G2745">SalesData!$I$2 - 'RFM Table'!B2745</f>
        <v>63</v>
      </c>
      <c r="H2745">
        <f t="array" ref="H2745">COUNTIF(A:A,A2745)</f>
        <v>9</v>
      </c>
      <c r="I2745">
        <f t="array" ref="I2745">SUMIF(A:A,A2745,F:F)</f>
        <v>34800.239999999998</v>
      </c>
      <c r="J2745">
        <f t="array" ref="J2745">5 - INT(5 * (RANK(G2745,G:G, 1) - 1) / COUNT(G:G))</f>
        <v>5</v>
      </c>
      <c r="K2745">
        <f t="array" ref="K2745">INT(5 * (RANK(H2745,H:H, 0) - 1) / COUNT(H:H)) + 1</f>
        <v>2</v>
      </c>
      <c r="L2745">
        <f t="array" ref="L2745">INT(5 * (RANK(I2745,I:I, 0) - 1) / COUNT(I:I)) + 1</f>
        <v>3</v>
      </c>
      <c r="M2745" t="str">
        <f t="shared" si="84"/>
        <v>523</v>
      </c>
      <c r="N2745" s="6" t="str">
        <f t="shared" si="85"/>
        <v>New Customers</v>
      </c>
    </row>
    <row r="2746" spans="1:14" x14ac:dyDescent="0.35">
      <c r="A2746">
        <v>1020</v>
      </c>
      <c r="B2746" s="4">
        <v>46073.375085336993</v>
      </c>
      <c r="C2746" t="s">
        <v>14</v>
      </c>
      <c r="D2746" t="s">
        <v>18</v>
      </c>
      <c r="E2746" t="s">
        <v>23</v>
      </c>
      <c r="F2746">
        <v>2682.79</v>
      </c>
      <c r="G2746">
        <f t="array" ref="G2746">SalesData!$I$2 - 'RFM Table'!B2746</f>
        <v>63</v>
      </c>
      <c r="H2746">
        <f t="array" ref="H2746">COUNTIF(A:A,A2746)</f>
        <v>6</v>
      </c>
      <c r="I2746">
        <f t="array" ref="I2746">SUMIF(A:A,A2746,F:F)</f>
        <v>22687.77</v>
      </c>
      <c r="J2746">
        <f t="array" ref="J2746">5 - INT(5 * (RANK(G2746,G:G, 1) - 1) / COUNT(G:G))</f>
        <v>5</v>
      </c>
      <c r="K2746">
        <f t="array" ref="K2746">INT(5 * (RANK(H2746,H:H, 0) - 1) / COUNT(H:H)) + 1</f>
        <v>4</v>
      </c>
      <c r="L2746">
        <f t="array" ref="L2746">INT(5 * (RANK(I2746,I:I, 0) - 1) / COUNT(I:I)) + 1</f>
        <v>4</v>
      </c>
      <c r="M2746" t="str">
        <f t="shared" si="84"/>
        <v>544</v>
      </c>
      <c r="N2746" s="6" t="str">
        <f t="shared" si="85"/>
        <v>Others</v>
      </c>
    </row>
    <row r="2747" spans="1:14" x14ac:dyDescent="0.35">
      <c r="A2747">
        <v>1046</v>
      </c>
      <c r="B2747" s="4">
        <v>46073.375085336993</v>
      </c>
      <c r="C2747" t="s">
        <v>12</v>
      </c>
      <c r="D2747" t="s">
        <v>16</v>
      </c>
      <c r="E2747" t="s">
        <v>23</v>
      </c>
      <c r="F2747">
        <v>2904.82</v>
      </c>
      <c r="G2747">
        <f t="array" ref="G2747">SalesData!$I$2 - 'RFM Table'!B2747</f>
        <v>63</v>
      </c>
      <c r="H2747">
        <f t="array" ref="H2747">COUNTIF(A:A,A2747)</f>
        <v>9</v>
      </c>
      <c r="I2747">
        <f t="array" ref="I2747">SUMIF(A:A,A2747,F:F)</f>
        <v>26580.030000000002</v>
      </c>
      <c r="J2747">
        <f t="array" ref="J2747">5 - INT(5 * (RANK(G2747,G:G, 1) - 1) / COUNT(G:G))</f>
        <v>5</v>
      </c>
      <c r="K2747">
        <f t="array" ref="K2747">INT(5 * (RANK(H2747,H:H, 0) - 1) / COUNT(H:H)) + 1</f>
        <v>2</v>
      </c>
      <c r="L2747">
        <f t="array" ref="L2747">INT(5 * (RANK(I2747,I:I, 0) - 1) / COUNT(I:I)) + 1</f>
        <v>4</v>
      </c>
      <c r="M2747" t="str">
        <f t="shared" si="84"/>
        <v>524</v>
      </c>
      <c r="N2747" s="6" t="str">
        <f t="shared" si="85"/>
        <v>New Customers</v>
      </c>
    </row>
    <row r="2748" spans="1:14" x14ac:dyDescent="0.35">
      <c r="A2748">
        <v>1011</v>
      </c>
      <c r="B2748" s="4">
        <v>46074.375085336993</v>
      </c>
      <c r="C2748" t="s">
        <v>15</v>
      </c>
      <c r="D2748" t="s">
        <v>17</v>
      </c>
      <c r="E2748" t="s">
        <v>23</v>
      </c>
      <c r="F2748">
        <v>1079.04</v>
      </c>
      <c r="G2748">
        <f t="array" ref="G2748">SalesData!$I$2 - 'RFM Table'!B2748</f>
        <v>62</v>
      </c>
      <c r="H2748">
        <f t="array" ref="H2748">COUNTIF(A:A,A2748)</f>
        <v>16</v>
      </c>
      <c r="I2748">
        <f t="array" ref="I2748">SUMIF(A:A,A2748,F:F)</f>
        <v>58237.360000000008</v>
      </c>
      <c r="J2748">
        <f t="array" ref="J2748">5 - INT(5 * (RANK(G2748,G:G, 1) - 1) / COUNT(G:G))</f>
        <v>5</v>
      </c>
      <c r="K2748">
        <f t="array" ref="K2748">INT(5 * (RANK(H2748,H:H, 0) - 1) / COUNT(H:H)) + 1</f>
        <v>1</v>
      </c>
      <c r="L2748">
        <f t="array" ref="L2748">INT(5 * (RANK(I2748,I:I, 0) - 1) / COUNT(I:I)) + 1</f>
        <v>1</v>
      </c>
      <c r="M2748" t="str">
        <f t="shared" si="84"/>
        <v>511</v>
      </c>
      <c r="N2748" s="6" t="str">
        <f t="shared" si="85"/>
        <v>New Customers</v>
      </c>
    </row>
    <row r="2749" spans="1:14" x14ac:dyDescent="0.35">
      <c r="A2749">
        <v>1052</v>
      </c>
      <c r="B2749" s="4">
        <v>46074.375085336993</v>
      </c>
      <c r="C2749" t="s">
        <v>9</v>
      </c>
      <c r="D2749" t="s">
        <v>17</v>
      </c>
      <c r="E2749" t="s">
        <v>25</v>
      </c>
      <c r="F2749">
        <v>1724.59</v>
      </c>
      <c r="G2749">
        <f t="array" ref="G2749">SalesData!$I$2 - 'RFM Table'!B2749</f>
        <v>62</v>
      </c>
      <c r="H2749">
        <f t="array" ref="H2749">COUNTIF(A:A,A2749)</f>
        <v>9</v>
      </c>
      <c r="I2749">
        <f t="array" ref="I2749">SUMIF(A:A,A2749,F:F)</f>
        <v>35283.15</v>
      </c>
      <c r="J2749">
        <f t="array" ref="J2749">5 - INT(5 * (RANK(G2749,G:G, 1) - 1) / COUNT(G:G))</f>
        <v>5</v>
      </c>
      <c r="K2749">
        <f t="array" ref="K2749">INT(5 * (RANK(H2749,H:H, 0) - 1) / COUNT(H:H)) + 1</f>
        <v>2</v>
      </c>
      <c r="L2749">
        <f t="array" ref="L2749">INT(5 * (RANK(I2749,I:I, 0) - 1) / COUNT(I:I)) + 1</f>
        <v>3</v>
      </c>
      <c r="M2749" t="str">
        <f t="shared" si="84"/>
        <v>523</v>
      </c>
      <c r="N2749" s="6" t="str">
        <f t="shared" si="85"/>
        <v>New Customers</v>
      </c>
    </row>
    <row r="2750" spans="1:14" x14ac:dyDescent="0.35">
      <c r="A2750">
        <v>1116</v>
      </c>
      <c r="B2750" s="4">
        <v>46074.375085336993</v>
      </c>
      <c r="C2750" t="s">
        <v>6</v>
      </c>
      <c r="D2750" t="s">
        <v>19</v>
      </c>
      <c r="E2750" t="s">
        <v>25</v>
      </c>
      <c r="F2750">
        <v>9401.2199999999993</v>
      </c>
      <c r="G2750">
        <f t="array" ref="G2750">SalesData!$I$2 - 'RFM Table'!B2750</f>
        <v>62</v>
      </c>
      <c r="H2750">
        <f t="array" ref="H2750">COUNTIF(A:A,A2750)</f>
        <v>11</v>
      </c>
      <c r="I2750">
        <f t="array" ref="I2750">SUMIF(A:A,A2750,F:F)</f>
        <v>40714.880000000005</v>
      </c>
      <c r="J2750">
        <f t="array" ref="J2750">5 - INT(5 * (RANK(G2750,G:G, 1) - 1) / COUNT(G:G))</f>
        <v>5</v>
      </c>
      <c r="K2750">
        <f t="array" ref="K2750">INT(5 * (RANK(H2750,H:H, 0) - 1) / COUNT(H:H)) + 1</f>
        <v>1</v>
      </c>
      <c r="L2750">
        <f t="array" ref="L2750">INT(5 * (RANK(I2750,I:I, 0) - 1) / COUNT(I:I)) + 1</f>
        <v>2</v>
      </c>
      <c r="M2750" t="str">
        <f t="shared" si="84"/>
        <v>512</v>
      </c>
      <c r="N2750" s="6" t="str">
        <f t="shared" si="85"/>
        <v>New Customers</v>
      </c>
    </row>
    <row r="2751" spans="1:14" x14ac:dyDescent="0.35">
      <c r="A2751">
        <v>1354</v>
      </c>
      <c r="B2751" s="4">
        <v>46074.375085336993</v>
      </c>
      <c r="C2751" t="s">
        <v>15</v>
      </c>
      <c r="D2751" t="s">
        <v>21</v>
      </c>
      <c r="E2751" t="s">
        <v>23</v>
      </c>
      <c r="F2751">
        <v>3990.72</v>
      </c>
      <c r="G2751">
        <f t="array" ref="G2751">SalesData!$I$2 - 'RFM Table'!B2751</f>
        <v>62</v>
      </c>
      <c r="H2751">
        <f t="array" ref="H2751">COUNTIF(A:A,A2751)</f>
        <v>7</v>
      </c>
      <c r="I2751">
        <f t="array" ref="I2751">SUMIF(A:A,A2751,F:F)</f>
        <v>30282.260000000002</v>
      </c>
      <c r="J2751">
        <f t="array" ref="J2751">5 - INT(5 * (RANK(G2751,G:G, 1) - 1) / COUNT(G:G))</f>
        <v>5</v>
      </c>
      <c r="K2751">
        <f t="array" ref="K2751">INT(5 * (RANK(H2751,H:H, 0) - 1) / COUNT(H:H)) + 1</f>
        <v>4</v>
      </c>
      <c r="L2751">
        <f t="array" ref="L2751">INT(5 * (RANK(I2751,I:I, 0) - 1) / COUNT(I:I)) + 1</f>
        <v>3</v>
      </c>
      <c r="M2751" t="str">
        <f t="shared" si="84"/>
        <v>543</v>
      </c>
      <c r="N2751" s="6" t="str">
        <f t="shared" si="85"/>
        <v>Others</v>
      </c>
    </row>
    <row r="2752" spans="1:14" x14ac:dyDescent="0.35">
      <c r="A2752">
        <v>1251</v>
      </c>
      <c r="B2752" s="4">
        <v>46075.375085336993</v>
      </c>
      <c r="C2752" t="s">
        <v>6</v>
      </c>
      <c r="D2752" t="s">
        <v>21</v>
      </c>
      <c r="E2752" t="s">
        <v>23</v>
      </c>
      <c r="F2752">
        <v>3491.03</v>
      </c>
      <c r="G2752">
        <f t="array" ref="G2752">SalesData!$I$2 - 'RFM Table'!B2752</f>
        <v>61</v>
      </c>
      <c r="H2752">
        <f t="array" ref="H2752">COUNTIF(A:A,A2752)</f>
        <v>9</v>
      </c>
      <c r="I2752">
        <f t="array" ref="I2752">SUMIF(A:A,A2752,F:F)</f>
        <v>39183.29</v>
      </c>
      <c r="J2752">
        <f t="array" ref="J2752">5 - INT(5 * (RANK(G2752,G:G, 1) - 1) / COUNT(G:G))</f>
        <v>5</v>
      </c>
      <c r="K2752">
        <f t="array" ref="K2752">INT(5 * (RANK(H2752,H:H, 0) - 1) / COUNT(H:H)) + 1</f>
        <v>2</v>
      </c>
      <c r="L2752">
        <f t="array" ref="L2752">INT(5 * (RANK(I2752,I:I, 0) - 1) / COUNT(I:I)) + 1</f>
        <v>2</v>
      </c>
      <c r="M2752" t="str">
        <f t="shared" si="84"/>
        <v>522</v>
      </c>
      <c r="N2752" s="6" t="str">
        <f t="shared" si="85"/>
        <v>New Customers</v>
      </c>
    </row>
    <row r="2753" spans="1:14" x14ac:dyDescent="0.35">
      <c r="A2753">
        <v>1071</v>
      </c>
      <c r="B2753" s="4">
        <v>46075.375085336993</v>
      </c>
      <c r="C2753" t="s">
        <v>11</v>
      </c>
      <c r="D2753" t="s">
        <v>20</v>
      </c>
      <c r="E2753" t="s">
        <v>23</v>
      </c>
      <c r="F2753">
        <v>2934.53</v>
      </c>
      <c r="G2753">
        <f t="array" ref="G2753">SalesData!$I$2 - 'RFM Table'!B2753</f>
        <v>61</v>
      </c>
      <c r="H2753">
        <f t="array" ref="H2753">COUNTIF(A:A,A2753)</f>
        <v>8</v>
      </c>
      <c r="I2753">
        <f t="array" ref="I2753">SUMIF(A:A,A2753,F:F)</f>
        <v>28879.600000000002</v>
      </c>
      <c r="J2753">
        <f t="array" ref="J2753">5 - INT(5 * (RANK(G2753,G:G, 1) - 1) / COUNT(G:G))</f>
        <v>5</v>
      </c>
      <c r="K2753">
        <f t="array" ref="K2753">INT(5 * (RANK(H2753,H:H, 0) - 1) / COUNT(H:H)) + 1</f>
        <v>3</v>
      </c>
      <c r="L2753">
        <f t="array" ref="L2753">INT(5 * (RANK(I2753,I:I, 0) - 1) / COUNT(I:I)) + 1</f>
        <v>4</v>
      </c>
      <c r="M2753" t="str">
        <f t="shared" si="84"/>
        <v>534</v>
      </c>
      <c r="N2753" s="6" t="str">
        <f t="shared" si="85"/>
        <v>Others</v>
      </c>
    </row>
    <row r="2754" spans="1:14" x14ac:dyDescent="0.35">
      <c r="A2754">
        <v>1310</v>
      </c>
      <c r="B2754" s="4">
        <v>46075.375085336993</v>
      </c>
      <c r="C2754" t="s">
        <v>15</v>
      </c>
      <c r="D2754" t="s">
        <v>18</v>
      </c>
      <c r="E2754" t="s">
        <v>25</v>
      </c>
      <c r="F2754">
        <v>4627.1099999999997</v>
      </c>
      <c r="G2754">
        <f t="array" ref="G2754">SalesData!$I$2 - 'RFM Table'!B2754</f>
        <v>61</v>
      </c>
      <c r="H2754">
        <f t="array" ref="H2754">COUNTIF(A:A,A2754)</f>
        <v>9</v>
      </c>
      <c r="I2754">
        <f t="array" ref="I2754">SUMIF(A:A,A2754,F:F)</f>
        <v>45883.96</v>
      </c>
      <c r="J2754">
        <f t="array" ref="J2754">5 - INT(5 * (RANK(G2754,G:G, 1) - 1) / COUNT(G:G))</f>
        <v>5</v>
      </c>
      <c r="K2754">
        <f t="array" ref="K2754">INT(5 * (RANK(H2754,H:H, 0) - 1) / COUNT(H:H)) + 1</f>
        <v>2</v>
      </c>
      <c r="L2754">
        <f t="array" ref="L2754">INT(5 * (RANK(I2754,I:I, 0) - 1) / COUNT(I:I)) + 1</f>
        <v>1</v>
      </c>
      <c r="M2754" t="str">
        <f t="shared" si="84"/>
        <v>521</v>
      </c>
      <c r="N2754" s="6" t="str">
        <f t="shared" si="85"/>
        <v>New Customers</v>
      </c>
    </row>
    <row r="2755" spans="1:14" x14ac:dyDescent="0.35">
      <c r="A2755">
        <v>1339</v>
      </c>
      <c r="B2755" s="4">
        <v>46075.375085336993</v>
      </c>
      <c r="C2755" t="s">
        <v>7</v>
      </c>
      <c r="D2755" t="s">
        <v>18</v>
      </c>
      <c r="E2755" t="s">
        <v>24</v>
      </c>
      <c r="F2755">
        <v>2558.27</v>
      </c>
      <c r="G2755">
        <f t="array" ref="G2755">SalesData!$I$2 - 'RFM Table'!B2755</f>
        <v>61</v>
      </c>
      <c r="H2755">
        <f t="array" ref="H2755">COUNTIF(A:A,A2755)</f>
        <v>8</v>
      </c>
      <c r="I2755">
        <f t="array" ref="I2755">SUMIF(A:A,A2755,F:F)</f>
        <v>30873.260000000002</v>
      </c>
      <c r="J2755">
        <f t="array" ref="J2755">5 - INT(5 * (RANK(G2755,G:G, 1) - 1) / COUNT(G:G))</f>
        <v>5</v>
      </c>
      <c r="K2755">
        <f t="array" ref="K2755">INT(5 * (RANK(H2755,H:H, 0) - 1) / COUNT(H:H)) + 1</f>
        <v>3</v>
      </c>
      <c r="L2755">
        <f t="array" ref="L2755">INT(5 * (RANK(I2755,I:I, 0) - 1) / COUNT(I:I)) + 1</f>
        <v>3</v>
      </c>
      <c r="M2755" t="str">
        <f t="shared" ref="M2755:M2818" si="86">J2755 &amp; K2755 &amp; L2755</f>
        <v>533</v>
      </c>
      <c r="N2755" s="6" t="str">
        <f t="shared" ref="N2755:N2818" si="87">IF(AND(J2755&gt;=4,K2755&lt;=2),"New Customers",
IF(AND(J2755&lt;=2,K2755&gt;=3,L2755&gt;=3),"At Risk",
IF(AND(J2755&lt;=2,K2755&lt;=2,L2755&gt;=3),"Can't Lose Them",
IF(AND(J2755&lt;=2,K2755&lt;=2,L2755&lt;=2),"Lost",
"Others"))))</f>
        <v>Others</v>
      </c>
    </row>
    <row r="2756" spans="1:14" x14ac:dyDescent="0.35">
      <c r="A2756">
        <v>1399</v>
      </c>
      <c r="B2756" s="4">
        <v>46075.375085336993</v>
      </c>
      <c r="C2756" t="s">
        <v>7</v>
      </c>
      <c r="D2756" t="s">
        <v>20</v>
      </c>
      <c r="E2756" t="s">
        <v>24</v>
      </c>
      <c r="F2756">
        <v>5078.1099999999997</v>
      </c>
      <c r="G2756">
        <f t="array" ref="G2756">SalesData!$I$2 - 'RFM Table'!B2756</f>
        <v>61</v>
      </c>
      <c r="H2756">
        <f t="array" ref="H2756">COUNTIF(A:A,A2756)</f>
        <v>9</v>
      </c>
      <c r="I2756">
        <f t="array" ref="I2756">SUMIF(A:A,A2756,F:F)</f>
        <v>34808.1</v>
      </c>
      <c r="J2756">
        <f t="array" ref="J2756">5 - INT(5 * (RANK(G2756,G:G, 1) - 1) / COUNT(G:G))</f>
        <v>5</v>
      </c>
      <c r="K2756">
        <f t="array" ref="K2756">INT(5 * (RANK(H2756,H:H, 0) - 1) / COUNT(H:H)) + 1</f>
        <v>2</v>
      </c>
      <c r="L2756">
        <f t="array" ref="L2756">INT(5 * (RANK(I2756,I:I, 0) - 1) / COUNT(I:I)) + 1</f>
        <v>3</v>
      </c>
      <c r="M2756" t="str">
        <f t="shared" si="86"/>
        <v>523</v>
      </c>
      <c r="N2756" s="6" t="str">
        <f t="shared" si="87"/>
        <v>New Customers</v>
      </c>
    </row>
    <row r="2757" spans="1:14" x14ac:dyDescent="0.35">
      <c r="A2757">
        <v>1329</v>
      </c>
      <c r="B2757" s="4">
        <v>46075.375085336993</v>
      </c>
      <c r="C2757" t="s">
        <v>14</v>
      </c>
      <c r="D2757" t="s">
        <v>20</v>
      </c>
      <c r="E2757" t="s">
        <v>24</v>
      </c>
      <c r="F2757">
        <v>3124.46</v>
      </c>
      <c r="G2757">
        <f t="array" ref="G2757">SalesData!$I$2 - 'RFM Table'!B2757</f>
        <v>61</v>
      </c>
      <c r="H2757">
        <f t="array" ref="H2757">COUNTIF(A:A,A2757)</f>
        <v>9</v>
      </c>
      <c r="I2757">
        <f t="array" ref="I2757">SUMIF(A:A,A2757,F:F)</f>
        <v>27881.53</v>
      </c>
      <c r="J2757">
        <f t="array" ref="J2757">5 - INT(5 * (RANK(G2757,G:G, 1) - 1) / COUNT(G:G))</f>
        <v>5</v>
      </c>
      <c r="K2757">
        <f t="array" ref="K2757">INT(5 * (RANK(H2757,H:H, 0) - 1) / COUNT(H:H)) + 1</f>
        <v>2</v>
      </c>
      <c r="L2757">
        <f t="array" ref="L2757">INT(5 * (RANK(I2757,I:I, 0) - 1) / COUNT(I:I)) + 1</f>
        <v>4</v>
      </c>
      <c r="M2757" t="str">
        <f t="shared" si="86"/>
        <v>524</v>
      </c>
      <c r="N2757" s="6" t="str">
        <f t="shared" si="87"/>
        <v>New Customers</v>
      </c>
    </row>
    <row r="2758" spans="1:14" x14ac:dyDescent="0.35">
      <c r="A2758">
        <v>1319</v>
      </c>
      <c r="B2758" s="4">
        <v>46076.375085336993</v>
      </c>
      <c r="C2758" t="s">
        <v>9</v>
      </c>
      <c r="D2758" t="s">
        <v>21</v>
      </c>
      <c r="E2758" t="s">
        <v>23</v>
      </c>
      <c r="F2758">
        <v>10142.370000000001</v>
      </c>
      <c r="G2758">
        <f t="array" ref="G2758">SalesData!$I$2 - 'RFM Table'!B2758</f>
        <v>60</v>
      </c>
      <c r="H2758">
        <f t="array" ref="H2758">COUNTIF(A:A,A2758)</f>
        <v>10</v>
      </c>
      <c r="I2758">
        <f t="array" ref="I2758">SUMIF(A:A,A2758,F:F)</f>
        <v>39681.960000000006</v>
      </c>
      <c r="J2758">
        <f t="array" ref="J2758">5 - INT(5 * (RANK(G2758,G:G, 1) - 1) / COUNT(G:G))</f>
        <v>5</v>
      </c>
      <c r="K2758">
        <f t="array" ref="K2758">INT(5 * (RANK(H2758,H:H, 0) - 1) / COUNT(H:H)) + 1</f>
        <v>2</v>
      </c>
      <c r="L2758">
        <f t="array" ref="L2758">INT(5 * (RANK(I2758,I:I, 0) - 1) / COUNT(I:I)) + 1</f>
        <v>2</v>
      </c>
      <c r="M2758" t="str">
        <f t="shared" si="86"/>
        <v>522</v>
      </c>
      <c r="N2758" s="6" t="str">
        <f t="shared" si="87"/>
        <v>New Customers</v>
      </c>
    </row>
    <row r="2759" spans="1:14" x14ac:dyDescent="0.35">
      <c r="A2759">
        <v>1398</v>
      </c>
      <c r="B2759" s="4">
        <v>46077.375085336993</v>
      </c>
      <c r="C2759" t="s">
        <v>14</v>
      </c>
      <c r="D2759" t="s">
        <v>21</v>
      </c>
      <c r="E2759" t="s">
        <v>23</v>
      </c>
      <c r="F2759">
        <v>5286.21</v>
      </c>
      <c r="G2759">
        <f t="array" ref="G2759">SalesData!$I$2 - 'RFM Table'!B2759</f>
        <v>59</v>
      </c>
      <c r="H2759">
        <f t="array" ref="H2759">COUNTIF(A:A,A2759)</f>
        <v>7</v>
      </c>
      <c r="I2759">
        <f t="array" ref="I2759">SUMIF(A:A,A2759,F:F)</f>
        <v>28040.249999999996</v>
      </c>
      <c r="J2759">
        <f t="array" ref="J2759">5 - INT(5 * (RANK(G2759,G:G, 1) - 1) / COUNT(G:G))</f>
        <v>5</v>
      </c>
      <c r="K2759">
        <f t="array" ref="K2759">INT(5 * (RANK(H2759,H:H, 0) - 1) / COUNT(H:H)) + 1</f>
        <v>4</v>
      </c>
      <c r="L2759">
        <f t="array" ref="L2759">INT(5 * (RANK(I2759,I:I, 0) - 1) / COUNT(I:I)) + 1</f>
        <v>4</v>
      </c>
      <c r="M2759" t="str">
        <f t="shared" si="86"/>
        <v>544</v>
      </c>
      <c r="N2759" s="6" t="str">
        <f t="shared" si="87"/>
        <v>Others</v>
      </c>
    </row>
    <row r="2760" spans="1:14" x14ac:dyDescent="0.35">
      <c r="A2760">
        <v>1378</v>
      </c>
      <c r="B2760" s="4">
        <v>46077.375085336993</v>
      </c>
      <c r="C2760" t="s">
        <v>14</v>
      </c>
      <c r="D2760" t="s">
        <v>17</v>
      </c>
      <c r="E2760" t="s">
        <v>23</v>
      </c>
      <c r="F2760">
        <v>2350.39</v>
      </c>
      <c r="G2760">
        <f t="array" ref="G2760">SalesData!$I$2 - 'RFM Table'!B2760</f>
        <v>59</v>
      </c>
      <c r="H2760">
        <f t="array" ref="H2760">COUNTIF(A:A,A2760)</f>
        <v>11</v>
      </c>
      <c r="I2760">
        <f t="array" ref="I2760">SUMIF(A:A,A2760,F:F)</f>
        <v>58842.799999999996</v>
      </c>
      <c r="J2760">
        <f t="array" ref="J2760">5 - INT(5 * (RANK(G2760,G:G, 1) - 1) / COUNT(G:G))</f>
        <v>5</v>
      </c>
      <c r="K2760">
        <f t="array" ref="K2760">INT(5 * (RANK(H2760,H:H, 0) - 1) / COUNT(H:H)) + 1</f>
        <v>1</v>
      </c>
      <c r="L2760">
        <f t="array" ref="L2760">INT(5 * (RANK(I2760,I:I, 0) - 1) / COUNT(I:I)) + 1</f>
        <v>1</v>
      </c>
      <c r="M2760" t="str">
        <f t="shared" si="86"/>
        <v>511</v>
      </c>
      <c r="N2760" s="6" t="str">
        <f t="shared" si="87"/>
        <v>New Customers</v>
      </c>
    </row>
    <row r="2761" spans="1:14" x14ac:dyDescent="0.35">
      <c r="A2761">
        <v>1362</v>
      </c>
      <c r="B2761" s="4">
        <v>46077.375085336993</v>
      </c>
      <c r="C2761" t="s">
        <v>11</v>
      </c>
      <c r="D2761" t="s">
        <v>19</v>
      </c>
      <c r="E2761" t="s">
        <v>25</v>
      </c>
      <c r="F2761">
        <v>8578.94</v>
      </c>
      <c r="G2761">
        <f t="array" ref="G2761">SalesData!$I$2 - 'RFM Table'!B2761</f>
        <v>59</v>
      </c>
      <c r="H2761">
        <f t="array" ref="H2761">COUNTIF(A:A,A2761)</f>
        <v>5</v>
      </c>
      <c r="I2761">
        <f t="array" ref="I2761">SUMIF(A:A,A2761,F:F)</f>
        <v>30121.440000000002</v>
      </c>
      <c r="J2761">
        <f t="array" ref="J2761">5 - INT(5 * (RANK(G2761,G:G, 1) - 1) / COUNT(G:G))</f>
        <v>5</v>
      </c>
      <c r="K2761">
        <f t="array" ref="K2761">INT(5 * (RANK(H2761,H:H, 0) - 1) / COUNT(H:H)) + 1</f>
        <v>5</v>
      </c>
      <c r="L2761">
        <f t="array" ref="L2761">INT(5 * (RANK(I2761,I:I, 0) - 1) / COUNT(I:I)) + 1</f>
        <v>3</v>
      </c>
      <c r="M2761" t="str">
        <f t="shared" si="86"/>
        <v>553</v>
      </c>
      <c r="N2761" s="6" t="str">
        <f t="shared" si="87"/>
        <v>Others</v>
      </c>
    </row>
    <row r="2762" spans="1:14" x14ac:dyDescent="0.35">
      <c r="A2762">
        <v>1264</v>
      </c>
      <c r="B2762" s="4">
        <v>46077.375085336993</v>
      </c>
      <c r="C2762" t="s">
        <v>6</v>
      </c>
      <c r="D2762" t="s">
        <v>19</v>
      </c>
      <c r="E2762" t="s">
        <v>24</v>
      </c>
      <c r="F2762">
        <v>4415.12</v>
      </c>
      <c r="G2762">
        <f t="array" ref="G2762">SalesData!$I$2 - 'RFM Table'!B2762</f>
        <v>59</v>
      </c>
      <c r="H2762">
        <f t="array" ref="H2762">COUNTIF(A:A,A2762)</f>
        <v>4</v>
      </c>
      <c r="I2762">
        <f t="array" ref="I2762">SUMIF(A:A,A2762,F:F)</f>
        <v>16880.16</v>
      </c>
      <c r="J2762">
        <f t="array" ref="J2762">5 - INT(5 * (RANK(G2762,G:G, 1) - 1) / COUNT(G:G))</f>
        <v>5</v>
      </c>
      <c r="K2762">
        <f t="array" ref="K2762">INT(5 * (RANK(H2762,H:H, 0) - 1) / COUNT(H:H)) + 1</f>
        <v>5</v>
      </c>
      <c r="L2762">
        <f t="array" ref="L2762">INT(5 * (RANK(I2762,I:I, 0) - 1) / COUNT(I:I)) + 1</f>
        <v>5</v>
      </c>
      <c r="M2762" t="str">
        <f t="shared" si="86"/>
        <v>555</v>
      </c>
      <c r="N2762" s="6" t="str">
        <f t="shared" si="87"/>
        <v>Others</v>
      </c>
    </row>
    <row r="2763" spans="1:14" x14ac:dyDescent="0.35">
      <c r="A2763">
        <v>1116</v>
      </c>
      <c r="B2763" s="4">
        <v>46077.375085336993</v>
      </c>
      <c r="C2763" t="s">
        <v>14</v>
      </c>
      <c r="D2763" t="s">
        <v>20</v>
      </c>
      <c r="E2763" t="s">
        <v>24</v>
      </c>
      <c r="F2763">
        <v>928.4</v>
      </c>
      <c r="G2763">
        <f t="array" ref="G2763">SalesData!$I$2 - 'RFM Table'!B2763</f>
        <v>59</v>
      </c>
      <c r="H2763">
        <f t="array" ref="H2763">COUNTIF(A:A,A2763)</f>
        <v>11</v>
      </c>
      <c r="I2763">
        <f t="array" ref="I2763">SUMIF(A:A,A2763,F:F)</f>
        <v>40714.880000000005</v>
      </c>
      <c r="J2763">
        <f t="array" ref="J2763">5 - INT(5 * (RANK(G2763,G:G, 1) - 1) / COUNT(G:G))</f>
        <v>5</v>
      </c>
      <c r="K2763">
        <f t="array" ref="K2763">INT(5 * (RANK(H2763,H:H, 0) - 1) / COUNT(H:H)) + 1</f>
        <v>1</v>
      </c>
      <c r="L2763">
        <f t="array" ref="L2763">INT(5 * (RANK(I2763,I:I, 0) - 1) / COUNT(I:I)) + 1</f>
        <v>2</v>
      </c>
      <c r="M2763" t="str">
        <f t="shared" si="86"/>
        <v>512</v>
      </c>
      <c r="N2763" s="6" t="str">
        <f t="shared" si="87"/>
        <v>New Customers</v>
      </c>
    </row>
    <row r="2764" spans="1:14" x14ac:dyDescent="0.35">
      <c r="A2764">
        <v>1152</v>
      </c>
      <c r="B2764" s="4">
        <v>46078.375085336993</v>
      </c>
      <c r="C2764" t="s">
        <v>14</v>
      </c>
      <c r="D2764" t="s">
        <v>20</v>
      </c>
      <c r="E2764" t="s">
        <v>24</v>
      </c>
      <c r="F2764">
        <v>1891.72</v>
      </c>
      <c r="G2764">
        <f t="array" ref="G2764">SalesData!$I$2 - 'RFM Table'!B2764</f>
        <v>58</v>
      </c>
      <c r="H2764">
        <f t="array" ref="H2764">COUNTIF(A:A,A2764)</f>
        <v>9</v>
      </c>
      <c r="I2764">
        <f t="array" ref="I2764">SUMIF(A:A,A2764,F:F)</f>
        <v>34982.139999999992</v>
      </c>
      <c r="J2764">
        <f t="array" ref="J2764">5 - INT(5 * (RANK(G2764,G:G, 1) - 1) / COUNT(G:G))</f>
        <v>5</v>
      </c>
      <c r="K2764">
        <f t="array" ref="K2764">INT(5 * (RANK(H2764,H:H, 0) - 1) / COUNT(H:H)) + 1</f>
        <v>2</v>
      </c>
      <c r="L2764">
        <f t="array" ref="L2764">INT(5 * (RANK(I2764,I:I, 0) - 1) / COUNT(I:I)) + 1</f>
        <v>3</v>
      </c>
      <c r="M2764" t="str">
        <f t="shared" si="86"/>
        <v>523</v>
      </c>
      <c r="N2764" s="6" t="str">
        <f t="shared" si="87"/>
        <v>New Customers</v>
      </c>
    </row>
    <row r="2765" spans="1:14" x14ac:dyDescent="0.35">
      <c r="A2765">
        <v>1178</v>
      </c>
      <c r="B2765" s="4">
        <v>46078.375085336993</v>
      </c>
      <c r="C2765" t="s">
        <v>11</v>
      </c>
      <c r="D2765" t="s">
        <v>21</v>
      </c>
      <c r="E2765" t="s">
        <v>23</v>
      </c>
      <c r="F2765">
        <v>1507.06</v>
      </c>
      <c r="G2765">
        <f t="array" ref="G2765">SalesData!$I$2 - 'RFM Table'!B2765</f>
        <v>58</v>
      </c>
      <c r="H2765">
        <f t="array" ref="H2765">COUNTIF(A:A,A2765)</f>
        <v>7</v>
      </c>
      <c r="I2765">
        <f t="array" ref="I2765">SUMIF(A:A,A2765,F:F)</f>
        <v>26651.280000000002</v>
      </c>
      <c r="J2765">
        <f t="array" ref="J2765">5 - INT(5 * (RANK(G2765,G:G, 1) - 1) / COUNT(G:G))</f>
        <v>5</v>
      </c>
      <c r="K2765">
        <f t="array" ref="K2765">INT(5 * (RANK(H2765,H:H, 0) - 1) / COUNT(H:H)) + 1</f>
        <v>4</v>
      </c>
      <c r="L2765">
        <f t="array" ref="L2765">INT(5 * (RANK(I2765,I:I, 0) - 1) / COUNT(I:I)) + 1</f>
        <v>4</v>
      </c>
      <c r="M2765" t="str">
        <f t="shared" si="86"/>
        <v>544</v>
      </c>
      <c r="N2765" s="6" t="str">
        <f t="shared" si="87"/>
        <v>Others</v>
      </c>
    </row>
    <row r="2766" spans="1:14" x14ac:dyDescent="0.35">
      <c r="A2766">
        <v>1385</v>
      </c>
      <c r="B2766" s="4">
        <v>46078.375085336993</v>
      </c>
      <c r="C2766" t="s">
        <v>6</v>
      </c>
      <c r="D2766" t="s">
        <v>17</v>
      </c>
      <c r="E2766" t="s">
        <v>23</v>
      </c>
      <c r="F2766">
        <v>5608.38</v>
      </c>
      <c r="G2766">
        <f t="array" ref="G2766">SalesData!$I$2 - 'RFM Table'!B2766</f>
        <v>58</v>
      </c>
      <c r="H2766">
        <f t="array" ref="H2766">COUNTIF(A:A,A2766)</f>
        <v>11</v>
      </c>
      <c r="I2766">
        <f t="array" ref="I2766">SUMIF(A:A,A2766,F:F)</f>
        <v>73437.08</v>
      </c>
      <c r="J2766">
        <f t="array" ref="J2766">5 - INT(5 * (RANK(G2766,G:G, 1) - 1) / COUNT(G:G))</f>
        <v>5</v>
      </c>
      <c r="K2766">
        <f t="array" ref="K2766">INT(5 * (RANK(H2766,H:H, 0) - 1) / COUNT(H:H)) + 1</f>
        <v>1</v>
      </c>
      <c r="L2766">
        <f t="array" ref="L2766">INT(5 * (RANK(I2766,I:I, 0) - 1) / COUNT(I:I)) + 1</f>
        <v>1</v>
      </c>
      <c r="M2766" t="str">
        <f t="shared" si="86"/>
        <v>511</v>
      </c>
      <c r="N2766" s="6" t="str">
        <f t="shared" si="87"/>
        <v>New Customers</v>
      </c>
    </row>
    <row r="2767" spans="1:14" x14ac:dyDescent="0.35">
      <c r="A2767">
        <v>1116</v>
      </c>
      <c r="B2767" s="4">
        <v>46079.375085336993</v>
      </c>
      <c r="C2767" t="s">
        <v>13</v>
      </c>
      <c r="D2767" t="s">
        <v>18</v>
      </c>
      <c r="E2767" t="s">
        <v>24</v>
      </c>
      <c r="F2767">
        <v>2971.69</v>
      </c>
      <c r="G2767">
        <f t="array" ref="G2767">SalesData!$I$2 - 'RFM Table'!B2767</f>
        <v>57</v>
      </c>
      <c r="H2767">
        <f t="array" ref="H2767">COUNTIF(A:A,A2767)</f>
        <v>11</v>
      </c>
      <c r="I2767">
        <f t="array" ref="I2767">SUMIF(A:A,A2767,F:F)</f>
        <v>40714.880000000005</v>
      </c>
      <c r="J2767">
        <f t="array" ref="J2767">5 - INT(5 * (RANK(G2767,G:G, 1) - 1) / COUNT(G:G))</f>
        <v>5</v>
      </c>
      <c r="K2767">
        <f t="array" ref="K2767">INT(5 * (RANK(H2767,H:H, 0) - 1) / COUNT(H:H)) + 1</f>
        <v>1</v>
      </c>
      <c r="L2767">
        <f t="array" ref="L2767">INT(5 * (RANK(I2767,I:I, 0) - 1) / COUNT(I:I)) + 1</f>
        <v>2</v>
      </c>
      <c r="M2767" t="str">
        <f t="shared" si="86"/>
        <v>512</v>
      </c>
      <c r="N2767" s="6" t="str">
        <f t="shared" si="87"/>
        <v>New Customers</v>
      </c>
    </row>
    <row r="2768" spans="1:14" x14ac:dyDescent="0.35">
      <c r="A2768">
        <v>1318</v>
      </c>
      <c r="B2768" s="4">
        <v>46079.375085336993</v>
      </c>
      <c r="C2768" t="s">
        <v>14</v>
      </c>
      <c r="D2768" t="s">
        <v>19</v>
      </c>
      <c r="E2768" t="s">
        <v>23</v>
      </c>
      <c r="F2768">
        <v>1272.8399999999999</v>
      </c>
      <c r="G2768">
        <f t="array" ref="G2768">SalesData!$I$2 - 'RFM Table'!B2768</f>
        <v>57</v>
      </c>
      <c r="H2768">
        <f t="array" ref="H2768">COUNTIF(A:A,A2768)</f>
        <v>8</v>
      </c>
      <c r="I2768">
        <f t="array" ref="I2768">SUMIF(A:A,A2768,F:F)</f>
        <v>45571.029999999992</v>
      </c>
      <c r="J2768">
        <f t="array" ref="J2768">5 - INT(5 * (RANK(G2768,G:G, 1) - 1) / COUNT(G:G))</f>
        <v>5</v>
      </c>
      <c r="K2768">
        <f t="array" ref="K2768">INT(5 * (RANK(H2768,H:H, 0) - 1) / COUNT(H:H)) + 1</f>
        <v>3</v>
      </c>
      <c r="L2768">
        <f t="array" ref="L2768">INT(5 * (RANK(I2768,I:I, 0) - 1) / COUNT(I:I)) + 1</f>
        <v>1</v>
      </c>
      <c r="M2768" t="str">
        <f t="shared" si="86"/>
        <v>531</v>
      </c>
      <c r="N2768" s="6" t="str">
        <f t="shared" si="87"/>
        <v>Others</v>
      </c>
    </row>
    <row r="2769" spans="1:14" x14ac:dyDescent="0.35">
      <c r="A2769">
        <v>1333</v>
      </c>
      <c r="B2769" s="4">
        <v>46079.375085336993</v>
      </c>
      <c r="C2769" t="s">
        <v>13</v>
      </c>
      <c r="D2769" t="s">
        <v>20</v>
      </c>
      <c r="E2769" t="s">
        <v>24</v>
      </c>
      <c r="F2769">
        <v>2348.59</v>
      </c>
      <c r="G2769">
        <f t="array" ref="G2769">SalesData!$I$2 - 'RFM Table'!B2769</f>
        <v>57</v>
      </c>
      <c r="H2769">
        <f t="array" ref="H2769">COUNTIF(A:A,A2769)</f>
        <v>6</v>
      </c>
      <c r="I2769">
        <f t="array" ref="I2769">SUMIF(A:A,A2769,F:F)</f>
        <v>12410.619999999999</v>
      </c>
      <c r="J2769">
        <f t="array" ref="J2769">5 - INT(5 * (RANK(G2769,G:G, 1) - 1) / COUNT(G:G))</f>
        <v>5</v>
      </c>
      <c r="K2769">
        <f t="array" ref="K2769">INT(5 * (RANK(H2769,H:H, 0) - 1) / COUNT(H:H)) + 1</f>
        <v>4</v>
      </c>
      <c r="L2769">
        <f t="array" ref="L2769">INT(5 * (RANK(I2769,I:I, 0) - 1) / COUNT(I:I)) + 1</f>
        <v>5</v>
      </c>
      <c r="M2769" t="str">
        <f t="shared" si="86"/>
        <v>545</v>
      </c>
      <c r="N2769" s="6" t="str">
        <f t="shared" si="87"/>
        <v>Others</v>
      </c>
    </row>
    <row r="2770" spans="1:14" x14ac:dyDescent="0.35">
      <c r="A2770">
        <v>1241</v>
      </c>
      <c r="B2770" s="4">
        <v>46079.375085336993</v>
      </c>
      <c r="C2770" t="s">
        <v>13</v>
      </c>
      <c r="D2770" t="s">
        <v>17</v>
      </c>
      <c r="E2770" t="s">
        <v>25</v>
      </c>
      <c r="F2770">
        <v>3766.66</v>
      </c>
      <c r="G2770">
        <f t="array" ref="G2770">SalesData!$I$2 - 'RFM Table'!B2770</f>
        <v>57</v>
      </c>
      <c r="H2770">
        <f t="array" ref="H2770">COUNTIF(A:A,A2770)</f>
        <v>10</v>
      </c>
      <c r="I2770">
        <f t="array" ref="I2770">SUMIF(A:A,A2770,F:F)</f>
        <v>38069.94</v>
      </c>
      <c r="J2770">
        <f t="array" ref="J2770">5 - INT(5 * (RANK(G2770,G:G, 1) - 1) / COUNT(G:G))</f>
        <v>5</v>
      </c>
      <c r="K2770">
        <f t="array" ref="K2770">INT(5 * (RANK(H2770,H:H, 0) - 1) / COUNT(H:H)) + 1</f>
        <v>2</v>
      </c>
      <c r="L2770">
        <f t="array" ref="L2770">INT(5 * (RANK(I2770,I:I, 0) - 1) / COUNT(I:I)) + 1</f>
        <v>2</v>
      </c>
      <c r="M2770" t="str">
        <f t="shared" si="86"/>
        <v>522</v>
      </c>
      <c r="N2770" s="6" t="str">
        <f t="shared" si="87"/>
        <v>New Customers</v>
      </c>
    </row>
    <row r="2771" spans="1:14" x14ac:dyDescent="0.35">
      <c r="A2771">
        <v>1223</v>
      </c>
      <c r="B2771" s="4">
        <v>46079.375085336993</v>
      </c>
      <c r="C2771" t="s">
        <v>9</v>
      </c>
      <c r="D2771" t="s">
        <v>18</v>
      </c>
      <c r="E2771" t="s">
        <v>23</v>
      </c>
      <c r="F2771">
        <v>6711.72</v>
      </c>
      <c r="G2771">
        <f t="array" ref="G2771">SalesData!$I$2 - 'RFM Table'!B2771</f>
        <v>57</v>
      </c>
      <c r="H2771">
        <f t="array" ref="H2771">COUNTIF(A:A,A2771)</f>
        <v>12</v>
      </c>
      <c r="I2771">
        <f t="array" ref="I2771">SUMIF(A:A,A2771,F:F)</f>
        <v>40797.409999999996</v>
      </c>
      <c r="J2771">
        <f t="array" ref="J2771">5 - INT(5 * (RANK(G2771,G:G, 1) - 1) / COUNT(G:G))</f>
        <v>5</v>
      </c>
      <c r="K2771">
        <f t="array" ref="K2771">INT(5 * (RANK(H2771,H:H, 0) - 1) / COUNT(H:H)) + 1</f>
        <v>1</v>
      </c>
      <c r="L2771">
        <f t="array" ref="L2771">INT(5 * (RANK(I2771,I:I, 0) - 1) / COUNT(I:I)) + 1</f>
        <v>2</v>
      </c>
      <c r="M2771" t="str">
        <f t="shared" si="86"/>
        <v>512</v>
      </c>
      <c r="N2771" s="6" t="str">
        <f t="shared" si="87"/>
        <v>New Customers</v>
      </c>
    </row>
    <row r="2772" spans="1:14" x14ac:dyDescent="0.35">
      <c r="A2772">
        <v>1391</v>
      </c>
      <c r="B2772" s="4">
        <v>46079.375085336993</v>
      </c>
      <c r="C2772" t="s">
        <v>7</v>
      </c>
      <c r="D2772" t="s">
        <v>22</v>
      </c>
      <c r="E2772" t="s">
        <v>25</v>
      </c>
      <c r="F2772">
        <v>1655.92</v>
      </c>
      <c r="G2772">
        <f t="array" ref="G2772">SalesData!$I$2 - 'RFM Table'!B2772</f>
        <v>57</v>
      </c>
      <c r="H2772">
        <f t="array" ref="H2772">COUNTIF(A:A,A2772)</f>
        <v>7</v>
      </c>
      <c r="I2772">
        <f t="array" ref="I2772">SUMIF(A:A,A2772,F:F)</f>
        <v>21209.440000000002</v>
      </c>
      <c r="J2772">
        <f t="array" ref="J2772">5 - INT(5 * (RANK(G2772,G:G, 1) - 1) / COUNT(G:G))</f>
        <v>5</v>
      </c>
      <c r="K2772">
        <f t="array" ref="K2772">INT(5 * (RANK(H2772,H:H, 0) - 1) / COUNT(H:H)) + 1</f>
        <v>4</v>
      </c>
      <c r="L2772">
        <f t="array" ref="L2772">INT(5 * (RANK(I2772,I:I, 0) - 1) / COUNT(I:I)) + 1</f>
        <v>5</v>
      </c>
      <c r="M2772" t="str">
        <f t="shared" si="86"/>
        <v>545</v>
      </c>
      <c r="N2772" s="6" t="str">
        <f t="shared" si="87"/>
        <v>Others</v>
      </c>
    </row>
    <row r="2773" spans="1:14" x14ac:dyDescent="0.35">
      <c r="A2773">
        <v>1292</v>
      </c>
      <c r="B2773" s="4">
        <v>46080.375085336993</v>
      </c>
      <c r="C2773" t="s">
        <v>9</v>
      </c>
      <c r="D2773" t="s">
        <v>20</v>
      </c>
      <c r="E2773" t="s">
        <v>23</v>
      </c>
      <c r="F2773">
        <v>1856.81</v>
      </c>
      <c r="G2773">
        <f t="array" ref="G2773">SalesData!$I$2 - 'RFM Table'!B2773</f>
        <v>56</v>
      </c>
      <c r="H2773">
        <f t="array" ref="H2773">COUNTIF(A:A,A2773)</f>
        <v>15</v>
      </c>
      <c r="I2773">
        <f t="array" ref="I2773">SUMIF(A:A,A2773,F:F)</f>
        <v>49637.999999999993</v>
      </c>
      <c r="J2773">
        <f t="array" ref="J2773">5 - INT(5 * (RANK(G2773,G:G, 1) - 1) / COUNT(G:G))</f>
        <v>5</v>
      </c>
      <c r="K2773">
        <f t="array" ref="K2773">INT(5 * (RANK(H2773,H:H, 0) - 1) / COUNT(H:H)) + 1</f>
        <v>1</v>
      </c>
      <c r="L2773">
        <f t="array" ref="L2773">INT(5 * (RANK(I2773,I:I, 0) - 1) / COUNT(I:I)) + 1</f>
        <v>1</v>
      </c>
      <c r="M2773" t="str">
        <f t="shared" si="86"/>
        <v>511</v>
      </c>
      <c r="N2773" s="6" t="str">
        <f t="shared" si="87"/>
        <v>New Customers</v>
      </c>
    </row>
    <row r="2774" spans="1:14" x14ac:dyDescent="0.35">
      <c r="A2774">
        <v>1112</v>
      </c>
      <c r="B2774" s="4">
        <v>46080.375085336993</v>
      </c>
      <c r="C2774" t="s">
        <v>14</v>
      </c>
      <c r="D2774" t="s">
        <v>17</v>
      </c>
      <c r="E2774" t="s">
        <v>23</v>
      </c>
      <c r="F2774">
        <v>375.22</v>
      </c>
      <c r="G2774">
        <f t="array" ref="G2774">SalesData!$I$2 - 'RFM Table'!B2774</f>
        <v>56</v>
      </c>
      <c r="H2774">
        <f t="array" ref="H2774">COUNTIF(A:A,A2774)</f>
        <v>12</v>
      </c>
      <c r="I2774">
        <f t="array" ref="I2774">SUMIF(A:A,A2774,F:F)</f>
        <v>38950.210000000006</v>
      </c>
      <c r="J2774">
        <f t="array" ref="J2774">5 - INT(5 * (RANK(G2774,G:G, 1) - 1) / COUNT(G:G))</f>
        <v>5</v>
      </c>
      <c r="K2774">
        <f t="array" ref="K2774">INT(5 * (RANK(H2774,H:H, 0) - 1) / COUNT(H:H)) + 1</f>
        <v>1</v>
      </c>
      <c r="L2774">
        <f t="array" ref="L2774">INT(5 * (RANK(I2774,I:I, 0) - 1) / COUNT(I:I)) + 1</f>
        <v>2</v>
      </c>
      <c r="M2774" t="str">
        <f t="shared" si="86"/>
        <v>512</v>
      </c>
      <c r="N2774" s="6" t="str">
        <f t="shared" si="87"/>
        <v>New Customers</v>
      </c>
    </row>
    <row r="2775" spans="1:14" x14ac:dyDescent="0.35">
      <c r="A2775">
        <v>1012</v>
      </c>
      <c r="B2775" s="4">
        <v>46080.375085336993</v>
      </c>
      <c r="C2775" t="s">
        <v>13</v>
      </c>
      <c r="D2775" t="s">
        <v>17</v>
      </c>
      <c r="E2775" t="s">
        <v>25</v>
      </c>
      <c r="F2775">
        <v>1993.53</v>
      </c>
      <c r="G2775">
        <f t="array" ref="G2775">SalesData!$I$2 - 'RFM Table'!B2775</f>
        <v>56</v>
      </c>
      <c r="H2775">
        <f t="array" ref="H2775">COUNTIF(A:A,A2775)</f>
        <v>8</v>
      </c>
      <c r="I2775">
        <f t="array" ref="I2775">SUMIF(A:A,A2775,F:F)</f>
        <v>35967.03</v>
      </c>
      <c r="J2775">
        <f t="array" ref="J2775">5 - INT(5 * (RANK(G2775,G:G, 1) - 1) / COUNT(G:G))</f>
        <v>5</v>
      </c>
      <c r="K2775">
        <f t="array" ref="K2775">INT(5 * (RANK(H2775,H:H, 0) - 1) / COUNT(H:H)) + 1</f>
        <v>3</v>
      </c>
      <c r="L2775">
        <f t="array" ref="L2775">INT(5 * (RANK(I2775,I:I, 0) - 1) / COUNT(I:I)) + 1</f>
        <v>3</v>
      </c>
      <c r="M2775" t="str">
        <f t="shared" si="86"/>
        <v>533</v>
      </c>
      <c r="N2775" s="6" t="str">
        <f t="shared" si="87"/>
        <v>Others</v>
      </c>
    </row>
    <row r="2776" spans="1:14" x14ac:dyDescent="0.35">
      <c r="A2776">
        <v>1172</v>
      </c>
      <c r="B2776" s="4">
        <v>46080.375085336993</v>
      </c>
      <c r="C2776" t="s">
        <v>8</v>
      </c>
      <c r="D2776" t="s">
        <v>16</v>
      </c>
      <c r="E2776" t="s">
        <v>23</v>
      </c>
      <c r="F2776">
        <v>5617.24</v>
      </c>
      <c r="G2776">
        <f t="array" ref="G2776">SalesData!$I$2 - 'RFM Table'!B2776</f>
        <v>56</v>
      </c>
      <c r="H2776">
        <f t="array" ref="H2776">COUNTIF(A:A,A2776)</f>
        <v>13</v>
      </c>
      <c r="I2776">
        <f t="array" ref="I2776">SUMIF(A:A,A2776,F:F)</f>
        <v>64175.24</v>
      </c>
      <c r="J2776">
        <f t="array" ref="J2776">5 - INT(5 * (RANK(G2776,G:G, 1) - 1) / COUNT(G:G))</f>
        <v>5</v>
      </c>
      <c r="K2776">
        <f t="array" ref="K2776">INT(5 * (RANK(H2776,H:H, 0) - 1) / COUNT(H:H)) + 1</f>
        <v>1</v>
      </c>
      <c r="L2776">
        <f t="array" ref="L2776">INT(5 * (RANK(I2776,I:I, 0) - 1) / COUNT(I:I)) + 1</f>
        <v>1</v>
      </c>
      <c r="M2776" t="str">
        <f t="shared" si="86"/>
        <v>511</v>
      </c>
      <c r="N2776" s="6" t="str">
        <f t="shared" si="87"/>
        <v>New Customers</v>
      </c>
    </row>
    <row r="2777" spans="1:14" x14ac:dyDescent="0.35">
      <c r="A2777">
        <v>1220</v>
      </c>
      <c r="B2777" s="4">
        <v>46080.375085336993</v>
      </c>
      <c r="C2777" t="s">
        <v>7</v>
      </c>
      <c r="D2777" t="s">
        <v>16</v>
      </c>
      <c r="E2777" t="s">
        <v>24</v>
      </c>
      <c r="F2777">
        <v>3571.53</v>
      </c>
      <c r="G2777">
        <f t="array" ref="G2777">SalesData!$I$2 - 'RFM Table'!B2777</f>
        <v>56</v>
      </c>
      <c r="H2777">
        <f t="array" ref="H2777">COUNTIF(A:A,A2777)</f>
        <v>6</v>
      </c>
      <c r="I2777">
        <f t="array" ref="I2777">SUMIF(A:A,A2777,F:F)</f>
        <v>29693.030000000002</v>
      </c>
      <c r="J2777">
        <f t="array" ref="J2777">5 - INT(5 * (RANK(G2777,G:G, 1) - 1) / COUNT(G:G))</f>
        <v>5</v>
      </c>
      <c r="K2777">
        <f t="array" ref="K2777">INT(5 * (RANK(H2777,H:H, 0) - 1) / COUNT(H:H)) + 1</f>
        <v>4</v>
      </c>
      <c r="L2777">
        <f t="array" ref="L2777">INT(5 * (RANK(I2777,I:I, 0) - 1) / COUNT(I:I)) + 1</f>
        <v>3</v>
      </c>
      <c r="M2777" t="str">
        <f t="shared" si="86"/>
        <v>543</v>
      </c>
      <c r="N2777" s="6" t="str">
        <f t="shared" si="87"/>
        <v>Others</v>
      </c>
    </row>
    <row r="2778" spans="1:14" x14ac:dyDescent="0.35">
      <c r="A2778">
        <v>1151</v>
      </c>
      <c r="B2778" s="4">
        <v>46080.375085336993</v>
      </c>
      <c r="C2778" t="s">
        <v>11</v>
      </c>
      <c r="D2778" t="s">
        <v>16</v>
      </c>
      <c r="E2778" t="s">
        <v>23</v>
      </c>
      <c r="F2778">
        <v>5188.7299999999996</v>
      </c>
      <c r="G2778">
        <f t="array" ref="G2778">SalesData!$I$2 - 'RFM Table'!B2778</f>
        <v>56</v>
      </c>
      <c r="H2778">
        <f t="array" ref="H2778">COUNTIF(A:A,A2778)</f>
        <v>13</v>
      </c>
      <c r="I2778">
        <f t="array" ref="I2778">SUMIF(A:A,A2778,F:F)</f>
        <v>49208.94</v>
      </c>
      <c r="J2778">
        <f t="array" ref="J2778">5 - INT(5 * (RANK(G2778,G:G, 1) - 1) / COUNT(G:G))</f>
        <v>5</v>
      </c>
      <c r="K2778">
        <f t="array" ref="K2778">INT(5 * (RANK(H2778,H:H, 0) - 1) / COUNT(H:H)) + 1</f>
        <v>1</v>
      </c>
      <c r="L2778">
        <f t="array" ref="L2778">INT(5 * (RANK(I2778,I:I, 0) - 1) / COUNT(I:I)) + 1</f>
        <v>1</v>
      </c>
      <c r="M2778" t="str">
        <f t="shared" si="86"/>
        <v>511</v>
      </c>
      <c r="N2778" s="6" t="str">
        <f t="shared" si="87"/>
        <v>New Customers</v>
      </c>
    </row>
    <row r="2779" spans="1:14" x14ac:dyDescent="0.35">
      <c r="A2779">
        <v>1153</v>
      </c>
      <c r="B2779" s="4">
        <v>46080.375085336993</v>
      </c>
      <c r="C2779" t="s">
        <v>8</v>
      </c>
      <c r="D2779" t="s">
        <v>17</v>
      </c>
      <c r="E2779" t="s">
        <v>23</v>
      </c>
      <c r="F2779">
        <v>12685.15</v>
      </c>
      <c r="G2779">
        <f t="array" ref="G2779">SalesData!$I$2 - 'RFM Table'!B2779</f>
        <v>56</v>
      </c>
      <c r="H2779">
        <f t="array" ref="H2779">COUNTIF(A:A,A2779)</f>
        <v>12</v>
      </c>
      <c r="I2779">
        <f t="array" ref="I2779">SUMIF(A:A,A2779,F:F)</f>
        <v>42146.06</v>
      </c>
      <c r="J2779">
        <f t="array" ref="J2779">5 - INT(5 * (RANK(G2779,G:G, 1) - 1) / COUNT(G:G))</f>
        <v>5</v>
      </c>
      <c r="K2779">
        <f t="array" ref="K2779">INT(5 * (RANK(H2779,H:H, 0) - 1) / COUNT(H:H)) + 1</f>
        <v>1</v>
      </c>
      <c r="L2779">
        <f t="array" ref="L2779">INT(5 * (RANK(I2779,I:I, 0) - 1) / COUNT(I:I)) + 1</f>
        <v>2</v>
      </c>
      <c r="M2779" t="str">
        <f t="shared" si="86"/>
        <v>512</v>
      </c>
      <c r="N2779" s="6" t="str">
        <f t="shared" si="87"/>
        <v>New Customers</v>
      </c>
    </row>
    <row r="2780" spans="1:14" x14ac:dyDescent="0.35">
      <c r="A2780">
        <v>1341</v>
      </c>
      <c r="B2780" s="4">
        <v>46081.375085336993</v>
      </c>
      <c r="C2780" t="s">
        <v>6</v>
      </c>
      <c r="D2780" t="s">
        <v>20</v>
      </c>
      <c r="E2780" t="s">
        <v>25</v>
      </c>
      <c r="F2780">
        <v>2373.11</v>
      </c>
      <c r="G2780">
        <f t="array" ref="G2780">SalesData!$I$2 - 'RFM Table'!B2780</f>
        <v>55</v>
      </c>
      <c r="H2780">
        <f t="array" ref="H2780">COUNTIF(A:A,A2780)</f>
        <v>11</v>
      </c>
      <c r="I2780">
        <f t="array" ref="I2780">SUMIF(A:A,A2780,F:F)</f>
        <v>45526.78</v>
      </c>
      <c r="J2780">
        <f t="array" ref="J2780">5 - INT(5 * (RANK(G2780,G:G, 1) - 1) / COUNT(G:G))</f>
        <v>5</v>
      </c>
      <c r="K2780">
        <f t="array" ref="K2780">INT(5 * (RANK(H2780,H:H, 0) - 1) / COUNT(H:H)) + 1</f>
        <v>1</v>
      </c>
      <c r="L2780">
        <f t="array" ref="L2780">INT(5 * (RANK(I2780,I:I, 0) - 1) / COUNT(I:I)) + 1</f>
        <v>1</v>
      </c>
      <c r="M2780" t="str">
        <f t="shared" si="86"/>
        <v>511</v>
      </c>
      <c r="N2780" s="6" t="str">
        <f t="shared" si="87"/>
        <v>New Customers</v>
      </c>
    </row>
    <row r="2781" spans="1:14" x14ac:dyDescent="0.35">
      <c r="A2781">
        <v>1071</v>
      </c>
      <c r="B2781" s="4">
        <v>46081.375085336993</v>
      </c>
      <c r="C2781" t="s">
        <v>6</v>
      </c>
      <c r="D2781" t="s">
        <v>19</v>
      </c>
      <c r="E2781" t="s">
        <v>25</v>
      </c>
      <c r="F2781">
        <v>7091.81</v>
      </c>
      <c r="G2781">
        <f t="array" ref="G2781">SalesData!$I$2 - 'RFM Table'!B2781</f>
        <v>55</v>
      </c>
      <c r="H2781">
        <f t="array" ref="H2781">COUNTIF(A:A,A2781)</f>
        <v>8</v>
      </c>
      <c r="I2781">
        <f t="array" ref="I2781">SUMIF(A:A,A2781,F:F)</f>
        <v>28879.600000000002</v>
      </c>
      <c r="J2781">
        <f t="array" ref="J2781">5 - INT(5 * (RANK(G2781,G:G, 1) - 1) / COUNT(G:G))</f>
        <v>5</v>
      </c>
      <c r="K2781">
        <f t="array" ref="K2781">INT(5 * (RANK(H2781,H:H, 0) - 1) / COUNT(H:H)) + 1</f>
        <v>3</v>
      </c>
      <c r="L2781">
        <f t="array" ref="L2781">INT(5 * (RANK(I2781,I:I, 0) - 1) / COUNT(I:I)) + 1</f>
        <v>4</v>
      </c>
      <c r="M2781" t="str">
        <f t="shared" si="86"/>
        <v>534</v>
      </c>
      <c r="N2781" s="6" t="str">
        <f t="shared" si="87"/>
        <v>Others</v>
      </c>
    </row>
    <row r="2782" spans="1:14" x14ac:dyDescent="0.35">
      <c r="A2782">
        <v>1287</v>
      </c>
      <c r="B2782" s="4">
        <v>46081.375085336993</v>
      </c>
      <c r="C2782" t="s">
        <v>12</v>
      </c>
      <c r="D2782" t="s">
        <v>21</v>
      </c>
      <c r="E2782" t="s">
        <v>24</v>
      </c>
      <c r="F2782">
        <v>5310.67</v>
      </c>
      <c r="G2782">
        <f t="array" ref="G2782">SalesData!$I$2 - 'RFM Table'!B2782</f>
        <v>55</v>
      </c>
      <c r="H2782">
        <f t="array" ref="H2782">COUNTIF(A:A,A2782)</f>
        <v>16</v>
      </c>
      <c r="I2782">
        <f t="array" ref="I2782">SUMIF(A:A,A2782,F:F)</f>
        <v>64716.249999999985</v>
      </c>
      <c r="J2782">
        <f t="array" ref="J2782">5 - INT(5 * (RANK(G2782,G:G, 1) - 1) / COUNT(G:G))</f>
        <v>5</v>
      </c>
      <c r="K2782">
        <f t="array" ref="K2782">INT(5 * (RANK(H2782,H:H, 0) - 1) / COUNT(H:H)) + 1</f>
        <v>1</v>
      </c>
      <c r="L2782">
        <f t="array" ref="L2782">INT(5 * (RANK(I2782,I:I, 0) - 1) / COUNT(I:I)) + 1</f>
        <v>1</v>
      </c>
      <c r="M2782" t="str">
        <f t="shared" si="86"/>
        <v>511</v>
      </c>
      <c r="N2782" s="6" t="str">
        <f t="shared" si="87"/>
        <v>New Customers</v>
      </c>
    </row>
    <row r="2783" spans="1:14" x14ac:dyDescent="0.35">
      <c r="A2783">
        <v>1242</v>
      </c>
      <c r="B2783" s="4">
        <v>46082.375085336993</v>
      </c>
      <c r="C2783" t="s">
        <v>14</v>
      </c>
      <c r="D2783" t="s">
        <v>16</v>
      </c>
      <c r="E2783" t="s">
        <v>23</v>
      </c>
      <c r="F2783">
        <v>1433.5</v>
      </c>
      <c r="G2783">
        <f t="array" ref="G2783">SalesData!$I$2 - 'RFM Table'!B2783</f>
        <v>54</v>
      </c>
      <c r="H2783">
        <f t="array" ref="H2783">COUNTIF(A:A,A2783)</f>
        <v>8</v>
      </c>
      <c r="I2783">
        <f t="array" ref="I2783">SUMIF(A:A,A2783,F:F)</f>
        <v>26424.119999999995</v>
      </c>
      <c r="J2783">
        <f t="array" ref="J2783">5 - INT(5 * (RANK(G2783,G:G, 1) - 1) / COUNT(G:G))</f>
        <v>5</v>
      </c>
      <c r="K2783">
        <f t="array" ref="K2783">INT(5 * (RANK(H2783,H:H, 0) - 1) / COUNT(H:H)) + 1</f>
        <v>3</v>
      </c>
      <c r="L2783">
        <f t="array" ref="L2783">INT(5 * (RANK(I2783,I:I, 0) - 1) / COUNT(I:I)) + 1</f>
        <v>4</v>
      </c>
      <c r="M2783" t="str">
        <f t="shared" si="86"/>
        <v>534</v>
      </c>
      <c r="N2783" s="6" t="str">
        <f t="shared" si="87"/>
        <v>Others</v>
      </c>
    </row>
    <row r="2784" spans="1:14" x14ac:dyDescent="0.35">
      <c r="A2784">
        <v>1022</v>
      </c>
      <c r="B2784" s="4">
        <v>46082.375085336993</v>
      </c>
      <c r="C2784" t="s">
        <v>11</v>
      </c>
      <c r="D2784" t="s">
        <v>17</v>
      </c>
      <c r="E2784" t="s">
        <v>24</v>
      </c>
      <c r="F2784">
        <v>5152.08</v>
      </c>
      <c r="G2784">
        <f t="array" ref="G2784">SalesData!$I$2 - 'RFM Table'!B2784</f>
        <v>54</v>
      </c>
      <c r="H2784">
        <f t="array" ref="H2784">COUNTIF(A:A,A2784)</f>
        <v>6</v>
      </c>
      <c r="I2784">
        <f t="array" ref="I2784">SUMIF(A:A,A2784,F:F)</f>
        <v>22201.78</v>
      </c>
      <c r="J2784">
        <f t="array" ref="J2784">5 - INT(5 * (RANK(G2784,G:G, 1) - 1) / COUNT(G:G))</f>
        <v>5</v>
      </c>
      <c r="K2784">
        <f t="array" ref="K2784">INT(5 * (RANK(H2784,H:H, 0) - 1) / COUNT(H:H)) + 1</f>
        <v>4</v>
      </c>
      <c r="L2784">
        <f t="array" ref="L2784">INT(5 * (RANK(I2784,I:I, 0) - 1) / COUNT(I:I)) + 1</f>
        <v>4</v>
      </c>
      <c r="M2784" t="str">
        <f t="shared" si="86"/>
        <v>544</v>
      </c>
      <c r="N2784" s="6" t="str">
        <f t="shared" si="87"/>
        <v>Others</v>
      </c>
    </row>
    <row r="2785" spans="1:14" x14ac:dyDescent="0.35">
      <c r="A2785">
        <v>1330</v>
      </c>
      <c r="B2785" s="4">
        <v>46082.375085336993</v>
      </c>
      <c r="C2785" t="s">
        <v>8</v>
      </c>
      <c r="D2785" t="s">
        <v>21</v>
      </c>
      <c r="E2785" t="s">
        <v>24</v>
      </c>
      <c r="F2785">
        <v>4961.72</v>
      </c>
      <c r="G2785">
        <f t="array" ref="G2785">SalesData!$I$2 - 'RFM Table'!B2785</f>
        <v>54</v>
      </c>
      <c r="H2785">
        <f t="array" ref="H2785">COUNTIF(A:A,A2785)</f>
        <v>6</v>
      </c>
      <c r="I2785">
        <f t="array" ref="I2785">SUMIF(A:A,A2785,F:F)</f>
        <v>16595.620000000003</v>
      </c>
      <c r="J2785">
        <f t="array" ref="J2785">5 - INT(5 * (RANK(G2785,G:G, 1) - 1) / COUNT(G:G))</f>
        <v>5</v>
      </c>
      <c r="K2785">
        <f t="array" ref="K2785">INT(5 * (RANK(H2785,H:H, 0) - 1) / COUNT(H:H)) + 1</f>
        <v>4</v>
      </c>
      <c r="L2785">
        <f t="array" ref="L2785">INT(5 * (RANK(I2785,I:I, 0) - 1) / COUNT(I:I)) + 1</f>
        <v>5</v>
      </c>
      <c r="M2785" t="str">
        <f t="shared" si="86"/>
        <v>545</v>
      </c>
      <c r="N2785" s="6" t="str">
        <f t="shared" si="87"/>
        <v>Others</v>
      </c>
    </row>
    <row r="2786" spans="1:14" x14ac:dyDescent="0.35">
      <c r="A2786">
        <v>1065</v>
      </c>
      <c r="B2786" s="4">
        <v>46082.375085336993</v>
      </c>
      <c r="C2786" t="s">
        <v>12</v>
      </c>
      <c r="D2786" t="s">
        <v>16</v>
      </c>
      <c r="E2786" t="s">
        <v>25</v>
      </c>
      <c r="F2786">
        <v>10187.370000000001</v>
      </c>
      <c r="G2786">
        <f t="array" ref="G2786">SalesData!$I$2 - 'RFM Table'!B2786</f>
        <v>54</v>
      </c>
      <c r="H2786">
        <f t="array" ref="H2786">COUNTIF(A:A,A2786)</f>
        <v>7</v>
      </c>
      <c r="I2786">
        <f t="array" ref="I2786">SUMIF(A:A,A2786,F:F)</f>
        <v>25155.31</v>
      </c>
      <c r="J2786">
        <f t="array" ref="J2786">5 - INT(5 * (RANK(G2786,G:G, 1) - 1) / COUNT(G:G))</f>
        <v>5</v>
      </c>
      <c r="K2786">
        <f t="array" ref="K2786">INT(5 * (RANK(H2786,H:H, 0) - 1) / COUNT(H:H)) + 1</f>
        <v>4</v>
      </c>
      <c r="L2786">
        <f t="array" ref="L2786">INT(5 * (RANK(I2786,I:I, 0) - 1) / COUNT(I:I)) + 1</f>
        <v>4</v>
      </c>
      <c r="M2786" t="str">
        <f t="shared" si="86"/>
        <v>544</v>
      </c>
      <c r="N2786" s="6" t="str">
        <f t="shared" si="87"/>
        <v>Others</v>
      </c>
    </row>
    <row r="2787" spans="1:14" x14ac:dyDescent="0.35">
      <c r="A2787">
        <v>1144</v>
      </c>
      <c r="B2787" s="4">
        <v>46083.375085336993</v>
      </c>
      <c r="C2787" t="s">
        <v>9</v>
      </c>
      <c r="D2787" t="s">
        <v>20</v>
      </c>
      <c r="E2787" t="s">
        <v>24</v>
      </c>
      <c r="F2787">
        <v>6137.44</v>
      </c>
      <c r="G2787">
        <f t="array" ref="G2787">SalesData!$I$2 - 'RFM Table'!B2787</f>
        <v>53</v>
      </c>
      <c r="H2787">
        <f t="array" ref="H2787">COUNTIF(A:A,A2787)</f>
        <v>11</v>
      </c>
      <c r="I2787">
        <f t="array" ref="I2787">SUMIF(A:A,A2787,F:F)</f>
        <v>62038.55</v>
      </c>
      <c r="J2787">
        <f t="array" ref="J2787">5 - INT(5 * (RANK(G2787,G:G, 1) - 1) / COUNT(G:G))</f>
        <v>5</v>
      </c>
      <c r="K2787">
        <f t="array" ref="K2787">INT(5 * (RANK(H2787,H:H, 0) - 1) / COUNT(H:H)) + 1</f>
        <v>1</v>
      </c>
      <c r="L2787">
        <f t="array" ref="L2787">INT(5 * (RANK(I2787,I:I, 0) - 1) / COUNT(I:I)) + 1</f>
        <v>1</v>
      </c>
      <c r="M2787" t="str">
        <f t="shared" si="86"/>
        <v>511</v>
      </c>
      <c r="N2787" s="6" t="str">
        <f t="shared" si="87"/>
        <v>New Customers</v>
      </c>
    </row>
    <row r="2788" spans="1:14" x14ac:dyDescent="0.35">
      <c r="A2788">
        <v>1177</v>
      </c>
      <c r="B2788" s="4">
        <v>46083.375085336993</v>
      </c>
      <c r="C2788" t="s">
        <v>6</v>
      </c>
      <c r="D2788" t="s">
        <v>18</v>
      </c>
      <c r="E2788" t="s">
        <v>25</v>
      </c>
      <c r="F2788">
        <v>501.48</v>
      </c>
      <c r="G2788">
        <f t="array" ref="G2788">SalesData!$I$2 - 'RFM Table'!B2788</f>
        <v>53</v>
      </c>
      <c r="H2788">
        <f t="array" ref="H2788">COUNTIF(A:A,A2788)</f>
        <v>9</v>
      </c>
      <c r="I2788">
        <f t="array" ref="I2788">SUMIF(A:A,A2788,F:F)</f>
        <v>27857.719999999998</v>
      </c>
      <c r="J2788">
        <f t="array" ref="J2788">5 - INT(5 * (RANK(G2788,G:G, 1) - 1) / COUNT(G:G))</f>
        <v>5</v>
      </c>
      <c r="K2788">
        <f t="array" ref="K2788">INT(5 * (RANK(H2788,H:H, 0) - 1) / COUNT(H:H)) + 1</f>
        <v>2</v>
      </c>
      <c r="L2788">
        <f t="array" ref="L2788">INT(5 * (RANK(I2788,I:I, 0) - 1) / COUNT(I:I)) + 1</f>
        <v>4</v>
      </c>
      <c r="M2788" t="str">
        <f t="shared" si="86"/>
        <v>524</v>
      </c>
      <c r="N2788" s="6" t="str">
        <f t="shared" si="87"/>
        <v>New Customers</v>
      </c>
    </row>
    <row r="2789" spans="1:14" x14ac:dyDescent="0.35">
      <c r="A2789">
        <v>1074</v>
      </c>
      <c r="B2789" s="4">
        <v>46083.375085336993</v>
      </c>
      <c r="C2789" t="s">
        <v>10</v>
      </c>
      <c r="D2789" t="s">
        <v>19</v>
      </c>
      <c r="E2789" t="s">
        <v>24</v>
      </c>
      <c r="F2789">
        <v>3258.25</v>
      </c>
      <c r="G2789">
        <f t="array" ref="G2789">SalesData!$I$2 - 'RFM Table'!B2789</f>
        <v>53</v>
      </c>
      <c r="H2789">
        <f t="array" ref="H2789">COUNTIF(A:A,A2789)</f>
        <v>8</v>
      </c>
      <c r="I2789">
        <f t="array" ref="I2789">SUMIF(A:A,A2789,F:F)</f>
        <v>23394.15</v>
      </c>
      <c r="J2789">
        <f t="array" ref="J2789">5 - INT(5 * (RANK(G2789,G:G, 1) - 1) / COUNT(G:G))</f>
        <v>5</v>
      </c>
      <c r="K2789">
        <f t="array" ref="K2789">INT(5 * (RANK(H2789,H:H, 0) - 1) / COUNT(H:H)) + 1</f>
        <v>3</v>
      </c>
      <c r="L2789">
        <f t="array" ref="L2789">INT(5 * (RANK(I2789,I:I, 0) - 1) / COUNT(I:I)) + 1</f>
        <v>4</v>
      </c>
      <c r="M2789" t="str">
        <f t="shared" si="86"/>
        <v>534</v>
      </c>
      <c r="N2789" s="6" t="str">
        <f t="shared" si="87"/>
        <v>Others</v>
      </c>
    </row>
    <row r="2790" spans="1:14" x14ac:dyDescent="0.35">
      <c r="A2790">
        <v>1083</v>
      </c>
      <c r="B2790" s="4">
        <v>46083.375085336993</v>
      </c>
      <c r="C2790" t="s">
        <v>10</v>
      </c>
      <c r="D2790" t="s">
        <v>17</v>
      </c>
      <c r="E2790" t="s">
        <v>23</v>
      </c>
      <c r="F2790">
        <v>2398.12</v>
      </c>
      <c r="G2790">
        <f t="array" ref="G2790">SalesData!$I$2 - 'RFM Table'!B2790</f>
        <v>53</v>
      </c>
      <c r="H2790">
        <f t="array" ref="H2790">COUNTIF(A:A,A2790)</f>
        <v>10</v>
      </c>
      <c r="I2790">
        <f t="array" ref="I2790">SUMIF(A:A,A2790,F:F)</f>
        <v>27359.329999999998</v>
      </c>
      <c r="J2790">
        <f t="array" ref="J2790">5 - INT(5 * (RANK(G2790,G:G, 1) - 1) / COUNT(G:G))</f>
        <v>5</v>
      </c>
      <c r="K2790">
        <f t="array" ref="K2790">INT(5 * (RANK(H2790,H:H, 0) - 1) / COUNT(H:H)) + 1</f>
        <v>2</v>
      </c>
      <c r="L2790">
        <f t="array" ref="L2790">INT(5 * (RANK(I2790,I:I, 0) - 1) / COUNT(I:I)) + 1</f>
        <v>4</v>
      </c>
      <c r="M2790" t="str">
        <f t="shared" si="86"/>
        <v>524</v>
      </c>
      <c r="N2790" s="6" t="str">
        <f t="shared" si="87"/>
        <v>New Customers</v>
      </c>
    </row>
    <row r="2791" spans="1:14" x14ac:dyDescent="0.35">
      <c r="A2791">
        <v>1304</v>
      </c>
      <c r="B2791" s="4">
        <v>46084.375085336993</v>
      </c>
      <c r="C2791" t="s">
        <v>13</v>
      </c>
      <c r="D2791" t="s">
        <v>16</v>
      </c>
      <c r="E2791" t="s">
        <v>24</v>
      </c>
      <c r="F2791">
        <v>682.14</v>
      </c>
      <c r="G2791">
        <f t="array" ref="G2791">SalesData!$I$2 - 'RFM Table'!B2791</f>
        <v>52</v>
      </c>
      <c r="H2791">
        <f t="array" ref="H2791">COUNTIF(A:A,A2791)</f>
        <v>10</v>
      </c>
      <c r="I2791">
        <f t="array" ref="I2791">SUMIF(A:A,A2791,F:F)</f>
        <v>39472.789999999994</v>
      </c>
      <c r="J2791">
        <f t="array" ref="J2791">5 - INT(5 * (RANK(G2791,G:G, 1) - 1) / COUNT(G:G))</f>
        <v>5</v>
      </c>
      <c r="K2791">
        <f t="array" ref="K2791">INT(5 * (RANK(H2791,H:H, 0) - 1) / COUNT(H:H)) + 1</f>
        <v>2</v>
      </c>
      <c r="L2791">
        <f t="array" ref="L2791">INT(5 * (RANK(I2791,I:I, 0) - 1) / COUNT(I:I)) + 1</f>
        <v>2</v>
      </c>
      <c r="M2791" t="str">
        <f t="shared" si="86"/>
        <v>522</v>
      </c>
      <c r="N2791" s="6" t="str">
        <f t="shared" si="87"/>
        <v>New Customers</v>
      </c>
    </row>
    <row r="2792" spans="1:14" x14ac:dyDescent="0.35">
      <c r="A2792">
        <v>1277</v>
      </c>
      <c r="B2792" s="4">
        <v>46084.375085336993</v>
      </c>
      <c r="C2792" t="s">
        <v>13</v>
      </c>
      <c r="D2792" t="s">
        <v>16</v>
      </c>
      <c r="E2792" t="s">
        <v>24</v>
      </c>
      <c r="F2792">
        <v>13434.9</v>
      </c>
      <c r="G2792">
        <f t="array" ref="G2792">SalesData!$I$2 - 'RFM Table'!B2792</f>
        <v>52</v>
      </c>
      <c r="H2792">
        <f t="array" ref="H2792">COUNTIF(A:A,A2792)</f>
        <v>5</v>
      </c>
      <c r="I2792">
        <f t="array" ref="I2792">SUMIF(A:A,A2792,F:F)</f>
        <v>22112.27</v>
      </c>
      <c r="J2792">
        <f t="array" ref="J2792">5 - INT(5 * (RANK(G2792,G:G, 1) - 1) / COUNT(G:G))</f>
        <v>5</v>
      </c>
      <c r="K2792">
        <f t="array" ref="K2792">INT(5 * (RANK(H2792,H:H, 0) - 1) / COUNT(H:H)) + 1</f>
        <v>5</v>
      </c>
      <c r="L2792">
        <f t="array" ref="L2792">INT(5 * (RANK(I2792,I:I, 0) - 1) / COUNT(I:I)) + 1</f>
        <v>4</v>
      </c>
      <c r="M2792" t="str">
        <f t="shared" si="86"/>
        <v>554</v>
      </c>
      <c r="N2792" s="6" t="str">
        <f t="shared" si="87"/>
        <v>Others</v>
      </c>
    </row>
    <row r="2793" spans="1:14" x14ac:dyDescent="0.35">
      <c r="A2793">
        <v>1216</v>
      </c>
      <c r="B2793" s="4">
        <v>46084.375085336993</v>
      </c>
      <c r="C2793" t="s">
        <v>13</v>
      </c>
      <c r="D2793" t="s">
        <v>22</v>
      </c>
      <c r="E2793" t="s">
        <v>24</v>
      </c>
      <c r="F2793">
        <v>2266.71</v>
      </c>
      <c r="G2793">
        <f t="array" ref="G2793">SalesData!$I$2 - 'RFM Table'!B2793</f>
        <v>52</v>
      </c>
      <c r="H2793">
        <f t="array" ref="H2793">COUNTIF(A:A,A2793)</f>
        <v>10</v>
      </c>
      <c r="I2793">
        <f t="array" ref="I2793">SUMIF(A:A,A2793,F:F)</f>
        <v>38608.230000000003</v>
      </c>
      <c r="J2793">
        <f t="array" ref="J2793">5 - INT(5 * (RANK(G2793,G:G, 1) - 1) / COUNT(G:G))</f>
        <v>5</v>
      </c>
      <c r="K2793">
        <f t="array" ref="K2793">INT(5 * (RANK(H2793,H:H, 0) - 1) / COUNT(H:H)) + 1</f>
        <v>2</v>
      </c>
      <c r="L2793">
        <f t="array" ref="L2793">INT(5 * (RANK(I2793,I:I, 0) - 1) / COUNT(I:I)) + 1</f>
        <v>2</v>
      </c>
      <c r="M2793" t="str">
        <f t="shared" si="86"/>
        <v>522</v>
      </c>
      <c r="N2793" s="6" t="str">
        <f t="shared" si="87"/>
        <v>New Customers</v>
      </c>
    </row>
    <row r="2794" spans="1:14" x14ac:dyDescent="0.35">
      <c r="A2794">
        <v>1383</v>
      </c>
      <c r="B2794" s="4">
        <v>46084.375085336993</v>
      </c>
      <c r="C2794" t="s">
        <v>11</v>
      </c>
      <c r="D2794" t="s">
        <v>21</v>
      </c>
      <c r="E2794" t="s">
        <v>23</v>
      </c>
      <c r="F2794">
        <v>2608.08</v>
      </c>
      <c r="G2794">
        <f t="array" ref="G2794">SalesData!$I$2 - 'RFM Table'!B2794</f>
        <v>52</v>
      </c>
      <c r="H2794">
        <f t="array" ref="H2794">COUNTIF(A:A,A2794)</f>
        <v>6</v>
      </c>
      <c r="I2794">
        <f t="array" ref="I2794">SUMIF(A:A,A2794,F:F)</f>
        <v>27159.870000000003</v>
      </c>
      <c r="J2794">
        <f t="array" ref="J2794">5 - INT(5 * (RANK(G2794,G:G, 1) - 1) / COUNT(G:G))</f>
        <v>5</v>
      </c>
      <c r="K2794">
        <f t="array" ref="K2794">INT(5 * (RANK(H2794,H:H, 0) - 1) / COUNT(H:H)) + 1</f>
        <v>4</v>
      </c>
      <c r="L2794">
        <f t="array" ref="L2794">INT(5 * (RANK(I2794,I:I, 0) - 1) / COUNT(I:I)) + 1</f>
        <v>4</v>
      </c>
      <c r="M2794" t="str">
        <f t="shared" si="86"/>
        <v>544</v>
      </c>
      <c r="N2794" s="6" t="str">
        <f t="shared" si="87"/>
        <v>Others</v>
      </c>
    </row>
    <row r="2795" spans="1:14" x14ac:dyDescent="0.35">
      <c r="A2795">
        <v>1179</v>
      </c>
      <c r="B2795" s="4">
        <v>46084.375085336993</v>
      </c>
      <c r="C2795" t="s">
        <v>8</v>
      </c>
      <c r="D2795" t="s">
        <v>18</v>
      </c>
      <c r="E2795" t="s">
        <v>24</v>
      </c>
      <c r="F2795">
        <v>1083.46</v>
      </c>
      <c r="G2795">
        <f t="array" ref="G2795">SalesData!$I$2 - 'RFM Table'!B2795</f>
        <v>52</v>
      </c>
      <c r="H2795">
        <f t="array" ref="H2795">COUNTIF(A:A,A2795)</f>
        <v>7</v>
      </c>
      <c r="I2795">
        <f t="array" ref="I2795">SUMIF(A:A,A2795,F:F)</f>
        <v>25906.9</v>
      </c>
      <c r="J2795">
        <f t="array" ref="J2795">5 - INT(5 * (RANK(G2795,G:G, 1) - 1) / COUNT(G:G))</f>
        <v>5</v>
      </c>
      <c r="K2795">
        <f t="array" ref="K2795">INT(5 * (RANK(H2795,H:H, 0) - 1) / COUNT(H:H)) + 1</f>
        <v>4</v>
      </c>
      <c r="L2795">
        <f t="array" ref="L2795">INT(5 * (RANK(I2795,I:I, 0) - 1) / COUNT(I:I)) + 1</f>
        <v>4</v>
      </c>
      <c r="M2795" t="str">
        <f t="shared" si="86"/>
        <v>544</v>
      </c>
      <c r="N2795" s="6" t="str">
        <f t="shared" si="87"/>
        <v>Others</v>
      </c>
    </row>
    <row r="2796" spans="1:14" x14ac:dyDescent="0.35">
      <c r="A2796">
        <v>1044</v>
      </c>
      <c r="B2796" s="4">
        <v>46084.375085336993</v>
      </c>
      <c r="C2796" t="s">
        <v>12</v>
      </c>
      <c r="D2796" t="s">
        <v>18</v>
      </c>
      <c r="E2796" t="s">
        <v>25</v>
      </c>
      <c r="F2796">
        <v>912.38</v>
      </c>
      <c r="G2796">
        <f t="array" ref="G2796">SalesData!$I$2 - 'RFM Table'!B2796</f>
        <v>52</v>
      </c>
      <c r="H2796">
        <f t="array" ref="H2796">COUNTIF(A:A,A2796)</f>
        <v>3</v>
      </c>
      <c r="I2796">
        <f t="array" ref="I2796">SUMIF(A:A,A2796,F:F)</f>
        <v>7775.1900000000005</v>
      </c>
      <c r="J2796">
        <f t="array" ref="J2796">5 - INT(5 * (RANK(G2796,G:G, 1) - 1) / COUNT(G:G))</f>
        <v>5</v>
      </c>
      <c r="K2796">
        <f t="array" ref="K2796">INT(5 * (RANK(H2796,H:H, 0) - 1) / COUNT(H:H)) + 1</f>
        <v>5</v>
      </c>
      <c r="L2796">
        <f t="array" ref="L2796">INT(5 * (RANK(I2796,I:I, 0) - 1) / COUNT(I:I)) + 1</f>
        <v>5</v>
      </c>
      <c r="M2796" t="str">
        <f t="shared" si="86"/>
        <v>555</v>
      </c>
      <c r="N2796" s="6" t="str">
        <f t="shared" si="87"/>
        <v>Others</v>
      </c>
    </row>
    <row r="2797" spans="1:14" x14ac:dyDescent="0.35">
      <c r="A2797">
        <v>1226</v>
      </c>
      <c r="B2797" s="4">
        <v>46085.375085336993</v>
      </c>
      <c r="C2797" t="s">
        <v>10</v>
      </c>
      <c r="D2797" t="s">
        <v>22</v>
      </c>
      <c r="E2797" t="s">
        <v>25</v>
      </c>
      <c r="F2797">
        <v>3820.64</v>
      </c>
      <c r="G2797">
        <f t="array" ref="G2797">SalesData!$I$2 - 'RFM Table'!B2797</f>
        <v>51</v>
      </c>
      <c r="H2797">
        <f t="array" ref="H2797">COUNTIF(A:A,A2797)</f>
        <v>13</v>
      </c>
      <c r="I2797">
        <f t="array" ref="I2797">SUMIF(A:A,A2797,F:F)</f>
        <v>49471.75</v>
      </c>
      <c r="J2797">
        <f t="array" ref="J2797">5 - INT(5 * (RANK(G2797,G:G, 1) - 1) / COUNT(G:G))</f>
        <v>5</v>
      </c>
      <c r="K2797">
        <f t="array" ref="K2797">INT(5 * (RANK(H2797,H:H, 0) - 1) / COUNT(H:H)) + 1</f>
        <v>1</v>
      </c>
      <c r="L2797">
        <f t="array" ref="L2797">INT(5 * (RANK(I2797,I:I, 0) - 1) / COUNT(I:I)) + 1</f>
        <v>1</v>
      </c>
      <c r="M2797" t="str">
        <f t="shared" si="86"/>
        <v>511</v>
      </c>
      <c r="N2797" s="6" t="str">
        <f t="shared" si="87"/>
        <v>New Customers</v>
      </c>
    </row>
    <row r="2798" spans="1:14" x14ac:dyDescent="0.35">
      <c r="A2798">
        <v>1224</v>
      </c>
      <c r="B2798" s="4">
        <v>46085.375085336993</v>
      </c>
      <c r="C2798" t="s">
        <v>15</v>
      </c>
      <c r="D2798" t="s">
        <v>19</v>
      </c>
      <c r="E2798" t="s">
        <v>25</v>
      </c>
      <c r="F2798">
        <v>2072.2600000000002</v>
      </c>
      <c r="G2798">
        <f t="array" ref="G2798">SalesData!$I$2 - 'RFM Table'!B2798</f>
        <v>51</v>
      </c>
      <c r="H2798">
        <f t="array" ref="H2798">COUNTIF(A:A,A2798)</f>
        <v>7</v>
      </c>
      <c r="I2798">
        <f t="array" ref="I2798">SUMIF(A:A,A2798,F:F)</f>
        <v>24825.78</v>
      </c>
      <c r="J2798">
        <f t="array" ref="J2798">5 - INT(5 * (RANK(G2798,G:G, 1) - 1) / COUNT(G:G))</f>
        <v>5</v>
      </c>
      <c r="K2798">
        <f t="array" ref="K2798">INT(5 * (RANK(H2798,H:H, 0) - 1) / COUNT(H:H)) + 1</f>
        <v>4</v>
      </c>
      <c r="L2798">
        <f t="array" ref="L2798">INT(5 * (RANK(I2798,I:I, 0) - 1) / COUNT(I:I)) + 1</f>
        <v>4</v>
      </c>
      <c r="M2798" t="str">
        <f t="shared" si="86"/>
        <v>544</v>
      </c>
      <c r="N2798" s="6" t="str">
        <f t="shared" si="87"/>
        <v>Others</v>
      </c>
    </row>
    <row r="2799" spans="1:14" x14ac:dyDescent="0.35">
      <c r="A2799">
        <v>1139</v>
      </c>
      <c r="B2799" s="4">
        <v>46085.375085336993</v>
      </c>
      <c r="C2799" t="s">
        <v>11</v>
      </c>
      <c r="D2799" t="s">
        <v>19</v>
      </c>
      <c r="E2799" t="s">
        <v>24</v>
      </c>
      <c r="F2799">
        <v>2841.08</v>
      </c>
      <c r="G2799">
        <f t="array" ref="G2799">SalesData!$I$2 - 'RFM Table'!B2799</f>
        <v>51</v>
      </c>
      <c r="H2799">
        <f t="array" ref="H2799">COUNTIF(A:A,A2799)</f>
        <v>4</v>
      </c>
      <c r="I2799">
        <f t="array" ref="I2799">SUMIF(A:A,A2799,F:F)</f>
        <v>13576.4</v>
      </c>
      <c r="J2799">
        <f t="array" ref="J2799">5 - INT(5 * (RANK(G2799,G:G, 1) - 1) / COUNT(G:G))</f>
        <v>5</v>
      </c>
      <c r="K2799">
        <f t="array" ref="K2799">INT(5 * (RANK(H2799,H:H, 0) - 1) / COUNT(H:H)) + 1</f>
        <v>5</v>
      </c>
      <c r="L2799">
        <f t="array" ref="L2799">INT(5 * (RANK(I2799,I:I, 0) - 1) / COUNT(I:I)) + 1</f>
        <v>5</v>
      </c>
      <c r="M2799" t="str">
        <f t="shared" si="86"/>
        <v>555</v>
      </c>
      <c r="N2799" s="6" t="str">
        <f t="shared" si="87"/>
        <v>Others</v>
      </c>
    </row>
    <row r="2800" spans="1:14" x14ac:dyDescent="0.35">
      <c r="A2800">
        <v>1254</v>
      </c>
      <c r="B2800" s="4">
        <v>46085.375085336993</v>
      </c>
      <c r="C2800" t="s">
        <v>9</v>
      </c>
      <c r="D2800" t="s">
        <v>18</v>
      </c>
      <c r="E2800" t="s">
        <v>23</v>
      </c>
      <c r="F2800">
        <v>6783.46</v>
      </c>
      <c r="G2800">
        <f t="array" ref="G2800">SalesData!$I$2 - 'RFM Table'!B2800</f>
        <v>51</v>
      </c>
      <c r="H2800">
        <f t="array" ref="H2800">COUNTIF(A:A,A2800)</f>
        <v>5</v>
      </c>
      <c r="I2800">
        <f t="array" ref="I2800">SUMIF(A:A,A2800,F:F)</f>
        <v>26657.089999999997</v>
      </c>
      <c r="J2800">
        <f t="array" ref="J2800">5 - INT(5 * (RANK(G2800,G:G, 1) - 1) / COUNT(G:G))</f>
        <v>5</v>
      </c>
      <c r="K2800">
        <f t="array" ref="K2800">INT(5 * (RANK(H2800,H:H, 0) - 1) / COUNT(H:H)) + 1</f>
        <v>5</v>
      </c>
      <c r="L2800">
        <f t="array" ref="L2800">INT(5 * (RANK(I2800,I:I, 0) - 1) / COUNT(I:I)) + 1</f>
        <v>4</v>
      </c>
      <c r="M2800" t="str">
        <f t="shared" si="86"/>
        <v>554</v>
      </c>
      <c r="N2800" s="6" t="str">
        <f t="shared" si="87"/>
        <v>Others</v>
      </c>
    </row>
    <row r="2801" spans="1:14" x14ac:dyDescent="0.35">
      <c r="A2801">
        <v>1240</v>
      </c>
      <c r="B2801" s="4">
        <v>46086.375085336993</v>
      </c>
      <c r="C2801" t="s">
        <v>11</v>
      </c>
      <c r="D2801" t="s">
        <v>19</v>
      </c>
      <c r="E2801" t="s">
        <v>25</v>
      </c>
      <c r="F2801">
        <v>4894.3100000000004</v>
      </c>
      <c r="G2801">
        <f t="array" ref="G2801">SalesData!$I$2 - 'RFM Table'!B2801</f>
        <v>50</v>
      </c>
      <c r="H2801">
        <f t="array" ref="H2801">COUNTIF(A:A,A2801)</f>
        <v>5</v>
      </c>
      <c r="I2801">
        <f t="array" ref="I2801">SUMIF(A:A,A2801,F:F)</f>
        <v>17355.699999999997</v>
      </c>
      <c r="J2801">
        <f t="array" ref="J2801">5 - INT(5 * (RANK(G2801,G:G, 1) - 1) / COUNT(G:G))</f>
        <v>5</v>
      </c>
      <c r="K2801">
        <f t="array" ref="K2801">INT(5 * (RANK(H2801,H:H, 0) - 1) / COUNT(H:H)) + 1</f>
        <v>5</v>
      </c>
      <c r="L2801">
        <f t="array" ref="L2801">INT(5 * (RANK(I2801,I:I, 0) - 1) / COUNT(I:I)) + 1</f>
        <v>5</v>
      </c>
      <c r="M2801" t="str">
        <f t="shared" si="86"/>
        <v>555</v>
      </c>
      <c r="N2801" s="6" t="str">
        <f t="shared" si="87"/>
        <v>Others</v>
      </c>
    </row>
    <row r="2802" spans="1:14" x14ac:dyDescent="0.35">
      <c r="A2802">
        <v>1390</v>
      </c>
      <c r="B2802" s="4">
        <v>46086.375085336993</v>
      </c>
      <c r="C2802" t="s">
        <v>6</v>
      </c>
      <c r="D2802" t="s">
        <v>16</v>
      </c>
      <c r="E2802" t="s">
        <v>23</v>
      </c>
      <c r="F2802">
        <v>2647.48</v>
      </c>
      <c r="G2802">
        <f t="array" ref="G2802">SalesData!$I$2 - 'RFM Table'!B2802</f>
        <v>50</v>
      </c>
      <c r="H2802">
        <f t="array" ref="H2802">COUNTIF(A:A,A2802)</f>
        <v>8</v>
      </c>
      <c r="I2802">
        <f t="array" ref="I2802">SUMIF(A:A,A2802,F:F)</f>
        <v>37946.1</v>
      </c>
      <c r="J2802">
        <f t="array" ref="J2802">5 - INT(5 * (RANK(G2802,G:G, 1) - 1) / COUNT(G:G))</f>
        <v>5</v>
      </c>
      <c r="K2802">
        <f t="array" ref="K2802">INT(5 * (RANK(H2802,H:H, 0) - 1) / COUNT(H:H)) + 1</f>
        <v>3</v>
      </c>
      <c r="L2802">
        <f t="array" ref="L2802">INT(5 * (RANK(I2802,I:I, 0) - 1) / COUNT(I:I)) + 1</f>
        <v>2</v>
      </c>
      <c r="M2802" t="str">
        <f t="shared" si="86"/>
        <v>532</v>
      </c>
      <c r="N2802" s="6" t="str">
        <f t="shared" si="87"/>
        <v>Others</v>
      </c>
    </row>
    <row r="2803" spans="1:14" x14ac:dyDescent="0.35">
      <c r="A2803">
        <v>1302</v>
      </c>
      <c r="B2803" s="4">
        <v>46086.375085336993</v>
      </c>
      <c r="C2803" t="s">
        <v>14</v>
      </c>
      <c r="D2803" t="s">
        <v>16</v>
      </c>
      <c r="E2803" t="s">
        <v>24</v>
      </c>
      <c r="F2803">
        <v>9499.7900000000009</v>
      </c>
      <c r="G2803">
        <f t="array" ref="G2803">SalesData!$I$2 - 'RFM Table'!B2803</f>
        <v>50</v>
      </c>
      <c r="H2803">
        <f t="array" ref="H2803">COUNTIF(A:A,A2803)</f>
        <v>13</v>
      </c>
      <c r="I2803">
        <f t="array" ref="I2803">SUMIF(A:A,A2803,F:F)</f>
        <v>51409.87</v>
      </c>
      <c r="J2803">
        <f t="array" ref="J2803">5 - INT(5 * (RANK(G2803,G:G, 1) - 1) / COUNT(G:G))</f>
        <v>5</v>
      </c>
      <c r="K2803">
        <f t="array" ref="K2803">INT(5 * (RANK(H2803,H:H, 0) - 1) / COUNT(H:H)) + 1</f>
        <v>1</v>
      </c>
      <c r="L2803">
        <f t="array" ref="L2803">INT(5 * (RANK(I2803,I:I, 0) - 1) / COUNT(I:I)) + 1</f>
        <v>1</v>
      </c>
      <c r="M2803" t="str">
        <f t="shared" si="86"/>
        <v>511</v>
      </c>
      <c r="N2803" s="6" t="str">
        <f t="shared" si="87"/>
        <v>New Customers</v>
      </c>
    </row>
    <row r="2804" spans="1:14" x14ac:dyDescent="0.35">
      <c r="A2804">
        <v>1373</v>
      </c>
      <c r="B2804" s="4">
        <v>46086.375085336993</v>
      </c>
      <c r="C2804" t="s">
        <v>9</v>
      </c>
      <c r="D2804" t="s">
        <v>17</v>
      </c>
      <c r="E2804" t="s">
        <v>23</v>
      </c>
      <c r="F2804">
        <v>4451.97</v>
      </c>
      <c r="G2804">
        <f t="array" ref="G2804">SalesData!$I$2 - 'RFM Table'!B2804</f>
        <v>50</v>
      </c>
      <c r="H2804">
        <f t="array" ref="H2804">COUNTIF(A:A,A2804)</f>
        <v>11</v>
      </c>
      <c r="I2804">
        <f t="array" ref="I2804">SUMIF(A:A,A2804,F:F)</f>
        <v>46795.570000000007</v>
      </c>
      <c r="J2804">
        <f t="array" ref="J2804">5 - INT(5 * (RANK(G2804,G:G, 1) - 1) / COUNT(G:G))</f>
        <v>5</v>
      </c>
      <c r="K2804">
        <f t="array" ref="K2804">INT(5 * (RANK(H2804,H:H, 0) - 1) / COUNT(H:H)) + 1</f>
        <v>1</v>
      </c>
      <c r="L2804">
        <f t="array" ref="L2804">INT(5 * (RANK(I2804,I:I, 0) - 1) / COUNT(I:I)) + 1</f>
        <v>1</v>
      </c>
      <c r="M2804" t="str">
        <f t="shared" si="86"/>
        <v>511</v>
      </c>
      <c r="N2804" s="6" t="str">
        <f t="shared" si="87"/>
        <v>New Customers</v>
      </c>
    </row>
    <row r="2805" spans="1:14" x14ac:dyDescent="0.35">
      <c r="A2805">
        <v>1039</v>
      </c>
      <c r="B2805" s="4">
        <v>46086.375085336993</v>
      </c>
      <c r="C2805" t="s">
        <v>13</v>
      </c>
      <c r="D2805" t="s">
        <v>21</v>
      </c>
      <c r="E2805" t="s">
        <v>23</v>
      </c>
      <c r="F2805">
        <v>1252.96</v>
      </c>
      <c r="G2805">
        <f t="array" ref="G2805">SalesData!$I$2 - 'RFM Table'!B2805</f>
        <v>50</v>
      </c>
      <c r="H2805">
        <f t="array" ref="H2805">COUNTIF(A:A,A2805)</f>
        <v>8</v>
      </c>
      <c r="I2805">
        <f t="array" ref="I2805">SUMIF(A:A,A2805,F:F)</f>
        <v>21286.739999999998</v>
      </c>
      <c r="J2805">
        <f t="array" ref="J2805">5 - INT(5 * (RANK(G2805,G:G, 1) - 1) / COUNT(G:G))</f>
        <v>5</v>
      </c>
      <c r="K2805">
        <f t="array" ref="K2805">INT(5 * (RANK(H2805,H:H, 0) - 1) / COUNT(H:H)) + 1</f>
        <v>3</v>
      </c>
      <c r="L2805">
        <f t="array" ref="L2805">INT(5 * (RANK(I2805,I:I, 0) - 1) / COUNT(I:I)) + 1</f>
        <v>5</v>
      </c>
      <c r="M2805" t="str">
        <f t="shared" si="86"/>
        <v>535</v>
      </c>
      <c r="N2805" s="6" t="str">
        <f t="shared" si="87"/>
        <v>Others</v>
      </c>
    </row>
    <row r="2806" spans="1:14" x14ac:dyDescent="0.35">
      <c r="A2806">
        <v>1097</v>
      </c>
      <c r="B2806" s="4">
        <v>46086.375085336993</v>
      </c>
      <c r="C2806" t="s">
        <v>10</v>
      </c>
      <c r="D2806" t="s">
        <v>19</v>
      </c>
      <c r="E2806" t="s">
        <v>25</v>
      </c>
      <c r="F2806">
        <v>6864.78</v>
      </c>
      <c r="G2806">
        <f t="array" ref="G2806">SalesData!$I$2 - 'RFM Table'!B2806</f>
        <v>50</v>
      </c>
      <c r="H2806">
        <f t="array" ref="H2806">COUNTIF(A:A,A2806)</f>
        <v>9</v>
      </c>
      <c r="I2806">
        <f t="array" ref="I2806">SUMIF(A:A,A2806,F:F)</f>
        <v>51674.6</v>
      </c>
      <c r="J2806">
        <f t="array" ref="J2806">5 - INT(5 * (RANK(G2806,G:G, 1) - 1) / COUNT(G:G))</f>
        <v>5</v>
      </c>
      <c r="K2806">
        <f t="array" ref="K2806">INT(5 * (RANK(H2806,H:H, 0) - 1) / COUNT(H:H)) + 1</f>
        <v>2</v>
      </c>
      <c r="L2806">
        <f t="array" ref="L2806">INT(5 * (RANK(I2806,I:I, 0) - 1) / COUNT(I:I)) + 1</f>
        <v>1</v>
      </c>
      <c r="M2806" t="str">
        <f t="shared" si="86"/>
        <v>521</v>
      </c>
      <c r="N2806" s="6" t="str">
        <f t="shared" si="87"/>
        <v>New Customers</v>
      </c>
    </row>
    <row r="2807" spans="1:14" x14ac:dyDescent="0.35">
      <c r="A2807">
        <v>1193</v>
      </c>
      <c r="B2807" s="4">
        <v>46087.375085336993</v>
      </c>
      <c r="C2807" t="s">
        <v>6</v>
      </c>
      <c r="D2807" t="s">
        <v>20</v>
      </c>
      <c r="E2807" t="s">
        <v>24</v>
      </c>
      <c r="F2807">
        <v>9791.33</v>
      </c>
      <c r="G2807">
        <f t="array" ref="G2807">SalesData!$I$2 - 'RFM Table'!B2807</f>
        <v>49</v>
      </c>
      <c r="H2807">
        <f t="array" ref="H2807">COUNTIF(A:A,A2807)</f>
        <v>5</v>
      </c>
      <c r="I2807">
        <f t="array" ref="I2807">SUMIF(A:A,A2807,F:F)</f>
        <v>29762.12</v>
      </c>
      <c r="J2807">
        <f t="array" ref="J2807">5 - INT(5 * (RANK(G2807,G:G, 1) - 1) / COUNT(G:G))</f>
        <v>5</v>
      </c>
      <c r="K2807">
        <f t="array" ref="K2807">INT(5 * (RANK(H2807,H:H, 0) - 1) / COUNT(H:H)) + 1</f>
        <v>5</v>
      </c>
      <c r="L2807">
        <f t="array" ref="L2807">INT(5 * (RANK(I2807,I:I, 0) - 1) / COUNT(I:I)) + 1</f>
        <v>3</v>
      </c>
      <c r="M2807" t="str">
        <f t="shared" si="86"/>
        <v>553</v>
      </c>
      <c r="N2807" s="6" t="str">
        <f t="shared" si="87"/>
        <v>Others</v>
      </c>
    </row>
    <row r="2808" spans="1:14" x14ac:dyDescent="0.35">
      <c r="A2808">
        <v>1193</v>
      </c>
      <c r="B2808" s="4">
        <v>46087.375085336993</v>
      </c>
      <c r="C2808" t="s">
        <v>13</v>
      </c>
      <c r="D2808" t="s">
        <v>21</v>
      </c>
      <c r="E2808" t="s">
        <v>23</v>
      </c>
      <c r="F2808">
        <v>2502.09</v>
      </c>
      <c r="G2808">
        <f t="array" ref="G2808">SalesData!$I$2 - 'RFM Table'!B2808</f>
        <v>49</v>
      </c>
      <c r="H2808">
        <f t="array" ref="H2808">COUNTIF(A:A,A2808)</f>
        <v>5</v>
      </c>
      <c r="I2808">
        <f t="array" ref="I2808">SUMIF(A:A,A2808,F:F)</f>
        <v>29762.12</v>
      </c>
      <c r="J2808">
        <f t="array" ref="J2808">5 - INT(5 * (RANK(G2808,G:G, 1) - 1) / COUNT(G:G))</f>
        <v>5</v>
      </c>
      <c r="K2808">
        <f t="array" ref="K2808">INT(5 * (RANK(H2808,H:H, 0) - 1) / COUNT(H:H)) + 1</f>
        <v>5</v>
      </c>
      <c r="L2808">
        <f t="array" ref="L2808">INT(5 * (RANK(I2808,I:I, 0) - 1) / COUNT(I:I)) + 1</f>
        <v>3</v>
      </c>
      <c r="M2808" t="str">
        <f t="shared" si="86"/>
        <v>553</v>
      </c>
      <c r="N2808" s="6" t="str">
        <f t="shared" si="87"/>
        <v>Others</v>
      </c>
    </row>
    <row r="2809" spans="1:14" x14ac:dyDescent="0.35">
      <c r="A2809">
        <v>1099</v>
      </c>
      <c r="B2809" s="4">
        <v>46088.375085336993</v>
      </c>
      <c r="C2809" t="s">
        <v>10</v>
      </c>
      <c r="D2809" t="s">
        <v>21</v>
      </c>
      <c r="E2809" t="s">
        <v>23</v>
      </c>
      <c r="F2809">
        <v>2788.07</v>
      </c>
      <c r="G2809">
        <f t="array" ref="G2809">SalesData!$I$2 - 'RFM Table'!B2809</f>
        <v>48</v>
      </c>
      <c r="H2809">
        <f t="array" ref="H2809">COUNTIF(A:A,A2809)</f>
        <v>6</v>
      </c>
      <c r="I2809">
        <f t="array" ref="I2809">SUMIF(A:A,A2809,F:F)</f>
        <v>20804.55</v>
      </c>
      <c r="J2809">
        <f t="array" ref="J2809">5 - INT(5 * (RANK(G2809,G:G, 1) - 1) / COUNT(G:G))</f>
        <v>5</v>
      </c>
      <c r="K2809">
        <f t="array" ref="K2809">INT(5 * (RANK(H2809,H:H, 0) - 1) / COUNT(H:H)) + 1</f>
        <v>4</v>
      </c>
      <c r="L2809">
        <f t="array" ref="L2809">INT(5 * (RANK(I2809,I:I, 0) - 1) / COUNT(I:I)) + 1</f>
        <v>5</v>
      </c>
      <c r="M2809" t="str">
        <f t="shared" si="86"/>
        <v>545</v>
      </c>
      <c r="N2809" s="6" t="str">
        <f t="shared" si="87"/>
        <v>Others</v>
      </c>
    </row>
    <row r="2810" spans="1:14" x14ac:dyDescent="0.35">
      <c r="A2810">
        <v>1240</v>
      </c>
      <c r="B2810" s="4">
        <v>46088.375085336993</v>
      </c>
      <c r="C2810" t="s">
        <v>7</v>
      </c>
      <c r="D2810" t="s">
        <v>18</v>
      </c>
      <c r="E2810" t="s">
        <v>23</v>
      </c>
      <c r="F2810">
        <v>2668.23</v>
      </c>
      <c r="G2810">
        <f t="array" ref="G2810">SalesData!$I$2 - 'RFM Table'!B2810</f>
        <v>48</v>
      </c>
      <c r="H2810">
        <f t="array" ref="H2810">COUNTIF(A:A,A2810)</f>
        <v>5</v>
      </c>
      <c r="I2810">
        <f t="array" ref="I2810">SUMIF(A:A,A2810,F:F)</f>
        <v>17355.699999999997</v>
      </c>
      <c r="J2810">
        <f t="array" ref="J2810">5 - INT(5 * (RANK(G2810,G:G, 1) - 1) / COUNT(G:G))</f>
        <v>5</v>
      </c>
      <c r="K2810">
        <f t="array" ref="K2810">INT(5 * (RANK(H2810,H:H, 0) - 1) / COUNT(H:H)) + 1</f>
        <v>5</v>
      </c>
      <c r="L2810">
        <f t="array" ref="L2810">INT(5 * (RANK(I2810,I:I, 0) - 1) / COUNT(I:I)) + 1</f>
        <v>5</v>
      </c>
      <c r="M2810" t="str">
        <f t="shared" si="86"/>
        <v>555</v>
      </c>
      <c r="N2810" s="6" t="str">
        <f t="shared" si="87"/>
        <v>Others</v>
      </c>
    </row>
    <row r="2811" spans="1:14" x14ac:dyDescent="0.35">
      <c r="A2811">
        <v>1281</v>
      </c>
      <c r="B2811" s="4">
        <v>46088.375085336993</v>
      </c>
      <c r="C2811" t="s">
        <v>14</v>
      </c>
      <c r="D2811" t="s">
        <v>21</v>
      </c>
      <c r="E2811" t="s">
        <v>25</v>
      </c>
      <c r="F2811">
        <v>5149.12</v>
      </c>
      <c r="G2811">
        <f t="array" ref="G2811">SalesData!$I$2 - 'RFM Table'!B2811</f>
        <v>48</v>
      </c>
      <c r="H2811">
        <f t="array" ref="H2811">COUNTIF(A:A,A2811)</f>
        <v>10</v>
      </c>
      <c r="I2811">
        <f t="array" ref="I2811">SUMIF(A:A,A2811,F:F)</f>
        <v>49420.710000000006</v>
      </c>
      <c r="J2811">
        <f t="array" ref="J2811">5 - INT(5 * (RANK(G2811,G:G, 1) - 1) / COUNT(G:G))</f>
        <v>5</v>
      </c>
      <c r="K2811">
        <f t="array" ref="K2811">INT(5 * (RANK(H2811,H:H, 0) - 1) / COUNT(H:H)) + 1</f>
        <v>2</v>
      </c>
      <c r="L2811">
        <f t="array" ref="L2811">INT(5 * (RANK(I2811,I:I, 0) - 1) / COUNT(I:I)) + 1</f>
        <v>1</v>
      </c>
      <c r="M2811" t="str">
        <f t="shared" si="86"/>
        <v>521</v>
      </c>
      <c r="N2811" s="6" t="str">
        <f t="shared" si="87"/>
        <v>New Customers</v>
      </c>
    </row>
    <row r="2812" spans="1:14" x14ac:dyDescent="0.35">
      <c r="A2812">
        <v>1152</v>
      </c>
      <c r="B2812" s="4">
        <v>46089.375085336993</v>
      </c>
      <c r="C2812" t="s">
        <v>9</v>
      </c>
      <c r="D2812" t="s">
        <v>18</v>
      </c>
      <c r="E2812" t="s">
        <v>24</v>
      </c>
      <c r="F2812">
        <v>2015.88</v>
      </c>
      <c r="G2812">
        <f t="array" ref="G2812">SalesData!$I$2 - 'RFM Table'!B2812</f>
        <v>47</v>
      </c>
      <c r="H2812">
        <f t="array" ref="H2812">COUNTIF(A:A,A2812)</f>
        <v>9</v>
      </c>
      <c r="I2812">
        <f t="array" ref="I2812">SUMIF(A:A,A2812,F:F)</f>
        <v>34982.139999999992</v>
      </c>
      <c r="J2812">
        <f t="array" ref="J2812">5 - INT(5 * (RANK(G2812,G:G, 1) - 1) / COUNT(G:G))</f>
        <v>5</v>
      </c>
      <c r="K2812">
        <f t="array" ref="K2812">INT(5 * (RANK(H2812,H:H, 0) - 1) / COUNT(H:H)) + 1</f>
        <v>2</v>
      </c>
      <c r="L2812">
        <f t="array" ref="L2812">INT(5 * (RANK(I2812,I:I, 0) - 1) / COUNT(I:I)) + 1</f>
        <v>3</v>
      </c>
      <c r="M2812" t="str">
        <f t="shared" si="86"/>
        <v>523</v>
      </c>
      <c r="N2812" s="6" t="str">
        <f t="shared" si="87"/>
        <v>New Customers</v>
      </c>
    </row>
    <row r="2813" spans="1:14" x14ac:dyDescent="0.35">
      <c r="A2813">
        <v>1315</v>
      </c>
      <c r="B2813" s="4">
        <v>46090.375085336993</v>
      </c>
      <c r="C2813" t="s">
        <v>14</v>
      </c>
      <c r="D2813" t="s">
        <v>22</v>
      </c>
      <c r="E2813" t="s">
        <v>24</v>
      </c>
      <c r="F2813">
        <v>435.2</v>
      </c>
      <c r="G2813">
        <f t="array" ref="G2813">SalesData!$I$2 - 'RFM Table'!B2813</f>
        <v>46</v>
      </c>
      <c r="H2813">
        <f t="array" ref="H2813">COUNTIF(A:A,A2813)</f>
        <v>12</v>
      </c>
      <c r="I2813">
        <f t="array" ref="I2813">SUMIF(A:A,A2813,F:F)</f>
        <v>42776.80999999999</v>
      </c>
      <c r="J2813">
        <f t="array" ref="J2813">5 - INT(5 * (RANK(G2813,G:G, 1) - 1) / COUNT(G:G))</f>
        <v>5</v>
      </c>
      <c r="K2813">
        <f t="array" ref="K2813">INT(5 * (RANK(H2813,H:H, 0) - 1) / COUNT(H:H)) + 1</f>
        <v>1</v>
      </c>
      <c r="L2813">
        <f t="array" ref="L2813">INT(5 * (RANK(I2813,I:I, 0) - 1) / COUNT(I:I)) + 1</f>
        <v>2</v>
      </c>
      <c r="M2813" t="str">
        <f t="shared" si="86"/>
        <v>512</v>
      </c>
      <c r="N2813" s="6" t="str">
        <f t="shared" si="87"/>
        <v>New Customers</v>
      </c>
    </row>
    <row r="2814" spans="1:14" x14ac:dyDescent="0.35">
      <c r="A2814">
        <v>1293</v>
      </c>
      <c r="B2814" s="4">
        <v>46090.375085336993</v>
      </c>
      <c r="C2814" t="s">
        <v>10</v>
      </c>
      <c r="D2814" t="s">
        <v>21</v>
      </c>
      <c r="E2814" t="s">
        <v>23</v>
      </c>
      <c r="F2814">
        <v>3783.78</v>
      </c>
      <c r="G2814">
        <f t="array" ref="G2814">SalesData!$I$2 - 'RFM Table'!B2814</f>
        <v>46</v>
      </c>
      <c r="H2814">
        <f t="array" ref="H2814">COUNTIF(A:A,A2814)</f>
        <v>7</v>
      </c>
      <c r="I2814">
        <f t="array" ref="I2814">SUMIF(A:A,A2814,F:F)</f>
        <v>27438.3</v>
      </c>
      <c r="J2814">
        <f t="array" ref="J2814">5 - INT(5 * (RANK(G2814,G:G, 1) - 1) / COUNT(G:G))</f>
        <v>5</v>
      </c>
      <c r="K2814">
        <f t="array" ref="K2814">INT(5 * (RANK(H2814,H:H, 0) - 1) / COUNT(H:H)) + 1</f>
        <v>4</v>
      </c>
      <c r="L2814">
        <f t="array" ref="L2814">INT(5 * (RANK(I2814,I:I, 0) - 1) / COUNT(I:I)) + 1</f>
        <v>4</v>
      </c>
      <c r="M2814" t="str">
        <f t="shared" si="86"/>
        <v>544</v>
      </c>
      <c r="N2814" s="6" t="str">
        <f t="shared" si="87"/>
        <v>Others</v>
      </c>
    </row>
    <row r="2815" spans="1:14" x14ac:dyDescent="0.35">
      <c r="A2815">
        <v>1373</v>
      </c>
      <c r="B2815" s="4">
        <v>46090.375085336993</v>
      </c>
      <c r="C2815" t="s">
        <v>6</v>
      </c>
      <c r="D2815" t="s">
        <v>16</v>
      </c>
      <c r="E2815" t="s">
        <v>25</v>
      </c>
      <c r="F2815">
        <v>2534.4899999999998</v>
      </c>
      <c r="G2815">
        <f t="array" ref="G2815">SalesData!$I$2 - 'RFM Table'!B2815</f>
        <v>46</v>
      </c>
      <c r="H2815">
        <f t="array" ref="H2815">COUNTIF(A:A,A2815)</f>
        <v>11</v>
      </c>
      <c r="I2815">
        <f t="array" ref="I2815">SUMIF(A:A,A2815,F:F)</f>
        <v>46795.570000000007</v>
      </c>
      <c r="J2815">
        <f t="array" ref="J2815">5 - INT(5 * (RANK(G2815,G:G, 1) - 1) / COUNT(G:G))</f>
        <v>5</v>
      </c>
      <c r="K2815">
        <f t="array" ref="K2815">INT(5 * (RANK(H2815,H:H, 0) - 1) / COUNT(H:H)) + 1</f>
        <v>1</v>
      </c>
      <c r="L2815">
        <f t="array" ref="L2815">INT(5 * (RANK(I2815,I:I, 0) - 1) / COUNT(I:I)) + 1</f>
        <v>1</v>
      </c>
      <c r="M2815" t="str">
        <f t="shared" si="86"/>
        <v>511</v>
      </c>
      <c r="N2815" s="6" t="str">
        <f t="shared" si="87"/>
        <v>New Customers</v>
      </c>
    </row>
    <row r="2816" spans="1:14" x14ac:dyDescent="0.35">
      <c r="A2816">
        <v>1385</v>
      </c>
      <c r="B2816" s="4">
        <v>46090.375085336993</v>
      </c>
      <c r="C2816" t="s">
        <v>9</v>
      </c>
      <c r="D2816" t="s">
        <v>17</v>
      </c>
      <c r="E2816" t="s">
        <v>23</v>
      </c>
      <c r="F2816">
        <v>477.47</v>
      </c>
      <c r="G2816">
        <f t="array" ref="G2816">SalesData!$I$2 - 'RFM Table'!B2816</f>
        <v>46</v>
      </c>
      <c r="H2816">
        <f t="array" ref="H2816">COUNTIF(A:A,A2816)</f>
        <v>11</v>
      </c>
      <c r="I2816">
        <f t="array" ref="I2816">SUMIF(A:A,A2816,F:F)</f>
        <v>73437.08</v>
      </c>
      <c r="J2816">
        <f t="array" ref="J2816">5 - INT(5 * (RANK(G2816,G:G, 1) - 1) / COUNT(G:G))</f>
        <v>5</v>
      </c>
      <c r="K2816">
        <f t="array" ref="K2816">INT(5 * (RANK(H2816,H:H, 0) - 1) / COUNT(H:H)) + 1</f>
        <v>1</v>
      </c>
      <c r="L2816">
        <f t="array" ref="L2816">INT(5 * (RANK(I2816,I:I, 0) - 1) / COUNT(I:I)) + 1</f>
        <v>1</v>
      </c>
      <c r="M2816" t="str">
        <f t="shared" si="86"/>
        <v>511</v>
      </c>
      <c r="N2816" s="6" t="str">
        <f t="shared" si="87"/>
        <v>New Customers</v>
      </c>
    </row>
    <row r="2817" spans="1:14" x14ac:dyDescent="0.35">
      <c r="A2817">
        <v>1313</v>
      </c>
      <c r="B2817" s="4">
        <v>46090.375085336993</v>
      </c>
      <c r="C2817" t="s">
        <v>6</v>
      </c>
      <c r="D2817" t="s">
        <v>16</v>
      </c>
      <c r="E2817" t="s">
        <v>24</v>
      </c>
      <c r="F2817">
        <v>2746.02</v>
      </c>
      <c r="G2817">
        <f t="array" ref="G2817">SalesData!$I$2 - 'RFM Table'!B2817</f>
        <v>46</v>
      </c>
      <c r="H2817">
        <f t="array" ref="H2817">COUNTIF(A:A,A2817)</f>
        <v>9</v>
      </c>
      <c r="I2817">
        <f t="array" ref="I2817">SUMIF(A:A,A2817,F:F)</f>
        <v>35759.83</v>
      </c>
      <c r="J2817">
        <f t="array" ref="J2817">5 - INT(5 * (RANK(G2817,G:G, 1) - 1) / COUNT(G:G))</f>
        <v>5</v>
      </c>
      <c r="K2817">
        <f t="array" ref="K2817">INT(5 * (RANK(H2817,H:H, 0) - 1) / COUNT(H:H)) + 1</f>
        <v>2</v>
      </c>
      <c r="L2817">
        <f t="array" ref="L2817">INT(5 * (RANK(I2817,I:I, 0) - 1) / COUNT(I:I)) + 1</f>
        <v>3</v>
      </c>
      <c r="M2817" t="str">
        <f t="shared" si="86"/>
        <v>523</v>
      </c>
      <c r="N2817" s="6" t="str">
        <f t="shared" si="87"/>
        <v>New Customers</v>
      </c>
    </row>
    <row r="2818" spans="1:14" x14ac:dyDescent="0.35">
      <c r="A2818">
        <v>1312</v>
      </c>
      <c r="B2818" s="4">
        <v>46090.375085336993</v>
      </c>
      <c r="C2818" t="s">
        <v>12</v>
      </c>
      <c r="D2818" t="s">
        <v>19</v>
      </c>
      <c r="E2818" t="s">
        <v>24</v>
      </c>
      <c r="F2818">
        <v>3825.28</v>
      </c>
      <c r="G2818">
        <f t="array" ref="G2818">SalesData!$I$2 - 'RFM Table'!B2818</f>
        <v>46</v>
      </c>
      <c r="H2818">
        <f t="array" ref="H2818">COUNTIF(A:A,A2818)</f>
        <v>8</v>
      </c>
      <c r="I2818">
        <f t="array" ref="I2818">SUMIF(A:A,A2818,F:F)</f>
        <v>31330.839999999997</v>
      </c>
      <c r="J2818">
        <f t="array" ref="J2818">5 - INT(5 * (RANK(G2818,G:G, 1) - 1) / COUNT(G:G))</f>
        <v>5</v>
      </c>
      <c r="K2818">
        <f t="array" ref="K2818">INT(5 * (RANK(H2818,H:H, 0) - 1) / COUNT(H:H)) + 1</f>
        <v>3</v>
      </c>
      <c r="L2818">
        <f t="array" ref="L2818">INT(5 * (RANK(I2818,I:I, 0) - 1) / COUNT(I:I)) + 1</f>
        <v>3</v>
      </c>
      <c r="M2818" t="str">
        <f t="shared" si="86"/>
        <v>533</v>
      </c>
      <c r="N2818" s="6" t="str">
        <f t="shared" si="87"/>
        <v>Others</v>
      </c>
    </row>
    <row r="2819" spans="1:14" x14ac:dyDescent="0.35">
      <c r="A2819">
        <v>1379</v>
      </c>
      <c r="B2819" s="4">
        <v>46090.375085336993</v>
      </c>
      <c r="C2819" t="s">
        <v>13</v>
      </c>
      <c r="D2819" t="s">
        <v>16</v>
      </c>
      <c r="E2819" t="s">
        <v>24</v>
      </c>
      <c r="F2819">
        <v>854.54</v>
      </c>
      <c r="G2819">
        <f t="array" ref="G2819">SalesData!$I$2 - 'RFM Table'!B2819</f>
        <v>46</v>
      </c>
      <c r="H2819">
        <f t="array" ref="H2819">COUNTIF(A:A,A2819)</f>
        <v>10</v>
      </c>
      <c r="I2819">
        <f t="array" ref="I2819">SUMIF(A:A,A2819,F:F)</f>
        <v>33545.49</v>
      </c>
      <c r="J2819">
        <f t="array" ref="J2819">5 - INT(5 * (RANK(G2819,G:G, 1) - 1) / COUNT(G:G))</f>
        <v>5</v>
      </c>
      <c r="K2819">
        <f t="array" ref="K2819">INT(5 * (RANK(H2819,H:H, 0) - 1) / COUNT(H:H)) + 1</f>
        <v>2</v>
      </c>
      <c r="L2819">
        <f t="array" ref="L2819">INT(5 * (RANK(I2819,I:I, 0) - 1) / COUNT(I:I)) + 1</f>
        <v>3</v>
      </c>
      <c r="M2819" t="str">
        <f t="shared" ref="M2819:M2882" si="88">J2819 &amp; K2819 &amp; L2819</f>
        <v>523</v>
      </c>
      <c r="N2819" s="6" t="str">
        <f t="shared" ref="N2819:N2882" si="89">IF(AND(J2819&gt;=4,K2819&lt;=2),"New Customers",
IF(AND(J2819&lt;=2,K2819&gt;=3,L2819&gt;=3),"At Risk",
IF(AND(J2819&lt;=2,K2819&lt;=2,L2819&gt;=3),"Can't Lose Them",
IF(AND(J2819&lt;=2,K2819&lt;=2,L2819&lt;=2),"Lost",
"Others"))))</f>
        <v>New Customers</v>
      </c>
    </row>
    <row r="2820" spans="1:14" x14ac:dyDescent="0.35">
      <c r="A2820">
        <v>1013</v>
      </c>
      <c r="B2820" s="4">
        <v>46091.375085336993</v>
      </c>
      <c r="C2820" t="s">
        <v>9</v>
      </c>
      <c r="D2820" t="s">
        <v>18</v>
      </c>
      <c r="E2820" t="s">
        <v>24</v>
      </c>
      <c r="F2820">
        <v>2107.13</v>
      </c>
      <c r="G2820">
        <f t="array" ref="G2820">SalesData!$I$2 - 'RFM Table'!B2820</f>
        <v>45</v>
      </c>
      <c r="H2820">
        <f t="array" ref="H2820">COUNTIF(A:A,A2820)</f>
        <v>14</v>
      </c>
      <c r="I2820">
        <f t="array" ref="I2820">SUMIF(A:A,A2820,F:F)</f>
        <v>60099.840000000004</v>
      </c>
      <c r="J2820">
        <f t="array" ref="J2820">5 - INT(5 * (RANK(G2820,G:G, 1) - 1) / COUNT(G:G))</f>
        <v>5</v>
      </c>
      <c r="K2820">
        <f t="array" ref="K2820">INT(5 * (RANK(H2820,H:H, 0) - 1) / COUNT(H:H)) + 1</f>
        <v>1</v>
      </c>
      <c r="L2820">
        <f t="array" ref="L2820">INT(5 * (RANK(I2820,I:I, 0) - 1) / COUNT(I:I)) + 1</f>
        <v>1</v>
      </c>
      <c r="M2820" t="str">
        <f t="shared" si="88"/>
        <v>511</v>
      </c>
      <c r="N2820" s="6" t="str">
        <f t="shared" si="89"/>
        <v>New Customers</v>
      </c>
    </row>
    <row r="2821" spans="1:14" x14ac:dyDescent="0.35">
      <c r="A2821">
        <v>1378</v>
      </c>
      <c r="B2821" s="4">
        <v>46091.375085336993</v>
      </c>
      <c r="C2821" t="s">
        <v>9</v>
      </c>
      <c r="D2821" t="s">
        <v>17</v>
      </c>
      <c r="E2821" t="s">
        <v>24</v>
      </c>
      <c r="F2821">
        <v>1937.87</v>
      </c>
      <c r="G2821">
        <f t="array" ref="G2821">SalesData!$I$2 - 'RFM Table'!B2821</f>
        <v>45</v>
      </c>
      <c r="H2821">
        <f t="array" ref="H2821">COUNTIF(A:A,A2821)</f>
        <v>11</v>
      </c>
      <c r="I2821">
        <f t="array" ref="I2821">SUMIF(A:A,A2821,F:F)</f>
        <v>58842.799999999996</v>
      </c>
      <c r="J2821">
        <f t="array" ref="J2821">5 - INT(5 * (RANK(G2821,G:G, 1) - 1) / COUNT(G:G))</f>
        <v>5</v>
      </c>
      <c r="K2821">
        <f t="array" ref="K2821">INT(5 * (RANK(H2821,H:H, 0) - 1) / COUNT(H:H)) + 1</f>
        <v>1</v>
      </c>
      <c r="L2821">
        <f t="array" ref="L2821">INT(5 * (RANK(I2821,I:I, 0) - 1) / COUNT(I:I)) + 1</f>
        <v>1</v>
      </c>
      <c r="M2821" t="str">
        <f t="shared" si="88"/>
        <v>511</v>
      </c>
      <c r="N2821" s="6" t="str">
        <f t="shared" si="89"/>
        <v>New Customers</v>
      </c>
    </row>
    <row r="2822" spans="1:14" x14ac:dyDescent="0.35">
      <c r="A2822">
        <v>1161</v>
      </c>
      <c r="B2822" s="4">
        <v>46091.375085336993</v>
      </c>
      <c r="C2822" t="s">
        <v>14</v>
      </c>
      <c r="D2822" t="s">
        <v>16</v>
      </c>
      <c r="E2822" t="s">
        <v>25</v>
      </c>
      <c r="F2822">
        <v>6411.36</v>
      </c>
      <c r="G2822">
        <f t="array" ref="G2822">SalesData!$I$2 - 'RFM Table'!B2822</f>
        <v>45</v>
      </c>
      <c r="H2822">
        <f t="array" ref="H2822">COUNTIF(A:A,A2822)</f>
        <v>4</v>
      </c>
      <c r="I2822">
        <f t="array" ref="I2822">SUMIF(A:A,A2822,F:F)</f>
        <v>13595.329999999998</v>
      </c>
      <c r="J2822">
        <f t="array" ref="J2822">5 - INT(5 * (RANK(G2822,G:G, 1) - 1) / COUNT(G:G))</f>
        <v>5</v>
      </c>
      <c r="K2822">
        <f t="array" ref="K2822">INT(5 * (RANK(H2822,H:H, 0) - 1) / COUNT(H:H)) + 1</f>
        <v>5</v>
      </c>
      <c r="L2822">
        <f t="array" ref="L2822">INT(5 * (RANK(I2822,I:I, 0) - 1) / COUNT(I:I)) + 1</f>
        <v>5</v>
      </c>
      <c r="M2822" t="str">
        <f t="shared" si="88"/>
        <v>555</v>
      </c>
      <c r="N2822" s="6" t="str">
        <f t="shared" si="89"/>
        <v>Others</v>
      </c>
    </row>
    <row r="2823" spans="1:14" x14ac:dyDescent="0.35">
      <c r="A2823">
        <v>1258</v>
      </c>
      <c r="B2823" s="4">
        <v>46091.375085336993</v>
      </c>
      <c r="C2823" t="s">
        <v>10</v>
      </c>
      <c r="D2823" t="s">
        <v>18</v>
      </c>
      <c r="E2823" t="s">
        <v>24</v>
      </c>
      <c r="F2823">
        <v>3462.05</v>
      </c>
      <c r="G2823">
        <f t="array" ref="G2823">SalesData!$I$2 - 'RFM Table'!B2823</f>
        <v>45</v>
      </c>
      <c r="H2823">
        <f t="array" ref="H2823">COUNTIF(A:A,A2823)</f>
        <v>8</v>
      </c>
      <c r="I2823">
        <f t="array" ref="I2823">SUMIF(A:A,A2823,F:F)</f>
        <v>28559.850000000002</v>
      </c>
      <c r="J2823">
        <f t="array" ref="J2823">5 - INT(5 * (RANK(G2823,G:G, 1) - 1) / COUNT(G:G))</f>
        <v>5</v>
      </c>
      <c r="K2823">
        <f t="array" ref="K2823">INT(5 * (RANK(H2823,H:H, 0) - 1) / COUNT(H:H)) + 1</f>
        <v>3</v>
      </c>
      <c r="L2823">
        <f t="array" ref="L2823">INT(5 * (RANK(I2823,I:I, 0) - 1) / COUNT(I:I)) + 1</f>
        <v>4</v>
      </c>
      <c r="M2823" t="str">
        <f t="shared" si="88"/>
        <v>534</v>
      </c>
      <c r="N2823" s="6" t="str">
        <f t="shared" si="89"/>
        <v>Others</v>
      </c>
    </row>
    <row r="2824" spans="1:14" x14ac:dyDescent="0.35">
      <c r="A2824">
        <v>1098</v>
      </c>
      <c r="B2824" s="4">
        <v>46092.375085336993</v>
      </c>
      <c r="C2824" t="s">
        <v>7</v>
      </c>
      <c r="D2824" t="s">
        <v>20</v>
      </c>
      <c r="E2824" t="s">
        <v>24</v>
      </c>
      <c r="F2824">
        <v>495.75</v>
      </c>
      <c r="G2824">
        <f t="array" ref="G2824">SalesData!$I$2 - 'RFM Table'!B2824</f>
        <v>44</v>
      </c>
      <c r="H2824">
        <f t="array" ref="H2824">COUNTIF(A:A,A2824)</f>
        <v>12</v>
      </c>
      <c r="I2824">
        <f t="array" ref="I2824">SUMIF(A:A,A2824,F:F)</f>
        <v>36909.899999999994</v>
      </c>
      <c r="J2824">
        <f t="array" ref="J2824">5 - INT(5 * (RANK(G2824,G:G, 1) - 1) / COUNT(G:G))</f>
        <v>5</v>
      </c>
      <c r="K2824">
        <f t="array" ref="K2824">INT(5 * (RANK(H2824,H:H, 0) - 1) / COUNT(H:H)) + 1</f>
        <v>1</v>
      </c>
      <c r="L2824">
        <f t="array" ref="L2824">INT(5 * (RANK(I2824,I:I, 0) - 1) / COUNT(I:I)) + 1</f>
        <v>2</v>
      </c>
      <c r="M2824" t="str">
        <f t="shared" si="88"/>
        <v>512</v>
      </c>
      <c r="N2824" s="6" t="str">
        <f t="shared" si="89"/>
        <v>New Customers</v>
      </c>
    </row>
    <row r="2825" spans="1:14" x14ac:dyDescent="0.35">
      <c r="A2825">
        <v>1061</v>
      </c>
      <c r="B2825" s="4">
        <v>46092.375085336993</v>
      </c>
      <c r="C2825" t="s">
        <v>9</v>
      </c>
      <c r="D2825" t="s">
        <v>21</v>
      </c>
      <c r="E2825" t="s">
        <v>23</v>
      </c>
      <c r="F2825">
        <v>2358.5300000000002</v>
      </c>
      <c r="G2825">
        <f t="array" ref="G2825">SalesData!$I$2 - 'RFM Table'!B2825</f>
        <v>44</v>
      </c>
      <c r="H2825">
        <f t="array" ref="H2825">COUNTIF(A:A,A2825)</f>
        <v>9</v>
      </c>
      <c r="I2825">
        <f t="array" ref="I2825">SUMIF(A:A,A2825,F:F)</f>
        <v>24509.48</v>
      </c>
      <c r="J2825">
        <f t="array" ref="J2825">5 - INT(5 * (RANK(G2825,G:G, 1) - 1) / COUNT(G:G))</f>
        <v>5</v>
      </c>
      <c r="K2825">
        <f t="array" ref="K2825">INT(5 * (RANK(H2825,H:H, 0) - 1) / COUNT(H:H)) + 1</f>
        <v>2</v>
      </c>
      <c r="L2825">
        <f t="array" ref="L2825">INT(5 * (RANK(I2825,I:I, 0) - 1) / COUNT(I:I)) + 1</f>
        <v>4</v>
      </c>
      <c r="M2825" t="str">
        <f t="shared" si="88"/>
        <v>524</v>
      </c>
      <c r="N2825" s="6" t="str">
        <f t="shared" si="89"/>
        <v>New Customers</v>
      </c>
    </row>
    <row r="2826" spans="1:14" x14ac:dyDescent="0.35">
      <c r="A2826">
        <v>1003</v>
      </c>
      <c r="B2826" s="4">
        <v>46092.375085336993</v>
      </c>
      <c r="C2826" t="s">
        <v>11</v>
      </c>
      <c r="D2826" t="s">
        <v>21</v>
      </c>
      <c r="E2826" t="s">
        <v>25</v>
      </c>
      <c r="F2826">
        <v>4656.3</v>
      </c>
      <c r="G2826">
        <f t="array" ref="G2826">SalesData!$I$2 - 'RFM Table'!B2826</f>
        <v>44</v>
      </c>
      <c r="H2826">
        <f t="array" ref="H2826">COUNTIF(A:A,A2826)</f>
        <v>9</v>
      </c>
      <c r="I2826">
        <f t="array" ref="I2826">SUMIF(A:A,A2826,F:F)</f>
        <v>48978.57</v>
      </c>
      <c r="J2826">
        <f t="array" ref="J2826">5 - INT(5 * (RANK(G2826,G:G, 1) - 1) / COUNT(G:G))</f>
        <v>5</v>
      </c>
      <c r="K2826">
        <f t="array" ref="K2826">INT(5 * (RANK(H2826,H:H, 0) - 1) / COUNT(H:H)) + 1</f>
        <v>2</v>
      </c>
      <c r="L2826">
        <f t="array" ref="L2826">INT(5 * (RANK(I2826,I:I, 0) - 1) / COUNT(I:I)) + 1</f>
        <v>1</v>
      </c>
      <c r="M2826" t="str">
        <f t="shared" si="88"/>
        <v>521</v>
      </c>
      <c r="N2826" s="6" t="str">
        <f t="shared" si="89"/>
        <v>New Customers</v>
      </c>
    </row>
    <row r="2827" spans="1:14" x14ac:dyDescent="0.35">
      <c r="A2827">
        <v>1162</v>
      </c>
      <c r="B2827" s="4">
        <v>46092.375085336993</v>
      </c>
      <c r="C2827" t="s">
        <v>15</v>
      </c>
      <c r="D2827" t="s">
        <v>17</v>
      </c>
      <c r="E2827" t="s">
        <v>23</v>
      </c>
      <c r="F2827">
        <v>1927.55</v>
      </c>
      <c r="G2827">
        <f t="array" ref="G2827">SalesData!$I$2 - 'RFM Table'!B2827</f>
        <v>44</v>
      </c>
      <c r="H2827">
        <f t="array" ref="H2827">COUNTIF(A:A,A2827)</f>
        <v>8</v>
      </c>
      <c r="I2827">
        <f t="array" ref="I2827">SUMIF(A:A,A2827,F:F)</f>
        <v>43723.900000000009</v>
      </c>
      <c r="J2827">
        <f t="array" ref="J2827">5 - INT(5 * (RANK(G2827,G:G, 1) - 1) / COUNT(G:G))</f>
        <v>5</v>
      </c>
      <c r="K2827">
        <f t="array" ref="K2827">INT(5 * (RANK(H2827,H:H, 0) - 1) / COUNT(H:H)) + 1</f>
        <v>3</v>
      </c>
      <c r="L2827">
        <f t="array" ref="L2827">INT(5 * (RANK(I2827,I:I, 0) - 1) / COUNT(I:I)) + 1</f>
        <v>2</v>
      </c>
      <c r="M2827" t="str">
        <f t="shared" si="88"/>
        <v>532</v>
      </c>
      <c r="N2827" s="6" t="str">
        <f t="shared" si="89"/>
        <v>Others</v>
      </c>
    </row>
    <row r="2828" spans="1:14" x14ac:dyDescent="0.35">
      <c r="A2828">
        <v>1291</v>
      </c>
      <c r="B2828" s="4">
        <v>46092.375085336993</v>
      </c>
      <c r="C2828" t="s">
        <v>12</v>
      </c>
      <c r="D2828" t="s">
        <v>20</v>
      </c>
      <c r="E2828" t="s">
        <v>24</v>
      </c>
      <c r="F2828">
        <v>10150.81</v>
      </c>
      <c r="G2828">
        <f t="array" ref="G2828">SalesData!$I$2 - 'RFM Table'!B2828</f>
        <v>44</v>
      </c>
      <c r="H2828">
        <f t="array" ref="H2828">COUNTIF(A:A,A2828)</f>
        <v>7</v>
      </c>
      <c r="I2828">
        <f t="array" ref="I2828">SUMIF(A:A,A2828,F:F)</f>
        <v>33778.21</v>
      </c>
      <c r="J2828">
        <f t="array" ref="J2828">5 - INT(5 * (RANK(G2828,G:G, 1) - 1) / COUNT(G:G))</f>
        <v>5</v>
      </c>
      <c r="K2828">
        <f t="array" ref="K2828">INT(5 * (RANK(H2828,H:H, 0) - 1) / COUNT(H:H)) + 1</f>
        <v>4</v>
      </c>
      <c r="L2828">
        <f t="array" ref="L2828">INT(5 * (RANK(I2828,I:I, 0) - 1) / COUNT(I:I)) + 1</f>
        <v>3</v>
      </c>
      <c r="M2828" t="str">
        <f t="shared" si="88"/>
        <v>543</v>
      </c>
      <c r="N2828" s="6" t="str">
        <f t="shared" si="89"/>
        <v>Others</v>
      </c>
    </row>
    <row r="2829" spans="1:14" x14ac:dyDescent="0.35">
      <c r="A2829">
        <v>1081</v>
      </c>
      <c r="B2829" s="4">
        <v>46092.375085336993</v>
      </c>
      <c r="C2829" t="s">
        <v>9</v>
      </c>
      <c r="D2829" t="s">
        <v>17</v>
      </c>
      <c r="E2829" t="s">
        <v>25</v>
      </c>
      <c r="F2829">
        <v>2565.87</v>
      </c>
      <c r="G2829">
        <f t="array" ref="G2829">SalesData!$I$2 - 'RFM Table'!B2829</f>
        <v>44</v>
      </c>
      <c r="H2829">
        <f t="array" ref="H2829">COUNTIF(A:A,A2829)</f>
        <v>8</v>
      </c>
      <c r="I2829">
        <f t="array" ref="I2829">SUMIF(A:A,A2829,F:F)</f>
        <v>29788.7</v>
      </c>
      <c r="J2829">
        <f t="array" ref="J2829">5 - INT(5 * (RANK(G2829,G:G, 1) - 1) / COUNT(G:G))</f>
        <v>5</v>
      </c>
      <c r="K2829">
        <f t="array" ref="K2829">INT(5 * (RANK(H2829,H:H, 0) - 1) / COUNT(H:H)) + 1</f>
        <v>3</v>
      </c>
      <c r="L2829">
        <f t="array" ref="L2829">INT(5 * (RANK(I2829,I:I, 0) - 1) / COUNT(I:I)) + 1</f>
        <v>3</v>
      </c>
      <c r="M2829" t="str">
        <f t="shared" si="88"/>
        <v>533</v>
      </c>
      <c r="N2829" s="6" t="str">
        <f t="shared" si="89"/>
        <v>Others</v>
      </c>
    </row>
    <row r="2830" spans="1:14" x14ac:dyDescent="0.35">
      <c r="A2830">
        <v>1034</v>
      </c>
      <c r="B2830" s="4">
        <v>46093.375085336993</v>
      </c>
      <c r="C2830" t="s">
        <v>11</v>
      </c>
      <c r="D2830" t="s">
        <v>20</v>
      </c>
      <c r="E2830" t="s">
        <v>23</v>
      </c>
      <c r="F2830">
        <v>2150.37</v>
      </c>
      <c r="G2830">
        <f t="array" ref="G2830">SalesData!$I$2 - 'RFM Table'!B2830</f>
        <v>43</v>
      </c>
      <c r="H2830">
        <f t="array" ref="H2830">COUNTIF(A:A,A2830)</f>
        <v>8</v>
      </c>
      <c r="I2830">
        <f t="array" ref="I2830">SUMIF(A:A,A2830,F:F)</f>
        <v>22493.960000000003</v>
      </c>
      <c r="J2830">
        <f t="array" ref="J2830">5 - INT(5 * (RANK(G2830,G:G, 1) - 1) / COUNT(G:G))</f>
        <v>5</v>
      </c>
      <c r="K2830">
        <f t="array" ref="K2830">INT(5 * (RANK(H2830,H:H, 0) - 1) / COUNT(H:H)) + 1</f>
        <v>3</v>
      </c>
      <c r="L2830">
        <f t="array" ref="L2830">INT(5 * (RANK(I2830,I:I, 0) - 1) / COUNT(I:I)) + 1</f>
        <v>4</v>
      </c>
      <c r="M2830" t="str">
        <f t="shared" si="88"/>
        <v>534</v>
      </c>
      <c r="N2830" s="6" t="str">
        <f t="shared" si="89"/>
        <v>Others</v>
      </c>
    </row>
    <row r="2831" spans="1:14" x14ac:dyDescent="0.35">
      <c r="A2831">
        <v>1248</v>
      </c>
      <c r="B2831" s="4">
        <v>46093.375085336993</v>
      </c>
      <c r="C2831" t="s">
        <v>12</v>
      </c>
      <c r="D2831" t="s">
        <v>18</v>
      </c>
      <c r="E2831" t="s">
        <v>24</v>
      </c>
      <c r="F2831">
        <v>10621.69</v>
      </c>
      <c r="G2831">
        <f t="array" ref="G2831">SalesData!$I$2 - 'RFM Table'!B2831</f>
        <v>43</v>
      </c>
      <c r="H2831">
        <f t="array" ref="H2831">COUNTIF(A:A,A2831)</f>
        <v>7</v>
      </c>
      <c r="I2831">
        <f t="array" ref="I2831">SUMIF(A:A,A2831,F:F)</f>
        <v>27796.990000000005</v>
      </c>
      <c r="J2831">
        <f t="array" ref="J2831">5 - INT(5 * (RANK(G2831,G:G, 1) - 1) / COUNT(G:G))</f>
        <v>5</v>
      </c>
      <c r="K2831">
        <f t="array" ref="K2831">INT(5 * (RANK(H2831,H:H, 0) - 1) / COUNT(H:H)) + 1</f>
        <v>4</v>
      </c>
      <c r="L2831">
        <f t="array" ref="L2831">INT(5 * (RANK(I2831,I:I, 0) - 1) / COUNT(I:I)) + 1</f>
        <v>4</v>
      </c>
      <c r="M2831" t="str">
        <f t="shared" si="88"/>
        <v>544</v>
      </c>
      <c r="N2831" s="6" t="str">
        <f t="shared" si="89"/>
        <v>Others</v>
      </c>
    </row>
    <row r="2832" spans="1:14" x14ac:dyDescent="0.35">
      <c r="A2832">
        <v>1132</v>
      </c>
      <c r="B2832" s="4">
        <v>46093.375085336993</v>
      </c>
      <c r="C2832" t="s">
        <v>7</v>
      </c>
      <c r="D2832" t="s">
        <v>21</v>
      </c>
      <c r="E2832" t="s">
        <v>24</v>
      </c>
      <c r="F2832">
        <v>4385.34</v>
      </c>
      <c r="G2832">
        <f t="array" ref="G2832">SalesData!$I$2 - 'RFM Table'!B2832</f>
        <v>43</v>
      </c>
      <c r="H2832">
        <f t="array" ref="H2832">COUNTIF(A:A,A2832)</f>
        <v>11</v>
      </c>
      <c r="I2832">
        <f t="array" ref="I2832">SUMIF(A:A,A2832,F:F)</f>
        <v>52771.959999999992</v>
      </c>
      <c r="J2832">
        <f t="array" ref="J2832">5 - INT(5 * (RANK(G2832,G:G, 1) - 1) / COUNT(G:G))</f>
        <v>5</v>
      </c>
      <c r="K2832">
        <f t="array" ref="K2832">INT(5 * (RANK(H2832,H:H, 0) - 1) / COUNT(H:H)) + 1</f>
        <v>1</v>
      </c>
      <c r="L2832">
        <f t="array" ref="L2832">INT(5 * (RANK(I2832,I:I, 0) - 1) / COUNT(I:I)) + 1</f>
        <v>1</v>
      </c>
      <c r="M2832" t="str">
        <f t="shared" si="88"/>
        <v>511</v>
      </c>
      <c r="N2832" s="6" t="str">
        <f t="shared" si="89"/>
        <v>New Customers</v>
      </c>
    </row>
    <row r="2833" spans="1:14" x14ac:dyDescent="0.35">
      <c r="A2833">
        <v>1097</v>
      </c>
      <c r="B2833" s="4">
        <v>46093.375085336993</v>
      </c>
      <c r="C2833" t="s">
        <v>11</v>
      </c>
      <c r="D2833" t="s">
        <v>18</v>
      </c>
      <c r="E2833" t="s">
        <v>25</v>
      </c>
      <c r="F2833">
        <v>6665.17</v>
      </c>
      <c r="G2833">
        <f t="array" ref="G2833">SalesData!$I$2 - 'RFM Table'!B2833</f>
        <v>43</v>
      </c>
      <c r="H2833">
        <f t="array" ref="H2833">COUNTIF(A:A,A2833)</f>
        <v>9</v>
      </c>
      <c r="I2833">
        <f t="array" ref="I2833">SUMIF(A:A,A2833,F:F)</f>
        <v>51674.6</v>
      </c>
      <c r="J2833">
        <f t="array" ref="J2833">5 - INT(5 * (RANK(G2833,G:G, 1) - 1) / COUNT(G:G))</f>
        <v>5</v>
      </c>
      <c r="K2833">
        <f t="array" ref="K2833">INT(5 * (RANK(H2833,H:H, 0) - 1) / COUNT(H:H)) + 1</f>
        <v>2</v>
      </c>
      <c r="L2833">
        <f t="array" ref="L2833">INT(5 * (RANK(I2833,I:I, 0) - 1) / COUNT(I:I)) + 1</f>
        <v>1</v>
      </c>
      <c r="M2833" t="str">
        <f t="shared" si="88"/>
        <v>521</v>
      </c>
      <c r="N2833" s="6" t="str">
        <f t="shared" si="89"/>
        <v>New Customers</v>
      </c>
    </row>
    <row r="2834" spans="1:14" x14ac:dyDescent="0.35">
      <c r="A2834">
        <v>1182</v>
      </c>
      <c r="B2834" s="4">
        <v>46093.375085336993</v>
      </c>
      <c r="C2834" t="s">
        <v>10</v>
      </c>
      <c r="D2834" t="s">
        <v>18</v>
      </c>
      <c r="E2834" t="s">
        <v>23</v>
      </c>
      <c r="F2834">
        <v>3584.88</v>
      </c>
      <c r="G2834">
        <f t="array" ref="G2834">SalesData!$I$2 - 'RFM Table'!B2834</f>
        <v>43</v>
      </c>
      <c r="H2834">
        <f t="array" ref="H2834">COUNTIF(A:A,A2834)</f>
        <v>7</v>
      </c>
      <c r="I2834">
        <f t="array" ref="I2834">SUMIF(A:A,A2834,F:F)</f>
        <v>20657.780000000002</v>
      </c>
      <c r="J2834">
        <f t="array" ref="J2834">5 - INT(5 * (RANK(G2834,G:G, 1) - 1) / COUNT(G:G))</f>
        <v>5</v>
      </c>
      <c r="K2834">
        <f t="array" ref="K2834">INT(5 * (RANK(H2834,H:H, 0) - 1) / COUNT(H:H)) + 1</f>
        <v>4</v>
      </c>
      <c r="L2834">
        <f t="array" ref="L2834">INT(5 * (RANK(I2834,I:I, 0) - 1) / COUNT(I:I)) + 1</f>
        <v>5</v>
      </c>
      <c r="M2834" t="str">
        <f t="shared" si="88"/>
        <v>545</v>
      </c>
      <c r="N2834" s="6" t="str">
        <f t="shared" si="89"/>
        <v>Others</v>
      </c>
    </row>
    <row r="2835" spans="1:14" x14ac:dyDescent="0.35">
      <c r="A2835">
        <v>1142</v>
      </c>
      <c r="B2835" s="4">
        <v>46093.375085336993</v>
      </c>
      <c r="C2835" t="s">
        <v>10</v>
      </c>
      <c r="D2835" t="s">
        <v>17</v>
      </c>
      <c r="E2835" t="s">
        <v>23</v>
      </c>
      <c r="F2835">
        <v>4105.34</v>
      </c>
      <c r="G2835">
        <f t="array" ref="G2835">SalesData!$I$2 - 'RFM Table'!B2835</f>
        <v>43</v>
      </c>
      <c r="H2835">
        <f t="array" ref="H2835">COUNTIF(A:A,A2835)</f>
        <v>10</v>
      </c>
      <c r="I2835">
        <f t="array" ref="I2835">SUMIF(A:A,A2835,F:F)</f>
        <v>45537.319999999992</v>
      </c>
      <c r="J2835">
        <f t="array" ref="J2835">5 - INT(5 * (RANK(G2835,G:G, 1) - 1) / COUNT(G:G))</f>
        <v>5</v>
      </c>
      <c r="K2835">
        <f t="array" ref="K2835">INT(5 * (RANK(H2835,H:H, 0) - 1) / COUNT(H:H)) + 1</f>
        <v>2</v>
      </c>
      <c r="L2835">
        <f t="array" ref="L2835">INT(5 * (RANK(I2835,I:I, 0) - 1) / COUNT(I:I)) + 1</f>
        <v>1</v>
      </c>
      <c r="M2835" t="str">
        <f t="shared" si="88"/>
        <v>521</v>
      </c>
      <c r="N2835" s="6" t="str">
        <f t="shared" si="89"/>
        <v>New Customers</v>
      </c>
    </row>
    <row r="2836" spans="1:14" x14ac:dyDescent="0.35">
      <c r="A2836">
        <v>1267</v>
      </c>
      <c r="B2836" s="4">
        <v>46094.375085336993</v>
      </c>
      <c r="C2836" t="s">
        <v>12</v>
      </c>
      <c r="D2836" t="s">
        <v>18</v>
      </c>
      <c r="E2836" t="s">
        <v>25</v>
      </c>
      <c r="F2836">
        <v>5559.67</v>
      </c>
      <c r="G2836">
        <f t="array" ref="G2836">SalesData!$I$2 - 'RFM Table'!B2836</f>
        <v>42</v>
      </c>
      <c r="H2836">
        <f t="array" ref="H2836">COUNTIF(A:A,A2836)</f>
        <v>9</v>
      </c>
      <c r="I2836">
        <f t="array" ref="I2836">SUMIF(A:A,A2836,F:F)</f>
        <v>39538.21</v>
      </c>
      <c r="J2836">
        <f t="array" ref="J2836">5 - INT(5 * (RANK(G2836,G:G, 1) - 1) / COUNT(G:G))</f>
        <v>5</v>
      </c>
      <c r="K2836">
        <f t="array" ref="K2836">INT(5 * (RANK(H2836,H:H, 0) - 1) / COUNT(H:H)) + 1</f>
        <v>2</v>
      </c>
      <c r="L2836">
        <f t="array" ref="L2836">INT(5 * (RANK(I2836,I:I, 0) - 1) / COUNT(I:I)) + 1</f>
        <v>2</v>
      </c>
      <c r="M2836" t="str">
        <f t="shared" si="88"/>
        <v>522</v>
      </c>
      <c r="N2836" s="6" t="str">
        <f t="shared" si="89"/>
        <v>New Customers</v>
      </c>
    </row>
    <row r="2837" spans="1:14" x14ac:dyDescent="0.35">
      <c r="A2837">
        <v>1177</v>
      </c>
      <c r="B2837" s="4">
        <v>46094.375085336993</v>
      </c>
      <c r="C2837" t="s">
        <v>10</v>
      </c>
      <c r="D2837" t="s">
        <v>17</v>
      </c>
      <c r="E2837" t="s">
        <v>23</v>
      </c>
      <c r="F2837">
        <v>4066.03</v>
      </c>
      <c r="G2837">
        <f t="array" ref="G2837">SalesData!$I$2 - 'RFM Table'!B2837</f>
        <v>42</v>
      </c>
      <c r="H2837">
        <f t="array" ref="H2837">COUNTIF(A:A,A2837)</f>
        <v>9</v>
      </c>
      <c r="I2837">
        <f t="array" ref="I2837">SUMIF(A:A,A2837,F:F)</f>
        <v>27857.719999999998</v>
      </c>
      <c r="J2837">
        <f t="array" ref="J2837">5 - INT(5 * (RANK(G2837,G:G, 1) - 1) / COUNT(G:G))</f>
        <v>5</v>
      </c>
      <c r="K2837">
        <f t="array" ref="K2837">INT(5 * (RANK(H2837,H:H, 0) - 1) / COUNT(H:H)) + 1</f>
        <v>2</v>
      </c>
      <c r="L2837">
        <f t="array" ref="L2837">INT(5 * (RANK(I2837,I:I, 0) - 1) / COUNT(I:I)) + 1</f>
        <v>4</v>
      </c>
      <c r="M2837" t="str">
        <f t="shared" si="88"/>
        <v>524</v>
      </c>
      <c r="N2837" s="6" t="str">
        <f t="shared" si="89"/>
        <v>New Customers</v>
      </c>
    </row>
    <row r="2838" spans="1:14" x14ac:dyDescent="0.35">
      <c r="A2838">
        <v>1372</v>
      </c>
      <c r="B2838" s="4">
        <v>46094.375085336993</v>
      </c>
      <c r="C2838" t="s">
        <v>9</v>
      </c>
      <c r="D2838" t="s">
        <v>20</v>
      </c>
      <c r="E2838" t="s">
        <v>23</v>
      </c>
      <c r="F2838">
        <v>843.19</v>
      </c>
      <c r="G2838">
        <f t="array" ref="G2838">SalesData!$I$2 - 'RFM Table'!B2838</f>
        <v>42</v>
      </c>
      <c r="H2838">
        <f t="array" ref="H2838">COUNTIF(A:A,A2838)</f>
        <v>9</v>
      </c>
      <c r="I2838">
        <f t="array" ref="I2838">SUMIF(A:A,A2838,F:F)</f>
        <v>32843.11</v>
      </c>
      <c r="J2838">
        <f t="array" ref="J2838">5 - INT(5 * (RANK(G2838,G:G, 1) - 1) / COUNT(G:G))</f>
        <v>5</v>
      </c>
      <c r="K2838">
        <f t="array" ref="K2838">INT(5 * (RANK(H2838,H:H, 0) - 1) / COUNT(H:H)) + 1</f>
        <v>2</v>
      </c>
      <c r="L2838">
        <f t="array" ref="L2838">INT(5 * (RANK(I2838,I:I, 0) - 1) / COUNT(I:I)) + 1</f>
        <v>3</v>
      </c>
      <c r="M2838" t="str">
        <f t="shared" si="88"/>
        <v>523</v>
      </c>
      <c r="N2838" s="6" t="str">
        <f t="shared" si="89"/>
        <v>New Customers</v>
      </c>
    </row>
    <row r="2839" spans="1:14" x14ac:dyDescent="0.35">
      <c r="A2839">
        <v>1308</v>
      </c>
      <c r="B2839" s="4">
        <v>46095.375085336993</v>
      </c>
      <c r="C2839" t="s">
        <v>11</v>
      </c>
      <c r="D2839" t="s">
        <v>19</v>
      </c>
      <c r="E2839" t="s">
        <v>24</v>
      </c>
      <c r="F2839">
        <v>2349.5</v>
      </c>
      <c r="G2839">
        <f t="array" ref="G2839">SalesData!$I$2 - 'RFM Table'!B2839</f>
        <v>41</v>
      </c>
      <c r="H2839">
        <f t="array" ref="H2839">COUNTIF(A:A,A2839)</f>
        <v>6</v>
      </c>
      <c r="I2839">
        <f t="array" ref="I2839">SUMIF(A:A,A2839,F:F)</f>
        <v>16743.59</v>
      </c>
      <c r="J2839">
        <f t="array" ref="J2839">5 - INT(5 * (RANK(G2839,G:G, 1) - 1) / COUNT(G:G))</f>
        <v>5</v>
      </c>
      <c r="K2839">
        <f t="array" ref="K2839">INT(5 * (RANK(H2839,H:H, 0) - 1) / COUNT(H:H)) + 1</f>
        <v>4</v>
      </c>
      <c r="L2839">
        <f t="array" ref="L2839">INT(5 * (RANK(I2839,I:I, 0) - 1) / COUNT(I:I)) + 1</f>
        <v>5</v>
      </c>
      <c r="M2839" t="str">
        <f t="shared" si="88"/>
        <v>545</v>
      </c>
      <c r="N2839" s="6" t="str">
        <f t="shared" si="89"/>
        <v>Others</v>
      </c>
    </row>
    <row r="2840" spans="1:14" x14ac:dyDescent="0.35">
      <c r="A2840">
        <v>1138</v>
      </c>
      <c r="B2840" s="4">
        <v>46095.375085336993</v>
      </c>
      <c r="C2840" t="s">
        <v>13</v>
      </c>
      <c r="D2840" t="s">
        <v>20</v>
      </c>
      <c r="E2840" t="s">
        <v>25</v>
      </c>
      <c r="F2840">
        <v>7857.24</v>
      </c>
      <c r="G2840">
        <f t="array" ref="G2840">SalesData!$I$2 - 'RFM Table'!B2840</f>
        <v>41</v>
      </c>
      <c r="H2840">
        <f t="array" ref="H2840">COUNTIF(A:A,A2840)</f>
        <v>3</v>
      </c>
      <c r="I2840">
        <f t="array" ref="I2840">SUMIF(A:A,A2840,F:F)</f>
        <v>24687.369999999995</v>
      </c>
      <c r="J2840">
        <f t="array" ref="J2840">5 - INT(5 * (RANK(G2840,G:G, 1) - 1) / COUNT(G:G))</f>
        <v>5</v>
      </c>
      <c r="K2840">
        <f t="array" ref="K2840">INT(5 * (RANK(H2840,H:H, 0) - 1) / COUNT(H:H)) + 1</f>
        <v>5</v>
      </c>
      <c r="L2840">
        <f t="array" ref="L2840">INT(5 * (RANK(I2840,I:I, 0) - 1) / COUNT(I:I)) + 1</f>
        <v>4</v>
      </c>
      <c r="M2840" t="str">
        <f t="shared" si="88"/>
        <v>554</v>
      </c>
      <c r="N2840" s="6" t="str">
        <f t="shared" si="89"/>
        <v>Others</v>
      </c>
    </row>
    <row r="2841" spans="1:14" x14ac:dyDescent="0.35">
      <c r="A2841">
        <v>1358</v>
      </c>
      <c r="B2841" s="4">
        <v>46095.375085336993</v>
      </c>
      <c r="C2841" t="s">
        <v>14</v>
      </c>
      <c r="D2841" t="s">
        <v>22</v>
      </c>
      <c r="E2841" t="s">
        <v>24</v>
      </c>
      <c r="F2841">
        <v>4146.58</v>
      </c>
      <c r="G2841">
        <f t="array" ref="G2841">SalesData!$I$2 - 'RFM Table'!B2841</f>
        <v>41</v>
      </c>
      <c r="H2841">
        <f t="array" ref="H2841">COUNTIF(A:A,A2841)</f>
        <v>9</v>
      </c>
      <c r="I2841">
        <f t="array" ref="I2841">SUMIF(A:A,A2841,F:F)</f>
        <v>29151.88</v>
      </c>
      <c r="J2841">
        <f t="array" ref="J2841">5 - INT(5 * (RANK(G2841,G:G, 1) - 1) / COUNT(G:G))</f>
        <v>5</v>
      </c>
      <c r="K2841">
        <f t="array" ref="K2841">INT(5 * (RANK(H2841,H:H, 0) - 1) / COUNT(H:H)) + 1</f>
        <v>2</v>
      </c>
      <c r="L2841">
        <f t="array" ref="L2841">INT(5 * (RANK(I2841,I:I, 0) - 1) / COUNT(I:I)) + 1</f>
        <v>4</v>
      </c>
      <c r="M2841" t="str">
        <f t="shared" si="88"/>
        <v>524</v>
      </c>
      <c r="N2841" s="6" t="str">
        <f t="shared" si="89"/>
        <v>New Customers</v>
      </c>
    </row>
    <row r="2842" spans="1:14" x14ac:dyDescent="0.35">
      <c r="A2842">
        <v>1034</v>
      </c>
      <c r="B2842" s="4">
        <v>46096.375085336993</v>
      </c>
      <c r="C2842" t="s">
        <v>12</v>
      </c>
      <c r="D2842" t="s">
        <v>16</v>
      </c>
      <c r="E2842" t="s">
        <v>23</v>
      </c>
      <c r="F2842">
        <v>2972.46</v>
      </c>
      <c r="G2842">
        <f t="array" ref="G2842">SalesData!$I$2 - 'RFM Table'!B2842</f>
        <v>40</v>
      </c>
      <c r="H2842">
        <f t="array" ref="H2842">COUNTIF(A:A,A2842)</f>
        <v>8</v>
      </c>
      <c r="I2842">
        <f t="array" ref="I2842">SUMIF(A:A,A2842,F:F)</f>
        <v>22493.960000000003</v>
      </c>
      <c r="J2842">
        <f t="array" ref="J2842">5 - INT(5 * (RANK(G2842,G:G, 1) - 1) / COUNT(G:G))</f>
        <v>5</v>
      </c>
      <c r="K2842">
        <f t="array" ref="K2842">INT(5 * (RANK(H2842,H:H, 0) - 1) / COUNT(H:H)) + 1</f>
        <v>3</v>
      </c>
      <c r="L2842">
        <f t="array" ref="L2842">INT(5 * (RANK(I2842,I:I, 0) - 1) / COUNT(I:I)) + 1</f>
        <v>4</v>
      </c>
      <c r="M2842" t="str">
        <f t="shared" si="88"/>
        <v>534</v>
      </c>
      <c r="N2842" s="6" t="str">
        <f t="shared" si="89"/>
        <v>Others</v>
      </c>
    </row>
    <row r="2843" spans="1:14" x14ac:dyDescent="0.35">
      <c r="A2843">
        <v>1004</v>
      </c>
      <c r="B2843" s="4">
        <v>46096.375085336993</v>
      </c>
      <c r="C2843" t="s">
        <v>9</v>
      </c>
      <c r="D2843" t="s">
        <v>16</v>
      </c>
      <c r="E2843" t="s">
        <v>24</v>
      </c>
      <c r="F2843">
        <v>2194.9299999999998</v>
      </c>
      <c r="G2843">
        <f t="array" ref="G2843">SalesData!$I$2 - 'RFM Table'!B2843</f>
        <v>40</v>
      </c>
      <c r="H2843">
        <f t="array" ref="H2843">COUNTIF(A:A,A2843)</f>
        <v>12</v>
      </c>
      <c r="I2843">
        <f t="array" ref="I2843">SUMIF(A:A,A2843,F:F)</f>
        <v>34222.5</v>
      </c>
      <c r="J2843">
        <f t="array" ref="J2843">5 - INT(5 * (RANK(G2843,G:G, 1) - 1) / COUNT(G:G))</f>
        <v>5</v>
      </c>
      <c r="K2843">
        <f t="array" ref="K2843">INT(5 * (RANK(H2843,H:H, 0) - 1) / COUNT(H:H)) + 1</f>
        <v>1</v>
      </c>
      <c r="L2843">
        <f t="array" ref="L2843">INT(5 * (RANK(I2843,I:I, 0) - 1) / COUNT(I:I)) + 1</f>
        <v>3</v>
      </c>
      <c r="M2843" t="str">
        <f t="shared" si="88"/>
        <v>513</v>
      </c>
      <c r="N2843" s="6" t="str">
        <f t="shared" si="89"/>
        <v>New Customers</v>
      </c>
    </row>
    <row r="2844" spans="1:14" x14ac:dyDescent="0.35">
      <c r="A2844">
        <v>1252</v>
      </c>
      <c r="B2844" s="4">
        <v>46096.375085336993</v>
      </c>
      <c r="C2844" t="s">
        <v>14</v>
      </c>
      <c r="D2844" t="s">
        <v>19</v>
      </c>
      <c r="E2844" t="s">
        <v>24</v>
      </c>
      <c r="F2844">
        <v>11165.63</v>
      </c>
      <c r="G2844">
        <f t="array" ref="G2844">SalesData!$I$2 - 'RFM Table'!B2844</f>
        <v>40</v>
      </c>
      <c r="H2844">
        <f t="array" ref="H2844">COUNTIF(A:A,A2844)</f>
        <v>8</v>
      </c>
      <c r="I2844">
        <f t="array" ref="I2844">SUMIF(A:A,A2844,F:F)</f>
        <v>29088.159999999996</v>
      </c>
      <c r="J2844">
        <f t="array" ref="J2844">5 - INT(5 * (RANK(G2844,G:G, 1) - 1) / COUNT(G:G))</f>
        <v>5</v>
      </c>
      <c r="K2844">
        <f t="array" ref="K2844">INT(5 * (RANK(H2844,H:H, 0) - 1) / COUNT(H:H)) + 1</f>
        <v>3</v>
      </c>
      <c r="L2844">
        <f t="array" ref="L2844">INT(5 * (RANK(I2844,I:I, 0) - 1) / COUNT(I:I)) + 1</f>
        <v>4</v>
      </c>
      <c r="M2844" t="str">
        <f t="shared" si="88"/>
        <v>534</v>
      </c>
      <c r="N2844" s="6" t="str">
        <f t="shared" si="89"/>
        <v>Others</v>
      </c>
    </row>
    <row r="2845" spans="1:14" x14ac:dyDescent="0.35">
      <c r="A2845">
        <v>1096</v>
      </c>
      <c r="B2845" s="4">
        <v>46096.375085336993</v>
      </c>
      <c r="C2845" t="s">
        <v>9</v>
      </c>
      <c r="D2845" t="s">
        <v>22</v>
      </c>
      <c r="E2845" t="s">
        <v>23</v>
      </c>
      <c r="F2845">
        <v>3026.3</v>
      </c>
      <c r="G2845">
        <f t="array" ref="G2845">SalesData!$I$2 - 'RFM Table'!B2845</f>
        <v>40</v>
      </c>
      <c r="H2845">
        <f t="array" ref="H2845">COUNTIF(A:A,A2845)</f>
        <v>6</v>
      </c>
      <c r="I2845">
        <f t="array" ref="I2845">SUMIF(A:A,A2845,F:F)</f>
        <v>11900.869999999999</v>
      </c>
      <c r="J2845">
        <f t="array" ref="J2845">5 - INT(5 * (RANK(G2845,G:G, 1) - 1) / COUNT(G:G))</f>
        <v>5</v>
      </c>
      <c r="K2845">
        <f t="array" ref="K2845">INT(5 * (RANK(H2845,H:H, 0) - 1) / COUNT(H:H)) + 1</f>
        <v>4</v>
      </c>
      <c r="L2845">
        <f t="array" ref="L2845">INT(5 * (RANK(I2845,I:I, 0) - 1) / COUNT(I:I)) + 1</f>
        <v>5</v>
      </c>
      <c r="M2845" t="str">
        <f t="shared" si="88"/>
        <v>545</v>
      </c>
      <c r="N2845" s="6" t="str">
        <f t="shared" si="89"/>
        <v>Others</v>
      </c>
    </row>
    <row r="2846" spans="1:14" x14ac:dyDescent="0.35">
      <c r="A2846">
        <v>1107</v>
      </c>
      <c r="B2846" s="4">
        <v>46097.375085336993</v>
      </c>
      <c r="C2846" t="s">
        <v>8</v>
      </c>
      <c r="D2846" t="s">
        <v>20</v>
      </c>
      <c r="E2846" t="s">
        <v>24</v>
      </c>
      <c r="F2846">
        <v>2264.13</v>
      </c>
      <c r="G2846">
        <f t="array" ref="G2846">SalesData!$I$2 - 'RFM Table'!B2846</f>
        <v>39</v>
      </c>
      <c r="H2846">
        <f t="array" ref="H2846">COUNTIF(A:A,A2846)</f>
        <v>9</v>
      </c>
      <c r="I2846">
        <f t="array" ref="I2846">SUMIF(A:A,A2846,F:F)</f>
        <v>56095.37999999999</v>
      </c>
      <c r="J2846">
        <f t="array" ref="J2846">5 - INT(5 * (RANK(G2846,G:G, 1) - 1) / COUNT(G:G))</f>
        <v>5</v>
      </c>
      <c r="K2846">
        <f t="array" ref="K2846">INT(5 * (RANK(H2846,H:H, 0) - 1) / COUNT(H:H)) + 1</f>
        <v>2</v>
      </c>
      <c r="L2846">
        <f t="array" ref="L2846">INT(5 * (RANK(I2846,I:I, 0) - 1) / COUNT(I:I)) + 1</f>
        <v>1</v>
      </c>
      <c r="M2846" t="str">
        <f t="shared" si="88"/>
        <v>521</v>
      </c>
      <c r="N2846" s="6" t="str">
        <f t="shared" si="89"/>
        <v>New Customers</v>
      </c>
    </row>
    <row r="2847" spans="1:14" x14ac:dyDescent="0.35">
      <c r="A2847">
        <v>1071</v>
      </c>
      <c r="B2847" s="4">
        <v>46097.375085336993</v>
      </c>
      <c r="C2847" t="s">
        <v>6</v>
      </c>
      <c r="D2847" t="s">
        <v>18</v>
      </c>
      <c r="E2847" t="s">
        <v>24</v>
      </c>
      <c r="F2847">
        <v>7907.19</v>
      </c>
      <c r="G2847">
        <f t="array" ref="G2847">SalesData!$I$2 - 'RFM Table'!B2847</f>
        <v>39</v>
      </c>
      <c r="H2847">
        <f t="array" ref="H2847">COUNTIF(A:A,A2847)</f>
        <v>8</v>
      </c>
      <c r="I2847">
        <f t="array" ref="I2847">SUMIF(A:A,A2847,F:F)</f>
        <v>28879.600000000002</v>
      </c>
      <c r="J2847">
        <f t="array" ref="J2847">5 - INT(5 * (RANK(G2847,G:G, 1) - 1) / COUNT(G:G))</f>
        <v>5</v>
      </c>
      <c r="K2847">
        <f t="array" ref="K2847">INT(5 * (RANK(H2847,H:H, 0) - 1) / COUNT(H:H)) + 1</f>
        <v>3</v>
      </c>
      <c r="L2847">
        <f t="array" ref="L2847">INT(5 * (RANK(I2847,I:I, 0) - 1) / COUNT(I:I)) + 1</f>
        <v>4</v>
      </c>
      <c r="M2847" t="str">
        <f t="shared" si="88"/>
        <v>534</v>
      </c>
      <c r="N2847" s="6" t="str">
        <f t="shared" si="89"/>
        <v>Others</v>
      </c>
    </row>
    <row r="2848" spans="1:14" x14ac:dyDescent="0.35">
      <c r="A2848">
        <v>1103</v>
      </c>
      <c r="B2848" s="4">
        <v>46097.375085336993</v>
      </c>
      <c r="C2848" t="s">
        <v>13</v>
      </c>
      <c r="D2848" t="s">
        <v>21</v>
      </c>
      <c r="E2848" t="s">
        <v>23</v>
      </c>
      <c r="F2848">
        <v>4062.29</v>
      </c>
      <c r="G2848">
        <f t="array" ref="G2848">SalesData!$I$2 - 'RFM Table'!B2848</f>
        <v>39</v>
      </c>
      <c r="H2848">
        <f t="array" ref="H2848">COUNTIF(A:A,A2848)</f>
        <v>10</v>
      </c>
      <c r="I2848">
        <f t="array" ref="I2848">SUMIF(A:A,A2848,F:F)</f>
        <v>44305.600000000006</v>
      </c>
      <c r="J2848">
        <f t="array" ref="J2848">5 - INT(5 * (RANK(G2848,G:G, 1) - 1) / COUNT(G:G))</f>
        <v>5</v>
      </c>
      <c r="K2848">
        <f t="array" ref="K2848">INT(5 * (RANK(H2848,H:H, 0) - 1) / COUNT(H:H)) + 1</f>
        <v>2</v>
      </c>
      <c r="L2848">
        <f t="array" ref="L2848">INT(5 * (RANK(I2848,I:I, 0) - 1) / COUNT(I:I)) + 1</f>
        <v>2</v>
      </c>
      <c r="M2848" t="str">
        <f t="shared" si="88"/>
        <v>522</v>
      </c>
      <c r="N2848" s="6" t="str">
        <f t="shared" si="89"/>
        <v>New Customers</v>
      </c>
    </row>
    <row r="2849" spans="1:14" x14ac:dyDescent="0.35">
      <c r="A2849">
        <v>1290</v>
      </c>
      <c r="B2849" s="4">
        <v>46098.375085336993</v>
      </c>
      <c r="C2849" t="s">
        <v>7</v>
      </c>
      <c r="D2849" t="s">
        <v>16</v>
      </c>
      <c r="E2849" t="s">
        <v>24</v>
      </c>
      <c r="F2849">
        <v>7269.77</v>
      </c>
      <c r="G2849">
        <f t="array" ref="G2849">SalesData!$I$2 - 'RFM Table'!B2849</f>
        <v>38</v>
      </c>
      <c r="H2849">
        <f t="array" ref="H2849">COUNTIF(A:A,A2849)</f>
        <v>9</v>
      </c>
      <c r="I2849">
        <f t="array" ref="I2849">SUMIF(A:A,A2849,F:F)</f>
        <v>37864.199999999997</v>
      </c>
      <c r="J2849">
        <f t="array" ref="J2849">5 - INT(5 * (RANK(G2849,G:G, 1) - 1) / COUNT(G:G))</f>
        <v>5</v>
      </c>
      <c r="K2849">
        <f t="array" ref="K2849">INT(5 * (RANK(H2849,H:H, 0) - 1) / COUNT(H:H)) + 1</f>
        <v>2</v>
      </c>
      <c r="L2849">
        <f t="array" ref="L2849">INT(5 * (RANK(I2849,I:I, 0) - 1) / COUNT(I:I)) + 1</f>
        <v>2</v>
      </c>
      <c r="M2849" t="str">
        <f t="shared" si="88"/>
        <v>522</v>
      </c>
      <c r="N2849" s="6" t="str">
        <f t="shared" si="89"/>
        <v>New Customers</v>
      </c>
    </row>
    <row r="2850" spans="1:14" x14ac:dyDescent="0.35">
      <c r="A2850">
        <v>1209</v>
      </c>
      <c r="B2850" s="4">
        <v>46098.375085336993</v>
      </c>
      <c r="C2850" t="s">
        <v>13</v>
      </c>
      <c r="D2850" t="s">
        <v>18</v>
      </c>
      <c r="E2850" t="s">
        <v>25</v>
      </c>
      <c r="F2850">
        <v>504.26</v>
      </c>
      <c r="G2850">
        <f t="array" ref="G2850">SalesData!$I$2 - 'RFM Table'!B2850</f>
        <v>38</v>
      </c>
      <c r="H2850">
        <f t="array" ref="H2850">COUNTIF(A:A,A2850)</f>
        <v>4</v>
      </c>
      <c r="I2850">
        <f t="array" ref="I2850">SUMIF(A:A,A2850,F:F)</f>
        <v>7399.6200000000008</v>
      </c>
      <c r="J2850">
        <f t="array" ref="J2850">5 - INT(5 * (RANK(G2850,G:G, 1) - 1) / COUNT(G:G))</f>
        <v>5</v>
      </c>
      <c r="K2850">
        <f t="array" ref="K2850">INT(5 * (RANK(H2850,H:H, 0) - 1) / COUNT(H:H)) + 1</f>
        <v>5</v>
      </c>
      <c r="L2850">
        <f t="array" ref="L2850">INT(5 * (RANK(I2850,I:I, 0) - 1) / COUNT(I:I)) + 1</f>
        <v>5</v>
      </c>
      <c r="M2850" t="str">
        <f t="shared" si="88"/>
        <v>555</v>
      </c>
      <c r="N2850" s="6" t="str">
        <f t="shared" si="89"/>
        <v>Others</v>
      </c>
    </row>
    <row r="2851" spans="1:14" x14ac:dyDescent="0.35">
      <c r="A2851">
        <v>1037</v>
      </c>
      <c r="B2851" s="4">
        <v>46098.375085336993</v>
      </c>
      <c r="C2851" t="s">
        <v>14</v>
      </c>
      <c r="D2851" t="s">
        <v>18</v>
      </c>
      <c r="E2851" t="s">
        <v>23</v>
      </c>
      <c r="F2851">
        <v>6278.3</v>
      </c>
      <c r="G2851">
        <f t="array" ref="G2851">SalesData!$I$2 - 'RFM Table'!B2851</f>
        <v>38</v>
      </c>
      <c r="H2851">
        <f t="array" ref="H2851">COUNTIF(A:A,A2851)</f>
        <v>9</v>
      </c>
      <c r="I2851">
        <f t="array" ref="I2851">SUMIF(A:A,A2851,F:F)</f>
        <v>42109.760000000002</v>
      </c>
      <c r="J2851">
        <f t="array" ref="J2851">5 - INT(5 * (RANK(G2851,G:G, 1) - 1) / COUNT(G:G))</f>
        <v>5</v>
      </c>
      <c r="K2851">
        <f t="array" ref="K2851">INT(5 * (RANK(H2851,H:H, 0) - 1) / COUNT(H:H)) + 1</f>
        <v>2</v>
      </c>
      <c r="L2851">
        <f t="array" ref="L2851">INT(5 * (RANK(I2851,I:I, 0) - 1) / COUNT(I:I)) + 1</f>
        <v>2</v>
      </c>
      <c r="M2851" t="str">
        <f t="shared" si="88"/>
        <v>522</v>
      </c>
      <c r="N2851" s="6" t="str">
        <f t="shared" si="89"/>
        <v>New Customers</v>
      </c>
    </row>
    <row r="2852" spans="1:14" x14ac:dyDescent="0.35">
      <c r="A2852">
        <v>1061</v>
      </c>
      <c r="B2852" s="4">
        <v>46098.375085336993</v>
      </c>
      <c r="C2852" t="s">
        <v>14</v>
      </c>
      <c r="D2852" t="s">
        <v>22</v>
      </c>
      <c r="E2852" t="s">
        <v>23</v>
      </c>
      <c r="F2852">
        <v>2493.13</v>
      </c>
      <c r="G2852">
        <f t="array" ref="G2852">SalesData!$I$2 - 'RFM Table'!B2852</f>
        <v>38</v>
      </c>
      <c r="H2852">
        <f t="array" ref="H2852">COUNTIF(A:A,A2852)</f>
        <v>9</v>
      </c>
      <c r="I2852">
        <f t="array" ref="I2852">SUMIF(A:A,A2852,F:F)</f>
        <v>24509.48</v>
      </c>
      <c r="J2852">
        <f t="array" ref="J2852">5 - INT(5 * (RANK(G2852,G:G, 1) - 1) / COUNT(G:G))</f>
        <v>5</v>
      </c>
      <c r="K2852">
        <f t="array" ref="K2852">INT(5 * (RANK(H2852,H:H, 0) - 1) / COUNT(H:H)) + 1</f>
        <v>2</v>
      </c>
      <c r="L2852">
        <f t="array" ref="L2852">INT(5 * (RANK(I2852,I:I, 0) - 1) / COUNT(I:I)) + 1</f>
        <v>4</v>
      </c>
      <c r="M2852" t="str">
        <f t="shared" si="88"/>
        <v>524</v>
      </c>
      <c r="N2852" s="6" t="str">
        <f t="shared" si="89"/>
        <v>New Customers</v>
      </c>
    </row>
    <row r="2853" spans="1:14" x14ac:dyDescent="0.35">
      <c r="A2853">
        <v>1094</v>
      </c>
      <c r="B2853" s="4">
        <v>46098.375085336993</v>
      </c>
      <c r="C2853" t="s">
        <v>6</v>
      </c>
      <c r="D2853" t="s">
        <v>18</v>
      </c>
      <c r="E2853" t="s">
        <v>24</v>
      </c>
      <c r="F2853">
        <v>1118.1099999999999</v>
      </c>
      <c r="G2853">
        <f t="array" ref="G2853">SalesData!$I$2 - 'RFM Table'!B2853</f>
        <v>38</v>
      </c>
      <c r="H2853">
        <f t="array" ref="H2853">COUNTIF(A:A,A2853)</f>
        <v>10</v>
      </c>
      <c r="I2853">
        <f t="array" ref="I2853">SUMIF(A:A,A2853,F:F)</f>
        <v>41704.25</v>
      </c>
      <c r="J2853">
        <f t="array" ref="J2853">5 - INT(5 * (RANK(G2853,G:G, 1) - 1) / COUNT(G:G))</f>
        <v>5</v>
      </c>
      <c r="K2853">
        <f t="array" ref="K2853">INT(5 * (RANK(H2853,H:H, 0) - 1) / COUNT(H:H)) + 1</f>
        <v>2</v>
      </c>
      <c r="L2853">
        <f t="array" ref="L2853">INT(5 * (RANK(I2853,I:I, 0) - 1) / COUNT(I:I)) + 1</f>
        <v>2</v>
      </c>
      <c r="M2853" t="str">
        <f t="shared" si="88"/>
        <v>522</v>
      </c>
      <c r="N2853" s="6" t="str">
        <f t="shared" si="89"/>
        <v>New Customers</v>
      </c>
    </row>
    <row r="2854" spans="1:14" x14ac:dyDescent="0.35">
      <c r="A2854">
        <v>1270</v>
      </c>
      <c r="B2854" s="4">
        <v>46098.375085336993</v>
      </c>
      <c r="C2854" t="s">
        <v>8</v>
      </c>
      <c r="D2854" t="s">
        <v>18</v>
      </c>
      <c r="E2854" t="s">
        <v>24</v>
      </c>
      <c r="F2854">
        <v>3042.92</v>
      </c>
      <c r="G2854">
        <f t="array" ref="G2854">SalesData!$I$2 - 'RFM Table'!B2854</f>
        <v>38</v>
      </c>
      <c r="H2854">
        <f t="array" ref="H2854">COUNTIF(A:A,A2854)</f>
        <v>10</v>
      </c>
      <c r="I2854">
        <f t="array" ref="I2854">SUMIF(A:A,A2854,F:F)</f>
        <v>34623.81</v>
      </c>
      <c r="J2854">
        <f t="array" ref="J2854">5 - INT(5 * (RANK(G2854,G:G, 1) - 1) / COUNT(G:G))</f>
        <v>5</v>
      </c>
      <c r="K2854">
        <f t="array" ref="K2854">INT(5 * (RANK(H2854,H:H, 0) - 1) / COUNT(H:H)) + 1</f>
        <v>2</v>
      </c>
      <c r="L2854">
        <f t="array" ref="L2854">INT(5 * (RANK(I2854,I:I, 0) - 1) / COUNT(I:I)) + 1</f>
        <v>3</v>
      </c>
      <c r="M2854" t="str">
        <f t="shared" si="88"/>
        <v>523</v>
      </c>
      <c r="N2854" s="6" t="str">
        <f t="shared" si="89"/>
        <v>New Customers</v>
      </c>
    </row>
    <row r="2855" spans="1:14" x14ac:dyDescent="0.35">
      <c r="A2855">
        <v>1004</v>
      </c>
      <c r="B2855" s="4">
        <v>46099.375085336993</v>
      </c>
      <c r="C2855" t="s">
        <v>6</v>
      </c>
      <c r="D2855" t="s">
        <v>19</v>
      </c>
      <c r="E2855" t="s">
        <v>25</v>
      </c>
      <c r="F2855">
        <v>1009.87</v>
      </c>
      <c r="G2855">
        <f t="array" ref="G2855">SalesData!$I$2 - 'RFM Table'!B2855</f>
        <v>37</v>
      </c>
      <c r="H2855">
        <f t="array" ref="H2855">COUNTIF(A:A,A2855)</f>
        <v>12</v>
      </c>
      <c r="I2855">
        <f t="array" ref="I2855">SUMIF(A:A,A2855,F:F)</f>
        <v>34222.5</v>
      </c>
      <c r="J2855">
        <f t="array" ref="J2855">5 - INT(5 * (RANK(G2855,G:G, 1) - 1) / COUNT(G:G))</f>
        <v>5</v>
      </c>
      <c r="K2855">
        <f t="array" ref="K2855">INT(5 * (RANK(H2855,H:H, 0) - 1) / COUNT(H:H)) + 1</f>
        <v>1</v>
      </c>
      <c r="L2855">
        <f t="array" ref="L2855">INT(5 * (RANK(I2855,I:I, 0) - 1) / COUNT(I:I)) + 1</f>
        <v>3</v>
      </c>
      <c r="M2855" t="str">
        <f t="shared" si="88"/>
        <v>513</v>
      </c>
      <c r="N2855" s="6" t="str">
        <f t="shared" si="89"/>
        <v>New Customers</v>
      </c>
    </row>
    <row r="2856" spans="1:14" x14ac:dyDescent="0.35">
      <c r="A2856">
        <v>1148</v>
      </c>
      <c r="B2856" s="4">
        <v>46099.375085336993</v>
      </c>
      <c r="C2856" t="s">
        <v>15</v>
      </c>
      <c r="D2856" t="s">
        <v>20</v>
      </c>
      <c r="E2856" t="s">
        <v>25</v>
      </c>
      <c r="F2856">
        <v>6194.09</v>
      </c>
      <c r="G2856">
        <f t="array" ref="G2856">SalesData!$I$2 - 'RFM Table'!B2856</f>
        <v>37</v>
      </c>
      <c r="H2856">
        <f t="array" ref="H2856">COUNTIF(A:A,A2856)</f>
        <v>12</v>
      </c>
      <c r="I2856">
        <f t="array" ref="I2856">SUMIF(A:A,A2856,F:F)</f>
        <v>83986.299999999988</v>
      </c>
      <c r="J2856">
        <f t="array" ref="J2856">5 - INT(5 * (RANK(G2856,G:G, 1) - 1) / COUNT(G:G))</f>
        <v>5</v>
      </c>
      <c r="K2856">
        <f t="array" ref="K2856">INT(5 * (RANK(H2856,H:H, 0) - 1) / COUNT(H:H)) + 1</f>
        <v>1</v>
      </c>
      <c r="L2856">
        <f t="array" ref="L2856">INT(5 * (RANK(I2856,I:I, 0) - 1) / COUNT(I:I)) + 1</f>
        <v>1</v>
      </c>
      <c r="M2856" t="str">
        <f t="shared" si="88"/>
        <v>511</v>
      </c>
      <c r="N2856" s="6" t="str">
        <f t="shared" si="89"/>
        <v>New Customers</v>
      </c>
    </row>
    <row r="2857" spans="1:14" x14ac:dyDescent="0.35">
      <c r="A2857">
        <v>1038</v>
      </c>
      <c r="B2857" s="4">
        <v>46099.375085336993</v>
      </c>
      <c r="C2857" t="s">
        <v>10</v>
      </c>
      <c r="D2857" t="s">
        <v>19</v>
      </c>
      <c r="E2857" t="s">
        <v>25</v>
      </c>
      <c r="F2857">
        <v>9619.35</v>
      </c>
      <c r="G2857">
        <f t="array" ref="G2857">SalesData!$I$2 - 'RFM Table'!B2857</f>
        <v>37</v>
      </c>
      <c r="H2857">
        <f t="array" ref="H2857">COUNTIF(A:A,A2857)</f>
        <v>16</v>
      </c>
      <c r="I2857">
        <f t="array" ref="I2857">SUMIF(A:A,A2857,F:F)</f>
        <v>76962.720000000001</v>
      </c>
      <c r="J2857">
        <f t="array" ref="J2857">5 - INT(5 * (RANK(G2857,G:G, 1) - 1) / COUNT(G:G))</f>
        <v>5</v>
      </c>
      <c r="K2857">
        <f t="array" ref="K2857">INT(5 * (RANK(H2857,H:H, 0) - 1) / COUNT(H:H)) + 1</f>
        <v>1</v>
      </c>
      <c r="L2857">
        <f t="array" ref="L2857">INT(5 * (RANK(I2857,I:I, 0) - 1) / COUNT(I:I)) + 1</f>
        <v>1</v>
      </c>
      <c r="M2857" t="str">
        <f t="shared" si="88"/>
        <v>511</v>
      </c>
      <c r="N2857" s="6" t="str">
        <f t="shared" si="89"/>
        <v>New Customers</v>
      </c>
    </row>
    <row r="2858" spans="1:14" x14ac:dyDescent="0.35">
      <c r="A2858">
        <v>1260</v>
      </c>
      <c r="B2858" s="4">
        <v>46099.375085336993</v>
      </c>
      <c r="C2858" t="s">
        <v>14</v>
      </c>
      <c r="D2858" t="s">
        <v>19</v>
      </c>
      <c r="E2858" t="s">
        <v>24</v>
      </c>
      <c r="F2858">
        <v>5811.57</v>
      </c>
      <c r="G2858">
        <f t="array" ref="G2858">SalesData!$I$2 - 'RFM Table'!B2858</f>
        <v>37</v>
      </c>
      <c r="H2858">
        <f t="array" ref="H2858">COUNTIF(A:A,A2858)</f>
        <v>10</v>
      </c>
      <c r="I2858">
        <f t="array" ref="I2858">SUMIF(A:A,A2858,F:F)</f>
        <v>67378.48000000001</v>
      </c>
      <c r="J2858">
        <f t="array" ref="J2858">5 - INT(5 * (RANK(G2858,G:G, 1) - 1) / COUNT(G:G))</f>
        <v>5</v>
      </c>
      <c r="K2858">
        <f t="array" ref="K2858">INT(5 * (RANK(H2858,H:H, 0) - 1) / COUNT(H:H)) + 1</f>
        <v>2</v>
      </c>
      <c r="L2858">
        <f t="array" ref="L2858">INT(5 * (RANK(I2858,I:I, 0) - 1) / COUNT(I:I)) + 1</f>
        <v>1</v>
      </c>
      <c r="M2858" t="str">
        <f t="shared" si="88"/>
        <v>521</v>
      </c>
      <c r="N2858" s="6" t="str">
        <f t="shared" si="89"/>
        <v>New Customers</v>
      </c>
    </row>
    <row r="2859" spans="1:14" x14ac:dyDescent="0.35">
      <c r="A2859">
        <v>1240</v>
      </c>
      <c r="B2859" s="4">
        <v>46099.375085336993</v>
      </c>
      <c r="C2859" t="s">
        <v>11</v>
      </c>
      <c r="D2859" t="s">
        <v>18</v>
      </c>
      <c r="E2859" t="s">
        <v>23</v>
      </c>
      <c r="F2859">
        <v>4464.01</v>
      </c>
      <c r="G2859">
        <f t="array" ref="G2859">SalesData!$I$2 - 'RFM Table'!B2859</f>
        <v>37</v>
      </c>
      <c r="H2859">
        <f t="array" ref="H2859">COUNTIF(A:A,A2859)</f>
        <v>5</v>
      </c>
      <c r="I2859">
        <f t="array" ref="I2859">SUMIF(A:A,A2859,F:F)</f>
        <v>17355.699999999997</v>
      </c>
      <c r="J2859">
        <f t="array" ref="J2859">5 - INT(5 * (RANK(G2859,G:G, 1) - 1) / COUNT(G:G))</f>
        <v>5</v>
      </c>
      <c r="K2859">
        <f t="array" ref="K2859">INT(5 * (RANK(H2859,H:H, 0) - 1) / COUNT(H:H)) + 1</f>
        <v>5</v>
      </c>
      <c r="L2859">
        <f t="array" ref="L2859">INT(5 * (RANK(I2859,I:I, 0) - 1) / COUNT(I:I)) + 1</f>
        <v>5</v>
      </c>
      <c r="M2859" t="str">
        <f t="shared" si="88"/>
        <v>555</v>
      </c>
      <c r="N2859" s="6" t="str">
        <f t="shared" si="89"/>
        <v>Others</v>
      </c>
    </row>
    <row r="2860" spans="1:14" x14ac:dyDescent="0.35">
      <c r="A2860">
        <v>1235</v>
      </c>
      <c r="B2860" s="4">
        <v>46099.375085336993</v>
      </c>
      <c r="C2860" t="s">
        <v>6</v>
      </c>
      <c r="D2860" t="s">
        <v>21</v>
      </c>
      <c r="E2860" t="s">
        <v>25</v>
      </c>
      <c r="F2860">
        <v>2425.4</v>
      </c>
      <c r="G2860">
        <f t="array" ref="G2860">SalesData!$I$2 - 'RFM Table'!B2860</f>
        <v>37</v>
      </c>
      <c r="H2860">
        <f t="array" ref="H2860">COUNTIF(A:A,A2860)</f>
        <v>9</v>
      </c>
      <c r="I2860">
        <f t="array" ref="I2860">SUMIF(A:A,A2860,F:F)</f>
        <v>30846.7</v>
      </c>
      <c r="J2860">
        <f t="array" ref="J2860">5 - INT(5 * (RANK(G2860,G:G, 1) - 1) / COUNT(G:G))</f>
        <v>5</v>
      </c>
      <c r="K2860">
        <f t="array" ref="K2860">INT(5 * (RANK(H2860,H:H, 0) - 1) / COUNT(H:H)) + 1</f>
        <v>2</v>
      </c>
      <c r="L2860">
        <f t="array" ref="L2860">INT(5 * (RANK(I2860,I:I, 0) - 1) / COUNT(I:I)) + 1</f>
        <v>3</v>
      </c>
      <c r="M2860" t="str">
        <f t="shared" si="88"/>
        <v>523</v>
      </c>
      <c r="N2860" s="6" t="str">
        <f t="shared" si="89"/>
        <v>New Customers</v>
      </c>
    </row>
    <row r="2861" spans="1:14" x14ac:dyDescent="0.35">
      <c r="A2861">
        <v>1294</v>
      </c>
      <c r="B2861" s="4">
        <v>46100.375085336993</v>
      </c>
      <c r="C2861" t="s">
        <v>14</v>
      </c>
      <c r="D2861" t="s">
        <v>21</v>
      </c>
      <c r="E2861" t="s">
        <v>23</v>
      </c>
      <c r="F2861">
        <v>6883.02</v>
      </c>
      <c r="G2861">
        <f t="array" ref="G2861">SalesData!$I$2 - 'RFM Table'!B2861</f>
        <v>36</v>
      </c>
      <c r="H2861">
        <f t="array" ref="H2861">COUNTIF(A:A,A2861)</f>
        <v>7</v>
      </c>
      <c r="I2861">
        <f t="array" ref="I2861">SUMIF(A:A,A2861,F:F)</f>
        <v>18314.88</v>
      </c>
      <c r="J2861">
        <f t="array" ref="J2861">5 - INT(5 * (RANK(G2861,G:G, 1) - 1) / COUNT(G:G))</f>
        <v>5</v>
      </c>
      <c r="K2861">
        <f t="array" ref="K2861">INT(5 * (RANK(H2861,H:H, 0) - 1) / COUNT(H:H)) + 1</f>
        <v>4</v>
      </c>
      <c r="L2861">
        <f t="array" ref="L2861">INT(5 * (RANK(I2861,I:I, 0) - 1) / COUNT(I:I)) + 1</f>
        <v>5</v>
      </c>
      <c r="M2861" t="str">
        <f t="shared" si="88"/>
        <v>545</v>
      </c>
      <c r="N2861" s="6" t="str">
        <f t="shared" si="89"/>
        <v>Others</v>
      </c>
    </row>
    <row r="2862" spans="1:14" x14ac:dyDescent="0.35">
      <c r="A2862">
        <v>1035</v>
      </c>
      <c r="B2862" s="4">
        <v>46100.375085336993</v>
      </c>
      <c r="C2862" t="s">
        <v>6</v>
      </c>
      <c r="D2862" t="s">
        <v>21</v>
      </c>
      <c r="E2862" t="s">
        <v>25</v>
      </c>
      <c r="F2862">
        <v>3135.98</v>
      </c>
      <c r="G2862">
        <f t="array" ref="G2862">SalesData!$I$2 - 'RFM Table'!B2862</f>
        <v>36</v>
      </c>
      <c r="H2862">
        <f t="array" ref="H2862">COUNTIF(A:A,A2862)</f>
        <v>9</v>
      </c>
      <c r="I2862">
        <f t="array" ref="I2862">SUMIF(A:A,A2862,F:F)</f>
        <v>33344.589999999997</v>
      </c>
      <c r="J2862">
        <f t="array" ref="J2862">5 - INT(5 * (RANK(G2862,G:G, 1) - 1) / COUNT(G:G))</f>
        <v>5</v>
      </c>
      <c r="K2862">
        <f t="array" ref="K2862">INT(5 * (RANK(H2862,H:H, 0) - 1) / COUNT(H:H)) + 1</f>
        <v>2</v>
      </c>
      <c r="L2862">
        <f t="array" ref="L2862">INT(5 * (RANK(I2862,I:I, 0) - 1) / COUNT(I:I)) + 1</f>
        <v>3</v>
      </c>
      <c r="M2862" t="str">
        <f t="shared" si="88"/>
        <v>523</v>
      </c>
      <c r="N2862" s="6" t="str">
        <f t="shared" si="89"/>
        <v>New Customers</v>
      </c>
    </row>
    <row r="2863" spans="1:14" x14ac:dyDescent="0.35">
      <c r="A2863">
        <v>1040</v>
      </c>
      <c r="B2863" s="4">
        <v>46100.375085336993</v>
      </c>
      <c r="C2863" t="s">
        <v>12</v>
      </c>
      <c r="D2863" t="s">
        <v>16</v>
      </c>
      <c r="E2863" t="s">
        <v>24</v>
      </c>
      <c r="F2863">
        <v>4665.43</v>
      </c>
      <c r="G2863">
        <f t="array" ref="G2863">SalesData!$I$2 - 'RFM Table'!B2863</f>
        <v>36</v>
      </c>
      <c r="H2863">
        <f t="array" ref="H2863">COUNTIF(A:A,A2863)</f>
        <v>7</v>
      </c>
      <c r="I2863">
        <f t="array" ref="I2863">SUMIF(A:A,A2863,F:F)</f>
        <v>32869.479999999996</v>
      </c>
      <c r="J2863">
        <f t="array" ref="J2863">5 - INT(5 * (RANK(G2863,G:G, 1) - 1) / COUNT(G:G))</f>
        <v>5</v>
      </c>
      <c r="K2863">
        <f t="array" ref="K2863">INT(5 * (RANK(H2863,H:H, 0) - 1) / COUNT(H:H)) + 1</f>
        <v>4</v>
      </c>
      <c r="L2863">
        <f t="array" ref="L2863">INT(5 * (RANK(I2863,I:I, 0) - 1) / COUNT(I:I)) + 1</f>
        <v>3</v>
      </c>
      <c r="M2863" t="str">
        <f t="shared" si="88"/>
        <v>543</v>
      </c>
      <c r="N2863" s="6" t="str">
        <f t="shared" si="89"/>
        <v>Others</v>
      </c>
    </row>
    <row r="2864" spans="1:14" x14ac:dyDescent="0.35">
      <c r="A2864">
        <v>1219</v>
      </c>
      <c r="B2864" s="4">
        <v>46100.375085336993</v>
      </c>
      <c r="C2864" t="s">
        <v>12</v>
      </c>
      <c r="D2864" t="s">
        <v>21</v>
      </c>
      <c r="E2864" t="s">
        <v>23</v>
      </c>
      <c r="F2864">
        <v>2255.73</v>
      </c>
      <c r="G2864">
        <f t="array" ref="G2864">SalesData!$I$2 - 'RFM Table'!B2864</f>
        <v>36</v>
      </c>
      <c r="H2864">
        <f t="array" ref="H2864">COUNTIF(A:A,A2864)</f>
        <v>11</v>
      </c>
      <c r="I2864">
        <f t="array" ref="I2864">SUMIF(A:A,A2864,F:F)</f>
        <v>38976.650000000009</v>
      </c>
      <c r="J2864">
        <f t="array" ref="J2864">5 - INT(5 * (RANK(G2864,G:G, 1) - 1) / COUNT(G:G))</f>
        <v>5</v>
      </c>
      <c r="K2864">
        <f t="array" ref="K2864">INT(5 * (RANK(H2864,H:H, 0) - 1) / COUNT(H:H)) + 1</f>
        <v>1</v>
      </c>
      <c r="L2864">
        <f t="array" ref="L2864">INT(5 * (RANK(I2864,I:I, 0) - 1) / COUNT(I:I)) + 1</f>
        <v>2</v>
      </c>
      <c r="M2864" t="str">
        <f t="shared" si="88"/>
        <v>512</v>
      </c>
      <c r="N2864" s="6" t="str">
        <f t="shared" si="89"/>
        <v>New Customers</v>
      </c>
    </row>
    <row r="2865" spans="1:14" x14ac:dyDescent="0.35">
      <c r="A2865">
        <v>1140</v>
      </c>
      <c r="B2865" s="4">
        <v>46101.375085336993</v>
      </c>
      <c r="C2865" t="s">
        <v>12</v>
      </c>
      <c r="D2865" t="s">
        <v>17</v>
      </c>
      <c r="E2865" t="s">
        <v>25</v>
      </c>
      <c r="F2865">
        <v>6712.04</v>
      </c>
      <c r="G2865">
        <f t="array" ref="G2865">SalesData!$I$2 - 'RFM Table'!B2865</f>
        <v>35</v>
      </c>
      <c r="H2865">
        <f t="array" ref="H2865">COUNTIF(A:A,A2865)</f>
        <v>9</v>
      </c>
      <c r="I2865">
        <f t="array" ref="I2865">SUMIF(A:A,A2865,F:F)</f>
        <v>45498.270000000004</v>
      </c>
      <c r="J2865">
        <f t="array" ref="J2865">5 - INT(5 * (RANK(G2865,G:G, 1) - 1) / COUNT(G:G))</f>
        <v>5</v>
      </c>
      <c r="K2865">
        <f t="array" ref="K2865">INT(5 * (RANK(H2865,H:H, 0) - 1) / COUNT(H:H)) + 1</f>
        <v>2</v>
      </c>
      <c r="L2865">
        <f t="array" ref="L2865">INT(5 * (RANK(I2865,I:I, 0) - 1) / COUNT(I:I)) + 1</f>
        <v>1</v>
      </c>
      <c r="M2865" t="str">
        <f t="shared" si="88"/>
        <v>521</v>
      </c>
      <c r="N2865" s="6" t="str">
        <f t="shared" si="89"/>
        <v>New Customers</v>
      </c>
    </row>
    <row r="2866" spans="1:14" x14ac:dyDescent="0.35">
      <c r="A2866">
        <v>1035</v>
      </c>
      <c r="B2866" s="4">
        <v>46101.375085336993</v>
      </c>
      <c r="C2866" t="s">
        <v>13</v>
      </c>
      <c r="D2866" t="s">
        <v>19</v>
      </c>
      <c r="E2866" t="s">
        <v>23</v>
      </c>
      <c r="F2866">
        <v>7232.62</v>
      </c>
      <c r="G2866">
        <f t="array" ref="G2866">SalesData!$I$2 - 'RFM Table'!B2866</f>
        <v>35</v>
      </c>
      <c r="H2866">
        <f t="array" ref="H2866">COUNTIF(A:A,A2866)</f>
        <v>9</v>
      </c>
      <c r="I2866">
        <f t="array" ref="I2866">SUMIF(A:A,A2866,F:F)</f>
        <v>33344.589999999997</v>
      </c>
      <c r="J2866">
        <f t="array" ref="J2866">5 - INT(5 * (RANK(G2866,G:G, 1) - 1) / COUNT(G:G))</f>
        <v>5</v>
      </c>
      <c r="K2866">
        <f t="array" ref="K2866">INT(5 * (RANK(H2866,H:H, 0) - 1) / COUNT(H:H)) + 1</f>
        <v>2</v>
      </c>
      <c r="L2866">
        <f t="array" ref="L2866">INT(5 * (RANK(I2866,I:I, 0) - 1) / COUNT(I:I)) + 1</f>
        <v>3</v>
      </c>
      <c r="M2866" t="str">
        <f t="shared" si="88"/>
        <v>523</v>
      </c>
      <c r="N2866" s="6" t="str">
        <f t="shared" si="89"/>
        <v>New Customers</v>
      </c>
    </row>
    <row r="2867" spans="1:14" x14ac:dyDescent="0.35">
      <c r="A2867">
        <v>1014</v>
      </c>
      <c r="B2867" s="4">
        <v>46101.375085336993</v>
      </c>
      <c r="C2867" t="s">
        <v>8</v>
      </c>
      <c r="D2867" t="s">
        <v>17</v>
      </c>
      <c r="E2867" t="s">
        <v>24</v>
      </c>
      <c r="F2867">
        <v>3643.44</v>
      </c>
      <c r="G2867">
        <f t="array" ref="G2867">SalesData!$I$2 - 'RFM Table'!B2867</f>
        <v>35</v>
      </c>
      <c r="H2867">
        <f t="array" ref="H2867">COUNTIF(A:A,A2867)</f>
        <v>8</v>
      </c>
      <c r="I2867">
        <f t="array" ref="I2867">SUMIF(A:A,A2867,F:F)</f>
        <v>27090.329999999998</v>
      </c>
      <c r="J2867">
        <f t="array" ref="J2867">5 - INT(5 * (RANK(G2867,G:G, 1) - 1) / COUNT(G:G))</f>
        <v>5</v>
      </c>
      <c r="K2867">
        <f t="array" ref="K2867">INT(5 * (RANK(H2867,H:H, 0) - 1) / COUNT(H:H)) + 1</f>
        <v>3</v>
      </c>
      <c r="L2867">
        <f t="array" ref="L2867">INT(5 * (RANK(I2867,I:I, 0) - 1) / COUNT(I:I)) + 1</f>
        <v>4</v>
      </c>
      <c r="M2867" t="str">
        <f t="shared" si="88"/>
        <v>534</v>
      </c>
      <c r="N2867" s="6" t="str">
        <f t="shared" si="89"/>
        <v>Others</v>
      </c>
    </row>
    <row r="2868" spans="1:14" x14ac:dyDescent="0.35">
      <c r="A2868">
        <v>1344</v>
      </c>
      <c r="B2868" s="4">
        <v>46101.375085336993</v>
      </c>
      <c r="C2868" t="s">
        <v>11</v>
      </c>
      <c r="D2868" t="s">
        <v>19</v>
      </c>
      <c r="E2868" t="s">
        <v>25</v>
      </c>
      <c r="F2868">
        <v>1348.36</v>
      </c>
      <c r="G2868">
        <f t="array" ref="G2868">SalesData!$I$2 - 'RFM Table'!B2868</f>
        <v>35</v>
      </c>
      <c r="H2868">
        <f t="array" ref="H2868">COUNTIF(A:A,A2868)</f>
        <v>9</v>
      </c>
      <c r="I2868">
        <f t="array" ref="I2868">SUMIF(A:A,A2868,F:F)</f>
        <v>23905.670000000002</v>
      </c>
      <c r="J2868">
        <f t="array" ref="J2868">5 - INT(5 * (RANK(G2868,G:G, 1) - 1) / COUNT(G:G))</f>
        <v>5</v>
      </c>
      <c r="K2868">
        <f t="array" ref="K2868">INT(5 * (RANK(H2868,H:H, 0) - 1) / COUNT(H:H)) + 1</f>
        <v>2</v>
      </c>
      <c r="L2868">
        <f t="array" ref="L2868">INT(5 * (RANK(I2868,I:I, 0) - 1) / COUNT(I:I)) + 1</f>
        <v>4</v>
      </c>
      <c r="M2868" t="str">
        <f t="shared" si="88"/>
        <v>524</v>
      </c>
      <c r="N2868" s="6" t="str">
        <f t="shared" si="89"/>
        <v>New Customers</v>
      </c>
    </row>
    <row r="2869" spans="1:14" x14ac:dyDescent="0.35">
      <c r="A2869">
        <v>1384</v>
      </c>
      <c r="B2869" s="4">
        <v>46101.375085336993</v>
      </c>
      <c r="C2869" t="s">
        <v>13</v>
      </c>
      <c r="D2869" t="s">
        <v>20</v>
      </c>
      <c r="E2869" t="s">
        <v>23</v>
      </c>
      <c r="F2869">
        <v>1792.77</v>
      </c>
      <c r="G2869">
        <f t="array" ref="G2869">SalesData!$I$2 - 'RFM Table'!B2869</f>
        <v>35</v>
      </c>
      <c r="H2869">
        <f t="array" ref="H2869">COUNTIF(A:A,A2869)</f>
        <v>9</v>
      </c>
      <c r="I2869">
        <f t="array" ref="I2869">SUMIF(A:A,A2869,F:F)</f>
        <v>39434.269999999997</v>
      </c>
      <c r="J2869">
        <f t="array" ref="J2869">5 - INT(5 * (RANK(G2869,G:G, 1) - 1) / COUNT(G:G))</f>
        <v>5</v>
      </c>
      <c r="K2869">
        <f t="array" ref="K2869">INT(5 * (RANK(H2869,H:H, 0) - 1) / COUNT(H:H)) + 1</f>
        <v>2</v>
      </c>
      <c r="L2869">
        <f t="array" ref="L2869">INT(5 * (RANK(I2869,I:I, 0) - 1) / COUNT(I:I)) + 1</f>
        <v>2</v>
      </c>
      <c r="M2869" t="str">
        <f t="shared" si="88"/>
        <v>522</v>
      </c>
      <c r="N2869" s="6" t="str">
        <f t="shared" si="89"/>
        <v>New Customers</v>
      </c>
    </row>
    <row r="2870" spans="1:14" x14ac:dyDescent="0.35">
      <c r="A2870">
        <v>1122</v>
      </c>
      <c r="B2870" s="4">
        <v>46103.375085336993</v>
      </c>
      <c r="C2870" t="s">
        <v>9</v>
      </c>
      <c r="D2870" t="s">
        <v>21</v>
      </c>
      <c r="E2870" t="s">
        <v>23</v>
      </c>
      <c r="F2870">
        <v>2596.7800000000002</v>
      </c>
      <c r="G2870">
        <f t="array" ref="G2870">SalesData!$I$2 - 'RFM Table'!B2870</f>
        <v>33</v>
      </c>
      <c r="H2870">
        <f t="array" ref="H2870">COUNTIF(A:A,A2870)</f>
        <v>4</v>
      </c>
      <c r="I2870">
        <f t="array" ref="I2870">SUMIF(A:A,A2870,F:F)</f>
        <v>10594.94</v>
      </c>
      <c r="J2870">
        <f t="array" ref="J2870">5 - INT(5 * (RANK(G2870,G:G, 1) - 1) / COUNT(G:G))</f>
        <v>5</v>
      </c>
      <c r="K2870">
        <f t="array" ref="K2870">INT(5 * (RANK(H2870,H:H, 0) - 1) / COUNT(H:H)) + 1</f>
        <v>5</v>
      </c>
      <c r="L2870">
        <f t="array" ref="L2870">INT(5 * (RANK(I2870,I:I, 0) - 1) / COUNT(I:I)) + 1</f>
        <v>5</v>
      </c>
      <c r="M2870" t="str">
        <f t="shared" si="88"/>
        <v>555</v>
      </c>
      <c r="N2870" s="6" t="str">
        <f t="shared" si="89"/>
        <v>Others</v>
      </c>
    </row>
    <row r="2871" spans="1:14" x14ac:dyDescent="0.35">
      <c r="A2871">
        <v>1091</v>
      </c>
      <c r="B2871" s="4">
        <v>46103.375085336993</v>
      </c>
      <c r="C2871" t="s">
        <v>6</v>
      </c>
      <c r="D2871" t="s">
        <v>22</v>
      </c>
      <c r="E2871" t="s">
        <v>25</v>
      </c>
      <c r="F2871">
        <v>11218.14</v>
      </c>
      <c r="G2871">
        <f t="array" ref="G2871">SalesData!$I$2 - 'RFM Table'!B2871</f>
        <v>33</v>
      </c>
      <c r="H2871">
        <f t="array" ref="H2871">COUNTIF(A:A,A2871)</f>
        <v>11</v>
      </c>
      <c r="I2871">
        <f t="array" ref="I2871">SUMIF(A:A,A2871,F:F)</f>
        <v>39808.47</v>
      </c>
      <c r="J2871">
        <f t="array" ref="J2871">5 - INT(5 * (RANK(G2871,G:G, 1) - 1) / COUNT(G:G))</f>
        <v>5</v>
      </c>
      <c r="K2871">
        <f t="array" ref="K2871">INT(5 * (RANK(H2871,H:H, 0) - 1) / COUNT(H:H)) + 1</f>
        <v>1</v>
      </c>
      <c r="L2871">
        <f t="array" ref="L2871">INT(5 * (RANK(I2871,I:I, 0) - 1) / COUNT(I:I)) + 1</f>
        <v>2</v>
      </c>
      <c r="M2871" t="str">
        <f t="shared" si="88"/>
        <v>512</v>
      </c>
      <c r="N2871" s="6" t="str">
        <f t="shared" si="89"/>
        <v>New Customers</v>
      </c>
    </row>
    <row r="2872" spans="1:14" x14ac:dyDescent="0.35">
      <c r="A2872">
        <v>1302</v>
      </c>
      <c r="B2872" s="4">
        <v>46103.375085336993</v>
      </c>
      <c r="C2872" t="s">
        <v>10</v>
      </c>
      <c r="D2872" t="s">
        <v>21</v>
      </c>
      <c r="E2872" t="s">
        <v>23</v>
      </c>
      <c r="F2872">
        <v>4805.71</v>
      </c>
      <c r="G2872">
        <f t="array" ref="G2872">SalesData!$I$2 - 'RFM Table'!B2872</f>
        <v>33</v>
      </c>
      <c r="H2872">
        <f t="array" ref="H2872">COUNTIF(A:A,A2872)</f>
        <v>13</v>
      </c>
      <c r="I2872">
        <f t="array" ref="I2872">SUMIF(A:A,A2872,F:F)</f>
        <v>51409.87</v>
      </c>
      <c r="J2872">
        <f t="array" ref="J2872">5 - INT(5 * (RANK(G2872,G:G, 1) - 1) / COUNT(G:G))</f>
        <v>5</v>
      </c>
      <c r="K2872">
        <f t="array" ref="K2872">INT(5 * (RANK(H2872,H:H, 0) - 1) / COUNT(H:H)) + 1</f>
        <v>1</v>
      </c>
      <c r="L2872">
        <f t="array" ref="L2872">INT(5 * (RANK(I2872,I:I, 0) - 1) / COUNT(I:I)) + 1</f>
        <v>1</v>
      </c>
      <c r="M2872" t="str">
        <f t="shared" si="88"/>
        <v>511</v>
      </c>
      <c r="N2872" s="6" t="str">
        <f t="shared" si="89"/>
        <v>New Customers</v>
      </c>
    </row>
    <row r="2873" spans="1:14" x14ac:dyDescent="0.35">
      <c r="A2873">
        <v>1368</v>
      </c>
      <c r="B2873" s="4">
        <v>46103.375085336993</v>
      </c>
      <c r="C2873" t="s">
        <v>13</v>
      </c>
      <c r="D2873" t="s">
        <v>21</v>
      </c>
      <c r="E2873" t="s">
        <v>25</v>
      </c>
      <c r="F2873">
        <v>380.13</v>
      </c>
      <c r="G2873">
        <f t="array" ref="G2873">SalesData!$I$2 - 'RFM Table'!B2873</f>
        <v>33</v>
      </c>
      <c r="H2873">
        <f t="array" ref="H2873">COUNTIF(A:A,A2873)</f>
        <v>8</v>
      </c>
      <c r="I2873">
        <f t="array" ref="I2873">SUMIF(A:A,A2873,F:F)</f>
        <v>26119.000000000004</v>
      </c>
      <c r="J2873">
        <f t="array" ref="J2873">5 - INT(5 * (RANK(G2873,G:G, 1) - 1) / COUNT(G:G))</f>
        <v>5</v>
      </c>
      <c r="K2873">
        <f t="array" ref="K2873">INT(5 * (RANK(H2873,H:H, 0) - 1) / COUNT(H:H)) + 1</f>
        <v>3</v>
      </c>
      <c r="L2873">
        <f t="array" ref="L2873">INT(5 * (RANK(I2873,I:I, 0) - 1) / COUNT(I:I)) + 1</f>
        <v>4</v>
      </c>
      <c r="M2873" t="str">
        <f t="shared" si="88"/>
        <v>534</v>
      </c>
      <c r="N2873" s="6" t="str">
        <f t="shared" si="89"/>
        <v>Others</v>
      </c>
    </row>
    <row r="2874" spans="1:14" x14ac:dyDescent="0.35">
      <c r="A2874">
        <v>1151</v>
      </c>
      <c r="B2874" s="4">
        <v>46104.375085336993</v>
      </c>
      <c r="C2874" t="s">
        <v>12</v>
      </c>
      <c r="D2874" t="s">
        <v>16</v>
      </c>
      <c r="E2874" t="s">
        <v>25</v>
      </c>
      <c r="F2874">
        <v>5593.41</v>
      </c>
      <c r="G2874">
        <f t="array" ref="G2874">SalesData!$I$2 - 'RFM Table'!B2874</f>
        <v>32</v>
      </c>
      <c r="H2874">
        <f t="array" ref="H2874">COUNTIF(A:A,A2874)</f>
        <v>13</v>
      </c>
      <c r="I2874">
        <f t="array" ref="I2874">SUMIF(A:A,A2874,F:F)</f>
        <v>49208.94</v>
      </c>
      <c r="J2874">
        <f t="array" ref="J2874">5 - INT(5 * (RANK(G2874,G:G, 1) - 1) / COUNT(G:G))</f>
        <v>5</v>
      </c>
      <c r="K2874">
        <f t="array" ref="K2874">INT(5 * (RANK(H2874,H:H, 0) - 1) / COUNT(H:H)) + 1</f>
        <v>1</v>
      </c>
      <c r="L2874">
        <f t="array" ref="L2874">INT(5 * (RANK(I2874,I:I, 0) - 1) / COUNT(I:I)) + 1</f>
        <v>1</v>
      </c>
      <c r="M2874" t="str">
        <f t="shared" si="88"/>
        <v>511</v>
      </c>
      <c r="N2874" s="6" t="str">
        <f t="shared" si="89"/>
        <v>New Customers</v>
      </c>
    </row>
    <row r="2875" spans="1:14" x14ac:dyDescent="0.35">
      <c r="A2875">
        <v>1334</v>
      </c>
      <c r="B2875" s="4">
        <v>46104.375085336993</v>
      </c>
      <c r="C2875" t="s">
        <v>15</v>
      </c>
      <c r="D2875" t="s">
        <v>19</v>
      </c>
      <c r="E2875" t="s">
        <v>25</v>
      </c>
      <c r="F2875">
        <v>1482.73</v>
      </c>
      <c r="G2875">
        <f t="array" ref="G2875">SalesData!$I$2 - 'RFM Table'!B2875</f>
        <v>32</v>
      </c>
      <c r="H2875">
        <f t="array" ref="H2875">COUNTIF(A:A,A2875)</f>
        <v>7</v>
      </c>
      <c r="I2875">
        <f t="array" ref="I2875">SUMIF(A:A,A2875,F:F)</f>
        <v>17825.52</v>
      </c>
      <c r="J2875">
        <f t="array" ref="J2875">5 - INT(5 * (RANK(G2875,G:G, 1) - 1) / COUNT(G:G))</f>
        <v>5</v>
      </c>
      <c r="K2875">
        <f t="array" ref="K2875">INT(5 * (RANK(H2875,H:H, 0) - 1) / COUNT(H:H)) + 1</f>
        <v>4</v>
      </c>
      <c r="L2875">
        <f t="array" ref="L2875">INT(5 * (RANK(I2875,I:I, 0) - 1) / COUNT(I:I)) + 1</f>
        <v>5</v>
      </c>
      <c r="M2875" t="str">
        <f t="shared" si="88"/>
        <v>545</v>
      </c>
      <c r="N2875" s="6" t="str">
        <f t="shared" si="89"/>
        <v>Others</v>
      </c>
    </row>
    <row r="2876" spans="1:14" x14ac:dyDescent="0.35">
      <c r="A2876">
        <v>1156</v>
      </c>
      <c r="B2876" s="4">
        <v>46104.375085336993</v>
      </c>
      <c r="C2876" t="s">
        <v>7</v>
      </c>
      <c r="D2876" t="s">
        <v>20</v>
      </c>
      <c r="E2876" t="s">
        <v>25</v>
      </c>
      <c r="F2876">
        <v>12356.45</v>
      </c>
      <c r="G2876">
        <f t="array" ref="G2876">SalesData!$I$2 - 'RFM Table'!B2876</f>
        <v>32</v>
      </c>
      <c r="H2876">
        <f t="array" ref="H2876">COUNTIF(A:A,A2876)</f>
        <v>8</v>
      </c>
      <c r="I2876">
        <f t="array" ref="I2876">SUMIF(A:A,A2876,F:F)</f>
        <v>43799.990000000005</v>
      </c>
      <c r="J2876">
        <f t="array" ref="J2876">5 - INT(5 * (RANK(G2876,G:G, 1) - 1) / COUNT(G:G))</f>
        <v>5</v>
      </c>
      <c r="K2876">
        <f t="array" ref="K2876">INT(5 * (RANK(H2876,H:H, 0) - 1) / COUNT(H:H)) + 1</f>
        <v>3</v>
      </c>
      <c r="L2876">
        <f t="array" ref="L2876">INT(5 * (RANK(I2876,I:I, 0) - 1) / COUNT(I:I)) + 1</f>
        <v>2</v>
      </c>
      <c r="M2876" t="str">
        <f t="shared" si="88"/>
        <v>532</v>
      </c>
      <c r="N2876" s="6" t="str">
        <f t="shared" si="89"/>
        <v>Others</v>
      </c>
    </row>
    <row r="2877" spans="1:14" x14ac:dyDescent="0.35">
      <c r="A2877">
        <v>1213</v>
      </c>
      <c r="B2877" s="4">
        <v>46104.375085336993</v>
      </c>
      <c r="C2877" t="s">
        <v>6</v>
      </c>
      <c r="D2877" t="s">
        <v>18</v>
      </c>
      <c r="E2877" t="s">
        <v>25</v>
      </c>
      <c r="F2877">
        <v>4305.72</v>
      </c>
      <c r="G2877">
        <f t="array" ref="G2877">SalesData!$I$2 - 'RFM Table'!B2877</f>
        <v>32</v>
      </c>
      <c r="H2877">
        <f t="array" ref="H2877">COUNTIF(A:A,A2877)</f>
        <v>8</v>
      </c>
      <c r="I2877">
        <f t="array" ref="I2877">SUMIF(A:A,A2877,F:F)</f>
        <v>27291.54</v>
      </c>
      <c r="J2877">
        <f t="array" ref="J2877">5 - INT(5 * (RANK(G2877,G:G, 1) - 1) / COUNT(G:G))</f>
        <v>5</v>
      </c>
      <c r="K2877">
        <f t="array" ref="K2877">INT(5 * (RANK(H2877,H:H, 0) - 1) / COUNT(H:H)) + 1</f>
        <v>3</v>
      </c>
      <c r="L2877">
        <f t="array" ref="L2877">INT(5 * (RANK(I2877,I:I, 0) - 1) / COUNT(I:I)) + 1</f>
        <v>4</v>
      </c>
      <c r="M2877" t="str">
        <f t="shared" si="88"/>
        <v>534</v>
      </c>
      <c r="N2877" s="6" t="str">
        <f t="shared" si="89"/>
        <v>Others</v>
      </c>
    </row>
    <row r="2878" spans="1:14" x14ac:dyDescent="0.35">
      <c r="A2878">
        <v>1081</v>
      </c>
      <c r="B2878" s="4">
        <v>46104.375085336993</v>
      </c>
      <c r="C2878" t="s">
        <v>15</v>
      </c>
      <c r="D2878" t="s">
        <v>17</v>
      </c>
      <c r="E2878" t="s">
        <v>23</v>
      </c>
      <c r="F2878">
        <v>1127.18</v>
      </c>
      <c r="G2878">
        <f t="array" ref="G2878">SalesData!$I$2 - 'RFM Table'!B2878</f>
        <v>32</v>
      </c>
      <c r="H2878">
        <f t="array" ref="H2878">COUNTIF(A:A,A2878)</f>
        <v>8</v>
      </c>
      <c r="I2878">
        <f t="array" ref="I2878">SUMIF(A:A,A2878,F:F)</f>
        <v>29788.7</v>
      </c>
      <c r="J2878">
        <f t="array" ref="J2878">5 - INT(5 * (RANK(G2878,G:G, 1) - 1) / COUNT(G:G))</f>
        <v>5</v>
      </c>
      <c r="K2878">
        <f t="array" ref="K2878">INT(5 * (RANK(H2878,H:H, 0) - 1) / COUNT(H:H)) + 1</f>
        <v>3</v>
      </c>
      <c r="L2878">
        <f t="array" ref="L2878">INT(5 * (RANK(I2878,I:I, 0) - 1) / COUNT(I:I)) + 1</f>
        <v>3</v>
      </c>
      <c r="M2878" t="str">
        <f t="shared" si="88"/>
        <v>533</v>
      </c>
      <c r="N2878" s="6" t="str">
        <f t="shared" si="89"/>
        <v>Others</v>
      </c>
    </row>
    <row r="2879" spans="1:14" x14ac:dyDescent="0.35">
      <c r="A2879">
        <v>1157</v>
      </c>
      <c r="B2879" s="4">
        <v>46104.375085336993</v>
      </c>
      <c r="C2879" t="s">
        <v>11</v>
      </c>
      <c r="D2879" t="s">
        <v>18</v>
      </c>
      <c r="E2879" t="s">
        <v>23</v>
      </c>
      <c r="F2879">
        <v>2821.25</v>
      </c>
      <c r="G2879">
        <f t="array" ref="G2879">SalesData!$I$2 - 'RFM Table'!B2879</f>
        <v>32</v>
      </c>
      <c r="H2879">
        <f t="array" ref="H2879">COUNTIF(A:A,A2879)</f>
        <v>11</v>
      </c>
      <c r="I2879">
        <f t="array" ref="I2879">SUMIF(A:A,A2879,F:F)</f>
        <v>45651.77</v>
      </c>
      <c r="J2879">
        <f t="array" ref="J2879">5 - INT(5 * (RANK(G2879,G:G, 1) - 1) / COUNT(G:G))</f>
        <v>5</v>
      </c>
      <c r="K2879">
        <f t="array" ref="K2879">INT(5 * (RANK(H2879,H:H, 0) - 1) / COUNT(H:H)) + 1</f>
        <v>1</v>
      </c>
      <c r="L2879">
        <f t="array" ref="L2879">INT(5 * (RANK(I2879,I:I, 0) - 1) / COUNT(I:I)) + 1</f>
        <v>1</v>
      </c>
      <c r="M2879" t="str">
        <f t="shared" si="88"/>
        <v>511</v>
      </c>
      <c r="N2879" s="6" t="str">
        <f t="shared" si="89"/>
        <v>New Customers</v>
      </c>
    </row>
    <row r="2880" spans="1:14" x14ac:dyDescent="0.35">
      <c r="A2880">
        <v>1007</v>
      </c>
      <c r="B2880" s="4">
        <v>46105.375085336993</v>
      </c>
      <c r="C2880" t="s">
        <v>10</v>
      </c>
      <c r="D2880" t="s">
        <v>18</v>
      </c>
      <c r="E2880" t="s">
        <v>24</v>
      </c>
      <c r="F2880">
        <v>6394.39</v>
      </c>
      <c r="G2880">
        <f t="array" ref="G2880">SalesData!$I$2 - 'RFM Table'!B2880</f>
        <v>31</v>
      </c>
      <c r="H2880">
        <f t="array" ref="H2880">COUNTIF(A:A,A2880)</f>
        <v>9</v>
      </c>
      <c r="I2880">
        <f t="array" ref="I2880">SUMIF(A:A,A2880,F:F)</f>
        <v>47571.369999999995</v>
      </c>
      <c r="J2880">
        <f t="array" ref="J2880">5 - INT(5 * (RANK(G2880,G:G, 1) - 1) / COUNT(G:G))</f>
        <v>5</v>
      </c>
      <c r="K2880">
        <f t="array" ref="K2880">INT(5 * (RANK(H2880,H:H, 0) - 1) / COUNT(H:H)) + 1</f>
        <v>2</v>
      </c>
      <c r="L2880">
        <f t="array" ref="L2880">INT(5 * (RANK(I2880,I:I, 0) - 1) / COUNT(I:I)) + 1</f>
        <v>1</v>
      </c>
      <c r="M2880" t="str">
        <f t="shared" si="88"/>
        <v>521</v>
      </c>
      <c r="N2880" s="6" t="str">
        <f t="shared" si="89"/>
        <v>New Customers</v>
      </c>
    </row>
    <row r="2881" spans="1:14" x14ac:dyDescent="0.35">
      <c r="A2881">
        <v>1118</v>
      </c>
      <c r="B2881" s="4">
        <v>46105.375085336993</v>
      </c>
      <c r="C2881" t="s">
        <v>14</v>
      </c>
      <c r="D2881" t="s">
        <v>21</v>
      </c>
      <c r="E2881" t="s">
        <v>23</v>
      </c>
      <c r="F2881">
        <v>7433.38</v>
      </c>
      <c r="G2881">
        <f t="array" ref="G2881">SalesData!$I$2 - 'RFM Table'!B2881</f>
        <v>31</v>
      </c>
      <c r="H2881">
        <f t="array" ref="H2881">COUNTIF(A:A,A2881)</f>
        <v>10</v>
      </c>
      <c r="I2881">
        <f t="array" ref="I2881">SUMIF(A:A,A2881,F:F)</f>
        <v>40587.47</v>
      </c>
      <c r="J2881">
        <f t="array" ref="J2881">5 - INT(5 * (RANK(G2881,G:G, 1) - 1) / COUNT(G:G))</f>
        <v>5</v>
      </c>
      <c r="K2881">
        <f t="array" ref="K2881">INT(5 * (RANK(H2881,H:H, 0) - 1) / COUNT(H:H)) + 1</f>
        <v>2</v>
      </c>
      <c r="L2881">
        <f t="array" ref="L2881">INT(5 * (RANK(I2881,I:I, 0) - 1) / COUNT(I:I)) + 1</f>
        <v>2</v>
      </c>
      <c r="M2881" t="str">
        <f t="shared" si="88"/>
        <v>522</v>
      </c>
      <c r="N2881" s="6" t="str">
        <f t="shared" si="89"/>
        <v>New Customers</v>
      </c>
    </row>
    <row r="2882" spans="1:14" x14ac:dyDescent="0.35">
      <c r="A2882">
        <v>1116</v>
      </c>
      <c r="B2882" s="4">
        <v>46105.375085336993</v>
      </c>
      <c r="C2882" t="s">
        <v>15</v>
      </c>
      <c r="D2882" t="s">
        <v>22</v>
      </c>
      <c r="E2882" t="s">
        <v>24</v>
      </c>
      <c r="F2882">
        <v>1401.77</v>
      </c>
      <c r="G2882">
        <f t="array" ref="G2882">SalesData!$I$2 - 'RFM Table'!B2882</f>
        <v>31</v>
      </c>
      <c r="H2882">
        <f t="array" ref="H2882">COUNTIF(A:A,A2882)</f>
        <v>11</v>
      </c>
      <c r="I2882">
        <f t="array" ref="I2882">SUMIF(A:A,A2882,F:F)</f>
        <v>40714.880000000005</v>
      </c>
      <c r="J2882">
        <f t="array" ref="J2882">5 - INT(5 * (RANK(G2882,G:G, 1) - 1) / COUNT(G:G))</f>
        <v>5</v>
      </c>
      <c r="K2882">
        <f t="array" ref="K2882">INT(5 * (RANK(H2882,H:H, 0) - 1) / COUNT(H:H)) + 1</f>
        <v>1</v>
      </c>
      <c r="L2882">
        <f t="array" ref="L2882">INT(5 * (RANK(I2882,I:I, 0) - 1) / COUNT(I:I)) + 1</f>
        <v>2</v>
      </c>
      <c r="M2882" t="str">
        <f t="shared" si="88"/>
        <v>512</v>
      </c>
      <c r="N2882" s="6" t="str">
        <f t="shared" si="89"/>
        <v>New Customers</v>
      </c>
    </row>
    <row r="2883" spans="1:14" x14ac:dyDescent="0.35">
      <c r="A2883">
        <v>1088</v>
      </c>
      <c r="B2883" s="4">
        <v>46105.375085336993</v>
      </c>
      <c r="C2883" t="s">
        <v>7</v>
      </c>
      <c r="D2883" t="s">
        <v>18</v>
      </c>
      <c r="E2883" t="s">
        <v>23</v>
      </c>
      <c r="F2883">
        <v>13004.58</v>
      </c>
      <c r="G2883">
        <f t="array" ref="G2883">SalesData!$I$2 - 'RFM Table'!B2883</f>
        <v>31</v>
      </c>
      <c r="H2883">
        <f t="array" ref="H2883">COUNTIF(A:A,A2883)</f>
        <v>8</v>
      </c>
      <c r="I2883">
        <f t="array" ref="I2883">SUMIF(A:A,A2883,F:F)</f>
        <v>40213.310000000005</v>
      </c>
      <c r="J2883">
        <f t="array" ref="J2883">5 - INT(5 * (RANK(G2883,G:G, 1) - 1) / COUNT(G:G))</f>
        <v>5</v>
      </c>
      <c r="K2883">
        <f t="array" ref="K2883">INT(5 * (RANK(H2883,H:H, 0) - 1) / COUNT(H:H)) + 1</f>
        <v>3</v>
      </c>
      <c r="L2883">
        <f t="array" ref="L2883">INT(5 * (RANK(I2883,I:I, 0) - 1) / COUNT(I:I)) + 1</f>
        <v>2</v>
      </c>
      <c r="M2883" t="str">
        <f t="shared" ref="M2883:M2946" si="90">J2883 &amp; K2883 &amp; L2883</f>
        <v>532</v>
      </c>
      <c r="N2883" s="6" t="str">
        <f t="shared" ref="N2883:N2946" si="91">IF(AND(J2883&gt;=4,K2883&lt;=2),"New Customers",
IF(AND(J2883&lt;=2,K2883&gt;=3,L2883&gt;=3),"At Risk",
IF(AND(J2883&lt;=2,K2883&lt;=2,L2883&gt;=3),"Can't Lose Them",
IF(AND(J2883&lt;=2,K2883&lt;=2,L2883&lt;=2),"Lost",
"Others"))))</f>
        <v>Others</v>
      </c>
    </row>
    <row r="2884" spans="1:14" x14ac:dyDescent="0.35">
      <c r="A2884">
        <v>1353</v>
      </c>
      <c r="B2884" s="4">
        <v>46105.375085336993</v>
      </c>
      <c r="C2884" t="s">
        <v>10</v>
      </c>
      <c r="D2884" t="s">
        <v>22</v>
      </c>
      <c r="E2884" t="s">
        <v>25</v>
      </c>
      <c r="F2884">
        <v>834.94</v>
      </c>
      <c r="G2884">
        <f t="array" ref="G2884">SalesData!$I$2 - 'RFM Table'!B2884</f>
        <v>31</v>
      </c>
      <c r="H2884">
        <f t="array" ref="H2884">COUNTIF(A:A,A2884)</f>
        <v>7</v>
      </c>
      <c r="I2884">
        <f t="array" ref="I2884">SUMIF(A:A,A2884,F:F)</f>
        <v>29446.02</v>
      </c>
      <c r="J2884">
        <f t="array" ref="J2884">5 - INT(5 * (RANK(G2884,G:G, 1) - 1) / COUNT(G:G))</f>
        <v>5</v>
      </c>
      <c r="K2884">
        <f t="array" ref="K2884">INT(5 * (RANK(H2884,H:H, 0) - 1) / COUNT(H:H)) + 1</f>
        <v>4</v>
      </c>
      <c r="L2884">
        <f t="array" ref="L2884">INT(5 * (RANK(I2884,I:I, 0) - 1) / COUNT(I:I)) + 1</f>
        <v>4</v>
      </c>
      <c r="M2884" t="str">
        <f t="shared" si="90"/>
        <v>544</v>
      </c>
      <c r="N2884" s="6" t="str">
        <f t="shared" si="91"/>
        <v>Others</v>
      </c>
    </row>
    <row r="2885" spans="1:14" x14ac:dyDescent="0.35">
      <c r="A2885">
        <v>1341</v>
      </c>
      <c r="B2885" s="4">
        <v>46105.375085336993</v>
      </c>
      <c r="C2885" t="s">
        <v>15</v>
      </c>
      <c r="D2885" t="s">
        <v>17</v>
      </c>
      <c r="E2885" t="s">
        <v>23</v>
      </c>
      <c r="F2885">
        <v>4074.59</v>
      </c>
      <c r="G2885">
        <f t="array" ref="G2885">SalesData!$I$2 - 'RFM Table'!B2885</f>
        <v>31</v>
      </c>
      <c r="H2885">
        <f t="array" ref="H2885">COUNTIF(A:A,A2885)</f>
        <v>11</v>
      </c>
      <c r="I2885">
        <f t="array" ref="I2885">SUMIF(A:A,A2885,F:F)</f>
        <v>45526.78</v>
      </c>
      <c r="J2885">
        <f t="array" ref="J2885">5 - INT(5 * (RANK(G2885,G:G, 1) - 1) / COUNT(G:G))</f>
        <v>5</v>
      </c>
      <c r="K2885">
        <f t="array" ref="K2885">INT(5 * (RANK(H2885,H:H, 0) - 1) / COUNT(H:H)) + 1</f>
        <v>1</v>
      </c>
      <c r="L2885">
        <f t="array" ref="L2885">INT(5 * (RANK(I2885,I:I, 0) - 1) / COUNT(I:I)) + 1</f>
        <v>1</v>
      </c>
      <c r="M2885" t="str">
        <f t="shared" si="90"/>
        <v>511</v>
      </c>
      <c r="N2885" s="6" t="str">
        <f t="shared" si="91"/>
        <v>New Customers</v>
      </c>
    </row>
    <row r="2886" spans="1:14" x14ac:dyDescent="0.35">
      <c r="A2886">
        <v>1271</v>
      </c>
      <c r="B2886" s="4">
        <v>46106.375085336993</v>
      </c>
      <c r="C2886" t="s">
        <v>8</v>
      </c>
      <c r="D2886" t="s">
        <v>17</v>
      </c>
      <c r="E2886" t="s">
        <v>24</v>
      </c>
      <c r="F2886">
        <v>5843.63</v>
      </c>
      <c r="G2886">
        <f t="array" ref="G2886">SalesData!$I$2 - 'RFM Table'!B2886</f>
        <v>30</v>
      </c>
      <c r="H2886">
        <f t="array" ref="H2886">COUNTIF(A:A,A2886)</f>
        <v>4</v>
      </c>
      <c r="I2886">
        <f t="array" ref="I2886">SUMIF(A:A,A2886,F:F)</f>
        <v>18876.47</v>
      </c>
      <c r="J2886">
        <f t="array" ref="J2886">5 - INT(5 * (RANK(G2886,G:G, 1) - 1) / COUNT(G:G))</f>
        <v>5</v>
      </c>
      <c r="K2886">
        <f t="array" ref="K2886">INT(5 * (RANK(H2886,H:H, 0) - 1) / COUNT(H:H)) + 1</f>
        <v>5</v>
      </c>
      <c r="L2886">
        <f t="array" ref="L2886">INT(5 * (RANK(I2886,I:I, 0) - 1) / COUNT(I:I)) + 1</f>
        <v>5</v>
      </c>
      <c r="M2886" t="str">
        <f t="shared" si="90"/>
        <v>555</v>
      </c>
      <c r="N2886" s="6" t="str">
        <f t="shared" si="91"/>
        <v>Others</v>
      </c>
    </row>
    <row r="2887" spans="1:14" x14ac:dyDescent="0.35">
      <c r="A2887">
        <v>1361</v>
      </c>
      <c r="B2887" s="4">
        <v>46106.375085336993</v>
      </c>
      <c r="C2887" t="s">
        <v>12</v>
      </c>
      <c r="D2887" t="s">
        <v>19</v>
      </c>
      <c r="E2887" t="s">
        <v>23</v>
      </c>
      <c r="F2887">
        <v>1138.42</v>
      </c>
      <c r="G2887">
        <f t="array" ref="G2887">SalesData!$I$2 - 'RFM Table'!B2887</f>
        <v>30</v>
      </c>
      <c r="H2887">
        <f t="array" ref="H2887">COUNTIF(A:A,A2887)</f>
        <v>5</v>
      </c>
      <c r="I2887">
        <f t="array" ref="I2887">SUMIF(A:A,A2887,F:F)</f>
        <v>27766.260000000002</v>
      </c>
      <c r="J2887">
        <f t="array" ref="J2887">5 - INT(5 * (RANK(G2887,G:G, 1) - 1) / COUNT(G:G))</f>
        <v>5</v>
      </c>
      <c r="K2887">
        <f t="array" ref="K2887">INT(5 * (RANK(H2887,H:H, 0) - 1) / COUNT(H:H)) + 1</f>
        <v>5</v>
      </c>
      <c r="L2887">
        <f t="array" ref="L2887">INT(5 * (RANK(I2887,I:I, 0) - 1) / COUNT(I:I)) + 1</f>
        <v>4</v>
      </c>
      <c r="M2887" t="str">
        <f t="shared" si="90"/>
        <v>554</v>
      </c>
      <c r="N2887" s="6" t="str">
        <f t="shared" si="91"/>
        <v>Others</v>
      </c>
    </row>
    <row r="2888" spans="1:14" x14ac:dyDescent="0.35">
      <c r="A2888">
        <v>1373</v>
      </c>
      <c r="B2888" s="4">
        <v>46106.375085336993</v>
      </c>
      <c r="C2888" t="s">
        <v>11</v>
      </c>
      <c r="D2888" t="s">
        <v>18</v>
      </c>
      <c r="E2888" t="s">
        <v>24</v>
      </c>
      <c r="F2888">
        <v>2675.87</v>
      </c>
      <c r="G2888">
        <f t="array" ref="G2888">SalesData!$I$2 - 'RFM Table'!B2888</f>
        <v>30</v>
      </c>
      <c r="H2888">
        <f t="array" ref="H2888">COUNTIF(A:A,A2888)</f>
        <v>11</v>
      </c>
      <c r="I2888">
        <f t="array" ref="I2888">SUMIF(A:A,A2888,F:F)</f>
        <v>46795.570000000007</v>
      </c>
      <c r="J2888">
        <f t="array" ref="J2888">5 - INT(5 * (RANK(G2888,G:G, 1) - 1) / COUNT(G:G))</f>
        <v>5</v>
      </c>
      <c r="K2888">
        <f t="array" ref="K2888">INT(5 * (RANK(H2888,H:H, 0) - 1) / COUNT(H:H)) + 1</f>
        <v>1</v>
      </c>
      <c r="L2888">
        <f t="array" ref="L2888">INT(5 * (RANK(I2888,I:I, 0) - 1) / COUNT(I:I)) + 1</f>
        <v>1</v>
      </c>
      <c r="M2888" t="str">
        <f t="shared" si="90"/>
        <v>511</v>
      </c>
      <c r="N2888" s="6" t="str">
        <f t="shared" si="91"/>
        <v>New Customers</v>
      </c>
    </row>
    <row r="2889" spans="1:14" x14ac:dyDescent="0.35">
      <c r="A2889">
        <v>1251</v>
      </c>
      <c r="B2889" s="4">
        <v>46106.375085336993</v>
      </c>
      <c r="C2889" t="s">
        <v>14</v>
      </c>
      <c r="D2889" t="s">
        <v>17</v>
      </c>
      <c r="E2889" t="s">
        <v>24</v>
      </c>
      <c r="F2889">
        <v>1439.91</v>
      </c>
      <c r="G2889">
        <f t="array" ref="G2889">SalesData!$I$2 - 'RFM Table'!B2889</f>
        <v>30</v>
      </c>
      <c r="H2889">
        <f t="array" ref="H2889">COUNTIF(A:A,A2889)</f>
        <v>9</v>
      </c>
      <c r="I2889">
        <f t="array" ref="I2889">SUMIF(A:A,A2889,F:F)</f>
        <v>39183.29</v>
      </c>
      <c r="J2889">
        <f t="array" ref="J2889">5 - INT(5 * (RANK(G2889,G:G, 1) - 1) / COUNT(G:G))</f>
        <v>5</v>
      </c>
      <c r="K2889">
        <f t="array" ref="K2889">INT(5 * (RANK(H2889,H:H, 0) - 1) / COUNT(H:H)) + 1</f>
        <v>2</v>
      </c>
      <c r="L2889">
        <f t="array" ref="L2889">INT(5 * (RANK(I2889,I:I, 0) - 1) / COUNT(I:I)) + 1</f>
        <v>2</v>
      </c>
      <c r="M2889" t="str">
        <f t="shared" si="90"/>
        <v>522</v>
      </c>
      <c r="N2889" s="6" t="str">
        <f t="shared" si="91"/>
        <v>New Customers</v>
      </c>
    </row>
    <row r="2890" spans="1:14" x14ac:dyDescent="0.35">
      <c r="A2890">
        <v>1270</v>
      </c>
      <c r="B2890" s="4">
        <v>46106.375085336993</v>
      </c>
      <c r="C2890" t="s">
        <v>9</v>
      </c>
      <c r="D2890" t="s">
        <v>17</v>
      </c>
      <c r="E2890" t="s">
        <v>23</v>
      </c>
      <c r="F2890">
        <v>7469.89</v>
      </c>
      <c r="G2890">
        <f t="array" ref="G2890">SalesData!$I$2 - 'RFM Table'!B2890</f>
        <v>30</v>
      </c>
      <c r="H2890">
        <f t="array" ref="H2890">COUNTIF(A:A,A2890)</f>
        <v>10</v>
      </c>
      <c r="I2890">
        <f t="array" ref="I2890">SUMIF(A:A,A2890,F:F)</f>
        <v>34623.81</v>
      </c>
      <c r="J2890">
        <f t="array" ref="J2890">5 - INT(5 * (RANK(G2890,G:G, 1) - 1) / COUNT(G:G))</f>
        <v>5</v>
      </c>
      <c r="K2890">
        <f t="array" ref="K2890">INT(5 * (RANK(H2890,H:H, 0) - 1) / COUNT(H:H)) + 1</f>
        <v>2</v>
      </c>
      <c r="L2890">
        <f t="array" ref="L2890">INT(5 * (RANK(I2890,I:I, 0) - 1) / COUNT(I:I)) + 1</f>
        <v>3</v>
      </c>
      <c r="M2890" t="str">
        <f t="shared" si="90"/>
        <v>523</v>
      </c>
      <c r="N2890" s="6" t="str">
        <f t="shared" si="91"/>
        <v>New Customers</v>
      </c>
    </row>
    <row r="2891" spans="1:14" x14ac:dyDescent="0.35">
      <c r="A2891">
        <v>1045</v>
      </c>
      <c r="B2891" s="4">
        <v>46107.375085336993</v>
      </c>
      <c r="C2891" t="s">
        <v>12</v>
      </c>
      <c r="D2891" t="s">
        <v>16</v>
      </c>
      <c r="E2891" t="s">
        <v>25</v>
      </c>
      <c r="F2891">
        <v>5879.74</v>
      </c>
      <c r="G2891">
        <f t="array" ref="G2891">SalesData!$I$2 - 'RFM Table'!B2891</f>
        <v>29</v>
      </c>
      <c r="H2891">
        <f t="array" ref="H2891">COUNTIF(A:A,A2891)</f>
        <v>7</v>
      </c>
      <c r="I2891">
        <f t="array" ref="I2891">SUMIF(A:A,A2891,F:F)</f>
        <v>27876.53</v>
      </c>
      <c r="J2891">
        <f t="array" ref="J2891">5 - INT(5 * (RANK(G2891,G:G, 1) - 1) / COUNT(G:G))</f>
        <v>5</v>
      </c>
      <c r="K2891">
        <f t="array" ref="K2891">INT(5 * (RANK(H2891,H:H, 0) - 1) / COUNT(H:H)) + 1</f>
        <v>4</v>
      </c>
      <c r="L2891">
        <f t="array" ref="L2891">INT(5 * (RANK(I2891,I:I, 0) - 1) / COUNT(I:I)) + 1</f>
        <v>4</v>
      </c>
      <c r="M2891" t="str">
        <f t="shared" si="90"/>
        <v>544</v>
      </c>
      <c r="N2891" s="6" t="str">
        <f t="shared" si="91"/>
        <v>Others</v>
      </c>
    </row>
    <row r="2892" spans="1:14" x14ac:dyDescent="0.35">
      <c r="A2892">
        <v>1089</v>
      </c>
      <c r="B2892" s="4">
        <v>46107.375085336993</v>
      </c>
      <c r="C2892" t="s">
        <v>6</v>
      </c>
      <c r="D2892" t="s">
        <v>17</v>
      </c>
      <c r="E2892" t="s">
        <v>25</v>
      </c>
      <c r="F2892">
        <v>581.46</v>
      </c>
      <c r="G2892">
        <f t="array" ref="G2892">SalesData!$I$2 - 'RFM Table'!B2892</f>
        <v>29</v>
      </c>
      <c r="H2892">
        <f t="array" ref="H2892">COUNTIF(A:A,A2892)</f>
        <v>10</v>
      </c>
      <c r="I2892">
        <f t="array" ref="I2892">SUMIF(A:A,A2892,F:F)</f>
        <v>36855.5</v>
      </c>
      <c r="J2892">
        <f t="array" ref="J2892">5 - INT(5 * (RANK(G2892,G:G, 1) - 1) / COUNT(G:G))</f>
        <v>5</v>
      </c>
      <c r="K2892">
        <f t="array" ref="K2892">INT(5 * (RANK(H2892,H:H, 0) - 1) / COUNT(H:H)) + 1</f>
        <v>2</v>
      </c>
      <c r="L2892">
        <f t="array" ref="L2892">INT(5 * (RANK(I2892,I:I, 0) - 1) / COUNT(I:I)) + 1</f>
        <v>2</v>
      </c>
      <c r="M2892" t="str">
        <f t="shared" si="90"/>
        <v>522</v>
      </c>
      <c r="N2892" s="6" t="str">
        <f t="shared" si="91"/>
        <v>New Customers</v>
      </c>
    </row>
    <row r="2893" spans="1:14" x14ac:dyDescent="0.35">
      <c r="A2893">
        <v>1373</v>
      </c>
      <c r="B2893" s="4">
        <v>46107.375085336993</v>
      </c>
      <c r="C2893" t="s">
        <v>11</v>
      </c>
      <c r="D2893" t="s">
        <v>20</v>
      </c>
      <c r="E2893" t="s">
        <v>25</v>
      </c>
      <c r="F2893">
        <v>2829.51</v>
      </c>
      <c r="G2893">
        <f t="array" ref="G2893">SalesData!$I$2 - 'RFM Table'!B2893</f>
        <v>29</v>
      </c>
      <c r="H2893">
        <f t="array" ref="H2893">COUNTIF(A:A,A2893)</f>
        <v>11</v>
      </c>
      <c r="I2893">
        <f t="array" ref="I2893">SUMIF(A:A,A2893,F:F)</f>
        <v>46795.570000000007</v>
      </c>
      <c r="J2893">
        <f t="array" ref="J2893">5 - INT(5 * (RANK(G2893,G:G, 1) - 1) / COUNT(G:G))</f>
        <v>5</v>
      </c>
      <c r="K2893">
        <f t="array" ref="K2893">INT(5 * (RANK(H2893,H:H, 0) - 1) / COUNT(H:H)) + 1</f>
        <v>1</v>
      </c>
      <c r="L2893">
        <f t="array" ref="L2893">INT(5 * (RANK(I2893,I:I, 0) - 1) / COUNT(I:I)) + 1</f>
        <v>1</v>
      </c>
      <c r="M2893" t="str">
        <f t="shared" si="90"/>
        <v>511</v>
      </c>
      <c r="N2893" s="6" t="str">
        <f t="shared" si="91"/>
        <v>New Customers</v>
      </c>
    </row>
    <row r="2894" spans="1:14" x14ac:dyDescent="0.35">
      <c r="A2894">
        <v>1392</v>
      </c>
      <c r="B2894" s="4">
        <v>46107.375085336993</v>
      </c>
      <c r="C2894" t="s">
        <v>12</v>
      </c>
      <c r="D2894" t="s">
        <v>19</v>
      </c>
      <c r="E2894" t="s">
        <v>25</v>
      </c>
      <c r="F2894">
        <v>1413.21</v>
      </c>
      <c r="G2894">
        <f t="array" ref="G2894">SalesData!$I$2 - 'RFM Table'!B2894</f>
        <v>29</v>
      </c>
      <c r="H2894">
        <f t="array" ref="H2894">COUNTIF(A:A,A2894)</f>
        <v>10</v>
      </c>
      <c r="I2894">
        <f t="array" ref="I2894">SUMIF(A:A,A2894,F:F)</f>
        <v>27910.07</v>
      </c>
      <c r="J2894">
        <f t="array" ref="J2894">5 - INT(5 * (RANK(G2894,G:G, 1) - 1) / COUNT(G:G))</f>
        <v>5</v>
      </c>
      <c r="K2894">
        <f t="array" ref="K2894">INT(5 * (RANK(H2894,H:H, 0) - 1) / COUNT(H:H)) + 1</f>
        <v>2</v>
      </c>
      <c r="L2894">
        <f t="array" ref="L2894">INT(5 * (RANK(I2894,I:I, 0) - 1) / COUNT(I:I)) + 1</f>
        <v>4</v>
      </c>
      <c r="M2894" t="str">
        <f t="shared" si="90"/>
        <v>524</v>
      </c>
      <c r="N2894" s="6" t="str">
        <f t="shared" si="91"/>
        <v>New Customers</v>
      </c>
    </row>
    <row r="2895" spans="1:14" x14ac:dyDescent="0.35">
      <c r="A2895">
        <v>1301</v>
      </c>
      <c r="B2895" s="4">
        <v>46107.375085336993</v>
      </c>
      <c r="C2895" t="s">
        <v>10</v>
      </c>
      <c r="D2895" t="s">
        <v>20</v>
      </c>
      <c r="E2895" t="s">
        <v>25</v>
      </c>
      <c r="F2895">
        <v>5711.44</v>
      </c>
      <c r="G2895">
        <f t="array" ref="G2895">SalesData!$I$2 - 'RFM Table'!B2895</f>
        <v>29</v>
      </c>
      <c r="H2895">
        <f t="array" ref="H2895">COUNTIF(A:A,A2895)</f>
        <v>12</v>
      </c>
      <c r="I2895">
        <f t="array" ref="I2895">SUMIF(A:A,A2895,F:F)</f>
        <v>44897.450000000004</v>
      </c>
      <c r="J2895">
        <f t="array" ref="J2895">5 - INT(5 * (RANK(G2895,G:G, 1) - 1) / COUNT(G:G))</f>
        <v>5</v>
      </c>
      <c r="K2895">
        <f t="array" ref="K2895">INT(5 * (RANK(H2895,H:H, 0) - 1) / COUNT(H:H)) + 1</f>
        <v>1</v>
      </c>
      <c r="L2895">
        <f t="array" ref="L2895">INT(5 * (RANK(I2895,I:I, 0) - 1) / COUNT(I:I)) + 1</f>
        <v>1</v>
      </c>
      <c r="M2895" t="str">
        <f t="shared" si="90"/>
        <v>511</v>
      </c>
      <c r="N2895" s="6" t="str">
        <f t="shared" si="91"/>
        <v>New Customers</v>
      </c>
    </row>
    <row r="2896" spans="1:14" x14ac:dyDescent="0.35">
      <c r="A2896">
        <v>1125</v>
      </c>
      <c r="B2896" s="4">
        <v>46108.375085336993</v>
      </c>
      <c r="C2896" t="s">
        <v>13</v>
      </c>
      <c r="D2896" t="s">
        <v>16</v>
      </c>
      <c r="E2896" t="s">
        <v>24</v>
      </c>
      <c r="F2896">
        <v>2750.06</v>
      </c>
      <c r="G2896">
        <f t="array" ref="G2896">SalesData!$I$2 - 'RFM Table'!B2896</f>
        <v>28</v>
      </c>
      <c r="H2896">
        <f t="array" ref="H2896">COUNTIF(A:A,A2896)</f>
        <v>9</v>
      </c>
      <c r="I2896">
        <f t="array" ref="I2896">SUMIF(A:A,A2896,F:F)</f>
        <v>32520.350000000002</v>
      </c>
      <c r="J2896">
        <f t="array" ref="J2896">5 - INT(5 * (RANK(G2896,G:G, 1) - 1) / COUNT(G:G))</f>
        <v>5</v>
      </c>
      <c r="K2896">
        <f t="array" ref="K2896">INT(5 * (RANK(H2896,H:H, 0) - 1) / COUNT(H:H)) + 1</f>
        <v>2</v>
      </c>
      <c r="L2896">
        <f t="array" ref="L2896">INT(5 * (RANK(I2896,I:I, 0) - 1) / COUNT(I:I)) + 1</f>
        <v>3</v>
      </c>
      <c r="M2896" t="str">
        <f t="shared" si="90"/>
        <v>523</v>
      </c>
      <c r="N2896" s="6" t="str">
        <f t="shared" si="91"/>
        <v>New Customers</v>
      </c>
    </row>
    <row r="2897" spans="1:14" x14ac:dyDescent="0.35">
      <c r="A2897">
        <v>1249</v>
      </c>
      <c r="B2897" s="4">
        <v>46108.375085336993</v>
      </c>
      <c r="C2897" t="s">
        <v>14</v>
      </c>
      <c r="D2897" t="s">
        <v>21</v>
      </c>
      <c r="E2897" t="s">
        <v>24</v>
      </c>
      <c r="F2897">
        <v>4471.03</v>
      </c>
      <c r="G2897">
        <f t="array" ref="G2897">SalesData!$I$2 - 'RFM Table'!B2897</f>
        <v>28</v>
      </c>
      <c r="H2897">
        <f t="array" ref="H2897">COUNTIF(A:A,A2897)</f>
        <v>6</v>
      </c>
      <c r="I2897">
        <f t="array" ref="I2897">SUMIF(A:A,A2897,F:F)</f>
        <v>29261.35</v>
      </c>
      <c r="J2897">
        <f t="array" ref="J2897">5 - INT(5 * (RANK(G2897,G:G, 1) - 1) / COUNT(G:G))</f>
        <v>5</v>
      </c>
      <c r="K2897">
        <f t="array" ref="K2897">INT(5 * (RANK(H2897,H:H, 0) - 1) / COUNT(H:H)) + 1</f>
        <v>4</v>
      </c>
      <c r="L2897">
        <f t="array" ref="L2897">INT(5 * (RANK(I2897,I:I, 0) - 1) / COUNT(I:I)) + 1</f>
        <v>4</v>
      </c>
      <c r="M2897" t="str">
        <f t="shared" si="90"/>
        <v>544</v>
      </c>
      <c r="N2897" s="6" t="str">
        <f t="shared" si="91"/>
        <v>Others</v>
      </c>
    </row>
    <row r="2898" spans="1:14" x14ac:dyDescent="0.35">
      <c r="A2898">
        <v>1194</v>
      </c>
      <c r="B2898" s="4">
        <v>46108.375085336993</v>
      </c>
      <c r="C2898" t="s">
        <v>11</v>
      </c>
      <c r="D2898" t="s">
        <v>21</v>
      </c>
      <c r="E2898" t="s">
        <v>23</v>
      </c>
      <c r="F2898">
        <v>561</v>
      </c>
      <c r="G2898">
        <f t="array" ref="G2898">SalesData!$I$2 - 'RFM Table'!B2898</f>
        <v>28</v>
      </c>
      <c r="H2898">
        <f t="array" ref="H2898">COUNTIF(A:A,A2898)</f>
        <v>7</v>
      </c>
      <c r="I2898">
        <f t="array" ref="I2898">SUMIF(A:A,A2898,F:F)</f>
        <v>37031.050000000003</v>
      </c>
      <c r="J2898">
        <f t="array" ref="J2898">5 - INT(5 * (RANK(G2898,G:G, 1) - 1) / COUNT(G:G))</f>
        <v>5</v>
      </c>
      <c r="K2898">
        <f t="array" ref="K2898">INT(5 * (RANK(H2898,H:H, 0) - 1) / COUNT(H:H)) + 1</f>
        <v>4</v>
      </c>
      <c r="L2898">
        <f t="array" ref="L2898">INT(5 * (RANK(I2898,I:I, 0) - 1) / COUNT(I:I)) + 1</f>
        <v>2</v>
      </c>
      <c r="M2898" t="str">
        <f t="shared" si="90"/>
        <v>542</v>
      </c>
      <c r="N2898" s="6" t="str">
        <f t="shared" si="91"/>
        <v>Others</v>
      </c>
    </row>
    <row r="2899" spans="1:14" x14ac:dyDescent="0.35">
      <c r="A2899">
        <v>1143</v>
      </c>
      <c r="B2899" s="4">
        <v>46109.375085336993</v>
      </c>
      <c r="C2899" t="s">
        <v>13</v>
      </c>
      <c r="D2899" t="s">
        <v>18</v>
      </c>
      <c r="E2899" t="s">
        <v>23</v>
      </c>
      <c r="F2899">
        <v>2959.31</v>
      </c>
      <c r="G2899">
        <f t="array" ref="G2899">SalesData!$I$2 - 'RFM Table'!B2899</f>
        <v>27</v>
      </c>
      <c r="H2899">
        <f t="array" ref="H2899">COUNTIF(A:A,A2899)</f>
        <v>11</v>
      </c>
      <c r="I2899">
        <f t="array" ref="I2899">SUMIF(A:A,A2899,F:F)</f>
        <v>44004.459999999992</v>
      </c>
      <c r="J2899">
        <f t="array" ref="J2899">5 - INT(5 * (RANK(G2899,G:G, 1) - 1) / COUNT(G:G))</f>
        <v>5</v>
      </c>
      <c r="K2899">
        <f t="array" ref="K2899">INT(5 * (RANK(H2899,H:H, 0) - 1) / COUNT(H:H)) + 1</f>
        <v>1</v>
      </c>
      <c r="L2899">
        <f t="array" ref="L2899">INT(5 * (RANK(I2899,I:I, 0) - 1) / COUNT(I:I)) + 1</f>
        <v>2</v>
      </c>
      <c r="M2899" t="str">
        <f t="shared" si="90"/>
        <v>512</v>
      </c>
      <c r="N2899" s="6" t="str">
        <f t="shared" si="91"/>
        <v>New Customers</v>
      </c>
    </row>
    <row r="2900" spans="1:14" x14ac:dyDescent="0.35">
      <c r="A2900">
        <v>1288</v>
      </c>
      <c r="B2900" s="4">
        <v>46109.375085336993</v>
      </c>
      <c r="C2900" t="s">
        <v>7</v>
      </c>
      <c r="D2900" t="s">
        <v>16</v>
      </c>
      <c r="E2900" t="s">
        <v>23</v>
      </c>
      <c r="F2900">
        <v>1003.18</v>
      </c>
      <c r="G2900">
        <f t="array" ref="G2900">SalesData!$I$2 - 'RFM Table'!B2900</f>
        <v>27</v>
      </c>
      <c r="H2900">
        <f t="array" ref="H2900">COUNTIF(A:A,A2900)</f>
        <v>13</v>
      </c>
      <c r="I2900">
        <f t="array" ref="I2900">SUMIF(A:A,A2900,F:F)</f>
        <v>40219.18</v>
      </c>
      <c r="J2900">
        <f t="array" ref="J2900">5 - INT(5 * (RANK(G2900,G:G, 1) - 1) / COUNT(G:G))</f>
        <v>5</v>
      </c>
      <c r="K2900">
        <f t="array" ref="K2900">INT(5 * (RANK(H2900,H:H, 0) - 1) / COUNT(H:H)) + 1</f>
        <v>1</v>
      </c>
      <c r="L2900">
        <f t="array" ref="L2900">INT(5 * (RANK(I2900,I:I, 0) - 1) / COUNT(I:I)) + 1</f>
        <v>2</v>
      </c>
      <c r="M2900" t="str">
        <f t="shared" si="90"/>
        <v>512</v>
      </c>
      <c r="N2900" s="6" t="str">
        <f t="shared" si="91"/>
        <v>New Customers</v>
      </c>
    </row>
    <row r="2901" spans="1:14" x14ac:dyDescent="0.35">
      <c r="A2901">
        <v>1285</v>
      </c>
      <c r="B2901" s="4">
        <v>46109.375085336993</v>
      </c>
      <c r="C2901" t="s">
        <v>10</v>
      </c>
      <c r="D2901" t="s">
        <v>16</v>
      </c>
      <c r="E2901" t="s">
        <v>25</v>
      </c>
      <c r="F2901">
        <v>7421.13</v>
      </c>
      <c r="G2901">
        <f t="array" ref="G2901">SalesData!$I$2 - 'RFM Table'!B2901</f>
        <v>27</v>
      </c>
      <c r="H2901">
        <f t="array" ref="H2901">COUNTIF(A:A,A2901)</f>
        <v>9</v>
      </c>
      <c r="I2901">
        <f t="array" ref="I2901">SUMIF(A:A,A2901,F:F)</f>
        <v>27990.980000000003</v>
      </c>
      <c r="J2901">
        <f t="array" ref="J2901">5 - INT(5 * (RANK(G2901,G:G, 1) - 1) / COUNT(G:G))</f>
        <v>5</v>
      </c>
      <c r="K2901">
        <f t="array" ref="K2901">INT(5 * (RANK(H2901,H:H, 0) - 1) / COUNT(H:H)) + 1</f>
        <v>2</v>
      </c>
      <c r="L2901">
        <f t="array" ref="L2901">INT(5 * (RANK(I2901,I:I, 0) - 1) / COUNT(I:I)) + 1</f>
        <v>4</v>
      </c>
      <c r="M2901" t="str">
        <f t="shared" si="90"/>
        <v>524</v>
      </c>
      <c r="N2901" s="6" t="str">
        <f t="shared" si="91"/>
        <v>New Customers</v>
      </c>
    </row>
    <row r="2902" spans="1:14" x14ac:dyDescent="0.35">
      <c r="A2902">
        <v>1079</v>
      </c>
      <c r="B2902" s="4">
        <v>46109.375085336993</v>
      </c>
      <c r="C2902" t="s">
        <v>13</v>
      </c>
      <c r="D2902" t="s">
        <v>17</v>
      </c>
      <c r="E2902" t="s">
        <v>24</v>
      </c>
      <c r="F2902">
        <v>4479.42</v>
      </c>
      <c r="G2902">
        <f t="array" ref="G2902">SalesData!$I$2 - 'RFM Table'!B2902</f>
        <v>27</v>
      </c>
      <c r="H2902">
        <f t="array" ref="H2902">COUNTIF(A:A,A2902)</f>
        <v>5</v>
      </c>
      <c r="I2902">
        <f t="array" ref="I2902">SUMIF(A:A,A2902,F:F)</f>
        <v>20723.400000000001</v>
      </c>
      <c r="J2902">
        <f t="array" ref="J2902">5 - INT(5 * (RANK(G2902,G:G, 1) - 1) / COUNT(G:G))</f>
        <v>5</v>
      </c>
      <c r="K2902">
        <f t="array" ref="K2902">INT(5 * (RANK(H2902,H:H, 0) - 1) / COUNT(H:H)) + 1</f>
        <v>5</v>
      </c>
      <c r="L2902">
        <f t="array" ref="L2902">INT(5 * (RANK(I2902,I:I, 0) - 1) / COUNT(I:I)) + 1</f>
        <v>5</v>
      </c>
      <c r="M2902" t="str">
        <f t="shared" si="90"/>
        <v>555</v>
      </c>
      <c r="N2902" s="6" t="str">
        <f t="shared" si="91"/>
        <v>Others</v>
      </c>
    </row>
    <row r="2903" spans="1:14" x14ac:dyDescent="0.35">
      <c r="A2903">
        <v>1049</v>
      </c>
      <c r="B2903" s="4">
        <v>46109.375085336993</v>
      </c>
      <c r="C2903" t="s">
        <v>11</v>
      </c>
      <c r="D2903" t="s">
        <v>20</v>
      </c>
      <c r="E2903" t="s">
        <v>25</v>
      </c>
      <c r="F2903">
        <v>666.03</v>
      </c>
      <c r="G2903">
        <f t="array" ref="G2903">SalesData!$I$2 - 'RFM Table'!B2903</f>
        <v>27</v>
      </c>
      <c r="H2903">
        <f t="array" ref="H2903">COUNTIF(A:A,A2903)</f>
        <v>6</v>
      </c>
      <c r="I2903">
        <f t="array" ref="I2903">SUMIF(A:A,A2903,F:F)</f>
        <v>21995.52</v>
      </c>
      <c r="J2903">
        <f t="array" ref="J2903">5 - INT(5 * (RANK(G2903,G:G, 1) - 1) / COUNT(G:G))</f>
        <v>5</v>
      </c>
      <c r="K2903">
        <f t="array" ref="K2903">INT(5 * (RANK(H2903,H:H, 0) - 1) / COUNT(H:H)) + 1</f>
        <v>4</v>
      </c>
      <c r="L2903">
        <f t="array" ref="L2903">INT(5 * (RANK(I2903,I:I, 0) - 1) / COUNT(I:I)) + 1</f>
        <v>4</v>
      </c>
      <c r="M2903" t="str">
        <f t="shared" si="90"/>
        <v>544</v>
      </c>
      <c r="N2903" s="6" t="str">
        <f t="shared" si="91"/>
        <v>Others</v>
      </c>
    </row>
    <row r="2904" spans="1:14" x14ac:dyDescent="0.35">
      <c r="A2904">
        <v>1239</v>
      </c>
      <c r="B2904" s="4">
        <v>46109.375085336993</v>
      </c>
      <c r="C2904" t="s">
        <v>8</v>
      </c>
      <c r="D2904" t="s">
        <v>22</v>
      </c>
      <c r="E2904" t="s">
        <v>24</v>
      </c>
      <c r="F2904">
        <v>5652.29</v>
      </c>
      <c r="G2904">
        <f t="array" ref="G2904">SalesData!$I$2 - 'RFM Table'!B2904</f>
        <v>27</v>
      </c>
      <c r="H2904">
        <f t="array" ref="H2904">COUNTIF(A:A,A2904)</f>
        <v>4</v>
      </c>
      <c r="I2904">
        <f t="array" ref="I2904">SUMIF(A:A,A2904,F:F)</f>
        <v>47975.93</v>
      </c>
      <c r="J2904">
        <f t="array" ref="J2904">5 - INT(5 * (RANK(G2904,G:G, 1) - 1) / COUNT(G:G))</f>
        <v>5</v>
      </c>
      <c r="K2904">
        <f t="array" ref="K2904">INT(5 * (RANK(H2904,H:H, 0) - 1) / COUNT(H:H)) + 1</f>
        <v>5</v>
      </c>
      <c r="L2904">
        <f t="array" ref="L2904">INT(5 * (RANK(I2904,I:I, 0) - 1) / COUNT(I:I)) + 1</f>
        <v>1</v>
      </c>
      <c r="M2904" t="str">
        <f t="shared" si="90"/>
        <v>551</v>
      </c>
      <c r="N2904" s="6" t="str">
        <f t="shared" si="91"/>
        <v>Others</v>
      </c>
    </row>
    <row r="2905" spans="1:14" x14ac:dyDescent="0.35">
      <c r="A2905">
        <v>1308</v>
      </c>
      <c r="B2905" s="4">
        <v>46109.375085336993</v>
      </c>
      <c r="C2905" t="s">
        <v>11</v>
      </c>
      <c r="D2905" t="s">
        <v>22</v>
      </c>
      <c r="E2905" t="s">
        <v>23</v>
      </c>
      <c r="F2905">
        <v>1136.26</v>
      </c>
      <c r="G2905">
        <f t="array" ref="G2905">SalesData!$I$2 - 'RFM Table'!B2905</f>
        <v>27</v>
      </c>
      <c r="H2905">
        <f t="array" ref="H2905">COUNTIF(A:A,A2905)</f>
        <v>6</v>
      </c>
      <c r="I2905">
        <f t="array" ref="I2905">SUMIF(A:A,A2905,F:F)</f>
        <v>16743.59</v>
      </c>
      <c r="J2905">
        <f t="array" ref="J2905">5 - INT(5 * (RANK(G2905,G:G, 1) - 1) / COUNT(G:G))</f>
        <v>5</v>
      </c>
      <c r="K2905">
        <f t="array" ref="K2905">INT(5 * (RANK(H2905,H:H, 0) - 1) / COUNT(H:H)) + 1</f>
        <v>4</v>
      </c>
      <c r="L2905">
        <f t="array" ref="L2905">INT(5 * (RANK(I2905,I:I, 0) - 1) / COUNT(I:I)) + 1</f>
        <v>5</v>
      </c>
      <c r="M2905" t="str">
        <f t="shared" si="90"/>
        <v>545</v>
      </c>
      <c r="N2905" s="6" t="str">
        <f t="shared" si="91"/>
        <v>Others</v>
      </c>
    </row>
    <row r="2906" spans="1:14" x14ac:dyDescent="0.35">
      <c r="A2906">
        <v>1112</v>
      </c>
      <c r="B2906" s="4">
        <v>46112.375085336993</v>
      </c>
      <c r="C2906" t="s">
        <v>14</v>
      </c>
      <c r="D2906" t="s">
        <v>18</v>
      </c>
      <c r="E2906" t="s">
        <v>23</v>
      </c>
      <c r="F2906">
        <v>3856.36</v>
      </c>
      <c r="G2906">
        <f t="array" ref="G2906">SalesData!$I$2 - 'RFM Table'!B2906</f>
        <v>24</v>
      </c>
      <c r="H2906">
        <f t="array" ref="H2906">COUNTIF(A:A,A2906)</f>
        <v>12</v>
      </c>
      <c r="I2906">
        <f t="array" ref="I2906">SUMIF(A:A,A2906,F:F)</f>
        <v>38950.210000000006</v>
      </c>
      <c r="J2906">
        <f t="array" ref="J2906">5 - INT(5 * (RANK(G2906,G:G, 1) - 1) / COUNT(G:G))</f>
        <v>5</v>
      </c>
      <c r="K2906">
        <f t="array" ref="K2906">INT(5 * (RANK(H2906,H:H, 0) - 1) / COUNT(H:H)) + 1</f>
        <v>1</v>
      </c>
      <c r="L2906">
        <f t="array" ref="L2906">INT(5 * (RANK(I2906,I:I, 0) - 1) / COUNT(I:I)) + 1</f>
        <v>2</v>
      </c>
      <c r="M2906" t="str">
        <f t="shared" si="90"/>
        <v>512</v>
      </c>
      <c r="N2906" s="6" t="str">
        <f t="shared" si="91"/>
        <v>New Customers</v>
      </c>
    </row>
    <row r="2907" spans="1:14" x14ac:dyDescent="0.35">
      <c r="A2907">
        <v>1303</v>
      </c>
      <c r="B2907" s="4">
        <v>46113.375085336993</v>
      </c>
      <c r="C2907" t="s">
        <v>9</v>
      </c>
      <c r="D2907" t="s">
        <v>19</v>
      </c>
      <c r="E2907" t="s">
        <v>23</v>
      </c>
      <c r="F2907">
        <v>2893.61</v>
      </c>
      <c r="G2907">
        <f t="array" ref="G2907">SalesData!$I$2 - 'RFM Table'!B2907</f>
        <v>23</v>
      </c>
      <c r="H2907">
        <f t="array" ref="H2907">COUNTIF(A:A,A2907)</f>
        <v>9</v>
      </c>
      <c r="I2907">
        <f t="array" ref="I2907">SUMIF(A:A,A2907,F:F)</f>
        <v>27888.809999999998</v>
      </c>
      <c r="J2907">
        <f t="array" ref="J2907">5 - INT(5 * (RANK(G2907,G:G, 1) - 1) / COUNT(G:G))</f>
        <v>5</v>
      </c>
      <c r="K2907">
        <f t="array" ref="K2907">INT(5 * (RANK(H2907,H:H, 0) - 1) / COUNT(H:H)) + 1</f>
        <v>2</v>
      </c>
      <c r="L2907">
        <f t="array" ref="L2907">INT(5 * (RANK(I2907,I:I, 0) - 1) / COUNT(I:I)) + 1</f>
        <v>4</v>
      </c>
      <c r="M2907" t="str">
        <f t="shared" si="90"/>
        <v>524</v>
      </c>
      <c r="N2907" s="6" t="str">
        <f t="shared" si="91"/>
        <v>New Customers</v>
      </c>
    </row>
    <row r="2908" spans="1:14" x14ac:dyDescent="0.35">
      <c r="A2908">
        <v>1169</v>
      </c>
      <c r="B2908" s="4">
        <v>46113.375085336993</v>
      </c>
      <c r="C2908" t="s">
        <v>10</v>
      </c>
      <c r="D2908" t="s">
        <v>20</v>
      </c>
      <c r="E2908" t="s">
        <v>24</v>
      </c>
      <c r="F2908">
        <v>5426.79</v>
      </c>
      <c r="G2908">
        <f t="array" ref="G2908">SalesData!$I$2 - 'RFM Table'!B2908</f>
        <v>23</v>
      </c>
      <c r="H2908">
        <f t="array" ref="H2908">COUNTIF(A:A,A2908)</f>
        <v>10</v>
      </c>
      <c r="I2908">
        <f t="array" ref="I2908">SUMIF(A:A,A2908,F:F)</f>
        <v>45640.06</v>
      </c>
      <c r="J2908">
        <f t="array" ref="J2908">5 - INT(5 * (RANK(G2908,G:G, 1) - 1) / COUNT(G:G))</f>
        <v>5</v>
      </c>
      <c r="K2908">
        <f t="array" ref="K2908">INT(5 * (RANK(H2908,H:H, 0) - 1) / COUNT(H:H)) + 1</f>
        <v>2</v>
      </c>
      <c r="L2908">
        <f t="array" ref="L2908">INT(5 * (RANK(I2908,I:I, 0) - 1) / COUNT(I:I)) + 1</f>
        <v>1</v>
      </c>
      <c r="M2908" t="str">
        <f t="shared" si="90"/>
        <v>521</v>
      </c>
      <c r="N2908" s="6" t="str">
        <f t="shared" si="91"/>
        <v>New Customers</v>
      </c>
    </row>
    <row r="2909" spans="1:14" x14ac:dyDescent="0.35">
      <c r="A2909">
        <v>1291</v>
      </c>
      <c r="B2909" s="4">
        <v>46113.375085336993</v>
      </c>
      <c r="C2909" t="s">
        <v>9</v>
      </c>
      <c r="D2909" t="s">
        <v>22</v>
      </c>
      <c r="E2909" t="s">
        <v>24</v>
      </c>
      <c r="F2909">
        <v>1937.83</v>
      </c>
      <c r="G2909">
        <f t="array" ref="G2909">SalesData!$I$2 - 'RFM Table'!B2909</f>
        <v>23</v>
      </c>
      <c r="H2909">
        <f t="array" ref="H2909">COUNTIF(A:A,A2909)</f>
        <v>7</v>
      </c>
      <c r="I2909">
        <f t="array" ref="I2909">SUMIF(A:A,A2909,F:F)</f>
        <v>33778.21</v>
      </c>
      <c r="J2909">
        <f t="array" ref="J2909">5 - INT(5 * (RANK(G2909,G:G, 1) - 1) / COUNT(G:G))</f>
        <v>5</v>
      </c>
      <c r="K2909">
        <f t="array" ref="K2909">INT(5 * (RANK(H2909,H:H, 0) - 1) / COUNT(H:H)) + 1</f>
        <v>4</v>
      </c>
      <c r="L2909">
        <f t="array" ref="L2909">INT(5 * (RANK(I2909,I:I, 0) - 1) / COUNT(I:I)) + 1</f>
        <v>3</v>
      </c>
      <c r="M2909" t="str">
        <f t="shared" si="90"/>
        <v>543</v>
      </c>
      <c r="N2909" s="6" t="str">
        <f t="shared" si="91"/>
        <v>Others</v>
      </c>
    </row>
    <row r="2910" spans="1:14" x14ac:dyDescent="0.35">
      <c r="A2910">
        <v>1358</v>
      </c>
      <c r="B2910" s="4">
        <v>46113.375085336993</v>
      </c>
      <c r="C2910" t="s">
        <v>13</v>
      </c>
      <c r="D2910" t="s">
        <v>16</v>
      </c>
      <c r="E2910" t="s">
        <v>23</v>
      </c>
      <c r="F2910">
        <v>2078.12</v>
      </c>
      <c r="G2910">
        <f t="array" ref="G2910">SalesData!$I$2 - 'RFM Table'!B2910</f>
        <v>23</v>
      </c>
      <c r="H2910">
        <f t="array" ref="H2910">COUNTIF(A:A,A2910)</f>
        <v>9</v>
      </c>
      <c r="I2910">
        <f t="array" ref="I2910">SUMIF(A:A,A2910,F:F)</f>
        <v>29151.88</v>
      </c>
      <c r="J2910">
        <f t="array" ref="J2910">5 - INT(5 * (RANK(G2910,G:G, 1) - 1) / COUNT(G:G))</f>
        <v>5</v>
      </c>
      <c r="K2910">
        <f t="array" ref="K2910">INT(5 * (RANK(H2910,H:H, 0) - 1) / COUNT(H:H)) + 1</f>
        <v>2</v>
      </c>
      <c r="L2910">
        <f t="array" ref="L2910">INT(5 * (RANK(I2910,I:I, 0) - 1) / COUNT(I:I)) + 1</f>
        <v>4</v>
      </c>
      <c r="M2910" t="str">
        <f t="shared" si="90"/>
        <v>524</v>
      </c>
      <c r="N2910" s="6" t="str">
        <f t="shared" si="91"/>
        <v>New Customers</v>
      </c>
    </row>
    <row r="2911" spans="1:14" x14ac:dyDescent="0.35">
      <c r="A2911">
        <v>1315</v>
      </c>
      <c r="B2911" s="4">
        <v>46114.375085336993</v>
      </c>
      <c r="C2911" t="s">
        <v>11</v>
      </c>
      <c r="D2911" t="s">
        <v>22</v>
      </c>
      <c r="E2911" t="s">
        <v>23</v>
      </c>
      <c r="F2911">
        <v>1243.95</v>
      </c>
      <c r="G2911">
        <f t="array" ref="G2911">SalesData!$I$2 - 'RFM Table'!B2911</f>
        <v>22</v>
      </c>
      <c r="H2911">
        <f t="array" ref="H2911">COUNTIF(A:A,A2911)</f>
        <v>12</v>
      </c>
      <c r="I2911">
        <f t="array" ref="I2911">SUMIF(A:A,A2911,F:F)</f>
        <v>42776.80999999999</v>
      </c>
      <c r="J2911">
        <f t="array" ref="J2911">5 - INT(5 * (RANK(G2911,G:G, 1) - 1) / COUNT(G:G))</f>
        <v>5</v>
      </c>
      <c r="K2911">
        <f t="array" ref="K2911">INT(5 * (RANK(H2911,H:H, 0) - 1) / COUNT(H:H)) + 1</f>
        <v>1</v>
      </c>
      <c r="L2911">
        <f t="array" ref="L2911">INT(5 * (RANK(I2911,I:I, 0) - 1) / COUNT(I:I)) + 1</f>
        <v>2</v>
      </c>
      <c r="M2911" t="str">
        <f t="shared" si="90"/>
        <v>512</v>
      </c>
      <c r="N2911" s="6" t="str">
        <f t="shared" si="91"/>
        <v>New Customers</v>
      </c>
    </row>
    <row r="2912" spans="1:14" x14ac:dyDescent="0.35">
      <c r="A2912">
        <v>1155</v>
      </c>
      <c r="B2912" s="4">
        <v>46114.375085336993</v>
      </c>
      <c r="C2912" t="s">
        <v>13</v>
      </c>
      <c r="D2912" t="s">
        <v>18</v>
      </c>
      <c r="E2912" t="s">
        <v>24</v>
      </c>
      <c r="F2912">
        <v>6064.92</v>
      </c>
      <c r="G2912">
        <f t="array" ref="G2912">SalesData!$I$2 - 'RFM Table'!B2912</f>
        <v>22</v>
      </c>
      <c r="H2912">
        <f t="array" ref="H2912">COUNTIF(A:A,A2912)</f>
        <v>5</v>
      </c>
      <c r="I2912">
        <f t="array" ref="I2912">SUMIF(A:A,A2912,F:F)</f>
        <v>15744.06</v>
      </c>
      <c r="J2912">
        <f t="array" ref="J2912">5 - INT(5 * (RANK(G2912,G:G, 1) - 1) / COUNT(G:G))</f>
        <v>5</v>
      </c>
      <c r="K2912">
        <f t="array" ref="K2912">INT(5 * (RANK(H2912,H:H, 0) - 1) / COUNT(H:H)) + 1</f>
        <v>5</v>
      </c>
      <c r="L2912">
        <f t="array" ref="L2912">INT(5 * (RANK(I2912,I:I, 0) - 1) / COUNT(I:I)) + 1</f>
        <v>5</v>
      </c>
      <c r="M2912" t="str">
        <f t="shared" si="90"/>
        <v>555</v>
      </c>
      <c r="N2912" s="6" t="str">
        <f t="shared" si="91"/>
        <v>Others</v>
      </c>
    </row>
    <row r="2913" spans="1:14" x14ac:dyDescent="0.35">
      <c r="A2913">
        <v>1230</v>
      </c>
      <c r="B2913" s="4">
        <v>46114.375085336993</v>
      </c>
      <c r="C2913" t="s">
        <v>7</v>
      </c>
      <c r="D2913" t="s">
        <v>21</v>
      </c>
      <c r="E2913" t="s">
        <v>24</v>
      </c>
      <c r="F2913">
        <v>466.56</v>
      </c>
      <c r="G2913">
        <f t="array" ref="G2913">SalesData!$I$2 - 'RFM Table'!B2913</f>
        <v>22</v>
      </c>
      <c r="H2913">
        <f t="array" ref="H2913">COUNTIF(A:A,A2913)</f>
        <v>11</v>
      </c>
      <c r="I2913">
        <f t="array" ref="I2913">SUMIF(A:A,A2913,F:F)</f>
        <v>29238.53</v>
      </c>
      <c r="J2913">
        <f t="array" ref="J2913">5 - INT(5 * (RANK(G2913,G:G, 1) - 1) / COUNT(G:G))</f>
        <v>5</v>
      </c>
      <c r="K2913">
        <f t="array" ref="K2913">INT(5 * (RANK(H2913,H:H, 0) - 1) / COUNT(H:H)) + 1</f>
        <v>1</v>
      </c>
      <c r="L2913">
        <f t="array" ref="L2913">INT(5 * (RANK(I2913,I:I, 0) - 1) / COUNT(I:I)) + 1</f>
        <v>4</v>
      </c>
      <c r="M2913" t="str">
        <f t="shared" si="90"/>
        <v>514</v>
      </c>
      <c r="N2913" s="6" t="str">
        <f t="shared" si="91"/>
        <v>New Customers</v>
      </c>
    </row>
    <row r="2914" spans="1:14" x14ac:dyDescent="0.35">
      <c r="A2914">
        <v>1385</v>
      </c>
      <c r="B2914" s="4">
        <v>46114.375085336993</v>
      </c>
      <c r="C2914" t="s">
        <v>15</v>
      </c>
      <c r="D2914" t="s">
        <v>19</v>
      </c>
      <c r="E2914" t="s">
        <v>25</v>
      </c>
      <c r="F2914">
        <v>11694.59</v>
      </c>
      <c r="G2914">
        <f t="array" ref="G2914">SalesData!$I$2 - 'RFM Table'!B2914</f>
        <v>22</v>
      </c>
      <c r="H2914">
        <f t="array" ref="H2914">COUNTIF(A:A,A2914)</f>
        <v>11</v>
      </c>
      <c r="I2914">
        <f t="array" ref="I2914">SUMIF(A:A,A2914,F:F)</f>
        <v>73437.08</v>
      </c>
      <c r="J2914">
        <f t="array" ref="J2914">5 - INT(5 * (RANK(G2914,G:G, 1) - 1) / COUNT(G:G))</f>
        <v>5</v>
      </c>
      <c r="K2914">
        <f t="array" ref="K2914">INT(5 * (RANK(H2914,H:H, 0) - 1) / COUNT(H:H)) + 1</f>
        <v>1</v>
      </c>
      <c r="L2914">
        <f t="array" ref="L2914">INT(5 * (RANK(I2914,I:I, 0) - 1) / COUNT(I:I)) + 1</f>
        <v>1</v>
      </c>
      <c r="M2914" t="str">
        <f t="shared" si="90"/>
        <v>511</v>
      </c>
      <c r="N2914" s="6" t="str">
        <f t="shared" si="91"/>
        <v>New Customers</v>
      </c>
    </row>
    <row r="2915" spans="1:14" x14ac:dyDescent="0.35">
      <c r="A2915">
        <v>1130</v>
      </c>
      <c r="B2915" s="4">
        <v>46114.375085336993</v>
      </c>
      <c r="C2915" t="s">
        <v>10</v>
      </c>
      <c r="D2915" t="s">
        <v>18</v>
      </c>
      <c r="E2915" t="s">
        <v>24</v>
      </c>
      <c r="F2915">
        <v>6498.04</v>
      </c>
      <c r="G2915">
        <f t="array" ref="G2915">SalesData!$I$2 - 'RFM Table'!B2915</f>
        <v>22</v>
      </c>
      <c r="H2915">
        <f t="array" ref="H2915">COUNTIF(A:A,A2915)</f>
        <v>9</v>
      </c>
      <c r="I2915">
        <f t="array" ref="I2915">SUMIF(A:A,A2915,F:F)</f>
        <v>36963.729999999996</v>
      </c>
      <c r="J2915">
        <f t="array" ref="J2915">5 - INT(5 * (RANK(G2915,G:G, 1) - 1) / COUNT(G:G))</f>
        <v>5</v>
      </c>
      <c r="K2915">
        <f t="array" ref="K2915">INT(5 * (RANK(H2915,H:H, 0) - 1) / COUNT(H:H)) + 1</f>
        <v>2</v>
      </c>
      <c r="L2915">
        <f t="array" ref="L2915">INT(5 * (RANK(I2915,I:I, 0) - 1) / COUNT(I:I)) + 1</f>
        <v>2</v>
      </c>
      <c r="M2915" t="str">
        <f t="shared" si="90"/>
        <v>522</v>
      </c>
      <c r="N2915" s="6" t="str">
        <f t="shared" si="91"/>
        <v>New Customers</v>
      </c>
    </row>
    <row r="2916" spans="1:14" x14ac:dyDescent="0.35">
      <c r="A2916">
        <v>1052</v>
      </c>
      <c r="B2916" s="4">
        <v>46115.375085336993</v>
      </c>
      <c r="C2916" t="s">
        <v>14</v>
      </c>
      <c r="D2916" t="s">
        <v>17</v>
      </c>
      <c r="E2916" t="s">
        <v>24</v>
      </c>
      <c r="F2916">
        <v>7665.02</v>
      </c>
      <c r="G2916">
        <f t="array" ref="G2916">SalesData!$I$2 - 'RFM Table'!B2916</f>
        <v>21</v>
      </c>
      <c r="H2916">
        <f t="array" ref="H2916">COUNTIF(A:A,A2916)</f>
        <v>9</v>
      </c>
      <c r="I2916">
        <f t="array" ref="I2916">SUMIF(A:A,A2916,F:F)</f>
        <v>35283.15</v>
      </c>
      <c r="J2916">
        <f t="array" ref="J2916">5 - INT(5 * (RANK(G2916,G:G, 1) - 1) / COUNT(G:G))</f>
        <v>5</v>
      </c>
      <c r="K2916">
        <f t="array" ref="K2916">INT(5 * (RANK(H2916,H:H, 0) - 1) / COUNT(H:H)) + 1</f>
        <v>2</v>
      </c>
      <c r="L2916">
        <f t="array" ref="L2916">INT(5 * (RANK(I2916,I:I, 0) - 1) / COUNT(I:I)) + 1</f>
        <v>3</v>
      </c>
      <c r="M2916" t="str">
        <f t="shared" si="90"/>
        <v>523</v>
      </c>
      <c r="N2916" s="6" t="str">
        <f t="shared" si="91"/>
        <v>New Customers</v>
      </c>
    </row>
    <row r="2917" spans="1:14" x14ac:dyDescent="0.35">
      <c r="A2917">
        <v>1054</v>
      </c>
      <c r="B2917" s="4">
        <v>46115.375085336993</v>
      </c>
      <c r="C2917" t="s">
        <v>10</v>
      </c>
      <c r="D2917" t="s">
        <v>16</v>
      </c>
      <c r="E2917" t="s">
        <v>24</v>
      </c>
      <c r="F2917">
        <v>3953.29</v>
      </c>
      <c r="G2917">
        <f t="array" ref="G2917">SalesData!$I$2 - 'RFM Table'!B2917</f>
        <v>21</v>
      </c>
      <c r="H2917">
        <f t="array" ref="H2917">COUNTIF(A:A,A2917)</f>
        <v>7</v>
      </c>
      <c r="I2917">
        <f t="array" ref="I2917">SUMIF(A:A,A2917,F:F)</f>
        <v>21298.79</v>
      </c>
      <c r="J2917">
        <f t="array" ref="J2917">5 - INT(5 * (RANK(G2917,G:G, 1) - 1) / COUNT(G:G))</f>
        <v>5</v>
      </c>
      <c r="K2917">
        <f t="array" ref="K2917">INT(5 * (RANK(H2917,H:H, 0) - 1) / COUNT(H:H)) + 1</f>
        <v>4</v>
      </c>
      <c r="L2917">
        <f t="array" ref="L2917">INT(5 * (RANK(I2917,I:I, 0) - 1) / COUNT(I:I)) + 1</f>
        <v>5</v>
      </c>
      <c r="M2917" t="str">
        <f t="shared" si="90"/>
        <v>545</v>
      </c>
      <c r="N2917" s="6" t="str">
        <f t="shared" si="91"/>
        <v>Others</v>
      </c>
    </row>
    <row r="2918" spans="1:14" x14ac:dyDescent="0.35">
      <c r="A2918">
        <v>1154</v>
      </c>
      <c r="B2918" s="4">
        <v>46115.375085336993</v>
      </c>
      <c r="C2918" t="s">
        <v>13</v>
      </c>
      <c r="D2918" t="s">
        <v>22</v>
      </c>
      <c r="E2918" t="s">
        <v>23</v>
      </c>
      <c r="F2918">
        <v>2316.62</v>
      </c>
      <c r="G2918">
        <f t="array" ref="G2918">SalesData!$I$2 - 'RFM Table'!B2918</f>
        <v>21</v>
      </c>
      <c r="H2918">
        <f t="array" ref="H2918">COUNTIF(A:A,A2918)</f>
        <v>5</v>
      </c>
      <c r="I2918">
        <f t="array" ref="I2918">SUMIF(A:A,A2918,F:F)</f>
        <v>20686.43</v>
      </c>
      <c r="J2918">
        <f t="array" ref="J2918">5 - INT(5 * (RANK(G2918,G:G, 1) - 1) / COUNT(G:G))</f>
        <v>5</v>
      </c>
      <c r="K2918">
        <f t="array" ref="K2918">INT(5 * (RANK(H2918,H:H, 0) - 1) / COUNT(H:H)) + 1</f>
        <v>5</v>
      </c>
      <c r="L2918">
        <f t="array" ref="L2918">INT(5 * (RANK(I2918,I:I, 0) - 1) / COUNT(I:I)) + 1</f>
        <v>5</v>
      </c>
      <c r="M2918" t="str">
        <f t="shared" si="90"/>
        <v>555</v>
      </c>
      <c r="N2918" s="6" t="str">
        <f t="shared" si="91"/>
        <v>Others</v>
      </c>
    </row>
    <row r="2919" spans="1:14" x14ac:dyDescent="0.35">
      <c r="A2919">
        <v>1013</v>
      </c>
      <c r="B2919" s="4">
        <v>46116.375085336993</v>
      </c>
      <c r="C2919" t="s">
        <v>8</v>
      </c>
      <c r="D2919" t="s">
        <v>19</v>
      </c>
      <c r="E2919" t="s">
        <v>23</v>
      </c>
      <c r="F2919">
        <v>1950.74</v>
      </c>
      <c r="G2919">
        <f t="array" ref="G2919">SalesData!$I$2 - 'RFM Table'!B2919</f>
        <v>20</v>
      </c>
      <c r="H2919">
        <f t="array" ref="H2919">COUNTIF(A:A,A2919)</f>
        <v>14</v>
      </c>
      <c r="I2919">
        <f t="array" ref="I2919">SUMIF(A:A,A2919,F:F)</f>
        <v>60099.840000000004</v>
      </c>
      <c r="J2919">
        <f t="array" ref="J2919">5 - INT(5 * (RANK(G2919,G:G, 1) - 1) / COUNT(G:G))</f>
        <v>5</v>
      </c>
      <c r="K2919">
        <f t="array" ref="K2919">INT(5 * (RANK(H2919,H:H, 0) - 1) / COUNT(H:H)) + 1</f>
        <v>1</v>
      </c>
      <c r="L2919">
        <f t="array" ref="L2919">INT(5 * (RANK(I2919,I:I, 0) - 1) / COUNT(I:I)) + 1</f>
        <v>1</v>
      </c>
      <c r="M2919" t="str">
        <f t="shared" si="90"/>
        <v>511</v>
      </c>
      <c r="N2919" s="6" t="str">
        <f t="shared" si="91"/>
        <v>New Customers</v>
      </c>
    </row>
    <row r="2920" spans="1:14" x14ac:dyDescent="0.35">
      <c r="A2920">
        <v>1265</v>
      </c>
      <c r="B2920" s="4">
        <v>46117.375085336993</v>
      </c>
      <c r="C2920" t="s">
        <v>6</v>
      </c>
      <c r="D2920" t="s">
        <v>22</v>
      </c>
      <c r="E2920" t="s">
        <v>25</v>
      </c>
      <c r="F2920">
        <v>923.08</v>
      </c>
      <c r="G2920">
        <f t="array" ref="G2920">SalesData!$I$2 - 'RFM Table'!B2920</f>
        <v>19</v>
      </c>
      <c r="H2920">
        <f t="array" ref="H2920">COUNTIF(A:A,A2920)</f>
        <v>7</v>
      </c>
      <c r="I2920">
        <f t="array" ref="I2920">SUMIF(A:A,A2920,F:F)</f>
        <v>24998.240000000005</v>
      </c>
      <c r="J2920">
        <f t="array" ref="J2920">5 - INT(5 * (RANK(G2920,G:G, 1) - 1) / COUNT(G:G))</f>
        <v>5</v>
      </c>
      <c r="K2920">
        <f t="array" ref="K2920">INT(5 * (RANK(H2920,H:H, 0) - 1) / COUNT(H:H)) + 1</f>
        <v>4</v>
      </c>
      <c r="L2920">
        <f t="array" ref="L2920">INT(5 * (RANK(I2920,I:I, 0) - 1) / COUNT(I:I)) + 1</f>
        <v>4</v>
      </c>
      <c r="M2920" t="str">
        <f t="shared" si="90"/>
        <v>544</v>
      </c>
      <c r="N2920" s="6" t="str">
        <f t="shared" si="91"/>
        <v>Others</v>
      </c>
    </row>
    <row r="2921" spans="1:14" x14ac:dyDescent="0.35">
      <c r="A2921">
        <v>1051</v>
      </c>
      <c r="B2921" s="4">
        <v>46117.375085336993</v>
      </c>
      <c r="C2921" t="s">
        <v>15</v>
      </c>
      <c r="D2921" t="s">
        <v>19</v>
      </c>
      <c r="E2921" t="s">
        <v>23</v>
      </c>
      <c r="F2921">
        <v>1353.94</v>
      </c>
      <c r="G2921">
        <f t="array" ref="G2921">SalesData!$I$2 - 'RFM Table'!B2921</f>
        <v>19</v>
      </c>
      <c r="H2921">
        <f t="array" ref="H2921">COUNTIF(A:A,A2921)</f>
        <v>6</v>
      </c>
      <c r="I2921">
        <f t="array" ref="I2921">SUMIF(A:A,A2921,F:F)</f>
        <v>12660.78</v>
      </c>
      <c r="J2921">
        <f t="array" ref="J2921">5 - INT(5 * (RANK(G2921,G:G, 1) - 1) / COUNT(G:G))</f>
        <v>5</v>
      </c>
      <c r="K2921">
        <f t="array" ref="K2921">INT(5 * (RANK(H2921,H:H, 0) - 1) / COUNT(H:H)) + 1</f>
        <v>4</v>
      </c>
      <c r="L2921">
        <f t="array" ref="L2921">INT(5 * (RANK(I2921,I:I, 0) - 1) / COUNT(I:I)) + 1</f>
        <v>5</v>
      </c>
      <c r="M2921" t="str">
        <f t="shared" si="90"/>
        <v>545</v>
      </c>
      <c r="N2921" s="6" t="str">
        <f t="shared" si="91"/>
        <v>Others</v>
      </c>
    </row>
    <row r="2922" spans="1:14" x14ac:dyDescent="0.35">
      <c r="A2922">
        <v>1352</v>
      </c>
      <c r="B2922" s="4">
        <v>46117.375085336993</v>
      </c>
      <c r="C2922" t="s">
        <v>13</v>
      </c>
      <c r="D2922" t="s">
        <v>21</v>
      </c>
      <c r="E2922" t="s">
        <v>25</v>
      </c>
      <c r="F2922">
        <v>4680.96</v>
      </c>
      <c r="G2922">
        <f t="array" ref="G2922">SalesData!$I$2 - 'RFM Table'!B2922</f>
        <v>19</v>
      </c>
      <c r="H2922">
        <f t="array" ref="H2922">COUNTIF(A:A,A2922)</f>
        <v>8</v>
      </c>
      <c r="I2922">
        <f t="array" ref="I2922">SUMIF(A:A,A2922,F:F)</f>
        <v>35204.92</v>
      </c>
      <c r="J2922">
        <f t="array" ref="J2922">5 - INT(5 * (RANK(G2922,G:G, 1) - 1) / COUNT(G:G))</f>
        <v>5</v>
      </c>
      <c r="K2922">
        <f t="array" ref="K2922">INT(5 * (RANK(H2922,H:H, 0) - 1) / COUNT(H:H)) + 1</f>
        <v>3</v>
      </c>
      <c r="L2922">
        <f t="array" ref="L2922">INT(5 * (RANK(I2922,I:I, 0) - 1) / COUNT(I:I)) + 1</f>
        <v>3</v>
      </c>
      <c r="M2922" t="str">
        <f t="shared" si="90"/>
        <v>533</v>
      </c>
      <c r="N2922" s="6" t="str">
        <f t="shared" si="91"/>
        <v>Others</v>
      </c>
    </row>
    <row r="2923" spans="1:14" x14ac:dyDescent="0.35">
      <c r="A2923">
        <v>1160</v>
      </c>
      <c r="B2923" s="4">
        <v>46118.375085336993</v>
      </c>
      <c r="C2923" t="s">
        <v>11</v>
      </c>
      <c r="D2923" t="s">
        <v>17</v>
      </c>
      <c r="E2923" t="s">
        <v>24</v>
      </c>
      <c r="F2923">
        <v>1318.24</v>
      </c>
      <c r="G2923">
        <f t="array" ref="G2923">SalesData!$I$2 - 'RFM Table'!B2923</f>
        <v>18</v>
      </c>
      <c r="H2923">
        <f t="array" ref="H2923">COUNTIF(A:A,A2923)</f>
        <v>13</v>
      </c>
      <c r="I2923">
        <f t="array" ref="I2923">SUMIF(A:A,A2923,F:F)</f>
        <v>56128.799999999996</v>
      </c>
      <c r="J2923">
        <f t="array" ref="J2923">5 - INT(5 * (RANK(G2923,G:G, 1) - 1) / COUNT(G:G))</f>
        <v>5</v>
      </c>
      <c r="K2923">
        <f t="array" ref="K2923">INT(5 * (RANK(H2923,H:H, 0) - 1) / COUNT(H:H)) + 1</f>
        <v>1</v>
      </c>
      <c r="L2923">
        <f t="array" ref="L2923">INT(5 * (RANK(I2923,I:I, 0) - 1) / COUNT(I:I)) + 1</f>
        <v>1</v>
      </c>
      <c r="M2923" t="str">
        <f t="shared" si="90"/>
        <v>511</v>
      </c>
      <c r="N2923" s="6" t="str">
        <f t="shared" si="91"/>
        <v>New Customers</v>
      </c>
    </row>
    <row r="2924" spans="1:14" x14ac:dyDescent="0.35">
      <c r="A2924">
        <v>1002</v>
      </c>
      <c r="B2924" s="4">
        <v>46118.375085336993</v>
      </c>
      <c r="C2924" t="s">
        <v>7</v>
      </c>
      <c r="D2924" t="s">
        <v>17</v>
      </c>
      <c r="E2924" t="s">
        <v>23</v>
      </c>
      <c r="F2924">
        <v>1078.1600000000001</v>
      </c>
      <c r="G2924">
        <f t="array" ref="G2924">SalesData!$I$2 - 'RFM Table'!B2924</f>
        <v>18</v>
      </c>
      <c r="H2924">
        <f t="array" ref="H2924">COUNTIF(A:A,A2924)</f>
        <v>9</v>
      </c>
      <c r="I2924">
        <f t="array" ref="I2924">SUMIF(A:A,A2924,F:F)</f>
        <v>35145.360000000001</v>
      </c>
      <c r="J2924">
        <f t="array" ref="J2924">5 - INT(5 * (RANK(G2924,G:G, 1) - 1) / COUNT(G:G))</f>
        <v>5</v>
      </c>
      <c r="K2924">
        <f t="array" ref="K2924">INT(5 * (RANK(H2924,H:H, 0) - 1) / COUNT(H:H)) + 1</f>
        <v>2</v>
      </c>
      <c r="L2924">
        <f t="array" ref="L2924">INT(5 * (RANK(I2924,I:I, 0) - 1) / COUNT(I:I)) + 1</f>
        <v>3</v>
      </c>
      <c r="M2924" t="str">
        <f t="shared" si="90"/>
        <v>523</v>
      </c>
      <c r="N2924" s="6" t="str">
        <f t="shared" si="91"/>
        <v>New Customers</v>
      </c>
    </row>
    <row r="2925" spans="1:14" x14ac:dyDescent="0.35">
      <c r="A2925">
        <v>1318</v>
      </c>
      <c r="B2925" s="4">
        <v>46118.375085336993</v>
      </c>
      <c r="C2925" t="s">
        <v>7</v>
      </c>
      <c r="D2925" t="s">
        <v>16</v>
      </c>
      <c r="E2925" t="s">
        <v>24</v>
      </c>
      <c r="F2925">
        <v>6557.01</v>
      </c>
      <c r="G2925">
        <f t="array" ref="G2925">SalesData!$I$2 - 'RFM Table'!B2925</f>
        <v>18</v>
      </c>
      <c r="H2925">
        <f t="array" ref="H2925">COUNTIF(A:A,A2925)</f>
        <v>8</v>
      </c>
      <c r="I2925">
        <f t="array" ref="I2925">SUMIF(A:A,A2925,F:F)</f>
        <v>45571.029999999992</v>
      </c>
      <c r="J2925">
        <f t="array" ref="J2925">5 - INT(5 * (RANK(G2925,G:G, 1) - 1) / COUNT(G:G))</f>
        <v>5</v>
      </c>
      <c r="K2925">
        <f t="array" ref="K2925">INT(5 * (RANK(H2925,H:H, 0) - 1) / COUNT(H:H)) + 1</f>
        <v>3</v>
      </c>
      <c r="L2925">
        <f t="array" ref="L2925">INT(5 * (RANK(I2925,I:I, 0) - 1) / COUNT(I:I)) + 1</f>
        <v>1</v>
      </c>
      <c r="M2925" t="str">
        <f t="shared" si="90"/>
        <v>531</v>
      </c>
      <c r="N2925" s="6" t="str">
        <f t="shared" si="91"/>
        <v>Others</v>
      </c>
    </row>
    <row r="2926" spans="1:14" x14ac:dyDescent="0.35">
      <c r="A2926">
        <v>1089</v>
      </c>
      <c r="B2926" s="4">
        <v>46118.375085336993</v>
      </c>
      <c r="C2926" t="s">
        <v>12</v>
      </c>
      <c r="D2926" t="s">
        <v>16</v>
      </c>
      <c r="E2926" t="s">
        <v>25</v>
      </c>
      <c r="F2926">
        <v>9011.23</v>
      </c>
      <c r="G2926">
        <f t="array" ref="G2926">SalesData!$I$2 - 'RFM Table'!B2926</f>
        <v>18</v>
      </c>
      <c r="H2926">
        <f t="array" ref="H2926">COUNTIF(A:A,A2926)</f>
        <v>10</v>
      </c>
      <c r="I2926">
        <f t="array" ref="I2926">SUMIF(A:A,A2926,F:F)</f>
        <v>36855.5</v>
      </c>
      <c r="J2926">
        <f t="array" ref="J2926">5 - INT(5 * (RANK(G2926,G:G, 1) - 1) / COUNT(G:G))</f>
        <v>5</v>
      </c>
      <c r="K2926">
        <f t="array" ref="K2926">INT(5 * (RANK(H2926,H:H, 0) - 1) / COUNT(H:H)) + 1</f>
        <v>2</v>
      </c>
      <c r="L2926">
        <f t="array" ref="L2926">INT(5 * (RANK(I2926,I:I, 0) - 1) / COUNT(I:I)) + 1</f>
        <v>2</v>
      </c>
      <c r="M2926" t="str">
        <f t="shared" si="90"/>
        <v>522</v>
      </c>
      <c r="N2926" s="6" t="str">
        <f t="shared" si="91"/>
        <v>New Customers</v>
      </c>
    </row>
    <row r="2927" spans="1:14" x14ac:dyDescent="0.35">
      <c r="A2927">
        <v>1156</v>
      </c>
      <c r="B2927" s="4">
        <v>46119.375085336993</v>
      </c>
      <c r="C2927" t="s">
        <v>12</v>
      </c>
      <c r="D2927" t="s">
        <v>17</v>
      </c>
      <c r="E2927" t="s">
        <v>24</v>
      </c>
      <c r="F2927">
        <v>2546.73</v>
      </c>
      <c r="G2927">
        <f t="array" ref="G2927">SalesData!$I$2 - 'RFM Table'!B2927</f>
        <v>17</v>
      </c>
      <c r="H2927">
        <f t="array" ref="H2927">COUNTIF(A:A,A2927)</f>
        <v>8</v>
      </c>
      <c r="I2927">
        <f t="array" ref="I2927">SUMIF(A:A,A2927,F:F)</f>
        <v>43799.990000000005</v>
      </c>
      <c r="J2927">
        <f t="array" ref="J2927">5 - INT(5 * (RANK(G2927,G:G, 1) - 1) / COUNT(G:G))</f>
        <v>5</v>
      </c>
      <c r="K2927">
        <f t="array" ref="K2927">INT(5 * (RANK(H2927,H:H, 0) - 1) / COUNT(H:H)) + 1</f>
        <v>3</v>
      </c>
      <c r="L2927">
        <f t="array" ref="L2927">INT(5 * (RANK(I2927,I:I, 0) - 1) / COUNT(I:I)) + 1</f>
        <v>2</v>
      </c>
      <c r="M2927" t="str">
        <f t="shared" si="90"/>
        <v>532</v>
      </c>
      <c r="N2927" s="6" t="str">
        <f t="shared" si="91"/>
        <v>Others</v>
      </c>
    </row>
    <row r="2928" spans="1:14" x14ac:dyDescent="0.35">
      <c r="A2928">
        <v>1304</v>
      </c>
      <c r="B2928" s="4">
        <v>46119.375085336993</v>
      </c>
      <c r="C2928" t="s">
        <v>15</v>
      </c>
      <c r="D2928" t="s">
        <v>20</v>
      </c>
      <c r="E2928" t="s">
        <v>24</v>
      </c>
      <c r="F2928">
        <v>3309.66</v>
      </c>
      <c r="G2928">
        <f t="array" ref="G2928">SalesData!$I$2 - 'RFM Table'!B2928</f>
        <v>17</v>
      </c>
      <c r="H2928">
        <f t="array" ref="H2928">COUNTIF(A:A,A2928)</f>
        <v>10</v>
      </c>
      <c r="I2928">
        <f t="array" ref="I2928">SUMIF(A:A,A2928,F:F)</f>
        <v>39472.789999999994</v>
      </c>
      <c r="J2928">
        <f t="array" ref="J2928">5 - INT(5 * (RANK(G2928,G:G, 1) - 1) / COUNT(G:G))</f>
        <v>5</v>
      </c>
      <c r="K2928">
        <f t="array" ref="K2928">INT(5 * (RANK(H2928,H:H, 0) - 1) / COUNT(H:H)) + 1</f>
        <v>2</v>
      </c>
      <c r="L2928">
        <f t="array" ref="L2928">INT(5 * (RANK(I2928,I:I, 0) - 1) / COUNT(I:I)) + 1</f>
        <v>2</v>
      </c>
      <c r="M2928" t="str">
        <f t="shared" si="90"/>
        <v>522</v>
      </c>
      <c r="N2928" s="6" t="str">
        <f t="shared" si="91"/>
        <v>New Customers</v>
      </c>
    </row>
    <row r="2929" spans="1:14" x14ac:dyDescent="0.35">
      <c r="A2929">
        <v>1145</v>
      </c>
      <c r="B2929" s="4">
        <v>46119.375085336993</v>
      </c>
      <c r="C2929" t="s">
        <v>15</v>
      </c>
      <c r="D2929" t="s">
        <v>17</v>
      </c>
      <c r="E2929" t="s">
        <v>24</v>
      </c>
      <c r="F2929">
        <v>1209.17</v>
      </c>
      <c r="G2929">
        <f t="array" ref="G2929">SalesData!$I$2 - 'RFM Table'!B2929</f>
        <v>17</v>
      </c>
      <c r="H2929">
        <f t="array" ref="H2929">COUNTIF(A:A,A2929)</f>
        <v>9</v>
      </c>
      <c r="I2929">
        <f t="array" ref="I2929">SUMIF(A:A,A2929,F:F)</f>
        <v>36233.340000000004</v>
      </c>
      <c r="J2929">
        <f t="array" ref="J2929">5 - INT(5 * (RANK(G2929,G:G, 1) - 1) / COUNT(G:G))</f>
        <v>5</v>
      </c>
      <c r="K2929">
        <f t="array" ref="K2929">INT(5 * (RANK(H2929,H:H, 0) - 1) / COUNT(H:H)) + 1</f>
        <v>2</v>
      </c>
      <c r="L2929">
        <f t="array" ref="L2929">INT(5 * (RANK(I2929,I:I, 0) - 1) / COUNT(I:I)) + 1</f>
        <v>3</v>
      </c>
      <c r="M2929" t="str">
        <f t="shared" si="90"/>
        <v>523</v>
      </c>
      <c r="N2929" s="6" t="str">
        <f t="shared" si="91"/>
        <v>New Customers</v>
      </c>
    </row>
    <row r="2930" spans="1:14" x14ac:dyDescent="0.35">
      <c r="A2930">
        <v>1219</v>
      </c>
      <c r="B2930" s="4">
        <v>46119.375085336993</v>
      </c>
      <c r="C2930" t="s">
        <v>6</v>
      </c>
      <c r="D2930" t="s">
        <v>21</v>
      </c>
      <c r="E2930" t="s">
        <v>23</v>
      </c>
      <c r="F2930">
        <v>342.66</v>
      </c>
      <c r="G2930">
        <f t="array" ref="G2930">SalesData!$I$2 - 'RFM Table'!B2930</f>
        <v>17</v>
      </c>
      <c r="H2930">
        <f t="array" ref="H2930">COUNTIF(A:A,A2930)</f>
        <v>11</v>
      </c>
      <c r="I2930">
        <f t="array" ref="I2930">SUMIF(A:A,A2930,F:F)</f>
        <v>38976.650000000009</v>
      </c>
      <c r="J2930">
        <f t="array" ref="J2930">5 - INT(5 * (RANK(G2930,G:G, 1) - 1) / COUNT(G:G))</f>
        <v>5</v>
      </c>
      <c r="K2930">
        <f t="array" ref="K2930">INT(5 * (RANK(H2930,H:H, 0) - 1) / COUNT(H:H)) + 1</f>
        <v>1</v>
      </c>
      <c r="L2930">
        <f t="array" ref="L2930">INT(5 * (RANK(I2930,I:I, 0) - 1) / COUNT(I:I)) + 1</f>
        <v>2</v>
      </c>
      <c r="M2930" t="str">
        <f t="shared" si="90"/>
        <v>512</v>
      </c>
      <c r="N2930" s="6" t="str">
        <f t="shared" si="91"/>
        <v>New Customers</v>
      </c>
    </row>
    <row r="2931" spans="1:14" x14ac:dyDescent="0.35">
      <c r="A2931">
        <v>1388</v>
      </c>
      <c r="B2931" s="4">
        <v>46119.375085336993</v>
      </c>
      <c r="C2931" t="s">
        <v>7</v>
      </c>
      <c r="D2931" t="s">
        <v>18</v>
      </c>
      <c r="E2931" t="s">
        <v>23</v>
      </c>
      <c r="F2931">
        <v>4000.92</v>
      </c>
      <c r="G2931">
        <f t="array" ref="G2931">SalesData!$I$2 - 'RFM Table'!B2931</f>
        <v>17</v>
      </c>
      <c r="H2931">
        <f t="array" ref="H2931">COUNTIF(A:A,A2931)</f>
        <v>4</v>
      </c>
      <c r="I2931">
        <f t="array" ref="I2931">SUMIF(A:A,A2931,F:F)</f>
        <v>16140.15</v>
      </c>
      <c r="J2931">
        <f t="array" ref="J2931">5 - INT(5 * (RANK(G2931,G:G, 1) - 1) / COUNT(G:G))</f>
        <v>5</v>
      </c>
      <c r="K2931">
        <f t="array" ref="K2931">INT(5 * (RANK(H2931,H:H, 0) - 1) / COUNT(H:H)) + 1</f>
        <v>5</v>
      </c>
      <c r="L2931">
        <f t="array" ref="L2931">INT(5 * (RANK(I2931,I:I, 0) - 1) / COUNT(I:I)) + 1</f>
        <v>5</v>
      </c>
      <c r="M2931" t="str">
        <f t="shared" si="90"/>
        <v>555</v>
      </c>
      <c r="N2931" s="6" t="str">
        <f t="shared" si="91"/>
        <v>Others</v>
      </c>
    </row>
    <row r="2932" spans="1:14" x14ac:dyDescent="0.35">
      <c r="A2932">
        <v>1219</v>
      </c>
      <c r="B2932" s="4">
        <v>46120.375085336993</v>
      </c>
      <c r="C2932" t="s">
        <v>12</v>
      </c>
      <c r="D2932" t="s">
        <v>20</v>
      </c>
      <c r="E2932" t="s">
        <v>25</v>
      </c>
      <c r="F2932">
        <v>1670.47</v>
      </c>
      <c r="G2932">
        <f t="array" ref="G2932">SalesData!$I$2 - 'RFM Table'!B2932</f>
        <v>16</v>
      </c>
      <c r="H2932">
        <f t="array" ref="H2932">COUNTIF(A:A,A2932)</f>
        <v>11</v>
      </c>
      <c r="I2932">
        <f t="array" ref="I2932">SUMIF(A:A,A2932,F:F)</f>
        <v>38976.650000000009</v>
      </c>
      <c r="J2932">
        <f t="array" ref="J2932">5 - INT(5 * (RANK(G2932,G:G, 1) - 1) / COUNT(G:G))</f>
        <v>5</v>
      </c>
      <c r="K2932">
        <f t="array" ref="K2932">INT(5 * (RANK(H2932,H:H, 0) - 1) / COUNT(H:H)) + 1</f>
        <v>1</v>
      </c>
      <c r="L2932">
        <f t="array" ref="L2932">INT(5 * (RANK(I2932,I:I, 0) - 1) / COUNT(I:I)) + 1</f>
        <v>2</v>
      </c>
      <c r="M2932" t="str">
        <f t="shared" si="90"/>
        <v>512</v>
      </c>
      <c r="N2932" s="6" t="str">
        <f t="shared" si="91"/>
        <v>New Customers</v>
      </c>
    </row>
    <row r="2933" spans="1:14" x14ac:dyDescent="0.35">
      <c r="A2933">
        <v>1197</v>
      </c>
      <c r="B2933" s="4">
        <v>46120.375085336993</v>
      </c>
      <c r="C2933" t="s">
        <v>9</v>
      </c>
      <c r="D2933" t="s">
        <v>16</v>
      </c>
      <c r="E2933" t="s">
        <v>23</v>
      </c>
      <c r="F2933">
        <v>6727.64</v>
      </c>
      <c r="G2933">
        <f t="array" ref="G2933">SalesData!$I$2 - 'RFM Table'!B2933</f>
        <v>16</v>
      </c>
      <c r="H2933">
        <f t="array" ref="H2933">COUNTIF(A:A,A2933)</f>
        <v>9</v>
      </c>
      <c r="I2933">
        <f t="array" ref="I2933">SUMIF(A:A,A2933,F:F)</f>
        <v>28813.449999999997</v>
      </c>
      <c r="J2933">
        <f t="array" ref="J2933">5 - INT(5 * (RANK(G2933,G:G, 1) - 1) / COUNT(G:G))</f>
        <v>5</v>
      </c>
      <c r="K2933">
        <f t="array" ref="K2933">INT(5 * (RANK(H2933,H:H, 0) - 1) / COUNT(H:H)) + 1</f>
        <v>2</v>
      </c>
      <c r="L2933">
        <f t="array" ref="L2933">INT(5 * (RANK(I2933,I:I, 0) - 1) / COUNT(I:I)) + 1</f>
        <v>4</v>
      </c>
      <c r="M2933" t="str">
        <f t="shared" si="90"/>
        <v>524</v>
      </c>
      <c r="N2933" s="6" t="str">
        <f t="shared" si="91"/>
        <v>New Customers</v>
      </c>
    </row>
    <row r="2934" spans="1:14" x14ac:dyDescent="0.35">
      <c r="A2934">
        <v>1344</v>
      </c>
      <c r="B2934" s="4">
        <v>46120.375085336993</v>
      </c>
      <c r="C2934" t="s">
        <v>13</v>
      </c>
      <c r="D2934" t="s">
        <v>20</v>
      </c>
      <c r="E2934" t="s">
        <v>23</v>
      </c>
      <c r="F2934">
        <v>4194.8</v>
      </c>
      <c r="G2934">
        <f t="array" ref="G2934">SalesData!$I$2 - 'RFM Table'!B2934</f>
        <v>16</v>
      </c>
      <c r="H2934">
        <f t="array" ref="H2934">COUNTIF(A:A,A2934)</f>
        <v>9</v>
      </c>
      <c r="I2934">
        <f t="array" ref="I2934">SUMIF(A:A,A2934,F:F)</f>
        <v>23905.670000000002</v>
      </c>
      <c r="J2934">
        <f t="array" ref="J2934">5 - INT(5 * (RANK(G2934,G:G, 1) - 1) / COUNT(G:G))</f>
        <v>5</v>
      </c>
      <c r="K2934">
        <f t="array" ref="K2934">INT(5 * (RANK(H2934,H:H, 0) - 1) / COUNT(H:H)) + 1</f>
        <v>2</v>
      </c>
      <c r="L2934">
        <f t="array" ref="L2934">INT(5 * (RANK(I2934,I:I, 0) - 1) / COUNT(I:I)) + 1</f>
        <v>4</v>
      </c>
      <c r="M2934" t="str">
        <f t="shared" si="90"/>
        <v>524</v>
      </c>
      <c r="N2934" s="6" t="str">
        <f t="shared" si="91"/>
        <v>New Customers</v>
      </c>
    </row>
    <row r="2935" spans="1:14" x14ac:dyDescent="0.35">
      <c r="A2935">
        <v>1389</v>
      </c>
      <c r="B2935" s="4">
        <v>46121.375085336993</v>
      </c>
      <c r="C2935" t="s">
        <v>9</v>
      </c>
      <c r="D2935" t="s">
        <v>18</v>
      </c>
      <c r="E2935" t="s">
        <v>25</v>
      </c>
      <c r="F2935">
        <v>3441.21</v>
      </c>
      <c r="G2935">
        <f t="array" ref="G2935">SalesData!$I$2 - 'RFM Table'!B2935</f>
        <v>15</v>
      </c>
      <c r="H2935">
        <f t="array" ref="H2935">COUNTIF(A:A,A2935)</f>
        <v>8</v>
      </c>
      <c r="I2935">
        <f t="array" ref="I2935">SUMIF(A:A,A2935,F:F)</f>
        <v>35723.81</v>
      </c>
      <c r="J2935">
        <f t="array" ref="J2935">5 - INT(5 * (RANK(G2935,G:G, 1) - 1) / COUNT(G:G))</f>
        <v>5</v>
      </c>
      <c r="K2935">
        <f t="array" ref="K2935">INT(5 * (RANK(H2935,H:H, 0) - 1) / COUNT(H:H)) + 1</f>
        <v>3</v>
      </c>
      <c r="L2935">
        <f t="array" ref="L2935">INT(5 * (RANK(I2935,I:I, 0) - 1) / COUNT(I:I)) + 1</f>
        <v>3</v>
      </c>
      <c r="M2935" t="str">
        <f t="shared" si="90"/>
        <v>533</v>
      </c>
      <c r="N2935" s="6" t="str">
        <f t="shared" si="91"/>
        <v>Others</v>
      </c>
    </row>
    <row r="2936" spans="1:14" x14ac:dyDescent="0.35">
      <c r="A2936">
        <v>1021</v>
      </c>
      <c r="B2936" s="4">
        <v>46121.375085336993</v>
      </c>
      <c r="C2936" t="s">
        <v>11</v>
      </c>
      <c r="D2936" t="s">
        <v>17</v>
      </c>
      <c r="E2936" t="s">
        <v>24</v>
      </c>
      <c r="F2936">
        <v>1738.08</v>
      </c>
      <c r="G2936">
        <f t="array" ref="G2936">SalesData!$I$2 - 'RFM Table'!B2936</f>
        <v>15</v>
      </c>
      <c r="H2936">
        <f t="array" ref="H2936">COUNTIF(A:A,A2936)</f>
        <v>7</v>
      </c>
      <c r="I2936">
        <f t="array" ref="I2936">SUMIF(A:A,A2936,F:F)</f>
        <v>13087.390000000001</v>
      </c>
      <c r="J2936">
        <f t="array" ref="J2936">5 - INT(5 * (RANK(G2936,G:G, 1) - 1) / COUNT(G:G))</f>
        <v>5</v>
      </c>
      <c r="K2936">
        <f t="array" ref="K2936">INT(5 * (RANK(H2936,H:H, 0) - 1) / COUNT(H:H)) + 1</f>
        <v>4</v>
      </c>
      <c r="L2936">
        <f t="array" ref="L2936">INT(5 * (RANK(I2936,I:I, 0) - 1) / COUNT(I:I)) + 1</f>
        <v>5</v>
      </c>
      <c r="M2936" t="str">
        <f t="shared" si="90"/>
        <v>545</v>
      </c>
      <c r="N2936" s="6" t="str">
        <f t="shared" si="91"/>
        <v>Others</v>
      </c>
    </row>
    <row r="2937" spans="1:14" x14ac:dyDescent="0.35">
      <c r="A2937">
        <v>1189</v>
      </c>
      <c r="B2937" s="4">
        <v>46121.375085336993</v>
      </c>
      <c r="C2937" t="s">
        <v>12</v>
      </c>
      <c r="D2937" t="s">
        <v>21</v>
      </c>
      <c r="E2937" t="s">
        <v>25</v>
      </c>
      <c r="F2937">
        <v>2652.31</v>
      </c>
      <c r="G2937">
        <f t="array" ref="G2937">SalesData!$I$2 - 'RFM Table'!B2937</f>
        <v>15</v>
      </c>
      <c r="H2937">
        <f t="array" ref="H2937">COUNTIF(A:A,A2937)</f>
        <v>10</v>
      </c>
      <c r="I2937">
        <f t="array" ref="I2937">SUMIF(A:A,A2937,F:F)</f>
        <v>29994.030000000002</v>
      </c>
      <c r="J2937">
        <f t="array" ref="J2937">5 - INT(5 * (RANK(G2937,G:G, 1) - 1) / COUNT(G:G))</f>
        <v>5</v>
      </c>
      <c r="K2937">
        <f t="array" ref="K2937">INT(5 * (RANK(H2937,H:H, 0) - 1) / COUNT(H:H)) + 1</f>
        <v>2</v>
      </c>
      <c r="L2937">
        <f t="array" ref="L2937">INT(5 * (RANK(I2937,I:I, 0) - 1) / COUNT(I:I)) + 1</f>
        <v>3</v>
      </c>
      <c r="M2937" t="str">
        <f t="shared" si="90"/>
        <v>523</v>
      </c>
      <c r="N2937" s="6" t="str">
        <f t="shared" si="91"/>
        <v>New Customers</v>
      </c>
    </row>
    <row r="2938" spans="1:14" x14ac:dyDescent="0.35">
      <c r="A2938">
        <v>1049</v>
      </c>
      <c r="B2938" s="4">
        <v>46121.375085336993</v>
      </c>
      <c r="C2938" t="s">
        <v>14</v>
      </c>
      <c r="D2938" t="s">
        <v>18</v>
      </c>
      <c r="E2938" t="s">
        <v>25</v>
      </c>
      <c r="F2938">
        <v>7436.62</v>
      </c>
      <c r="G2938">
        <f t="array" ref="G2938">SalesData!$I$2 - 'RFM Table'!B2938</f>
        <v>15</v>
      </c>
      <c r="H2938">
        <f t="array" ref="H2938">COUNTIF(A:A,A2938)</f>
        <v>6</v>
      </c>
      <c r="I2938">
        <f t="array" ref="I2938">SUMIF(A:A,A2938,F:F)</f>
        <v>21995.52</v>
      </c>
      <c r="J2938">
        <f t="array" ref="J2938">5 - INT(5 * (RANK(G2938,G:G, 1) - 1) / COUNT(G:G))</f>
        <v>5</v>
      </c>
      <c r="K2938">
        <f t="array" ref="K2938">INT(5 * (RANK(H2938,H:H, 0) - 1) / COUNT(H:H)) + 1</f>
        <v>4</v>
      </c>
      <c r="L2938">
        <f t="array" ref="L2938">INT(5 * (RANK(I2938,I:I, 0) - 1) / COUNT(I:I)) + 1</f>
        <v>4</v>
      </c>
      <c r="M2938" t="str">
        <f t="shared" si="90"/>
        <v>544</v>
      </c>
      <c r="N2938" s="6" t="str">
        <f t="shared" si="91"/>
        <v>Others</v>
      </c>
    </row>
    <row r="2939" spans="1:14" x14ac:dyDescent="0.35">
      <c r="A2939">
        <v>1262</v>
      </c>
      <c r="B2939" s="4">
        <v>46122.375085336993</v>
      </c>
      <c r="C2939" t="s">
        <v>7</v>
      </c>
      <c r="D2939" t="s">
        <v>21</v>
      </c>
      <c r="E2939" t="s">
        <v>25</v>
      </c>
      <c r="F2939">
        <v>2172.3000000000002</v>
      </c>
      <c r="G2939">
        <f t="array" ref="G2939">SalesData!$I$2 - 'RFM Table'!B2939</f>
        <v>14</v>
      </c>
      <c r="H2939">
        <f t="array" ref="H2939">COUNTIF(A:A,A2939)</f>
        <v>6</v>
      </c>
      <c r="I2939">
        <f t="array" ref="I2939">SUMIF(A:A,A2939,F:F)</f>
        <v>15936.029999999999</v>
      </c>
      <c r="J2939">
        <f t="array" ref="J2939">5 - INT(5 * (RANK(G2939,G:G, 1) - 1) / COUNT(G:G))</f>
        <v>5</v>
      </c>
      <c r="K2939">
        <f t="array" ref="K2939">INT(5 * (RANK(H2939,H:H, 0) - 1) / COUNT(H:H)) + 1</f>
        <v>4</v>
      </c>
      <c r="L2939">
        <f t="array" ref="L2939">INT(5 * (RANK(I2939,I:I, 0) - 1) / COUNT(I:I)) + 1</f>
        <v>5</v>
      </c>
      <c r="M2939" t="str">
        <f t="shared" si="90"/>
        <v>545</v>
      </c>
      <c r="N2939" s="6" t="str">
        <f t="shared" si="91"/>
        <v>Others</v>
      </c>
    </row>
    <row r="2940" spans="1:14" x14ac:dyDescent="0.35">
      <c r="A2940">
        <v>1067</v>
      </c>
      <c r="B2940" s="4">
        <v>46122.375085336993</v>
      </c>
      <c r="C2940" t="s">
        <v>11</v>
      </c>
      <c r="D2940" t="s">
        <v>18</v>
      </c>
      <c r="E2940" t="s">
        <v>23</v>
      </c>
      <c r="F2940">
        <v>3451.96</v>
      </c>
      <c r="G2940">
        <f t="array" ref="G2940">SalesData!$I$2 - 'RFM Table'!B2940</f>
        <v>14</v>
      </c>
      <c r="H2940">
        <f t="array" ref="H2940">COUNTIF(A:A,A2940)</f>
        <v>6</v>
      </c>
      <c r="I2940">
        <f t="array" ref="I2940">SUMIF(A:A,A2940,F:F)</f>
        <v>15612.87</v>
      </c>
      <c r="J2940">
        <f t="array" ref="J2940">5 - INT(5 * (RANK(G2940,G:G, 1) - 1) / COUNT(G:G))</f>
        <v>5</v>
      </c>
      <c r="K2940">
        <f t="array" ref="K2940">INT(5 * (RANK(H2940,H:H, 0) - 1) / COUNT(H:H)) + 1</f>
        <v>4</v>
      </c>
      <c r="L2940">
        <f t="array" ref="L2940">INT(5 * (RANK(I2940,I:I, 0) - 1) / COUNT(I:I)) + 1</f>
        <v>5</v>
      </c>
      <c r="M2940" t="str">
        <f t="shared" si="90"/>
        <v>545</v>
      </c>
      <c r="N2940" s="6" t="str">
        <f t="shared" si="91"/>
        <v>Others</v>
      </c>
    </row>
    <row r="2941" spans="1:14" x14ac:dyDescent="0.35">
      <c r="A2941">
        <v>1162</v>
      </c>
      <c r="B2941" s="4">
        <v>46123.375085336993</v>
      </c>
      <c r="C2941" t="s">
        <v>14</v>
      </c>
      <c r="D2941" t="s">
        <v>16</v>
      </c>
      <c r="E2941" t="s">
        <v>24</v>
      </c>
      <c r="F2941">
        <v>6058.15</v>
      </c>
      <c r="G2941">
        <f t="array" ref="G2941">SalesData!$I$2 - 'RFM Table'!B2941</f>
        <v>13</v>
      </c>
      <c r="H2941">
        <f t="array" ref="H2941">COUNTIF(A:A,A2941)</f>
        <v>8</v>
      </c>
      <c r="I2941">
        <f t="array" ref="I2941">SUMIF(A:A,A2941,F:F)</f>
        <v>43723.900000000009</v>
      </c>
      <c r="J2941">
        <f t="array" ref="J2941">5 - INT(5 * (RANK(G2941,G:G, 1) - 1) / COUNT(G:G))</f>
        <v>5</v>
      </c>
      <c r="K2941">
        <f t="array" ref="K2941">INT(5 * (RANK(H2941,H:H, 0) - 1) / COUNT(H:H)) + 1</f>
        <v>3</v>
      </c>
      <c r="L2941">
        <f t="array" ref="L2941">INT(5 * (RANK(I2941,I:I, 0) - 1) / COUNT(I:I)) + 1</f>
        <v>2</v>
      </c>
      <c r="M2941" t="str">
        <f t="shared" si="90"/>
        <v>532</v>
      </c>
      <c r="N2941" s="6" t="str">
        <f t="shared" si="91"/>
        <v>Others</v>
      </c>
    </row>
    <row r="2942" spans="1:14" x14ac:dyDescent="0.35">
      <c r="A2942">
        <v>1017</v>
      </c>
      <c r="B2942" s="4">
        <v>46123.375085336993</v>
      </c>
      <c r="C2942" t="s">
        <v>8</v>
      </c>
      <c r="D2942" t="s">
        <v>18</v>
      </c>
      <c r="E2942" t="s">
        <v>24</v>
      </c>
      <c r="F2942">
        <v>2265.98</v>
      </c>
      <c r="G2942">
        <f t="array" ref="G2942">SalesData!$I$2 - 'RFM Table'!B2942</f>
        <v>13</v>
      </c>
      <c r="H2942">
        <f t="array" ref="H2942">COUNTIF(A:A,A2942)</f>
        <v>4</v>
      </c>
      <c r="I2942">
        <f t="array" ref="I2942">SUMIF(A:A,A2942,F:F)</f>
        <v>13232.439999999999</v>
      </c>
      <c r="J2942">
        <f t="array" ref="J2942">5 - INT(5 * (RANK(G2942,G:G, 1) - 1) / COUNT(G:G))</f>
        <v>5</v>
      </c>
      <c r="K2942">
        <f t="array" ref="K2942">INT(5 * (RANK(H2942,H:H, 0) - 1) / COUNT(H:H)) + 1</f>
        <v>5</v>
      </c>
      <c r="L2942">
        <f t="array" ref="L2942">INT(5 * (RANK(I2942,I:I, 0) - 1) / COUNT(I:I)) + 1</f>
        <v>5</v>
      </c>
      <c r="M2942" t="str">
        <f t="shared" si="90"/>
        <v>555</v>
      </c>
      <c r="N2942" s="6" t="str">
        <f t="shared" si="91"/>
        <v>Others</v>
      </c>
    </row>
    <row r="2943" spans="1:14" x14ac:dyDescent="0.35">
      <c r="A2943">
        <v>1118</v>
      </c>
      <c r="B2943" s="4">
        <v>46123.375085336993</v>
      </c>
      <c r="C2943" t="s">
        <v>9</v>
      </c>
      <c r="D2943" t="s">
        <v>17</v>
      </c>
      <c r="E2943" t="s">
        <v>23</v>
      </c>
      <c r="F2943">
        <v>1041.72</v>
      </c>
      <c r="G2943">
        <f t="array" ref="G2943">SalesData!$I$2 - 'RFM Table'!B2943</f>
        <v>13</v>
      </c>
      <c r="H2943">
        <f t="array" ref="H2943">COUNTIF(A:A,A2943)</f>
        <v>10</v>
      </c>
      <c r="I2943">
        <f t="array" ref="I2943">SUMIF(A:A,A2943,F:F)</f>
        <v>40587.47</v>
      </c>
      <c r="J2943">
        <f t="array" ref="J2943">5 - INT(5 * (RANK(G2943,G:G, 1) - 1) / COUNT(G:G))</f>
        <v>5</v>
      </c>
      <c r="K2943">
        <f t="array" ref="K2943">INT(5 * (RANK(H2943,H:H, 0) - 1) / COUNT(H:H)) + 1</f>
        <v>2</v>
      </c>
      <c r="L2943">
        <f t="array" ref="L2943">INT(5 * (RANK(I2943,I:I, 0) - 1) / COUNT(I:I)) + 1</f>
        <v>2</v>
      </c>
      <c r="M2943" t="str">
        <f t="shared" si="90"/>
        <v>522</v>
      </c>
      <c r="N2943" s="6" t="str">
        <f t="shared" si="91"/>
        <v>New Customers</v>
      </c>
    </row>
    <row r="2944" spans="1:14" x14ac:dyDescent="0.35">
      <c r="A2944">
        <v>1089</v>
      </c>
      <c r="B2944" s="4">
        <v>46123.375085336993</v>
      </c>
      <c r="C2944" t="s">
        <v>9</v>
      </c>
      <c r="D2944" t="s">
        <v>20</v>
      </c>
      <c r="E2944" t="s">
        <v>24</v>
      </c>
      <c r="F2944">
        <v>2002.94</v>
      </c>
      <c r="G2944">
        <f t="array" ref="G2944">SalesData!$I$2 - 'RFM Table'!B2944</f>
        <v>13</v>
      </c>
      <c r="H2944">
        <f t="array" ref="H2944">COUNTIF(A:A,A2944)</f>
        <v>10</v>
      </c>
      <c r="I2944">
        <f t="array" ref="I2944">SUMIF(A:A,A2944,F:F)</f>
        <v>36855.5</v>
      </c>
      <c r="J2944">
        <f t="array" ref="J2944">5 - INT(5 * (RANK(G2944,G:G, 1) - 1) / COUNT(G:G))</f>
        <v>5</v>
      </c>
      <c r="K2944">
        <f t="array" ref="K2944">INT(5 * (RANK(H2944,H:H, 0) - 1) / COUNT(H:H)) + 1</f>
        <v>2</v>
      </c>
      <c r="L2944">
        <f t="array" ref="L2944">INT(5 * (RANK(I2944,I:I, 0) - 1) / COUNT(I:I)) + 1</f>
        <v>2</v>
      </c>
      <c r="M2944" t="str">
        <f t="shared" si="90"/>
        <v>522</v>
      </c>
      <c r="N2944" s="6" t="str">
        <f t="shared" si="91"/>
        <v>New Customers</v>
      </c>
    </row>
    <row r="2945" spans="1:14" x14ac:dyDescent="0.35">
      <c r="A2945">
        <v>1158</v>
      </c>
      <c r="B2945" s="4">
        <v>46124.375085336993</v>
      </c>
      <c r="C2945" t="s">
        <v>11</v>
      </c>
      <c r="D2945" t="s">
        <v>16</v>
      </c>
      <c r="E2945" t="s">
        <v>24</v>
      </c>
      <c r="F2945">
        <v>1963.52</v>
      </c>
      <c r="G2945">
        <f t="array" ref="G2945">SalesData!$I$2 - 'RFM Table'!B2945</f>
        <v>12</v>
      </c>
      <c r="H2945">
        <f t="array" ref="H2945">COUNTIF(A:A,A2945)</f>
        <v>5</v>
      </c>
      <c r="I2945">
        <f t="array" ref="I2945">SUMIF(A:A,A2945,F:F)</f>
        <v>14717.050000000001</v>
      </c>
      <c r="J2945">
        <f t="array" ref="J2945">5 - INT(5 * (RANK(G2945,G:G, 1) - 1) / COUNT(G:G))</f>
        <v>5</v>
      </c>
      <c r="K2945">
        <f t="array" ref="K2945">INT(5 * (RANK(H2945,H:H, 0) - 1) / COUNT(H:H)) + 1</f>
        <v>5</v>
      </c>
      <c r="L2945">
        <f t="array" ref="L2945">INT(5 * (RANK(I2945,I:I, 0) - 1) / COUNT(I:I)) + 1</f>
        <v>5</v>
      </c>
      <c r="M2945" t="str">
        <f t="shared" si="90"/>
        <v>555</v>
      </c>
      <c r="N2945" s="6" t="str">
        <f t="shared" si="91"/>
        <v>Others</v>
      </c>
    </row>
    <row r="2946" spans="1:14" x14ac:dyDescent="0.35">
      <c r="A2946">
        <v>1031</v>
      </c>
      <c r="B2946" s="4">
        <v>46124.375085336993</v>
      </c>
      <c r="C2946" t="s">
        <v>13</v>
      </c>
      <c r="D2946" t="s">
        <v>17</v>
      </c>
      <c r="E2946" t="s">
        <v>25</v>
      </c>
      <c r="F2946">
        <v>6073.94</v>
      </c>
      <c r="G2946">
        <f t="array" ref="G2946">SalesData!$I$2 - 'RFM Table'!B2946</f>
        <v>12</v>
      </c>
      <c r="H2946">
        <f t="array" ref="H2946">COUNTIF(A:A,A2946)</f>
        <v>3</v>
      </c>
      <c r="I2946">
        <f t="array" ref="I2946">SUMIF(A:A,A2946,F:F)</f>
        <v>11609.24</v>
      </c>
      <c r="J2946">
        <f t="array" ref="J2946">5 - INT(5 * (RANK(G2946,G:G, 1) - 1) / COUNT(G:G))</f>
        <v>5</v>
      </c>
      <c r="K2946">
        <f t="array" ref="K2946">INT(5 * (RANK(H2946,H:H, 0) - 1) / COUNT(H:H)) + 1</f>
        <v>5</v>
      </c>
      <c r="L2946">
        <f t="array" ref="L2946">INT(5 * (RANK(I2946,I:I, 0) - 1) / COUNT(I:I)) + 1</f>
        <v>5</v>
      </c>
      <c r="M2946" t="str">
        <f t="shared" si="90"/>
        <v>555</v>
      </c>
      <c r="N2946" s="6" t="str">
        <f t="shared" si="91"/>
        <v>Others</v>
      </c>
    </row>
    <row r="2947" spans="1:14" x14ac:dyDescent="0.35">
      <c r="A2947">
        <v>1289</v>
      </c>
      <c r="B2947" s="4">
        <v>46125.375085336993</v>
      </c>
      <c r="C2947" t="s">
        <v>12</v>
      </c>
      <c r="D2947" t="s">
        <v>16</v>
      </c>
      <c r="E2947" t="s">
        <v>25</v>
      </c>
      <c r="F2947">
        <v>1869.21</v>
      </c>
      <c r="G2947">
        <f t="array" ref="G2947">SalesData!$I$2 - 'RFM Table'!B2947</f>
        <v>11</v>
      </c>
      <c r="H2947">
        <f t="array" ref="H2947">COUNTIF(A:A,A2947)</f>
        <v>5</v>
      </c>
      <c r="I2947">
        <f t="array" ref="I2947">SUMIF(A:A,A2947,F:F)</f>
        <v>21964.689999999995</v>
      </c>
      <c r="J2947">
        <f t="array" ref="J2947">5 - INT(5 * (RANK(G2947,G:G, 1) - 1) / COUNT(G:G))</f>
        <v>5</v>
      </c>
      <c r="K2947">
        <f t="array" ref="K2947">INT(5 * (RANK(H2947,H:H, 0) - 1) / COUNT(H:H)) + 1</f>
        <v>5</v>
      </c>
      <c r="L2947">
        <f t="array" ref="L2947">INT(5 * (RANK(I2947,I:I, 0) - 1) / COUNT(I:I)) + 1</f>
        <v>4</v>
      </c>
      <c r="M2947" t="str">
        <f t="shared" ref="M2947:M3001" si="92">J2947 &amp; K2947 &amp; L2947</f>
        <v>554</v>
      </c>
      <c r="N2947" s="6" t="str">
        <f t="shared" ref="N2947:N3001" si="93">IF(AND(J2947&gt;=4,K2947&lt;=2),"New Customers",
IF(AND(J2947&lt;=2,K2947&gt;=3,L2947&gt;=3),"At Risk",
IF(AND(J2947&lt;=2,K2947&lt;=2,L2947&gt;=3),"Can't Lose Them",
IF(AND(J2947&lt;=2,K2947&lt;=2,L2947&lt;=2),"Lost",
"Others"))))</f>
        <v>Others</v>
      </c>
    </row>
    <row r="2948" spans="1:14" x14ac:dyDescent="0.35">
      <c r="A2948">
        <v>1105</v>
      </c>
      <c r="B2948" s="4">
        <v>46125.375085336993</v>
      </c>
      <c r="C2948" t="s">
        <v>13</v>
      </c>
      <c r="D2948" t="s">
        <v>19</v>
      </c>
      <c r="E2948" t="s">
        <v>23</v>
      </c>
      <c r="F2948">
        <v>3424.24</v>
      </c>
      <c r="G2948">
        <f t="array" ref="G2948">SalesData!$I$2 - 'RFM Table'!B2948</f>
        <v>11</v>
      </c>
      <c r="H2948">
        <f t="array" ref="H2948">COUNTIF(A:A,A2948)</f>
        <v>7</v>
      </c>
      <c r="I2948">
        <f t="array" ref="I2948">SUMIF(A:A,A2948,F:F)</f>
        <v>24539.160000000003</v>
      </c>
      <c r="J2948">
        <f t="array" ref="J2948">5 - INT(5 * (RANK(G2948,G:G, 1) - 1) / COUNT(G:G))</f>
        <v>5</v>
      </c>
      <c r="K2948">
        <f t="array" ref="K2948">INT(5 * (RANK(H2948,H:H, 0) - 1) / COUNT(H:H)) + 1</f>
        <v>4</v>
      </c>
      <c r="L2948">
        <f t="array" ref="L2948">INT(5 * (RANK(I2948,I:I, 0) - 1) / COUNT(I:I)) + 1</f>
        <v>4</v>
      </c>
      <c r="M2948" t="str">
        <f t="shared" si="92"/>
        <v>544</v>
      </c>
      <c r="N2948" s="6" t="str">
        <f t="shared" si="93"/>
        <v>Others</v>
      </c>
    </row>
    <row r="2949" spans="1:14" x14ac:dyDescent="0.35">
      <c r="A2949">
        <v>1112</v>
      </c>
      <c r="B2949" s="4">
        <v>46125.375085336993</v>
      </c>
      <c r="C2949" t="s">
        <v>8</v>
      </c>
      <c r="D2949" t="s">
        <v>16</v>
      </c>
      <c r="E2949" t="s">
        <v>23</v>
      </c>
      <c r="F2949">
        <v>3030.26</v>
      </c>
      <c r="G2949">
        <f t="array" ref="G2949">SalesData!$I$2 - 'RFM Table'!B2949</f>
        <v>11</v>
      </c>
      <c r="H2949">
        <f t="array" ref="H2949">COUNTIF(A:A,A2949)</f>
        <v>12</v>
      </c>
      <c r="I2949">
        <f t="array" ref="I2949">SUMIF(A:A,A2949,F:F)</f>
        <v>38950.210000000006</v>
      </c>
      <c r="J2949">
        <f t="array" ref="J2949">5 - INT(5 * (RANK(G2949,G:G, 1) - 1) / COUNT(G:G))</f>
        <v>5</v>
      </c>
      <c r="K2949">
        <f t="array" ref="K2949">INT(5 * (RANK(H2949,H:H, 0) - 1) / COUNT(H:H)) + 1</f>
        <v>1</v>
      </c>
      <c r="L2949">
        <f t="array" ref="L2949">INT(5 * (RANK(I2949,I:I, 0) - 1) / COUNT(I:I)) + 1</f>
        <v>2</v>
      </c>
      <c r="M2949" t="str">
        <f t="shared" si="92"/>
        <v>512</v>
      </c>
      <c r="N2949" s="6" t="str">
        <f t="shared" si="93"/>
        <v>New Customers</v>
      </c>
    </row>
    <row r="2950" spans="1:14" x14ac:dyDescent="0.35">
      <c r="A2950">
        <v>1033</v>
      </c>
      <c r="B2950" s="4">
        <v>46125.375085336993</v>
      </c>
      <c r="C2950" t="s">
        <v>7</v>
      </c>
      <c r="D2950" t="s">
        <v>22</v>
      </c>
      <c r="E2950" t="s">
        <v>24</v>
      </c>
      <c r="F2950">
        <v>1141.51</v>
      </c>
      <c r="G2950">
        <f t="array" ref="G2950">SalesData!$I$2 - 'RFM Table'!B2950</f>
        <v>11</v>
      </c>
      <c r="H2950">
        <f t="array" ref="H2950">COUNTIF(A:A,A2950)</f>
        <v>7</v>
      </c>
      <c r="I2950">
        <f t="array" ref="I2950">SUMIF(A:A,A2950,F:F)</f>
        <v>18694.46</v>
      </c>
      <c r="J2950">
        <f t="array" ref="J2950">5 - INT(5 * (RANK(G2950,G:G, 1) - 1) / COUNT(G:G))</f>
        <v>5</v>
      </c>
      <c r="K2950">
        <f t="array" ref="K2950">INT(5 * (RANK(H2950,H:H, 0) - 1) / COUNT(H:H)) + 1</f>
        <v>4</v>
      </c>
      <c r="L2950">
        <f t="array" ref="L2950">INT(5 * (RANK(I2950,I:I, 0) - 1) / COUNT(I:I)) + 1</f>
        <v>5</v>
      </c>
      <c r="M2950" t="str">
        <f t="shared" si="92"/>
        <v>545</v>
      </c>
      <c r="N2950" s="6" t="str">
        <f t="shared" si="93"/>
        <v>Others</v>
      </c>
    </row>
    <row r="2951" spans="1:14" x14ac:dyDescent="0.35">
      <c r="A2951">
        <v>1010</v>
      </c>
      <c r="B2951" s="4">
        <v>46125.375085336993</v>
      </c>
      <c r="C2951" t="s">
        <v>12</v>
      </c>
      <c r="D2951" t="s">
        <v>17</v>
      </c>
      <c r="E2951" t="s">
        <v>25</v>
      </c>
      <c r="F2951">
        <v>1038.32</v>
      </c>
      <c r="G2951">
        <f t="array" ref="G2951">SalesData!$I$2 - 'RFM Table'!B2951</f>
        <v>11</v>
      </c>
      <c r="H2951">
        <f t="array" ref="H2951">COUNTIF(A:A,A2951)</f>
        <v>7</v>
      </c>
      <c r="I2951">
        <f t="array" ref="I2951">SUMIF(A:A,A2951,F:F)</f>
        <v>26629.329999999998</v>
      </c>
      <c r="J2951">
        <f t="array" ref="J2951">5 - INT(5 * (RANK(G2951,G:G, 1) - 1) / COUNT(G:G))</f>
        <v>5</v>
      </c>
      <c r="K2951">
        <f t="array" ref="K2951">INT(5 * (RANK(H2951,H:H, 0) - 1) / COUNT(H:H)) + 1</f>
        <v>4</v>
      </c>
      <c r="L2951">
        <f t="array" ref="L2951">INT(5 * (RANK(I2951,I:I, 0) - 1) / COUNT(I:I)) + 1</f>
        <v>4</v>
      </c>
      <c r="M2951" t="str">
        <f t="shared" si="92"/>
        <v>544</v>
      </c>
      <c r="N2951" s="6" t="str">
        <f t="shared" si="93"/>
        <v>Others</v>
      </c>
    </row>
    <row r="2952" spans="1:14" x14ac:dyDescent="0.35">
      <c r="A2952">
        <v>1264</v>
      </c>
      <c r="B2952" s="4">
        <v>46125.375085336993</v>
      </c>
      <c r="C2952" t="s">
        <v>13</v>
      </c>
      <c r="D2952" t="s">
        <v>20</v>
      </c>
      <c r="E2952" t="s">
        <v>24</v>
      </c>
      <c r="F2952">
        <v>1592.94</v>
      </c>
      <c r="G2952">
        <f t="array" ref="G2952">SalesData!$I$2 - 'RFM Table'!B2952</f>
        <v>11</v>
      </c>
      <c r="H2952">
        <f t="array" ref="H2952">COUNTIF(A:A,A2952)</f>
        <v>4</v>
      </c>
      <c r="I2952">
        <f t="array" ref="I2952">SUMIF(A:A,A2952,F:F)</f>
        <v>16880.16</v>
      </c>
      <c r="J2952">
        <f t="array" ref="J2952">5 - INT(5 * (RANK(G2952,G:G, 1) - 1) / COUNT(G:G))</f>
        <v>5</v>
      </c>
      <c r="K2952">
        <f t="array" ref="K2952">INT(5 * (RANK(H2952,H:H, 0) - 1) / COUNT(H:H)) + 1</f>
        <v>5</v>
      </c>
      <c r="L2952">
        <f t="array" ref="L2952">INT(5 * (RANK(I2952,I:I, 0) - 1) / COUNT(I:I)) + 1</f>
        <v>5</v>
      </c>
      <c r="M2952" t="str">
        <f t="shared" si="92"/>
        <v>555</v>
      </c>
      <c r="N2952" s="6" t="str">
        <f t="shared" si="93"/>
        <v>Others</v>
      </c>
    </row>
    <row r="2953" spans="1:14" x14ac:dyDescent="0.35">
      <c r="A2953">
        <v>1145</v>
      </c>
      <c r="B2953" s="4">
        <v>46125.375085336993</v>
      </c>
      <c r="C2953" t="s">
        <v>14</v>
      </c>
      <c r="D2953" t="s">
        <v>16</v>
      </c>
      <c r="E2953" t="s">
        <v>25</v>
      </c>
      <c r="F2953">
        <v>4204.03</v>
      </c>
      <c r="G2953">
        <f t="array" ref="G2953">SalesData!$I$2 - 'RFM Table'!B2953</f>
        <v>11</v>
      </c>
      <c r="H2953">
        <f t="array" ref="H2953">COUNTIF(A:A,A2953)</f>
        <v>9</v>
      </c>
      <c r="I2953">
        <f t="array" ref="I2953">SUMIF(A:A,A2953,F:F)</f>
        <v>36233.340000000004</v>
      </c>
      <c r="J2953">
        <f t="array" ref="J2953">5 - INT(5 * (RANK(G2953,G:G, 1) - 1) / COUNT(G:G))</f>
        <v>5</v>
      </c>
      <c r="K2953">
        <f t="array" ref="K2953">INT(5 * (RANK(H2953,H:H, 0) - 1) / COUNT(H:H)) + 1</f>
        <v>2</v>
      </c>
      <c r="L2953">
        <f t="array" ref="L2953">INT(5 * (RANK(I2953,I:I, 0) - 1) / COUNT(I:I)) + 1</f>
        <v>3</v>
      </c>
      <c r="M2953" t="str">
        <f t="shared" si="92"/>
        <v>523</v>
      </c>
      <c r="N2953" s="6" t="str">
        <f t="shared" si="93"/>
        <v>New Customers</v>
      </c>
    </row>
    <row r="2954" spans="1:14" x14ac:dyDescent="0.35">
      <c r="A2954">
        <v>1149</v>
      </c>
      <c r="B2954" s="4">
        <v>46125.375085336993</v>
      </c>
      <c r="C2954" t="s">
        <v>15</v>
      </c>
      <c r="D2954" t="s">
        <v>19</v>
      </c>
      <c r="E2954" t="s">
        <v>23</v>
      </c>
      <c r="F2954">
        <v>1452</v>
      </c>
      <c r="G2954">
        <f t="array" ref="G2954">SalesData!$I$2 - 'RFM Table'!B2954</f>
        <v>11</v>
      </c>
      <c r="H2954">
        <f t="array" ref="H2954">COUNTIF(A:A,A2954)</f>
        <v>8</v>
      </c>
      <c r="I2954">
        <f t="array" ref="I2954">SUMIF(A:A,A2954,F:F)</f>
        <v>22978.19</v>
      </c>
      <c r="J2954">
        <f t="array" ref="J2954">5 - INT(5 * (RANK(G2954,G:G, 1) - 1) / COUNT(G:G))</f>
        <v>5</v>
      </c>
      <c r="K2954">
        <f t="array" ref="K2954">INT(5 * (RANK(H2954,H:H, 0) - 1) / COUNT(H:H)) + 1</f>
        <v>3</v>
      </c>
      <c r="L2954">
        <f t="array" ref="L2954">INT(5 * (RANK(I2954,I:I, 0) - 1) / COUNT(I:I)) + 1</f>
        <v>4</v>
      </c>
      <c r="M2954" t="str">
        <f t="shared" si="92"/>
        <v>534</v>
      </c>
      <c r="N2954" s="6" t="str">
        <f t="shared" si="93"/>
        <v>Others</v>
      </c>
    </row>
    <row r="2955" spans="1:14" x14ac:dyDescent="0.35">
      <c r="A2955">
        <v>1004</v>
      </c>
      <c r="B2955" s="4">
        <v>46126.375085336993</v>
      </c>
      <c r="C2955" t="s">
        <v>10</v>
      </c>
      <c r="D2955" t="s">
        <v>16</v>
      </c>
      <c r="E2955" t="s">
        <v>23</v>
      </c>
      <c r="F2955">
        <v>3386.35</v>
      </c>
      <c r="G2955">
        <f t="array" ref="G2955">SalesData!$I$2 - 'RFM Table'!B2955</f>
        <v>10</v>
      </c>
      <c r="H2955">
        <f t="array" ref="H2955">COUNTIF(A:A,A2955)</f>
        <v>12</v>
      </c>
      <c r="I2955">
        <f t="array" ref="I2955">SUMIF(A:A,A2955,F:F)</f>
        <v>34222.5</v>
      </c>
      <c r="J2955">
        <f t="array" ref="J2955">5 - INT(5 * (RANK(G2955,G:G, 1) - 1) / COUNT(G:G))</f>
        <v>5</v>
      </c>
      <c r="K2955">
        <f t="array" ref="K2955">INT(5 * (RANK(H2955,H:H, 0) - 1) / COUNT(H:H)) + 1</f>
        <v>1</v>
      </c>
      <c r="L2955">
        <f t="array" ref="L2955">INT(5 * (RANK(I2955,I:I, 0) - 1) / COUNT(I:I)) + 1</f>
        <v>3</v>
      </c>
      <c r="M2955" t="str">
        <f t="shared" si="92"/>
        <v>513</v>
      </c>
      <c r="N2955" s="6" t="str">
        <f t="shared" si="93"/>
        <v>New Customers</v>
      </c>
    </row>
    <row r="2956" spans="1:14" x14ac:dyDescent="0.35">
      <c r="A2956">
        <v>1075</v>
      </c>
      <c r="B2956" s="4">
        <v>46126.375085336993</v>
      </c>
      <c r="C2956" t="s">
        <v>13</v>
      </c>
      <c r="D2956" t="s">
        <v>20</v>
      </c>
      <c r="E2956" t="s">
        <v>23</v>
      </c>
      <c r="F2956">
        <v>1195.6400000000001</v>
      </c>
      <c r="G2956">
        <f t="array" ref="G2956">SalesData!$I$2 - 'RFM Table'!B2956</f>
        <v>10</v>
      </c>
      <c r="H2956">
        <f t="array" ref="H2956">COUNTIF(A:A,A2956)</f>
        <v>8</v>
      </c>
      <c r="I2956">
        <f t="array" ref="I2956">SUMIF(A:A,A2956,F:F)</f>
        <v>27084.66</v>
      </c>
      <c r="J2956">
        <f t="array" ref="J2956">5 - INT(5 * (RANK(G2956,G:G, 1) - 1) / COUNT(G:G))</f>
        <v>5</v>
      </c>
      <c r="K2956">
        <f t="array" ref="K2956">INT(5 * (RANK(H2956,H:H, 0) - 1) / COUNT(H:H)) + 1</f>
        <v>3</v>
      </c>
      <c r="L2956">
        <f t="array" ref="L2956">INT(5 * (RANK(I2956,I:I, 0) - 1) / COUNT(I:I)) + 1</f>
        <v>4</v>
      </c>
      <c r="M2956" t="str">
        <f t="shared" si="92"/>
        <v>534</v>
      </c>
      <c r="N2956" s="6" t="str">
        <f t="shared" si="93"/>
        <v>Others</v>
      </c>
    </row>
    <row r="2957" spans="1:14" x14ac:dyDescent="0.35">
      <c r="A2957">
        <v>1046</v>
      </c>
      <c r="B2957" s="4">
        <v>46126.375085336993</v>
      </c>
      <c r="C2957" t="s">
        <v>15</v>
      </c>
      <c r="D2957" t="s">
        <v>20</v>
      </c>
      <c r="E2957" t="s">
        <v>23</v>
      </c>
      <c r="F2957">
        <v>5403.43</v>
      </c>
      <c r="G2957">
        <f t="array" ref="G2957">SalesData!$I$2 - 'RFM Table'!B2957</f>
        <v>10</v>
      </c>
      <c r="H2957">
        <f t="array" ref="H2957">COUNTIF(A:A,A2957)</f>
        <v>9</v>
      </c>
      <c r="I2957">
        <f t="array" ref="I2957">SUMIF(A:A,A2957,F:F)</f>
        <v>26580.030000000002</v>
      </c>
      <c r="J2957">
        <f t="array" ref="J2957">5 - INT(5 * (RANK(G2957,G:G, 1) - 1) / COUNT(G:G))</f>
        <v>5</v>
      </c>
      <c r="K2957">
        <f t="array" ref="K2957">INT(5 * (RANK(H2957,H:H, 0) - 1) / COUNT(H:H)) + 1</f>
        <v>2</v>
      </c>
      <c r="L2957">
        <f t="array" ref="L2957">INT(5 * (RANK(I2957,I:I, 0) - 1) / COUNT(I:I)) + 1</f>
        <v>4</v>
      </c>
      <c r="M2957" t="str">
        <f t="shared" si="92"/>
        <v>524</v>
      </c>
      <c r="N2957" s="6" t="str">
        <f t="shared" si="93"/>
        <v>New Customers</v>
      </c>
    </row>
    <row r="2958" spans="1:14" x14ac:dyDescent="0.35">
      <c r="A2958">
        <v>1056</v>
      </c>
      <c r="B2958" s="4">
        <v>46126.375085336993</v>
      </c>
      <c r="C2958" t="s">
        <v>9</v>
      </c>
      <c r="D2958" t="s">
        <v>19</v>
      </c>
      <c r="E2958" t="s">
        <v>23</v>
      </c>
      <c r="F2958">
        <v>2516.44</v>
      </c>
      <c r="G2958">
        <f t="array" ref="G2958">SalesData!$I$2 - 'RFM Table'!B2958</f>
        <v>10</v>
      </c>
      <c r="H2958">
        <f t="array" ref="H2958">COUNTIF(A:A,A2958)</f>
        <v>3</v>
      </c>
      <c r="I2958">
        <f t="array" ref="I2958">SUMIF(A:A,A2958,F:F)</f>
        <v>7049.0300000000007</v>
      </c>
      <c r="J2958">
        <f t="array" ref="J2958">5 - INT(5 * (RANK(G2958,G:G, 1) - 1) / COUNT(G:G))</f>
        <v>5</v>
      </c>
      <c r="K2958">
        <f t="array" ref="K2958">INT(5 * (RANK(H2958,H:H, 0) - 1) / COUNT(H:H)) + 1</f>
        <v>5</v>
      </c>
      <c r="L2958">
        <f t="array" ref="L2958">INT(5 * (RANK(I2958,I:I, 0) - 1) / COUNT(I:I)) + 1</f>
        <v>5</v>
      </c>
      <c r="M2958" t="str">
        <f t="shared" si="92"/>
        <v>555</v>
      </c>
      <c r="N2958" s="6" t="str">
        <f t="shared" si="93"/>
        <v>Others</v>
      </c>
    </row>
    <row r="2959" spans="1:14" x14ac:dyDescent="0.35">
      <c r="A2959">
        <v>1010</v>
      </c>
      <c r="B2959" s="4">
        <v>46126.375085336993</v>
      </c>
      <c r="C2959" t="s">
        <v>15</v>
      </c>
      <c r="D2959" t="s">
        <v>17</v>
      </c>
      <c r="E2959" t="s">
        <v>24</v>
      </c>
      <c r="F2959">
        <v>1083.45</v>
      </c>
      <c r="G2959">
        <f t="array" ref="G2959">SalesData!$I$2 - 'RFM Table'!B2959</f>
        <v>10</v>
      </c>
      <c r="H2959">
        <f t="array" ref="H2959">COUNTIF(A:A,A2959)</f>
        <v>7</v>
      </c>
      <c r="I2959">
        <f t="array" ref="I2959">SUMIF(A:A,A2959,F:F)</f>
        <v>26629.329999999998</v>
      </c>
      <c r="J2959">
        <f t="array" ref="J2959">5 - INT(5 * (RANK(G2959,G:G, 1) - 1) / COUNT(G:G))</f>
        <v>5</v>
      </c>
      <c r="K2959">
        <f t="array" ref="K2959">INT(5 * (RANK(H2959,H:H, 0) - 1) / COUNT(H:H)) + 1</f>
        <v>4</v>
      </c>
      <c r="L2959">
        <f t="array" ref="L2959">INT(5 * (RANK(I2959,I:I, 0) - 1) / COUNT(I:I)) + 1</f>
        <v>4</v>
      </c>
      <c r="M2959" t="str">
        <f t="shared" si="92"/>
        <v>544</v>
      </c>
      <c r="N2959" s="6" t="str">
        <f t="shared" si="93"/>
        <v>Others</v>
      </c>
    </row>
    <row r="2960" spans="1:14" x14ac:dyDescent="0.35">
      <c r="A2960">
        <v>1263</v>
      </c>
      <c r="B2960" s="4">
        <v>46126.375085336993</v>
      </c>
      <c r="C2960" t="s">
        <v>13</v>
      </c>
      <c r="D2960" t="s">
        <v>20</v>
      </c>
      <c r="E2960" t="s">
        <v>24</v>
      </c>
      <c r="F2960">
        <v>664.33</v>
      </c>
      <c r="G2960">
        <f t="array" ref="G2960">SalesData!$I$2 - 'RFM Table'!B2960</f>
        <v>10</v>
      </c>
      <c r="H2960">
        <f t="array" ref="H2960">COUNTIF(A:A,A2960)</f>
        <v>15</v>
      </c>
      <c r="I2960">
        <f t="array" ref="I2960">SUMIF(A:A,A2960,F:F)</f>
        <v>55867.080000000016</v>
      </c>
      <c r="J2960">
        <f t="array" ref="J2960">5 - INT(5 * (RANK(G2960,G:G, 1) - 1) / COUNT(G:G))</f>
        <v>5</v>
      </c>
      <c r="K2960">
        <f t="array" ref="K2960">INT(5 * (RANK(H2960,H:H, 0) - 1) / COUNT(H:H)) + 1</f>
        <v>1</v>
      </c>
      <c r="L2960">
        <f t="array" ref="L2960">INT(5 * (RANK(I2960,I:I, 0) - 1) / COUNT(I:I)) + 1</f>
        <v>1</v>
      </c>
      <c r="M2960" t="str">
        <f t="shared" si="92"/>
        <v>511</v>
      </c>
      <c r="N2960" s="6" t="str">
        <f t="shared" si="93"/>
        <v>New Customers</v>
      </c>
    </row>
    <row r="2961" spans="1:14" x14ac:dyDescent="0.35">
      <c r="A2961">
        <v>1353</v>
      </c>
      <c r="B2961" s="4">
        <v>46126.375085336993</v>
      </c>
      <c r="C2961" t="s">
        <v>10</v>
      </c>
      <c r="D2961" t="s">
        <v>16</v>
      </c>
      <c r="E2961" t="s">
        <v>24</v>
      </c>
      <c r="F2961">
        <v>8065.18</v>
      </c>
      <c r="G2961">
        <f t="array" ref="G2961">SalesData!$I$2 - 'RFM Table'!B2961</f>
        <v>10</v>
      </c>
      <c r="H2961">
        <f t="array" ref="H2961">COUNTIF(A:A,A2961)</f>
        <v>7</v>
      </c>
      <c r="I2961">
        <f t="array" ref="I2961">SUMIF(A:A,A2961,F:F)</f>
        <v>29446.02</v>
      </c>
      <c r="J2961">
        <f t="array" ref="J2961">5 - INT(5 * (RANK(G2961,G:G, 1) - 1) / COUNT(G:G))</f>
        <v>5</v>
      </c>
      <c r="K2961">
        <f t="array" ref="K2961">INT(5 * (RANK(H2961,H:H, 0) - 1) / COUNT(H:H)) + 1</f>
        <v>4</v>
      </c>
      <c r="L2961">
        <f t="array" ref="L2961">INT(5 * (RANK(I2961,I:I, 0) - 1) / COUNT(I:I)) + 1</f>
        <v>4</v>
      </c>
      <c r="M2961" t="str">
        <f t="shared" si="92"/>
        <v>544</v>
      </c>
      <c r="N2961" s="6" t="str">
        <f t="shared" si="93"/>
        <v>Others</v>
      </c>
    </row>
    <row r="2962" spans="1:14" x14ac:dyDescent="0.35">
      <c r="A2962">
        <v>1034</v>
      </c>
      <c r="B2962" s="4">
        <v>46126.375085336993</v>
      </c>
      <c r="C2962" t="s">
        <v>14</v>
      </c>
      <c r="D2962" t="s">
        <v>19</v>
      </c>
      <c r="E2962" t="s">
        <v>23</v>
      </c>
      <c r="F2962">
        <v>4894.45</v>
      </c>
      <c r="G2962">
        <f t="array" ref="G2962">SalesData!$I$2 - 'RFM Table'!B2962</f>
        <v>10</v>
      </c>
      <c r="H2962">
        <f t="array" ref="H2962">COUNTIF(A:A,A2962)</f>
        <v>8</v>
      </c>
      <c r="I2962">
        <f t="array" ref="I2962">SUMIF(A:A,A2962,F:F)</f>
        <v>22493.960000000003</v>
      </c>
      <c r="J2962">
        <f t="array" ref="J2962">5 - INT(5 * (RANK(G2962,G:G, 1) - 1) / COUNT(G:G))</f>
        <v>5</v>
      </c>
      <c r="K2962">
        <f t="array" ref="K2962">INT(5 * (RANK(H2962,H:H, 0) - 1) / COUNT(H:H)) + 1</f>
        <v>3</v>
      </c>
      <c r="L2962">
        <f t="array" ref="L2962">INT(5 * (RANK(I2962,I:I, 0) - 1) / COUNT(I:I)) + 1</f>
        <v>4</v>
      </c>
      <c r="M2962" t="str">
        <f t="shared" si="92"/>
        <v>534</v>
      </c>
      <c r="N2962" s="6" t="str">
        <f t="shared" si="93"/>
        <v>Others</v>
      </c>
    </row>
    <row r="2963" spans="1:14" x14ac:dyDescent="0.35">
      <c r="A2963">
        <v>1163</v>
      </c>
      <c r="B2963" s="4">
        <v>46127.375085336993</v>
      </c>
      <c r="C2963" t="s">
        <v>10</v>
      </c>
      <c r="D2963" t="s">
        <v>20</v>
      </c>
      <c r="E2963" t="s">
        <v>23</v>
      </c>
      <c r="F2963">
        <v>3804.48</v>
      </c>
      <c r="G2963">
        <f t="array" ref="G2963">SalesData!$I$2 - 'RFM Table'!B2963</f>
        <v>9</v>
      </c>
      <c r="H2963">
        <f t="array" ref="H2963">COUNTIF(A:A,A2963)</f>
        <v>11</v>
      </c>
      <c r="I2963">
        <f t="array" ref="I2963">SUMIF(A:A,A2963,F:F)</f>
        <v>43753.86</v>
      </c>
      <c r="J2963">
        <f t="array" ref="J2963">5 - INT(5 * (RANK(G2963,G:G, 1) - 1) / COUNT(G:G))</f>
        <v>5</v>
      </c>
      <c r="K2963">
        <f t="array" ref="K2963">INT(5 * (RANK(H2963,H:H, 0) - 1) / COUNT(H:H)) + 1</f>
        <v>1</v>
      </c>
      <c r="L2963">
        <f t="array" ref="L2963">INT(5 * (RANK(I2963,I:I, 0) - 1) / COUNT(I:I)) + 1</f>
        <v>2</v>
      </c>
      <c r="M2963" t="str">
        <f t="shared" si="92"/>
        <v>512</v>
      </c>
      <c r="N2963" s="6" t="str">
        <f t="shared" si="93"/>
        <v>New Customers</v>
      </c>
    </row>
    <row r="2964" spans="1:14" x14ac:dyDescent="0.35">
      <c r="A2964">
        <v>1120</v>
      </c>
      <c r="B2964" s="4">
        <v>46127.375085336993</v>
      </c>
      <c r="C2964" t="s">
        <v>14</v>
      </c>
      <c r="D2964" t="s">
        <v>18</v>
      </c>
      <c r="E2964" t="s">
        <v>25</v>
      </c>
      <c r="F2964">
        <v>519.92999999999995</v>
      </c>
      <c r="G2964">
        <f t="array" ref="G2964">SalesData!$I$2 - 'RFM Table'!B2964</f>
        <v>9</v>
      </c>
      <c r="H2964">
        <f t="array" ref="H2964">COUNTIF(A:A,A2964)</f>
        <v>7</v>
      </c>
      <c r="I2964">
        <f t="array" ref="I2964">SUMIF(A:A,A2964,F:F)</f>
        <v>12366.910000000002</v>
      </c>
      <c r="J2964">
        <f t="array" ref="J2964">5 - INT(5 * (RANK(G2964,G:G, 1) - 1) / COUNT(G:G))</f>
        <v>5</v>
      </c>
      <c r="K2964">
        <f t="array" ref="K2964">INT(5 * (RANK(H2964,H:H, 0) - 1) / COUNT(H:H)) + 1</f>
        <v>4</v>
      </c>
      <c r="L2964">
        <f t="array" ref="L2964">INT(5 * (RANK(I2964,I:I, 0) - 1) / COUNT(I:I)) + 1</f>
        <v>5</v>
      </c>
      <c r="M2964" t="str">
        <f t="shared" si="92"/>
        <v>545</v>
      </c>
      <c r="N2964" s="6" t="str">
        <f t="shared" si="93"/>
        <v>Others</v>
      </c>
    </row>
    <row r="2965" spans="1:14" x14ac:dyDescent="0.35">
      <c r="A2965">
        <v>1317</v>
      </c>
      <c r="B2965" s="4">
        <v>46127.375085336993</v>
      </c>
      <c r="C2965" t="s">
        <v>15</v>
      </c>
      <c r="D2965" t="s">
        <v>20</v>
      </c>
      <c r="E2965" t="s">
        <v>23</v>
      </c>
      <c r="F2965">
        <v>9955.11</v>
      </c>
      <c r="G2965">
        <f t="array" ref="G2965">SalesData!$I$2 - 'RFM Table'!B2965</f>
        <v>9</v>
      </c>
      <c r="H2965">
        <f t="array" ref="H2965">COUNTIF(A:A,A2965)</f>
        <v>12</v>
      </c>
      <c r="I2965">
        <f t="array" ref="I2965">SUMIF(A:A,A2965,F:F)</f>
        <v>43413.4</v>
      </c>
      <c r="J2965">
        <f t="array" ref="J2965">5 - INT(5 * (RANK(G2965,G:G, 1) - 1) / COUNT(G:G))</f>
        <v>5</v>
      </c>
      <c r="K2965">
        <f t="array" ref="K2965">INT(5 * (RANK(H2965,H:H, 0) - 1) / COUNT(H:H)) + 1</f>
        <v>1</v>
      </c>
      <c r="L2965">
        <f t="array" ref="L2965">INT(5 * (RANK(I2965,I:I, 0) - 1) / COUNT(I:I)) + 1</f>
        <v>2</v>
      </c>
      <c r="M2965" t="str">
        <f t="shared" si="92"/>
        <v>512</v>
      </c>
      <c r="N2965" s="6" t="str">
        <f t="shared" si="93"/>
        <v>New Customers</v>
      </c>
    </row>
    <row r="2966" spans="1:14" x14ac:dyDescent="0.35">
      <c r="A2966">
        <v>1237</v>
      </c>
      <c r="B2966" s="4">
        <v>46128.375085336993</v>
      </c>
      <c r="C2966" t="s">
        <v>10</v>
      </c>
      <c r="D2966" t="s">
        <v>19</v>
      </c>
      <c r="E2966" t="s">
        <v>23</v>
      </c>
      <c r="F2966">
        <v>10484.07</v>
      </c>
      <c r="G2966">
        <f t="array" ref="G2966">SalesData!$I$2 - 'RFM Table'!B2966</f>
        <v>8</v>
      </c>
      <c r="H2966">
        <f t="array" ref="H2966">COUNTIF(A:A,A2966)</f>
        <v>6</v>
      </c>
      <c r="I2966">
        <f t="array" ref="I2966">SUMIF(A:A,A2966,F:F)</f>
        <v>33607.29</v>
      </c>
      <c r="J2966">
        <f t="array" ref="J2966">5 - INT(5 * (RANK(G2966,G:G, 1) - 1) / COUNT(G:G))</f>
        <v>5</v>
      </c>
      <c r="K2966">
        <f t="array" ref="K2966">INT(5 * (RANK(H2966,H:H, 0) - 1) / COUNT(H:H)) + 1</f>
        <v>4</v>
      </c>
      <c r="L2966">
        <f t="array" ref="L2966">INT(5 * (RANK(I2966,I:I, 0) - 1) / COUNT(I:I)) + 1</f>
        <v>3</v>
      </c>
      <c r="M2966" t="str">
        <f t="shared" si="92"/>
        <v>543</v>
      </c>
      <c r="N2966" s="6" t="str">
        <f t="shared" si="93"/>
        <v>Others</v>
      </c>
    </row>
    <row r="2967" spans="1:14" x14ac:dyDescent="0.35">
      <c r="A2967">
        <v>1207</v>
      </c>
      <c r="B2967" s="4">
        <v>46129.375085336993</v>
      </c>
      <c r="C2967" t="s">
        <v>7</v>
      </c>
      <c r="D2967" t="s">
        <v>20</v>
      </c>
      <c r="E2967" t="s">
        <v>23</v>
      </c>
      <c r="F2967">
        <v>12452.53</v>
      </c>
      <c r="G2967">
        <f t="array" ref="G2967">SalesData!$I$2 - 'RFM Table'!B2967</f>
        <v>7</v>
      </c>
      <c r="H2967">
        <f t="array" ref="H2967">COUNTIF(A:A,A2967)</f>
        <v>7</v>
      </c>
      <c r="I2967">
        <f t="array" ref="I2967">SUMIF(A:A,A2967,F:F)</f>
        <v>24204.07</v>
      </c>
      <c r="J2967">
        <f t="array" ref="J2967">5 - INT(5 * (RANK(G2967,G:G, 1) - 1) / COUNT(G:G))</f>
        <v>5</v>
      </c>
      <c r="K2967">
        <f t="array" ref="K2967">INT(5 * (RANK(H2967,H:H, 0) - 1) / COUNT(H:H)) + 1</f>
        <v>4</v>
      </c>
      <c r="L2967">
        <f t="array" ref="L2967">INT(5 * (RANK(I2967,I:I, 0) - 1) / COUNT(I:I)) + 1</f>
        <v>4</v>
      </c>
      <c r="M2967" t="str">
        <f t="shared" si="92"/>
        <v>544</v>
      </c>
      <c r="N2967" s="6" t="str">
        <f t="shared" si="93"/>
        <v>Others</v>
      </c>
    </row>
    <row r="2968" spans="1:14" x14ac:dyDescent="0.35">
      <c r="A2968">
        <v>1215</v>
      </c>
      <c r="B2968" s="4">
        <v>46130.375085336993</v>
      </c>
      <c r="C2968" t="s">
        <v>13</v>
      </c>
      <c r="D2968" t="s">
        <v>20</v>
      </c>
      <c r="E2968" t="s">
        <v>25</v>
      </c>
      <c r="F2968">
        <v>3873.36</v>
      </c>
      <c r="G2968">
        <f t="array" ref="G2968">SalesData!$I$2 - 'RFM Table'!B2968</f>
        <v>6</v>
      </c>
      <c r="H2968">
        <f t="array" ref="H2968">COUNTIF(A:A,A2968)</f>
        <v>9</v>
      </c>
      <c r="I2968">
        <f t="array" ref="I2968">SUMIF(A:A,A2968,F:F)</f>
        <v>26752.640000000003</v>
      </c>
      <c r="J2968">
        <f t="array" ref="J2968">5 - INT(5 * (RANK(G2968,G:G, 1) - 1) / COUNT(G:G))</f>
        <v>5</v>
      </c>
      <c r="K2968">
        <f t="array" ref="K2968">INT(5 * (RANK(H2968,H:H, 0) - 1) / COUNT(H:H)) + 1</f>
        <v>2</v>
      </c>
      <c r="L2968">
        <f t="array" ref="L2968">INT(5 * (RANK(I2968,I:I, 0) - 1) / COUNT(I:I)) + 1</f>
        <v>4</v>
      </c>
      <c r="M2968" t="str">
        <f t="shared" si="92"/>
        <v>524</v>
      </c>
      <c r="N2968" s="6" t="str">
        <f t="shared" si="93"/>
        <v>New Customers</v>
      </c>
    </row>
    <row r="2969" spans="1:14" x14ac:dyDescent="0.35">
      <c r="A2969">
        <v>1189</v>
      </c>
      <c r="B2969" s="4">
        <v>46130.375085336993</v>
      </c>
      <c r="C2969" t="s">
        <v>11</v>
      </c>
      <c r="D2969" t="s">
        <v>16</v>
      </c>
      <c r="E2969" t="s">
        <v>24</v>
      </c>
      <c r="F2969">
        <v>2042.21</v>
      </c>
      <c r="G2969">
        <f t="array" ref="G2969">SalesData!$I$2 - 'RFM Table'!B2969</f>
        <v>6</v>
      </c>
      <c r="H2969">
        <f t="array" ref="H2969">COUNTIF(A:A,A2969)</f>
        <v>10</v>
      </c>
      <c r="I2969">
        <f t="array" ref="I2969">SUMIF(A:A,A2969,F:F)</f>
        <v>29994.030000000002</v>
      </c>
      <c r="J2969">
        <f t="array" ref="J2969">5 - INT(5 * (RANK(G2969,G:G, 1) - 1) / COUNT(G:G))</f>
        <v>5</v>
      </c>
      <c r="K2969">
        <f t="array" ref="K2969">INT(5 * (RANK(H2969,H:H, 0) - 1) / COUNT(H:H)) + 1</f>
        <v>2</v>
      </c>
      <c r="L2969">
        <f t="array" ref="L2969">INT(5 * (RANK(I2969,I:I, 0) - 1) / COUNT(I:I)) + 1</f>
        <v>3</v>
      </c>
      <c r="M2969" t="str">
        <f t="shared" si="92"/>
        <v>523</v>
      </c>
      <c r="N2969" s="6" t="str">
        <f t="shared" si="93"/>
        <v>New Customers</v>
      </c>
    </row>
    <row r="2970" spans="1:14" x14ac:dyDescent="0.35">
      <c r="A2970">
        <v>1107</v>
      </c>
      <c r="B2970" s="4">
        <v>46130.375085336993</v>
      </c>
      <c r="C2970" t="s">
        <v>10</v>
      </c>
      <c r="D2970" t="s">
        <v>20</v>
      </c>
      <c r="E2970" t="s">
        <v>23</v>
      </c>
      <c r="F2970">
        <v>7409.04</v>
      </c>
      <c r="G2970">
        <f t="array" ref="G2970">SalesData!$I$2 - 'RFM Table'!B2970</f>
        <v>6</v>
      </c>
      <c r="H2970">
        <f t="array" ref="H2970">COUNTIF(A:A,A2970)</f>
        <v>9</v>
      </c>
      <c r="I2970">
        <f t="array" ref="I2970">SUMIF(A:A,A2970,F:F)</f>
        <v>56095.37999999999</v>
      </c>
      <c r="J2970">
        <f t="array" ref="J2970">5 - INT(5 * (RANK(G2970,G:G, 1) - 1) / COUNT(G:G))</f>
        <v>5</v>
      </c>
      <c r="K2970">
        <f t="array" ref="K2970">INT(5 * (RANK(H2970,H:H, 0) - 1) / COUNT(H:H)) + 1</f>
        <v>2</v>
      </c>
      <c r="L2970">
        <f t="array" ref="L2970">INT(5 * (RANK(I2970,I:I, 0) - 1) / COUNT(I:I)) + 1</f>
        <v>1</v>
      </c>
      <c r="M2970" t="str">
        <f t="shared" si="92"/>
        <v>521</v>
      </c>
      <c r="N2970" s="6" t="str">
        <f t="shared" si="93"/>
        <v>New Customers</v>
      </c>
    </row>
    <row r="2971" spans="1:14" x14ac:dyDescent="0.35">
      <c r="A2971">
        <v>1067</v>
      </c>
      <c r="B2971" s="4">
        <v>46130.375085336993</v>
      </c>
      <c r="C2971" t="s">
        <v>12</v>
      </c>
      <c r="D2971" t="s">
        <v>18</v>
      </c>
      <c r="E2971" t="s">
        <v>25</v>
      </c>
      <c r="F2971">
        <v>4477.01</v>
      </c>
      <c r="G2971">
        <f t="array" ref="G2971">SalesData!$I$2 - 'RFM Table'!B2971</f>
        <v>6</v>
      </c>
      <c r="H2971">
        <f t="array" ref="H2971">COUNTIF(A:A,A2971)</f>
        <v>6</v>
      </c>
      <c r="I2971">
        <f t="array" ref="I2971">SUMIF(A:A,A2971,F:F)</f>
        <v>15612.87</v>
      </c>
      <c r="J2971">
        <f t="array" ref="J2971">5 - INT(5 * (RANK(G2971,G:G, 1) - 1) / COUNT(G:G))</f>
        <v>5</v>
      </c>
      <c r="K2971">
        <f t="array" ref="K2971">INT(5 * (RANK(H2971,H:H, 0) - 1) / COUNT(H:H)) + 1</f>
        <v>4</v>
      </c>
      <c r="L2971">
        <f t="array" ref="L2971">INT(5 * (RANK(I2971,I:I, 0) - 1) / COUNT(I:I)) + 1</f>
        <v>5</v>
      </c>
      <c r="M2971" t="str">
        <f t="shared" si="92"/>
        <v>545</v>
      </c>
      <c r="N2971" s="6" t="str">
        <f t="shared" si="93"/>
        <v>Others</v>
      </c>
    </row>
    <row r="2972" spans="1:14" x14ac:dyDescent="0.35">
      <c r="A2972">
        <v>1098</v>
      </c>
      <c r="B2972" s="4">
        <v>46130.375085336993</v>
      </c>
      <c r="C2972" t="s">
        <v>8</v>
      </c>
      <c r="D2972" t="s">
        <v>21</v>
      </c>
      <c r="E2972" t="s">
        <v>25</v>
      </c>
      <c r="F2972">
        <v>3430.6</v>
      </c>
      <c r="G2972">
        <f t="array" ref="G2972">SalesData!$I$2 - 'RFM Table'!B2972</f>
        <v>6</v>
      </c>
      <c r="H2972">
        <f t="array" ref="H2972">COUNTIF(A:A,A2972)</f>
        <v>12</v>
      </c>
      <c r="I2972">
        <f t="array" ref="I2972">SUMIF(A:A,A2972,F:F)</f>
        <v>36909.899999999994</v>
      </c>
      <c r="J2972">
        <f t="array" ref="J2972">5 - INT(5 * (RANK(G2972,G:G, 1) - 1) / COUNT(G:G))</f>
        <v>5</v>
      </c>
      <c r="K2972">
        <f t="array" ref="K2972">INT(5 * (RANK(H2972,H:H, 0) - 1) / COUNT(H:H)) + 1</f>
        <v>1</v>
      </c>
      <c r="L2972">
        <f t="array" ref="L2972">INT(5 * (RANK(I2972,I:I, 0) - 1) / COUNT(I:I)) + 1</f>
        <v>2</v>
      </c>
      <c r="M2972" t="str">
        <f t="shared" si="92"/>
        <v>512</v>
      </c>
      <c r="N2972" s="6" t="str">
        <f t="shared" si="93"/>
        <v>New Customers</v>
      </c>
    </row>
    <row r="2973" spans="1:14" x14ac:dyDescent="0.35">
      <c r="A2973">
        <v>1118</v>
      </c>
      <c r="B2973" s="4">
        <v>46131.375085336993</v>
      </c>
      <c r="C2973" t="s">
        <v>13</v>
      </c>
      <c r="D2973" t="s">
        <v>16</v>
      </c>
      <c r="E2973" t="s">
        <v>23</v>
      </c>
      <c r="F2973">
        <v>6926.27</v>
      </c>
      <c r="G2973">
        <f t="array" ref="G2973">SalesData!$I$2 - 'RFM Table'!B2973</f>
        <v>5</v>
      </c>
      <c r="H2973">
        <f t="array" ref="H2973">COUNTIF(A:A,A2973)</f>
        <v>10</v>
      </c>
      <c r="I2973">
        <f t="array" ref="I2973">SUMIF(A:A,A2973,F:F)</f>
        <v>40587.47</v>
      </c>
      <c r="J2973">
        <f t="array" ref="J2973">5 - INT(5 * (RANK(G2973,G:G, 1) - 1) / COUNT(G:G))</f>
        <v>5</v>
      </c>
      <c r="K2973">
        <f t="array" ref="K2973">INT(5 * (RANK(H2973,H:H, 0) - 1) / COUNT(H:H)) + 1</f>
        <v>2</v>
      </c>
      <c r="L2973">
        <f t="array" ref="L2973">INT(5 * (RANK(I2973,I:I, 0) - 1) / COUNT(I:I)) + 1</f>
        <v>2</v>
      </c>
      <c r="M2973" t="str">
        <f t="shared" si="92"/>
        <v>522</v>
      </c>
      <c r="N2973" s="6" t="str">
        <f t="shared" si="93"/>
        <v>New Customers</v>
      </c>
    </row>
    <row r="2974" spans="1:14" x14ac:dyDescent="0.35">
      <c r="A2974">
        <v>1200</v>
      </c>
      <c r="B2974" s="4">
        <v>46131.375085336993</v>
      </c>
      <c r="C2974" t="s">
        <v>12</v>
      </c>
      <c r="D2974" t="s">
        <v>19</v>
      </c>
      <c r="E2974" t="s">
        <v>23</v>
      </c>
      <c r="F2974">
        <v>4771.8999999999996</v>
      </c>
      <c r="G2974">
        <f t="array" ref="G2974">SalesData!$I$2 - 'RFM Table'!B2974</f>
        <v>5</v>
      </c>
      <c r="H2974">
        <f t="array" ref="H2974">COUNTIF(A:A,A2974)</f>
        <v>6</v>
      </c>
      <c r="I2974">
        <f t="array" ref="I2974">SUMIF(A:A,A2974,F:F)</f>
        <v>24862.18</v>
      </c>
      <c r="J2974">
        <f t="array" ref="J2974">5 - INT(5 * (RANK(G2974,G:G, 1) - 1) / COUNT(G:G))</f>
        <v>5</v>
      </c>
      <c r="K2974">
        <f t="array" ref="K2974">INT(5 * (RANK(H2974,H:H, 0) - 1) / COUNT(H:H)) + 1</f>
        <v>4</v>
      </c>
      <c r="L2974">
        <f t="array" ref="L2974">INT(5 * (RANK(I2974,I:I, 0) - 1) / COUNT(I:I)) + 1</f>
        <v>4</v>
      </c>
      <c r="M2974" t="str">
        <f t="shared" si="92"/>
        <v>544</v>
      </c>
      <c r="N2974" s="6" t="str">
        <f t="shared" si="93"/>
        <v>Others</v>
      </c>
    </row>
    <row r="2975" spans="1:14" x14ac:dyDescent="0.35">
      <c r="A2975">
        <v>1197</v>
      </c>
      <c r="B2975" s="4">
        <v>46131.375085336993</v>
      </c>
      <c r="C2975" t="s">
        <v>14</v>
      </c>
      <c r="D2975" t="s">
        <v>21</v>
      </c>
      <c r="E2975" t="s">
        <v>24</v>
      </c>
      <c r="F2975">
        <v>789.26</v>
      </c>
      <c r="G2975">
        <f t="array" ref="G2975">SalesData!$I$2 - 'RFM Table'!B2975</f>
        <v>5</v>
      </c>
      <c r="H2975">
        <f t="array" ref="H2975">COUNTIF(A:A,A2975)</f>
        <v>9</v>
      </c>
      <c r="I2975">
        <f t="array" ref="I2975">SUMIF(A:A,A2975,F:F)</f>
        <v>28813.449999999997</v>
      </c>
      <c r="J2975">
        <f t="array" ref="J2975">5 - INT(5 * (RANK(G2975,G:G, 1) - 1) / COUNT(G:G))</f>
        <v>5</v>
      </c>
      <c r="K2975">
        <f t="array" ref="K2975">INT(5 * (RANK(H2975,H:H, 0) - 1) / COUNT(H:H)) + 1</f>
        <v>2</v>
      </c>
      <c r="L2975">
        <f t="array" ref="L2975">INT(5 * (RANK(I2975,I:I, 0) - 1) / COUNT(I:I)) + 1</f>
        <v>4</v>
      </c>
      <c r="M2975" t="str">
        <f t="shared" si="92"/>
        <v>524</v>
      </c>
      <c r="N2975" s="6" t="str">
        <f t="shared" si="93"/>
        <v>New Customers</v>
      </c>
    </row>
    <row r="2976" spans="1:14" x14ac:dyDescent="0.35">
      <c r="A2976">
        <v>1275</v>
      </c>
      <c r="B2976" s="4">
        <v>46131.375085336993</v>
      </c>
      <c r="C2976" t="s">
        <v>8</v>
      </c>
      <c r="D2976" t="s">
        <v>20</v>
      </c>
      <c r="E2976" t="s">
        <v>23</v>
      </c>
      <c r="F2976">
        <v>11751.55</v>
      </c>
      <c r="G2976">
        <f t="array" ref="G2976">SalesData!$I$2 - 'RFM Table'!B2976</f>
        <v>5</v>
      </c>
      <c r="H2976">
        <f t="array" ref="H2976">COUNTIF(A:A,A2976)</f>
        <v>3</v>
      </c>
      <c r="I2976">
        <f t="array" ref="I2976">SUMIF(A:A,A2976,F:F)</f>
        <v>16365.279999999999</v>
      </c>
      <c r="J2976">
        <f t="array" ref="J2976">5 - INT(5 * (RANK(G2976,G:G, 1) - 1) / COUNT(G:G))</f>
        <v>5</v>
      </c>
      <c r="K2976">
        <f t="array" ref="K2976">INT(5 * (RANK(H2976,H:H, 0) - 1) / COUNT(H:H)) + 1</f>
        <v>5</v>
      </c>
      <c r="L2976">
        <f t="array" ref="L2976">INT(5 * (RANK(I2976,I:I, 0) - 1) / COUNT(I:I)) + 1</f>
        <v>5</v>
      </c>
      <c r="M2976" t="str">
        <f t="shared" si="92"/>
        <v>555</v>
      </c>
      <c r="N2976" s="6" t="str">
        <f t="shared" si="93"/>
        <v>Others</v>
      </c>
    </row>
    <row r="2977" spans="1:14" x14ac:dyDescent="0.35">
      <c r="A2977">
        <v>1100</v>
      </c>
      <c r="B2977" s="4">
        <v>46131.375085336993</v>
      </c>
      <c r="C2977" t="s">
        <v>13</v>
      </c>
      <c r="D2977" t="s">
        <v>21</v>
      </c>
      <c r="E2977" t="s">
        <v>25</v>
      </c>
      <c r="F2977">
        <v>786.6</v>
      </c>
      <c r="G2977">
        <f t="array" ref="G2977">SalesData!$I$2 - 'RFM Table'!B2977</f>
        <v>5</v>
      </c>
      <c r="H2977">
        <f t="array" ref="H2977">COUNTIF(A:A,A2977)</f>
        <v>12</v>
      </c>
      <c r="I2977">
        <f t="array" ref="I2977">SUMIF(A:A,A2977,F:F)</f>
        <v>54905.279999999992</v>
      </c>
      <c r="J2977">
        <f t="array" ref="J2977">5 - INT(5 * (RANK(G2977,G:G, 1) - 1) / COUNT(G:G))</f>
        <v>5</v>
      </c>
      <c r="K2977">
        <f t="array" ref="K2977">INT(5 * (RANK(H2977,H:H, 0) - 1) / COUNT(H:H)) + 1</f>
        <v>1</v>
      </c>
      <c r="L2977">
        <f t="array" ref="L2977">INT(5 * (RANK(I2977,I:I, 0) - 1) / COUNT(I:I)) + 1</f>
        <v>1</v>
      </c>
      <c r="M2977" t="str">
        <f t="shared" si="92"/>
        <v>511</v>
      </c>
      <c r="N2977" s="6" t="str">
        <f t="shared" si="93"/>
        <v>New Customers</v>
      </c>
    </row>
    <row r="2978" spans="1:14" x14ac:dyDescent="0.35">
      <c r="A2978">
        <v>1365</v>
      </c>
      <c r="B2978" s="4">
        <v>46131.375085336993</v>
      </c>
      <c r="C2978" t="s">
        <v>6</v>
      </c>
      <c r="D2978" t="s">
        <v>17</v>
      </c>
      <c r="E2978" t="s">
        <v>25</v>
      </c>
      <c r="F2978">
        <v>7027.26</v>
      </c>
      <c r="G2978">
        <f t="array" ref="G2978">SalesData!$I$2 - 'RFM Table'!B2978</f>
        <v>5</v>
      </c>
      <c r="H2978">
        <f t="array" ref="H2978">COUNTIF(A:A,A2978)</f>
        <v>6</v>
      </c>
      <c r="I2978">
        <f t="array" ref="I2978">SUMIF(A:A,A2978,F:F)</f>
        <v>28898.239999999998</v>
      </c>
      <c r="J2978">
        <f t="array" ref="J2978">5 - INT(5 * (RANK(G2978,G:G, 1) - 1) / COUNT(G:G))</f>
        <v>5</v>
      </c>
      <c r="K2978">
        <f t="array" ref="K2978">INT(5 * (RANK(H2978,H:H, 0) - 1) / COUNT(H:H)) + 1</f>
        <v>4</v>
      </c>
      <c r="L2978">
        <f t="array" ref="L2978">INT(5 * (RANK(I2978,I:I, 0) - 1) / COUNT(I:I)) + 1</f>
        <v>4</v>
      </c>
      <c r="M2978" t="str">
        <f t="shared" si="92"/>
        <v>544</v>
      </c>
      <c r="N2978" s="6" t="str">
        <f t="shared" si="93"/>
        <v>Others</v>
      </c>
    </row>
    <row r="2979" spans="1:14" x14ac:dyDescent="0.35">
      <c r="A2979">
        <v>1340</v>
      </c>
      <c r="B2979" s="4">
        <v>46131.375085336993</v>
      </c>
      <c r="C2979" t="s">
        <v>8</v>
      </c>
      <c r="D2979" t="s">
        <v>18</v>
      </c>
      <c r="E2979" t="s">
        <v>25</v>
      </c>
      <c r="F2979">
        <v>2051.06</v>
      </c>
      <c r="G2979">
        <f t="array" ref="G2979">SalesData!$I$2 - 'RFM Table'!B2979</f>
        <v>5</v>
      </c>
      <c r="H2979">
        <f t="array" ref="H2979">COUNTIF(A:A,A2979)</f>
        <v>6</v>
      </c>
      <c r="I2979">
        <f t="array" ref="I2979">SUMIF(A:A,A2979,F:F)</f>
        <v>22984.870000000003</v>
      </c>
      <c r="J2979">
        <f t="array" ref="J2979">5 - INT(5 * (RANK(G2979,G:G, 1) - 1) / COUNT(G:G))</f>
        <v>5</v>
      </c>
      <c r="K2979">
        <f t="array" ref="K2979">INT(5 * (RANK(H2979,H:H, 0) - 1) / COUNT(H:H)) + 1</f>
        <v>4</v>
      </c>
      <c r="L2979">
        <f t="array" ref="L2979">INT(5 * (RANK(I2979,I:I, 0) - 1) / COUNT(I:I)) + 1</f>
        <v>4</v>
      </c>
      <c r="M2979" t="str">
        <f t="shared" si="92"/>
        <v>544</v>
      </c>
      <c r="N2979" s="6" t="str">
        <f t="shared" si="93"/>
        <v>Others</v>
      </c>
    </row>
    <row r="2980" spans="1:14" x14ac:dyDescent="0.35">
      <c r="A2980">
        <v>1299</v>
      </c>
      <c r="B2980" s="4">
        <v>46131.375085336993</v>
      </c>
      <c r="C2980" t="s">
        <v>12</v>
      </c>
      <c r="D2980" t="s">
        <v>16</v>
      </c>
      <c r="E2980" t="s">
        <v>24</v>
      </c>
      <c r="F2980">
        <v>1724.81</v>
      </c>
      <c r="G2980">
        <f t="array" ref="G2980">SalesData!$I$2 - 'RFM Table'!B2980</f>
        <v>5</v>
      </c>
      <c r="H2980">
        <f t="array" ref="H2980">COUNTIF(A:A,A2980)</f>
        <v>6</v>
      </c>
      <c r="I2980">
        <f t="array" ref="I2980">SUMIF(A:A,A2980,F:F)</f>
        <v>13299.439999999999</v>
      </c>
      <c r="J2980">
        <f t="array" ref="J2980">5 - INT(5 * (RANK(G2980,G:G, 1) - 1) / COUNT(G:G))</f>
        <v>5</v>
      </c>
      <c r="K2980">
        <f t="array" ref="K2980">INT(5 * (RANK(H2980,H:H, 0) - 1) / COUNT(H:H)) + 1</f>
        <v>4</v>
      </c>
      <c r="L2980">
        <f t="array" ref="L2980">INT(5 * (RANK(I2980,I:I, 0) - 1) / COUNT(I:I)) + 1</f>
        <v>5</v>
      </c>
      <c r="M2980" t="str">
        <f t="shared" si="92"/>
        <v>545</v>
      </c>
      <c r="N2980" s="6" t="str">
        <f t="shared" si="93"/>
        <v>Others</v>
      </c>
    </row>
    <row r="2981" spans="1:14" x14ac:dyDescent="0.35">
      <c r="A2981">
        <v>1044</v>
      </c>
      <c r="B2981" s="4">
        <v>46131.375085336993</v>
      </c>
      <c r="C2981" t="s">
        <v>8</v>
      </c>
      <c r="D2981" t="s">
        <v>18</v>
      </c>
      <c r="E2981" t="s">
        <v>23</v>
      </c>
      <c r="F2981">
        <v>4631.66</v>
      </c>
      <c r="G2981">
        <f t="array" ref="G2981">SalesData!$I$2 - 'RFM Table'!B2981</f>
        <v>5</v>
      </c>
      <c r="H2981">
        <f t="array" ref="H2981">COUNTIF(A:A,A2981)</f>
        <v>3</v>
      </c>
      <c r="I2981">
        <f t="array" ref="I2981">SUMIF(A:A,A2981,F:F)</f>
        <v>7775.1900000000005</v>
      </c>
      <c r="J2981">
        <f t="array" ref="J2981">5 - INT(5 * (RANK(G2981,G:G, 1) - 1) / COUNT(G:G))</f>
        <v>5</v>
      </c>
      <c r="K2981">
        <f t="array" ref="K2981">INT(5 * (RANK(H2981,H:H, 0) - 1) / COUNT(H:H)) + 1</f>
        <v>5</v>
      </c>
      <c r="L2981">
        <f t="array" ref="L2981">INT(5 * (RANK(I2981,I:I, 0) - 1) / COUNT(I:I)) + 1</f>
        <v>5</v>
      </c>
      <c r="M2981" t="str">
        <f t="shared" si="92"/>
        <v>555</v>
      </c>
      <c r="N2981" s="6" t="str">
        <f t="shared" si="93"/>
        <v>Others</v>
      </c>
    </row>
    <row r="2982" spans="1:14" x14ac:dyDescent="0.35">
      <c r="A2982">
        <v>1398</v>
      </c>
      <c r="B2982" s="4">
        <v>46131.375085336993</v>
      </c>
      <c r="C2982" t="s">
        <v>8</v>
      </c>
      <c r="D2982" t="s">
        <v>19</v>
      </c>
      <c r="E2982" t="s">
        <v>23</v>
      </c>
      <c r="F2982">
        <v>5750.09</v>
      </c>
      <c r="G2982">
        <f t="array" ref="G2982">SalesData!$I$2 - 'RFM Table'!B2982</f>
        <v>5</v>
      </c>
      <c r="H2982">
        <f t="array" ref="H2982">COUNTIF(A:A,A2982)</f>
        <v>7</v>
      </c>
      <c r="I2982">
        <f t="array" ref="I2982">SUMIF(A:A,A2982,F:F)</f>
        <v>28040.249999999996</v>
      </c>
      <c r="J2982">
        <f t="array" ref="J2982">5 - INT(5 * (RANK(G2982,G:G, 1) - 1) / COUNT(G:G))</f>
        <v>5</v>
      </c>
      <c r="K2982">
        <f t="array" ref="K2982">INT(5 * (RANK(H2982,H:H, 0) - 1) / COUNT(H:H)) + 1</f>
        <v>4</v>
      </c>
      <c r="L2982">
        <f t="array" ref="L2982">INT(5 * (RANK(I2982,I:I, 0) - 1) / COUNT(I:I)) + 1</f>
        <v>4</v>
      </c>
      <c r="M2982" t="str">
        <f t="shared" si="92"/>
        <v>544</v>
      </c>
      <c r="N2982" s="6" t="str">
        <f t="shared" si="93"/>
        <v>Others</v>
      </c>
    </row>
    <row r="2983" spans="1:14" x14ac:dyDescent="0.35">
      <c r="A2983">
        <v>1204</v>
      </c>
      <c r="B2983" s="4">
        <v>46131.375085336993</v>
      </c>
      <c r="C2983" t="s">
        <v>14</v>
      </c>
      <c r="D2983" t="s">
        <v>18</v>
      </c>
      <c r="E2983" t="s">
        <v>23</v>
      </c>
      <c r="F2983">
        <v>2574.41</v>
      </c>
      <c r="G2983">
        <f t="array" ref="G2983">SalesData!$I$2 - 'RFM Table'!B2983</f>
        <v>5</v>
      </c>
      <c r="H2983">
        <f t="array" ref="H2983">COUNTIF(A:A,A2983)</f>
        <v>3</v>
      </c>
      <c r="I2983">
        <f t="array" ref="I2983">SUMIF(A:A,A2983,F:F)</f>
        <v>7274.86</v>
      </c>
      <c r="J2983">
        <f t="array" ref="J2983">5 - INT(5 * (RANK(G2983,G:G, 1) - 1) / COUNT(G:G))</f>
        <v>5</v>
      </c>
      <c r="K2983">
        <f t="array" ref="K2983">INT(5 * (RANK(H2983,H:H, 0) - 1) / COUNT(H:H)) + 1</f>
        <v>5</v>
      </c>
      <c r="L2983">
        <f t="array" ref="L2983">INT(5 * (RANK(I2983,I:I, 0) - 1) / COUNT(I:I)) + 1</f>
        <v>5</v>
      </c>
      <c r="M2983" t="str">
        <f t="shared" si="92"/>
        <v>555</v>
      </c>
      <c r="N2983" s="6" t="str">
        <f t="shared" si="93"/>
        <v>Others</v>
      </c>
    </row>
    <row r="2984" spans="1:14" x14ac:dyDescent="0.35">
      <c r="A2984">
        <v>1045</v>
      </c>
      <c r="B2984" s="4">
        <v>46131.375085336993</v>
      </c>
      <c r="C2984" t="s">
        <v>9</v>
      </c>
      <c r="D2984" t="s">
        <v>19</v>
      </c>
      <c r="E2984" t="s">
        <v>23</v>
      </c>
      <c r="F2984">
        <v>6164.22</v>
      </c>
      <c r="G2984">
        <f t="array" ref="G2984">SalesData!$I$2 - 'RFM Table'!B2984</f>
        <v>5</v>
      </c>
      <c r="H2984">
        <f t="array" ref="H2984">COUNTIF(A:A,A2984)</f>
        <v>7</v>
      </c>
      <c r="I2984">
        <f t="array" ref="I2984">SUMIF(A:A,A2984,F:F)</f>
        <v>27876.53</v>
      </c>
      <c r="J2984">
        <f t="array" ref="J2984">5 - INT(5 * (RANK(G2984,G:G, 1) - 1) / COUNT(G:G))</f>
        <v>5</v>
      </c>
      <c r="K2984">
        <f t="array" ref="K2984">INT(5 * (RANK(H2984,H:H, 0) - 1) / COUNT(H:H)) + 1</f>
        <v>4</v>
      </c>
      <c r="L2984">
        <f t="array" ref="L2984">INT(5 * (RANK(I2984,I:I, 0) - 1) / COUNT(I:I)) + 1</f>
        <v>4</v>
      </c>
      <c r="M2984" t="str">
        <f t="shared" si="92"/>
        <v>544</v>
      </c>
      <c r="N2984" s="6" t="str">
        <f t="shared" si="93"/>
        <v>Others</v>
      </c>
    </row>
    <row r="2985" spans="1:14" x14ac:dyDescent="0.35">
      <c r="A2985">
        <v>1048</v>
      </c>
      <c r="B2985" s="4">
        <v>46132.375085336993</v>
      </c>
      <c r="C2985" t="s">
        <v>11</v>
      </c>
      <c r="D2985" t="s">
        <v>18</v>
      </c>
      <c r="E2985" t="s">
        <v>25</v>
      </c>
      <c r="F2985">
        <v>3204.32</v>
      </c>
      <c r="G2985">
        <f t="array" ref="G2985">SalesData!$I$2 - 'RFM Table'!B2985</f>
        <v>4</v>
      </c>
      <c r="H2985">
        <f t="array" ref="H2985">COUNTIF(A:A,A2985)</f>
        <v>9</v>
      </c>
      <c r="I2985">
        <f t="array" ref="I2985">SUMIF(A:A,A2985,F:F)</f>
        <v>34800.239999999998</v>
      </c>
      <c r="J2985">
        <f t="array" ref="J2985">5 - INT(5 * (RANK(G2985,G:G, 1) - 1) / COUNT(G:G))</f>
        <v>5</v>
      </c>
      <c r="K2985">
        <f t="array" ref="K2985">INT(5 * (RANK(H2985,H:H, 0) - 1) / COUNT(H:H)) + 1</f>
        <v>2</v>
      </c>
      <c r="L2985">
        <f t="array" ref="L2985">INT(5 * (RANK(I2985,I:I, 0) - 1) / COUNT(I:I)) + 1</f>
        <v>3</v>
      </c>
      <c r="M2985" t="str">
        <f t="shared" si="92"/>
        <v>523</v>
      </c>
      <c r="N2985" s="6" t="str">
        <f t="shared" si="93"/>
        <v>New Customers</v>
      </c>
    </row>
    <row r="2986" spans="1:14" x14ac:dyDescent="0.35">
      <c r="A2986">
        <v>1395</v>
      </c>
      <c r="B2986" s="4">
        <v>46132.375085336993</v>
      </c>
      <c r="C2986" t="s">
        <v>14</v>
      </c>
      <c r="D2986" t="s">
        <v>19</v>
      </c>
      <c r="E2986" t="s">
        <v>23</v>
      </c>
      <c r="F2986">
        <v>2966.76</v>
      </c>
      <c r="G2986">
        <f t="array" ref="G2986">SalesData!$I$2 - 'RFM Table'!B2986</f>
        <v>4</v>
      </c>
      <c r="H2986">
        <f t="array" ref="H2986">COUNTIF(A:A,A2986)</f>
        <v>7</v>
      </c>
      <c r="I2986">
        <f t="array" ref="I2986">SUMIF(A:A,A2986,F:F)</f>
        <v>36778.530000000006</v>
      </c>
      <c r="J2986">
        <f t="array" ref="J2986">5 - INT(5 * (RANK(G2986,G:G, 1) - 1) / COUNT(G:G))</f>
        <v>5</v>
      </c>
      <c r="K2986">
        <f t="array" ref="K2986">INT(5 * (RANK(H2986,H:H, 0) - 1) / COUNT(H:H)) + 1</f>
        <v>4</v>
      </c>
      <c r="L2986">
        <f t="array" ref="L2986">INT(5 * (RANK(I2986,I:I, 0) - 1) / COUNT(I:I)) + 1</f>
        <v>3</v>
      </c>
      <c r="M2986" t="str">
        <f t="shared" si="92"/>
        <v>543</v>
      </c>
      <c r="N2986" s="6" t="str">
        <f t="shared" si="93"/>
        <v>Others</v>
      </c>
    </row>
    <row r="2987" spans="1:14" x14ac:dyDescent="0.35">
      <c r="A2987">
        <v>1094</v>
      </c>
      <c r="B2987" s="4">
        <v>46132.375085336993</v>
      </c>
      <c r="C2987" t="s">
        <v>13</v>
      </c>
      <c r="D2987" t="s">
        <v>19</v>
      </c>
      <c r="E2987" t="s">
        <v>23</v>
      </c>
      <c r="F2987">
        <v>6104.86</v>
      </c>
      <c r="G2987">
        <f t="array" ref="G2987">SalesData!$I$2 - 'RFM Table'!B2987</f>
        <v>4</v>
      </c>
      <c r="H2987">
        <f t="array" ref="H2987">COUNTIF(A:A,A2987)</f>
        <v>10</v>
      </c>
      <c r="I2987">
        <f t="array" ref="I2987">SUMIF(A:A,A2987,F:F)</f>
        <v>41704.25</v>
      </c>
      <c r="J2987">
        <f t="array" ref="J2987">5 - INT(5 * (RANK(G2987,G:G, 1) - 1) / COUNT(G:G))</f>
        <v>5</v>
      </c>
      <c r="K2987">
        <f t="array" ref="K2987">INT(5 * (RANK(H2987,H:H, 0) - 1) / COUNT(H:H)) + 1</f>
        <v>2</v>
      </c>
      <c r="L2987">
        <f t="array" ref="L2987">INT(5 * (RANK(I2987,I:I, 0) - 1) / COUNT(I:I)) + 1</f>
        <v>2</v>
      </c>
      <c r="M2987" t="str">
        <f t="shared" si="92"/>
        <v>522</v>
      </c>
      <c r="N2987" s="6" t="str">
        <f t="shared" si="93"/>
        <v>New Customers</v>
      </c>
    </row>
    <row r="2988" spans="1:14" x14ac:dyDescent="0.35">
      <c r="A2988">
        <v>1288</v>
      </c>
      <c r="B2988" s="4">
        <v>46132.375085336993</v>
      </c>
      <c r="C2988" t="s">
        <v>9</v>
      </c>
      <c r="D2988" t="s">
        <v>20</v>
      </c>
      <c r="E2988" t="s">
        <v>24</v>
      </c>
      <c r="F2988">
        <v>3357.15</v>
      </c>
      <c r="G2988">
        <f t="array" ref="G2988">SalesData!$I$2 - 'RFM Table'!B2988</f>
        <v>4</v>
      </c>
      <c r="H2988">
        <f t="array" ref="H2988">COUNTIF(A:A,A2988)</f>
        <v>13</v>
      </c>
      <c r="I2988">
        <f t="array" ref="I2988">SUMIF(A:A,A2988,F:F)</f>
        <v>40219.18</v>
      </c>
      <c r="J2988">
        <f t="array" ref="J2988">5 - INT(5 * (RANK(G2988,G:G, 1) - 1) / COUNT(G:G))</f>
        <v>5</v>
      </c>
      <c r="K2988">
        <f t="array" ref="K2988">INT(5 * (RANK(H2988,H:H, 0) - 1) / COUNT(H:H)) + 1</f>
        <v>1</v>
      </c>
      <c r="L2988">
        <f t="array" ref="L2988">INT(5 * (RANK(I2988,I:I, 0) - 1) / COUNT(I:I)) + 1</f>
        <v>2</v>
      </c>
      <c r="M2988" t="str">
        <f t="shared" si="92"/>
        <v>512</v>
      </c>
      <c r="N2988" s="6" t="str">
        <f t="shared" si="93"/>
        <v>New Customers</v>
      </c>
    </row>
    <row r="2989" spans="1:14" x14ac:dyDescent="0.35">
      <c r="A2989">
        <v>1313</v>
      </c>
      <c r="B2989" s="4">
        <v>46133.375085336993</v>
      </c>
      <c r="C2989" t="s">
        <v>15</v>
      </c>
      <c r="D2989" t="s">
        <v>19</v>
      </c>
      <c r="E2989" t="s">
        <v>24</v>
      </c>
      <c r="F2989">
        <v>5551.37</v>
      </c>
      <c r="G2989">
        <f t="array" ref="G2989">SalesData!$I$2 - 'RFM Table'!B2989</f>
        <v>3</v>
      </c>
      <c r="H2989">
        <f t="array" ref="H2989">COUNTIF(A:A,A2989)</f>
        <v>9</v>
      </c>
      <c r="I2989">
        <f t="array" ref="I2989">SUMIF(A:A,A2989,F:F)</f>
        <v>35759.83</v>
      </c>
      <c r="J2989">
        <f t="array" ref="J2989">5 - INT(5 * (RANK(G2989,G:G, 1) - 1) / COUNT(G:G))</f>
        <v>5</v>
      </c>
      <c r="K2989">
        <f t="array" ref="K2989">INT(5 * (RANK(H2989,H:H, 0) - 1) / COUNT(H:H)) + 1</f>
        <v>2</v>
      </c>
      <c r="L2989">
        <f t="array" ref="L2989">INT(5 * (RANK(I2989,I:I, 0) - 1) / COUNT(I:I)) + 1</f>
        <v>3</v>
      </c>
      <c r="M2989" t="str">
        <f t="shared" si="92"/>
        <v>523</v>
      </c>
      <c r="N2989" s="6" t="str">
        <f t="shared" si="93"/>
        <v>New Customers</v>
      </c>
    </row>
    <row r="2990" spans="1:14" x14ac:dyDescent="0.35">
      <c r="A2990">
        <v>1004</v>
      </c>
      <c r="B2990" s="4">
        <v>46133.375085336993</v>
      </c>
      <c r="C2990" t="s">
        <v>14</v>
      </c>
      <c r="D2990" t="s">
        <v>16</v>
      </c>
      <c r="E2990" t="s">
        <v>23</v>
      </c>
      <c r="F2990">
        <v>4559.57</v>
      </c>
      <c r="G2990">
        <f t="array" ref="G2990">SalesData!$I$2 - 'RFM Table'!B2990</f>
        <v>3</v>
      </c>
      <c r="H2990">
        <f t="array" ref="H2990">COUNTIF(A:A,A2990)</f>
        <v>12</v>
      </c>
      <c r="I2990">
        <f t="array" ref="I2990">SUMIF(A:A,A2990,F:F)</f>
        <v>34222.5</v>
      </c>
      <c r="J2990">
        <f t="array" ref="J2990">5 - INT(5 * (RANK(G2990,G:G, 1) - 1) / COUNT(G:G))</f>
        <v>5</v>
      </c>
      <c r="K2990">
        <f t="array" ref="K2990">INT(5 * (RANK(H2990,H:H, 0) - 1) / COUNT(H:H)) + 1</f>
        <v>1</v>
      </c>
      <c r="L2990">
        <f t="array" ref="L2990">INT(5 * (RANK(I2990,I:I, 0) - 1) / COUNT(I:I)) + 1</f>
        <v>3</v>
      </c>
      <c r="M2990" t="str">
        <f t="shared" si="92"/>
        <v>513</v>
      </c>
      <c r="N2990" s="6" t="str">
        <f t="shared" si="93"/>
        <v>New Customers</v>
      </c>
    </row>
    <row r="2991" spans="1:14" x14ac:dyDescent="0.35">
      <c r="A2991">
        <v>1110</v>
      </c>
      <c r="B2991" s="4">
        <v>46133.375085336993</v>
      </c>
      <c r="C2991" t="s">
        <v>7</v>
      </c>
      <c r="D2991" t="s">
        <v>22</v>
      </c>
      <c r="E2991" t="s">
        <v>23</v>
      </c>
      <c r="F2991">
        <v>7050.3</v>
      </c>
      <c r="G2991">
        <f t="array" ref="G2991">SalesData!$I$2 - 'RFM Table'!B2991</f>
        <v>3</v>
      </c>
      <c r="H2991">
        <f t="array" ref="H2991">COUNTIF(A:A,A2991)</f>
        <v>13</v>
      </c>
      <c r="I2991">
        <f t="array" ref="I2991">SUMIF(A:A,A2991,F:F)</f>
        <v>72511.88</v>
      </c>
      <c r="J2991">
        <f t="array" ref="J2991">5 - INT(5 * (RANK(G2991,G:G, 1) - 1) / COUNT(G:G))</f>
        <v>5</v>
      </c>
      <c r="K2991">
        <f t="array" ref="K2991">INT(5 * (RANK(H2991,H:H, 0) - 1) / COUNT(H:H)) + 1</f>
        <v>1</v>
      </c>
      <c r="L2991">
        <f t="array" ref="L2991">INT(5 * (RANK(I2991,I:I, 0) - 1) / COUNT(I:I)) + 1</f>
        <v>1</v>
      </c>
      <c r="M2991" t="str">
        <f t="shared" si="92"/>
        <v>511</v>
      </c>
      <c r="N2991" s="6" t="str">
        <f t="shared" si="93"/>
        <v>New Customers</v>
      </c>
    </row>
    <row r="2992" spans="1:14" x14ac:dyDescent="0.35">
      <c r="A2992">
        <v>1341</v>
      </c>
      <c r="B2992" s="4">
        <v>46133.375085336993</v>
      </c>
      <c r="C2992" t="s">
        <v>7</v>
      </c>
      <c r="D2992" t="s">
        <v>21</v>
      </c>
      <c r="E2992" t="s">
        <v>24</v>
      </c>
      <c r="F2992">
        <v>4773.7299999999996</v>
      </c>
      <c r="G2992">
        <f t="array" ref="G2992">SalesData!$I$2 - 'RFM Table'!B2992</f>
        <v>3</v>
      </c>
      <c r="H2992">
        <f t="array" ref="H2992">COUNTIF(A:A,A2992)</f>
        <v>11</v>
      </c>
      <c r="I2992">
        <f t="array" ref="I2992">SUMIF(A:A,A2992,F:F)</f>
        <v>45526.78</v>
      </c>
      <c r="J2992">
        <f t="array" ref="J2992">5 - INT(5 * (RANK(G2992,G:G, 1) - 1) / COUNT(G:G))</f>
        <v>5</v>
      </c>
      <c r="K2992">
        <f t="array" ref="K2992">INT(5 * (RANK(H2992,H:H, 0) - 1) / COUNT(H:H)) + 1</f>
        <v>1</v>
      </c>
      <c r="L2992">
        <f t="array" ref="L2992">INT(5 * (RANK(I2992,I:I, 0) - 1) / COUNT(I:I)) + 1</f>
        <v>1</v>
      </c>
      <c r="M2992" t="str">
        <f t="shared" si="92"/>
        <v>511</v>
      </c>
      <c r="N2992" s="6" t="str">
        <f t="shared" si="93"/>
        <v>New Customers</v>
      </c>
    </row>
    <row r="2993" spans="1:14" x14ac:dyDescent="0.35">
      <c r="A2993">
        <v>1286</v>
      </c>
      <c r="B2993" s="4">
        <v>46133.375085336993</v>
      </c>
      <c r="C2993" t="s">
        <v>13</v>
      </c>
      <c r="D2993" t="s">
        <v>16</v>
      </c>
      <c r="E2993" t="s">
        <v>23</v>
      </c>
      <c r="F2993">
        <v>4762.2299999999996</v>
      </c>
      <c r="G2993">
        <f t="array" ref="G2993">SalesData!$I$2 - 'RFM Table'!B2993</f>
        <v>3</v>
      </c>
      <c r="H2993">
        <f t="array" ref="H2993">COUNTIF(A:A,A2993)</f>
        <v>6</v>
      </c>
      <c r="I2993">
        <f t="array" ref="I2993">SUMIF(A:A,A2993,F:F)</f>
        <v>40190.459999999992</v>
      </c>
      <c r="J2993">
        <f t="array" ref="J2993">5 - INT(5 * (RANK(G2993,G:G, 1) - 1) / COUNT(G:G))</f>
        <v>5</v>
      </c>
      <c r="K2993">
        <f t="array" ref="K2993">INT(5 * (RANK(H2993,H:H, 0) - 1) / COUNT(H:H)) + 1</f>
        <v>4</v>
      </c>
      <c r="L2993">
        <f t="array" ref="L2993">INT(5 * (RANK(I2993,I:I, 0) - 1) / COUNT(I:I)) + 1</f>
        <v>2</v>
      </c>
      <c r="M2993" t="str">
        <f t="shared" si="92"/>
        <v>542</v>
      </c>
      <c r="N2993" s="6" t="str">
        <f t="shared" si="93"/>
        <v>Others</v>
      </c>
    </row>
    <row r="2994" spans="1:14" x14ac:dyDescent="0.35">
      <c r="A2994">
        <v>1146</v>
      </c>
      <c r="B2994" s="4">
        <v>46133.375085336993</v>
      </c>
      <c r="C2994" t="s">
        <v>14</v>
      </c>
      <c r="D2994" t="s">
        <v>18</v>
      </c>
      <c r="E2994" t="s">
        <v>25</v>
      </c>
      <c r="F2994">
        <v>2202.4699999999998</v>
      </c>
      <c r="G2994">
        <f t="array" ref="G2994">SalesData!$I$2 - 'RFM Table'!B2994</f>
        <v>3</v>
      </c>
      <c r="H2994">
        <f t="array" ref="H2994">COUNTIF(A:A,A2994)</f>
        <v>11</v>
      </c>
      <c r="I2994">
        <f t="array" ref="I2994">SUMIF(A:A,A2994,F:F)</f>
        <v>43110.84</v>
      </c>
      <c r="J2994">
        <f t="array" ref="J2994">5 - INT(5 * (RANK(G2994,G:G, 1) - 1) / COUNT(G:G))</f>
        <v>5</v>
      </c>
      <c r="K2994">
        <f t="array" ref="K2994">INT(5 * (RANK(H2994,H:H, 0) - 1) / COUNT(H:H)) + 1</f>
        <v>1</v>
      </c>
      <c r="L2994">
        <f t="array" ref="L2994">INT(5 * (RANK(I2994,I:I, 0) - 1) / COUNT(I:I)) + 1</f>
        <v>2</v>
      </c>
      <c r="M2994" t="str">
        <f t="shared" si="92"/>
        <v>512</v>
      </c>
      <c r="N2994" s="6" t="str">
        <f t="shared" si="93"/>
        <v>New Customers</v>
      </c>
    </row>
    <row r="2995" spans="1:14" x14ac:dyDescent="0.35">
      <c r="A2995">
        <v>1332</v>
      </c>
      <c r="B2995" s="4">
        <v>46134.375085336993</v>
      </c>
      <c r="C2995" t="s">
        <v>13</v>
      </c>
      <c r="D2995" t="s">
        <v>21</v>
      </c>
      <c r="E2995" t="s">
        <v>24</v>
      </c>
      <c r="F2995">
        <v>2829.26</v>
      </c>
      <c r="G2995">
        <f t="array" ref="G2995">SalesData!$I$2 - 'RFM Table'!B2995</f>
        <v>2</v>
      </c>
      <c r="H2995">
        <f t="array" ref="H2995">COUNTIF(A:A,A2995)</f>
        <v>4</v>
      </c>
      <c r="I2995">
        <f t="array" ref="I2995">SUMIF(A:A,A2995,F:F)</f>
        <v>11144.500000000002</v>
      </c>
      <c r="J2995">
        <f t="array" ref="J2995">5 - INT(5 * (RANK(G2995,G:G, 1) - 1) / COUNT(G:G))</f>
        <v>5</v>
      </c>
      <c r="K2995">
        <f t="array" ref="K2995">INT(5 * (RANK(H2995,H:H, 0) - 1) / COUNT(H:H)) + 1</f>
        <v>5</v>
      </c>
      <c r="L2995">
        <f t="array" ref="L2995">INT(5 * (RANK(I2995,I:I, 0) - 1) / COUNT(I:I)) + 1</f>
        <v>5</v>
      </c>
      <c r="M2995" t="str">
        <f t="shared" si="92"/>
        <v>555</v>
      </c>
      <c r="N2995" s="6" t="str">
        <f t="shared" si="93"/>
        <v>Others</v>
      </c>
    </row>
    <row r="2996" spans="1:14" x14ac:dyDescent="0.35">
      <c r="A2996">
        <v>1040</v>
      </c>
      <c r="B2996" s="4">
        <v>46134.375085336993</v>
      </c>
      <c r="C2996" t="s">
        <v>9</v>
      </c>
      <c r="D2996" t="s">
        <v>17</v>
      </c>
      <c r="E2996" t="s">
        <v>25</v>
      </c>
      <c r="F2996">
        <v>6896.09</v>
      </c>
      <c r="G2996">
        <f t="array" ref="G2996">SalesData!$I$2 - 'RFM Table'!B2996</f>
        <v>2</v>
      </c>
      <c r="H2996">
        <f t="array" ref="H2996">COUNTIF(A:A,A2996)</f>
        <v>7</v>
      </c>
      <c r="I2996">
        <f t="array" ref="I2996">SUMIF(A:A,A2996,F:F)</f>
        <v>32869.479999999996</v>
      </c>
      <c r="J2996">
        <f t="array" ref="J2996">5 - INT(5 * (RANK(G2996,G:G, 1) - 1) / COUNT(G:G))</f>
        <v>5</v>
      </c>
      <c r="K2996">
        <f t="array" ref="K2996">INT(5 * (RANK(H2996,H:H, 0) - 1) / COUNT(H:H)) + 1</f>
        <v>4</v>
      </c>
      <c r="L2996">
        <f t="array" ref="L2996">INT(5 * (RANK(I2996,I:I, 0) - 1) / COUNT(I:I)) + 1</f>
        <v>3</v>
      </c>
      <c r="M2996" t="str">
        <f t="shared" si="92"/>
        <v>543</v>
      </c>
      <c r="N2996" s="6" t="str">
        <f t="shared" si="93"/>
        <v>Others</v>
      </c>
    </row>
    <row r="2997" spans="1:14" x14ac:dyDescent="0.35">
      <c r="A2997">
        <v>1213</v>
      </c>
      <c r="B2997" s="4">
        <v>46134.375085336993</v>
      </c>
      <c r="C2997" t="s">
        <v>12</v>
      </c>
      <c r="D2997" t="s">
        <v>18</v>
      </c>
      <c r="E2997" t="s">
        <v>24</v>
      </c>
      <c r="F2997">
        <v>8730</v>
      </c>
      <c r="G2997">
        <f t="array" ref="G2997">SalesData!$I$2 - 'RFM Table'!B2997</f>
        <v>2</v>
      </c>
      <c r="H2997">
        <f t="array" ref="H2997">COUNTIF(A:A,A2997)</f>
        <v>8</v>
      </c>
      <c r="I2997">
        <f t="array" ref="I2997">SUMIF(A:A,A2997,F:F)</f>
        <v>27291.54</v>
      </c>
      <c r="J2997">
        <f t="array" ref="J2997">5 - INT(5 * (RANK(G2997,G:G, 1) - 1) / COUNT(G:G))</f>
        <v>5</v>
      </c>
      <c r="K2997">
        <f t="array" ref="K2997">INT(5 * (RANK(H2997,H:H, 0) - 1) / COUNT(H:H)) + 1</f>
        <v>3</v>
      </c>
      <c r="L2997">
        <f t="array" ref="L2997">INT(5 * (RANK(I2997,I:I, 0) - 1) / COUNT(I:I)) + 1</f>
        <v>4</v>
      </c>
      <c r="M2997" t="str">
        <f t="shared" si="92"/>
        <v>534</v>
      </c>
      <c r="N2997" s="6" t="str">
        <f t="shared" si="93"/>
        <v>Others</v>
      </c>
    </row>
    <row r="2998" spans="1:14" x14ac:dyDescent="0.35">
      <c r="A2998">
        <v>1052</v>
      </c>
      <c r="B2998" s="4">
        <v>46134.375085336993</v>
      </c>
      <c r="C2998" t="s">
        <v>12</v>
      </c>
      <c r="D2998" t="s">
        <v>22</v>
      </c>
      <c r="E2998" t="s">
        <v>25</v>
      </c>
      <c r="F2998">
        <v>1509.35</v>
      </c>
      <c r="G2998">
        <f t="array" ref="G2998">SalesData!$I$2 - 'RFM Table'!B2998</f>
        <v>2</v>
      </c>
      <c r="H2998">
        <f t="array" ref="H2998">COUNTIF(A:A,A2998)</f>
        <v>9</v>
      </c>
      <c r="I2998">
        <f t="array" ref="I2998">SUMIF(A:A,A2998,F:F)</f>
        <v>35283.15</v>
      </c>
      <c r="J2998">
        <f t="array" ref="J2998">5 - INT(5 * (RANK(G2998,G:G, 1) - 1) / COUNT(G:G))</f>
        <v>5</v>
      </c>
      <c r="K2998">
        <f t="array" ref="K2998">INT(5 * (RANK(H2998,H:H, 0) - 1) / COUNT(H:H)) + 1</f>
        <v>2</v>
      </c>
      <c r="L2998">
        <f t="array" ref="L2998">INT(5 * (RANK(I2998,I:I, 0) - 1) / COUNT(I:I)) + 1</f>
        <v>3</v>
      </c>
      <c r="M2998" t="str">
        <f t="shared" si="92"/>
        <v>523</v>
      </c>
      <c r="N2998" s="6" t="str">
        <f t="shared" si="93"/>
        <v>New Customers</v>
      </c>
    </row>
    <row r="2999" spans="1:14" x14ac:dyDescent="0.35">
      <c r="A2999">
        <v>1034</v>
      </c>
      <c r="B2999" s="4">
        <v>46135.375085336993</v>
      </c>
      <c r="C2999" t="s">
        <v>13</v>
      </c>
      <c r="D2999" t="s">
        <v>20</v>
      </c>
      <c r="E2999" t="s">
        <v>25</v>
      </c>
      <c r="F2999">
        <v>1618.45</v>
      </c>
      <c r="G2999">
        <f t="array" ref="G2999">SalesData!$I$2 - 'RFM Table'!B2999</f>
        <v>1</v>
      </c>
      <c r="H2999">
        <f t="array" ref="H2999">COUNTIF(A:A,A2999)</f>
        <v>8</v>
      </c>
      <c r="I2999">
        <f t="array" ref="I2999">SUMIF(A:A,A2999,F:F)</f>
        <v>22493.960000000003</v>
      </c>
      <c r="J2999">
        <f t="array" ref="J2999">5 - INT(5 * (RANK(G2999,G:G, 1) - 1) / COUNT(G:G))</f>
        <v>5</v>
      </c>
      <c r="K2999">
        <f t="array" ref="K2999">INT(5 * (RANK(H2999,H:H, 0) - 1) / COUNT(H:H)) + 1</f>
        <v>3</v>
      </c>
      <c r="L2999">
        <f t="array" ref="L2999">INT(5 * (RANK(I2999,I:I, 0) - 1) / COUNT(I:I)) + 1</f>
        <v>4</v>
      </c>
      <c r="M2999" t="str">
        <f t="shared" si="92"/>
        <v>534</v>
      </c>
      <c r="N2999" s="6" t="str">
        <f t="shared" si="93"/>
        <v>Others</v>
      </c>
    </row>
    <row r="3000" spans="1:14" x14ac:dyDescent="0.35">
      <c r="A3000">
        <v>1369</v>
      </c>
      <c r="B3000" s="4">
        <v>46135.375085336993</v>
      </c>
      <c r="C3000" t="s">
        <v>6</v>
      </c>
      <c r="D3000" t="s">
        <v>19</v>
      </c>
      <c r="E3000" t="s">
        <v>24</v>
      </c>
      <c r="F3000">
        <v>3249.38</v>
      </c>
      <c r="G3000">
        <f t="array" ref="G3000">SalesData!$I$2 - 'RFM Table'!B3000</f>
        <v>1</v>
      </c>
      <c r="H3000">
        <f t="array" ref="H3000">COUNTIF(A:A,A3000)</f>
        <v>6</v>
      </c>
      <c r="I3000">
        <f t="array" ref="I3000">SUMIF(A:A,A3000,F:F)</f>
        <v>32030.929999999997</v>
      </c>
      <c r="J3000">
        <f t="array" ref="J3000">5 - INT(5 * (RANK(G3000,G:G, 1) - 1) / COUNT(G:G))</f>
        <v>5</v>
      </c>
      <c r="K3000">
        <f t="array" ref="K3000">INT(5 * (RANK(H3000,H:H, 0) - 1) / COUNT(H:H)) + 1</f>
        <v>4</v>
      </c>
      <c r="L3000">
        <f t="array" ref="L3000">INT(5 * (RANK(I3000,I:I, 0) - 1) / COUNT(I:I)) + 1</f>
        <v>3</v>
      </c>
      <c r="M3000" t="str">
        <f t="shared" si="92"/>
        <v>543</v>
      </c>
      <c r="N3000" s="6" t="str">
        <f t="shared" si="93"/>
        <v>Others</v>
      </c>
    </row>
    <row r="3001" spans="1:14" x14ac:dyDescent="0.35">
      <c r="A3001">
        <v>1392</v>
      </c>
      <c r="B3001" s="4">
        <v>46135.375085336993</v>
      </c>
      <c r="C3001" t="s">
        <v>8</v>
      </c>
      <c r="D3001" t="s">
        <v>20</v>
      </c>
      <c r="E3001" t="s">
        <v>23</v>
      </c>
      <c r="F3001">
        <v>54.19</v>
      </c>
      <c r="G3001">
        <f t="array" ref="G3001">SalesData!$I$2 - 'RFM Table'!B3001</f>
        <v>1</v>
      </c>
      <c r="H3001">
        <f t="array" ref="H3001">COUNTIF(A:A,A3001)</f>
        <v>10</v>
      </c>
      <c r="I3001">
        <f t="array" ref="I3001">SUMIF(A:A,A3001,F:F)</f>
        <v>27910.07</v>
      </c>
      <c r="J3001">
        <f t="array" ref="J3001">5 - INT(5 * (RANK(G3001,G:G, 1) - 1) / COUNT(G:G))</f>
        <v>5</v>
      </c>
      <c r="K3001">
        <f t="array" ref="K3001">INT(5 * (RANK(H3001,H:H, 0) - 1) / COUNT(H:H)) + 1</f>
        <v>2</v>
      </c>
      <c r="L3001">
        <f t="array" ref="L3001">INT(5 * (RANK(I3001,I:I, 0) - 1) / COUNT(I:I)) + 1</f>
        <v>4</v>
      </c>
      <c r="M3001" t="str">
        <f t="shared" si="92"/>
        <v>524</v>
      </c>
      <c r="N3001" s="6" t="str">
        <f t="shared" si="93"/>
        <v>New Customers</v>
      </c>
    </row>
  </sheetData>
  <sheetProtection algorithmName="SHA-512" hashValue="gaCA9MTiwDxya+MB9N1Tm9XyYSJQkNBIi0+WNvs9aHkiQ5oDWA/3jjI61jtdrVbajy4AC8UjwHRN8HzatC1aHg==" saltValue="goid8Ka2mk234xeG8Yf6WQ==" spinCount="100000" sheet="1" objects="1" scenarios="1" selectLockedCell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topLeftCell="A4" workbookViewId="0">
      <selection activeCell="E11" sqref="E11"/>
    </sheetView>
  </sheetViews>
  <sheetFormatPr defaultRowHeight="14.5" x14ac:dyDescent="0.35"/>
  <cols>
    <col min="1" max="1" width="14.54296875" customWidth="1"/>
    <col min="2" max="2" width="18.7265625" customWidth="1"/>
    <col min="3" max="3" width="16.81640625" customWidth="1"/>
    <col min="6" max="6" width="14.453125" bestFit="1" customWidth="1"/>
    <col min="8" max="8" width="13.453125" bestFit="1" customWidth="1"/>
    <col min="9" max="9" width="14.453125" bestFit="1" customWidth="1"/>
  </cols>
  <sheetData>
    <row r="1" spans="1:9" x14ac:dyDescent="0.35">
      <c r="A1" s="7" t="s">
        <v>35</v>
      </c>
      <c r="B1" t="s">
        <v>44</v>
      </c>
      <c r="C1" t="s">
        <v>43</v>
      </c>
    </row>
    <row r="2" spans="1:9" x14ac:dyDescent="0.35">
      <c r="A2" s="8" t="s">
        <v>37</v>
      </c>
      <c r="B2" s="10">
        <v>179</v>
      </c>
      <c r="C2" s="10">
        <v>604550.87000000023</v>
      </c>
      <c r="D2" t="str">
        <f t="shared" ref="D2:F7" si="0">A2</f>
        <v>Can't Lose Them</v>
      </c>
      <c r="E2">
        <f t="shared" si="0"/>
        <v>179</v>
      </c>
      <c r="F2">
        <f t="shared" si="0"/>
        <v>604550.87000000023</v>
      </c>
      <c r="H2" t="s">
        <v>43</v>
      </c>
      <c r="I2" s="11">
        <f>F7</f>
        <v>11923424.959999982</v>
      </c>
    </row>
    <row r="3" spans="1:9" x14ac:dyDescent="0.35">
      <c r="A3" s="8" t="s">
        <v>38</v>
      </c>
      <c r="B3" s="10">
        <v>420</v>
      </c>
      <c r="C3" s="10">
        <v>1793348.9</v>
      </c>
      <c r="D3" t="str">
        <f t="shared" si="0"/>
        <v>Lost</v>
      </c>
      <c r="E3">
        <f t="shared" si="0"/>
        <v>420</v>
      </c>
      <c r="F3">
        <f t="shared" si="0"/>
        <v>1793348.9</v>
      </c>
      <c r="H3" t="s">
        <v>46</v>
      </c>
      <c r="I3">
        <f>GETPIVOTDATA("Count of CustomerID",$A$1)</f>
        <v>3000</v>
      </c>
    </row>
    <row r="4" spans="1:9" x14ac:dyDescent="0.35">
      <c r="A4" s="8" t="s">
        <v>36</v>
      </c>
      <c r="B4" s="10">
        <v>539</v>
      </c>
      <c r="C4" s="10">
        <v>2014410.7000000002</v>
      </c>
      <c r="D4" t="str">
        <f t="shared" si="0"/>
        <v>At Risk</v>
      </c>
      <c r="E4">
        <f t="shared" si="0"/>
        <v>539</v>
      </c>
      <c r="F4">
        <f t="shared" si="0"/>
        <v>2014410.7000000002</v>
      </c>
      <c r="H4" t="s">
        <v>47</v>
      </c>
      <c r="I4" s="11">
        <f>I2/I3</f>
        <v>3974.4749866666607</v>
      </c>
    </row>
    <row r="5" spans="1:9" x14ac:dyDescent="0.35">
      <c r="A5" s="8" t="s">
        <v>39</v>
      </c>
      <c r="B5" s="10">
        <v>615</v>
      </c>
      <c r="C5" s="10">
        <v>2512608.4700000007</v>
      </c>
      <c r="D5" t="str">
        <f t="shared" si="0"/>
        <v>New Customers</v>
      </c>
      <c r="E5">
        <f t="shared" si="0"/>
        <v>615</v>
      </c>
      <c r="F5">
        <f t="shared" si="0"/>
        <v>2512608.4700000007</v>
      </c>
    </row>
    <row r="6" spans="1:9" x14ac:dyDescent="0.35">
      <c r="A6" s="8" t="s">
        <v>40</v>
      </c>
      <c r="B6" s="10">
        <v>1247</v>
      </c>
      <c r="C6" s="10">
        <v>4998506.0200000079</v>
      </c>
      <c r="D6" t="str">
        <f t="shared" si="0"/>
        <v>Others</v>
      </c>
      <c r="E6">
        <f t="shared" si="0"/>
        <v>1247</v>
      </c>
      <c r="F6">
        <f t="shared" si="0"/>
        <v>4998506.0200000079</v>
      </c>
    </row>
    <row r="7" spans="1:9" x14ac:dyDescent="0.35">
      <c r="A7" s="8" t="s">
        <v>41</v>
      </c>
      <c r="B7" s="10">
        <v>3000</v>
      </c>
      <c r="C7" s="10">
        <v>11923424.959999982</v>
      </c>
      <c r="D7" t="str">
        <f t="shared" si="0"/>
        <v>Grand Total</v>
      </c>
      <c r="E7">
        <f t="shared" si="0"/>
        <v>3000</v>
      </c>
      <c r="F7" s="11">
        <f t="shared" si="0"/>
        <v>11923424.959999982</v>
      </c>
    </row>
    <row r="11" spans="1:9" x14ac:dyDescent="0.35">
      <c r="A11" t="s">
        <v>49</v>
      </c>
      <c r="B11">
        <f>GETPIVOTDATA("Count of CustomerID",$A$1)</f>
        <v>3000</v>
      </c>
    </row>
    <row r="12" spans="1:9" x14ac:dyDescent="0.35">
      <c r="A12" t="s">
        <v>47</v>
      </c>
      <c r="B12" s="14">
        <f>F7/B11</f>
        <v>3974.4749866666607</v>
      </c>
    </row>
    <row r="20" spans="1:2" x14ac:dyDescent="0.35">
      <c r="A20" s="7" t="s">
        <v>35</v>
      </c>
      <c r="B20" t="s">
        <v>42</v>
      </c>
    </row>
    <row r="21" spans="1:2" x14ac:dyDescent="0.35">
      <c r="A21" s="8">
        <v>1000</v>
      </c>
      <c r="B21" s="9">
        <v>62566.770000000004</v>
      </c>
    </row>
    <row r="22" spans="1:2" x14ac:dyDescent="0.35">
      <c r="A22" s="8">
        <v>1013</v>
      </c>
      <c r="B22" s="9">
        <v>60099.840000000004</v>
      </c>
    </row>
    <row r="23" spans="1:2" x14ac:dyDescent="0.35">
      <c r="A23" s="8">
        <v>1038</v>
      </c>
      <c r="B23" s="9">
        <v>76962.720000000001</v>
      </c>
    </row>
    <row r="24" spans="1:2" x14ac:dyDescent="0.35">
      <c r="A24" s="8">
        <v>1110</v>
      </c>
      <c r="B24" s="9">
        <v>72511.88</v>
      </c>
    </row>
    <row r="25" spans="1:2" x14ac:dyDescent="0.35">
      <c r="A25" s="8">
        <v>1144</v>
      </c>
      <c r="B25" s="9">
        <v>62038.55</v>
      </c>
    </row>
    <row r="26" spans="1:2" x14ac:dyDescent="0.35">
      <c r="A26" s="8">
        <v>1148</v>
      </c>
      <c r="B26" s="9">
        <v>83986.299999999988</v>
      </c>
    </row>
    <row r="27" spans="1:2" x14ac:dyDescent="0.35">
      <c r="A27" s="8">
        <v>1172</v>
      </c>
      <c r="B27" s="9">
        <v>64175.24</v>
      </c>
    </row>
    <row r="28" spans="1:2" x14ac:dyDescent="0.35">
      <c r="A28" s="8">
        <v>1260</v>
      </c>
      <c r="B28" s="9">
        <v>67378.48000000001</v>
      </c>
    </row>
    <row r="29" spans="1:2" x14ac:dyDescent="0.35">
      <c r="A29" s="8">
        <v>1287</v>
      </c>
      <c r="B29" s="9">
        <v>64716.249999999985</v>
      </c>
    </row>
    <row r="30" spans="1:2" x14ac:dyDescent="0.35">
      <c r="A30" s="8">
        <v>1385</v>
      </c>
      <c r="B30" s="9">
        <v>73437.08</v>
      </c>
    </row>
    <row r="31" spans="1:2" x14ac:dyDescent="0.35">
      <c r="A31" s="8" t="s">
        <v>41</v>
      </c>
      <c r="B31" s="9">
        <v>687873.11</v>
      </c>
    </row>
    <row r="37" spans="1:2" x14ac:dyDescent="0.35">
      <c r="A37" s="7" t="s">
        <v>35</v>
      </c>
      <c r="B37" t="s">
        <v>44</v>
      </c>
    </row>
    <row r="38" spans="1:2" x14ac:dyDescent="0.35">
      <c r="A38" s="8" t="s">
        <v>14</v>
      </c>
      <c r="B38" s="9">
        <v>294</v>
      </c>
    </row>
    <row r="39" spans="1:2" x14ac:dyDescent="0.35">
      <c r="A39" s="8" t="s">
        <v>6</v>
      </c>
      <c r="B39" s="9">
        <v>307</v>
      </c>
    </row>
    <row r="40" spans="1:2" x14ac:dyDescent="0.35">
      <c r="A40" s="8" t="s">
        <v>13</v>
      </c>
      <c r="B40" s="9">
        <v>296</v>
      </c>
    </row>
    <row r="41" spans="1:2" x14ac:dyDescent="0.35">
      <c r="A41" s="8" t="s">
        <v>15</v>
      </c>
      <c r="B41" s="9">
        <v>304</v>
      </c>
    </row>
    <row r="42" spans="1:2" x14ac:dyDescent="0.35">
      <c r="A42" s="8" t="s">
        <v>8</v>
      </c>
      <c r="B42" s="9">
        <v>267</v>
      </c>
    </row>
    <row r="43" spans="1:2" x14ac:dyDescent="0.35">
      <c r="A43" s="8" t="s">
        <v>11</v>
      </c>
      <c r="B43" s="9">
        <v>303</v>
      </c>
    </row>
    <row r="44" spans="1:2" x14ac:dyDescent="0.35">
      <c r="A44" s="8" t="s">
        <v>12</v>
      </c>
      <c r="B44" s="9">
        <v>315</v>
      </c>
    </row>
    <row r="45" spans="1:2" x14ac:dyDescent="0.35">
      <c r="A45" s="8" t="s">
        <v>10</v>
      </c>
      <c r="B45" s="9">
        <v>315</v>
      </c>
    </row>
    <row r="46" spans="1:2" x14ac:dyDescent="0.35">
      <c r="A46" s="8" t="s">
        <v>7</v>
      </c>
      <c r="B46" s="9">
        <v>305</v>
      </c>
    </row>
    <row r="47" spans="1:2" x14ac:dyDescent="0.35">
      <c r="A47" s="8" t="s">
        <v>9</v>
      </c>
      <c r="B47" s="9">
        <v>294</v>
      </c>
    </row>
    <row r="48" spans="1:2" x14ac:dyDescent="0.35">
      <c r="A48" s="8" t="s">
        <v>41</v>
      </c>
      <c r="B48" s="9">
        <v>3000</v>
      </c>
    </row>
    <row r="53" spans="1:2" x14ac:dyDescent="0.35">
      <c r="A53" s="7" t="s">
        <v>35</v>
      </c>
      <c r="B53" t="s">
        <v>43</v>
      </c>
    </row>
    <row r="54" spans="1:2" x14ac:dyDescent="0.35">
      <c r="A54" s="8" t="s">
        <v>25</v>
      </c>
      <c r="B54" s="11">
        <v>3891306.069999997</v>
      </c>
    </row>
    <row r="55" spans="1:2" x14ac:dyDescent="0.35">
      <c r="A55" s="8" t="s">
        <v>24</v>
      </c>
      <c r="B55" s="11">
        <v>3894899.95</v>
      </c>
    </row>
    <row r="56" spans="1:2" x14ac:dyDescent="0.35">
      <c r="A56" s="8" t="s">
        <v>23</v>
      </c>
      <c r="B56" s="11">
        <v>4137218.9400000018</v>
      </c>
    </row>
    <row r="57" spans="1:2" x14ac:dyDescent="0.35">
      <c r="A57" s="8" t="s">
        <v>41</v>
      </c>
      <c r="B57" s="11">
        <v>11923424.959999999</v>
      </c>
    </row>
    <row r="66" spans="1:3" x14ac:dyDescent="0.35">
      <c r="A66" s="7" t="s">
        <v>35</v>
      </c>
      <c r="B66" t="s">
        <v>44</v>
      </c>
      <c r="C66" t="s">
        <v>42</v>
      </c>
    </row>
    <row r="67" spans="1:3" x14ac:dyDescent="0.35">
      <c r="A67" s="8" t="s">
        <v>36</v>
      </c>
      <c r="B67" s="9">
        <v>539</v>
      </c>
      <c r="C67" s="9">
        <v>2014410.7000000002</v>
      </c>
    </row>
    <row r="68" spans="1:3" x14ac:dyDescent="0.35">
      <c r="A68" s="8" t="s">
        <v>37</v>
      </c>
      <c r="B68" s="9">
        <v>179</v>
      </c>
      <c r="C68" s="9">
        <v>604550.87000000023</v>
      </c>
    </row>
    <row r="69" spans="1:3" x14ac:dyDescent="0.35">
      <c r="A69" s="8" t="s">
        <v>38</v>
      </c>
      <c r="B69" s="9">
        <v>420</v>
      </c>
      <c r="C69" s="9">
        <v>1793348.9</v>
      </c>
    </row>
    <row r="70" spans="1:3" x14ac:dyDescent="0.35">
      <c r="A70" s="8" t="s">
        <v>39</v>
      </c>
      <c r="B70" s="9">
        <v>615</v>
      </c>
      <c r="C70" s="9">
        <v>2512608.4700000007</v>
      </c>
    </row>
    <row r="71" spans="1:3" x14ac:dyDescent="0.35">
      <c r="A71" s="8" t="s">
        <v>40</v>
      </c>
      <c r="B71" s="9">
        <v>1247</v>
      </c>
      <c r="C71" s="9">
        <v>4998506.0200000079</v>
      </c>
    </row>
    <row r="72" spans="1:3" x14ac:dyDescent="0.35">
      <c r="A72" s="8" t="s">
        <v>41</v>
      </c>
      <c r="B72" s="9">
        <v>3000</v>
      </c>
      <c r="C72" s="9">
        <v>11923424.959999982</v>
      </c>
    </row>
  </sheetData>
  <sheetProtection algorithmName="SHA-512" hashValue="9TX3tSFaGEgWqPj+s/HmEJ/wUS1sudP49UIQgX3hzFxPMToo4psydZ6FKJw34dFL0ZOpEq3RBSIJAnV/Mda7Ag==" saltValue="GNWOV1awKOmJsj4GtAbZXQ==" spinCount="100000" sheet="1" objects="1" scenarios="1" selectLockedCells="1"/>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Views>
    <sheetView showGridLines="0" zoomScale="46" zoomScaleNormal="46" workbookViewId="0">
      <selection activeCell="J47" sqref="J47"/>
    </sheetView>
  </sheetViews>
  <sheetFormatPr defaultRowHeight="14.5" x14ac:dyDescent="0.35"/>
  <sheetData>
    <row r="1" spans="1:21" x14ac:dyDescent="0.35">
      <c r="A1" s="12" t="s">
        <v>45</v>
      </c>
      <c r="B1" s="13"/>
      <c r="C1" s="13"/>
      <c r="D1" s="13"/>
      <c r="E1" s="13"/>
      <c r="F1" s="13"/>
      <c r="G1" s="13"/>
      <c r="H1" s="13"/>
      <c r="I1" s="13"/>
      <c r="J1" s="13"/>
      <c r="K1" s="13"/>
      <c r="L1" s="13"/>
      <c r="M1" s="13"/>
      <c r="N1" s="13"/>
      <c r="O1" s="13"/>
      <c r="P1" s="13"/>
      <c r="Q1" s="13"/>
      <c r="R1" s="13"/>
      <c r="S1" s="13"/>
      <c r="T1" s="13"/>
      <c r="U1" s="13"/>
    </row>
    <row r="2" spans="1:21" x14ac:dyDescent="0.35">
      <c r="A2" s="13"/>
      <c r="B2" s="13"/>
      <c r="C2" s="13"/>
      <c r="D2" s="13"/>
      <c r="E2" s="13"/>
      <c r="F2" s="13"/>
      <c r="G2" s="13"/>
      <c r="H2" s="13"/>
      <c r="I2" s="13"/>
      <c r="J2" s="13"/>
      <c r="K2" s="13"/>
      <c r="L2" s="13"/>
      <c r="M2" s="13"/>
      <c r="N2" s="13"/>
      <c r="O2" s="13"/>
      <c r="P2" s="13"/>
      <c r="Q2" s="13"/>
      <c r="R2" s="13"/>
      <c r="S2" s="13"/>
      <c r="T2" s="13"/>
      <c r="U2" s="13"/>
    </row>
  </sheetData>
  <sheetProtection algorithmName="SHA-512" hashValue="xPeXLLGKe0lIeYmIJ+PlaPCz/YVYbBb/2ucE7mpt7713QIjdZoLPgcJK+D7+LlbJ16plxf8WkFE6/GXWuuVjvg==" saltValue="2pihX19nyBkN98B9aoRIsA==" spinCount="100000" sheet="1" objects="1" scenarios="1" selectLockedCells="1"/>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6" sqref="A6"/>
    </sheetView>
  </sheetViews>
  <sheetFormatPr defaultRowHeight="14.5" x14ac:dyDescent="0.35"/>
  <cols>
    <col min="1" max="1" width="60.54296875" customWidth="1"/>
  </cols>
  <sheetData>
    <row r="1" spans="1:1" x14ac:dyDescent="0.35">
      <c r="A1" s="15" t="s">
        <v>48</v>
      </c>
    </row>
    <row r="3" spans="1:1" x14ac:dyDescent="0.35">
      <c r="A3" t="s">
        <v>51</v>
      </c>
    </row>
    <row r="4" spans="1:1" x14ac:dyDescent="0.35">
      <c r="A4" t="s">
        <v>52</v>
      </c>
    </row>
    <row r="5" spans="1:1" x14ac:dyDescent="0.35">
      <c r="A5" t="s">
        <v>50</v>
      </c>
    </row>
  </sheetData>
  <sheetProtection algorithmName="SHA-512" hashValue="gweqC6FbzCSZFVXFaPE6Ga4NGN5CK3C/sMP22J8vLxKJyzcerXvv49FVZNAryJEKiBeefECX2w//n8T1j8ytzg==" saltValue="vUfnx78ecW0hvExscuKfKw==" spinCount="100000" sheet="1" objects="1" scenarios="1" select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Raw Data</vt:lpstr>
      <vt:lpstr>SalesData</vt:lpstr>
      <vt:lpstr>RFM Table</vt:lpstr>
      <vt:lpstr>Pivot Analysis</vt:lpstr>
      <vt:lpstr>Dashboard</vt:lpstr>
      <vt:lpstr>Insights</vt:lpstr>
      <vt:lpstr>Combine_scores</vt:lpstr>
      <vt:lpstr>F</vt:lpstr>
      <vt:lpstr>M</vt:lpstr>
      <vt:lpstr>OrderDate</vt:lpstr>
      <vt:lpstr>R_</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2026-04-24T09:00:07Z</dcterms:created>
  <dcterms:modified xsi:type="dcterms:W3CDTF">2026-04-24T13:48:03Z</dcterms:modified>
</cp:coreProperties>
</file>